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CF52C1A7-6AB6-4EBB-8BD2-E0AE2EAC52F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12_clu" sheetId="7" r:id="rId6"/>
    <sheet name="ts_annual" sheetId="8" r:id="rId7"/>
    <sheet name="ts_12" sheetId="9" r:id="rId8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9" l="1"/>
  <c r="AG9" i="9"/>
  <c r="AC9" i="9"/>
  <c r="A10" i="6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B10" i="1"/>
  <c r="B11" i="1"/>
  <c r="B12" i="1"/>
  <c r="B13" i="1"/>
  <c r="B9" i="1"/>
  <c r="D2" i="1" l="1"/>
  <c r="H48" i="1"/>
  <c r="H47" i="1"/>
  <c r="H46" i="1"/>
  <c r="H45" i="1"/>
  <c r="H24" i="6"/>
  <c r="H23" i="6"/>
  <c r="H21" i="6" s="1"/>
  <c r="D5" i="1"/>
  <c r="E54" i="1"/>
  <c r="E43" i="1"/>
  <c r="E32" i="1"/>
  <c r="E21" i="1"/>
  <c r="E14" i="1"/>
  <c r="D30" i="1"/>
  <c r="D41" i="1" s="1"/>
  <c r="D52" i="1" s="1"/>
  <c r="D63" i="1" s="1"/>
  <c r="D29" i="1"/>
  <c r="D40" i="1" s="1"/>
  <c r="D51" i="1" s="1"/>
  <c r="D62" i="1" s="1"/>
  <c r="D28" i="1"/>
  <c r="D39" i="1" s="1"/>
  <c r="D50" i="1" s="1"/>
  <c r="D61" i="1" s="1"/>
  <c r="D27" i="1"/>
  <c r="D38" i="1" s="1"/>
  <c r="D49" i="1" s="1"/>
  <c r="D60" i="1" s="1"/>
  <c r="D26" i="1"/>
  <c r="D37" i="1" s="1"/>
  <c r="D48" i="1" s="1"/>
  <c r="D59" i="1" s="1"/>
  <c r="D25" i="1"/>
  <c r="D36" i="1" s="1"/>
  <c r="D47" i="1" s="1"/>
  <c r="D58" i="1" s="1"/>
  <c r="D24" i="1"/>
  <c r="D35" i="1" s="1"/>
  <c r="D46" i="1" s="1"/>
  <c r="D57" i="1" s="1"/>
  <c r="D23" i="1"/>
  <c r="D34" i="1" s="1"/>
  <c r="D45" i="1" s="1"/>
  <c r="D56" i="1" s="1"/>
  <c r="D22" i="1"/>
  <c r="D33" i="1" s="1"/>
  <c r="D44" i="1" s="1"/>
  <c r="D55" i="1" s="1"/>
  <c r="D21" i="1"/>
  <c r="D32" i="1" s="1"/>
  <c r="D43" i="1" s="1"/>
  <c r="D54" i="1" s="1"/>
  <c r="D20" i="1"/>
  <c r="E15" i="1" l="1"/>
  <c r="B14" i="1"/>
  <c r="E22" i="1"/>
  <c r="B21" i="1"/>
  <c r="E33" i="1"/>
  <c r="B32" i="1"/>
  <c r="E44" i="1"/>
  <c r="B43" i="1"/>
  <c r="E55" i="1"/>
  <c r="B54" i="1"/>
  <c r="D31" i="1"/>
  <c r="B20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D42" i="1" l="1"/>
  <c r="B31" i="1"/>
  <c r="E56" i="1"/>
  <c r="B55" i="1"/>
  <c r="E45" i="1"/>
  <c r="B44" i="1"/>
  <c r="E34" i="1"/>
  <c r="B33" i="1"/>
  <c r="K40" i="1"/>
  <c r="E23" i="1"/>
  <c r="B22" i="1"/>
  <c r="E16" i="1"/>
  <c r="B15" i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K48" i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E17" i="1" l="1"/>
  <c r="B16" i="1"/>
  <c r="E24" i="1"/>
  <c r="B23" i="1"/>
  <c r="E35" i="1"/>
  <c r="B34" i="1"/>
  <c r="E46" i="1"/>
  <c r="B45" i="1"/>
  <c r="E57" i="1"/>
  <c r="B56" i="1"/>
  <c r="D53" i="1"/>
  <c r="B53" i="1" s="1"/>
  <c r="B42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47" i="1" l="1"/>
  <c r="B46" i="1"/>
  <c r="E36" i="1"/>
  <c r="B35" i="1"/>
  <c r="E58" i="1"/>
  <c r="B57" i="1"/>
  <c r="E25" i="1"/>
  <c r="B24" i="1"/>
  <c r="E18" i="1"/>
  <c r="B17" i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E19" i="1" l="1"/>
  <c r="B19" i="1" s="1"/>
  <c r="B18" i="1"/>
  <c r="E59" i="1"/>
  <c r="B58" i="1"/>
  <c r="E37" i="1"/>
  <c r="B36" i="1"/>
  <c r="E26" i="1"/>
  <c r="B25" i="1"/>
  <c r="E48" i="1"/>
  <c r="B47" i="1"/>
  <c r="U22" i="1"/>
  <c r="Y22" i="1"/>
  <c r="E38" i="1" l="1"/>
  <c r="B37" i="1"/>
  <c r="E60" i="1"/>
  <c r="B59" i="1"/>
  <c r="E49" i="1"/>
  <c r="B48" i="1"/>
  <c r="E27" i="1"/>
  <c r="B26" i="1"/>
  <c r="E28" i="1" l="1"/>
  <c r="B27" i="1"/>
  <c r="E50" i="1"/>
  <c r="B49" i="1"/>
  <c r="E61" i="1"/>
  <c r="B60" i="1"/>
  <c r="E39" i="1"/>
  <c r="B38" i="1"/>
  <c r="E40" i="1" l="1"/>
  <c r="B39" i="1"/>
  <c r="E62" i="1"/>
  <c r="B61" i="1"/>
  <c r="E51" i="1"/>
  <c r="B50" i="1"/>
  <c r="E29" i="1"/>
  <c r="B28" i="1"/>
  <c r="E30" i="1" l="1"/>
  <c r="B30" i="1" s="1"/>
  <c r="B29" i="1"/>
  <c r="E52" i="1"/>
  <c r="B52" i="1" s="1"/>
  <c r="B51" i="1"/>
  <c r="E63" i="1"/>
  <c r="B63" i="1" s="1"/>
  <c r="B62" i="1"/>
  <c r="E41" i="1"/>
  <c r="B41" i="1" s="1"/>
  <c r="B40" i="1"/>
</calcChain>
</file>

<file path=xl/sharedStrings.xml><?xml version="1.0" encoding="utf-8"?>
<sst xmlns="http://schemas.openxmlformats.org/spreadsheetml/2006/main" count="2679" uniqueCount="208">
  <si>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</si>
  <si>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</si>
  <si>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</si>
  <si>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</si>
  <si>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</si>
  <si>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</si>
  <si>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</si>
  <si>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</si>
  <si>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</si>
  <si>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</si>
  <si>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</si>
  <si>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</si>
  <si>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</si>
  <si>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</si>
  <si>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</si>
  <si>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</si>
  <si>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</si>
  <si>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</si>
  <si>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</si>
  <si>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</si>
  <si>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</si>
  <si>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</si>
  <si>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</si>
  <si>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</si>
  <si>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</si>
  <si>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</si>
  <si>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</si>
  <si>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</si>
  <si>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</si>
  <si>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</si>
  <si>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</si>
  <si>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</si>
  <si>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</si>
  <si>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</si>
  <si>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</si>
  <si>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</si>
  <si>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</si>
  <si>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</si>
  <si>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</si>
  <si>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</si>
  <si>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</si>
  <si>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</si>
  <si>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</si>
  <si>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</si>
  <si>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</si>
  <si>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</si>
  <si>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</si>
  <si>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</si>
  <si>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</si>
  <si>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</si>
  <si>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</si>
  <si>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</si>
  <si>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</si>
  <si>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</si>
  <si>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</si>
  <si>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</si>
  <si>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</si>
  <si>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</si>
  <si>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</si>
  <si>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</si>
  <si>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</si>
  <si>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</si>
  <si>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</si>
  <si>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</si>
  <si>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</si>
  <si>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</si>
  <si>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</si>
  <si>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</si>
  <si>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</si>
  <si>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</si>
  <si>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</si>
  <si>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</si>
  <si>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</si>
  <si>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</si>
  <si>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</si>
  <si>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</si>
  <si>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</si>
  <si>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</si>
  <si>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</si>
  <si>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</si>
  <si>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</si>
  <si>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</si>
  <si>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</si>
  <si>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</si>
  <si>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</si>
  <si>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</si>
  <si>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</si>
  <si>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</si>
  <si>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</si>
  <si>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</si>
  <si>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</si>
  <si>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</si>
  <si>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</si>
  <si>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</si>
  <si>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</si>
  <si>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</si>
  <si>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</si>
  <si>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</si>
  <si>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</si>
  <si>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</si>
  <si>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</si>
  <si>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</si>
  <si>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</si>
  <si>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</si>
  <si>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</si>
  <si>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</si>
  <si>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</si>
  <si>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</si>
  <si>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</si>
  <si>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</si>
  <si>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s1_d</t>
  </si>
  <si>
    <t>ts_annual</t>
  </si>
  <si>
    <t>ts_12</t>
  </si>
  <si>
    <t>pset_co</t>
  </si>
  <si>
    <t>1-55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</si>
  <si>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</si>
  <si>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</si>
  <si>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</si>
  <si>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</si>
  <si>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</si>
  <si>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</si>
  <si>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</si>
  <si>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</si>
  <si>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hTS12c</t>
  </si>
  <si>
    <t>a 3 deg</t>
  </si>
  <si>
    <t>gTS24c</t>
  </si>
  <si>
    <t>fTS48c</t>
  </si>
  <si>
    <t>c15d</t>
  </si>
  <si>
    <t>iTS12</t>
  </si>
  <si>
    <t>jAnn</t>
  </si>
  <si>
    <t>f1d</t>
  </si>
  <si>
    <t>~Scenmap</t>
  </si>
  <si>
    <t>scen</t>
  </si>
  <si>
    <t>case_no</t>
  </si>
  <si>
    <t>timeslice</t>
  </si>
  <si>
    <t>climate</t>
  </si>
  <si>
    <t>priority</t>
  </si>
  <si>
    <t>BRA</t>
  </si>
  <si>
    <t>R10LATIN_AM</t>
  </si>
  <si>
    <t>Pre-salt gas growing, sugarcane bagasse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</si>
  <si>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</si>
  <si>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</si>
  <si>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</si>
  <si>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</si>
  <si>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</si>
  <si>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</si>
  <si>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</si>
  <si>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</si>
  <si>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</t>
  </si>
  <si>
    <t>S2</t>
  </si>
  <si>
    <t>H2</t>
  </si>
  <si>
    <t>S3</t>
  </si>
  <si>
    <t>H3</t>
  </si>
  <si>
    <t>H4</t>
  </si>
  <si>
    <t>H5</t>
  </si>
  <si>
    <t>com_fr</t>
  </si>
  <si>
    <t>elc_spv-BRA</t>
  </si>
  <si>
    <t>S1aH1</t>
  </si>
  <si>
    <t>IMPNRGZ</t>
  </si>
  <si>
    <t>S1aH2</t>
  </si>
  <si>
    <t>S1aH3</t>
  </si>
  <si>
    <t>S1aH4</t>
  </si>
  <si>
    <t>S1aH5</t>
  </si>
  <si>
    <t>S2aH1</t>
  </si>
  <si>
    <t>S2aH2</t>
  </si>
  <si>
    <t>S2aH3</t>
  </si>
  <si>
    <t>S2aH4</t>
  </si>
  <si>
    <t>S2aH5</t>
  </si>
  <si>
    <t>S3aH1</t>
  </si>
  <si>
    <t>S3aH2</t>
  </si>
  <si>
    <t>S3aH3</t>
  </si>
  <si>
    <t>S3aH4</t>
  </si>
  <si>
    <t>S3aH5</t>
  </si>
  <si>
    <t>elc_won-BRA</t>
  </si>
  <si>
    <t>elc_wof-BRA</t>
  </si>
  <si>
    <t>g_yrfr</t>
  </si>
  <si>
    <t>day_night</t>
  </si>
  <si>
    <t>D</t>
  </si>
  <si>
    <t>S1aH3,S1aH2,S2aH3,S2aH2,S3aH2,S3aH3</t>
  </si>
  <si>
    <t>N</t>
  </si>
  <si>
    <t>S1aH1,S3aH4,S3aH1,S3aH5,S2aH1,S1aH5,S2aH4,S2aH5,S1aH4</t>
  </si>
  <si>
    <t>com_pkflx</t>
  </si>
  <si>
    <t>ncap_afs</t>
  </si>
  <si>
    <t>pset_ci</t>
  </si>
  <si>
    <t>hydro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</si>
  <si>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</si>
  <si>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</si>
  <si>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</si>
  <si>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</si>
  <si>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</si>
  <si>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</si>
  <si>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</si>
  <si>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</si>
  <si>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</si>
  <si>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</si>
  <si>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</si>
  <si>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</si>
  <si>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</si>
  <si>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</si>
  <si>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</si>
  <si>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</si>
  <si>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</si>
  <si>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</si>
  <si>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</si>
  <si>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</si>
  <si>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</si>
  <si>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SaD,FaP,SaP,RaD,FaD,RaP,WaD,WaP</t>
  </si>
  <si>
    <t>FaP,SaP,SaN,WaN,FaN,RaP,RaN,WaP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</si>
</sst>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8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0" borderId="0" xfId="0" quotePrefix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1035.42</c:v>
                </c:pt>
                <c:pt idx="3">
                  <c:v>1297.7263999999998</c:v>
                </c:pt>
                <c:pt idx="4">
                  <c:v>1580.7411999999999</c:v>
                </c:pt>
                <c:pt idx="5">
                  <c:v>1863.7560000000001</c:v>
                </c:pt>
                <c:pt idx="6">
                  <c:v>2105.3539999999998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220.73</c:v>
                </c:pt>
                <c:pt idx="3">
                  <c:v>286.86</c:v>
                </c:pt>
                <c:pt idx="4">
                  <c:v>360.55</c:v>
                </c:pt>
                <c:pt idx="5">
                  <c:v>471.06</c:v>
                </c:pt>
                <c:pt idx="6">
                  <c:v>581.75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63"/>
  <sheetViews>
    <sheetView workbookViewId="0">
      <selection activeCell="I5" sqref="I5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</cols>
  <sheetData>
    <row r="1" spans="1:38" x14ac:dyDescent="0.45">
      <c r="G1" s="17" t="s">
        <v>114</v>
      </c>
    </row>
    <row r="2" spans="1:38" x14ac:dyDescent="0.45">
      <c r="D2" s="1" t="str">
        <f>"~Inputcell: "&amp;_xlfn.TEXTJOIN(",",TRUE,G1:EE1)</f>
        <v>~Inputcell: 1-55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VLOOKUP(D3,$C$9:$E$1001,2,FALSE)</f>
        <v>s2_w</v>
      </c>
      <c r="E5" s="1" t="str">
        <f>VLOOKUP(D3,$C$9:$E$1001,3,FALSE)</f>
        <v>C1</v>
      </c>
    </row>
    <row r="7" spans="1:38" x14ac:dyDescent="0.45">
      <c r="B7" s="16" t="s">
        <v>131</v>
      </c>
    </row>
    <row r="8" spans="1:38" ht="14.65" thickBot="1" x14ac:dyDescent="0.5">
      <c r="A8" s="4" t="s">
        <v>136</v>
      </c>
      <c r="B8" s="4" t="s">
        <v>132</v>
      </c>
      <c r="C8" s="4" t="s">
        <v>133</v>
      </c>
      <c r="D8" s="4" t="s">
        <v>134</v>
      </c>
      <c r="E8" s="4" t="s">
        <v>135</v>
      </c>
    </row>
    <row r="9" spans="1:38" x14ac:dyDescent="0.45">
      <c r="A9">
        <v>5</v>
      </c>
      <c r="B9" t="str">
        <f>VLOOKUP(E9,$AK$9:$AL$15,2,FALSE)&amp;"."&amp;VLOOKUP(D9,$AH$9:$AI$19,2,FALSE)</f>
        <v>e 1.5 deg no OS.e3d</v>
      </c>
      <c r="C9">
        <v>1</v>
      </c>
      <c r="D9" t="s">
        <v>102</v>
      </c>
      <c r="E9" t="s">
        <v>0</v>
      </c>
      <c r="G9" t="s">
        <v>1</v>
      </c>
      <c r="AH9" t="s">
        <v>102</v>
      </c>
      <c r="AI9" t="s">
        <v>115</v>
      </c>
      <c r="AK9" t="s">
        <v>0</v>
      </c>
      <c r="AL9" t="s">
        <v>116</v>
      </c>
    </row>
    <row r="10" spans="1:38" x14ac:dyDescent="0.45">
      <c r="A10">
        <v>5</v>
      </c>
      <c r="B10" t="str">
        <f t="shared" ref="B10:B63" si="0">VLOOKUP(E10,$AK$9:$AL$15,2,FALSE)&amp;"."&amp;VLOOKUP(D10,$AH$9:$AI$19,2,FALSE)</f>
        <v>e 1.5 deg no OS.d9d</v>
      </c>
      <c r="C10">
        <v>2</v>
      </c>
      <c r="D10" t="s">
        <v>103</v>
      </c>
      <c r="E10" t="s">
        <v>0</v>
      </c>
      <c r="G10" t="s">
        <v>3</v>
      </c>
      <c r="S10" t="s">
        <v>4</v>
      </c>
      <c r="AH10" t="s">
        <v>103</v>
      </c>
      <c r="AI10" t="s">
        <v>117</v>
      </c>
      <c r="AK10" t="s">
        <v>2</v>
      </c>
      <c r="AL10" t="s">
        <v>118</v>
      </c>
    </row>
    <row r="11" spans="1:38" x14ac:dyDescent="0.45">
      <c r="A11">
        <v>5</v>
      </c>
      <c r="B11" t="str">
        <f t="shared" si="0"/>
        <v>e 1.5 deg no OS.b2w</v>
      </c>
      <c r="C11">
        <v>3</v>
      </c>
      <c r="D11" t="s">
        <v>104</v>
      </c>
      <c r="E11" t="s">
        <v>0</v>
      </c>
      <c r="G11" t="s">
        <v>6</v>
      </c>
      <c r="S11" s="1">
        <v>2022</v>
      </c>
      <c r="AH11" t="s">
        <v>104</v>
      </c>
      <c r="AI11" t="s">
        <v>119</v>
      </c>
      <c r="AK11" t="s">
        <v>5</v>
      </c>
      <c r="AL11" t="s">
        <v>120</v>
      </c>
    </row>
    <row r="12" spans="1:38" ht="14.65" customHeight="1" thickBot="1" x14ac:dyDescent="0.5">
      <c r="A12">
        <v>5</v>
      </c>
      <c r="B12" t="str">
        <f t="shared" si="0"/>
        <v>e 1.5 deg no OS.a2w2d</v>
      </c>
      <c r="C12">
        <v>4</v>
      </c>
      <c r="D12" t="s">
        <v>105</v>
      </c>
      <c r="E12" t="s">
        <v>0</v>
      </c>
      <c r="G12" t="s">
        <v>8</v>
      </c>
      <c r="S12" s="3">
        <f>SUMIFS(iea_data!I3:I9999,iea_data!$B$3:$B$9999,Veda!$S$11)+T28-T29</f>
        <v>690.28</v>
      </c>
      <c r="T12" s="2" t="s">
        <v>57</v>
      </c>
      <c r="AH12" t="s">
        <v>105</v>
      </c>
      <c r="AI12" t="s">
        <v>121</v>
      </c>
      <c r="AK12" t="s">
        <v>7</v>
      </c>
      <c r="AL12" t="s">
        <v>122</v>
      </c>
    </row>
    <row r="13" spans="1:38" ht="14.65" customHeight="1" thickTop="1" x14ac:dyDescent="0.45">
      <c r="A13">
        <v>5</v>
      </c>
      <c r="B13" t="str">
        <f t="shared" si="0"/>
        <v>e 1.5 deg no OS.hTS12c</v>
      </c>
      <c r="C13">
        <v>5</v>
      </c>
      <c r="D13" t="s">
        <v>106</v>
      </c>
      <c r="E13" t="s">
        <v>0</v>
      </c>
      <c r="G13" t="s">
        <v>10</v>
      </c>
      <c r="AH13" t="s">
        <v>106</v>
      </c>
      <c r="AI13" t="s">
        <v>123</v>
      </c>
      <c r="AK13" t="s">
        <v>9</v>
      </c>
      <c r="AL13" t="s">
        <v>124</v>
      </c>
    </row>
    <row r="14" spans="1:38" x14ac:dyDescent="0.45">
      <c r="A14">
        <v>5</v>
      </c>
      <c r="B14" t="str">
        <f t="shared" si="0"/>
        <v>e 1.5 deg no OS.gTS24c</v>
      </c>
      <c r="C14">
        <v>6</v>
      </c>
      <c r="D14" t="s">
        <v>107</v>
      </c>
      <c r="E14" t="str">
        <f t="shared" ref="E14:E63" si="1">E13</f>
        <v>C1</v>
      </c>
      <c r="T14" s="8">
        <f>S12</f>
        <v>690.28</v>
      </c>
      <c r="U14" s="8">
        <f t="shared" ref="U14:Z14" si="2">$S$12*J15</f>
        <v>807.62759999999992</v>
      </c>
      <c r="V14" s="8">
        <f t="shared" si="2"/>
        <v>1035.42</v>
      </c>
      <c r="W14" s="8">
        <f t="shared" si="2"/>
        <v>1297.7263999999998</v>
      </c>
      <c r="X14" s="8">
        <f t="shared" si="2"/>
        <v>1580.7411999999999</v>
      </c>
      <c r="Y14" s="8">
        <f t="shared" si="2"/>
        <v>1863.7560000000001</v>
      </c>
      <c r="Z14" s="8">
        <f t="shared" si="2"/>
        <v>2105.3539999999998</v>
      </c>
      <c r="AH14" t="s">
        <v>107</v>
      </c>
      <c r="AI14" t="s">
        <v>125</v>
      </c>
    </row>
    <row r="15" spans="1:38" x14ac:dyDescent="0.45">
      <c r="A15">
        <v>5</v>
      </c>
      <c r="B15" t="str">
        <f t="shared" si="0"/>
        <v>e 1.5 deg no OS.fTS48c</v>
      </c>
      <c r="C15">
        <v>7</v>
      </c>
      <c r="D15" t="s">
        <v>108</v>
      </c>
      <c r="E15" t="str">
        <f t="shared" si="1"/>
        <v>C1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1.5</v>
      </c>
      <c r="L15" s="11">
        <f>SUMIFS(ar6_r10!$F$2:$F$999,ar6_r10!$A$2:$A$999,Veda!$E$5,ar6_r10!$C$2:$C$999,Veda!L$17,ar6_r10!$M$2:$M$999,Veda!$G15)</f>
        <v>1.88</v>
      </c>
      <c r="M15" s="11">
        <f>SUMIFS(ar6_r10!$F$2:$F$999,ar6_r10!$A$2:$A$999,Veda!$E$5,ar6_r10!$C$2:$C$999,Veda!M$17,ar6_r10!$M$2:$M$999,Veda!$G15)</f>
        <v>2.29</v>
      </c>
      <c r="N15" s="11">
        <f>SUMIFS(ar6_r10!$F$2:$F$999,ar6_r10!$A$2:$A$999,Veda!$E$5,ar6_r10!$C$2:$C$999,Veda!N$17,ar6_r10!$M$2:$M$999,Veda!$G15)</f>
        <v>2.7</v>
      </c>
      <c r="O15" s="11">
        <f>SUMIFS(ar6_r10!$F$2:$F$999,ar6_r10!$A$2:$A$999,Veda!$E$5,ar6_r10!$C$2:$C$999,Veda!O$17,ar6_r10!$M$2:$M$999,Veda!$G15)</f>
        <v>3.05</v>
      </c>
      <c r="AH15" t="s">
        <v>108</v>
      </c>
      <c r="AI15" t="s">
        <v>126</v>
      </c>
    </row>
    <row r="16" spans="1:38" ht="17.649999999999999" customHeight="1" thickBot="1" x14ac:dyDescent="0.6">
      <c r="A16">
        <v>5</v>
      </c>
      <c r="B16" t="str">
        <f t="shared" si="0"/>
        <v>e 1.5 deg no OS.c15d</v>
      </c>
      <c r="C16">
        <v>8</v>
      </c>
      <c r="D16" t="s">
        <v>109</v>
      </c>
      <c r="E16" t="str">
        <f t="shared" si="1"/>
        <v>C1</v>
      </c>
      <c r="S16" s="5" t="s">
        <v>12</v>
      </c>
      <c r="AH16" t="s">
        <v>109</v>
      </c>
      <c r="AI16" t="s">
        <v>127</v>
      </c>
    </row>
    <row r="17" spans="1:35" ht="15" customHeight="1" thickTop="1" thickBot="1" x14ac:dyDescent="0.5">
      <c r="A17">
        <v>5</v>
      </c>
      <c r="B17" t="str">
        <f t="shared" si="0"/>
        <v>e 1.5 deg no OS.f1d</v>
      </c>
      <c r="C17">
        <v>9</v>
      </c>
      <c r="D17" t="s">
        <v>110</v>
      </c>
      <c r="E17" t="str">
        <f t="shared" si="1"/>
        <v>C1</v>
      </c>
      <c r="I17" s="7">
        <v>2020</v>
      </c>
      <c r="J17" s="7">
        <f t="shared" ref="J17:O17" si="3">U17</f>
        <v>2025</v>
      </c>
      <c r="K17" s="7">
        <f t="shared" si="3"/>
        <v>2030</v>
      </c>
      <c r="L17" s="7">
        <f t="shared" si="3"/>
        <v>2035</v>
      </c>
      <c r="M17" s="7">
        <f t="shared" si="3"/>
        <v>2040</v>
      </c>
      <c r="N17" s="7">
        <f t="shared" si="3"/>
        <v>2045</v>
      </c>
      <c r="O17" s="7">
        <f t="shared" si="3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H17" t="s">
        <v>112</v>
      </c>
      <c r="AI17" t="s">
        <v>128</v>
      </c>
    </row>
    <row r="18" spans="1:35" x14ac:dyDescent="0.45">
      <c r="A18">
        <v>5</v>
      </c>
      <c r="B18" t="str">
        <f t="shared" si="0"/>
        <v>e 1.5 deg no OS.jAnn</v>
      </c>
      <c r="C18">
        <v>10</v>
      </c>
      <c r="D18" t="s">
        <v>111</v>
      </c>
      <c r="E18" t="str">
        <f t="shared" si="1"/>
        <v>C1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0.01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0.04</v>
      </c>
      <c r="N18" s="11">
        <f>SUMIFS(ar6_r10!$F$2:$F$999,ar6_r10!$A$2:$A$999,Veda!$E$5,ar6_r10!$C$2:$C$999,Veda!N$17,ar6_r10!$M$2:$M$999,Veda!$G18)</f>
        <v>0.06</v>
      </c>
      <c r="O18" s="11">
        <f>SUMIFS(ar6_r10!$F$2:$F$999,ar6_r10!$A$2:$A$999,Veda!$E$5,ar6_r10!$C$2:$C$999,Veda!O$17,ar6_r10!$M$2:$M$999,Veda!$G18)</f>
        <v>7.0000000000000007E-2</v>
      </c>
      <c r="S18" s="10" t="s">
        <v>16</v>
      </c>
      <c r="T18" s="6">
        <f t="shared" ref="T18:Z20" si="4">I18*T$14</f>
        <v>0</v>
      </c>
      <c r="U18" s="6">
        <f t="shared" si="4"/>
        <v>8.076276</v>
      </c>
      <c r="V18" s="6">
        <f t="shared" si="4"/>
        <v>10.354200000000001</v>
      </c>
      <c r="W18" s="6">
        <f t="shared" si="4"/>
        <v>25.954527999999996</v>
      </c>
      <c r="X18" s="6">
        <f t="shared" si="4"/>
        <v>63.229647999999997</v>
      </c>
      <c r="Y18" s="6">
        <f t="shared" si="4"/>
        <v>111.82536</v>
      </c>
      <c r="Z18" s="6">
        <f t="shared" si="4"/>
        <v>147.37477999999999</v>
      </c>
      <c r="AA18" t="s">
        <v>17</v>
      </c>
      <c r="AC18" s="2"/>
      <c r="AH18" t="s">
        <v>111</v>
      </c>
      <c r="AI18" t="s">
        <v>129</v>
      </c>
    </row>
    <row r="19" spans="1:35" x14ac:dyDescent="0.45">
      <c r="A19">
        <v>5</v>
      </c>
      <c r="B19" t="str">
        <f t="shared" si="0"/>
        <v>e 1.5 deg no OS.iTS12</v>
      </c>
      <c r="C19">
        <v>11</v>
      </c>
      <c r="D19" t="s">
        <v>112</v>
      </c>
      <c r="E19" t="str">
        <f t="shared" si="1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0.46</v>
      </c>
      <c r="L19" s="11">
        <f>SUMIFS(ar6_r10!$F$2:$F$999,ar6_r10!$A$2:$A$999,Veda!$E$5,ar6_r10!$C$2:$C$999,Veda!L$17,ar6_r10!$M$2:$M$999,Veda!$G19)</f>
        <v>0.46</v>
      </c>
      <c r="M19" s="11">
        <f>SUMIFS(ar6_r10!$F$2:$F$999,ar6_r10!$A$2:$A$999,Veda!$E$5,ar6_r10!$C$2:$C$999,Veda!M$17,ar6_r10!$M$2:$M$999,Veda!$G19)</f>
        <v>0.46</v>
      </c>
      <c r="N19" s="11">
        <f>SUMIFS(ar6_r10!$F$2:$F$999,ar6_r10!$A$2:$A$999,Veda!$E$5,ar6_r10!$C$2:$C$999,Veda!N$17,ar6_r10!$M$2:$M$999,Veda!$G19)</f>
        <v>0.48</v>
      </c>
      <c r="O19" s="11">
        <f>SUMIFS(ar6_r10!$F$2:$F$999,ar6_r10!$A$2:$A$999,Veda!$E$5,ar6_r10!$C$2:$C$999,Veda!O$17,ar6_r10!$M$2:$M$999,Veda!$G19)</f>
        <v>0.49</v>
      </c>
      <c r="S19" s="10" t="s">
        <v>19</v>
      </c>
      <c r="T19" s="6">
        <f t="shared" si="4"/>
        <v>296.82040000000001</v>
      </c>
      <c r="U19" s="6">
        <f t="shared" si="4"/>
        <v>339.20359199999996</v>
      </c>
      <c r="V19" s="6">
        <f t="shared" si="4"/>
        <v>476.29320000000007</v>
      </c>
      <c r="W19" s="6">
        <f t="shared" si="4"/>
        <v>596.95414399999993</v>
      </c>
      <c r="X19" s="6">
        <f t="shared" si="4"/>
        <v>727.14095199999997</v>
      </c>
      <c r="Y19" s="6">
        <f t="shared" si="4"/>
        <v>894.60288000000003</v>
      </c>
      <c r="Z19" s="6">
        <f t="shared" si="4"/>
        <v>1031.6234599999998</v>
      </c>
      <c r="AA19" t="s">
        <v>17</v>
      </c>
      <c r="AH19" t="s">
        <v>110</v>
      </c>
      <c r="AI19" t="s">
        <v>130</v>
      </c>
    </row>
    <row r="20" spans="1:35" x14ac:dyDescent="0.45">
      <c r="A20">
        <v>5</v>
      </c>
      <c r="B20" t="str">
        <f t="shared" si="0"/>
        <v>d 1.5 deg OS.e3d</v>
      </c>
      <c r="C20">
        <v>12</v>
      </c>
      <c r="D20" t="str">
        <f>D9</f>
        <v>s1p1v1_d</v>
      </c>
      <c r="E20" t="s">
        <v>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0.52</v>
      </c>
      <c r="L20" s="11">
        <f>SUMIFS(ar6_r10!$F$2:$F$999,ar6_r10!$A$2:$A$999,Veda!$E$5,ar6_r10!$C$2:$C$999,Veda!L$17,ar6_r10!$M$2:$M$999,Veda!$G20)</f>
        <v>0.5</v>
      </c>
      <c r="M20" s="11">
        <f>SUMIFS(ar6_r10!$F$2:$F$999,ar6_r10!$A$2:$A$999,Veda!$E$5,ar6_r10!$C$2:$C$999,Veda!M$17,ar6_r10!$M$2:$M$999,Veda!$G20)</f>
        <v>0.46</v>
      </c>
      <c r="N20" s="11">
        <f>SUMIFS(ar6_r10!$F$2:$F$999,ar6_r10!$A$2:$A$999,Veda!$E$5,ar6_r10!$C$2:$C$999,Veda!N$17,ar6_r10!$M$2:$M$999,Veda!$G20)</f>
        <v>0.44</v>
      </c>
      <c r="O20" s="11">
        <f>SUMIFS(ar6_r10!$F$2:$F$999,ar6_r10!$A$2:$A$999,Veda!$E$5,ar6_r10!$C$2:$C$999,Veda!O$17,ar6_r10!$M$2:$M$999,Veda!$G20)</f>
        <v>0.43</v>
      </c>
      <c r="S20" s="10" t="s">
        <v>22</v>
      </c>
      <c r="T20" s="6">
        <f t="shared" si="4"/>
        <v>393.45959999999997</v>
      </c>
      <c r="U20" s="6">
        <f t="shared" si="4"/>
        <v>460.34773199999989</v>
      </c>
      <c r="V20" s="6">
        <f t="shared" si="4"/>
        <v>538.41840000000002</v>
      </c>
      <c r="W20" s="6">
        <f t="shared" si="4"/>
        <v>648.86319999999989</v>
      </c>
      <c r="X20" s="6">
        <f t="shared" si="4"/>
        <v>727.14095199999997</v>
      </c>
      <c r="Y20" s="6">
        <f t="shared" si="4"/>
        <v>820.05264</v>
      </c>
      <c r="Z20" s="6">
        <f t="shared" si="4"/>
        <v>905.30221999999992</v>
      </c>
      <c r="AA20" t="s">
        <v>17</v>
      </c>
    </row>
    <row r="21" spans="1:35" x14ac:dyDescent="0.45">
      <c r="A21">
        <v>5</v>
      </c>
      <c r="B21" t="str">
        <f t="shared" si="0"/>
        <v>d 1.5 deg OS.d9d</v>
      </c>
      <c r="C21">
        <v>13</v>
      </c>
      <c r="D21" t="str">
        <f t="shared" ref="D21:D63" si="5">D10</f>
        <v>s3p3v3_d</v>
      </c>
      <c r="E21" t="str">
        <f t="shared" si="1"/>
        <v>C2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0.04</v>
      </c>
      <c r="M21" s="11">
        <f>SUMIFS(ar6_r10!$F$2:$F$999,ar6_r10!$A$2:$A$999,Veda!$E$5,ar6_r10!$C$2:$C$999,Veda!M$17,ar6_r10!$M$2:$M$999,Veda!$G21)</f>
        <v>0.05</v>
      </c>
      <c r="N21" s="11">
        <f>SUMIFS(ar6_r10!$F$2:$F$999,ar6_r10!$A$2:$A$999,Veda!$E$5,ar6_r10!$C$2:$C$999,Veda!N$17,ar6_r10!$M$2:$M$999,Veda!$G21)</f>
        <v>7.0000000000000007E-2</v>
      </c>
      <c r="O21" s="11">
        <f>SUMIFS(ar6_r10!$F$2:$F$999,ar6_r10!$A$2:$A$999,Veda!$E$5,ar6_r10!$C$2:$C$999,Veda!O$17,ar6_r10!$M$2:$M$999,Veda!$G21)</f>
        <v>0.09</v>
      </c>
      <c r="S21" s="10" t="s">
        <v>24</v>
      </c>
      <c r="T21" s="6">
        <f>I21*T$14</f>
        <v>6.9028</v>
      </c>
      <c r="U21" s="6">
        <f t="shared" ref="U21:Z21" si="6">T21</f>
        <v>6.9028</v>
      </c>
      <c r="V21" s="6">
        <f t="shared" si="6"/>
        <v>6.9028</v>
      </c>
      <c r="W21" s="6">
        <f t="shared" si="6"/>
        <v>6.9028</v>
      </c>
      <c r="X21" s="6">
        <f t="shared" si="6"/>
        <v>6.9028</v>
      </c>
      <c r="Y21" s="6">
        <f t="shared" si="6"/>
        <v>6.9028</v>
      </c>
      <c r="Z21" s="6">
        <f t="shared" si="6"/>
        <v>6.9028</v>
      </c>
      <c r="AA21" t="s">
        <v>17</v>
      </c>
      <c r="AC21" s="2" t="s">
        <v>20</v>
      </c>
    </row>
    <row r="22" spans="1:35" x14ac:dyDescent="0.45">
      <c r="A22">
        <v>5</v>
      </c>
      <c r="B22" t="str">
        <f t="shared" si="0"/>
        <v>d 1.5 deg OS.b2w</v>
      </c>
      <c r="C22">
        <v>14</v>
      </c>
      <c r="D22" t="str">
        <f t="shared" si="5"/>
        <v>s2_w</v>
      </c>
      <c r="E22" t="str">
        <f t="shared" si="1"/>
        <v>C2</v>
      </c>
      <c r="S22" s="10" t="s">
        <v>25</v>
      </c>
      <c r="T22" s="6">
        <f t="shared" ref="T22:Z22" si="7">T14-SUM(T19:T21)</f>
        <v>-6.9027999999999565</v>
      </c>
      <c r="U22" s="6">
        <f t="shared" si="7"/>
        <v>1.1734760000001643</v>
      </c>
      <c r="V22" s="6">
        <f t="shared" si="7"/>
        <v>13.805600000000027</v>
      </c>
      <c r="W22" s="6">
        <f t="shared" si="7"/>
        <v>45.006255999999894</v>
      </c>
      <c r="X22" s="6">
        <f t="shared" si="7"/>
        <v>119.55649599999992</v>
      </c>
      <c r="Y22" s="6">
        <f t="shared" si="7"/>
        <v>142.19767999999999</v>
      </c>
      <c r="Z22" s="6">
        <f t="shared" si="7"/>
        <v>161.52551999999991</v>
      </c>
      <c r="AA22" t="s">
        <v>17</v>
      </c>
    </row>
    <row r="23" spans="1:35" x14ac:dyDescent="0.45">
      <c r="A23">
        <v>5</v>
      </c>
      <c r="B23" t="str">
        <f t="shared" si="0"/>
        <v>d 1.5 deg OS.a2w2d</v>
      </c>
      <c r="C23">
        <v>15</v>
      </c>
      <c r="D23" t="str">
        <f t="shared" si="5"/>
        <v>s2_w_p2_d</v>
      </c>
      <c r="E23" t="str">
        <f t="shared" si="1"/>
        <v>C2</v>
      </c>
      <c r="S23" t="s">
        <v>26</v>
      </c>
    </row>
    <row r="24" spans="1:35" ht="14.65" customHeight="1" x14ac:dyDescent="0.45">
      <c r="A24">
        <v>5</v>
      </c>
      <c r="B24" t="str">
        <f t="shared" si="0"/>
        <v>d 1.5 deg OS.hTS12c</v>
      </c>
      <c r="C24">
        <v>16</v>
      </c>
      <c r="D24" t="str">
        <f t="shared" si="5"/>
        <v>ts12_clu</v>
      </c>
      <c r="E24" t="str">
        <f t="shared" si="1"/>
        <v>C2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220.73</v>
      </c>
      <c r="L24" s="8">
        <f>SUMIFS(ar6_r10!$F$2:$F$999,ar6_r10!$A$2:$A$999,Veda!$E$5,ar6_r10!$C$2:$C$999,Veda!L$17,ar6_r10!$M$2:$M$999,Veda!$G24)</f>
        <v>286.86</v>
      </c>
      <c r="M24" s="8">
        <f>SUMIFS(ar6_r10!$F$2:$F$999,ar6_r10!$A$2:$A$999,Veda!$E$5,ar6_r10!$C$2:$C$999,Veda!M$17,ar6_r10!$M$2:$M$999,Veda!$G24)</f>
        <v>360.55</v>
      </c>
      <c r="N24" s="8">
        <f>SUMIFS(ar6_r10!$F$2:$F$999,ar6_r10!$A$2:$A$999,Veda!$E$5,ar6_r10!$C$2:$C$999,Veda!N$17,ar6_r10!$M$2:$M$999,Veda!$G24)</f>
        <v>471.06</v>
      </c>
      <c r="O24" s="8">
        <f>SUMIFS(ar6_r10!$F$2:$F$999,ar6_r10!$A$2:$A$999,Veda!$E$5,ar6_r10!$C$2:$C$999,Veda!O$17,ar6_r10!$M$2:$M$999,Veda!$G24)</f>
        <v>581.75</v>
      </c>
      <c r="S24" t="s">
        <v>28</v>
      </c>
      <c r="U24">
        <v>0</v>
      </c>
      <c r="V24" s="11">
        <f>K24/1000</f>
        <v>0.22072999999999998</v>
      </c>
      <c r="W24" s="11">
        <f>L24/1000</f>
        <v>0.28686</v>
      </c>
      <c r="X24" s="11">
        <f>M24/1000</f>
        <v>0.36055000000000004</v>
      </c>
      <c r="Y24" s="11">
        <f>N24/1000</f>
        <v>0.47105999999999998</v>
      </c>
      <c r="Z24" s="11">
        <f>O24/1000</f>
        <v>0.58174999999999999</v>
      </c>
      <c r="AA24" t="s">
        <v>29</v>
      </c>
    </row>
    <row r="25" spans="1:35" ht="14.65" customHeight="1" x14ac:dyDescent="0.45">
      <c r="A25">
        <v>5</v>
      </c>
      <c r="B25" t="str">
        <f t="shared" si="0"/>
        <v>d 1.5 deg OS.gTS24c</v>
      </c>
      <c r="C25">
        <v>17</v>
      </c>
      <c r="D25" t="str">
        <f t="shared" si="5"/>
        <v>ts24_clu</v>
      </c>
      <c r="E25" t="str">
        <f t="shared" si="1"/>
        <v>C2</v>
      </c>
    </row>
    <row r="26" spans="1:35" ht="17.649999999999999" customHeight="1" thickBot="1" x14ac:dyDescent="0.6">
      <c r="A26">
        <v>5</v>
      </c>
      <c r="B26" t="str">
        <f t="shared" si="0"/>
        <v>d 1.5 deg OS.fTS48c</v>
      </c>
      <c r="C26">
        <v>18</v>
      </c>
      <c r="D26" t="str">
        <f t="shared" si="5"/>
        <v>ts48_clu</v>
      </c>
      <c r="E26" t="str">
        <f t="shared" si="1"/>
        <v>C2</v>
      </c>
      <c r="S26" s="5" t="s">
        <v>12</v>
      </c>
    </row>
    <row r="27" spans="1:35" ht="15" customHeight="1" thickTop="1" thickBot="1" x14ac:dyDescent="0.5">
      <c r="A27">
        <v>5</v>
      </c>
      <c r="B27" t="str">
        <f t="shared" si="0"/>
        <v>d 1.5 deg OS.c15d</v>
      </c>
      <c r="C27">
        <v>19</v>
      </c>
      <c r="D27" t="str">
        <f t="shared" si="5"/>
        <v>s5p5v5_d</v>
      </c>
      <c r="E27" t="str">
        <f t="shared" si="1"/>
        <v>C2</v>
      </c>
      <c r="S27" s="4" t="s">
        <v>30</v>
      </c>
      <c r="T27" s="4">
        <f t="shared" ref="T27:Z27" si="8">T17</f>
        <v>2022</v>
      </c>
      <c r="U27" s="4">
        <f t="shared" si="8"/>
        <v>2025</v>
      </c>
      <c r="V27" s="4">
        <f t="shared" si="8"/>
        <v>2030</v>
      </c>
      <c r="W27" s="4">
        <f t="shared" si="8"/>
        <v>2035</v>
      </c>
      <c r="X27" s="4">
        <f t="shared" si="8"/>
        <v>2040</v>
      </c>
      <c r="Y27" s="4">
        <f t="shared" si="8"/>
        <v>2045</v>
      </c>
      <c r="Z27" s="4">
        <f t="shared" si="8"/>
        <v>2050</v>
      </c>
      <c r="AA27" s="4" t="s">
        <v>14</v>
      </c>
      <c r="AB27" s="4" t="s">
        <v>31</v>
      </c>
    </row>
    <row r="28" spans="1:35" ht="14.65" customHeight="1" thickBot="1" x14ac:dyDescent="0.5">
      <c r="A28">
        <v>5</v>
      </c>
      <c r="B28" t="str">
        <f t="shared" si="0"/>
        <v>d 1.5 deg OS.f1d</v>
      </c>
      <c r="C28">
        <v>20</v>
      </c>
      <c r="D28" t="str">
        <f t="shared" si="5"/>
        <v>s1_d</v>
      </c>
      <c r="E28" t="str">
        <f t="shared" si="1"/>
        <v>C2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</row>
    <row r="29" spans="1:35" ht="15" customHeight="1" thickTop="1" thickBot="1" x14ac:dyDescent="0.5">
      <c r="A29">
        <v>5</v>
      </c>
      <c r="B29" t="str">
        <f t="shared" si="0"/>
        <v>d 1.5 deg OS.jAnn</v>
      </c>
      <c r="C29">
        <v>21</v>
      </c>
      <c r="D29" t="str">
        <f t="shared" si="5"/>
        <v>ts_annual</v>
      </c>
      <c r="E29" t="str">
        <f t="shared" si="1"/>
        <v>C2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</row>
    <row r="30" spans="1:35" ht="14.65" customHeight="1" thickTop="1" x14ac:dyDescent="0.45">
      <c r="A30">
        <v>5</v>
      </c>
      <c r="B30" t="str">
        <f t="shared" si="0"/>
        <v>d 1.5 deg OS.iTS12</v>
      </c>
      <c r="C30">
        <v>22</v>
      </c>
      <c r="D30" t="str">
        <f t="shared" si="5"/>
        <v>ts_12</v>
      </c>
      <c r="E30" t="str">
        <f t="shared" si="1"/>
        <v>C2</v>
      </c>
    </row>
    <row r="31" spans="1:35" x14ac:dyDescent="0.45">
      <c r="A31">
        <v>5</v>
      </c>
      <c r="B31" t="str">
        <f t="shared" si="0"/>
        <v>c 2 deg (67%).e3d</v>
      </c>
      <c r="C31">
        <v>23</v>
      </c>
      <c r="D31" t="str">
        <f t="shared" si="5"/>
        <v>s1p1v1_d</v>
      </c>
      <c r="E31" t="s">
        <v>5</v>
      </c>
    </row>
    <row r="32" spans="1:35" x14ac:dyDescent="0.45">
      <c r="A32">
        <v>5</v>
      </c>
      <c r="B32" t="str">
        <f t="shared" si="0"/>
        <v>c 2 deg (67%).d9d</v>
      </c>
      <c r="C32">
        <v>24</v>
      </c>
      <c r="D32" t="str">
        <f t="shared" si="5"/>
        <v>s3p3v3_d</v>
      </c>
      <c r="E32" t="str">
        <f t="shared" si="1"/>
        <v>C3</v>
      </c>
    </row>
    <row r="33" spans="1:19" x14ac:dyDescent="0.45">
      <c r="A33">
        <v>5</v>
      </c>
      <c r="B33" t="str">
        <f t="shared" si="0"/>
        <v>c 2 deg (67%).b2w</v>
      </c>
      <c r="C33">
        <v>25</v>
      </c>
      <c r="D33" t="str">
        <f t="shared" si="5"/>
        <v>s2_w</v>
      </c>
      <c r="E33" t="str">
        <f t="shared" si="1"/>
        <v>C3</v>
      </c>
    </row>
    <row r="34" spans="1:19" x14ac:dyDescent="0.45">
      <c r="A34">
        <v>5</v>
      </c>
      <c r="B34" t="str">
        <f t="shared" si="0"/>
        <v>c 2 deg (67%).a2w2d</v>
      </c>
      <c r="C34">
        <v>26</v>
      </c>
      <c r="D34" t="str">
        <f t="shared" si="5"/>
        <v>s2_w_p2_d</v>
      </c>
      <c r="E34" t="str">
        <f t="shared" si="1"/>
        <v>C3</v>
      </c>
    </row>
    <row r="35" spans="1:19" x14ac:dyDescent="0.45">
      <c r="A35">
        <v>5</v>
      </c>
      <c r="B35" t="str">
        <f t="shared" si="0"/>
        <v>c 2 deg (67%).hTS12c</v>
      </c>
      <c r="C35">
        <v>27</v>
      </c>
      <c r="D35" t="str">
        <f t="shared" si="5"/>
        <v>ts12_clu</v>
      </c>
      <c r="E35" t="str">
        <f t="shared" si="1"/>
        <v>C3</v>
      </c>
    </row>
    <row r="36" spans="1:19" x14ac:dyDescent="0.45">
      <c r="A36">
        <v>5</v>
      </c>
      <c r="B36" t="str">
        <f t="shared" si="0"/>
        <v>c 2 deg (67%).gTS24c</v>
      </c>
      <c r="C36">
        <v>28</v>
      </c>
      <c r="D36" t="str">
        <f t="shared" si="5"/>
        <v>ts24_clu</v>
      </c>
      <c r="E36" t="str">
        <f t="shared" si="1"/>
        <v>C3</v>
      </c>
      <c r="G36" s="2" t="s">
        <v>9</v>
      </c>
    </row>
    <row r="37" spans="1:19" x14ac:dyDescent="0.45">
      <c r="A37">
        <v>5</v>
      </c>
      <c r="B37" t="str">
        <f t="shared" si="0"/>
        <v>c 2 deg (67%).fTS48c</v>
      </c>
      <c r="C37">
        <v>29</v>
      </c>
      <c r="D37" t="str">
        <f t="shared" si="5"/>
        <v>ts48_clu</v>
      </c>
      <c r="E37" t="str">
        <f t="shared" si="1"/>
        <v>C3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</row>
    <row r="38" spans="1:19" x14ac:dyDescent="0.45">
      <c r="A38">
        <v>5</v>
      </c>
      <c r="B38" t="str">
        <f t="shared" si="0"/>
        <v>c 2 deg (67%).c15d</v>
      </c>
      <c r="C38">
        <v>30</v>
      </c>
      <c r="D38" t="str">
        <f t="shared" si="5"/>
        <v>s5p5v5_d</v>
      </c>
      <c r="E38" t="str">
        <f t="shared" si="1"/>
        <v>C3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</row>
    <row r="39" spans="1:19" x14ac:dyDescent="0.45">
      <c r="A39">
        <v>5</v>
      </c>
      <c r="B39" t="str">
        <f t="shared" si="0"/>
        <v>c 2 deg (67%).f1d</v>
      </c>
      <c r="C39">
        <v>31</v>
      </c>
      <c r="D39" t="str">
        <f t="shared" si="5"/>
        <v>s1_d</v>
      </c>
      <c r="E39" t="str">
        <f t="shared" si="1"/>
        <v>C3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</row>
    <row r="40" spans="1:19" x14ac:dyDescent="0.45">
      <c r="A40">
        <v>5</v>
      </c>
      <c r="B40" t="str">
        <f t="shared" si="0"/>
        <v>c 2 deg (67%).jAnn</v>
      </c>
      <c r="C40">
        <v>32</v>
      </c>
      <c r="D40" t="str">
        <f t="shared" si="5"/>
        <v>ts_annual</v>
      </c>
      <c r="E40" t="str">
        <f t="shared" si="1"/>
        <v>C3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</row>
    <row r="41" spans="1:19" x14ac:dyDescent="0.45">
      <c r="A41">
        <v>5</v>
      </c>
      <c r="B41" t="str">
        <f t="shared" si="0"/>
        <v>c 2 deg (67%).iTS12</v>
      </c>
      <c r="C41">
        <v>33</v>
      </c>
      <c r="D41" t="str">
        <f t="shared" si="5"/>
        <v>ts_12</v>
      </c>
      <c r="E41" t="str">
        <f t="shared" si="1"/>
        <v>C3</v>
      </c>
    </row>
    <row r="42" spans="1:19" x14ac:dyDescent="0.45">
      <c r="A42">
        <v>5</v>
      </c>
      <c r="B42" t="str">
        <f t="shared" si="0"/>
        <v>b 2 deg (50%).e3d</v>
      </c>
      <c r="C42">
        <v>34</v>
      </c>
      <c r="D42" t="str">
        <f t="shared" si="5"/>
        <v>s1p1v1_d</v>
      </c>
      <c r="E42" t="s">
        <v>7</v>
      </c>
    </row>
    <row r="43" spans="1:19" x14ac:dyDescent="0.45">
      <c r="A43">
        <v>5</v>
      </c>
      <c r="B43" t="str">
        <f t="shared" si="0"/>
        <v>b 2 deg (50%).d9d</v>
      </c>
      <c r="C43">
        <v>35</v>
      </c>
      <c r="D43" t="str">
        <f t="shared" si="5"/>
        <v>s3p3v3_d</v>
      </c>
      <c r="E43" t="str">
        <f t="shared" si="1"/>
        <v>C4</v>
      </c>
      <c r="G43" t="s">
        <v>84</v>
      </c>
    </row>
    <row r="44" spans="1:19" x14ac:dyDescent="0.45">
      <c r="A44">
        <v>5</v>
      </c>
      <c r="B44" t="str">
        <f t="shared" si="0"/>
        <v>b 2 deg (50%).b2w</v>
      </c>
      <c r="C44">
        <v>36</v>
      </c>
      <c r="D44" t="str">
        <f t="shared" si="5"/>
        <v>s2_w</v>
      </c>
      <c r="E44" t="str">
        <f t="shared" si="1"/>
        <v>C4</v>
      </c>
      <c r="G44" t="s">
        <v>13</v>
      </c>
      <c r="H44" t="s">
        <v>113</v>
      </c>
      <c r="I44">
        <v>2022</v>
      </c>
      <c r="J44">
        <f>J17</f>
        <v>2025</v>
      </c>
      <c r="K44">
        <f t="shared" ref="K44:O44" si="9">K17</f>
        <v>2030</v>
      </c>
      <c r="L44">
        <f t="shared" si="9"/>
        <v>2035</v>
      </c>
      <c r="M44">
        <f t="shared" si="9"/>
        <v>2040</v>
      </c>
      <c r="N44">
        <f t="shared" si="9"/>
        <v>2045</v>
      </c>
      <c r="O44">
        <f t="shared" si="9"/>
        <v>2050</v>
      </c>
      <c r="R44" t="s">
        <v>82</v>
      </c>
      <c r="S44" t="s">
        <v>83</v>
      </c>
    </row>
    <row r="45" spans="1:19" x14ac:dyDescent="0.45">
      <c r="A45">
        <v>5</v>
      </c>
      <c r="B45" t="str">
        <f t="shared" si="0"/>
        <v>b 2 deg (50%).a2w2d</v>
      </c>
      <c r="C45">
        <v>37</v>
      </c>
      <c r="D45" t="str">
        <f t="shared" si="5"/>
        <v>s2_w_p2_d</v>
      </c>
      <c r="E45" t="str">
        <f t="shared" si="1"/>
        <v>C4</v>
      </c>
      <c r="G45" t="s">
        <v>78</v>
      </c>
      <c r="H45" t="str">
        <f>G45</f>
        <v>Gas</v>
      </c>
      <c r="I45">
        <f t="shared" ref="I45:O48" si="10">AVERAGE($R45:$S45)*I37</f>
        <v>17.149999999999999</v>
      </c>
      <c r="J45">
        <f t="shared" si="10"/>
        <v>17.6645</v>
      </c>
      <c r="K45">
        <f t="shared" si="10"/>
        <v>20.751499999999997</v>
      </c>
      <c r="L45">
        <f t="shared" si="10"/>
        <v>19.722499999999997</v>
      </c>
      <c r="M45">
        <f t="shared" si="10"/>
        <v>21.951999999999998</v>
      </c>
      <c r="N45">
        <f t="shared" si="10"/>
        <v>23.323999999999998</v>
      </c>
      <c r="O45">
        <f t="shared" si="10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</row>
    <row r="46" spans="1:19" x14ac:dyDescent="0.45">
      <c r="A46">
        <v>5</v>
      </c>
      <c r="B46" t="str">
        <f t="shared" si="0"/>
        <v>b 2 deg (50%).hTS12c</v>
      </c>
      <c r="C46">
        <v>38</v>
      </c>
      <c r="D46" t="str">
        <f t="shared" si="5"/>
        <v>ts12_clu</v>
      </c>
      <c r="E46" t="str">
        <f t="shared" si="1"/>
        <v>C4</v>
      </c>
      <c r="G46" t="s">
        <v>79</v>
      </c>
      <c r="H46" t="str">
        <f t="shared" ref="H46:H48" si="11">G46</f>
        <v>Coal</v>
      </c>
      <c r="I46">
        <f t="shared" si="10"/>
        <v>14.45</v>
      </c>
      <c r="J46">
        <f t="shared" si="10"/>
        <v>14.8835</v>
      </c>
      <c r="K46">
        <f t="shared" si="10"/>
        <v>15.606</v>
      </c>
      <c r="L46">
        <f t="shared" si="10"/>
        <v>15.750500000000001</v>
      </c>
      <c r="M46">
        <f t="shared" si="10"/>
        <v>15.895000000000001</v>
      </c>
      <c r="N46">
        <f t="shared" si="10"/>
        <v>16.184000000000001</v>
      </c>
      <c r="O46">
        <f t="shared" si="10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</row>
    <row r="47" spans="1:19" x14ac:dyDescent="0.45">
      <c r="A47">
        <v>5</v>
      </c>
      <c r="B47" t="str">
        <f t="shared" si="0"/>
        <v>b 2 deg (50%).gTS24c</v>
      </c>
      <c r="C47">
        <v>39</v>
      </c>
      <c r="D47" t="str">
        <f t="shared" si="5"/>
        <v>ts24_clu</v>
      </c>
      <c r="E47" t="str">
        <f t="shared" si="1"/>
        <v>C4</v>
      </c>
      <c r="G47" t="s">
        <v>80</v>
      </c>
      <c r="H47" t="str">
        <f t="shared" si="11"/>
        <v>Oil</v>
      </c>
      <c r="I47">
        <f t="shared" si="10"/>
        <v>50</v>
      </c>
      <c r="J47">
        <f t="shared" si="10"/>
        <v>52.5</v>
      </c>
      <c r="K47">
        <f t="shared" si="10"/>
        <v>62.5</v>
      </c>
      <c r="L47">
        <f t="shared" si="10"/>
        <v>59</v>
      </c>
      <c r="M47">
        <f t="shared" si="10"/>
        <v>65</v>
      </c>
      <c r="N47">
        <f t="shared" si="10"/>
        <v>70</v>
      </c>
      <c r="O47">
        <f t="shared" si="10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</row>
    <row r="48" spans="1:19" x14ac:dyDescent="0.45">
      <c r="A48">
        <v>5</v>
      </c>
      <c r="B48" t="str">
        <f t="shared" si="0"/>
        <v>b 2 deg (50%).fTS48c</v>
      </c>
      <c r="C48">
        <v>40</v>
      </c>
      <c r="D48" t="str">
        <f t="shared" si="5"/>
        <v>ts48_clu</v>
      </c>
      <c r="E48" t="str">
        <f t="shared" si="1"/>
        <v>C4</v>
      </c>
      <c r="G48" t="s">
        <v>81</v>
      </c>
      <c r="H48" t="str">
        <f t="shared" si="11"/>
        <v>Bioenergy</v>
      </c>
      <c r="I48">
        <f t="shared" si="10"/>
        <v>18</v>
      </c>
      <c r="J48">
        <f t="shared" si="10"/>
        <v>18.54</v>
      </c>
      <c r="K48">
        <f t="shared" si="10"/>
        <v>18.18</v>
      </c>
      <c r="L48">
        <f t="shared" si="10"/>
        <v>16.740000000000002</v>
      </c>
      <c r="M48">
        <f t="shared" si="10"/>
        <v>16.919999999999998</v>
      </c>
      <c r="N48">
        <f t="shared" si="10"/>
        <v>16.560000000000002</v>
      </c>
      <c r="O48">
        <f t="shared" si="10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</row>
    <row r="49" spans="1:5" x14ac:dyDescent="0.45">
      <c r="A49">
        <v>5</v>
      </c>
      <c r="B49" t="str">
        <f t="shared" si="0"/>
        <v>b 2 deg (50%).c15d</v>
      </c>
      <c r="C49">
        <v>41</v>
      </c>
      <c r="D49" t="str">
        <f t="shared" si="5"/>
        <v>s5p5v5_d</v>
      </c>
      <c r="E49" t="str">
        <f t="shared" si="1"/>
        <v>C4</v>
      </c>
    </row>
    <row r="50" spans="1:5" x14ac:dyDescent="0.45">
      <c r="A50">
        <v>5</v>
      </c>
      <c r="B50" t="str">
        <f t="shared" si="0"/>
        <v>b 2 deg (50%).f1d</v>
      </c>
      <c r="C50">
        <v>42</v>
      </c>
      <c r="D50" t="str">
        <f t="shared" si="5"/>
        <v>s1_d</v>
      </c>
      <c r="E50" t="str">
        <f t="shared" si="1"/>
        <v>C4</v>
      </c>
    </row>
    <row r="51" spans="1:5" x14ac:dyDescent="0.45">
      <c r="A51">
        <v>5</v>
      </c>
      <c r="B51" t="str">
        <f t="shared" si="0"/>
        <v>b 2 deg (50%).jAnn</v>
      </c>
      <c r="C51">
        <v>43</v>
      </c>
      <c r="D51" t="str">
        <f t="shared" si="5"/>
        <v>ts_annual</v>
      </c>
      <c r="E51" t="str">
        <f t="shared" si="1"/>
        <v>C4</v>
      </c>
    </row>
    <row r="52" spans="1:5" x14ac:dyDescent="0.45">
      <c r="A52">
        <v>5</v>
      </c>
      <c r="B52" t="str">
        <f t="shared" si="0"/>
        <v>b 2 deg (50%).iTS12</v>
      </c>
      <c r="C52">
        <v>44</v>
      </c>
      <c r="D52" t="str">
        <f t="shared" si="5"/>
        <v>ts_12</v>
      </c>
      <c r="E52" t="str">
        <f t="shared" si="1"/>
        <v>C4</v>
      </c>
    </row>
    <row r="53" spans="1:5" x14ac:dyDescent="0.45">
      <c r="A53">
        <v>5</v>
      </c>
      <c r="B53" t="str">
        <f t="shared" si="0"/>
        <v>a 3 deg.e3d</v>
      </c>
      <c r="C53">
        <v>45</v>
      </c>
      <c r="D53" t="str">
        <f t="shared" si="5"/>
        <v>s1p1v1_d</v>
      </c>
      <c r="E53" t="s">
        <v>9</v>
      </c>
    </row>
    <row r="54" spans="1:5" x14ac:dyDescent="0.45">
      <c r="A54">
        <v>5</v>
      </c>
      <c r="B54" t="str">
        <f t="shared" si="0"/>
        <v>a 3 deg.d9d</v>
      </c>
      <c r="C54">
        <v>46</v>
      </c>
      <c r="D54" t="str">
        <f t="shared" si="5"/>
        <v>s3p3v3_d</v>
      </c>
      <c r="E54" t="str">
        <f t="shared" si="1"/>
        <v>C7</v>
      </c>
    </row>
    <row r="55" spans="1:5" x14ac:dyDescent="0.45">
      <c r="A55">
        <v>5</v>
      </c>
      <c r="B55" t="str">
        <f t="shared" si="0"/>
        <v>a 3 deg.b2w</v>
      </c>
      <c r="C55">
        <v>47</v>
      </c>
      <c r="D55" t="str">
        <f t="shared" si="5"/>
        <v>s2_w</v>
      </c>
      <c r="E55" t="str">
        <f t="shared" si="1"/>
        <v>C7</v>
      </c>
    </row>
    <row r="56" spans="1:5" x14ac:dyDescent="0.45">
      <c r="A56">
        <v>5</v>
      </c>
      <c r="B56" t="str">
        <f t="shared" si="0"/>
        <v>a 3 deg.a2w2d</v>
      </c>
      <c r="C56">
        <v>48</v>
      </c>
      <c r="D56" t="str">
        <f t="shared" si="5"/>
        <v>s2_w_p2_d</v>
      </c>
      <c r="E56" t="str">
        <f t="shared" si="1"/>
        <v>C7</v>
      </c>
    </row>
    <row r="57" spans="1:5" x14ac:dyDescent="0.45">
      <c r="A57">
        <v>5</v>
      </c>
      <c r="B57" t="str">
        <f t="shared" si="0"/>
        <v>a 3 deg.hTS12c</v>
      </c>
      <c r="C57">
        <v>49</v>
      </c>
      <c r="D57" t="str">
        <f t="shared" si="5"/>
        <v>ts12_clu</v>
      </c>
      <c r="E57" t="str">
        <f t="shared" si="1"/>
        <v>C7</v>
      </c>
    </row>
    <row r="58" spans="1:5" x14ac:dyDescent="0.45">
      <c r="A58">
        <v>5</v>
      </c>
      <c r="B58" t="str">
        <f t="shared" si="0"/>
        <v>a 3 deg.gTS24c</v>
      </c>
      <c r="C58">
        <v>50</v>
      </c>
      <c r="D58" t="str">
        <f t="shared" si="5"/>
        <v>ts24_clu</v>
      </c>
      <c r="E58" t="str">
        <f t="shared" si="1"/>
        <v>C7</v>
      </c>
    </row>
    <row r="59" spans="1:5" x14ac:dyDescent="0.45">
      <c r="A59">
        <v>5</v>
      </c>
      <c r="B59" t="str">
        <f t="shared" si="0"/>
        <v>a 3 deg.fTS48c</v>
      </c>
      <c r="C59">
        <v>51</v>
      </c>
      <c r="D59" t="str">
        <f t="shared" si="5"/>
        <v>ts48_clu</v>
      </c>
      <c r="E59" t="str">
        <f t="shared" si="1"/>
        <v>C7</v>
      </c>
    </row>
    <row r="60" spans="1:5" x14ac:dyDescent="0.45">
      <c r="A60">
        <v>5</v>
      </c>
      <c r="B60" t="str">
        <f t="shared" si="0"/>
        <v>a 3 deg.c15d</v>
      </c>
      <c r="C60">
        <v>52</v>
      </c>
      <c r="D60" t="str">
        <f t="shared" si="5"/>
        <v>s5p5v5_d</v>
      </c>
      <c r="E60" t="str">
        <f t="shared" si="1"/>
        <v>C7</v>
      </c>
    </row>
    <row r="61" spans="1:5" x14ac:dyDescent="0.45">
      <c r="A61">
        <v>5</v>
      </c>
      <c r="B61" t="str">
        <f t="shared" si="0"/>
        <v>a 3 deg.f1d</v>
      </c>
      <c r="C61">
        <v>53</v>
      </c>
      <c r="D61" t="str">
        <f t="shared" si="5"/>
        <v>s1_d</v>
      </c>
      <c r="E61" t="str">
        <f t="shared" si="1"/>
        <v>C7</v>
      </c>
    </row>
    <row r="62" spans="1:5" x14ac:dyDescent="0.45">
      <c r="A62">
        <v>5</v>
      </c>
      <c r="B62" t="str">
        <f t="shared" si="0"/>
        <v>a 3 deg.jAnn</v>
      </c>
      <c r="C62">
        <v>54</v>
      </c>
      <c r="D62" t="str">
        <f t="shared" si="5"/>
        <v>ts_annual</v>
      </c>
      <c r="E62" t="str">
        <f t="shared" si="1"/>
        <v>C7</v>
      </c>
    </row>
    <row r="63" spans="1:5" x14ac:dyDescent="0.45">
      <c r="A63">
        <v>5</v>
      </c>
      <c r="B63" t="str">
        <f t="shared" si="0"/>
        <v>a 3 deg.iTS12</v>
      </c>
      <c r="C63">
        <v>55</v>
      </c>
      <c r="D63" t="str">
        <f t="shared" si="5"/>
        <v>ts_12</v>
      </c>
      <c r="E63" t="str">
        <f t="shared" si="1"/>
        <v>C7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137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137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137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137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137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137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137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137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137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137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137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137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137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137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137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137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137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137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137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137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137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137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137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137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138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138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138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138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138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138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138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138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138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138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138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138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138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138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138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138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138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138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138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138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138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138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138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138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138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138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138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138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138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138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138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138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138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138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138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138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138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138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138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138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138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138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138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138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138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138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138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138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138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138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138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138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138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138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138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138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138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138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138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138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138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138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138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138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138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138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138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138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138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138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138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138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138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138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138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138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138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138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138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138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138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138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138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138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138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138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138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138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138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138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138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138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138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138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138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138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138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138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138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138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138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138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138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138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138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138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138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138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138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138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138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138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138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138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138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138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138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138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138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138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138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138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138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138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138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138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138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138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138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138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138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138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138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138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138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138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138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138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138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138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138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138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138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138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138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138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138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138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138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138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138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138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138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138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138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138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138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138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138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138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138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138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138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138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138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138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138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138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138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138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138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138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138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138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138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138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138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138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138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138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138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138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138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138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138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138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138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138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138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138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138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138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138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138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138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138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138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138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138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138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138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138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138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138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138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138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138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138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138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138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138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138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138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138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138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138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138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138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138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138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138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138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138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138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138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138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138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138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138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138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138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138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138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138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138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138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138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138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138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138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138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138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138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138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138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138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138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138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138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138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138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138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138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138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138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138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138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138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138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138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138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138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138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138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138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138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138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138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138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138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138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138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138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138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138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138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138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138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138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138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138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138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138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138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138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138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138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138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138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138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138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138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138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138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138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138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138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138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138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138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138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138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138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138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138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138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138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138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138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138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138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138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138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138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138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138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138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138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138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138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138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138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138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138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138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138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138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138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138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138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138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138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138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138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138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138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138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138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138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138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138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138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138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138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138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138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138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138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138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138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0" x14ac:dyDescent="0.45">
      <c r="A10" t="str">
        <f>IFERROR(Veda!D5,"ts_12")</f>
        <v>s2_w</v>
      </c>
      <c r="B10" s="15"/>
      <c r="C10" s="15" t="s">
        <v>176</v>
      </c>
      <c r="D10" t="s">
        <v>106</v>
      </c>
      <c r="F10" t="s">
        <v>176</v>
      </c>
      <c r="G10" t="s">
        <v>111</v>
      </c>
      <c r="I10" t="s">
        <v>176</v>
      </c>
      <c r="J10" t="s">
        <v>112</v>
      </c>
    </row>
    <row r="11" spans="1:10" x14ac:dyDescent="0.45">
      <c r="B11" s="15"/>
      <c r="C11" s="15" t="s">
        <v>177</v>
      </c>
      <c r="D11" t="s">
        <v>178</v>
      </c>
      <c r="F11" t="s">
        <v>177</v>
      </c>
      <c r="G11" t="s">
        <v>187</v>
      </c>
      <c r="I11" t="s">
        <v>177</v>
      </c>
      <c r="J11" t="s">
        <v>206</v>
      </c>
    </row>
    <row r="12" spans="1:10" x14ac:dyDescent="0.45">
      <c r="B12" s="15"/>
      <c r="C12" s="15" t="s">
        <v>179</v>
      </c>
      <c r="D12" t="s">
        <v>180</v>
      </c>
      <c r="F12" t="s">
        <v>179</v>
      </c>
      <c r="G12" t="s">
        <v>187</v>
      </c>
      <c r="I12" t="s">
        <v>179</v>
      </c>
      <c r="J12" t="s">
        <v>207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F13C5-91B8-4765-B22A-FB3892CE9C7F}">
  <dimension ref="A9:AN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47</v>
      </c>
      <c r="AL10" t="s">
        <v>134</v>
      </c>
      <c r="AM10" t="s">
        <v>182</v>
      </c>
      <c r="AN10" t="s">
        <v>183</v>
      </c>
    </row>
    <row r="11" spans="1:40" x14ac:dyDescent="0.45">
      <c r="A11" t="str">
        <f>IFERROR(IF(Veda!D5=A10,"ok","x"),"")</f>
        <v>x</v>
      </c>
      <c r="C11" t="s">
        <v>145</v>
      </c>
      <c r="D11" t="s">
        <v>146</v>
      </c>
      <c r="E11" t="s">
        <v>147</v>
      </c>
      <c r="F11" t="s">
        <v>148</v>
      </c>
      <c r="G11" t="s">
        <v>146</v>
      </c>
      <c r="I11" t="s">
        <v>156</v>
      </c>
      <c r="J11" t="s">
        <v>157</v>
      </c>
      <c r="K11">
        <v>7.0648575487868519E-5</v>
      </c>
      <c r="L11" t="s">
        <v>158</v>
      </c>
      <c r="N11" t="s">
        <v>173</v>
      </c>
      <c r="O11" t="s">
        <v>157</v>
      </c>
      <c r="P11">
        <v>2.1294414932573183E-2</v>
      </c>
      <c r="Q11" t="s">
        <v>158</v>
      </c>
      <c r="S11" t="s">
        <v>174</v>
      </c>
      <c r="T11" t="s">
        <v>157</v>
      </c>
      <c r="U11">
        <v>2.172693153074411E-2</v>
      </c>
      <c r="V11" t="s">
        <v>158</v>
      </c>
      <c r="X11">
        <v>2.4771689497716895E-2</v>
      </c>
      <c r="Y11">
        <v>9.7827942553597048E-3</v>
      </c>
      <c r="Z11" t="s">
        <v>157</v>
      </c>
      <c r="AA11" t="s">
        <v>25</v>
      </c>
      <c r="AC11" t="s">
        <v>22</v>
      </c>
      <c r="AD11" t="s">
        <v>157</v>
      </c>
      <c r="AE11">
        <v>2.3582380218947471E-2</v>
      </c>
      <c r="AG11" t="s">
        <v>97</v>
      </c>
      <c r="AH11" t="s">
        <v>157</v>
      </c>
      <c r="AI11">
        <v>0.19756037558773065</v>
      </c>
      <c r="AK11">
        <v>2020</v>
      </c>
      <c r="AL11" t="s">
        <v>145</v>
      </c>
      <c r="AM11">
        <v>0.46683481569980972</v>
      </c>
      <c r="AN11" t="s">
        <v>184</v>
      </c>
    </row>
    <row r="12" spans="1:40" x14ac:dyDescent="0.45">
      <c r="C12" t="s">
        <v>149</v>
      </c>
      <c r="E12" t="s">
        <v>150</v>
      </c>
      <c r="G12" t="s">
        <v>146</v>
      </c>
      <c r="I12" t="s">
        <v>156</v>
      </c>
      <c r="J12" t="s">
        <v>159</v>
      </c>
      <c r="K12">
        <v>3.3516628428186049E-3</v>
      </c>
      <c r="L12" t="s">
        <v>158</v>
      </c>
      <c r="N12" t="s">
        <v>173</v>
      </c>
      <c r="O12" t="s">
        <v>159</v>
      </c>
      <c r="P12">
        <v>2.3263313505789383E-3</v>
      </c>
      <c r="Q12" t="s">
        <v>158</v>
      </c>
      <c r="S12" t="s">
        <v>174</v>
      </c>
      <c r="T12" t="s">
        <v>159</v>
      </c>
      <c r="U12">
        <v>2.6537351845133637E-3</v>
      </c>
      <c r="V12" t="s">
        <v>158</v>
      </c>
      <c r="X12">
        <v>3.5388127853881279E-3</v>
      </c>
      <c r="Y12">
        <v>5.9087255218821738E-3</v>
      </c>
      <c r="Z12" t="s">
        <v>159</v>
      </c>
      <c r="AA12" t="s">
        <v>25</v>
      </c>
      <c r="AC12" t="s">
        <v>22</v>
      </c>
      <c r="AD12" t="s">
        <v>159</v>
      </c>
      <c r="AE12">
        <v>2.9526519004617622E-3</v>
      </c>
      <c r="AG12" t="s">
        <v>97</v>
      </c>
      <c r="AH12" t="s">
        <v>159</v>
      </c>
      <c r="AI12">
        <v>5.3223687573688006E-2</v>
      </c>
      <c r="AK12">
        <v>2020</v>
      </c>
      <c r="AL12" t="s">
        <v>149</v>
      </c>
      <c r="AM12">
        <v>0.5001238484258026</v>
      </c>
      <c r="AN12" t="s">
        <v>184</v>
      </c>
    </row>
    <row r="13" spans="1:40" x14ac:dyDescent="0.45">
      <c r="C13" t="s">
        <v>151</v>
      </c>
      <c r="E13" t="s">
        <v>152</v>
      </c>
      <c r="G13" t="s">
        <v>146</v>
      </c>
      <c r="I13" t="s">
        <v>156</v>
      </c>
      <c r="J13" t="s">
        <v>160</v>
      </c>
      <c r="K13">
        <v>7.3692840122664194E-2</v>
      </c>
      <c r="L13" t="s">
        <v>158</v>
      </c>
      <c r="N13" t="s">
        <v>173</v>
      </c>
      <c r="O13" t="s">
        <v>160</v>
      </c>
      <c r="P13">
        <v>1.9311286255203307E-2</v>
      </c>
      <c r="Q13" t="s">
        <v>158</v>
      </c>
      <c r="S13" t="s">
        <v>174</v>
      </c>
      <c r="T13" t="s">
        <v>160</v>
      </c>
      <c r="U13">
        <v>2.9882764575990216E-2</v>
      </c>
      <c r="V13" t="s">
        <v>158</v>
      </c>
      <c r="X13">
        <v>3.5388127853881277E-2</v>
      </c>
      <c r="Y13">
        <v>5.0537586289767886E-2</v>
      </c>
      <c r="Z13" t="s">
        <v>160</v>
      </c>
      <c r="AA13" t="s">
        <v>25</v>
      </c>
      <c r="AC13" t="s">
        <v>22</v>
      </c>
      <c r="AD13" t="s">
        <v>160</v>
      </c>
      <c r="AE13">
        <v>3.8087316472760903E-2</v>
      </c>
      <c r="AG13" t="s">
        <v>97</v>
      </c>
      <c r="AH13" t="s">
        <v>160</v>
      </c>
      <c r="AI13">
        <v>0.22197418450607564</v>
      </c>
      <c r="AK13">
        <v>2020</v>
      </c>
      <c r="AL13" t="s">
        <v>151</v>
      </c>
      <c r="AM13">
        <v>0.3986997676615211</v>
      </c>
      <c r="AN13" t="s">
        <v>184</v>
      </c>
    </row>
    <row r="14" spans="1:40" x14ac:dyDescent="0.45">
      <c r="E14" t="s">
        <v>153</v>
      </c>
      <c r="G14" t="s">
        <v>146</v>
      </c>
      <c r="I14" t="s">
        <v>156</v>
      </c>
      <c r="J14" t="s">
        <v>161</v>
      </c>
      <c r="K14">
        <v>3.1592168775253682E-3</v>
      </c>
      <c r="L14" t="s">
        <v>158</v>
      </c>
      <c r="N14" t="s">
        <v>173</v>
      </c>
      <c r="O14" t="s">
        <v>161</v>
      </c>
      <c r="P14">
        <v>2.4013871213507338E-3</v>
      </c>
      <c r="Q14" t="s">
        <v>158</v>
      </c>
      <c r="S14" t="s">
        <v>174</v>
      </c>
      <c r="T14" t="s">
        <v>161</v>
      </c>
      <c r="U14">
        <v>3.4833187241711081E-3</v>
      </c>
      <c r="V14" t="s">
        <v>158</v>
      </c>
      <c r="X14">
        <v>3.5388127853881279E-3</v>
      </c>
      <c r="Y14">
        <v>5.3435430806586613E-3</v>
      </c>
      <c r="Z14" t="s">
        <v>161</v>
      </c>
      <c r="AA14" t="s">
        <v>25</v>
      </c>
      <c r="AC14" t="s">
        <v>22</v>
      </c>
      <c r="AD14" t="s">
        <v>161</v>
      </c>
      <c r="AE14">
        <v>4.1413882344887411E-3</v>
      </c>
      <c r="AG14" t="s">
        <v>97</v>
      </c>
      <c r="AH14" t="s">
        <v>161</v>
      </c>
      <c r="AI14">
        <v>0.1513823981439868</v>
      </c>
      <c r="AK14">
        <v>2021</v>
      </c>
      <c r="AL14" t="s">
        <v>145</v>
      </c>
      <c r="AM14">
        <v>0.4216692305727629</v>
      </c>
      <c r="AN14" t="s">
        <v>184</v>
      </c>
    </row>
    <row r="15" spans="1:40" x14ac:dyDescent="0.45">
      <c r="E15" t="s">
        <v>154</v>
      </c>
      <c r="G15" t="s">
        <v>146</v>
      </c>
      <c r="I15" t="s">
        <v>156</v>
      </c>
      <c r="J15" t="s">
        <v>162</v>
      </c>
      <c r="K15">
        <v>4.3446941077618064E-4</v>
      </c>
      <c r="L15" t="s">
        <v>158</v>
      </c>
      <c r="N15" t="s">
        <v>173</v>
      </c>
      <c r="O15" t="s">
        <v>162</v>
      </c>
      <c r="P15">
        <v>1.6834578124387482E-2</v>
      </c>
      <c r="Q15" t="s">
        <v>158</v>
      </c>
      <c r="S15" t="s">
        <v>174</v>
      </c>
      <c r="T15" t="s">
        <v>162</v>
      </c>
      <c r="U15">
        <v>1.8435187638045934E-2</v>
      </c>
      <c r="V15" t="s">
        <v>158</v>
      </c>
      <c r="X15">
        <v>1.7694063926940638E-2</v>
      </c>
      <c r="Y15">
        <v>1.3358857701646654E-2</v>
      </c>
      <c r="Z15" t="s">
        <v>162</v>
      </c>
      <c r="AA15" t="s">
        <v>25</v>
      </c>
      <c r="AC15" t="s">
        <v>22</v>
      </c>
      <c r="AD15" t="s">
        <v>162</v>
      </c>
      <c r="AE15">
        <v>2.0669499026414545E-2</v>
      </c>
      <c r="AG15" t="s">
        <v>97</v>
      </c>
      <c r="AH15" t="s">
        <v>162</v>
      </c>
      <c r="AI15">
        <v>0.12100710982770413</v>
      </c>
      <c r="AK15">
        <v>2021</v>
      </c>
      <c r="AL15" t="s">
        <v>149</v>
      </c>
      <c r="AM15">
        <v>0.48848366565878643</v>
      </c>
      <c r="AN15" t="s">
        <v>184</v>
      </c>
    </row>
    <row r="16" spans="1:40" x14ac:dyDescent="0.45">
      <c r="I16" t="s">
        <v>156</v>
      </c>
      <c r="J16" t="s">
        <v>163</v>
      </c>
      <c r="K16">
        <v>5.7355909198371093E-5</v>
      </c>
      <c r="L16" t="s">
        <v>158</v>
      </c>
      <c r="N16" t="s">
        <v>173</v>
      </c>
      <c r="O16" t="s">
        <v>163</v>
      </c>
      <c r="P16">
        <v>4.8759749036692182E-2</v>
      </c>
      <c r="Q16" t="s">
        <v>158</v>
      </c>
      <c r="S16" t="s">
        <v>174</v>
      </c>
      <c r="T16" t="s">
        <v>163</v>
      </c>
      <c r="U16">
        <v>4.4781923343701263E-2</v>
      </c>
      <c r="V16" t="s">
        <v>158</v>
      </c>
      <c r="X16">
        <v>4.714611872146119E-2</v>
      </c>
      <c r="Y16">
        <v>1.861886648600718E-2</v>
      </c>
      <c r="Z16" t="s">
        <v>163</v>
      </c>
      <c r="AA16" t="s">
        <v>25</v>
      </c>
      <c r="AC16" t="s">
        <v>22</v>
      </c>
      <c r="AD16" t="s">
        <v>163</v>
      </c>
      <c r="AE16">
        <v>4.7132302382894099E-2</v>
      </c>
      <c r="AG16" t="s">
        <v>97</v>
      </c>
      <c r="AH16" t="s">
        <v>163</v>
      </c>
      <c r="AI16">
        <v>0.17448571917839417</v>
      </c>
      <c r="AK16">
        <v>2021</v>
      </c>
      <c r="AL16" t="s">
        <v>151</v>
      </c>
      <c r="AM16">
        <v>0.3636038703594191</v>
      </c>
      <c r="AN16" t="s">
        <v>184</v>
      </c>
    </row>
    <row r="17" spans="9:40" x14ac:dyDescent="0.45">
      <c r="I17" t="s">
        <v>156</v>
      </c>
      <c r="J17" t="s">
        <v>164</v>
      </c>
      <c r="K17">
        <v>8.307495819806672E-3</v>
      </c>
      <c r="L17" t="s">
        <v>158</v>
      </c>
      <c r="N17" t="s">
        <v>173</v>
      </c>
      <c r="O17" t="s">
        <v>164</v>
      </c>
      <c r="P17">
        <v>5.8998067282004978E-3</v>
      </c>
      <c r="Q17" t="s">
        <v>158</v>
      </c>
      <c r="S17" t="s">
        <v>174</v>
      </c>
      <c r="T17" t="s">
        <v>164</v>
      </c>
      <c r="U17">
        <v>5.6464584531644565E-3</v>
      </c>
      <c r="V17" t="s">
        <v>158</v>
      </c>
      <c r="X17">
        <v>6.735159817351598E-3</v>
      </c>
      <c r="Y17">
        <v>1.124563889648543E-2</v>
      </c>
      <c r="Z17" t="s">
        <v>164</v>
      </c>
      <c r="AA17" t="s">
        <v>25</v>
      </c>
      <c r="AC17" t="s">
        <v>22</v>
      </c>
      <c r="AD17" t="s">
        <v>164</v>
      </c>
      <c r="AE17">
        <v>5.5926778288146106E-3</v>
      </c>
      <c r="AG17" t="s">
        <v>97</v>
      </c>
      <c r="AH17" t="s">
        <v>164</v>
      </c>
      <c r="AI17">
        <v>6.0537117070712299E-2</v>
      </c>
      <c r="AK17">
        <v>2022</v>
      </c>
      <c r="AL17" t="s">
        <v>145</v>
      </c>
      <c r="AM17">
        <v>0.47973343518028871</v>
      </c>
      <c r="AN17" t="s">
        <v>184</v>
      </c>
    </row>
    <row r="18" spans="9:40" x14ac:dyDescent="0.45">
      <c r="I18" t="s">
        <v>156</v>
      </c>
      <c r="J18" t="s">
        <v>165</v>
      </c>
      <c r="K18">
        <v>0.16523379819596712</v>
      </c>
      <c r="L18" t="s">
        <v>158</v>
      </c>
      <c r="N18" t="s">
        <v>173</v>
      </c>
      <c r="O18" t="s">
        <v>165</v>
      </c>
      <c r="P18">
        <v>4.7843806794161871E-2</v>
      </c>
      <c r="Q18" t="s">
        <v>158</v>
      </c>
      <c r="S18" t="s">
        <v>174</v>
      </c>
      <c r="T18" t="s">
        <v>165</v>
      </c>
      <c r="U18">
        <v>5.797874760083202E-2</v>
      </c>
      <c r="V18" t="s">
        <v>158</v>
      </c>
      <c r="X18">
        <v>6.7351598173515978E-2</v>
      </c>
      <c r="Y18">
        <v>9.6184438422461452E-2</v>
      </c>
      <c r="Z18" t="s">
        <v>165</v>
      </c>
      <c r="AA18" t="s">
        <v>25</v>
      </c>
      <c r="AC18" t="s">
        <v>22</v>
      </c>
      <c r="AD18" t="s">
        <v>165</v>
      </c>
      <c r="AE18">
        <v>7.3330339437558678E-2</v>
      </c>
      <c r="AG18" t="s">
        <v>97</v>
      </c>
      <c r="AH18" t="s">
        <v>165</v>
      </c>
      <c r="AI18">
        <v>0.25851050443010148</v>
      </c>
      <c r="AK18">
        <v>2022</v>
      </c>
      <c r="AL18" t="s">
        <v>149</v>
      </c>
      <c r="AM18">
        <v>0.52256896353934956</v>
      </c>
      <c r="AN18" t="s">
        <v>184</v>
      </c>
    </row>
    <row r="19" spans="9:40" x14ac:dyDescent="0.45">
      <c r="I19" t="s">
        <v>156</v>
      </c>
      <c r="J19" t="s">
        <v>166</v>
      </c>
      <c r="K19">
        <v>8.4952697916661039E-3</v>
      </c>
      <c r="L19" t="s">
        <v>158</v>
      </c>
      <c r="N19" t="s">
        <v>173</v>
      </c>
      <c r="O19" t="s">
        <v>166</v>
      </c>
      <c r="P19">
        <v>5.568718602233666E-3</v>
      </c>
      <c r="Q19" t="s">
        <v>158</v>
      </c>
      <c r="S19" t="s">
        <v>174</v>
      </c>
      <c r="T19" t="s">
        <v>166</v>
      </c>
      <c r="U19">
        <v>6.2504594722781089E-3</v>
      </c>
      <c r="V19" t="s">
        <v>158</v>
      </c>
      <c r="X19">
        <v>6.735159817351598E-3</v>
      </c>
      <c r="Y19">
        <v>1.016996908899552E-2</v>
      </c>
      <c r="Z19" t="s">
        <v>166</v>
      </c>
      <c r="AA19" t="s">
        <v>25</v>
      </c>
      <c r="AC19" t="s">
        <v>22</v>
      </c>
      <c r="AD19" t="s">
        <v>166</v>
      </c>
      <c r="AE19">
        <v>8.3273442583527632E-3</v>
      </c>
      <c r="AG19" t="s">
        <v>97</v>
      </c>
      <c r="AH19" t="s">
        <v>166</v>
      </c>
      <c r="AI19">
        <v>0.15855700420216179</v>
      </c>
      <c r="AK19">
        <v>2022</v>
      </c>
      <c r="AL19" t="s">
        <v>151</v>
      </c>
      <c r="AM19">
        <v>0.43824929871407342</v>
      </c>
      <c r="AN19" t="s">
        <v>184</v>
      </c>
    </row>
    <row r="20" spans="9:40" x14ac:dyDescent="0.45">
      <c r="I20" t="s">
        <v>156</v>
      </c>
      <c r="J20" t="s">
        <v>167</v>
      </c>
      <c r="K20">
        <v>3.9921086256167491E-4</v>
      </c>
      <c r="L20" t="s">
        <v>158</v>
      </c>
      <c r="N20" t="s">
        <v>173</v>
      </c>
      <c r="O20" t="s">
        <v>167</v>
      </c>
      <c r="P20">
        <v>3.7487894219517488E-2</v>
      </c>
      <c r="Q20" t="s">
        <v>158</v>
      </c>
      <c r="S20" t="s">
        <v>174</v>
      </c>
      <c r="T20" t="s">
        <v>167</v>
      </c>
      <c r="U20">
        <v>3.3928197131388518E-2</v>
      </c>
      <c r="V20" t="s">
        <v>158</v>
      </c>
      <c r="X20">
        <v>3.3675799086757989E-2</v>
      </c>
      <c r="Y20">
        <v>2.5424922722488794E-2</v>
      </c>
      <c r="Z20" t="s">
        <v>167</v>
      </c>
      <c r="AA20" t="s">
        <v>25</v>
      </c>
      <c r="AC20" t="s">
        <v>22</v>
      </c>
      <c r="AD20" t="s">
        <v>167</v>
      </c>
      <c r="AE20">
        <v>4.0323447804688529E-2</v>
      </c>
      <c r="AG20" t="s">
        <v>97</v>
      </c>
      <c r="AH20" t="s">
        <v>167</v>
      </c>
      <c r="AI20">
        <v>0.18303171271170715</v>
      </c>
      <c r="AK20">
        <v>2025</v>
      </c>
      <c r="AL20" t="s">
        <v>145</v>
      </c>
      <c r="AM20">
        <v>0.42680000000000001</v>
      </c>
      <c r="AN20" t="s">
        <v>184</v>
      </c>
    </row>
    <row r="21" spans="9:40" x14ac:dyDescent="0.45">
      <c r="I21" t="s">
        <v>156</v>
      </c>
      <c r="J21" t="s">
        <v>168</v>
      </c>
      <c r="K21">
        <v>4.7035585263514824E-3</v>
      </c>
      <c r="L21" t="s">
        <v>158</v>
      </c>
      <c r="N21" t="s">
        <v>173</v>
      </c>
      <c r="O21" t="s">
        <v>168</v>
      </c>
      <c r="P21">
        <v>0.24908531265286735</v>
      </c>
      <c r="Q21" t="s">
        <v>158</v>
      </c>
      <c r="S21" t="s">
        <v>174</v>
      </c>
      <c r="T21" t="s">
        <v>168</v>
      </c>
      <c r="U21">
        <v>0.23151023311632746</v>
      </c>
      <c r="V21" t="s">
        <v>158</v>
      </c>
      <c r="X21">
        <v>0.21974885844748859</v>
      </c>
      <c r="Y21">
        <v>8.6782852265287716E-2</v>
      </c>
      <c r="Z21" t="s">
        <v>168</v>
      </c>
      <c r="AA21" t="s">
        <v>25</v>
      </c>
      <c r="AC21" t="s">
        <v>22</v>
      </c>
      <c r="AD21" t="s">
        <v>168</v>
      </c>
      <c r="AE21">
        <v>0.19575435100944755</v>
      </c>
      <c r="AG21" t="s">
        <v>97</v>
      </c>
      <c r="AH21" t="s">
        <v>168</v>
      </c>
      <c r="AI21">
        <v>0.26493020206716933</v>
      </c>
      <c r="AK21">
        <v>2025</v>
      </c>
      <c r="AL21" t="s">
        <v>149</v>
      </c>
      <c r="AM21">
        <v>0.43864999999999998</v>
      </c>
      <c r="AN21" t="s">
        <v>184</v>
      </c>
    </row>
    <row r="22" spans="9:40" x14ac:dyDescent="0.45">
      <c r="I22" t="s">
        <v>156</v>
      </c>
      <c r="J22" t="s">
        <v>169</v>
      </c>
      <c r="K22">
        <v>3.6238120415449535E-2</v>
      </c>
      <c r="L22" t="s">
        <v>158</v>
      </c>
      <c r="N22" t="s">
        <v>173</v>
      </c>
      <c r="O22" t="s">
        <v>169</v>
      </c>
      <c r="P22">
        <v>3.3347436282578725E-2</v>
      </c>
      <c r="Q22" t="s">
        <v>158</v>
      </c>
      <c r="S22" t="s">
        <v>174</v>
      </c>
      <c r="T22" t="s">
        <v>169</v>
      </c>
      <c r="U22">
        <v>3.0764792909928174E-2</v>
      </c>
      <c r="V22" t="s">
        <v>158</v>
      </c>
      <c r="X22">
        <v>3.1392694063926939E-2</v>
      </c>
      <c r="Y22">
        <v>5.2416113500567671E-2</v>
      </c>
      <c r="Z22" t="s">
        <v>169</v>
      </c>
      <c r="AA22" t="s">
        <v>25</v>
      </c>
      <c r="AC22" t="s">
        <v>22</v>
      </c>
      <c r="AD22" t="s">
        <v>169</v>
      </c>
      <c r="AE22">
        <v>2.3310708571985802E-2</v>
      </c>
      <c r="AG22" t="s">
        <v>97</v>
      </c>
      <c r="AH22" t="s">
        <v>169</v>
      </c>
      <c r="AI22">
        <v>0.12516007959314202</v>
      </c>
      <c r="AK22">
        <v>2025</v>
      </c>
      <c r="AL22" t="s">
        <v>151</v>
      </c>
      <c r="AM22">
        <v>0.35719999999999996</v>
      </c>
      <c r="AN22" t="s">
        <v>184</v>
      </c>
    </row>
    <row r="23" spans="9:40" x14ac:dyDescent="0.45">
      <c r="I23" t="s">
        <v>156</v>
      </c>
      <c r="J23" t="s">
        <v>170</v>
      </c>
      <c r="K23">
        <v>0.67086174570866186</v>
      </c>
      <c r="L23" t="s">
        <v>158</v>
      </c>
      <c r="N23" t="s">
        <v>173</v>
      </c>
      <c r="O23" t="s">
        <v>170</v>
      </c>
      <c r="P23">
        <v>0.28402438181061584</v>
      </c>
      <c r="Q23" t="s">
        <v>158</v>
      </c>
      <c r="S23" t="s">
        <v>174</v>
      </c>
      <c r="T23" t="s">
        <v>170</v>
      </c>
      <c r="U23">
        <v>0.31056679036446033</v>
      </c>
      <c r="V23" t="s">
        <v>158</v>
      </c>
      <c r="X23">
        <v>0.3139269406392694</v>
      </c>
      <c r="Y23">
        <v>0.44831729773181195</v>
      </c>
      <c r="Z23" t="s">
        <v>170</v>
      </c>
      <c r="AA23" t="s">
        <v>25</v>
      </c>
      <c r="AC23" t="s">
        <v>22</v>
      </c>
      <c r="AD23" t="s">
        <v>170</v>
      </c>
      <c r="AE23">
        <v>0.30831272846566837</v>
      </c>
      <c r="AG23" t="s">
        <v>97</v>
      </c>
      <c r="AH23" t="s">
        <v>170</v>
      </c>
      <c r="AI23">
        <v>0.35173530360483118</v>
      </c>
      <c r="AK23">
        <v>2026</v>
      </c>
      <c r="AL23" t="s">
        <v>145</v>
      </c>
      <c r="AM23">
        <v>0.38100000000000001</v>
      </c>
      <c r="AN23" t="s">
        <v>184</v>
      </c>
    </row>
    <row r="24" spans="9:40" x14ac:dyDescent="0.45">
      <c r="I24" t="s">
        <v>156</v>
      </c>
      <c r="J24" t="s">
        <v>171</v>
      </c>
      <c r="K24">
        <v>2.4887267637657917E-2</v>
      </c>
      <c r="L24" t="s">
        <v>158</v>
      </c>
      <c r="N24" t="s">
        <v>173</v>
      </c>
      <c r="O24" t="s">
        <v>171</v>
      </c>
      <c r="P24">
        <v>3.1221287666567562E-2</v>
      </c>
      <c r="Q24" t="s">
        <v>158</v>
      </c>
      <c r="S24" t="s">
        <v>174</v>
      </c>
      <c r="T24" t="s">
        <v>171</v>
      </c>
      <c r="U24">
        <v>3.2620431579959322E-2</v>
      </c>
      <c r="V24" t="s">
        <v>158</v>
      </c>
      <c r="X24">
        <v>3.1392694063926939E-2</v>
      </c>
      <c r="Y24">
        <v>4.7402398296165549E-2</v>
      </c>
      <c r="Z24" t="s">
        <v>171</v>
      </c>
      <c r="AA24" t="s">
        <v>25</v>
      </c>
      <c r="AC24" t="s">
        <v>22</v>
      </c>
      <c r="AD24" t="s">
        <v>171</v>
      </c>
      <c r="AE24">
        <v>3.3511649524829747E-2</v>
      </c>
      <c r="AG24" t="s">
        <v>97</v>
      </c>
      <c r="AH24" t="s">
        <v>171</v>
      </c>
      <c r="AI24">
        <v>0.27787886784651428</v>
      </c>
      <c r="AK24">
        <v>2026</v>
      </c>
      <c r="AL24" t="s">
        <v>149</v>
      </c>
      <c r="AM24">
        <v>0.45679999999999998</v>
      </c>
      <c r="AN24" t="s">
        <v>184</v>
      </c>
    </row>
    <row r="25" spans="9:40" x14ac:dyDescent="0.45">
      <c r="I25" t="s">
        <v>156</v>
      </c>
      <c r="J25" t="s">
        <v>172</v>
      </c>
      <c r="K25">
        <v>1.0733930320309055E-4</v>
      </c>
      <c r="L25" t="s">
        <v>158</v>
      </c>
      <c r="N25" t="s">
        <v>173</v>
      </c>
      <c r="O25" t="s">
        <v>172</v>
      </c>
      <c r="P25">
        <v>0.194593608422231</v>
      </c>
      <c r="Q25" t="s">
        <v>158</v>
      </c>
      <c r="S25" t="s">
        <v>174</v>
      </c>
      <c r="T25" t="s">
        <v>172</v>
      </c>
      <c r="U25">
        <v>0.16977002837426616</v>
      </c>
      <c r="V25" t="s">
        <v>158</v>
      </c>
      <c r="X25">
        <v>0.1569634703196347</v>
      </c>
      <c r="Y25">
        <v>0.11850599574041387</v>
      </c>
      <c r="Z25" t="s">
        <v>172</v>
      </c>
      <c r="AA25" t="s">
        <v>25</v>
      </c>
      <c r="AC25" t="s">
        <v>22</v>
      </c>
      <c r="AD25" t="s">
        <v>172</v>
      </c>
      <c r="AE25">
        <v>0.17497121486268641</v>
      </c>
      <c r="AG25" t="s">
        <v>97</v>
      </c>
      <c r="AH25" t="s">
        <v>172</v>
      </c>
      <c r="AI25">
        <v>0.23840129943405119</v>
      </c>
      <c r="AK25">
        <v>2026</v>
      </c>
      <c r="AL25" t="s">
        <v>151</v>
      </c>
      <c r="AM25">
        <v>0.34400000000000003</v>
      </c>
      <c r="AN25" t="s">
        <v>184</v>
      </c>
    </row>
    <row r="26" spans="9:40" x14ac:dyDescent="0.45">
      <c r="AC26" t="s">
        <v>19</v>
      </c>
      <c r="AD26" t="s">
        <v>157</v>
      </c>
      <c r="AE26">
        <v>2.4625517249733362E-2</v>
      </c>
      <c r="AK26">
        <v>2027</v>
      </c>
      <c r="AL26" t="s">
        <v>145</v>
      </c>
      <c r="AM26">
        <v>0.38690000000000002</v>
      </c>
      <c r="AN26" t="s">
        <v>184</v>
      </c>
    </row>
    <row r="27" spans="9:40" x14ac:dyDescent="0.45">
      <c r="AC27" t="s">
        <v>19</v>
      </c>
      <c r="AD27" t="s">
        <v>159</v>
      </c>
      <c r="AE27">
        <v>3.492321304493205E-3</v>
      </c>
      <c r="AK27">
        <v>2027</v>
      </c>
      <c r="AL27" t="s">
        <v>149</v>
      </c>
      <c r="AM27">
        <v>0.43074999999999997</v>
      </c>
      <c r="AN27" t="s">
        <v>184</v>
      </c>
    </row>
    <row r="28" spans="9:40" x14ac:dyDescent="0.45">
      <c r="AC28" t="s">
        <v>19</v>
      </c>
      <c r="AD28" t="s">
        <v>160</v>
      </c>
      <c r="AE28">
        <v>3.544990298376148E-2</v>
      </c>
      <c r="AK28">
        <v>2027</v>
      </c>
      <c r="AL28" t="s">
        <v>151</v>
      </c>
      <c r="AM28">
        <v>0.35739999999999994</v>
      </c>
      <c r="AN28" t="s">
        <v>184</v>
      </c>
    </row>
    <row r="29" spans="9:40" x14ac:dyDescent="0.45">
      <c r="AC29" t="s">
        <v>19</v>
      </c>
      <c r="AD29" t="s">
        <v>161</v>
      </c>
      <c r="AE29">
        <v>3.5654564848759712E-3</v>
      </c>
      <c r="AK29">
        <v>2028</v>
      </c>
      <c r="AL29" t="s">
        <v>145</v>
      </c>
      <c r="AM29">
        <v>0.51029999999999998</v>
      </c>
      <c r="AN29" t="s">
        <v>184</v>
      </c>
    </row>
    <row r="30" spans="9:40" x14ac:dyDescent="0.45">
      <c r="AC30" t="s">
        <v>19</v>
      </c>
      <c r="AD30" t="s">
        <v>162</v>
      </c>
      <c r="AE30">
        <v>1.7824978853751637E-2</v>
      </c>
      <c r="AK30">
        <v>2028</v>
      </c>
      <c r="AL30" t="s">
        <v>149</v>
      </c>
      <c r="AM30">
        <v>0.53774999999999995</v>
      </c>
      <c r="AN30" t="s">
        <v>184</v>
      </c>
    </row>
    <row r="31" spans="9:40" x14ac:dyDescent="0.45">
      <c r="AC31" t="s">
        <v>19</v>
      </c>
      <c r="AD31" t="s">
        <v>163</v>
      </c>
      <c r="AE31">
        <v>4.6933445656837082E-2</v>
      </c>
      <c r="AK31">
        <v>2028</v>
      </c>
      <c r="AL31" t="s">
        <v>151</v>
      </c>
      <c r="AM31">
        <v>0.4604111111111111</v>
      </c>
      <c r="AN31" t="s">
        <v>184</v>
      </c>
    </row>
    <row r="32" spans="9:40" x14ac:dyDescent="0.45">
      <c r="AC32" t="s">
        <v>19</v>
      </c>
      <c r="AD32" t="s">
        <v>164</v>
      </c>
      <c r="AE32">
        <v>6.6346099310041814E-3</v>
      </c>
      <c r="AK32">
        <v>2029</v>
      </c>
      <c r="AL32" t="s">
        <v>145</v>
      </c>
      <c r="AM32">
        <v>0.57799999999999996</v>
      </c>
      <c r="AN32" t="s">
        <v>184</v>
      </c>
    </row>
    <row r="33" spans="29:40" x14ac:dyDescent="0.45">
      <c r="AC33" t="s">
        <v>19</v>
      </c>
      <c r="AD33" t="s">
        <v>165</v>
      </c>
      <c r="AE33">
        <v>6.7416826726653195E-2</v>
      </c>
      <c r="AK33">
        <v>2029</v>
      </c>
      <c r="AL33" t="s">
        <v>149</v>
      </c>
      <c r="AM33">
        <v>0.57820000000000005</v>
      </c>
      <c r="AN33" t="s">
        <v>184</v>
      </c>
    </row>
    <row r="34" spans="29:40" x14ac:dyDescent="0.45">
      <c r="AC34" t="s">
        <v>19</v>
      </c>
      <c r="AD34" t="s">
        <v>166</v>
      </c>
      <c r="AE34">
        <v>6.8028560902962465E-3</v>
      </c>
      <c r="AK34">
        <v>2029</v>
      </c>
      <c r="AL34" t="s">
        <v>151</v>
      </c>
      <c r="AM34">
        <v>0.46450000000000002</v>
      </c>
      <c r="AN34" t="s">
        <v>184</v>
      </c>
    </row>
    <row r="35" spans="29:40" x14ac:dyDescent="0.45">
      <c r="AC35" t="s">
        <v>19</v>
      </c>
      <c r="AD35" t="s">
        <v>167</v>
      </c>
      <c r="AE35">
        <v>3.3933483313697284E-2</v>
      </c>
      <c r="AK35">
        <v>2030</v>
      </c>
      <c r="AL35" t="s">
        <v>145</v>
      </c>
      <c r="AM35">
        <v>0.59360000000000002</v>
      </c>
      <c r="AN35" t="s">
        <v>184</v>
      </c>
    </row>
    <row r="36" spans="29:40" x14ac:dyDescent="0.45">
      <c r="AC36" t="s">
        <v>19</v>
      </c>
      <c r="AD36" t="s">
        <v>168</v>
      </c>
      <c r="AE36">
        <v>0.2185574580193263</v>
      </c>
      <c r="AK36">
        <v>2030</v>
      </c>
      <c r="AL36" t="s">
        <v>149</v>
      </c>
      <c r="AM36">
        <v>0.55840000000000001</v>
      </c>
      <c r="AN36" t="s">
        <v>184</v>
      </c>
    </row>
    <row r="37" spans="29:40" x14ac:dyDescent="0.45">
      <c r="AC37" t="s">
        <v>19</v>
      </c>
      <c r="AD37" t="s">
        <v>169</v>
      </c>
      <c r="AE37">
        <v>3.0936151562624165E-2</v>
      </c>
      <c r="AK37">
        <v>2030</v>
      </c>
      <c r="AL37" t="s">
        <v>151</v>
      </c>
      <c r="AM37">
        <v>0.49422222222222228</v>
      </c>
      <c r="AN37" t="s">
        <v>184</v>
      </c>
    </row>
    <row r="38" spans="29:40" x14ac:dyDescent="0.45">
      <c r="AC38" t="s">
        <v>19</v>
      </c>
      <c r="AD38" t="s">
        <v>170</v>
      </c>
      <c r="AE38">
        <v>0.31398842749103195</v>
      </c>
      <c r="AK38">
        <v>2031</v>
      </c>
      <c r="AL38" t="s">
        <v>145</v>
      </c>
      <c r="AM38">
        <v>0.57379999999999998</v>
      </c>
      <c r="AN38" t="s">
        <v>184</v>
      </c>
    </row>
    <row r="39" spans="29:40" x14ac:dyDescent="0.45">
      <c r="AC39" t="s">
        <v>19</v>
      </c>
      <c r="AD39" t="s">
        <v>171</v>
      </c>
      <c r="AE39">
        <v>3.1563748814684989E-2</v>
      </c>
      <c r="AK39">
        <v>2031</v>
      </c>
      <c r="AL39" t="s">
        <v>149</v>
      </c>
      <c r="AM39">
        <v>0.60430000000000006</v>
      </c>
      <c r="AN39" t="s">
        <v>184</v>
      </c>
    </row>
    <row r="40" spans="29:40" x14ac:dyDescent="0.45">
      <c r="AC40" t="s">
        <v>19</v>
      </c>
      <c r="AD40" t="s">
        <v>172</v>
      </c>
      <c r="AE40">
        <v>0.15827481551722897</v>
      </c>
      <c r="AK40">
        <v>2031</v>
      </c>
      <c r="AL40" t="s">
        <v>151</v>
      </c>
      <c r="AM40">
        <v>0.47028888888888887</v>
      </c>
      <c r="AN40" t="s">
        <v>184</v>
      </c>
    </row>
    <row r="41" spans="29:40" x14ac:dyDescent="0.45">
      <c r="AK41">
        <v>2032</v>
      </c>
      <c r="AL41" t="s">
        <v>145</v>
      </c>
      <c r="AM41">
        <v>0.51100000000000001</v>
      </c>
      <c r="AN41" t="s">
        <v>184</v>
      </c>
    </row>
    <row r="42" spans="29:40" x14ac:dyDescent="0.45">
      <c r="AK42">
        <v>2032</v>
      </c>
      <c r="AL42" t="s">
        <v>149</v>
      </c>
      <c r="AM42">
        <v>0.55594999999999994</v>
      </c>
      <c r="AN42" t="s">
        <v>184</v>
      </c>
    </row>
    <row r="43" spans="29:40" x14ac:dyDescent="0.45">
      <c r="AK43">
        <v>2032</v>
      </c>
      <c r="AL43" t="s">
        <v>151</v>
      </c>
      <c r="AM43">
        <v>0.4785666666666667</v>
      </c>
      <c r="AN43" t="s">
        <v>184</v>
      </c>
    </row>
    <row r="44" spans="29:40" x14ac:dyDescent="0.45">
      <c r="AK44">
        <v>2033</v>
      </c>
      <c r="AL44" t="s">
        <v>145</v>
      </c>
      <c r="AM44">
        <v>0.50170000000000003</v>
      </c>
      <c r="AN44" t="s">
        <v>184</v>
      </c>
    </row>
    <row r="45" spans="29:40" x14ac:dyDescent="0.45">
      <c r="AK45">
        <v>2033</v>
      </c>
      <c r="AL45" t="s">
        <v>149</v>
      </c>
      <c r="AM45">
        <v>0.62080000000000002</v>
      </c>
      <c r="AN45" t="s">
        <v>184</v>
      </c>
    </row>
    <row r="46" spans="29:40" x14ac:dyDescent="0.45">
      <c r="AK46">
        <v>2033</v>
      </c>
      <c r="AL46" t="s">
        <v>151</v>
      </c>
      <c r="AM46">
        <v>0.47124444444444435</v>
      </c>
      <c r="AN46" t="s">
        <v>184</v>
      </c>
    </row>
    <row r="47" spans="29:40" x14ac:dyDescent="0.45">
      <c r="AK47">
        <v>2034</v>
      </c>
      <c r="AL47" t="s">
        <v>145</v>
      </c>
      <c r="AM47">
        <v>0.56799999999999995</v>
      </c>
      <c r="AN47" t="s">
        <v>184</v>
      </c>
    </row>
    <row r="48" spans="29:40" x14ac:dyDescent="0.45">
      <c r="AK48">
        <v>2034</v>
      </c>
      <c r="AL48" t="s">
        <v>149</v>
      </c>
      <c r="AM48">
        <v>0.59325000000000006</v>
      </c>
      <c r="AN48" t="s">
        <v>184</v>
      </c>
    </row>
    <row r="49" spans="37:40" x14ac:dyDescent="0.45">
      <c r="AK49">
        <v>2034</v>
      </c>
      <c r="AL49" t="s">
        <v>151</v>
      </c>
      <c r="AM49">
        <v>0.47331111111111113</v>
      </c>
      <c r="AN49" t="s">
        <v>184</v>
      </c>
    </row>
    <row r="50" spans="37:40" x14ac:dyDescent="0.45">
      <c r="AK50">
        <v>2035</v>
      </c>
      <c r="AL50" t="s">
        <v>145</v>
      </c>
      <c r="AM50">
        <v>0.56969999999999998</v>
      </c>
      <c r="AN50" t="s">
        <v>184</v>
      </c>
    </row>
    <row r="51" spans="37:40" x14ac:dyDescent="0.45">
      <c r="AK51">
        <v>2035</v>
      </c>
      <c r="AL51" t="s">
        <v>149</v>
      </c>
      <c r="AM51">
        <v>0.59604999999999997</v>
      </c>
      <c r="AN51" t="s">
        <v>184</v>
      </c>
    </row>
    <row r="52" spans="37:40" x14ac:dyDescent="0.45">
      <c r="AK52">
        <v>2035</v>
      </c>
      <c r="AL52" t="s">
        <v>151</v>
      </c>
      <c r="AM52">
        <v>0.49247777777777774</v>
      </c>
      <c r="AN52" t="s">
        <v>184</v>
      </c>
    </row>
    <row r="53" spans="37:40" x14ac:dyDescent="0.45">
      <c r="AK53">
        <v>2036</v>
      </c>
      <c r="AL53" t="s">
        <v>145</v>
      </c>
      <c r="AM53">
        <v>0.48930000000000001</v>
      </c>
      <c r="AN53" t="s">
        <v>184</v>
      </c>
    </row>
    <row r="54" spans="37:40" x14ac:dyDescent="0.45">
      <c r="AK54">
        <v>2036</v>
      </c>
      <c r="AL54" t="s">
        <v>149</v>
      </c>
      <c r="AM54">
        <v>0.51669999999999994</v>
      </c>
      <c r="AN54" t="s">
        <v>184</v>
      </c>
    </row>
    <row r="55" spans="37:40" x14ac:dyDescent="0.45">
      <c r="AK55">
        <v>2036</v>
      </c>
      <c r="AL55" t="s">
        <v>151</v>
      </c>
      <c r="AM55">
        <v>0.41644444444444445</v>
      </c>
      <c r="AN55" t="s">
        <v>184</v>
      </c>
    </row>
    <row r="56" spans="37:40" x14ac:dyDescent="0.45">
      <c r="AK56">
        <v>2037</v>
      </c>
      <c r="AL56" t="s">
        <v>145</v>
      </c>
      <c r="AM56">
        <v>0.4466</v>
      </c>
      <c r="AN56" t="s">
        <v>184</v>
      </c>
    </row>
    <row r="57" spans="37:40" x14ac:dyDescent="0.45">
      <c r="AK57">
        <v>2037</v>
      </c>
      <c r="AL57" t="s">
        <v>149</v>
      </c>
      <c r="AM57">
        <v>0.50214999999999999</v>
      </c>
      <c r="AN57" t="s">
        <v>184</v>
      </c>
    </row>
    <row r="58" spans="37:40" x14ac:dyDescent="0.45">
      <c r="AK58">
        <v>2037</v>
      </c>
      <c r="AL58" t="s">
        <v>151</v>
      </c>
      <c r="AM58">
        <v>0.40861111111111115</v>
      </c>
      <c r="AN58" t="s">
        <v>184</v>
      </c>
    </row>
    <row r="59" spans="37:40" x14ac:dyDescent="0.45">
      <c r="AK59">
        <v>2038</v>
      </c>
      <c r="AL59" t="s">
        <v>145</v>
      </c>
      <c r="AM59">
        <v>0.51359999999999995</v>
      </c>
      <c r="AN59" t="s">
        <v>184</v>
      </c>
    </row>
    <row r="60" spans="37:40" x14ac:dyDescent="0.45">
      <c r="AK60">
        <v>2038</v>
      </c>
      <c r="AL60" t="s">
        <v>149</v>
      </c>
      <c r="AM60">
        <v>0.51405000000000001</v>
      </c>
      <c r="AN60" t="s">
        <v>184</v>
      </c>
    </row>
    <row r="61" spans="37:40" x14ac:dyDescent="0.45">
      <c r="AK61">
        <v>2038</v>
      </c>
      <c r="AL61" t="s">
        <v>151</v>
      </c>
      <c r="AM61">
        <v>0.40710000000000002</v>
      </c>
      <c r="AN61" t="s">
        <v>184</v>
      </c>
    </row>
    <row r="62" spans="37:40" x14ac:dyDescent="0.45">
      <c r="AK62">
        <v>2039</v>
      </c>
      <c r="AL62" t="s">
        <v>145</v>
      </c>
      <c r="AM62">
        <v>0.45850000000000002</v>
      </c>
      <c r="AN62" t="s">
        <v>184</v>
      </c>
    </row>
    <row r="63" spans="37:40" x14ac:dyDescent="0.45">
      <c r="AK63">
        <v>2039</v>
      </c>
      <c r="AL63" t="s">
        <v>149</v>
      </c>
      <c r="AM63">
        <v>0.502</v>
      </c>
      <c r="AN63" t="s">
        <v>184</v>
      </c>
    </row>
    <row r="64" spans="37:40" x14ac:dyDescent="0.45">
      <c r="AK64">
        <v>2039</v>
      </c>
      <c r="AL64" t="s">
        <v>151</v>
      </c>
      <c r="AM64">
        <v>0.40135555555555563</v>
      </c>
      <c r="AN64" t="s">
        <v>184</v>
      </c>
    </row>
    <row r="65" spans="37:40" x14ac:dyDescent="0.45">
      <c r="AK65">
        <v>2040</v>
      </c>
      <c r="AL65" t="s">
        <v>145</v>
      </c>
      <c r="AM65">
        <v>0.44779999999999998</v>
      </c>
      <c r="AN65" t="s">
        <v>184</v>
      </c>
    </row>
    <row r="66" spans="37:40" x14ac:dyDescent="0.45">
      <c r="AK66">
        <v>2040</v>
      </c>
      <c r="AL66" t="s">
        <v>149</v>
      </c>
      <c r="AM66">
        <v>0.51239999999999997</v>
      </c>
      <c r="AN66" t="s">
        <v>184</v>
      </c>
    </row>
    <row r="67" spans="37:40" x14ac:dyDescent="0.45">
      <c r="AK67">
        <v>2040</v>
      </c>
      <c r="AL67" t="s">
        <v>151</v>
      </c>
      <c r="AM67">
        <v>0.41443333333333338</v>
      </c>
      <c r="AN67" t="s">
        <v>184</v>
      </c>
    </row>
    <row r="68" spans="37:40" x14ac:dyDescent="0.45">
      <c r="AK68">
        <v>2041</v>
      </c>
      <c r="AL68" t="s">
        <v>145</v>
      </c>
      <c r="AM68">
        <v>0.43390000000000001</v>
      </c>
      <c r="AN68" t="s">
        <v>184</v>
      </c>
    </row>
    <row r="69" spans="37:40" x14ac:dyDescent="0.45">
      <c r="AK69">
        <v>2041</v>
      </c>
      <c r="AL69" t="s">
        <v>149</v>
      </c>
      <c r="AM69">
        <v>0.48904999999999998</v>
      </c>
      <c r="AN69" t="s">
        <v>184</v>
      </c>
    </row>
    <row r="70" spans="37:40" x14ac:dyDescent="0.45">
      <c r="AK70">
        <v>2041</v>
      </c>
      <c r="AL70" t="s">
        <v>151</v>
      </c>
      <c r="AM70">
        <v>0.40888888888888886</v>
      </c>
      <c r="AN70" t="s">
        <v>184</v>
      </c>
    </row>
    <row r="71" spans="37:40" x14ac:dyDescent="0.45">
      <c r="AK71">
        <v>2042</v>
      </c>
      <c r="AL71" t="s">
        <v>145</v>
      </c>
      <c r="AM71">
        <v>0.44600000000000001</v>
      </c>
      <c r="AN71" t="s">
        <v>184</v>
      </c>
    </row>
    <row r="72" spans="37:40" x14ac:dyDescent="0.45">
      <c r="AK72">
        <v>2042</v>
      </c>
      <c r="AL72" t="s">
        <v>149</v>
      </c>
      <c r="AM72">
        <v>0.52539999999999998</v>
      </c>
      <c r="AN72" t="s">
        <v>184</v>
      </c>
    </row>
    <row r="73" spans="37:40" x14ac:dyDescent="0.45">
      <c r="AK73">
        <v>2042</v>
      </c>
      <c r="AL73" t="s">
        <v>151</v>
      </c>
      <c r="AM73">
        <v>0.39182222222222218</v>
      </c>
      <c r="AN73" t="s">
        <v>184</v>
      </c>
    </row>
    <row r="74" spans="37:40" x14ac:dyDescent="0.45">
      <c r="AK74">
        <v>2043</v>
      </c>
      <c r="AL74" t="s">
        <v>145</v>
      </c>
      <c r="AM74">
        <v>0.51939999999999997</v>
      </c>
      <c r="AN74" t="s">
        <v>184</v>
      </c>
    </row>
    <row r="75" spans="37:40" x14ac:dyDescent="0.45">
      <c r="AK75">
        <v>2043</v>
      </c>
      <c r="AL75" t="s">
        <v>149</v>
      </c>
      <c r="AM75">
        <v>0.50159999999999993</v>
      </c>
      <c r="AN75" t="s">
        <v>184</v>
      </c>
    </row>
    <row r="76" spans="37:40" x14ac:dyDescent="0.45">
      <c r="AK76">
        <v>2043</v>
      </c>
      <c r="AL76" t="s">
        <v>151</v>
      </c>
      <c r="AM76">
        <v>0.40468888888888888</v>
      </c>
      <c r="AN76" t="s">
        <v>184</v>
      </c>
    </row>
    <row r="77" spans="37:40" x14ac:dyDescent="0.45">
      <c r="AK77">
        <v>2044</v>
      </c>
      <c r="AL77" t="s">
        <v>145</v>
      </c>
      <c r="AM77">
        <v>0.45629999999999998</v>
      </c>
      <c r="AN77" t="s">
        <v>184</v>
      </c>
    </row>
    <row r="78" spans="37:40" x14ac:dyDescent="0.45">
      <c r="AK78">
        <v>2044</v>
      </c>
      <c r="AL78" t="s">
        <v>149</v>
      </c>
      <c r="AM78">
        <v>0.50209999999999999</v>
      </c>
      <c r="AN78" t="s">
        <v>184</v>
      </c>
    </row>
    <row r="79" spans="37:40" x14ac:dyDescent="0.45">
      <c r="AK79">
        <v>2044</v>
      </c>
      <c r="AL79" t="s">
        <v>151</v>
      </c>
      <c r="AM79">
        <v>0.40970000000000001</v>
      </c>
      <c r="AN79" t="s">
        <v>184</v>
      </c>
    </row>
    <row r="80" spans="37:40" x14ac:dyDescent="0.45">
      <c r="AK80">
        <v>2045</v>
      </c>
      <c r="AL80" t="s">
        <v>145</v>
      </c>
      <c r="AM80">
        <v>0.48280000000000001</v>
      </c>
      <c r="AN80" t="s">
        <v>184</v>
      </c>
    </row>
    <row r="81" spans="37:40" x14ac:dyDescent="0.45">
      <c r="AK81">
        <v>2045</v>
      </c>
      <c r="AL81" t="s">
        <v>149</v>
      </c>
      <c r="AM81">
        <v>0.47384999999999999</v>
      </c>
      <c r="AN81" t="s">
        <v>184</v>
      </c>
    </row>
    <row r="82" spans="37:40" x14ac:dyDescent="0.45">
      <c r="AK82">
        <v>2045</v>
      </c>
      <c r="AL82" t="s">
        <v>151</v>
      </c>
      <c r="AM82">
        <v>0.3958888888888889</v>
      </c>
      <c r="AN82" t="s">
        <v>184</v>
      </c>
    </row>
    <row r="83" spans="37:40" x14ac:dyDescent="0.45">
      <c r="AK83">
        <v>2046</v>
      </c>
      <c r="AL83" t="s">
        <v>145</v>
      </c>
      <c r="AM83">
        <v>0.44540000000000002</v>
      </c>
      <c r="AN83" t="s">
        <v>184</v>
      </c>
    </row>
    <row r="84" spans="37:40" x14ac:dyDescent="0.45">
      <c r="AK84">
        <v>2046</v>
      </c>
      <c r="AL84" t="s">
        <v>149</v>
      </c>
      <c r="AM84">
        <v>0.50385000000000002</v>
      </c>
      <c r="AN84" t="s">
        <v>184</v>
      </c>
    </row>
    <row r="85" spans="37:40" x14ac:dyDescent="0.45">
      <c r="AK85">
        <v>2046</v>
      </c>
      <c r="AL85" t="s">
        <v>151</v>
      </c>
      <c r="AM85">
        <v>0.40318888888888887</v>
      </c>
      <c r="AN85" t="s">
        <v>184</v>
      </c>
    </row>
    <row r="86" spans="37:40" x14ac:dyDescent="0.45">
      <c r="AK86">
        <v>2047</v>
      </c>
      <c r="AL86" t="s">
        <v>145</v>
      </c>
      <c r="AM86">
        <v>0.51580000000000004</v>
      </c>
      <c r="AN86" t="s">
        <v>184</v>
      </c>
    </row>
    <row r="87" spans="37:40" x14ac:dyDescent="0.45">
      <c r="AK87">
        <v>2047</v>
      </c>
      <c r="AL87" t="s">
        <v>149</v>
      </c>
      <c r="AM87">
        <v>0.46450000000000002</v>
      </c>
      <c r="AN87" t="s">
        <v>184</v>
      </c>
    </row>
    <row r="88" spans="37:40" x14ac:dyDescent="0.45">
      <c r="AK88">
        <v>2047</v>
      </c>
      <c r="AL88" t="s">
        <v>151</v>
      </c>
      <c r="AM88">
        <v>0.40820000000000001</v>
      </c>
      <c r="AN88" t="s">
        <v>184</v>
      </c>
    </row>
    <row r="89" spans="37:40" x14ac:dyDescent="0.45">
      <c r="AK89">
        <v>2048</v>
      </c>
      <c r="AL89" t="s">
        <v>145</v>
      </c>
      <c r="AM89">
        <v>0.4788</v>
      </c>
      <c r="AN89" t="s">
        <v>184</v>
      </c>
    </row>
    <row r="90" spans="37:40" x14ac:dyDescent="0.45">
      <c r="AK90">
        <v>2048</v>
      </c>
      <c r="AL90" t="s">
        <v>149</v>
      </c>
      <c r="AM90">
        <v>0.4622</v>
      </c>
      <c r="AN90" t="s">
        <v>184</v>
      </c>
    </row>
    <row r="91" spans="37:40" x14ac:dyDescent="0.45">
      <c r="AK91">
        <v>2048</v>
      </c>
      <c r="AL91" t="s">
        <v>151</v>
      </c>
      <c r="AM91">
        <v>0.40722222222222221</v>
      </c>
      <c r="AN91" t="s">
        <v>184</v>
      </c>
    </row>
    <row r="92" spans="37:40" x14ac:dyDescent="0.45">
      <c r="AK92">
        <v>2049</v>
      </c>
      <c r="AL92" t="s">
        <v>145</v>
      </c>
      <c r="AM92">
        <v>0.40860000000000002</v>
      </c>
      <c r="AN92" t="s">
        <v>184</v>
      </c>
    </row>
    <row r="93" spans="37:40" x14ac:dyDescent="0.45">
      <c r="AK93">
        <v>2049</v>
      </c>
      <c r="AL93" t="s">
        <v>149</v>
      </c>
      <c r="AM93">
        <v>0.44564999999999999</v>
      </c>
      <c r="AN93" t="s">
        <v>184</v>
      </c>
    </row>
    <row r="94" spans="37:40" x14ac:dyDescent="0.45">
      <c r="AK94">
        <v>2049</v>
      </c>
      <c r="AL94" t="s">
        <v>151</v>
      </c>
      <c r="AM94">
        <v>0.33861111111111114</v>
      </c>
      <c r="AN94" t="s">
        <v>184</v>
      </c>
    </row>
    <row r="95" spans="37:40" x14ac:dyDescent="0.45">
      <c r="AK95">
        <v>2050</v>
      </c>
      <c r="AL95" t="s">
        <v>145</v>
      </c>
      <c r="AM95">
        <v>0.3639</v>
      </c>
      <c r="AN95" t="s">
        <v>184</v>
      </c>
    </row>
    <row r="96" spans="37:40" x14ac:dyDescent="0.45">
      <c r="AK96">
        <v>2050</v>
      </c>
      <c r="AL96" t="s">
        <v>149</v>
      </c>
      <c r="AM96">
        <v>0.41885</v>
      </c>
      <c r="AN96" t="s">
        <v>184</v>
      </c>
    </row>
    <row r="97" spans="37:40" x14ac:dyDescent="0.45">
      <c r="AK97">
        <v>2050</v>
      </c>
      <c r="AL97" t="s">
        <v>151</v>
      </c>
      <c r="AM97">
        <v>0.3448222222222222</v>
      </c>
      <c r="AN97" t="s">
        <v>184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3DE93-28B1-40DF-B5CA-72803F975C3A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111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47</v>
      </c>
      <c r="AL10" t="s">
        <v>134</v>
      </c>
      <c r="AM10" t="s">
        <v>182</v>
      </c>
      <c r="AN10" t="s">
        <v>183</v>
      </c>
    </row>
    <row r="11" spans="1:40" x14ac:dyDescent="0.45">
      <c r="A11" t="str">
        <f>IFERROR(IF(Veda!D5=A10,"ok","x"),"")</f>
        <v>x</v>
      </c>
      <c r="C11" t="s">
        <v>185</v>
      </c>
      <c r="D11" t="s">
        <v>146</v>
      </c>
      <c r="E11" t="s">
        <v>186</v>
      </c>
      <c r="F11" t="s">
        <v>185</v>
      </c>
      <c r="G11" t="s">
        <v>146</v>
      </c>
      <c r="I11" t="s">
        <v>156</v>
      </c>
      <c r="J11" t="s">
        <v>187</v>
      </c>
      <c r="K11">
        <v>0.99999999999979605</v>
      </c>
      <c r="L11" t="s">
        <v>158</v>
      </c>
      <c r="N11" t="s">
        <v>173</v>
      </c>
      <c r="O11" t="s">
        <v>187</v>
      </c>
      <c r="P11">
        <v>0.99999999999975986</v>
      </c>
      <c r="Q11" t="s">
        <v>158</v>
      </c>
      <c r="S11" t="s">
        <v>174</v>
      </c>
      <c r="T11" t="s">
        <v>187</v>
      </c>
      <c r="U11">
        <v>0.99999999999977052</v>
      </c>
      <c r="V11" t="s">
        <v>158</v>
      </c>
      <c r="X11">
        <v>1</v>
      </c>
      <c r="Y11">
        <v>1.0000000000000002</v>
      </c>
      <c r="Z11" t="s">
        <v>187</v>
      </c>
      <c r="AA11" t="s">
        <v>25</v>
      </c>
      <c r="AC11" t="s">
        <v>22</v>
      </c>
      <c r="AD11" t="s">
        <v>187</v>
      </c>
      <c r="AE11">
        <v>1</v>
      </c>
      <c r="AG11" t="s">
        <v>97</v>
      </c>
      <c r="AH11" t="s">
        <v>187</v>
      </c>
      <c r="AI11">
        <v>0.33758082105685405</v>
      </c>
      <c r="AK11">
        <v>2020</v>
      </c>
      <c r="AL11" t="s">
        <v>185</v>
      </c>
      <c r="AM11">
        <v>0.42128170179209201</v>
      </c>
      <c r="AN11" t="s">
        <v>184</v>
      </c>
    </row>
    <row r="12" spans="1:40" x14ac:dyDescent="0.45">
      <c r="AC12" t="s">
        <v>19</v>
      </c>
      <c r="AD12" t="s">
        <v>187</v>
      </c>
      <c r="AE12">
        <v>1</v>
      </c>
      <c r="AK12">
        <v>2021</v>
      </c>
      <c r="AL12" t="s">
        <v>185</v>
      </c>
      <c r="AM12">
        <v>0.38925594959375892</v>
      </c>
      <c r="AN12" t="s">
        <v>184</v>
      </c>
    </row>
    <row r="13" spans="1:40" x14ac:dyDescent="0.45">
      <c r="AK13">
        <v>2022</v>
      </c>
      <c r="AL13" t="s">
        <v>185</v>
      </c>
      <c r="AM13">
        <v>0.45575958755713736</v>
      </c>
      <c r="AN13" t="s">
        <v>184</v>
      </c>
    </row>
    <row r="14" spans="1:40" x14ac:dyDescent="0.45">
      <c r="AK14">
        <v>2025</v>
      </c>
      <c r="AL14" t="s">
        <v>185</v>
      </c>
      <c r="AM14">
        <v>0.37657500000000005</v>
      </c>
      <c r="AN14" t="s">
        <v>184</v>
      </c>
    </row>
    <row r="15" spans="1:40" x14ac:dyDescent="0.45">
      <c r="AK15">
        <v>2026</v>
      </c>
      <c r="AL15" t="s">
        <v>185</v>
      </c>
      <c r="AM15">
        <v>0.36588333333333334</v>
      </c>
      <c r="AN15" t="s">
        <v>184</v>
      </c>
    </row>
    <row r="16" spans="1:40" x14ac:dyDescent="0.45">
      <c r="AK16">
        <v>2027</v>
      </c>
      <c r="AL16" t="s">
        <v>185</v>
      </c>
      <c r="AM16">
        <v>0.37208333333333332</v>
      </c>
      <c r="AN16" t="s">
        <v>184</v>
      </c>
    </row>
    <row r="17" spans="37:40" x14ac:dyDescent="0.45">
      <c r="AK17">
        <v>2028</v>
      </c>
      <c r="AL17" t="s">
        <v>185</v>
      </c>
      <c r="AM17">
        <v>0.47745833333333326</v>
      </c>
      <c r="AN17" t="s">
        <v>184</v>
      </c>
    </row>
    <row r="18" spans="37:40" x14ac:dyDescent="0.45">
      <c r="AK18">
        <v>2029</v>
      </c>
      <c r="AL18" t="s">
        <v>185</v>
      </c>
      <c r="AM18">
        <v>0.49290833333333328</v>
      </c>
      <c r="AN18" t="s">
        <v>184</v>
      </c>
    </row>
    <row r="19" spans="37:40" x14ac:dyDescent="0.45">
      <c r="AK19">
        <v>2030</v>
      </c>
      <c r="AL19" t="s">
        <v>185</v>
      </c>
      <c r="AM19">
        <v>0.51319999999999999</v>
      </c>
      <c r="AN19" t="s">
        <v>184</v>
      </c>
    </row>
    <row r="20" spans="37:40" x14ac:dyDescent="0.45">
      <c r="AK20">
        <v>2031</v>
      </c>
      <c r="AL20" t="s">
        <v>185</v>
      </c>
      <c r="AM20">
        <v>0.50124999999999997</v>
      </c>
      <c r="AN20" t="s">
        <v>184</v>
      </c>
    </row>
    <row r="21" spans="37:40" x14ac:dyDescent="0.45">
      <c r="AK21">
        <v>2032</v>
      </c>
      <c r="AL21" t="s">
        <v>185</v>
      </c>
      <c r="AM21">
        <v>0.4941666666666667</v>
      </c>
      <c r="AN21" t="s">
        <v>184</v>
      </c>
    </row>
    <row r="22" spans="37:40" x14ac:dyDescent="0.45">
      <c r="AK22">
        <v>2033</v>
      </c>
      <c r="AL22" t="s">
        <v>185</v>
      </c>
      <c r="AM22">
        <v>0.49870833333333331</v>
      </c>
      <c r="AN22" t="s">
        <v>184</v>
      </c>
    </row>
    <row r="23" spans="37:40" x14ac:dyDescent="0.45">
      <c r="AK23">
        <v>2034</v>
      </c>
      <c r="AL23" t="s">
        <v>185</v>
      </c>
      <c r="AM23">
        <v>0.50119166666666659</v>
      </c>
      <c r="AN23" t="s">
        <v>184</v>
      </c>
    </row>
    <row r="24" spans="37:40" x14ac:dyDescent="0.45">
      <c r="AK24">
        <v>2035</v>
      </c>
      <c r="AL24" t="s">
        <v>185</v>
      </c>
      <c r="AM24">
        <v>0.51617500000000005</v>
      </c>
      <c r="AN24" t="s">
        <v>184</v>
      </c>
    </row>
    <row r="25" spans="37:40" x14ac:dyDescent="0.45">
      <c r="AK25">
        <v>2036</v>
      </c>
      <c r="AL25" t="s">
        <v>185</v>
      </c>
      <c r="AM25">
        <v>0.43922499999999998</v>
      </c>
      <c r="AN25" t="s">
        <v>184</v>
      </c>
    </row>
    <row r="26" spans="37:40" x14ac:dyDescent="0.45">
      <c r="AK26">
        <v>2037</v>
      </c>
      <c r="AL26" t="s">
        <v>185</v>
      </c>
      <c r="AM26">
        <v>0.42736666666666667</v>
      </c>
      <c r="AN26" t="s">
        <v>184</v>
      </c>
    </row>
    <row r="27" spans="37:40" x14ac:dyDescent="0.45">
      <c r="AK27">
        <v>2038</v>
      </c>
      <c r="AL27" t="s">
        <v>185</v>
      </c>
      <c r="AM27">
        <v>0.43379999999999996</v>
      </c>
      <c r="AN27" t="s">
        <v>184</v>
      </c>
    </row>
    <row r="28" spans="37:40" x14ac:dyDescent="0.45">
      <c r="AK28">
        <v>2039</v>
      </c>
      <c r="AL28" t="s">
        <v>185</v>
      </c>
      <c r="AM28">
        <v>0.42289166666666672</v>
      </c>
      <c r="AN28" t="s">
        <v>184</v>
      </c>
    </row>
    <row r="29" spans="37:40" x14ac:dyDescent="0.45">
      <c r="AK29">
        <v>2040</v>
      </c>
      <c r="AL29" t="s">
        <v>185</v>
      </c>
      <c r="AM29">
        <v>0.43354166666666666</v>
      </c>
      <c r="AN29" t="s">
        <v>184</v>
      </c>
    </row>
    <row r="30" spans="37:40" x14ac:dyDescent="0.45">
      <c r="AK30">
        <v>2041</v>
      </c>
      <c r="AL30" t="s">
        <v>185</v>
      </c>
      <c r="AM30">
        <v>0.4243333333333334</v>
      </c>
      <c r="AN30" t="s">
        <v>184</v>
      </c>
    </row>
    <row r="31" spans="37:40" x14ac:dyDescent="0.45">
      <c r="AK31">
        <v>2042</v>
      </c>
      <c r="AL31" t="s">
        <v>185</v>
      </c>
      <c r="AM31">
        <v>0.41860000000000003</v>
      </c>
      <c r="AN31" t="s">
        <v>184</v>
      </c>
    </row>
    <row r="32" spans="37:40" x14ac:dyDescent="0.45">
      <c r="AK32">
        <v>2043</v>
      </c>
      <c r="AL32" t="s">
        <v>185</v>
      </c>
      <c r="AM32">
        <v>0.43039999999999995</v>
      </c>
      <c r="AN32" t="s">
        <v>184</v>
      </c>
    </row>
    <row r="33" spans="37:40" x14ac:dyDescent="0.45">
      <c r="AK33">
        <v>2044</v>
      </c>
      <c r="AL33" t="s">
        <v>185</v>
      </c>
      <c r="AM33">
        <v>0.42898333333333333</v>
      </c>
      <c r="AN33" t="s">
        <v>184</v>
      </c>
    </row>
    <row r="34" spans="37:40" x14ac:dyDescent="0.45">
      <c r="AK34">
        <v>2045</v>
      </c>
      <c r="AL34" t="s">
        <v>185</v>
      </c>
      <c r="AM34">
        <v>0.41612499999999991</v>
      </c>
      <c r="AN34" t="s">
        <v>184</v>
      </c>
    </row>
    <row r="35" spans="37:40" x14ac:dyDescent="0.45">
      <c r="AK35">
        <v>2046</v>
      </c>
      <c r="AL35" t="s">
        <v>185</v>
      </c>
      <c r="AM35">
        <v>0.42348333333333338</v>
      </c>
      <c r="AN35" t="s">
        <v>184</v>
      </c>
    </row>
    <row r="36" spans="37:40" x14ac:dyDescent="0.45">
      <c r="AK36">
        <v>2047</v>
      </c>
      <c r="AL36" t="s">
        <v>185</v>
      </c>
      <c r="AM36">
        <v>0.42655000000000004</v>
      </c>
      <c r="AN36" t="s">
        <v>184</v>
      </c>
    </row>
    <row r="37" spans="37:40" x14ac:dyDescent="0.45">
      <c r="AK37">
        <v>2048</v>
      </c>
      <c r="AL37" t="s">
        <v>185</v>
      </c>
      <c r="AM37">
        <v>0.42234999999999995</v>
      </c>
      <c r="AN37" t="s">
        <v>184</v>
      </c>
    </row>
    <row r="38" spans="37:40" x14ac:dyDescent="0.45">
      <c r="AK38">
        <v>2049</v>
      </c>
      <c r="AL38" t="s">
        <v>185</v>
      </c>
      <c r="AM38">
        <v>0.36228333333333329</v>
      </c>
      <c r="AN38" t="s">
        <v>184</v>
      </c>
    </row>
    <row r="39" spans="37:40" x14ac:dyDescent="0.45">
      <c r="AK39">
        <v>2050</v>
      </c>
      <c r="AL39" t="s">
        <v>185</v>
      </c>
      <c r="AM39">
        <v>0.35874999999999996</v>
      </c>
      <c r="AN39" t="s">
        <v>184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91FA3A-A973-4064-836C-52C99158196F}">
  <dimension ref="A9:AN1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112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I10" t="s">
        <v>13</v>
      </c>
      <c r="J10" t="s">
        <v>134</v>
      </c>
      <c r="K10" t="s">
        <v>155</v>
      </c>
      <c r="L10" t="s">
        <v>30</v>
      </c>
      <c r="N10" t="s">
        <v>13</v>
      </c>
      <c r="O10" t="s">
        <v>134</v>
      </c>
      <c r="P10" t="s">
        <v>155</v>
      </c>
      <c r="Q10" t="s">
        <v>30</v>
      </c>
      <c r="S10" t="s">
        <v>13</v>
      </c>
      <c r="T10" t="s">
        <v>134</v>
      </c>
      <c r="U10" t="s">
        <v>155</v>
      </c>
      <c r="V10" t="s">
        <v>30</v>
      </c>
      <c r="X10" t="s">
        <v>175</v>
      </c>
      <c r="Y10" t="s">
        <v>155</v>
      </c>
      <c r="Z10" t="s">
        <v>134</v>
      </c>
      <c r="AA10" t="s">
        <v>13</v>
      </c>
      <c r="AC10" t="s">
        <v>13</v>
      </c>
      <c r="AD10" t="s">
        <v>134</v>
      </c>
      <c r="AE10" t="s">
        <v>155</v>
      </c>
      <c r="AG10" t="s">
        <v>13</v>
      </c>
      <c r="AH10" t="s">
        <v>134</v>
      </c>
      <c r="AI10" t="s">
        <v>181</v>
      </c>
      <c r="AK10" t="s">
        <v>47</v>
      </c>
      <c r="AL10" t="s">
        <v>134</v>
      </c>
      <c r="AM10" t="s">
        <v>182</v>
      </c>
      <c r="AN10" t="s">
        <v>183</v>
      </c>
    </row>
    <row r="11" spans="1:40" x14ac:dyDescent="0.45">
      <c r="A11" t="str">
        <f>IFERROR(IF(Veda!D5=A10,"ok","x"),"")</f>
        <v>x</v>
      </c>
      <c r="C11" t="s">
        <v>188</v>
      </c>
      <c r="D11" t="s">
        <v>146</v>
      </c>
      <c r="E11" t="s">
        <v>177</v>
      </c>
      <c r="F11" t="s">
        <v>189</v>
      </c>
      <c r="G11" t="s">
        <v>146</v>
      </c>
      <c r="I11" t="s">
        <v>156</v>
      </c>
      <c r="J11" t="s">
        <v>194</v>
      </c>
      <c r="K11">
        <v>0.25600060352273007</v>
      </c>
      <c r="L11" t="s">
        <v>158</v>
      </c>
      <c r="N11" t="s">
        <v>173</v>
      </c>
      <c r="O11" t="s">
        <v>194</v>
      </c>
      <c r="P11">
        <v>0.12378336272189555</v>
      </c>
      <c r="Q11" t="s">
        <v>158</v>
      </c>
      <c r="S11" t="s">
        <v>174</v>
      </c>
      <c r="T11" t="s">
        <v>194</v>
      </c>
      <c r="U11">
        <v>0.13703067684622752</v>
      </c>
      <c r="V11" t="s">
        <v>158</v>
      </c>
      <c r="X11">
        <v>0.11426940639269406</v>
      </c>
      <c r="Y11">
        <v>0.16087081189037786</v>
      </c>
      <c r="Z11" t="s">
        <v>194</v>
      </c>
      <c r="AA11" t="s">
        <v>25</v>
      </c>
      <c r="AC11" t="s">
        <v>22</v>
      </c>
      <c r="AD11" t="s">
        <v>194</v>
      </c>
      <c r="AE11">
        <v>0.10746750608365477</v>
      </c>
      <c r="AG11" t="s">
        <v>97</v>
      </c>
      <c r="AH11" t="s">
        <v>194</v>
      </c>
      <c r="AI11">
        <v>0.28114388397789059</v>
      </c>
      <c r="AK11">
        <v>2020</v>
      </c>
      <c r="AL11" t="s">
        <v>188</v>
      </c>
      <c r="AM11">
        <v>0.40428015224097641</v>
      </c>
      <c r="AN11" t="s">
        <v>184</v>
      </c>
    </row>
    <row r="12" spans="1:40" x14ac:dyDescent="0.45">
      <c r="C12" t="s">
        <v>190</v>
      </c>
      <c r="E12" t="s">
        <v>179</v>
      </c>
      <c r="G12" t="s">
        <v>146</v>
      </c>
      <c r="I12" t="s">
        <v>156</v>
      </c>
      <c r="J12" t="s">
        <v>195</v>
      </c>
      <c r="K12">
        <v>0</v>
      </c>
      <c r="L12" t="s">
        <v>158</v>
      </c>
      <c r="N12" t="s">
        <v>173</v>
      </c>
      <c r="O12" t="s">
        <v>195</v>
      </c>
      <c r="P12">
        <v>0.16619871707167755</v>
      </c>
      <c r="Q12" t="s">
        <v>158</v>
      </c>
      <c r="S12" t="s">
        <v>174</v>
      </c>
      <c r="T12" t="s">
        <v>195</v>
      </c>
      <c r="U12">
        <v>0.14426096308403169</v>
      </c>
      <c r="V12" t="s">
        <v>158</v>
      </c>
      <c r="X12">
        <v>0.11426940639269406</v>
      </c>
      <c r="Y12">
        <v>5.2547713165767528E-2</v>
      </c>
      <c r="Z12" t="s">
        <v>195</v>
      </c>
      <c r="AA12" t="s">
        <v>25</v>
      </c>
      <c r="AC12" t="s">
        <v>22</v>
      </c>
      <c r="AD12" t="s">
        <v>195</v>
      </c>
      <c r="AE12">
        <v>0.11507795871804664</v>
      </c>
      <c r="AG12" t="s">
        <v>97</v>
      </c>
      <c r="AH12" t="s">
        <v>195</v>
      </c>
      <c r="AI12">
        <v>0.24165119214111841</v>
      </c>
      <c r="AK12">
        <v>2020</v>
      </c>
      <c r="AL12" t="s">
        <v>190</v>
      </c>
      <c r="AM12">
        <v>0.43145550524195597</v>
      </c>
      <c r="AN12" t="s">
        <v>184</v>
      </c>
    </row>
    <row r="13" spans="1:40" x14ac:dyDescent="0.45">
      <c r="C13" t="s">
        <v>191</v>
      </c>
      <c r="E13" t="s">
        <v>192</v>
      </c>
      <c r="G13" t="s">
        <v>146</v>
      </c>
      <c r="I13" t="s">
        <v>156</v>
      </c>
      <c r="J13" t="s">
        <v>196</v>
      </c>
      <c r="K13">
        <v>2.4662538277558481E-2</v>
      </c>
      <c r="L13" t="s">
        <v>158</v>
      </c>
      <c r="N13" t="s">
        <v>173</v>
      </c>
      <c r="O13" t="s">
        <v>196</v>
      </c>
      <c r="P13">
        <v>2.3576706049808167E-2</v>
      </c>
      <c r="Q13" t="s">
        <v>158</v>
      </c>
      <c r="S13" t="s">
        <v>174</v>
      </c>
      <c r="T13" t="s">
        <v>196</v>
      </c>
      <c r="U13">
        <v>2.6155360437461635E-2</v>
      </c>
      <c r="V13" t="s">
        <v>158</v>
      </c>
      <c r="X13">
        <v>2.0776255707762557E-2</v>
      </c>
      <c r="Y13">
        <v>3.5896543437005365E-2</v>
      </c>
      <c r="Z13" t="s">
        <v>196</v>
      </c>
      <c r="AA13" t="s">
        <v>25</v>
      </c>
      <c r="AC13" t="s">
        <v>22</v>
      </c>
      <c r="AD13" t="s">
        <v>196</v>
      </c>
      <c r="AE13">
        <v>2.2296812535938335E-2</v>
      </c>
      <c r="AG13" t="s">
        <v>97</v>
      </c>
      <c r="AH13" t="s">
        <v>196</v>
      </c>
      <c r="AI13">
        <v>0.18224025353450046</v>
      </c>
      <c r="AK13">
        <v>2020</v>
      </c>
      <c r="AL13" t="s">
        <v>191</v>
      </c>
      <c r="AM13">
        <v>0.39318220679490351</v>
      </c>
      <c r="AN13" t="s">
        <v>184</v>
      </c>
    </row>
    <row r="14" spans="1:40" x14ac:dyDescent="0.45">
      <c r="C14" t="s">
        <v>193</v>
      </c>
      <c r="I14" t="s">
        <v>156</v>
      </c>
      <c r="J14" t="s">
        <v>197</v>
      </c>
      <c r="K14">
        <v>0.21353961933931231</v>
      </c>
      <c r="L14" t="s">
        <v>158</v>
      </c>
      <c r="N14" t="s">
        <v>173</v>
      </c>
      <c r="O14" t="s">
        <v>197</v>
      </c>
      <c r="P14">
        <v>8.3470183732030565E-2</v>
      </c>
      <c r="Q14" t="s">
        <v>158</v>
      </c>
      <c r="S14" t="s">
        <v>174</v>
      </c>
      <c r="T14" t="s">
        <v>197</v>
      </c>
      <c r="U14">
        <v>9.9525775459301649E-2</v>
      </c>
      <c r="V14" t="s">
        <v>158</v>
      </c>
      <c r="X14">
        <v>0.11552511415525114</v>
      </c>
      <c r="Y14">
        <v>0.16263862301005233</v>
      </c>
      <c r="Z14" t="s">
        <v>197</v>
      </c>
      <c r="AA14" t="s">
        <v>25</v>
      </c>
      <c r="AC14" t="s">
        <v>22</v>
      </c>
      <c r="AD14" t="s">
        <v>197</v>
      </c>
      <c r="AE14">
        <v>0.10854061634593581</v>
      </c>
      <c r="AG14" t="s">
        <v>97</v>
      </c>
      <c r="AH14" t="s">
        <v>197</v>
      </c>
      <c r="AI14">
        <v>0.33254809651703798</v>
      </c>
      <c r="AK14">
        <v>2020</v>
      </c>
      <c r="AL14" t="s">
        <v>193</v>
      </c>
      <c r="AM14">
        <v>0.45620894289053232</v>
      </c>
      <c r="AN14" t="s">
        <v>184</v>
      </c>
    </row>
    <row r="15" spans="1:40" x14ac:dyDescent="0.45">
      <c r="I15" t="s">
        <v>156</v>
      </c>
      <c r="J15" t="s">
        <v>198</v>
      </c>
      <c r="K15">
        <v>1.1246142992547061E-6</v>
      </c>
      <c r="L15" t="s">
        <v>158</v>
      </c>
      <c r="N15" t="s">
        <v>173</v>
      </c>
      <c r="O15" t="s">
        <v>198</v>
      </c>
      <c r="P15">
        <v>0.10894225880232646</v>
      </c>
      <c r="Q15" t="s">
        <v>158</v>
      </c>
      <c r="S15" t="s">
        <v>174</v>
      </c>
      <c r="T15" t="s">
        <v>198</v>
      </c>
      <c r="U15">
        <v>0.10953724700415568</v>
      </c>
      <c r="V15" t="s">
        <v>158</v>
      </c>
      <c r="X15">
        <v>0.11552511415525114</v>
      </c>
      <c r="Y15">
        <v>5.3125160563193538E-2</v>
      </c>
      <c r="Z15" t="s">
        <v>198</v>
      </c>
      <c r="AA15" t="s">
        <v>25</v>
      </c>
      <c r="AC15" t="s">
        <v>22</v>
      </c>
      <c r="AD15" t="s">
        <v>198</v>
      </c>
      <c r="AE15">
        <v>0.11880032319592665</v>
      </c>
      <c r="AG15" t="s">
        <v>97</v>
      </c>
      <c r="AH15" t="s">
        <v>198</v>
      </c>
      <c r="AI15">
        <v>0.26427979361696696</v>
      </c>
      <c r="AK15">
        <v>2021</v>
      </c>
      <c r="AL15" t="s">
        <v>188</v>
      </c>
      <c r="AM15">
        <v>0.33926186136744718</v>
      </c>
      <c r="AN15" t="s">
        <v>184</v>
      </c>
    </row>
    <row r="16" spans="1:40" x14ac:dyDescent="0.45">
      <c r="I16" t="s">
        <v>156</v>
      </c>
      <c r="J16" t="s">
        <v>199</v>
      </c>
      <c r="K16">
        <v>2.2983337489004961E-2</v>
      </c>
      <c r="L16" t="s">
        <v>158</v>
      </c>
      <c r="N16" t="s">
        <v>173</v>
      </c>
      <c r="O16" t="s">
        <v>199</v>
      </c>
      <c r="P16">
        <v>1.5584114069178085E-2</v>
      </c>
      <c r="Q16" t="s">
        <v>158</v>
      </c>
      <c r="S16" t="s">
        <v>174</v>
      </c>
      <c r="T16" t="s">
        <v>199</v>
      </c>
      <c r="U16">
        <v>2.0061972066498349E-2</v>
      </c>
      <c r="V16" t="s">
        <v>158</v>
      </c>
      <c r="X16">
        <v>2.1004566210045664E-2</v>
      </c>
      <c r="Y16">
        <v>3.6291010947302131E-2</v>
      </c>
      <c r="Z16" t="s">
        <v>199</v>
      </c>
      <c r="AA16" t="s">
        <v>25</v>
      </c>
      <c r="AC16" t="s">
        <v>22</v>
      </c>
      <c r="AD16" t="s">
        <v>199</v>
      </c>
      <c r="AE16">
        <v>2.3012000550329811E-2</v>
      </c>
      <c r="AG16" t="s">
        <v>97</v>
      </c>
      <c r="AH16" t="s">
        <v>199</v>
      </c>
      <c r="AI16">
        <v>0.21652355545675173</v>
      </c>
      <c r="AK16">
        <v>2021</v>
      </c>
      <c r="AL16" t="s">
        <v>190</v>
      </c>
      <c r="AM16">
        <v>0.45440433006519898</v>
      </c>
      <c r="AN16" t="s">
        <v>184</v>
      </c>
    </row>
    <row r="17" spans="9:40" x14ac:dyDescent="0.45">
      <c r="I17" t="s">
        <v>156</v>
      </c>
      <c r="J17" t="s">
        <v>200</v>
      </c>
      <c r="K17">
        <v>0.20641241133938554</v>
      </c>
      <c r="L17" t="s">
        <v>158</v>
      </c>
      <c r="N17" t="s">
        <v>173</v>
      </c>
      <c r="O17" t="s">
        <v>200</v>
      </c>
      <c r="P17">
        <v>0.12207277062693601</v>
      </c>
      <c r="Q17" t="s">
        <v>158</v>
      </c>
      <c r="S17" t="s">
        <v>174</v>
      </c>
      <c r="T17" t="s">
        <v>200</v>
      </c>
      <c r="U17">
        <v>0.10788508198635595</v>
      </c>
      <c r="V17" t="s">
        <v>158</v>
      </c>
      <c r="X17">
        <v>0.11552511415525114</v>
      </c>
      <c r="Y17">
        <v>0.16263862301005233</v>
      </c>
      <c r="Z17" t="s">
        <v>200</v>
      </c>
      <c r="AA17" t="s">
        <v>25</v>
      </c>
      <c r="AC17" t="s">
        <v>22</v>
      </c>
      <c r="AD17" t="s">
        <v>200</v>
      </c>
      <c r="AE17">
        <v>0.10299117185837108</v>
      </c>
      <c r="AG17" t="s">
        <v>97</v>
      </c>
      <c r="AH17" t="s">
        <v>200</v>
      </c>
      <c r="AI17">
        <v>0.16699612170250089</v>
      </c>
      <c r="AK17">
        <v>2021</v>
      </c>
      <c r="AL17" t="s">
        <v>191</v>
      </c>
      <c r="AM17">
        <v>0.32268624665758983</v>
      </c>
      <c r="AN17" t="s">
        <v>184</v>
      </c>
    </row>
    <row r="18" spans="9:40" x14ac:dyDescent="0.45">
      <c r="I18" t="s">
        <v>156</v>
      </c>
      <c r="J18" t="s">
        <v>201</v>
      </c>
      <c r="K18">
        <v>0</v>
      </c>
      <c r="L18" t="s">
        <v>158</v>
      </c>
      <c r="N18" t="s">
        <v>173</v>
      </c>
      <c r="O18" t="s">
        <v>201</v>
      </c>
      <c r="P18">
        <v>0.14318393959919393</v>
      </c>
      <c r="Q18" t="s">
        <v>158</v>
      </c>
      <c r="S18" t="s">
        <v>174</v>
      </c>
      <c r="T18" t="s">
        <v>201</v>
      </c>
      <c r="U18">
        <v>0.12028772921818569</v>
      </c>
      <c r="V18" t="s">
        <v>158</v>
      </c>
      <c r="X18">
        <v>0.11552511415525114</v>
      </c>
      <c r="Y18">
        <v>5.3125160563193538E-2</v>
      </c>
      <c r="Z18" t="s">
        <v>201</v>
      </c>
      <c r="AA18" t="s">
        <v>25</v>
      </c>
      <c r="AC18" t="s">
        <v>22</v>
      </c>
      <c r="AD18" t="s">
        <v>201</v>
      </c>
      <c r="AE18">
        <v>0.11328122130945671</v>
      </c>
      <c r="AG18" t="s">
        <v>97</v>
      </c>
      <c r="AH18" t="s">
        <v>201</v>
      </c>
      <c r="AI18">
        <v>0.15429118361973715</v>
      </c>
      <c r="AK18">
        <v>2021</v>
      </c>
      <c r="AL18" t="s">
        <v>193</v>
      </c>
      <c r="AM18">
        <v>0.44067136028479997</v>
      </c>
      <c r="AN18" t="s">
        <v>184</v>
      </c>
    </row>
    <row r="19" spans="9:40" x14ac:dyDescent="0.45">
      <c r="I19" t="s">
        <v>156</v>
      </c>
      <c r="J19" t="s">
        <v>202</v>
      </c>
      <c r="K19">
        <v>2.2147620465851774E-2</v>
      </c>
      <c r="L19" t="s">
        <v>158</v>
      </c>
      <c r="N19" t="s">
        <v>173</v>
      </c>
      <c r="O19" t="s">
        <v>202</v>
      </c>
      <c r="P19">
        <v>2.1994357695343403E-2</v>
      </c>
      <c r="Q19" t="s">
        <v>158</v>
      </c>
      <c r="S19" t="s">
        <v>174</v>
      </c>
      <c r="T19" t="s">
        <v>202</v>
      </c>
      <c r="U19">
        <v>2.0688213681586812E-2</v>
      </c>
      <c r="V19" t="s">
        <v>158</v>
      </c>
      <c r="X19">
        <v>2.1004566210045664E-2</v>
      </c>
      <c r="Y19">
        <v>3.6291010947302131E-2</v>
      </c>
      <c r="Z19" t="s">
        <v>202</v>
      </c>
      <c r="AA19" t="s">
        <v>25</v>
      </c>
      <c r="AC19" t="s">
        <v>22</v>
      </c>
      <c r="AD19" t="s">
        <v>202</v>
      </c>
      <c r="AE19">
        <v>2.1139518025726198E-2</v>
      </c>
      <c r="AG19" t="s">
        <v>97</v>
      </c>
      <c r="AH19" t="s">
        <v>202</v>
      </c>
      <c r="AI19">
        <v>8.5884208074758606E-2</v>
      </c>
      <c r="AK19">
        <v>2022</v>
      </c>
      <c r="AL19" t="s">
        <v>188</v>
      </c>
      <c r="AM19">
        <v>0.42231667003980294</v>
      </c>
      <c r="AN19" t="s">
        <v>184</v>
      </c>
    </row>
    <row r="20" spans="9:40" x14ac:dyDescent="0.45">
      <c r="I20" t="s">
        <v>156</v>
      </c>
      <c r="J20" t="s">
        <v>203</v>
      </c>
      <c r="K20">
        <v>0.22684827956006251</v>
      </c>
      <c r="L20" t="s">
        <v>158</v>
      </c>
      <c r="N20" t="s">
        <v>173</v>
      </c>
      <c r="O20" t="s">
        <v>203</v>
      </c>
      <c r="P20">
        <v>6.8819237727189592E-2</v>
      </c>
      <c r="Q20" t="s">
        <v>158</v>
      </c>
      <c r="S20" t="s">
        <v>174</v>
      </c>
      <c r="T20" t="s">
        <v>203</v>
      </c>
      <c r="U20">
        <v>8.9418967810014974E-2</v>
      </c>
      <c r="V20" t="s">
        <v>158</v>
      </c>
      <c r="X20">
        <v>0.11301369863013698</v>
      </c>
      <c r="Y20">
        <v>0.15910300077070333</v>
      </c>
      <c r="Z20" t="s">
        <v>203</v>
      </c>
      <c r="AA20" t="s">
        <v>25</v>
      </c>
      <c r="AC20" t="s">
        <v>22</v>
      </c>
      <c r="AD20" t="s">
        <v>203</v>
      </c>
      <c r="AE20">
        <v>0.11841310460254856</v>
      </c>
      <c r="AG20" t="s">
        <v>97</v>
      </c>
      <c r="AH20" t="s">
        <v>203</v>
      </c>
      <c r="AI20">
        <v>0.30182073008522092</v>
      </c>
      <c r="AK20">
        <v>2022</v>
      </c>
      <c r="AL20" t="s">
        <v>190</v>
      </c>
      <c r="AM20">
        <v>0.49373059086467636</v>
      </c>
      <c r="AN20" t="s">
        <v>184</v>
      </c>
    </row>
    <row r="21" spans="9:40" x14ac:dyDescent="0.45">
      <c r="I21" t="s">
        <v>156</v>
      </c>
      <c r="J21" t="s">
        <v>204</v>
      </c>
      <c r="K21">
        <v>9.3989496224169142E-4</v>
      </c>
      <c r="L21" t="s">
        <v>158</v>
      </c>
      <c r="N21" t="s">
        <v>173</v>
      </c>
      <c r="O21" t="s">
        <v>204</v>
      </c>
      <c r="P21">
        <v>0.10864143100043103</v>
      </c>
      <c r="Q21" t="s">
        <v>158</v>
      </c>
      <c r="S21" t="s">
        <v>174</v>
      </c>
      <c r="T21" t="s">
        <v>204</v>
      </c>
      <c r="U21">
        <v>0.10635490966584987</v>
      </c>
      <c r="V21" t="s">
        <v>158</v>
      </c>
      <c r="X21">
        <v>0.11301369863013698</v>
      </c>
      <c r="Y21">
        <v>5.197026576834151E-2</v>
      </c>
      <c r="Z21" t="s">
        <v>204</v>
      </c>
      <c r="AA21" t="s">
        <v>25</v>
      </c>
      <c r="AC21" t="s">
        <v>22</v>
      </c>
      <c r="AD21" t="s">
        <v>204</v>
      </c>
      <c r="AE21">
        <v>0.12346644850062671</v>
      </c>
      <c r="AG21" t="s">
        <v>97</v>
      </c>
      <c r="AH21" t="s">
        <v>204</v>
      </c>
      <c r="AI21">
        <v>0.25734213655111149</v>
      </c>
      <c r="AK21">
        <v>2022</v>
      </c>
      <c r="AL21" t="s">
        <v>191</v>
      </c>
      <c r="AM21">
        <v>0.4171032702012783</v>
      </c>
      <c r="AN21" t="s">
        <v>184</v>
      </c>
    </row>
    <row r="22" spans="9:40" x14ac:dyDescent="0.45">
      <c r="I22" t="s">
        <v>156</v>
      </c>
      <c r="J22" t="s">
        <v>205</v>
      </c>
      <c r="K22">
        <v>2.6464570429349413E-2</v>
      </c>
      <c r="L22" t="s">
        <v>158</v>
      </c>
      <c r="N22" t="s">
        <v>173</v>
      </c>
      <c r="O22" t="s">
        <v>205</v>
      </c>
      <c r="P22">
        <v>1.3732920903749507E-2</v>
      </c>
      <c r="Q22" t="s">
        <v>158</v>
      </c>
      <c r="S22" t="s">
        <v>174</v>
      </c>
      <c r="T22" t="s">
        <v>205</v>
      </c>
      <c r="U22">
        <v>1.8793102740100733E-2</v>
      </c>
      <c r="V22" t="s">
        <v>158</v>
      </c>
      <c r="X22">
        <v>2.0547945205479451E-2</v>
      </c>
      <c r="Y22">
        <v>3.5502075926708607E-2</v>
      </c>
      <c r="Z22" t="s">
        <v>205</v>
      </c>
      <c r="AA22" t="s">
        <v>25</v>
      </c>
      <c r="AC22" t="s">
        <v>22</v>
      </c>
      <c r="AD22" t="s">
        <v>205</v>
      </c>
      <c r="AE22">
        <v>2.5513318273438734E-2</v>
      </c>
      <c r="AG22" t="s">
        <v>97</v>
      </c>
      <c r="AH22" t="s">
        <v>205</v>
      </c>
      <c r="AI22">
        <v>0.16641439001056568</v>
      </c>
      <c r="AK22">
        <v>2022</v>
      </c>
      <c r="AL22" t="s">
        <v>193</v>
      </c>
      <c r="AM22">
        <v>0.48988781912279178</v>
      </c>
      <c r="AN22" t="s">
        <v>184</v>
      </c>
    </row>
    <row r="23" spans="9:40" x14ac:dyDescent="0.45">
      <c r="AC23" t="s">
        <v>19</v>
      </c>
      <c r="AD23" t="s">
        <v>194</v>
      </c>
      <c r="AE23">
        <v>0.11396490962699413</v>
      </c>
      <c r="AK23">
        <v>2025</v>
      </c>
      <c r="AL23" t="s">
        <v>188</v>
      </c>
      <c r="AM23">
        <v>0.35646666666666665</v>
      </c>
      <c r="AN23" t="s">
        <v>184</v>
      </c>
    </row>
    <row r="24" spans="9:40" x14ac:dyDescent="0.45">
      <c r="AC24" t="s">
        <v>19</v>
      </c>
      <c r="AD24" t="s">
        <v>195</v>
      </c>
      <c r="AE24">
        <v>0.11443313105699386</v>
      </c>
      <c r="AK24">
        <v>2025</v>
      </c>
      <c r="AL24" t="s">
        <v>190</v>
      </c>
      <c r="AM24">
        <v>0.39456666666666668</v>
      </c>
      <c r="AN24" t="s">
        <v>184</v>
      </c>
    </row>
    <row r="25" spans="9:40" x14ac:dyDescent="0.45">
      <c r="AC25" t="s">
        <v>19</v>
      </c>
      <c r="AD25" t="s">
        <v>196</v>
      </c>
      <c r="AE25">
        <v>2.0890529221147352E-2</v>
      </c>
      <c r="AK25">
        <v>2025</v>
      </c>
      <c r="AL25" t="s">
        <v>191</v>
      </c>
      <c r="AM25">
        <v>0.32286666666666669</v>
      </c>
      <c r="AN25" t="s">
        <v>184</v>
      </c>
    </row>
    <row r="26" spans="9:40" x14ac:dyDescent="0.45">
      <c r="AC26" t="s">
        <v>19</v>
      </c>
      <c r="AD26" t="s">
        <v>197</v>
      </c>
      <c r="AE26">
        <v>0.11513877183469806</v>
      </c>
      <c r="AK26">
        <v>2025</v>
      </c>
      <c r="AL26" t="s">
        <v>193</v>
      </c>
      <c r="AM26">
        <v>0.43240000000000006</v>
      </c>
      <c r="AN26" t="s">
        <v>184</v>
      </c>
    </row>
    <row r="27" spans="9:40" x14ac:dyDescent="0.45">
      <c r="AC27" t="s">
        <v>19</v>
      </c>
      <c r="AD27" t="s">
        <v>198</v>
      </c>
      <c r="AE27">
        <v>0.11576998456848109</v>
      </c>
      <c r="AK27">
        <v>2026</v>
      </c>
      <c r="AL27" t="s">
        <v>188</v>
      </c>
      <c r="AM27">
        <v>0.3231</v>
      </c>
      <c r="AN27" t="s">
        <v>184</v>
      </c>
    </row>
    <row r="28" spans="9:40" x14ac:dyDescent="0.45">
      <c r="AC28" t="s">
        <v>19</v>
      </c>
      <c r="AD28" t="s">
        <v>199</v>
      </c>
      <c r="AE28">
        <v>2.1135955657045666E-2</v>
      </c>
      <c r="AK28">
        <v>2026</v>
      </c>
      <c r="AL28" t="s">
        <v>190</v>
      </c>
      <c r="AM28">
        <v>0.41533333333333333</v>
      </c>
      <c r="AN28" t="s">
        <v>184</v>
      </c>
    </row>
    <row r="29" spans="9:40" x14ac:dyDescent="0.45">
      <c r="AC29" t="s">
        <v>19</v>
      </c>
      <c r="AD29" t="s">
        <v>200</v>
      </c>
      <c r="AE29">
        <v>0.11512712581010943</v>
      </c>
      <c r="AK29">
        <v>2026</v>
      </c>
      <c r="AL29" t="s">
        <v>191</v>
      </c>
      <c r="AM29">
        <v>0.30640000000000001</v>
      </c>
      <c r="AN29" t="s">
        <v>184</v>
      </c>
    </row>
    <row r="30" spans="9:40" x14ac:dyDescent="0.45">
      <c r="AC30" t="s">
        <v>19</v>
      </c>
      <c r="AD30" t="s">
        <v>201</v>
      </c>
      <c r="AE30">
        <v>0.1157602053259036</v>
      </c>
      <c r="AK30">
        <v>2026</v>
      </c>
      <c r="AL30" t="s">
        <v>193</v>
      </c>
      <c r="AM30">
        <v>0.41870000000000002</v>
      </c>
      <c r="AN30" t="s">
        <v>184</v>
      </c>
    </row>
    <row r="31" spans="9:40" x14ac:dyDescent="0.45">
      <c r="AC31" t="s">
        <v>19</v>
      </c>
      <c r="AD31" t="s">
        <v>202</v>
      </c>
      <c r="AE31">
        <v>2.1080713138626236E-2</v>
      </c>
      <c r="AK31">
        <v>2027</v>
      </c>
      <c r="AL31" t="s">
        <v>188</v>
      </c>
      <c r="AM31">
        <v>0.3463</v>
      </c>
      <c r="AN31" t="s">
        <v>184</v>
      </c>
    </row>
    <row r="32" spans="9:40" x14ac:dyDescent="0.45">
      <c r="AC32" t="s">
        <v>19</v>
      </c>
      <c r="AD32" t="s">
        <v>203</v>
      </c>
      <c r="AE32">
        <v>0.11281539764587316</v>
      </c>
      <c r="AK32">
        <v>2027</v>
      </c>
      <c r="AL32" t="s">
        <v>190</v>
      </c>
      <c r="AM32">
        <v>0.42839999999999995</v>
      </c>
      <c r="AN32" t="s">
        <v>184</v>
      </c>
    </row>
    <row r="33" spans="29:40" x14ac:dyDescent="0.45">
      <c r="AC33" t="s">
        <v>19</v>
      </c>
      <c r="AD33" t="s">
        <v>204</v>
      </c>
      <c r="AE33">
        <v>0.11312629688142535</v>
      </c>
      <c r="AK33">
        <v>2027</v>
      </c>
      <c r="AL33" t="s">
        <v>191</v>
      </c>
      <c r="AM33">
        <v>0.33456666666666668</v>
      </c>
      <c r="AN33" t="s">
        <v>184</v>
      </c>
    </row>
    <row r="34" spans="29:40" x14ac:dyDescent="0.45">
      <c r="AC34" t="s">
        <v>19</v>
      </c>
      <c r="AD34" t="s">
        <v>205</v>
      </c>
      <c r="AE34">
        <v>2.0756979232702068E-2</v>
      </c>
      <c r="AK34">
        <v>2027</v>
      </c>
      <c r="AL34" t="s">
        <v>193</v>
      </c>
      <c r="AM34">
        <v>0.37906666666666666</v>
      </c>
      <c r="AN34" t="s">
        <v>184</v>
      </c>
    </row>
    <row r="35" spans="29:40" x14ac:dyDescent="0.45">
      <c r="AK35">
        <v>2028</v>
      </c>
      <c r="AL35" t="s">
        <v>188</v>
      </c>
      <c r="AM35">
        <v>0.46473333333333339</v>
      </c>
      <c r="AN35" t="s">
        <v>184</v>
      </c>
    </row>
    <row r="36" spans="29:40" x14ac:dyDescent="0.45">
      <c r="AK36">
        <v>2028</v>
      </c>
      <c r="AL36" t="s">
        <v>190</v>
      </c>
      <c r="AM36">
        <v>0.53206666666666669</v>
      </c>
      <c r="AN36" t="s">
        <v>184</v>
      </c>
    </row>
    <row r="37" spans="29:40" x14ac:dyDescent="0.45">
      <c r="AK37">
        <v>2028</v>
      </c>
      <c r="AL37" t="s">
        <v>191</v>
      </c>
      <c r="AM37">
        <v>0.41336666666666666</v>
      </c>
      <c r="AN37" t="s">
        <v>184</v>
      </c>
    </row>
    <row r="38" spans="29:40" x14ac:dyDescent="0.45">
      <c r="AK38">
        <v>2028</v>
      </c>
      <c r="AL38" t="s">
        <v>193</v>
      </c>
      <c r="AM38">
        <v>0.4996666666666667</v>
      </c>
      <c r="AN38" t="s">
        <v>184</v>
      </c>
    </row>
    <row r="39" spans="29:40" x14ac:dyDescent="0.45">
      <c r="AK39">
        <v>2029</v>
      </c>
      <c r="AL39" t="s">
        <v>188</v>
      </c>
      <c r="AM39">
        <v>0.46993333333333331</v>
      </c>
      <c r="AN39" t="s">
        <v>184</v>
      </c>
    </row>
    <row r="40" spans="29:40" x14ac:dyDescent="0.45">
      <c r="AK40">
        <v>2029</v>
      </c>
      <c r="AL40" t="s">
        <v>190</v>
      </c>
      <c r="AM40">
        <v>0.53426666666666678</v>
      </c>
      <c r="AN40" t="s">
        <v>184</v>
      </c>
    </row>
    <row r="41" spans="29:40" x14ac:dyDescent="0.45">
      <c r="AK41">
        <v>2029</v>
      </c>
      <c r="AL41" t="s">
        <v>191</v>
      </c>
      <c r="AM41">
        <v>0.40726666666666667</v>
      </c>
      <c r="AN41" t="s">
        <v>184</v>
      </c>
    </row>
    <row r="42" spans="29:40" x14ac:dyDescent="0.45">
      <c r="AK42">
        <v>2029</v>
      </c>
      <c r="AL42" t="s">
        <v>193</v>
      </c>
      <c r="AM42">
        <v>0.56016666666666659</v>
      </c>
      <c r="AN42" t="s">
        <v>184</v>
      </c>
    </row>
    <row r="43" spans="29:40" x14ac:dyDescent="0.45">
      <c r="AK43">
        <v>2030</v>
      </c>
      <c r="AL43" t="s">
        <v>188</v>
      </c>
      <c r="AM43">
        <v>0.48399999999999999</v>
      </c>
      <c r="AN43" t="s">
        <v>184</v>
      </c>
    </row>
    <row r="44" spans="29:40" x14ac:dyDescent="0.45">
      <c r="AK44">
        <v>2030</v>
      </c>
      <c r="AL44" t="s">
        <v>190</v>
      </c>
      <c r="AM44">
        <v>0.55566666666666664</v>
      </c>
      <c r="AN44" t="s">
        <v>184</v>
      </c>
    </row>
    <row r="45" spans="29:40" x14ac:dyDescent="0.45">
      <c r="AK45">
        <v>2030</v>
      </c>
      <c r="AL45" t="s">
        <v>191</v>
      </c>
      <c r="AM45">
        <v>0.47039999999999998</v>
      </c>
      <c r="AN45" t="s">
        <v>184</v>
      </c>
    </row>
    <row r="46" spans="29:40" x14ac:dyDescent="0.45">
      <c r="AK46">
        <v>2030</v>
      </c>
      <c r="AL46" t="s">
        <v>193</v>
      </c>
      <c r="AM46">
        <v>0.5427333333333334</v>
      </c>
      <c r="AN46" t="s">
        <v>184</v>
      </c>
    </row>
    <row r="47" spans="29:40" x14ac:dyDescent="0.45">
      <c r="AK47">
        <v>2031</v>
      </c>
      <c r="AL47" t="s">
        <v>188</v>
      </c>
      <c r="AM47">
        <v>0.48343333333333333</v>
      </c>
      <c r="AN47" t="s">
        <v>184</v>
      </c>
    </row>
    <row r="48" spans="29:40" x14ac:dyDescent="0.45">
      <c r="AK48">
        <v>2031</v>
      </c>
      <c r="AL48" t="s">
        <v>190</v>
      </c>
      <c r="AM48">
        <v>0.52726666666666666</v>
      </c>
      <c r="AN48" t="s">
        <v>184</v>
      </c>
    </row>
    <row r="49" spans="37:40" x14ac:dyDescent="0.45">
      <c r="AK49">
        <v>2031</v>
      </c>
      <c r="AL49" t="s">
        <v>191</v>
      </c>
      <c r="AM49">
        <v>0.42169999999999996</v>
      </c>
      <c r="AN49" t="s">
        <v>184</v>
      </c>
    </row>
    <row r="50" spans="37:40" x14ac:dyDescent="0.45">
      <c r="AK50">
        <v>2031</v>
      </c>
      <c r="AL50" t="s">
        <v>193</v>
      </c>
      <c r="AM50">
        <v>0.5726</v>
      </c>
      <c r="AN50" t="s">
        <v>184</v>
      </c>
    </row>
    <row r="51" spans="37:40" x14ac:dyDescent="0.45">
      <c r="AK51">
        <v>2032</v>
      </c>
      <c r="AL51" t="s">
        <v>188</v>
      </c>
      <c r="AM51">
        <v>0.46026666666666666</v>
      </c>
      <c r="AN51" t="s">
        <v>184</v>
      </c>
    </row>
    <row r="52" spans="37:40" x14ac:dyDescent="0.45">
      <c r="AK52">
        <v>2032</v>
      </c>
      <c r="AL52" t="s">
        <v>190</v>
      </c>
      <c r="AM52">
        <v>0.5510666666666667</v>
      </c>
      <c r="AN52" t="s">
        <v>184</v>
      </c>
    </row>
    <row r="53" spans="37:40" x14ac:dyDescent="0.45">
      <c r="AK53">
        <v>2032</v>
      </c>
      <c r="AL53" t="s">
        <v>191</v>
      </c>
      <c r="AM53">
        <v>0.43703333333333333</v>
      </c>
      <c r="AN53" t="s">
        <v>184</v>
      </c>
    </row>
    <row r="54" spans="37:40" x14ac:dyDescent="0.45">
      <c r="AK54">
        <v>2032</v>
      </c>
      <c r="AL54" t="s">
        <v>193</v>
      </c>
      <c r="AM54">
        <v>0.5283000000000001</v>
      </c>
      <c r="AN54" t="s">
        <v>184</v>
      </c>
    </row>
    <row r="55" spans="37:40" x14ac:dyDescent="0.45">
      <c r="AK55">
        <v>2033</v>
      </c>
      <c r="AL55" t="s">
        <v>188</v>
      </c>
      <c r="AM55">
        <v>0.43390000000000001</v>
      </c>
      <c r="AN55" t="s">
        <v>184</v>
      </c>
    </row>
    <row r="56" spans="37:40" x14ac:dyDescent="0.45">
      <c r="AK56">
        <v>2033</v>
      </c>
      <c r="AL56" t="s">
        <v>190</v>
      </c>
      <c r="AM56">
        <v>0.55846666666666667</v>
      </c>
      <c r="AN56" t="s">
        <v>184</v>
      </c>
    </row>
    <row r="57" spans="37:40" x14ac:dyDescent="0.45">
      <c r="AK57">
        <v>2033</v>
      </c>
      <c r="AL57" t="s">
        <v>191</v>
      </c>
      <c r="AM57">
        <v>0.43976666666666664</v>
      </c>
      <c r="AN57" t="s">
        <v>184</v>
      </c>
    </row>
    <row r="58" spans="37:40" x14ac:dyDescent="0.45">
      <c r="AK58">
        <v>2033</v>
      </c>
      <c r="AL58" t="s">
        <v>193</v>
      </c>
      <c r="AM58">
        <v>0.56270000000000009</v>
      </c>
      <c r="AN58" t="s">
        <v>184</v>
      </c>
    </row>
    <row r="59" spans="37:40" x14ac:dyDescent="0.45">
      <c r="AK59">
        <v>2034</v>
      </c>
      <c r="AL59" t="s">
        <v>188</v>
      </c>
      <c r="AM59">
        <v>0.45736666666666664</v>
      </c>
      <c r="AN59" t="s">
        <v>184</v>
      </c>
    </row>
    <row r="60" spans="37:40" x14ac:dyDescent="0.45">
      <c r="AK60">
        <v>2034</v>
      </c>
      <c r="AL60" t="s">
        <v>190</v>
      </c>
      <c r="AM60">
        <v>0.54183333333333328</v>
      </c>
      <c r="AN60" t="s">
        <v>184</v>
      </c>
    </row>
    <row r="61" spans="37:40" x14ac:dyDescent="0.45">
      <c r="AK61">
        <v>2034</v>
      </c>
      <c r="AL61" t="s">
        <v>191</v>
      </c>
      <c r="AM61">
        <v>0.45416666666666661</v>
      </c>
      <c r="AN61" t="s">
        <v>184</v>
      </c>
    </row>
    <row r="62" spans="37:40" x14ac:dyDescent="0.45">
      <c r="AK62">
        <v>2034</v>
      </c>
      <c r="AL62" t="s">
        <v>193</v>
      </c>
      <c r="AM62">
        <v>0.5514</v>
      </c>
      <c r="AN62" t="s">
        <v>184</v>
      </c>
    </row>
    <row r="63" spans="37:40" x14ac:dyDescent="0.45">
      <c r="AK63">
        <v>2035</v>
      </c>
      <c r="AL63" t="s">
        <v>188</v>
      </c>
      <c r="AM63">
        <v>0.46096666666666669</v>
      </c>
      <c r="AN63" t="s">
        <v>184</v>
      </c>
    </row>
    <row r="64" spans="37:40" x14ac:dyDescent="0.45">
      <c r="AK64">
        <v>2035</v>
      </c>
      <c r="AL64" t="s">
        <v>190</v>
      </c>
      <c r="AM64">
        <v>0.57316666666666671</v>
      </c>
      <c r="AN64" t="s">
        <v>184</v>
      </c>
    </row>
    <row r="65" spans="37:40" x14ac:dyDescent="0.45">
      <c r="AK65">
        <v>2035</v>
      </c>
      <c r="AL65" t="s">
        <v>191</v>
      </c>
      <c r="AM65">
        <v>0.46183333333333332</v>
      </c>
      <c r="AN65" t="s">
        <v>184</v>
      </c>
    </row>
    <row r="66" spans="37:40" x14ac:dyDescent="0.45">
      <c r="AK66">
        <v>2035</v>
      </c>
      <c r="AL66" t="s">
        <v>193</v>
      </c>
      <c r="AM66">
        <v>0.56873333333333331</v>
      </c>
      <c r="AN66" t="s">
        <v>184</v>
      </c>
    </row>
    <row r="67" spans="37:40" x14ac:dyDescent="0.45">
      <c r="AK67">
        <v>2036</v>
      </c>
      <c r="AL67" t="s">
        <v>188</v>
      </c>
      <c r="AM67">
        <v>0.41606666666666664</v>
      </c>
      <c r="AN67" t="s">
        <v>184</v>
      </c>
    </row>
    <row r="68" spans="37:40" x14ac:dyDescent="0.45">
      <c r="AK68">
        <v>2036</v>
      </c>
      <c r="AL68" t="s">
        <v>190</v>
      </c>
      <c r="AM68">
        <v>0.46343333333333336</v>
      </c>
      <c r="AN68" t="s">
        <v>184</v>
      </c>
    </row>
    <row r="69" spans="37:40" x14ac:dyDescent="0.45">
      <c r="AK69">
        <v>2036</v>
      </c>
      <c r="AL69" t="s">
        <v>191</v>
      </c>
      <c r="AM69">
        <v>0.37523333333333331</v>
      </c>
      <c r="AN69" t="s">
        <v>184</v>
      </c>
    </row>
    <row r="70" spans="37:40" x14ac:dyDescent="0.45">
      <c r="AK70">
        <v>2036</v>
      </c>
      <c r="AL70" t="s">
        <v>193</v>
      </c>
      <c r="AM70">
        <v>0.50216666666666665</v>
      </c>
      <c r="AN70" t="s">
        <v>184</v>
      </c>
    </row>
    <row r="71" spans="37:40" x14ac:dyDescent="0.45">
      <c r="AK71">
        <v>2037</v>
      </c>
      <c r="AL71" t="s">
        <v>188</v>
      </c>
      <c r="AM71">
        <v>0.4073</v>
      </c>
      <c r="AN71" t="s">
        <v>184</v>
      </c>
    </row>
    <row r="72" spans="37:40" x14ac:dyDescent="0.45">
      <c r="AK72">
        <v>2037</v>
      </c>
      <c r="AL72" t="s">
        <v>190</v>
      </c>
      <c r="AM72">
        <v>0.45883333333333326</v>
      </c>
      <c r="AN72" t="s">
        <v>184</v>
      </c>
    </row>
    <row r="73" spans="37:40" x14ac:dyDescent="0.45">
      <c r="AK73">
        <v>2037</v>
      </c>
      <c r="AL73" t="s">
        <v>191</v>
      </c>
      <c r="AM73">
        <v>0.36959999999999998</v>
      </c>
      <c r="AN73" t="s">
        <v>184</v>
      </c>
    </row>
    <row r="74" spans="37:40" x14ac:dyDescent="0.45">
      <c r="AK74">
        <v>2037</v>
      </c>
      <c r="AL74" t="s">
        <v>193</v>
      </c>
      <c r="AM74">
        <v>0.47373333333333334</v>
      </c>
      <c r="AN74" t="s">
        <v>184</v>
      </c>
    </row>
    <row r="75" spans="37:40" x14ac:dyDescent="0.45">
      <c r="AK75">
        <v>2038</v>
      </c>
      <c r="AL75" t="s">
        <v>188</v>
      </c>
      <c r="AM75">
        <v>0.40513333333333335</v>
      </c>
      <c r="AN75" t="s">
        <v>184</v>
      </c>
    </row>
    <row r="76" spans="37:40" x14ac:dyDescent="0.45">
      <c r="AK76">
        <v>2038</v>
      </c>
      <c r="AL76" t="s">
        <v>190</v>
      </c>
      <c r="AM76">
        <v>0.45800000000000002</v>
      </c>
      <c r="AN76" t="s">
        <v>184</v>
      </c>
    </row>
    <row r="77" spans="37:40" x14ac:dyDescent="0.45">
      <c r="AK77">
        <v>2038</v>
      </c>
      <c r="AL77" t="s">
        <v>191</v>
      </c>
      <c r="AM77">
        <v>0.38106666666666666</v>
      </c>
      <c r="AN77" t="s">
        <v>184</v>
      </c>
    </row>
    <row r="78" spans="37:40" x14ac:dyDescent="0.45">
      <c r="AK78">
        <v>2038</v>
      </c>
      <c r="AL78" t="s">
        <v>193</v>
      </c>
      <c r="AM78">
        <v>0.49100000000000005</v>
      </c>
      <c r="AN78" t="s">
        <v>184</v>
      </c>
    </row>
    <row r="79" spans="37:40" x14ac:dyDescent="0.45">
      <c r="AK79">
        <v>2039</v>
      </c>
      <c r="AL79" t="s">
        <v>188</v>
      </c>
      <c r="AM79">
        <v>0.39276666666666671</v>
      </c>
      <c r="AN79" t="s">
        <v>184</v>
      </c>
    </row>
    <row r="80" spans="37:40" x14ac:dyDescent="0.45">
      <c r="AK80">
        <v>2039</v>
      </c>
      <c r="AL80" t="s">
        <v>190</v>
      </c>
      <c r="AM80">
        <v>0.47500000000000003</v>
      </c>
      <c r="AN80" t="s">
        <v>184</v>
      </c>
    </row>
    <row r="81" spans="37:40" x14ac:dyDescent="0.45">
      <c r="AK81">
        <v>2039</v>
      </c>
      <c r="AL81" t="s">
        <v>191</v>
      </c>
      <c r="AM81">
        <v>0.35846666666666671</v>
      </c>
      <c r="AN81" t="s">
        <v>184</v>
      </c>
    </row>
    <row r="82" spans="37:40" x14ac:dyDescent="0.45">
      <c r="AK82">
        <v>2039</v>
      </c>
      <c r="AL82" t="s">
        <v>193</v>
      </c>
      <c r="AM82">
        <v>0.46533333333333332</v>
      </c>
      <c r="AN82" t="s">
        <v>184</v>
      </c>
    </row>
    <row r="83" spans="37:40" x14ac:dyDescent="0.45">
      <c r="AK83">
        <v>2040</v>
      </c>
      <c r="AL83" t="s">
        <v>188</v>
      </c>
      <c r="AM83">
        <v>0.40193333333333331</v>
      </c>
      <c r="AN83" t="s">
        <v>184</v>
      </c>
    </row>
    <row r="84" spans="37:40" x14ac:dyDescent="0.45">
      <c r="AK84">
        <v>2040</v>
      </c>
      <c r="AL84" t="s">
        <v>190</v>
      </c>
      <c r="AM84">
        <v>0.49133333333333334</v>
      </c>
      <c r="AN84" t="s">
        <v>184</v>
      </c>
    </row>
    <row r="85" spans="37:40" x14ac:dyDescent="0.45">
      <c r="AK85">
        <v>2040</v>
      </c>
      <c r="AL85" t="s">
        <v>191</v>
      </c>
      <c r="AM85">
        <v>0.37023333333333336</v>
      </c>
      <c r="AN85" t="s">
        <v>184</v>
      </c>
    </row>
    <row r="86" spans="37:40" x14ac:dyDescent="0.45">
      <c r="AK86">
        <v>2040</v>
      </c>
      <c r="AL86" t="s">
        <v>193</v>
      </c>
      <c r="AM86">
        <v>0.47066666666666662</v>
      </c>
      <c r="AN86" t="s">
        <v>184</v>
      </c>
    </row>
    <row r="87" spans="37:40" x14ac:dyDescent="0.45">
      <c r="AK87">
        <v>2041</v>
      </c>
      <c r="AL87" t="s">
        <v>188</v>
      </c>
      <c r="AM87">
        <v>0.39506666666666668</v>
      </c>
      <c r="AN87" t="s">
        <v>184</v>
      </c>
    </row>
    <row r="88" spans="37:40" x14ac:dyDescent="0.45">
      <c r="AK88">
        <v>2041</v>
      </c>
      <c r="AL88" t="s">
        <v>190</v>
      </c>
      <c r="AM88">
        <v>0.45800000000000002</v>
      </c>
      <c r="AN88" t="s">
        <v>184</v>
      </c>
    </row>
    <row r="89" spans="37:40" x14ac:dyDescent="0.45">
      <c r="AK89">
        <v>2041</v>
      </c>
      <c r="AL89" t="s">
        <v>191</v>
      </c>
      <c r="AM89">
        <v>0.39246666666666669</v>
      </c>
      <c r="AN89" t="s">
        <v>184</v>
      </c>
    </row>
    <row r="90" spans="37:40" x14ac:dyDescent="0.45">
      <c r="AK90">
        <v>2041</v>
      </c>
      <c r="AL90" t="s">
        <v>193</v>
      </c>
      <c r="AM90">
        <v>0.45179999999999998</v>
      </c>
      <c r="AN90" t="s">
        <v>184</v>
      </c>
    </row>
    <row r="91" spans="37:40" x14ac:dyDescent="0.45">
      <c r="AK91">
        <v>2042</v>
      </c>
      <c r="AL91" t="s">
        <v>188</v>
      </c>
      <c r="AM91">
        <v>0.40386666666666665</v>
      </c>
      <c r="AN91" t="s">
        <v>184</v>
      </c>
    </row>
    <row r="92" spans="37:40" x14ac:dyDescent="0.45">
      <c r="AK92">
        <v>2042</v>
      </c>
      <c r="AL92" t="s">
        <v>190</v>
      </c>
      <c r="AM92">
        <v>0.45463333333333328</v>
      </c>
      <c r="AN92" t="s">
        <v>184</v>
      </c>
    </row>
    <row r="93" spans="37:40" x14ac:dyDescent="0.45">
      <c r="AK93">
        <v>2042</v>
      </c>
      <c r="AL93" t="s">
        <v>191</v>
      </c>
      <c r="AM93">
        <v>0.35263333333333335</v>
      </c>
      <c r="AN93" t="s">
        <v>184</v>
      </c>
    </row>
    <row r="94" spans="37:40" x14ac:dyDescent="0.45">
      <c r="AK94">
        <v>2042</v>
      </c>
      <c r="AL94" t="s">
        <v>193</v>
      </c>
      <c r="AM94">
        <v>0.46326666666666666</v>
      </c>
      <c r="AN94" t="s">
        <v>184</v>
      </c>
    </row>
    <row r="95" spans="37:40" x14ac:dyDescent="0.45">
      <c r="AK95">
        <v>2043</v>
      </c>
      <c r="AL95" t="s">
        <v>188</v>
      </c>
      <c r="AM95">
        <v>0.41106666666666669</v>
      </c>
      <c r="AN95" t="s">
        <v>184</v>
      </c>
    </row>
    <row r="96" spans="37:40" x14ac:dyDescent="0.45">
      <c r="AK96">
        <v>2043</v>
      </c>
      <c r="AL96" t="s">
        <v>190</v>
      </c>
      <c r="AM96">
        <v>0.47789999999999999</v>
      </c>
      <c r="AN96" t="s">
        <v>184</v>
      </c>
    </row>
    <row r="97" spans="37:40" x14ac:dyDescent="0.45">
      <c r="AK97">
        <v>2043</v>
      </c>
      <c r="AL97" t="s">
        <v>191</v>
      </c>
      <c r="AM97">
        <v>0.36556666666666665</v>
      </c>
      <c r="AN97" t="s">
        <v>184</v>
      </c>
    </row>
    <row r="98" spans="37:40" x14ac:dyDescent="0.45">
      <c r="AK98">
        <v>2043</v>
      </c>
      <c r="AL98" t="s">
        <v>193</v>
      </c>
      <c r="AM98">
        <v>0.46706666666666669</v>
      </c>
      <c r="AN98" t="s">
        <v>184</v>
      </c>
    </row>
    <row r="99" spans="37:40" x14ac:dyDescent="0.45">
      <c r="AK99">
        <v>2044</v>
      </c>
      <c r="AL99" t="s">
        <v>188</v>
      </c>
      <c r="AM99">
        <v>0.42566666666666669</v>
      </c>
      <c r="AN99" t="s">
        <v>184</v>
      </c>
    </row>
    <row r="100" spans="37:40" x14ac:dyDescent="0.45">
      <c r="AK100">
        <v>2044</v>
      </c>
      <c r="AL100" t="s">
        <v>190</v>
      </c>
      <c r="AM100">
        <v>0.44023333333333331</v>
      </c>
      <c r="AN100" t="s">
        <v>184</v>
      </c>
    </row>
    <row r="101" spans="37:40" x14ac:dyDescent="0.45">
      <c r="AK101">
        <v>2044</v>
      </c>
      <c r="AL101" t="s">
        <v>191</v>
      </c>
      <c r="AM101">
        <v>0.38763333333333333</v>
      </c>
      <c r="AN101" t="s">
        <v>184</v>
      </c>
    </row>
    <row r="102" spans="37:40" x14ac:dyDescent="0.45">
      <c r="AK102">
        <v>2044</v>
      </c>
      <c r="AL102" t="s">
        <v>193</v>
      </c>
      <c r="AM102">
        <v>0.46239999999999998</v>
      </c>
      <c r="AN102" t="s">
        <v>184</v>
      </c>
    </row>
    <row r="103" spans="37:40" x14ac:dyDescent="0.45">
      <c r="AK103">
        <v>2045</v>
      </c>
      <c r="AL103" t="s">
        <v>188</v>
      </c>
      <c r="AM103">
        <v>0.38306666666666667</v>
      </c>
      <c r="AN103" t="s">
        <v>184</v>
      </c>
    </row>
    <row r="104" spans="37:40" x14ac:dyDescent="0.45">
      <c r="AK104">
        <v>2045</v>
      </c>
      <c r="AL104" t="s">
        <v>190</v>
      </c>
      <c r="AM104">
        <v>0.45156666666666667</v>
      </c>
      <c r="AN104" t="s">
        <v>184</v>
      </c>
    </row>
    <row r="105" spans="37:40" x14ac:dyDescent="0.45">
      <c r="AK105">
        <v>2045</v>
      </c>
      <c r="AL105" t="s">
        <v>191</v>
      </c>
      <c r="AM105">
        <v>0.37220000000000003</v>
      </c>
      <c r="AN105" t="s">
        <v>184</v>
      </c>
    </row>
    <row r="106" spans="37:40" x14ac:dyDescent="0.45">
      <c r="AK106">
        <v>2045</v>
      </c>
      <c r="AL106" t="s">
        <v>193</v>
      </c>
      <c r="AM106">
        <v>0.45766666666666667</v>
      </c>
      <c r="AN106" t="s">
        <v>184</v>
      </c>
    </row>
    <row r="107" spans="37:40" x14ac:dyDescent="0.45">
      <c r="AK107">
        <v>2046</v>
      </c>
      <c r="AL107" t="s">
        <v>188</v>
      </c>
      <c r="AM107">
        <v>0.41346666666666665</v>
      </c>
      <c r="AN107" t="s">
        <v>184</v>
      </c>
    </row>
    <row r="108" spans="37:40" x14ac:dyDescent="0.45">
      <c r="AK108">
        <v>2046</v>
      </c>
      <c r="AL108" t="s">
        <v>190</v>
      </c>
      <c r="AM108">
        <v>0.46810000000000002</v>
      </c>
      <c r="AN108" t="s">
        <v>184</v>
      </c>
    </row>
    <row r="109" spans="37:40" x14ac:dyDescent="0.45">
      <c r="AK109">
        <v>2046</v>
      </c>
      <c r="AL109" t="s">
        <v>191</v>
      </c>
      <c r="AM109">
        <v>0.36210000000000003</v>
      </c>
      <c r="AN109" t="s">
        <v>184</v>
      </c>
    </row>
    <row r="110" spans="37:40" x14ac:dyDescent="0.45">
      <c r="AK110">
        <v>2046</v>
      </c>
      <c r="AL110" t="s">
        <v>193</v>
      </c>
      <c r="AM110">
        <v>0.45026666666666665</v>
      </c>
      <c r="AN110" t="s">
        <v>184</v>
      </c>
    </row>
    <row r="111" spans="37:40" x14ac:dyDescent="0.45">
      <c r="AK111">
        <v>2047</v>
      </c>
      <c r="AL111" t="s">
        <v>188</v>
      </c>
      <c r="AM111">
        <v>0.41213333333333341</v>
      </c>
      <c r="AN111" t="s">
        <v>184</v>
      </c>
    </row>
    <row r="112" spans="37:40" x14ac:dyDescent="0.45">
      <c r="AK112">
        <v>2047</v>
      </c>
      <c r="AL112" t="s">
        <v>190</v>
      </c>
      <c r="AM112">
        <v>0.44593333333333329</v>
      </c>
      <c r="AN112" t="s">
        <v>184</v>
      </c>
    </row>
    <row r="113" spans="37:40" x14ac:dyDescent="0.45">
      <c r="AK113">
        <v>2047</v>
      </c>
      <c r="AL113" t="s">
        <v>191</v>
      </c>
      <c r="AM113">
        <v>0.37369999999999998</v>
      </c>
      <c r="AN113" t="s">
        <v>184</v>
      </c>
    </row>
    <row r="114" spans="37:40" x14ac:dyDescent="0.45">
      <c r="AK114">
        <v>2047</v>
      </c>
      <c r="AL114" t="s">
        <v>193</v>
      </c>
      <c r="AM114">
        <v>0.47443333333333332</v>
      </c>
      <c r="AN114" t="s">
        <v>184</v>
      </c>
    </row>
    <row r="115" spans="37:40" x14ac:dyDescent="0.45">
      <c r="AK115">
        <v>2048</v>
      </c>
      <c r="AL115" t="s">
        <v>188</v>
      </c>
      <c r="AM115">
        <v>0.40993333333333332</v>
      </c>
      <c r="AN115" t="s">
        <v>184</v>
      </c>
    </row>
    <row r="116" spans="37:40" x14ac:dyDescent="0.45">
      <c r="AK116">
        <v>2048</v>
      </c>
      <c r="AL116" t="s">
        <v>190</v>
      </c>
      <c r="AM116">
        <v>0.45839999999999997</v>
      </c>
      <c r="AN116" t="s">
        <v>184</v>
      </c>
    </row>
    <row r="117" spans="37:40" x14ac:dyDescent="0.45">
      <c r="AK117">
        <v>2048</v>
      </c>
      <c r="AL117" t="s">
        <v>191</v>
      </c>
      <c r="AM117">
        <v>0.37603333333333339</v>
      </c>
      <c r="AN117" t="s">
        <v>184</v>
      </c>
    </row>
    <row r="118" spans="37:40" x14ac:dyDescent="0.45">
      <c r="AK118">
        <v>2048</v>
      </c>
      <c r="AL118" t="s">
        <v>193</v>
      </c>
      <c r="AM118">
        <v>0.44503333333333334</v>
      </c>
      <c r="AN118" t="s">
        <v>184</v>
      </c>
    </row>
    <row r="119" spans="37:40" x14ac:dyDescent="0.45">
      <c r="AK119">
        <v>2049</v>
      </c>
      <c r="AL119" t="s">
        <v>188</v>
      </c>
      <c r="AM119">
        <v>0.33139999999999997</v>
      </c>
      <c r="AN119" t="s">
        <v>184</v>
      </c>
    </row>
    <row r="120" spans="37:40" x14ac:dyDescent="0.45">
      <c r="AK120">
        <v>2049</v>
      </c>
      <c r="AL120" t="s">
        <v>190</v>
      </c>
      <c r="AM120">
        <v>0.4054666666666667</v>
      </c>
      <c r="AN120" t="s">
        <v>184</v>
      </c>
    </row>
    <row r="121" spans="37:40" x14ac:dyDescent="0.45">
      <c r="AK121">
        <v>2049</v>
      </c>
      <c r="AL121" t="s">
        <v>191</v>
      </c>
      <c r="AM121">
        <v>0.30980000000000002</v>
      </c>
      <c r="AN121" t="s">
        <v>184</v>
      </c>
    </row>
    <row r="122" spans="37:40" x14ac:dyDescent="0.45">
      <c r="AK122">
        <v>2049</v>
      </c>
      <c r="AL122" t="s">
        <v>193</v>
      </c>
      <c r="AM122">
        <v>0.40246666666666669</v>
      </c>
      <c r="AN122" t="s">
        <v>184</v>
      </c>
    </row>
    <row r="123" spans="37:40" x14ac:dyDescent="0.45">
      <c r="AK123">
        <v>2050</v>
      </c>
      <c r="AL123" t="s">
        <v>188</v>
      </c>
      <c r="AM123">
        <v>0.33779999999999993</v>
      </c>
      <c r="AN123" t="s">
        <v>184</v>
      </c>
    </row>
    <row r="124" spans="37:40" x14ac:dyDescent="0.45">
      <c r="AK124">
        <v>2050</v>
      </c>
      <c r="AL124" t="s">
        <v>190</v>
      </c>
      <c r="AM124">
        <v>0.39460000000000001</v>
      </c>
      <c r="AN124" t="s">
        <v>184</v>
      </c>
    </row>
    <row r="125" spans="37:40" x14ac:dyDescent="0.45">
      <c r="AK125">
        <v>2050</v>
      </c>
      <c r="AL125" t="s">
        <v>191</v>
      </c>
      <c r="AM125">
        <v>0.31446666666666667</v>
      </c>
      <c r="AN125" t="s">
        <v>184</v>
      </c>
    </row>
    <row r="126" spans="37:40" x14ac:dyDescent="0.45">
      <c r="AK126">
        <v>2050</v>
      </c>
      <c r="AL126" t="s">
        <v>193</v>
      </c>
      <c r="AM126">
        <v>0.38813333333333327</v>
      </c>
      <c r="AN126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Veda</vt:lpstr>
      <vt:lpstr>fuel_prices</vt:lpstr>
      <vt:lpstr>iea_data</vt:lpstr>
      <vt:lpstr>ar6_r10</vt:lpstr>
      <vt:lpstr>ev_charging_uc</vt:lpstr>
      <vt:lpstr>ts12_clu</vt:lpstr>
      <vt:lpstr>ts_annual</vt:lpstr>
      <vt:lpstr>ts_12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2025-09-11T07:45:36Z</dcterms:modified>
</cp:coreProperties>
</file>