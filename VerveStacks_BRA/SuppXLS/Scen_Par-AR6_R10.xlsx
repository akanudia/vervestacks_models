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13_ncr:1_{B49837FC-BBDA-4068-88B2-A81B3515859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1" i="1"/>
  <c r="B12" i="1"/>
  <c r="B13" i="1"/>
  <c r="B9" i="1"/>
  <c r="D2" i="1" l="1"/>
  <c r="H48" i="1"/>
  <c r="H47" i="1"/>
  <c r="H46" i="1"/>
  <c r="H45" i="1"/>
  <c r="H21" i="6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E15" i="1" l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<sst xmlns="http://schemas.openxmlformats.org/spreadsheetml/2006/main" count="1593" uniqueCount="140">
  <si>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</si>
  <si>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</si>
  <si>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</si>
  <si>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</si>
  <si>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</si>
  <si>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</si>
  <si>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</si>
  <si>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</si>
  <si>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</si>
  <si>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</si>
  <si>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</si>
  <si>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</si>
  <si>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</si>
  <si>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</si>
  <si>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</si>
  <si>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</si>
  <si>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</si>
  <si>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</si>
  <si>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</si>
  <si>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</si>
  <si>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</si>
  <si>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</si>
  <si>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</si>
  <si>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</si>
  <si>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</si>
  <si>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</si>
  <si>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</si>
  <si>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</si>
  <si>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</si>
  <si>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</si>
  <si>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</si>
  <si>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</si>
  <si>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</si>
  <si>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</si>
  <si>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</si>
  <si>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</si>
  <si>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</si>
  <si>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</si>
  <si>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</si>
  <si>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</si>
  <si>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</si>
  <si>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</si>
  <si>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</si>
  <si>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</si>
  <si>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</si>
  <si>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</si>
  <si>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</si>
  <si>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</si>
  <si>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</si>
  <si>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</si>
  <si>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</si>
  <si>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</si>
  <si>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</si>
  <si>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</si>
  <si>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</si>
  <si>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</si>
  <si>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</si>
  <si>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</si>
  <si>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</si>
  <si>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</si>
  <si>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</si>
  <si>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</si>
  <si>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</si>
  <si>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</si>
  <si>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</si>
  <si>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</si>
  <si>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</si>
  <si>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</si>
  <si>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</si>
  <si>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</si>
  <si>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</si>
  <si>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</si>
  <si>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</si>
  <si>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</si>
  <si>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</si>
  <si>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</si>
  <si>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</si>
  <si>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</si>
  <si>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</si>
  <si>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</si>
  <si>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</si>
  <si>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</si>
  <si>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</si>
  <si>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</si>
  <si>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</si>
  <si>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</si>
  <si>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</si>
  <si>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</si>
  <si>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</si>
  <si>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</si>
  <si>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</si>
  <si>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</si>
  <si>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</si>
  <si>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</si>
  <si>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</si>
  <si>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</si>
  <si>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</si>
  <si>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</si>
  <si>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</si>
  <si>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</si>
  <si>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</si>
  <si>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</si>
  <si>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</si>
  <si>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</si>
  <si>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</si>
  <si>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</si>
  <si>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</si>
  <si>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</si>
  <si>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</si>
  <si>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</si>
  <si>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</si>
  <si>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</si>
  <si>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</si>
  <si>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</si>
  <si>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</si>
  <si>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</si>
  <si>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</si>
  <si>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</si>
  <si>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</si>
  <si>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</si>
  <si>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</si>
  <si>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</si>
  <si>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</si>
  <si>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</si>
  <si>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</si>
  <si>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</si>
  <si>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</si>
  <si>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</si>
  <si>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</si>
  <si>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</si>
  <si>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</si>
  <si>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</si>
  <si>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</si>
  <si>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</si>
  <si>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</si>
  <si>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</si>
  <si>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</si>
  <si>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BRA</t>
  </si>
  <si>
    <t>R10LATIN_AM</t>
  </si>
  <si>
    <t>Growing LNG, sugarcane bagasse abundant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</si>
</sst>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1035.42</c:v>
                </c:pt>
                <c:pt idx="3">
                  <c:v>1297.7263999999998</c:v>
                </c:pt>
                <c:pt idx="4">
                  <c:v>1580.7411999999999</c:v>
                </c:pt>
                <c:pt idx="5">
                  <c:v>1863.7560000000001</c:v>
                </c:pt>
                <c:pt idx="6">
                  <c:v>2105.3539999999998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220.73</c:v>
                </c:pt>
                <c:pt idx="3">
                  <c:v>286.86</c:v>
                </c:pt>
                <c:pt idx="4">
                  <c:v>360.55</c:v>
                </c:pt>
                <c:pt idx="5">
                  <c:v>471.06</c:v>
                </c:pt>
                <c:pt idx="6">
                  <c:v>581.75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tabSelected="1"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690.28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690.28</v>
      </c>
      <c r="U14" s="8">
        <f t="shared" ref="U14:Z14" si="2">$S$12*J15</f>
        <v>807.62759999999992</v>
      </c>
      <c r="V14" s="8">
        <f t="shared" si="2"/>
        <v>1035.42</v>
      </c>
      <c r="W14" s="8">
        <f t="shared" si="2"/>
        <v>1297.7263999999998</v>
      </c>
      <c r="X14" s="8">
        <f t="shared" si="2"/>
        <v>1580.7411999999999</v>
      </c>
      <c r="Y14" s="8">
        <f t="shared" si="2"/>
        <v>1863.7560000000001</v>
      </c>
      <c r="Z14" s="8">
        <f t="shared" si="2"/>
        <v>2105.3539999999998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1.5</v>
      </c>
      <c r="L15" s="11">
        <f>SUMIFS(ar6_r10!$F$2:$F$999,ar6_r10!$A$2:$A$999,Veda!$E$5,ar6_r10!$C$2:$C$999,Veda!L$17,ar6_r10!$M$2:$M$999,Veda!$G15)</f>
        <v>1.88</v>
      </c>
      <c r="M15" s="11">
        <f>SUMIFS(ar6_r10!$F$2:$F$999,ar6_r10!$A$2:$A$999,Veda!$E$5,ar6_r10!$C$2:$C$999,Veda!M$17,ar6_r10!$M$2:$M$999,Veda!$G15)</f>
        <v>2.29</v>
      </c>
      <c r="N15" s="11">
        <f>SUMIFS(ar6_r10!$F$2:$F$999,ar6_r10!$A$2:$A$999,Veda!$E$5,ar6_r10!$C$2:$C$999,Veda!N$17,ar6_r10!$M$2:$M$999,Veda!$G15)</f>
        <v>2.7</v>
      </c>
      <c r="O15" s="11">
        <f>SUMIFS(ar6_r10!$F$2:$F$999,ar6_r10!$A$2:$A$999,Veda!$E$5,ar6_r10!$C$2:$C$999,Veda!O$17,ar6_r10!$M$2:$M$999,Veda!$G15)</f>
        <v>3.05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0.04</v>
      </c>
      <c r="N18" s="11">
        <f>SUMIFS(ar6_r10!$F$2:$F$999,ar6_r10!$A$2:$A$999,Veda!$E$5,ar6_r10!$C$2:$C$999,Veda!N$17,ar6_r10!$M$2:$M$999,Veda!$G18)</f>
        <v>0.06</v>
      </c>
      <c r="O18" s="11">
        <f>SUMIFS(ar6_r10!$F$2:$F$999,ar6_r10!$A$2:$A$999,Veda!$E$5,ar6_r10!$C$2:$C$999,Veda!O$17,ar6_r10!$M$2:$M$999,Veda!$G18)</f>
        <v>7.0000000000000007E-2</v>
      </c>
      <c r="S18" s="10" t="s">
        <v>16</v>
      </c>
      <c r="T18" s="6">
        <f t="shared" ref="T18:Z20" si="4">I18*T$14</f>
        <v>0</v>
      </c>
      <c r="U18" s="6">
        <f t="shared" si="4"/>
        <v>8.076276</v>
      </c>
      <c r="V18" s="6">
        <f t="shared" si="4"/>
        <v>10.354200000000001</v>
      </c>
      <c r="W18" s="6">
        <f t="shared" si="4"/>
        <v>25.954527999999996</v>
      </c>
      <c r="X18" s="6">
        <f t="shared" si="4"/>
        <v>63.229647999999997</v>
      </c>
      <c r="Y18" s="6">
        <f t="shared" si="4"/>
        <v>111.82536</v>
      </c>
      <c r="Z18" s="6">
        <f t="shared" si="4"/>
        <v>147.37477999999999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0.46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0.49</v>
      </c>
      <c r="S19" s="10" t="s">
        <v>19</v>
      </c>
      <c r="T19" s="6">
        <f t="shared" si="4"/>
        <v>296.82040000000001</v>
      </c>
      <c r="U19" s="6">
        <f t="shared" si="4"/>
        <v>339.20359199999996</v>
      </c>
      <c r="V19" s="6">
        <f t="shared" si="4"/>
        <v>476.29320000000007</v>
      </c>
      <c r="W19" s="6">
        <f t="shared" si="4"/>
        <v>596.95414399999993</v>
      </c>
      <c r="X19" s="6">
        <f t="shared" si="4"/>
        <v>727.14095199999997</v>
      </c>
      <c r="Y19" s="6">
        <f t="shared" si="4"/>
        <v>894.60288000000003</v>
      </c>
      <c r="Z19" s="6">
        <f t="shared" si="4"/>
        <v>1031.6234599999998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0.52</v>
      </c>
      <c r="L20" s="11">
        <f>SUMIFS(ar6_r10!$F$2:$F$999,ar6_r10!$A$2:$A$999,Veda!$E$5,ar6_r10!$C$2:$C$999,Veda!L$17,ar6_r10!$M$2:$M$999,Veda!$G20)</f>
        <v>0.5</v>
      </c>
      <c r="M20" s="11">
        <f>SUMIFS(ar6_r10!$F$2:$F$999,ar6_r10!$A$2:$A$999,Veda!$E$5,ar6_r10!$C$2:$C$999,Veda!M$17,ar6_r10!$M$2:$M$999,Veda!$G20)</f>
        <v>0.46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0.43</v>
      </c>
      <c r="S20" s="10" t="s">
        <v>22</v>
      </c>
      <c r="T20" s="6">
        <f t="shared" si="4"/>
        <v>393.45959999999997</v>
      </c>
      <c r="U20" s="6">
        <f t="shared" si="4"/>
        <v>460.34773199999989</v>
      </c>
      <c r="V20" s="6">
        <f t="shared" si="4"/>
        <v>538.41840000000002</v>
      </c>
      <c r="W20" s="6">
        <f t="shared" si="4"/>
        <v>648.86319999999989</v>
      </c>
      <c r="X20" s="6">
        <f t="shared" si="4"/>
        <v>727.14095199999997</v>
      </c>
      <c r="Y20" s="6">
        <f t="shared" si="4"/>
        <v>820.05264</v>
      </c>
      <c r="Z20" s="6">
        <f t="shared" si="4"/>
        <v>905.30221999999992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7.0000000000000007E-2</v>
      </c>
      <c r="O21" s="11">
        <f>SUMIFS(ar6_r10!$F$2:$F$999,ar6_r10!$A$2:$A$999,Veda!$E$5,ar6_r10!$C$2:$C$999,Veda!O$17,ar6_r10!$M$2:$M$999,Veda!$G21)</f>
        <v>0.09</v>
      </c>
      <c r="S21" s="10" t="s">
        <v>24</v>
      </c>
      <c r="T21" s="6">
        <f>I21*T$14</f>
        <v>6.9028</v>
      </c>
      <c r="U21" s="6">
        <f t="shared" ref="U21:Z21" si="6">T21</f>
        <v>6.9028</v>
      </c>
      <c r="V21" s="6">
        <f t="shared" si="6"/>
        <v>6.9028</v>
      </c>
      <c r="W21" s="6">
        <f t="shared" si="6"/>
        <v>6.9028</v>
      </c>
      <c r="X21" s="6">
        <f t="shared" si="6"/>
        <v>6.9028</v>
      </c>
      <c r="Y21" s="6">
        <f t="shared" si="6"/>
        <v>6.9028</v>
      </c>
      <c r="Z21" s="6">
        <f t="shared" si="6"/>
        <v>6.9028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-6.9027999999999565</v>
      </c>
      <c r="U22" s="6">
        <f t="shared" si="7"/>
        <v>1.1734760000001643</v>
      </c>
      <c r="V22" s="6">
        <f t="shared" si="7"/>
        <v>13.805600000000027</v>
      </c>
      <c r="W22" s="6">
        <f t="shared" si="7"/>
        <v>45.006255999999894</v>
      </c>
      <c r="X22" s="6">
        <f t="shared" si="7"/>
        <v>119.55649599999992</v>
      </c>
      <c r="Y22" s="6">
        <f t="shared" si="7"/>
        <v>142.19767999999999</v>
      </c>
      <c r="Z22" s="6">
        <f t="shared" si="7"/>
        <v>161.52551999999991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220.73</v>
      </c>
      <c r="L24" s="8">
        <f>SUMIFS(ar6_r10!$F$2:$F$999,ar6_r10!$A$2:$A$999,Veda!$E$5,ar6_r10!$C$2:$C$999,Veda!L$17,ar6_r10!$M$2:$M$999,Veda!$G24)</f>
        <v>286.86</v>
      </c>
      <c r="M24" s="8">
        <f>SUMIFS(ar6_r10!$F$2:$F$999,ar6_r10!$A$2:$A$999,Veda!$E$5,ar6_r10!$C$2:$C$999,Veda!M$17,ar6_r10!$M$2:$M$999,Veda!$G24)</f>
        <v>360.55</v>
      </c>
      <c r="N24" s="8">
        <f>SUMIFS(ar6_r10!$F$2:$F$999,ar6_r10!$A$2:$A$999,Veda!$E$5,ar6_r10!$C$2:$C$999,Veda!N$17,ar6_r10!$M$2:$M$999,Veda!$G24)</f>
        <v>471.06</v>
      </c>
      <c r="O24" s="8">
        <f>SUMIFS(ar6_r10!$F$2:$F$999,ar6_r10!$A$2:$A$999,Veda!$E$5,ar6_r10!$C$2:$C$999,Veda!O$17,ar6_r10!$M$2:$M$999,Veda!$G24)</f>
        <v>581.75</v>
      </c>
      <c r="S24" t="s">
        <v>28</v>
      </c>
      <c r="U24">
        <v>0</v>
      </c>
      <c r="V24" s="11">
        <f>K24/1000</f>
        <v>0.22072999999999998</v>
      </c>
      <c r="W24" s="11">
        <f>L24/1000</f>
        <v>0.28686</v>
      </c>
      <c r="X24" s="11">
        <f>M24/1000</f>
        <v>0.36055000000000004</v>
      </c>
      <c r="Y24" s="11">
        <f>N24/1000</f>
        <v>0.47105999999999998</v>
      </c>
      <c r="Z24" s="11">
        <f>O24/1000</f>
        <v>0.58174999999999999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32.549999999999997</v>
      </c>
      <c r="J45">
        <f t="shared" si="10"/>
        <v>33.526499999999999</v>
      </c>
      <c r="K45">
        <f t="shared" si="10"/>
        <v>39.385499999999993</v>
      </c>
      <c r="L45">
        <f t="shared" si="10"/>
        <v>37.43249999999999</v>
      </c>
      <c r="M45">
        <f t="shared" si="10"/>
        <v>41.663999999999994</v>
      </c>
      <c r="N45">
        <f t="shared" si="10"/>
        <v>44.268000000000001</v>
      </c>
      <c r="O45">
        <f t="shared" si="10"/>
        <v>44.91899999999999</v>
      </c>
      <c r="R45">
        <f>HLOOKUP($G45&amp;"_"&amp;R$44,fuel_prices!$B$10:$I$11,2,FALSE)</f>
        <v>27.4</v>
      </c>
      <c r="S45">
        <f>HLOOKUP($G45&amp;"_"&amp;S$44,fuel_prices!$B$10:$I$11,2,FALSE)</f>
        <v>37.700000000000003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15.606</v>
      </c>
      <c r="L46">
        <f t="shared" si="10"/>
        <v>15.750500000000001</v>
      </c>
      <c r="M46">
        <f t="shared" si="10"/>
        <v>15.895000000000001</v>
      </c>
      <c r="N46">
        <f t="shared" si="10"/>
        <v>16.184000000000001</v>
      </c>
      <c r="O46">
        <f t="shared" si="10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50</v>
      </c>
      <c r="J47">
        <f t="shared" si="10"/>
        <v>52.5</v>
      </c>
      <c r="K47">
        <f t="shared" si="10"/>
        <v>62.5</v>
      </c>
      <c r="L47">
        <f t="shared" si="10"/>
        <v>59</v>
      </c>
      <c r="M47">
        <f t="shared" si="10"/>
        <v>65</v>
      </c>
      <c r="N47">
        <f t="shared" si="10"/>
        <v>70</v>
      </c>
      <c r="O47">
        <f t="shared" si="10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18</v>
      </c>
      <c r="J48">
        <f t="shared" si="10"/>
        <v>18.54</v>
      </c>
      <c r="K48">
        <f t="shared" si="10"/>
        <v>18.18</v>
      </c>
      <c r="L48">
        <f t="shared" si="10"/>
        <v>16.740000000000002</v>
      </c>
      <c r="M48">
        <f t="shared" si="10"/>
        <v>16.919999999999998</v>
      </c>
      <c r="N48">
        <f t="shared" si="10"/>
        <v>16.560000000000002</v>
      </c>
      <c r="O48">
        <f t="shared" si="10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27.4</v>
      </c>
      <c r="C11">
        <v>37.700000000000003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137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137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137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137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137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137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137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137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137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137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137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137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137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137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137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137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137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137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137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137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137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137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2025-09-08T14:37:00Z</dcterms:modified>
</cp:coreProperties>
</file>