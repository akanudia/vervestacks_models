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\SuppXLS\"/>
    </mc:Choice>
  </mc:AlternateContent>
  <xr:revisionPtr revIDLastSave="0" documentId="13_ncr:1_{45107E7E-A079-4A55-8189-888FF7AB2D0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1" i="6"/>
  <c r="H24" i="6"/>
  <c r="H23" i="6"/>
  <c r="D5" i="1"/>
  <c r="AJ25" i="1" l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<sst xmlns="http://schemas.openxmlformats.org/spreadsheetml/2006/main" count="1584" uniqueCount="146">
  <si>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</si>
  <si>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</si>
  <si>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</si>
  <si>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</si>
  <si>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</si>
  <si>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</si>
  <si>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</si>
  <si>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</si>
  <si>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</si>
  <si>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</si>
  <si>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</si>
  <si>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</si>
  <si>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</si>
  <si>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</si>
  <si>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</si>
  <si>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</si>
  <si>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</si>
  <si>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</si>
  <si>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</si>
  <si>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</si>
  <si>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</si>
  <si>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</si>
  <si>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</si>
  <si>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</si>
  <si>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</si>
  <si>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</si>
  <si>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</si>
  <si>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</si>
  <si>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</si>
  <si>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</si>
  <si>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</si>
  <si>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</si>
  <si>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</si>
  <si>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</si>
  <si>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</si>
  <si>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</si>
  <si>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</si>
  <si>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</si>
  <si>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</si>
  <si>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</si>
  <si>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</si>
  <si>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</si>
  <si>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</si>
  <si>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</si>
  <si>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</si>
  <si>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</si>
  <si>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</si>
  <si>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</si>
  <si>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</si>
  <si>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</si>
  <si>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</si>
  <si>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</si>
  <si>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</si>
  <si>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</si>
  <si>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</si>
  <si>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</si>
  <si>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</si>
  <si>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</si>
  <si>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</si>
  <si>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</si>
  <si>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</si>
  <si>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</si>
  <si>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</si>
  <si>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</si>
  <si>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</si>
  <si>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</si>
  <si>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</si>
  <si>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</si>
  <si>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</si>
  <si>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</si>
  <si>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</si>
  <si>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</si>
  <si>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</si>
  <si>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</si>
  <si>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</si>
  <si>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</si>
  <si>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</si>
  <si>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</si>
  <si>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</si>
  <si>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</si>
  <si>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</si>
  <si>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</si>
  <si>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</si>
  <si>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</si>
  <si>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</si>
  <si>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</si>
  <si>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</si>
  <si>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</si>
  <si>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</si>
  <si>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</si>
  <si>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</si>
  <si>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</si>
  <si>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</si>
  <si>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</si>
  <si>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</si>
  <si>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</si>
  <si>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</si>
  <si>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</si>
  <si>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</si>
  <si>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</si>
  <si>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</si>
  <si>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</si>
  <si>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</si>
  <si>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</si>
  <si>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</si>
  <si>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</si>
  <si>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</si>
  <si>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</si>
  <si>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</si>
  <si>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</si>
  <si>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</si>
  <si>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</si>
  <si>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</si>
  <si>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</si>
  <si>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</si>
  <si>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</si>
  <si>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</si>
  <si>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</si>
  <si>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</si>
  <si>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</si>
  <si>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</si>
  <si>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</si>
  <si>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</si>
  <si>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</si>
  <si>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</si>
  <si>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</si>
  <si>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</si>
  <si>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</si>
  <si>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</si>
  <si>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</si>
  <si>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</si>
  <si>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</si>
  <si>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</si>
  <si>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</si>
  <si>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</si>
  <si>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f97p50</t>
  </si>
  <si>
    <t>g64</t>
  </si>
  <si>
    <t>h48</t>
  </si>
  <si>
    <t>i24</t>
  </si>
  <si>
    <t>j12</t>
  </si>
  <si>
    <t>k12</t>
  </si>
  <si>
    <t>kAnn</t>
  </si>
  <si>
    <t>BRA</t>
  </si>
  <si>
    <t>R10LATIN_AM</t>
  </si>
  <si>
    <t>Pre-salt gas growing, sugarcane bagasse</t>
  </si>
  <si>
    <t>1-70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</si>
</sst>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690.28</c:v>
                </c:pt>
                <c:pt idx="1">
                  <c:v>807.62759999999992</c:v>
                </c:pt>
                <c:pt idx="2">
                  <c:v>980.19759999999997</c:v>
                </c:pt>
                <c:pt idx="3">
                  <c:v>1125.1563999999998</c:v>
                </c:pt>
                <c:pt idx="4">
                  <c:v>1380.56</c:v>
                </c:pt>
                <c:pt idx="5">
                  <c:v>1635.9636</c:v>
                </c:pt>
                <c:pt idx="6">
                  <c:v>1981.1035999999999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8"/>
  <sheetViews>
    <sheetView tabSelected="1" workbookViewId="0">
      <selection activeCell="A21" sqref="A21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8" x14ac:dyDescent="0.45">
      <c r="G1" s="18" t="s">
        <v>145</v>
      </c>
    </row>
    <row r="2" spans="1:38" x14ac:dyDescent="0.45">
      <c r="D2" s="1" t="str">
        <f>"~Inputcell: "&amp;_xlfn.TEXTJOIN(",",TRUE,G1:EE1)</f>
        <v>~Inputcell: 1-70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45">
      <c r="D3" s="9">
        <v>3</v>
      </c>
    </row>
    <row r="5" spans="1:38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8" x14ac:dyDescent="0.45">
      <c r="B7" s="16" t="s">
        <v>119</v>
      </c>
    </row>
    <row r="8" spans="1:38" ht="14.65" thickBot="1" x14ac:dyDescent="0.5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141</v>
      </c>
      <c r="AJ9" s="10">
        <v>1</v>
      </c>
      <c r="AK9" t="s">
        <v>0</v>
      </c>
      <c r="AL9" t="s">
        <v>110</v>
      </c>
    </row>
    <row r="10" spans="1:38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140</v>
      </c>
      <c r="AJ10" s="10">
        <v>1</v>
      </c>
      <c r="AK10" t="s">
        <v>2</v>
      </c>
      <c r="AL10" t="s">
        <v>112</v>
      </c>
    </row>
    <row r="11" spans="1:38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139</v>
      </c>
      <c r="AJ11" s="10">
        <v>1</v>
      </c>
      <c r="AK11" t="s">
        <v>5</v>
      </c>
      <c r="AL11" t="s">
        <v>114</v>
      </c>
    </row>
    <row r="12" spans="1:38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690.28</v>
      </c>
      <c r="T12" s="2" t="s">
        <v>57</v>
      </c>
      <c r="AG12">
        <v>4</v>
      </c>
      <c r="AH12" t="s">
        <v>126</v>
      </c>
      <c r="AI12" t="s">
        <v>138</v>
      </c>
      <c r="AJ12" s="10">
        <v>1</v>
      </c>
      <c r="AK12" t="s">
        <v>7</v>
      </c>
      <c r="AL12" t="s">
        <v>116</v>
      </c>
    </row>
    <row r="13" spans="1:38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137</v>
      </c>
      <c r="AJ13" s="10">
        <v>1</v>
      </c>
      <c r="AK13" t="s">
        <v>9</v>
      </c>
      <c r="AL13" t="s">
        <v>117</v>
      </c>
    </row>
    <row r="14" spans="1:38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690.28</v>
      </c>
      <c r="U14" s="8">
        <f t="shared" ref="U14:Z14" si="3">$S$12*J15</f>
        <v>807.62759999999992</v>
      </c>
      <c r="V14" s="8">
        <f t="shared" si="3"/>
        <v>980.19759999999997</v>
      </c>
      <c r="W14" s="8">
        <f t="shared" si="3"/>
        <v>1125.1563999999998</v>
      </c>
      <c r="X14" s="8">
        <f t="shared" si="3"/>
        <v>1380.56</v>
      </c>
      <c r="Y14" s="8">
        <f t="shared" si="3"/>
        <v>1635.9636</v>
      </c>
      <c r="Z14" s="8">
        <f t="shared" si="3"/>
        <v>1981.1035999999999</v>
      </c>
      <c r="AG14">
        <v>6</v>
      </c>
      <c r="AH14" t="s">
        <v>128</v>
      </c>
      <c r="AI14" t="s">
        <v>136</v>
      </c>
      <c r="AJ14" s="10">
        <f>AJ9+1</f>
        <v>2</v>
      </c>
    </row>
    <row r="15" spans="1:38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129</v>
      </c>
      <c r="AI15" t="s">
        <v>135</v>
      </c>
      <c r="AJ15" s="10">
        <f t="shared" ref="AJ15:AJ78" si="5">AJ10+1</f>
        <v>2</v>
      </c>
    </row>
    <row r="16" spans="1:38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13.8056</v>
      </c>
      <c r="Y18" s="6">
        <f t="shared" si="7"/>
        <v>16.359636000000002</v>
      </c>
      <c r="Z18" s="6">
        <f t="shared" si="7"/>
        <v>59.433107999999997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7"/>
        <v>296.82040000000001</v>
      </c>
      <c r="U19" s="6">
        <f t="shared" si="7"/>
        <v>339.20359199999996</v>
      </c>
      <c r="V19" s="6">
        <f t="shared" si="7"/>
        <v>421.48496799999998</v>
      </c>
      <c r="W19" s="6">
        <f t="shared" si="7"/>
        <v>506.32037999999994</v>
      </c>
      <c r="X19" s="6">
        <f t="shared" si="7"/>
        <v>593.64080000000001</v>
      </c>
      <c r="Y19" s="6">
        <f t="shared" si="7"/>
        <v>736.18362000000002</v>
      </c>
      <c r="Z19" s="6">
        <f t="shared" si="7"/>
        <v>851.874548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7"/>
        <v>393.45959999999997</v>
      </c>
      <c r="U20" s="6">
        <f t="shared" si="7"/>
        <v>460.34773199999989</v>
      </c>
      <c r="V20" s="6">
        <f t="shared" si="7"/>
        <v>519.504728</v>
      </c>
      <c r="W20" s="6">
        <f t="shared" si="7"/>
        <v>573.82976399999995</v>
      </c>
      <c r="X20" s="6">
        <f t="shared" si="7"/>
        <v>690.28</v>
      </c>
      <c r="Y20" s="6">
        <f t="shared" si="7"/>
        <v>768.90289199999995</v>
      </c>
      <c r="Z20" s="6">
        <f t="shared" si="7"/>
        <v>950.92972799999995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6.9028</v>
      </c>
      <c r="U21" s="6">
        <f t="shared" ref="U21:Z21" si="8">T21</f>
        <v>6.9028</v>
      </c>
      <c r="V21" s="6">
        <f t="shared" si="8"/>
        <v>6.9028</v>
      </c>
      <c r="W21" s="6">
        <f t="shared" si="8"/>
        <v>6.9028</v>
      </c>
      <c r="X21" s="6">
        <f t="shared" si="8"/>
        <v>6.9028</v>
      </c>
      <c r="Y21" s="6">
        <f t="shared" si="8"/>
        <v>6.9028</v>
      </c>
      <c r="Z21" s="6">
        <f t="shared" si="8"/>
        <v>6.9028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-6.9027999999999565</v>
      </c>
      <c r="U22" s="6">
        <f t="shared" si="9"/>
        <v>1.1734760000001643</v>
      </c>
      <c r="V22" s="6">
        <f t="shared" si="9"/>
        <v>32.305104000000028</v>
      </c>
      <c r="W22" s="6">
        <f t="shared" si="9"/>
        <v>38.103455999999824</v>
      </c>
      <c r="X22" s="6">
        <f t="shared" si="9"/>
        <v>89.736400000000003</v>
      </c>
      <c r="Y22" s="6">
        <f t="shared" si="9"/>
        <v>123.97428800000012</v>
      </c>
      <c r="Z22" s="6">
        <f t="shared" si="9"/>
        <v>171.396524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17.89</v>
      </c>
      <c r="S28" t="s">
        <v>32</v>
      </c>
      <c r="T28" s="3">
        <f>Q28</f>
        <v>17.89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-4.9800000000000004</v>
      </c>
      <c r="S29" t="s">
        <v>35</v>
      </c>
      <c r="T29" s="3">
        <f>-1*Q29</f>
        <v>4.9800000000000004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OS.f97p50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OS.f97p50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(67%).f97p50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(50%).f97p50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deg.f97p50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17.149999999999999</v>
      </c>
      <c r="J45">
        <f t="shared" si="12"/>
        <v>17.6645</v>
      </c>
      <c r="K45">
        <f t="shared" si="12"/>
        <v>20.751499999999997</v>
      </c>
      <c r="L45">
        <f t="shared" si="12"/>
        <v>19.722499999999997</v>
      </c>
      <c r="M45">
        <f t="shared" si="12"/>
        <v>21.951999999999998</v>
      </c>
      <c r="N45">
        <f t="shared" si="12"/>
        <v>23.323999999999998</v>
      </c>
      <c r="O45">
        <f t="shared" si="12"/>
        <v>23.666999999999994</v>
      </c>
      <c r="R45">
        <f>HLOOKUP($G45&amp;"_"&amp;R$44,fuel_prices!$B$10:$I$11,2,FALSE)</f>
        <v>13.7</v>
      </c>
      <c r="S45">
        <f>HLOOKUP($G45&amp;"_"&amp;S$44,fuel_prices!$B$10:$I$11,2,FALSE)</f>
        <v>20.6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14.45</v>
      </c>
      <c r="J46">
        <f t="shared" si="12"/>
        <v>14.8835</v>
      </c>
      <c r="K46">
        <f t="shared" si="12"/>
        <v>15.606</v>
      </c>
      <c r="L46">
        <f t="shared" si="12"/>
        <v>15.750500000000001</v>
      </c>
      <c r="M46">
        <f t="shared" si="12"/>
        <v>15.895000000000001</v>
      </c>
      <c r="N46">
        <f t="shared" si="12"/>
        <v>16.184000000000001</v>
      </c>
      <c r="O46">
        <f t="shared" si="12"/>
        <v>16.472999999999999</v>
      </c>
      <c r="R46">
        <f>HLOOKUP($G46&amp;"_"&amp;R$44,fuel_prices!$B$10:$I$11,2,FALSE)</f>
        <v>12.2</v>
      </c>
      <c r="S46">
        <f>HLOOKUP($G46&amp;"_"&amp;S$44,fuel_prices!$B$10:$I$11,2,FALSE)</f>
        <v>16.7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50</v>
      </c>
      <c r="J47">
        <f t="shared" si="12"/>
        <v>52.5</v>
      </c>
      <c r="K47">
        <f t="shared" si="12"/>
        <v>62.5</v>
      </c>
      <c r="L47">
        <f t="shared" si="12"/>
        <v>59</v>
      </c>
      <c r="M47">
        <f t="shared" si="12"/>
        <v>65</v>
      </c>
      <c r="N47">
        <f t="shared" si="12"/>
        <v>70</v>
      </c>
      <c r="O47">
        <f t="shared" si="12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18</v>
      </c>
      <c r="J48">
        <f t="shared" si="12"/>
        <v>18.54</v>
      </c>
      <c r="K48">
        <f t="shared" si="12"/>
        <v>18.18</v>
      </c>
      <c r="L48">
        <f t="shared" si="12"/>
        <v>16.740000000000002</v>
      </c>
      <c r="M48">
        <f t="shared" si="12"/>
        <v>16.919999999999998</v>
      </c>
      <c r="N48">
        <f t="shared" si="12"/>
        <v>16.560000000000002</v>
      </c>
      <c r="O48">
        <f t="shared" si="12"/>
        <v>15.66</v>
      </c>
      <c r="R48">
        <f>HLOOKUP($G48&amp;"_"&amp;R$44,fuel_prices!$B$10:$I$11,2,FALSE)</f>
        <v>14</v>
      </c>
      <c r="S48">
        <f>HLOOKUP($G48&amp;"_"&amp;S$44,fuel_prices!$B$10:$I$11,2,FALSE)</f>
        <v>22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142</v>
      </c>
      <c r="B11">
        <v>13.7</v>
      </c>
      <c r="C11">
        <v>20.6</v>
      </c>
      <c r="D11">
        <v>12.2</v>
      </c>
      <c r="E11">
        <v>16.7</v>
      </c>
      <c r="F11">
        <v>45</v>
      </c>
      <c r="G11">
        <v>55</v>
      </c>
      <c r="H11">
        <v>14</v>
      </c>
      <c r="I11">
        <v>22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142</v>
      </c>
      <c r="B11">
        <v>2000</v>
      </c>
      <c r="C11">
        <v>217.13</v>
      </c>
      <c r="D11">
        <v>173.18</v>
      </c>
      <c r="E11">
        <v>1.25</v>
      </c>
      <c r="F11">
        <v>0</v>
      </c>
      <c r="G11">
        <v>44.35</v>
      </c>
      <c r="H11">
        <v>-0.01</v>
      </c>
      <c r="I11">
        <v>348.91</v>
      </c>
    </row>
    <row r="12" spans="1:9" x14ac:dyDescent="0.45">
      <c r="A12" t="s">
        <v>142</v>
      </c>
      <c r="B12">
        <v>2001</v>
      </c>
      <c r="C12">
        <v>205.28</v>
      </c>
      <c r="D12">
        <v>157.97</v>
      </c>
      <c r="E12">
        <v>1.2</v>
      </c>
      <c r="F12">
        <v>0</v>
      </c>
      <c r="G12">
        <v>37.85</v>
      </c>
      <c r="H12">
        <v>-0.01</v>
      </c>
      <c r="I12">
        <v>328.51</v>
      </c>
    </row>
    <row r="13" spans="1:9" x14ac:dyDescent="0.45">
      <c r="A13" t="s">
        <v>142</v>
      </c>
      <c r="B13">
        <v>2002</v>
      </c>
      <c r="C13">
        <v>220.09</v>
      </c>
      <c r="D13">
        <v>159.13999999999999</v>
      </c>
      <c r="E13">
        <v>0.94</v>
      </c>
      <c r="F13">
        <v>0</v>
      </c>
      <c r="G13">
        <v>36.58</v>
      </c>
      <c r="H13">
        <v>-0.01</v>
      </c>
      <c r="I13">
        <v>345.67</v>
      </c>
    </row>
    <row r="14" spans="1:9" x14ac:dyDescent="0.45">
      <c r="A14" t="s">
        <v>142</v>
      </c>
      <c r="B14">
        <v>2003</v>
      </c>
      <c r="C14">
        <v>229.65</v>
      </c>
      <c r="D14">
        <v>168.51</v>
      </c>
      <c r="E14">
        <v>0.98</v>
      </c>
      <c r="F14">
        <v>0</v>
      </c>
      <c r="G14">
        <v>37.15</v>
      </c>
      <c r="H14">
        <v>-0.01</v>
      </c>
      <c r="I14">
        <v>364.34</v>
      </c>
    </row>
    <row r="15" spans="1:9" x14ac:dyDescent="0.45">
      <c r="A15" t="s">
        <v>142</v>
      </c>
      <c r="B15">
        <v>2004</v>
      </c>
      <c r="C15">
        <v>247.72</v>
      </c>
      <c r="D15">
        <v>173.65</v>
      </c>
      <c r="E15">
        <v>1.04</v>
      </c>
      <c r="F15">
        <v>0</v>
      </c>
      <c r="G15">
        <v>37.39</v>
      </c>
      <c r="H15">
        <v>-0.01</v>
      </c>
      <c r="I15">
        <v>387.45</v>
      </c>
    </row>
    <row r="16" spans="1:9" x14ac:dyDescent="0.45">
      <c r="A16" t="s">
        <v>142</v>
      </c>
      <c r="B16">
        <v>2005</v>
      </c>
      <c r="C16">
        <v>253.01</v>
      </c>
      <c r="D16">
        <v>185.1</v>
      </c>
      <c r="E16">
        <v>1.19</v>
      </c>
      <c r="F16">
        <v>0</v>
      </c>
      <c r="G16">
        <v>39.200000000000003</v>
      </c>
      <c r="H16">
        <v>-0.16</v>
      </c>
      <c r="I16">
        <v>403.03</v>
      </c>
    </row>
    <row r="17" spans="1:9" x14ac:dyDescent="0.45">
      <c r="A17" t="s">
        <v>142</v>
      </c>
      <c r="B17">
        <v>2006</v>
      </c>
      <c r="C17">
        <v>265.43</v>
      </c>
      <c r="D17">
        <v>190.5</v>
      </c>
      <c r="E17">
        <v>1.46</v>
      </c>
      <c r="F17">
        <v>0</v>
      </c>
      <c r="G17">
        <v>41.45</v>
      </c>
      <c r="H17">
        <v>-0.28000000000000003</v>
      </c>
      <c r="I17">
        <v>419.34</v>
      </c>
    </row>
    <row r="18" spans="1:9" x14ac:dyDescent="0.45">
      <c r="A18" t="s">
        <v>142</v>
      </c>
      <c r="B18">
        <v>2007</v>
      </c>
      <c r="C18">
        <v>277.70999999999998</v>
      </c>
      <c r="D18">
        <v>200.67</v>
      </c>
      <c r="E18">
        <v>1.57</v>
      </c>
      <c r="F18">
        <v>0</v>
      </c>
      <c r="G18">
        <v>40.869999999999997</v>
      </c>
      <c r="H18">
        <v>-2.0299999999999998</v>
      </c>
      <c r="I18">
        <v>445.15</v>
      </c>
    </row>
    <row r="19" spans="1:9" x14ac:dyDescent="0.45">
      <c r="A19" t="s">
        <v>142</v>
      </c>
      <c r="B19">
        <v>2008</v>
      </c>
      <c r="C19">
        <v>287.83999999999997</v>
      </c>
      <c r="D19">
        <v>211.03</v>
      </c>
      <c r="E19">
        <v>1.61</v>
      </c>
      <c r="F19">
        <v>0</v>
      </c>
      <c r="G19">
        <v>42.9</v>
      </c>
      <c r="H19">
        <v>-0.69</v>
      </c>
      <c r="I19">
        <v>463.07</v>
      </c>
    </row>
    <row r="20" spans="1:9" x14ac:dyDescent="0.45">
      <c r="A20" t="s">
        <v>142</v>
      </c>
      <c r="B20">
        <v>2009</v>
      </c>
      <c r="C20">
        <v>280.41000000000003</v>
      </c>
      <c r="D20">
        <v>219.4</v>
      </c>
      <c r="E20">
        <v>1.59</v>
      </c>
      <c r="F20">
        <v>0</v>
      </c>
      <c r="G20">
        <v>41.06</v>
      </c>
      <c r="H20">
        <v>-1.08</v>
      </c>
      <c r="I20">
        <v>466.12</v>
      </c>
    </row>
    <row r="21" spans="1:9" x14ac:dyDescent="0.45">
      <c r="A21" t="s">
        <v>142</v>
      </c>
      <c r="B21">
        <v>2010</v>
      </c>
      <c r="C21">
        <v>307.72000000000003</v>
      </c>
      <c r="D21">
        <v>232.85</v>
      </c>
      <c r="E21">
        <v>1.66</v>
      </c>
      <c r="F21">
        <v>0</v>
      </c>
      <c r="G21">
        <v>35.909999999999997</v>
      </c>
      <c r="H21">
        <v>-1.26</v>
      </c>
      <c r="I21">
        <v>515.71</v>
      </c>
    </row>
    <row r="22" spans="1:9" x14ac:dyDescent="0.45">
      <c r="A22" t="s">
        <v>142</v>
      </c>
      <c r="B22">
        <v>2011</v>
      </c>
      <c r="C22">
        <v>315.74</v>
      </c>
      <c r="D22">
        <v>245.66</v>
      </c>
      <c r="E22">
        <v>1.7</v>
      </c>
      <c r="F22">
        <v>0</v>
      </c>
      <c r="G22">
        <v>38.43</v>
      </c>
      <c r="H22">
        <v>-2.54</v>
      </c>
      <c r="I22">
        <v>531.76</v>
      </c>
    </row>
    <row r="23" spans="1:9" x14ac:dyDescent="0.45">
      <c r="A23" t="s">
        <v>142</v>
      </c>
      <c r="B23">
        <v>2012</v>
      </c>
      <c r="C23">
        <v>324.77999999999997</v>
      </c>
      <c r="D23">
        <v>260.52999999999997</v>
      </c>
      <c r="E23">
        <v>1.88</v>
      </c>
      <c r="F23">
        <v>0</v>
      </c>
      <c r="G23">
        <v>40.72</v>
      </c>
      <c r="H23">
        <v>-0.47</v>
      </c>
      <c r="I23">
        <v>552.4</v>
      </c>
    </row>
    <row r="24" spans="1:9" x14ac:dyDescent="0.45">
      <c r="A24" t="s">
        <v>142</v>
      </c>
      <c r="B24">
        <v>2013</v>
      </c>
      <c r="C24">
        <v>328.3</v>
      </c>
      <c r="D24">
        <v>274.41000000000003</v>
      </c>
      <c r="E24">
        <v>1.88</v>
      </c>
      <c r="F24">
        <v>0</v>
      </c>
      <c r="G24">
        <v>40.33</v>
      </c>
      <c r="H24">
        <v>0</v>
      </c>
      <c r="I24">
        <v>570.84</v>
      </c>
    </row>
    <row r="25" spans="1:9" x14ac:dyDescent="0.45">
      <c r="A25" t="s">
        <v>142</v>
      </c>
      <c r="B25">
        <v>2014</v>
      </c>
      <c r="C25">
        <v>329.15</v>
      </c>
      <c r="D25">
        <v>292.37</v>
      </c>
      <c r="E25">
        <v>1.98</v>
      </c>
      <c r="F25">
        <v>0</v>
      </c>
      <c r="G25">
        <v>33.78</v>
      </c>
      <c r="H25">
        <v>0</v>
      </c>
      <c r="I25">
        <v>596.26</v>
      </c>
    </row>
    <row r="26" spans="1:9" x14ac:dyDescent="0.45">
      <c r="A26" t="s">
        <v>142</v>
      </c>
      <c r="B26">
        <v>2015</v>
      </c>
      <c r="C26">
        <v>319.27</v>
      </c>
      <c r="D26">
        <v>292.87</v>
      </c>
      <c r="E26">
        <v>2.06</v>
      </c>
      <c r="F26">
        <v>0</v>
      </c>
      <c r="G26">
        <v>34.64</v>
      </c>
      <c r="H26">
        <v>-0.22</v>
      </c>
      <c r="I26">
        <v>586.5</v>
      </c>
    </row>
    <row r="27" spans="1:9" x14ac:dyDescent="0.45">
      <c r="A27" t="s">
        <v>142</v>
      </c>
      <c r="B27">
        <v>2016</v>
      </c>
      <c r="C27">
        <v>323.32</v>
      </c>
      <c r="D27">
        <v>293.39</v>
      </c>
      <c r="E27">
        <v>2.0099999999999998</v>
      </c>
      <c r="F27">
        <v>0</v>
      </c>
      <c r="G27">
        <v>41.31</v>
      </c>
      <c r="H27">
        <v>-0.52</v>
      </c>
      <c r="I27">
        <v>584.39</v>
      </c>
    </row>
    <row r="28" spans="1:9" x14ac:dyDescent="0.45">
      <c r="A28" t="s">
        <v>142</v>
      </c>
      <c r="B28">
        <v>2017</v>
      </c>
      <c r="C28">
        <v>326.77</v>
      </c>
      <c r="D28">
        <v>296.68</v>
      </c>
      <c r="E28">
        <v>2.06</v>
      </c>
      <c r="F28">
        <v>0</v>
      </c>
      <c r="G28">
        <v>36.51</v>
      </c>
      <c r="H28">
        <v>-0.16</v>
      </c>
      <c r="I28">
        <v>595.57000000000005</v>
      </c>
    </row>
    <row r="29" spans="1:9" x14ac:dyDescent="0.45">
      <c r="A29" t="s">
        <v>142</v>
      </c>
      <c r="B29">
        <v>2018</v>
      </c>
      <c r="C29">
        <v>328.31</v>
      </c>
      <c r="D29">
        <v>304.20999999999998</v>
      </c>
      <c r="E29">
        <v>1.97</v>
      </c>
      <c r="F29">
        <v>0</v>
      </c>
      <c r="G29">
        <v>34.979999999999997</v>
      </c>
      <c r="H29">
        <v>0</v>
      </c>
      <c r="I29">
        <v>607.20000000000005</v>
      </c>
    </row>
    <row r="30" spans="1:9" x14ac:dyDescent="0.45">
      <c r="A30" t="s">
        <v>142</v>
      </c>
      <c r="B30">
        <v>2019</v>
      </c>
      <c r="C30">
        <v>333.89</v>
      </c>
      <c r="D30">
        <v>314.33999999999997</v>
      </c>
      <c r="E30">
        <v>1.63</v>
      </c>
      <c r="F30">
        <v>0</v>
      </c>
      <c r="G30">
        <v>25.16</v>
      </c>
      <c r="H30">
        <v>-0.2</v>
      </c>
      <c r="I30">
        <v>633.03</v>
      </c>
    </row>
    <row r="31" spans="1:9" x14ac:dyDescent="0.45">
      <c r="A31" t="s">
        <v>142</v>
      </c>
      <c r="B31">
        <v>2020</v>
      </c>
      <c r="C31">
        <v>334.94</v>
      </c>
      <c r="D31">
        <v>308.99</v>
      </c>
      <c r="E31">
        <v>2.0099999999999998</v>
      </c>
      <c r="F31">
        <v>0</v>
      </c>
      <c r="G31">
        <v>25.11</v>
      </c>
      <c r="H31">
        <v>-0.4</v>
      </c>
      <c r="I31">
        <v>628.76</v>
      </c>
    </row>
    <row r="32" spans="1:9" x14ac:dyDescent="0.45">
      <c r="A32" t="s">
        <v>142</v>
      </c>
      <c r="B32">
        <v>2021</v>
      </c>
      <c r="C32">
        <v>353.67</v>
      </c>
      <c r="D32">
        <v>316.62</v>
      </c>
      <c r="E32">
        <v>2</v>
      </c>
      <c r="F32">
        <v>0</v>
      </c>
      <c r="G32">
        <v>23.15</v>
      </c>
      <c r="H32">
        <v>-0.04</v>
      </c>
      <c r="I32">
        <v>656.11</v>
      </c>
    </row>
    <row r="33" spans="1:9" x14ac:dyDescent="0.45">
      <c r="A33" t="s">
        <v>142</v>
      </c>
      <c r="B33">
        <v>2022</v>
      </c>
      <c r="C33">
        <v>352.04</v>
      </c>
      <c r="D33">
        <v>329.56</v>
      </c>
      <c r="E33">
        <v>1.98</v>
      </c>
      <c r="F33">
        <v>0</v>
      </c>
      <c r="G33">
        <v>17.89</v>
      </c>
      <c r="H33">
        <v>-4.9800000000000004</v>
      </c>
      <c r="I33">
        <v>677.37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143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143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143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143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143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143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143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143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143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143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143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143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143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143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143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143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143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143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143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143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143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143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143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143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143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143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143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143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143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143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143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143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143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143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143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143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143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143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143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143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143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143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143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143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143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143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143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143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143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143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143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143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143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143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143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143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143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143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143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143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143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143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143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143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143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143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143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143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143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143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143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143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143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143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143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143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143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143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143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143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143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143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143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143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143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143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143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143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143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143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143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143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143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143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143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143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143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143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143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143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143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143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143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143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143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143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143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143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143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143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143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143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143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143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143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143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143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143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143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143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143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143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143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143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143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143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143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143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143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143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143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143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143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143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143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143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143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143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143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143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143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143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143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143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143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143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143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143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143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143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143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143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143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143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143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143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143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143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143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143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143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143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143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143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143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143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143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143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143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143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143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143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143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143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143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143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143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143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143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143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143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143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143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143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143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143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143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143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143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143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143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143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143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143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143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143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143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143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143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143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143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143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143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143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143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143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143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143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143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143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143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143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143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143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143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143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143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143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143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143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143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143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143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143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143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143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143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143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143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143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143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143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143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143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143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143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143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143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143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143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143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143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143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143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143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143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143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143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143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143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143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143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143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143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143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143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143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143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143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143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143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143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143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143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143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143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143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143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143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143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143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143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143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143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143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143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143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143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143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143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143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143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143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143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143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143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143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143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143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143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143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143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143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143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143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143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143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143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143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143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143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143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143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143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143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143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143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143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143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143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143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143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143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143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143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143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143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143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143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143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143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143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143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143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143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143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143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143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143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143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143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143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143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143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143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143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143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B10:M24"/>
  <sheetViews>
    <sheetView workbookViewId="0">
      <selection activeCell="H21" sqref="H21"/>
    </sheetView>
  </sheetViews>
  <sheetFormatPr defaultRowHeight="14.25" x14ac:dyDescent="0.45"/>
  <sheetData>
    <row r="10" spans="2:3" x14ac:dyDescent="0.45">
      <c r="B10" s="15"/>
      <c r="C10" s="15"/>
    </row>
    <row r="11" spans="2:3" x14ac:dyDescent="0.45">
      <c r="B11" s="15"/>
      <c r="C11" s="15"/>
    </row>
    <row r="12" spans="2:3" x14ac:dyDescent="0.45">
      <c r="B12" s="15"/>
      <c r="C12" s="15"/>
    </row>
    <row r="17" spans="3:13" x14ac:dyDescent="0.45">
      <c r="I17" s="12">
        <v>0.75</v>
      </c>
      <c r="K17" s="2" t="s">
        <v>85</v>
      </c>
    </row>
    <row r="18" spans="3:13" ht="17.649999999999999" thickBot="1" x14ac:dyDescent="0.6">
      <c r="C18" s="13" t="s">
        <v>86</v>
      </c>
    </row>
    <row r="19" spans="3:13" ht="14.65" thickTop="1" x14ac:dyDescent="0.45"/>
    <row r="21" spans="3:13" ht="17.649999999999999" thickBot="1" x14ac:dyDescent="0.6">
      <c r="H21" s="13" t="e">
        <f>IF(H23=H24,"Not Required!","~UC_T: LO")</f>
        <v>#N/A</v>
      </c>
    </row>
    <row r="22" spans="3:13" ht="15" thickTop="1" thickBot="1" x14ac:dyDescent="0.5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4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e">
        <f>HLOOKUP($A$10,$D$10:$CU$12,3,FALSE)</f>
        <v>#N/A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45">
      <c r="D24" t="s">
        <v>97</v>
      </c>
      <c r="E24" t="str">
        <f>G24</f>
        <v>AuxStoIN</v>
      </c>
      <c r="F24" t="s">
        <v>98</v>
      </c>
      <c r="G24" t="s">
        <v>99</v>
      </c>
      <c r="H24" t="e">
        <f>HLOOKUP($A$10,$D$10:$CU$12,2,FALSE)</f>
        <v>#N/A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Veda</vt:lpstr>
      <vt:lpstr>fuel_prices</vt:lpstr>
      <vt:lpstr>iea_data</vt:lpstr>
      <vt:lpstr>ar6_r10</vt:lpstr>
      <vt:lpstr>ev_charging_uc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2025-09-14T08:10:34Z</dcterms:modified>
</cp:coreProperties>
</file>