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SubRES_Tmpl\"/>
    </mc:Choice>
  </mc:AlternateContent>
  <xr:revisionPtr revIDLastSave="0" documentId="8_{B3EC09D2-7159-4BC8-8A3C-2AD47C281B0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<sst xmlns="http://schemas.openxmlformats.org/spreadsheetml/2006/main" count="1315" uniqueCount="377">
  <si>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</si>
  <si>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</si>
  <si>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</si>
  <si>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</si>
  <si>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</si>
  <si>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</si>
  <si>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</si>
  <si>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</si>
  <si>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</si>
  <si>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</si>
  <si>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</si>
  <si>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</si>
  <si>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</si>
  <si>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</si>
  <si>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</si>
  <si>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</si>
  <si>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</si>
  <si>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</si>
  <si>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</si>
  <si>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</si>
  <si>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</si>
  <si>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</si>
  <si>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</si>
  <si>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</si>
  <si>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</si>
  <si>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</si>
  <si>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</si>
  <si>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</si>
  <si>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</si>
  <si>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</si>
  <si>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</si>
  <si>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</si>
  <si>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</si>
  <si>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</si>
  <si>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</si>
  <si>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</si>
  <si>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</si>
  <si>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</si>
  <si>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</si>
  <si>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</si>
  <si>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</si>
  <si>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</si>
  <si>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</si>
  <si>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</si>
  <si>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</si>
  <si>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</si>
  <si>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</si>
  <si>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</si>
  <si>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</si>
  <si>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</si>
  <si>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</si>
  <si>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</si>
  <si>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</si>
  <si>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</si>
  <si>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</si>
  <si>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</si>
  <si>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</si>
  <si>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</si>
  <si>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</si>
  <si>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</si>
  <si>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</si>
  <si>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</si>
  <si>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</si>
  <si>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</si>
  <si>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</si>
  <si>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</si>
  <si>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</si>
  <si>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</si>
  <si>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</si>
  <si>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</si>
  <si>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</si>
  <si>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</si>
  <si>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</si>
  <si>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</si>
  <si>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</si>
  <si>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</si>
  <si>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</si>
  <si>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</si>
  <si>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</si>
  <si>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</si>
  <si>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</si>
  <si>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</si>
  <si>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</si>
  <si>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</si>
  <si>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</si>
  <si>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</si>
  <si>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</si>
  <si>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</si>
  <si>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</si>
  <si>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</si>
  <si>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</si>
  <si>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</si>
  <si>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</si>
  <si>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</si>
  <si>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</si>
  <si>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</si>
  <si>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</si>
  <si>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</si>
  <si>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</si>
  <si>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</si>
  <si>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</si>
  <si>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</si>
  <si>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</si>
  <si>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</si>
  <si>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</si>
  <si>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</si>
  <si>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</si>
  <si>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</si>
  <si>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</si>
  <si>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</si>
  <si>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</si>
  <si>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</si>
  <si>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</si>
  <si>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</si>
  <si>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</si>
  <si>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</si>
  <si>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</si>
  <si>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</si>
  <si>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</si>
  <si>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</si>
  <si>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</si>
  <si>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</si>
  <si>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</si>
  <si>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</si>
  <si>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</si>
  <si>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</si>
  <si>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</si>
  <si>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</si>
  <si>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</si>
  <si>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</si>
  <si>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</si>
  <si>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</si>
  <si>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</si>
  <si>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</si>
  <si>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</si>
  <si>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</si>
  <si>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</si>
  <si>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</si>
  <si>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</si>
  <si>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</si>
  <si>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</si>
  <si>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</si>
  <si>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</si>
  <si>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</si>
  <si>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</si>
  <si>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</si>
  <si>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</si>
  <si>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</si>
  <si>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</si>
  <si>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</si>
  <si>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</si>
  <si>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</si>
  <si>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</si>
  <si>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</si>
  <si>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</si>
  <si>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</si>
  <si>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</si>
  <si>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</si>
  <si>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</si>
  <si>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</si>
  <si>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</si>
  <si>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</si>
  <si>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</si>
  <si>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</si>
  <si>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</si>
  <si>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</si>
  <si>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</si>
  <si>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</si>
  <si>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</si>
  <si>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</si>
  <si>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</si>
  <si>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</si>
  <si>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</si>
  <si>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</si>
  <si>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</si>
  <si>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</si>
  <si>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</si>
  <si>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</si>
  <si>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</si>
  <si>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</si>
  <si>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</si>
  <si>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</si>
  <si>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</si>
  <si>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</si>
  <si>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</si>
  <si>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</si>
  <si>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</si>
  <si>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</si>
  <si>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</si>
  <si>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</si>
  <si>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</si>
  <si>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</si>
  <si>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</si>
  <si>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</si>
  <si>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</si>
  <si>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</si>
  <si>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</si>
  <si>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</si>
  <si>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</si>
  <si>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</si>
  <si>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</si>
  <si>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</si>
  <si>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</si>
  <si>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</si>
  <si>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</si>
  <si>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</si>
  <si>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</si>
  <si>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</si>
  <si>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</si>
  <si>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</si>
  <si>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</si>
  <si>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</si>
  <si>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</si>
  <si>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</si>
  <si>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</si>
  <si>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</si>
  <si>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</si>
  <si>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</si>
  <si>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</si>
  <si>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</si>
  <si>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</si>
  <si>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</si>
  <si>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</si>
  <si>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</si>
  <si>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</si>
  <si>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</si>
  <si>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</si>
  <si>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</si>
  <si>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</si>
  <si>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</si>
  <si>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primarycg</t>
  </si>
  <si>
    <t>pre</t>
  </si>
  <si>
    <t>distr_solelc_spv_001</t>
  </si>
  <si>
    <t>connecting solar to buses in cluster 1</t>
  </si>
  <si>
    <t>NRGI</t>
  </si>
  <si>
    <t>daynite</t>
  </si>
  <si>
    <t>distr_solelc_spv_009</t>
  </si>
  <si>
    <t>connecting solar to buses in cluster 9</t>
  </si>
  <si>
    <t>distr_solelc_spv_004</t>
  </si>
  <si>
    <t>connecting solar to buses in cluster 4</t>
  </si>
  <si>
    <t>distr_solelc_spv_012</t>
  </si>
  <si>
    <t>connecting solar to buses in cluster 12</t>
  </si>
  <si>
    <t>distr_solelc_spv_013</t>
  </si>
  <si>
    <t>connecting solar to buses in cluster 13</t>
  </si>
  <si>
    <t>distr_solelc_spv_011</t>
  </si>
  <si>
    <t>connecting solar to buses in cluster 11</t>
  </si>
  <si>
    <t>distr_solelc_spv_014</t>
  </si>
  <si>
    <t>connecting solar to buses in cluster 14</t>
  </si>
  <si>
    <t>distr_solelc_spv_003</t>
  </si>
  <si>
    <t>connecting solar to buses in cluster 3</t>
  </si>
  <si>
    <t>distr_solelc_spv_015</t>
  </si>
  <si>
    <t>connecting solar to buses in cluster 15</t>
  </si>
  <si>
    <t>distr_solelc_spv_007</t>
  </si>
  <si>
    <t>connecting solar to buses in cluster 7</t>
  </si>
  <si>
    <t>distr_solelc_spv_002</t>
  </si>
  <si>
    <t>connecting solar to buses in cluster 2</t>
  </si>
  <si>
    <t>distr_solelc_spv_017</t>
  </si>
  <si>
    <t>connecting solar to buses in cluster 17</t>
  </si>
  <si>
    <t>distr_solelc_spv_008</t>
  </si>
  <si>
    <t>connecting solar to buses in cluster 8</t>
  </si>
  <si>
    <t>distr_solelc_spv_010</t>
  </si>
  <si>
    <t>connecting solar to buses in cluster 10</t>
  </si>
  <si>
    <t>distr_solelc_spv_005</t>
  </si>
  <si>
    <t>connecting solar to buses in cluster 5</t>
  </si>
  <si>
    <t>distr_solelc_spv_016</t>
  </si>
  <si>
    <t>connecting solar to buses in cluster 16</t>
  </si>
  <si>
    <t>distr_solelc_spv_006</t>
  </si>
  <si>
    <t>connecting solar to buses in cluster 6</t>
  </si>
  <si>
    <t>comm-in</t>
  </si>
  <si>
    <t>ncap_cost~USD21_alt</t>
  </si>
  <si>
    <t>e_w212063751-220,e_w584663033-220,e_w171028597-220</t>
  </si>
  <si>
    <t>e_w846731380-400,e_w600689855-220</t>
  </si>
  <si>
    <t>e_w696954754-220,e_r17309135-220,e_w584663046-220</t>
  </si>
  <si>
    <t>e_w1006639185-400</t>
  </si>
  <si>
    <t>e_w846731380-400</t>
  </si>
  <si>
    <t>e_UG4-220,e_w696770566-220,e_w1006639185-400,e_w846731380-400</t>
  </si>
  <si>
    <t>e_r17309135-220,e_UG4-220,e_w212063751-220,e_w696770566-220</t>
  </si>
  <si>
    <t>e_w171028597-220,e_UG3-220,e_UG2-220,e_w600689855-220</t>
  </si>
  <si>
    <t>e_UG3-220,e_w600689855-220</t>
  </si>
  <si>
    <t>e_w212063751-220</t>
  </si>
  <si>
    <t>e_w584663033-220,e_w584663033-400,e_w171028597-220</t>
  </si>
  <si>
    <t>e_w171028597-220,e_w600689855-220,e_UG3-220</t>
  </si>
  <si>
    <t>e_w846731380-400,e_w1006639185-400</t>
  </si>
  <si>
    <t>e_w696954754-220,e_w584663046-220,e_w212063751-220</t>
  </si>
  <si>
    <t>e_w212063751-220,e_w696770566-220,e_w584663033-220,e_w584663033-400</t>
  </si>
  <si>
    <t>e_w171028597-220,e_w846731380-400,e_w600689855-220,e_UG3-220</t>
  </si>
  <si>
    <t>distr_wonelc_won_001</t>
  </si>
  <si>
    <t>connecting wind onshore to buses in cluster 1</t>
  </si>
  <si>
    <t>distr_wonelc_won_003</t>
  </si>
  <si>
    <t>connecting wind onshore to buses in cluster 3</t>
  </si>
  <si>
    <t>distr_wonelc_won_004</t>
  </si>
  <si>
    <t>connecting wind onshore to buses in cluster 4</t>
  </si>
  <si>
    <t>distr_wonelc_won_005</t>
  </si>
  <si>
    <t>connecting wind onshore to buses in cluster 5</t>
  </si>
  <si>
    <t>distr_wonelc_won_002</t>
  </si>
  <si>
    <t>connecting wind onshore to buses in cluster 2</t>
  </si>
  <si>
    <t>elc_won_001</t>
  </si>
  <si>
    <t>elc_won_003</t>
  </si>
  <si>
    <t>e_w600689855-220</t>
  </si>
  <si>
    <t>elc_won_004</t>
  </si>
  <si>
    <t>elc_won_005</t>
  </si>
  <si>
    <t>elc_won_002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</si>
  <si>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</si>
  <si>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</si>
  <si>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</si>
  <si>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</si>
  <si>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</si>
  <si>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</si>
  <si>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</si>
  <si>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</si>
  <si>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</si>
  <si>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</si>
  <si>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</si>
  <si>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</si>
  <si>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</si>
  <si>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</si>
  <si>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</si>
  <si>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</si>
  <si>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</si>
  <si>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</si>
  <si>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</si>
  <si>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</si>
  <si>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</si>
  <si>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</si>
  <si>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</si>
  <si>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</si>
  <si>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</si>
  <si>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</si>
  <si>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</si>
  <si>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</si>
  <si>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</si>
  <si>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</si>
  <si>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</si>
  <si>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</si>
  <si>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</si>
  <si>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stepdown_r17309135_220to132</t>
  </si>
  <si>
    <t>e_r17309135-220</t>
  </si>
  <si>
    <t>e_r17309135-132</t>
  </si>
  <si>
    <t>stepup_r17309135_132to220</t>
  </si>
  <si>
    <t>stepdown_w171028597_220to132</t>
  </si>
  <si>
    <t>e_w171028597-220</t>
  </si>
  <si>
    <t>e_w171028597-132</t>
  </si>
  <si>
    <t>stepup_w171028597_132to220</t>
  </si>
  <si>
    <t>stepdown_w212063751_220to132</t>
  </si>
  <si>
    <t>e_w212063751-132</t>
  </si>
  <si>
    <t>stepup_w212063751_132to220</t>
  </si>
  <si>
    <t>stepdown_w584663033_400to220</t>
  </si>
  <si>
    <t>e_w584663033-400</t>
  </si>
  <si>
    <t>e_w584663033-220</t>
  </si>
  <si>
    <t>stepup_w584663033_220to400</t>
  </si>
  <si>
    <t>stepdown_w584663046_220to132</t>
  </si>
  <si>
    <t>e_w584663046-220</t>
  </si>
  <si>
    <t>e_w584663046-132</t>
  </si>
  <si>
    <t>stepup_w584663046_132to220</t>
  </si>
  <si>
    <t>stepdown_w600689855_220to132</t>
  </si>
  <si>
    <t>e_w600689855-132</t>
  </si>
  <si>
    <t>stepup_w600689855_132to220</t>
  </si>
  <si>
    <t>stepdown_w846731380_400to132</t>
  </si>
  <si>
    <t>e_w846731380-132</t>
  </si>
  <si>
    <t>stepup_w846731380_132to400</t>
  </si>
  <si>
    <t>activityunit</t>
  </si>
  <si>
    <t>capacityunit</t>
  </si>
  <si>
    <t>Transformer: e_r17309135-220 → e_r17309135-132</t>
  </si>
  <si>
    <t>Transformer: e_r17309135-132 → e_r17309135-220</t>
  </si>
  <si>
    <t>Transformer: e_w171028597-220 → e_w171028597-132</t>
  </si>
  <si>
    <t>Transformer: e_w171028597-132 → e_w171028597-220</t>
  </si>
  <si>
    <t>Transformer: e_w212063751-220 → e_w212063751-132</t>
  </si>
  <si>
    <t>Transformer: e_w212063751-132 → e_w212063751-220</t>
  </si>
  <si>
    <t>Transformer: e_w584663033-400 → e_w584663033-220</t>
  </si>
  <si>
    <t>Transformer: e_w584663033-220 → e_w584663033-400</t>
  </si>
  <si>
    <t>Transformer: e_w584663046-220 → e_w584663046-132</t>
  </si>
  <si>
    <t>Transformer: e_w584663046-132 → e_w584663046-220</t>
  </si>
  <si>
    <t>Transformer: e_w600689855-220 → e_w600689855-132</t>
  </si>
  <si>
    <t>Transformer: e_w600689855-132 → e_w600689855-220</t>
  </si>
  <si>
    <t>Transformer: e_w846731380-400 → e_w846731380-132</t>
  </si>
  <si>
    <t>Transformer: e_w846731380-132 → e_w846731380-400</t>
  </si>
  <si>
    <t>e_UG10-132,e_UG11-132,e_UG2-220,e_UG3-220,e_UG8-132,e_w125886601-132,e_w171028597-132,e_w171028597-220,e_w171030053-132,e_w600689855-132,e_w600689855-220,e_w696954754-220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</si>
</sst>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e_UG10-132,e_UG11-132,e_UG2-220,e_UG3-220,e_UG8-132,e_w125886601-132,e_w171028597-132,e_w171028597-220,e_w171030053-132,e_w600689855-132,e_w600689855-220,e_w696954754-220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e_UG10-132,e_UG11-132,e_UG2-220,e_UG3-220,e_UG8-132,e_w125886601-132,e_w171028597-132,e_w171028597-220,e_w171030053-132,e_w600689855-132,e_w600689855-220,e_w696954754-220</v>
      </c>
      <c r="P28">
        <v>0</v>
      </c>
      <c r="Q28">
        <v>3</v>
      </c>
      <c r="R28">
        <v>1000</v>
      </c>
      <c r="S28">
        <v>50</v>
      </c>
      <c r="V28" s="147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BF4B-357C-47F3-8F15-CD721693AE3D}">
  <dimension ref="B9:AP27"/>
  <sheetViews>
    <sheetView workbookViewId="0"/>
  </sheetViews>
  <sheetFormatPr defaultRowHeight="14.25"/>
  <sheetData>
    <row r="9" spans="2:42">
      <c r="B9" t="s">
        <v>164</v>
      </c>
      <c r="J9" t="s">
        <v>209</v>
      </c>
      <c r="O9" t="s">
        <v>164</v>
      </c>
      <c r="X9" t="s">
        <v>209</v>
      </c>
      <c r="AD9" t="s">
        <v>164</v>
      </c>
      <c r="AL9" t="s">
        <v>209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210</v>
      </c>
      <c r="L10" t="s">
        <v>211</v>
      </c>
      <c r="M10" t="s">
        <v>212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230</v>
      </c>
      <c r="U10" t="s">
        <v>170</v>
      </c>
      <c r="V10" t="s">
        <v>171</v>
      </c>
      <c r="X10" t="s">
        <v>166</v>
      </c>
      <c r="Y10" t="s">
        <v>268</v>
      </c>
      <c r="Z10" t="s">
        <v>210</v>
      </c>
      <c r="AA10" t="s">
        <v>146</v>
      </c>
      <c r="AB10" t="s">
        <v>269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268</v>
      </c>
      <c r="AN10" t="s">
        <v>210</v>
      </c>
      <c r="AO10" t="s">
        <v>146</v>
      </c>
      <c r="AP10" t="s">
        <v>269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213</v>
      </c>
      <c r="L11">
        <v>1.2749999999999999E-2</v>
      </c>
      <c r="M11">
        <v>0.22206746891859311</v>
      </c>
      <c r="O11" t="s">
        <v>231</v>
      </c>
      <c r="P11" t="s">
        <v>232</v>
      </c>
      <c r="Q11" t="s">
        <v>233</v>
      </c>
      <c r="R11" t="s">
        <v>10</v>
      </c>
      <c r="S11" t="s">
        <v>21</v>
      </c>
      <c r="T11" t="s">
        <v>234</v>
      </c>
      <c r="U11" t="s">
        <v>235</v>
      </c>
      <c r="V11" t="s">
        <v>176</v>
      </c>
      <c r="X11" t="s">
        <v>232</v>
      </c>
      <c r="Y11" t="s">
        <v>213</v>
      </c>
      <c r="Z11" t="s">
        <v>270</v>
      </c>
      <c r="AA11">
        <v>0.99532992211872329</v>
      </c>
      <c r="AB11">
        <v>85.61809449007319</v>
      </c>
      <c r="AD11" t="s">
        <v>231</v>
      </c>
      <c r="AE11" t="s">
        <v>286</v>
      </c>
      <c r="AF11" t="s">
        <v>287</v>
      </c>
      <c r="AG11" t="s">
        <v>10</v>
      </c>
      <c r="AH11" t="s">
        <v>21</v>
      </c>
      <c r="AI11" t="s">
        <v>235</v>
      </c>
      <c r="AJ11" t="s">
        <v>176</v>
      </c>
      <c r="AL11" t="s">
        <v>286</v>
      </c>
      <c r="AM11" t="s">
        <v>296</v>
      </c>
      <c r="AN11" t="s">
        <v>274</v>
      </c>
      <c r="AO11">
        <v>0.98835919848200438</v>
      </c>
      <c r="AP11">
        <v>213.4146944965857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214</v>
      </c>
      <c r="L12">
        <v>2.9189635519101076</v>
      </c>
      <c r="M12">
        <v>0.21787464480696059</v>
      </c>
      <c r="O12" t="s">
        <v>231</v>
      </c>
      <c r="P12" t="s">
        <v>236</v>
      </c>
      <c r="Q12" t="s">
        <v>237</v>
      </c>
      <c r="R12" t="s">
        <v>10</v>
      </c>
      <c r="S12" t="s">
        <v>21</v>
      </c>
      <c r="T12" t="s">
        <v>234</v>
      </c>
      <c r="U12" t="s">
        <v>235</v>
      </c>
      <c r="V12" t="s">
        <v>176</v>
      </c>
      <c r="X12" t="s">
        <v>236</v>
      </c>
      <c r="Y12" t="s">
        <v>221</v>
      </c>
      <c r="Z12" t="s">
        <v>271</v>
      </c>
      <c r="AA12">
        <v>0.98630571265287026</v>
      </c>
      <c r="AB12">
        <v>251.06193469737815</v>
      </c>
      <c r="AD12" t="s">
        <v>231</v>
      </c>
      <c r="AE12" t="s">
        <v>288</v>
      </c>
      <c r="AF12" t="s">
        <v>289</v>
      </c>
      <c r="AG12" t="s">
        <v>10</v>
      </c>
      <c r="AH12" t="s">
        <v>21</v>
      </c>
      <c r="AI12" t="s">
        <v>235</v>
      </c>
      <c r="AJ12" t="s">
        <v>176</v>
      </c>
      <c r="AL12" t="s">
        <v>288</v>
      </c>
      <c r="AM12" t="s">
        <v>297</v>
      </c>
      <c r="AN12" t="s">
        <v>298</v>
      </c>
      <c r="AO12">
        <v>0.98749920994696694</v>
      </c>
      <c r="AP12">
        <v>229.18115097227223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215</v>
      </c>
      <c r="L13">
        <v>13.758251436296112</v>
      </c>
      <c r="M13">
        <v>0.21931631004765681</v>
      </c>
      <c r="O13" t="s">
        <v>231</v>
      </c>
      <c r="P13" t="s">
        <v>238</v>
      </c>
      <c r="Q13" t="s">
        <v>239</v>
      </c>
      <c r="R13" t="s">
        <v>10</v>
      </c>
      <c r="S13" t="s">
        <v>21</v>
      </c>
      <c r="T13" t="s">
        <v>234</v>
      </c>
      <c r="U13" t="s">
        <v>235</v>
      </c>
      <c r="V13" t="s">
        <v>176</v>
      </c>
      <c r="X13" t="s">
        <v>238</v>
      </c>
      <c r="Y13" t="s">
        <v>216</v>
      </c>
      <c r="Z13" t="s">
        <v>272</v>
      </c>
      <c r="AA13">
        <v>0.99707110971625845</v>
      </c>
      <c r="AB13">
        <v>53.696321868595874</v>
      </c>
      <c r="AD13" t="s">
        <v>231</v>
      </c>
      <c r="AE13" t="s">
        <v>290</v>
      </c>
      <c r="AF13" t="s">
        <v>291</v>
      </c>
      <c r="AG13" t="s">
        <v>10</v>
      </c>
      <c r="AH13" t="s">
        <v>21</v>
      </c>
      <c r="AI13" t="s">
        <v>235</v>
      </c>
      <c r="AJ13" t="s">
        <v>176</v>
      </c>
      <c r="AL13" t="s">
        <v>290</v>
      </c>
      <c r="AM13" t="s">
        <v>299</v>
      </c>
      <c r="AN13" t="s">
        <v>274</v>
      </c>
      <c r="AO13">
        <v>0.98556104331002803</v>
      </c>
      <c r="AP13">
        <v>264.71420598281912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216</v>
      </c>
      <c r="L14">
        <v>6.9909493103570481</v>
      </c>
      <c r="M14">
        <v>0.22380463865246231</v>
      </c>
      <c r="O14" t="s">
        <v>231</v>
      </c>
      <c r="P14" t="s">
        <v>240</v>
      </c>
      <c r="Q14" t="s">
        <v>241</v>
      </c>
      <c r="R14" t="s">
        <v>10</v>
      </c>
      <c r="S14" t="s">
        <v>21</v>
      </c>
      <c r="T14" t="s">
        <v>234</v>
      </c>
      <c r="U14" t="s">
        <v>235</v>
      </c>
      <c r="V14" t="s">
        <v>176</v>
      </c>
      <c r="X14" t="s">
        <v>240</v>
      </c>
      <c r="Y14" t="s">
        <v>224</v>
      </c>
      <c r="Z14" t="s">
        <v>273</v>
      </c>
      <c r="AA14">
        <v>0.99399901741566254</v>
      </c>
      <c r="AB14">
        <v>110.01801404618743</v>
      </c>
      <c r="AD14" t="s">
        <v>231</v>
      </c>
      <c r="AE14" t="s">
        <v>292</v>
      </c>
      <c r="AF14" t="s">
        <v>293</v>
      </c>
      <c r="AG14" t="s">
        <v>10</v>
      </c>
      <c r="AH14" t="s">
        <v>21</v>
      </c>
      <c r="AI14" t="s">
        <v>235</v>
      </c>
      <c r="AJ14" t="s">
        <v>176</v>
      </c>
      <c r="AL14" t="s">
        <v>292</v>
      </c>
      <c r="AM14" t="s">
        <v>300</v>
      </c>
      <c r="AN14" t="s">
        <v>298</v>
      </c>
      <c r="AO14">
        <v>0.98397872490462623</v>
      </c>
      <c r="AP14">
        <v>293.72337674851991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217</v>
      </c>
      <c r="L15">
        <v>9.1635188847120101</v>
      </c>
      <c r="M15">
        <v>0.21816599854000179</v>
      </c>
      <c r="O15" t="s">
        <v>231</v>
      </c>
      <c r="P15" t="s">
        <v>242</v>
      </c>
      <c r="Q15" t="s">
        <v>243</v>
      </c>
      <c r="R15" t="s">
        <v>10</v>
      </c>
      <c r="S15" t="s">
        <v>21</v>
      </c>
      <c r="T15" t="s">
        <v>234</v>
      </c>
      <c r="U15" t="s">
        <v>235</v>
      </c>
      <c r="V15" t="s">
        <v>176</v>
      </c>
      <c r="X15" t="s">
        <v>242</v>
      </c>
      <c r="Y15" t="s">
        <v>225</v>
      </c>
      <c r="Z15" t="s">
        <v>274</v>
      </c>
      <c r="AA15">
        <v>0.99582235058915525</v>
      </c>
      <c r="AB15">
        <v>76.590239198821237</v>
      </c>
      <c r="AD15" t="s">
        <v>231</v>
      </c>
      <c r="AE15" t="s">
        <v>294</v>
      </c>
      <c r="AF15" t="s">
        <v>295</v>
      </c>
      <c r="AG15" t="s">
        <v>10</v>
      </c>
      <c r="AH15" t="s">
        <v>21</v>
      </c>
      <c r="AI15" t="s">
        <v>235</v>
      </c>
      <c r="AJ15" t="s">
        <v>176</v>
      </c>
      <c r="AL15" t="s">
        <v>294</v>
      </c>
      <c r="AM15" t="s">
        <v>301</v>
      </c>
      <c r="AN15" t="s">
        <v>274</v>
      </c>
      <c r="AO15">
        <v>0.98685246979221208</v>
      </c>
      <c r="AP15">
        <v>241.0380538094461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218</v>
      </c>
      <c r="L16">
        <v>18.749380622488168</v>
      </c>
      <c r="M16">
        <v>0.23974867750019879</v>
      </c>
      <c r="O16" t="s">
        <v>231</v>
      </c>
      <c r="P16" t="s">
        <v>244</v>
      </c>
      <c r="Q16" t="s">
        <v>245</v>
      </c>
      <c r="R16" t="s">
        <v>10</v>
      </c>
      <c r="S16" t="s">
        <v>21</v>
      </c>
      <c r="T16" t="s">
        <v>234</v>
      </c>
      <c r="U16" t="s">
        <v>235</v>
      </c>
      <c r="V16" t="s">
        <v>176</v>
      </c>
      <c r="X16" t="s">
        <v>244</v>
      </c>
      <c r="Y16" t="s">
        <v>223</v>
      </c>
      <c r="Z16" t="s">
        <v>273</v>
      </c>
      <c r="AA16">
        <v>0.9931590433681845</v>
      </c>
      <c r="AB16">
        <v>125.41753824995104</v>
      </c>
    </row>
    <row r="17" spans="2:28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219</v>
      </c>
      <c r="L17">
        <v>4.3274999999999997</v>
      </c>
      <c r="M17">
        <v>0.2141785296681159</v>
      </c>
      <c r="O17" t="s">
        <v>231</v>
      </c>
      <c r="P17" t="s">
        <v>246</v>
      </c>
      <c r="Q17" t="s">
        <v>247</v>
      </c>
      <c r="R17" t="s">
        <v>10</v>
      </c>
      <c r="S17" t="s">
        <v>21</v>
      </c>
      <c r="T17" t="s">
        <v>234</v>
      </c>
      <c r="U17" t="s">
        <v>235</v>
      </c>
      <c r="V17" t="s">
        <v>176</v>
      </c>
      <c r="X17" t="s">
        <v>246</v>
      </c>
      <c r="Y17" t="s">
        <v>226</v>
      </c>
      <c r="Z17" t="s">
        <v>275</v>
      </c>
      <c r="AA17">
        <v>0.99712828474993054</v>
      </c>
      <c r="AB17">
        <v>52.648112917939905</v>
      </c>
    </row>
    <row r="18" spans="2:28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220</v>
      </c>
      <c r="L18">
        <v>14.738250000000001</v>
      </c>
      <c r="M18">
        <v>0.22209831686587689</v>
      </c>
      <c r="O18" t="s">
        <v>231</v>
      </c>
      <c r="P18" t="s">
        <v>248</v>
      </c>
      <c r="Q18" t="s">
        <v>249</v>
      </c>
      <c r="R18" t="s">
        <v>10</v>
      </c>
      <c r="S18" t="s">
        <v>21</v>
      </c>
      <c r="T18" t="s">
        <v>234</v>
      </c>
      <c r="U18" t="s">
        <v>235</v>
      </c>
      <c r="V18" t="s">
        <v>176</v>
      </c>
      <c r="X18" t="s">
        <v>248</v>
      </c>
      <c r="Y18" t="s">
        <v>215</v>
      </c>
      <c r="Z18" t="s">
        <v>276</v>
      </c>
      <c r="AA18">
        <v>0.99653018249232661</v>
      </c>
      <c r="AB18">
        <v>63.613320974011444</v>
      </c>
    </row>
    <row r="19" spans="2:28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221</v>
      </c>
      <c r="L19">
        <v>8.4794404326617858</v>
      </c>
      <c r="M19">
        <v>0.24184311678342149</v>
      </c>
      <c r="O19" t="s">
        <v>231</v>
      </c>
      <c r="P19" t="s">
        <v>250</v>
      </c>
      <c r="Q19" t="s">
        <v>251</v>
      </c>
      <c r="R19" t="s">
        <v>10</v>
      </c>
      <c r="S19" t="s">
        <v>21</v>
      </c>
      <c r="T19" t="s">
        <v>234</v>
      </c>
      <c r="U19" t="s">
        <v>235</v>
      </c>
      <c r="V19" t="s">
        <v>176</v>
      </c>
      <c r="X19" t="s">
        <v>250</v>
      </c>
      <c r="Y19" t="s">
        <v>227</v>
      </c>
      <c r="Z19" t="s">
        <v>277</v>
      </c>
      <c r="AA19">
        <v>0.99601637127870646</v>
      </c>
      <c r="AB19">
        <v>73.033193223714363</v>
      </c>
    </row>
    <row r="20" spans="2:28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222</v>
      </c>
      <c r="L20">
        <v>9.4519769865604175</v>
      </c>
      <c r="M20">
        <v>0.2353452817388976</v>
      </c>
      <c r="O20" t="s">
        <v>231</v>
      </c>
      <c r="P20" t="s">
        <v>252</v>
      </c>
      <c r="Q20" t="s">
        <v>253</v>
      </c>
      <c r="R20" t="s">
        <v>10</v>
      </c>
      <c r="S20" t="s">
        <v>21</v>
      </c>
      <c r="T20" t="s">
        <v>234</v>
      </c>
      <c r="U20" t="s">
        <v>235</v>
      </c>
      <c r="V20" t="s">
        <v>176</v>
      </c>
      <c r="X20" t="s">
        <v>252</v>
      </c>
      <c r="Y20" t="s">
        <v>219</v>
      </c>
      <c r="Z20" t="s">
        <v>278</v>
      </c>
      <c r="AA20">
        <v>0.99814287491480569</v>
      </c>
      <c r="AB20">
        <v>34.047293228562481</v>
      </c>
    </row>
    <row r="21" spans="2:28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223</v>
      </c>
      <c r="L21">
        <v>8.2662185347506565</v>
      </c>
      <c r="M21">
        <v>0.22531040629111479</v>
      </c>
      <c r="O21" t="s">
        <v>231</v>
      </c>
      <c r="P21" t="s">
        <v>254</v>
      </c>
      <c r="Q21" t="s">
        <v>255</v>
      </c>
      <c r="R21" t="s">
        <v>10</v>
      </c>
      <c r="S21" t="s">
        <v>21</v>
      </c>
      <c r="T21" t="s">
        <v>234</v>
      </c>
      <c r="U21" t="s">
        <v>235</v>
      </c>
      <c r="V21" t="s">
        <v>176</v>
      </c>
      <c r="X21" t="s">
        <v>254</v>
      </c>
      <c r="Y21" t="s">
        <v>214</v>
      </c>
      <c r="Z21" t="s">
        <v>279</v>
      </c>
      <c r="AA21">
        <v>0.99670639767963631</v>
      </c>
      <c r="AB21">
        <v>60.38270920666691</v>
      </c>
    </row>
    <row r="22" spans="2:28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224</v>
      </c>
      <c r="L22">
        <v>10.1625</v>
      </c>
      <c r="M22">
        <v>0.22787119111765561</v>
      </c>
      <c r="O22" t="s">
        <v>231</v>
      </c>
      <c r="P22" t="s">
        <v>256</v>
      </c>
      <c r="Q22" t="s">
        <v>257</v>
      </c>
      <c r="R22" t="s">
        <v>10</v>
      </c>
      <c r="S22" t="s">
        <v>21</v>
      </c>
      <c r="T22" t="s">
        <v>234</v>
      </c>
      <c r="U22" t="s">
        <v>235</v>
      </c>
      <c r="V22" t="s">
        <v>176</v>
      </c>
      <c r="X22" t="s">
        <v>256</v>
      </c>
      <c r="Y22" t="s">
        <v>229</v>
      </c>
      <c r="Z22" t="s">
        <v>280</v>
      </c>
      <c r="AA22">
        <v>0.99743813662378511</v>
      </c>
      <c r="AB22">
        <v>46.967495230606502</v>
      </c>
    </row>
    <row r="23" spans="2:28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225</v>
      </c>
      <c r="L23">
        <v>10.6815</v>
      </c>
      <c r="M23">
        <v>0.2357549387710158</v>
      </c>
      <c r="O23" t="s">
        <v>231</v>
      </c>
      <c r="P23" t="s">
        <v>258</v>
      </c>
      <c r="Q23" t="s">
        <v>259</v>
      </c>
      <c r="R23" t="s">
        <v>10</v>
      </c>
      <c r="S23" t="s">
        <v>21</v>
      </c>
      <c r="T23" t="s">
        <v>234</v>
      </c>
      <c r="U23" t="s">
        <v>235</v>
      </c>
      <c r="V23" t="s">
        <v>176</v>
      </c>
      <c r="X23" t="s">
        <v>258</v>
      </c>
      <c r="Y23" t="s">
        <v>220</v>
      </c>
      <c r="Z23" t="s">
        <v>281</v>
      </c>
      <c r="AA23">
        <v>0.99700516323982269</v>
      </c>
      <c r="AB23">
        <v>54.905340603249918</v>
      </c>
    </row>
    <row r="24" spans="2:28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226</v>
      </c>
      <c r="L24">
        <v>11.40375</v>
      </c>
      <c r="M24">
        <v>0.22661624888510229</v>
      </c>
      <c r="O24" t="s">
        <v>231</v>
      </c>
      <c r="P24" t="s">
        <v>260</v>
      </c>
      <c r="Q24" t="s">
        <v>261</v>
      </c>
      <c r="R24" t="s">
        <v>10</v>
      </c>
      <c r="S24" t="s">
        <v>21</v>
      </c>
      <c r="T24" t="s">
        <v>234</v>
      </c>
      <c r="U24" t="s">
        <v>235</v>
      </c>
      <c r="V24" t="s">
        <v>176</v>
      </c>
      <c r="X24" t="s">
        <v>260</v>
      </c>
      <c r="Y24" t="s">
        <v>222</v>
      </c>
      <c r="Z24" t="s">
        <v>282</v>
      </c>
      <c r="AA24">
        <v>0.99319041699561716</v>
      </c>
      <c r="AB24">
        <v>124.84235508035145</v>
      </c>
    </row>
    <row r="25" spans="2:28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227</v>
      </c>
      <c r="L25">
        <v>3.25875</v>
      </c>
      <c r="M25">
        <v>0.2302290273281952</v>
      </c>
      <c r="O25" t="s">
        <v>231</v>
      </c>
      <c r="P25" t="s">
        <v>262</v>
      </c>
      <c r="Q25" t="s">
        <v>263</v>
      </c>
      <c r="R25" t="s">
        <v>10</v>
      </c>
      <c r="S25" t="s">
        <v>21</v>
      </c>
      <c r="T25" t="s">
        <v>234</v>
      </c>
      <c r="U25" t="s">
        <v>235</v>
      </c>
      <c r="V25" t="s">
        <v>176</v>
      </c>
      <c r="X25" t="s">
        <v>262</v>
      </c>
      <c r="Y25" t="s">
        <v>217</v>
      </c>
      <c r="Z25" t="s">
        <v>283</v>
      </c>
      <c r="AA25">
        <v>0.99689242857794957</v>
      </c>
      <c r="AB25">
        <v>56.972142737590893</v>
      </c>
    </row>
    <row r="26" spans="2:28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228</v>
      </c>
      <c r="L26">
        <v>12.46021114963656</v>
      </c>
      <c r="M26">
        <v>0.21743534030021719</v>
      </c>
      <c r="O26" t="s">
        <v>231</v>
      </c>
      <c r="P26" t="s">
        <v>264</v>
      </c>
      <c r="Q26" t="s">
        <v>265</v>
      </c>
      <c r="R26" t="s">
        <v>10</v>
      </c>
      <c r="S26" t="s">
        <v>21</v>
      </c>
      <c r="T26" t="s">
        <v>234</v>
      </c>
      <c r="U26" t="s">
        <v>235</v>
      </c>
      <c r="V26" t="s">
        <v>176</v>
      </c>
      <c r="X26" t="s">
        <v>264</v>
      </c>
      <c r="Y26" t="s">
        <v>228</v>
      </c>
      <c r="Z26" t="s">
        <v>284</v>
      </c>
      <c r="AA26">
        <v>0.99606378156258346</v>
      </c>
      <c r="AB26">
        <v>72.164004685969289</v>
      </c>
    </row>
    <row r="27" spans="2:28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229</v>
      </c>
      <c r="L27">
        <v>13.103999999999999</v>
      </c>
      <c r="M27">
        <v>0.21533420098219219</v>
      </c>
      <c r="O27" t="s">
        <v>231</v>
      </c>
      <c r="P27" t="s">
        <v>266</v>
      </c>
      <c r="Q27" t="s">
        <v>267</v>
      </c>
      <c r="R27" t="s">
        <v>10</v>
      </c>
      <c r="S27" t="s">
        <v>21</v>
      </c>
      <c r="T27" t="s">
        <v>234</v>
      </c>
      <c r="U27" t="s">
        <v>235</v>
      </c>
      <c r="V27" t="s">
        <v>176</v>
      </c>
      <c r="X27" t="s">
        <v>266</v>
      </c>
      <c r="Y27" t="s">
        <v>218</v>
      </c>
      <c r="Z27" t="s">
        <v>285</v>
      </c>
      <c r="AA27">
        <v>0.99177130598703001</v>
      </c>
      <c r="AB27">
        <v>150.85939023778275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467E-4F84-4214-983A-F5C3EF84BC36}">
  <dimension ref="B9:M15"/>
  <sheetViews>
    <sheetView workbookViewId="0"/>
  </sheetViews>
  <sheetFormatPr defaultRowHeight="14.25"/>
  <sheetData>
    <row r="9" spans="2:13">
      <c r="B9" t="s">
        <v>164</v>
      </c>
      <c r="J9" t="s">
        <v>209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210</v>
      </c>
      <c r="L10" t="s">
        <v>211</v>
      </c>
      <c r="M10" t="s">
        <v>212</v>
      </c>
    </row>
    <row r="11" spans="2:13">
      <c r="B11" t="s">
        <v>172</v>
      </c>
      <c r="C11" t="s">
        <v>302</v>
      </c>
      <c r="D11" t="s">
        <v>303</v>
      </c>
      <c r="E11" t="s">
        <v>10</v>
      </c>
      <c r="F11" t="s">
        <v>21</v>
      </c>
      <c r="G11" t="s">
        <v>175</v>
      </c>
      <c r="H11" t="s">
        <v>176</v>
      </c>
      <c r="J11" t="s">
        <v>302</v>
      </c>
      <c r="K11" t="s">
        <v>296</v>
      </c>
      <c r="L11">
        <v>0.12805123607019345</v>
      </c>
      <c r="M11">
        <v>0.1041675203454081</v>
      </c>
    </row>
    <row r="12" spans="2:13">
      <c r="B12" t="s">
        <v>172</v>
      </c>
      <c r="C12" t="s">
        <v>304</v>
      </c>
      <c r="D12" t="s">
        <v>305</v>
      </c>
      <c r="E12" t="s">
        <v>10</v>
      </c>
      <c r="F12" t="s">
        <v>21</v>
      </c>
      <c r="G12" t="s">
        <v>175</v>
      </c>
      <c r="H12" t="s">
        <v>176</v>
      </c>
      <c r="J12" t="s">
        <v>304</v>
      </c>
      <c r="K12" t="s">
        <v>301</v>
      </c>
      <c r="L12">
        <v>0.23616721044045683</v>
      </c>
      <c r="M12">
        <v>8.0419140143771495E-2</v>
      </c>
    </row>
    <row r="13" spans="2:13">
      <c r="B13" t="s">
        <v>172</v>
      </c>
      <c r="C13" t="s">
        <v>306</v>
      </c>
      <c r="D13" t="s">
        <v>307</v>
      </c>
      <c r="E13" t="s">
        <v>10</v>
      </c>
      <c r="F13" t="s">
        <v>21</v>
      </c>
      <c r="G13" t="s">
        <v>175</v>
      </c>
      <c r="H13" t="s">
        <v>176</v>
      </c>
      <c r="J13" t="s">
        <v>306</v>
      </c>
      <c r="K13" t="s">
        <v>297</v>
      </c>
      <c r="L13">
        <v>5.9871287451504572E-2</v>
      </c>
      <c r="M13">
        <v>9.2316557258949397E-2</v>
      </c>
    </row>
    <row r="14" spans="2:13">
      <c r="B14" t="s">
        <v>172</v>
      </c>
      <c r="C14" t="s">
        <v>308</v>
      </c>
      <c r="D14" t="s">
        <v>309</v>
      </c>
      <c r="E14" t="s">
        <v>10</v>
      </c>
      <c r="F14" t="s">
        <v>21</v>
      </c>
      <c r="G14" t="s">
        <v>175</v>
      </c>
      <c r="H14" t="s">
        <v>176</v>
      </c>
      <c r="J14" t="s">
        <v>308</v>
      </c>
      <c r="K14" t="s">
        <v>299</v>
      </c>
      <c r="L14">
        <v>0.52862813293405375</v>
      </c>
      <c r="M14">
        <v>0.1065091976893727</v>
      </c>
    </row>
    <row r="15" spans="2:13">
      <c r="B15" t="s">
        <v>172</v>
      </c>
      <c r="C15" t="s">
        <v>310</v>
      </c>
      <c r="D15" t="s">
        <v>311</v>
      </c>
      <c r="E15" t="s">
        <v>10</v>
      </c>
      <c r="F15" t="s">
        <v>21</v>
      </c>
      <c r="G15" t="s">
        <v>175</v>
      </c>
      <c r="H15" t="s">
        <v>176</v>
      </c>
      <c r="J15" t="s">
        <v>310</v>
      </c>
      <c r="K15" t="s">
        <v>300</v>
      </c>
      <c r="L15">
        <v>2.0712289716337019E-2</v>
      </c>
      <c r="M15">
        <v>9.0322578518721705E-2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FC4-67D5-41FA-9512-FDB894FF887E}">
  <dimension ref="B9:P73"/>
  <sheetViews>
    <sheetView workbookViewId="0"/>
  </sheetViews>
  <sheetFormatPr defaultRowHeight="14.25"/>
  <sheetData>
    <row r="9" spans="2:16">
      <c r="B9" t="s">
        <v>209</v>
      </c>
      <c r="J9" t="s">
        <v>164</v>
      </c>
    </row>
    <row r="10" spans="2:16">
      <c r="B10" t="s">
        <v>166</v>
      </c>
      <c r="C10" t="s">
        <v>268</v>
      </c>
      <c r="D10" t="s">
        <v>210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312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312</v>
      </c>
      <c r="M11" t="s">
        <v>10</v>
      </c>
      <c r="N11" t="s">
        <v>21</v>
      </c>
      <c r="O11" t="s">
        <v>235</v>
      </c>
      <c r="P11" t="s">
        <v>334</v>
      </c>
    </row>
    <row r="12" spans="2:16">
      <c r="B12" t="s">
        <v>312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313</v>
      </c>
      <c r="J12" t="s">
        <v>172</v>
      </c>
      <c r="K12" t="s">
        <v>317</v>
      </c>
      <c r="M12" t="s">
        <v>10</v>
      </c>
      <c r="N12" t="s">
        <v>21</v>
      </c>
      <c r="O12" t="s">
        <v>235</v>
      </c>
      <c r="P12" t="s">
        <v>334</v>
      </c>
    </row>
    <row r="13" spans="2:16">
      <c r="B13" t="s">
        <v>312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314</v>
      </c>
      <c r="J13" t="s">
        <v>172</v>
      </c>
      <c r="K13" t="s">
        <v>318</v>
      </c>
      <c r="M13" t="s">
        <v>10</v>
      </c>
      <c r="N13" t="s">
        <v>21</v>
      </c>
      <c r="O13" t="s">
        <v>235</v>
      </c>
      <c r="P13" t="s">
        <v>334</v>
      </c>
    </row>
    <row r="14" spans="2:16">
      <c r="B14" t="s">
        <v>312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315</v>
      </c>
      <c r="J14" t="s">
        <v>172</v>
      </c>
      <c r="K14" t="s">
        <v>319</v>
      </c>
      <c r="M14" t="s">
        <v>10</v>
      </c>
      <c r="N14" t="s">
        <v>21</v>
      </c>
      <c r="O14" t="s">
        <v>235</v>
      </c>
      <c r="P14" t="s">
        <v>334</v>
      </c>
    </row>
    <row r="15" spans="2:16">
      <c r="B15" t="s">
        <v>312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316</v>
      </c>
      <c r="J15" t="s">
        <v>172</v>
      </c>
      <c r="K15" t="s">
        <v>320</v>
      </c>
      <c r="M15" t="s">
        <v>10</v>
      </c>
      <c r="N15" t="s">
        <v>21</v>
      </c>
      <c r="O15" t="s">
        <v>235</v>
      </c>
      <c r="P15" t="s">
        <v>334</v>
      </c>
    </row>
    <row r="16" spans="2:16">
      <c r="B16" t="s">
        <v>317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321</v>
      </c>
      <c r="M16" t="s">
        <v>10</v>
      </c>
      <c r="N16" t="s">
        <v>21</v>
      </c>
      <c r="O16" t="s">
        <v>235</v>
      </c>
      <c r="P16" t="s">
        <v>334</v>
      </c>
    </row>
    <row r="17" spans="2:16">
      <c r="B17" t="s">
        <v>317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313</v>
      </c>
      <c r="J17" t="s">
        <v>172</v>
      </c>
      <c r="K17" t="s">
        <v>322</v>
      </c>
      <c r="M17" t="s">
        <v>10</v>
      </c>
      <c r="N17" t="s">
        <v>21</v>
      </c>
      <c r="O17" t="s">
        <v>235</v>
      </c>
      <c r="P17" t="s">
        <v>334</v>
      </c>
    </row>
    <row r="18" spans="2:16">
      <c r="B18" t="s">
        <v>317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314</v>
      </c>
      <c r="J18" t="s">
        <v>172</v>
      </c>
      <c r="K18" t="s">
        <v>323</v>
      </c>
      <c r="M18" t="s">
        <v>10</v>
      </c>
      <c r="N18" t="s">
        <v>21</v>
      </c>
      <c r="O18" t="s">
        <v>235</v>
      </c>
      <c r="P18" t="s">
        <v>334</v>
      </c>
    </row>
    <row r="19" spans="2:16">
      <c r="B19" t="s">
        <v>317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315</v>
      </c>
      <c r="J19" t="s">
        <v>172</v>
      </c>
      <c r="K19" t="s">
        <v>324</v>
      </c>
      <c r="M19" t="s">
        <v>10</v>
      </c>
      <c r="N19" t="s">
        <v>21</v>
      </c>
      <c r="O19" t="s">
        <v>235</v>
      </c>
      <c r="P19" t="s">
        <v>334</v>
      </c>
    </row>
    <row r="20" spans="2:16">
      <c r="B20" t="s">
        <v>317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316</v>
      </c>
      <c r="J20" t="s">
        <v>172</v>
      </c>
      <c r="K20" t="s">
        <v>325</v>
      </c>
      <c r="M20" t="s">
        <v>10</v>
      </c>
      <c r="N20" t="s">
        <v>21</v>
      </c>
      <c r="O20" t="s">
        <v>235</v>
      </c>
      <c r="P20" t="s">
        <v>334</v>
      </c>
    </row>
    <row r="21" spans="2:16">
      <c r="B21" t="s">
        <v>318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172</v>
      </c>
      <c r="K21" t="s">
        <v>326</v>
      </c>
      <c r="M21" t="s">
        <v>10</v>
      </c>
      <c r="N21" t="s">
        <v>21</v>
      </c>
      <c r="O21" t="s">
        <v>235</v>
      </c>
      <c r="P21" t="s">
        <v>334</v>
      </c>
    </row>
    <row r="22" spans="2:16">
      <c r="B22" t="s">
        <v>318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314</v>
      </c>
      <c r="J22" t="s">
        <v>172</v>
      </c>
      <c r="K22" t="s">
        <v>327</v>
      </c>
      <c r="M22" t="s">
        <v>10</v>
      </c>
      <c r="N22" t="s">
        <v>21</v>
      </c>
      <c r="O22" t="s">
        <v>235</v>
      </c>
      <c r="P22" t="s">
        <v>334</v>
      </c>
    </row>
    <row r="23" spans="2:16">
      <c r="B23" t="s">
        <v>318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315</v>
      </c>
      <c r="J23" t="s">
        <v>172</v>
      </c>
      <c r="K23" t="s">
        <v>328</v>
      </c>
      <c r="M23" t="s">
        <v>10</v>
      </c>
      <c r="N23" t="s">
        <v>21</v>
      </c>
      <c r="O23" t="s">
        <v>235</v>
      </c>
      <c r="P23" t="s">
        <v>334</v>
      </c>
    </row>
    <row r="24" spans="2:16">
      <c r="B24" t="s">
        <v>319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172</v>
      </c>
      <c r="K24" t="s">
        <v>329</v>
      </c>
      <c r="M24" t="s">
        <v>10</v>
      </c>
      <c r="N24" t="s">
        <v>21</v>
      </c>
      <c r="O24" t="s">
        <v>235</v>
      </c>
      <c r="P24" t="s">
        <v>334</v>
      </c>
    </row>
    <row r="25" spans="2:16">
      <c r="B25" t="s">
        <v>319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314</v>
      </c>
      <c r="J25" t="s">
        <v>172</v>
      </c>
      <c r="K25" t="s">
        <v>330</v>
      </c>
      <c r="M25" t="s">
        <v>10</v>
      </c>
      <c r="N25" t="s">
        <v>21</v>
      </c>
      <c r="O25" t="s">
        <v>235</v>
      </c>
      <c r="P25" t="s">
        <v>334</v>
      </c>
    </row>
    <row r="26" spans="2:16">
      <c r="B26" t="s">
        <v>319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315</v>
      </c>
      <c r="J26" t="s">
        <v>172</v>
      </c>
      <c r="K26" t="s">
        <v>331</v>
      </c>
      <c r="M26" t="s">
        <v>10</v>
      </c>
      <c r="N26" t="s">
        <v>21</v>
      </c>
      <c r="O26" t="s">
        <v>235</v>
      </c>
      <c r="P26" t="s">
        <v>334</v>
      </c>
    </row>
    <row r="27" spans="2:16">
      <c r="B27" t="s">
        <v>320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172</v>
      </c>
      <c r="K27" t="s">
        <v>333</v>
      </c>
      <c r="M27" t="s">
        <v>10</v>
      </c>
      <c r="N27" t="s">
        <v>21</v>
      </c>
      <c r="O27" t="s">
        <v>235</v>
      </c>
      <c r="P27" t="s">
        <v>334</v>
      </c>
    </row>
    <row r="28" spans="2:16">
      <c r="B28" t="s">
        <v>320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314</v>
      </c>
    </row>
    <row r="29" spans="2:16">
      <c r="B29" t="s">
        <v>320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315</v>
      </c>
    </row>
    <row r="30" spans="2:16">
      <c r="B30" t="s">
        <v>321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321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314</v>
      </c>
    </row>
    <row r="32" spans="2:16">
      <c r="B32" t="s">
        <v>321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315</v>
      </c>
    </row>
    <row r="33" spans="2:8">
      <c r="B33" t="s">
        <v>322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322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313</v>
      </c>
    </row>
    <row r="35" spans="2:8">
      <c r="B35" t="s">
        <v>322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314</v>
      </c>
    </row>
    <row r="36" spans="2:8">
      <c r="B36" t="s">
        <v>322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315</v>
      </c>
    </row>
    <row r="37" spans="2:8">
      <c r="B37" t="s">
        <v>322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316</v>
      </c>
    </row>
    <row r="38" spans="2:8">
      <c r="B38" t="s">
        <v>323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323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314</v>
      </c>
    </row>
    <row r="40" spans="2:8">
      <c r="B40" t="s">
        <v>323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315</v>
      </c>
    </row>
    <row r="41" spans="2:8">
      <c r="B41" t="s">
        <v>324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324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314</v>
      </c>
    </row>
    <row r="43" spans="2:8">
      <c r="B43" t="s">
        <v>324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315</v>
      </c>
    </row>
    <row r="44" spans="2:8">
      <c r="B44" t="s">
        <v>325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325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314</v>
      </c>
    </row>
    <row r="46" spans="2:8">
      <c r="B46" t="s">
        <v>325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315</v>
      </c>
    </row>
    <row r="47" spans="2:8">
      <c r="B47" t="s">
        <v>326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326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314</v>
      </c>
    </row>
    <row r="49" spans="2:8">
      <c r="B49" t="s">
        <v>326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315</v>
      </c>
    </row>
    <row r="50" spans="2:8">
      <c r="B50" t="s">
        <v>327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327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313</v>
      </c>
    </row>
    <row r="52" spans="2:8">
      <c r="B52" t="s">
        <v>327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314</v>
      </c>
    </row>
    <row r="53" spans="2:8">
      <c r="B53" t="s">
        <v>327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315</v>
      </c>
    </row>
    <row r="54" spans="2:8">
      <c r="B54" t="s">
        <v>327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316</v>
      </c>
    </row>
    <row r="55" spans="2:8">
      <c r="B55" t="s">
        <v>328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328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314</v>
      </c>
    </row>
    <row r="57" spans="2:8">
      <c r="B57" t="s">
        <v>328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315</v>
      </c>
    </row>
    <row r="58" spans="2:8">
      <c r="B58" t="s">
        <v>329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329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314</v>
      </c>
    </row>
    <row r="60" spans="2:8">
      <c r="B60" t="s">
        <v>329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315</v>
      </c>
    </row>
    <row r="61" spans="2:8">
      <c r="B61" t="s">
        <v>330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330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314</v>
      </c>
    </row>
    <row r="63" spans="2:8">
      <c r="B63" t="s">
        <v>330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315</v>
      </c>
    </row>
    <row r="64" spans="2:8">
      <c r="B64" t="s">
        <v>331</v>
      </c>
      <c r="C64" t="s">
        <v>332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331</v>
      </c>
      <c r="C65" t="s">
        <v>332</v>
      </c>
      <c r="D65" t="s">
        <v>19</v>
      </c>
      <c r="E65">
        <v>0.37</v>
      </c>
      <c r="F65">
        <v>0.39</v>
      </c>
      <c r="G65">
        <v>0.43</v>
      </c>
      <c r="H65" t="s">
        <v>313</v>
      </c>
    </row>
    <row r="66" spans="2:8">
      <c r="B66" t="s">
        <v>331</v>
      </c>
      <c r="C66" t="s">
        <v>332</v>
      </c>
      <c r="D66" t="s">
        <v>19</v>
      </c>
      <c r="E66">
        <v>4260</v>
      </c>
      <c r="F66">
        <v>3220</v>
      </c>
      <c r="G66">
        <v>2200</v>
      </c>
      <c r="H66" t="s">
        <v>314</v>
      </c>
    </row>
    <row r="67" spans="2:8">
      <c r="B67" t="s">
        <v>331</v>
      </c>
      <c r="C67" t="s">
        <v>332</v>
      </c>
      <c r="D67" t="s">
        <v>19</v>
      </c>
      <c r="E67">
        <v>105</v>
      </c>
      <c r="F67">
        <v>85</v>
      </c>
      <c r="G67">
        <v>65</v>
      </c>
      <c r="H67" t="s">
        <v>315</v>
      </c>
    </row>
    <row r="68" spans="2:8">
      <c r="B68" t="s">
        <v>331</v>
      </c>
      <c r="C68" t="s">
        <v>332</v>
      </c>
      <c r="D68" t="s">
        <v>19</v>
      </c>
      <c r="E68">
        <v>3</v>
      </c>
      <c r="F68">
        <v>3</v>
      </c>
      <c r="G68">
        <v>3</v>
      </c>
      <c r="H68" t="s">
        <v>316</v>
      </c>
    </row>
    <row r="69" spans="2:8">
      <c r="B69" t="s">
        <v>333</v>
      </c>
      <c r="C69" t="s">
        <v>332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333</v>
      </c>
      <c r="C70" t="s">
        <v>332</v>
      </c>
      <c r="D70" t="s">
        <v>19</v>
      </c>
      <c r="E70">
        <v>0.32</v>
      </c>
      <c r="F70">
        <v>0.34</v>
      </c>
      <c r="G70">
        <v>0.35000000000000003</v>
      </c>
      <c r="H70" t="s">
        <v>313</v>
      </c>
    </row>
    <row r="71" spans="2:8">
      <c r="B71" t="s">
        <v>333</v>
      </c>
      <c r="C71" t="s">
        <v>332</v>
      </c>
      <c r="D71" t="s">
        <v>19</v>
      </c>
      <c r="E71">
        <v>1650</v>
      </c>
      <c r="F71">
        <v>1560</v>
      </c>
      <c r="G71">
        <v>1470</v>
      </c>
      <c r="H71" t="s">
        <v>314</v>
      </c>
    </row>
    <row r="72" spans="2:8">
      <c r="B72" t="s">
        <v>333</v>
      </c>
      <c r="C72" t="s">
        <v>332</v>
      </c>
      <c r="D72" t="s">
        <v>19</v>
      </c>
      <c r="E72">
        <v>42</v>
      </c>
      <c r="F72">
        <v>40</v>
      </c>
      <c r="G72">
        <v>38</v>
      </c>
      <c r="H72" t="s">
        <v>315</v>
      </c>
    </row>
    <row r="73" spans="2:8">
      <c r="B73" t="s">
        <v>333</v>
      </c>
      <c r="C73" t="s">
        <v>332</v>
      </c>
      <c r="D73" t="s">
        <v>19</v>
      </c>
      <c r="E73">
        <v>1.5</v>
      </c>
      <c r="F73">
        <v>1.5</v>
      </c>
      <c r="G73">
        <v>1.5</v>
      </c>
      <c r="H73" t="s">
        <v>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ED5A-57AA-4588-821A-6417F58BA436}">
  <dimension ref="B2:M17"/>
  <sheetViews>
    <sheetView tabSelected="1" workbookViewId="0"/>
  </sheetViews>
  <sheetFormatPr defaultRowHeight="14.25"/>
  <sheetData>
    <row r="2" spans="2:13">
      <c r="B2" t="s">
        <v>209</v>
      </c>
      <c r="H2" t="s">
        <v>164</v>
      </c>
    </row>
    <row r="3" spans="2:13">
      <c r="B3" t="s">
        <v>166</v>
      </c>
      <c r="C3" t="s">
        <v>268</v>
      </c>
      <c r="D3" t="s">
        <v>210</v>
      </c>
      <c r="E3" t="s">
        <v>146</v>
      </c>
      <c r="H3" t="s">
        <v>165</v>
      </c>
      <c r="I3" t="s">
        <v>166</v>
      </c>
      <c r="J3" t="s">
        <v>167</v>
      </c>
      <c r="K3" t="s">
        <v>360</v>
      </c>
      <c r="L3" t="s">
        <v>361</v>
      </c>
      <c r="M3" t="s">
        <v>170</v>
      </c>
    </row>
    <row r="4" spans="2:13">
      <c r="B4" t="s">
        <v>335</v>
      </c>
      <c r="C4" t="s">
        <v>336</v>
      </c>
      <c r="D4" t="s">
        <v>337</v>
      </c>
      <c r="E4">
        <v>1</v>
      </c>
      <c r="H4" t="s">
        <v>231</v>
      </c>
      <c r="I4" t="s">
        <v>335</v>
      </c>
      <c r="J4" t="s">
        <v>362</v>
      </c>
      <c r="K4" t="s">
        <v>21</v>
      </c>
      <c r="L4" t="s">
        <v>10</v>
      </c>
      <c r="M4" t="s">
        <v>235</v>
      </c>
    </row>
    <row r="5" spans="2:13">
      <c r="B5" t="s">
        <v>338</v>
      </c>
      <c r="C5" t="s">
        <v>337</v>
      </c>
      <c r="D5" t="s">
        <v>336</v>
      </c>
      <c r="E5">
        <v>1</v>
      </c>
      <c r="H5" t="s">
        <v>231</v>
      </c>
      <c r="I5" t="s">
        <v>338</v>
      </c>
      <c r="J5" t="s">
        <v>363</v>
      </c>
      <c r="K5" t="s">
        <v>21</v>
      </c>
      <c r="L5" t="s">
        <v>10</v>
      </c>
      <c r="M5" t="s">
        <v>235</v>
      </c>
    </row>
    <row r="6" spans="2:13">
      <c r="B6" t="s">
        <v>339</v>
      </c>
      <c r="C6" t="s">
        <v>340</v>
      </c>
      <c r="D6" t="s">
        <v>341</v>
      </c>
      <c r="E6">
        <v>1</v>
      </c>
      <c r="H6" t="s">
        <v>231</v>
      </c>
      <c r="I6" t="s">
        <v>339</v>
      </c>
      <c r="J6" t="s">
        <v>364</v>
      </c>
      <c r="K6" t="s">
        <v>21</v>
      </c>
      <c r="L6" t="s">
        <v>10</v>
      </c>
      <c r="M6" t="s">
        <v>235</v>
      </c>
    </row>
    <row r="7" spans="2:13">
      <c r="B7" t="s">
        <v>342</v>
      </c>
      <c r="C7" t="s">
        <v>341</v>
      </c>
      <c r="D7" t="s">
        <v>340</v>
      </c>
      <c r="E7">
        <v>1</v>
      </c>
      <c r="H7" t="s">
        <v>231</v>
      </c>
      <c r="I7" t="s">
        <v>342</v>
      </c>
      <c r="J7" t="s">
        <v>365</v>
      </c>
      <c r="K7" t="s">
        <v>21</v>
      </c>
      <c r="L7" t="s">
        <v>10</v>
      </c>
      <c r="M7" t="s">
        <v>235</v>
      </c>
    </row>
    <row r="8" spans="2:13">
      <c r="B8" t="s">
        <v>343</v>
      </c>
      <c r="C8" t="s">
        <v>279</v>
      </c>
      <c r="D8" t="s">
        <v>344</v>
      </c>
      <c r="E8">
        <v>1</v>
      </c>
      <c r="H8" t="s">
        <v>231</v>
      </c>
      <c r="I8" t="s">
        <v>343</v>
      </c>
      <c r="J8" t="s">
        <v>366</v>
      </c>
      <c r="K8" t="s">
        <v>21</v>
      </c>
      <c r="L8" t="s">
        <v>10</v>
      </c>
      <c r="M8" t="s">
        <v>235</v>
      </c>
    </row>
    <row r="9" spans="2:13">
      <c r="B9" t="s">
        <v>345</v>
      </c>
      <c r="C9" t="s">
        <v>344</v>
      </c>
      <c r="D9" t="s">
        <v>279</v>
      </c>
      <c r="E9">
        <v>1</v>
      </c>
      <c r="H9" t="s">
        <v>231</v>
      </c>
      <c r="I9" t="s">
        <v>345</v>
      </c>
      <c r="J9" t="s">
        <v>367</v>
      </c>
      <c r="K9" t="s">
        <v>21</v>
      </c>
      <c r="L9" t="s">
        <v>10</v>
      </c>
      <c r="M9" t="s">
        <v>235</v>
      </c>
    </row>
    <row r="10" spans="2:13">
      <c r="B10" t="s">
        <v>346</v>
      </c>
      <c r="C10" t="s">
        <v>347</v>
      </c>
      <c r="D10" t="s">
        <v>348</v>
      </c>
      <c r="E10">
        <v>1</v>
      </c>
      <c r="H10" t="s">
        <v>231</v>
      </c>
      <c r="I10" t="s">
        <v>346</v>
      </c>
      <c r="J10" t="s">
        <v>368</v>
      </c>
      <c r="K10" t="s">
        <v>21</v>
      </c>
      <c r="L10" t="s">
        <v>10</v>
      </c>
      <c r="M10" t="s">
        <v>235</v>
      </c>
    </row>
    <row r="11" spans="2:13">
      <c r="B11" t="s">
        <v>349</v>
      </c>
      <c r="C11" t="s">
        <v>348</v>
      </c>
      <c r="D11" t="s">
        <v>347</v>
      </c>
      <c r="E11">
        <v>1</v>
      </c>
      <c r="H11" t="s">
        <v>231</v>
      </c>
      <c r="I11" t="s">
        <v>349</v>
      </c>
      <c r="J11" t="s">
        <v>369</v>
      </c>
      <c r="K11" t="s">
        <v>21</v>
      </c>
      <c r="L11" t="s">
        <v>10</v>
      </c>
      <c r="M11" t="s">
        <v>235</v>
      </c>
    </row>
    <row r="12" spans="2:13">
      <c r="B12" t="s">
        <v>350</v>
      </c>
      <c r="C12" t="s">
        <v>351</v>
      </c>
      <c r="D12" t="s">
        <v>352</v>
      </c>
      <c r="E12">
        <v>1</v>
      </c>
      <c r="H12" t="s">
        <v>231</v>
      </c>
      <c r="I12" t="s">
        <v>350</v>
      </c>
      <c r="J12" t="s">
        <v>370</v>
      </c>
      <c r="K12" t="s">
        <v>21</v>
      </c>
      <c r="L12" t="s">
        <v>10</v>
      </c>
      <c r="M12" t="s">
        <v>235</v>
      </c>
    </row>
    <row r="13" spans="2:13">
      <c r="B13" t="s">
        <v>353</v>
      </c>
      <c r="C13" t="s">
        <v>352</v>
      </c>
      <c r="D13" t="s">
        <v>351</v>
      </c>
      <c r="E13">
        <v>1</v>
      </c>
      <c r="H13" t="s">
        <v>231</v>
      </c>
      <c r="I13" t="s">
        <v>353</v>
      </c>
      <c r="J13" t="s">
        <v>371</v>
      </c>
      <c r="K13" t="s">
        <v>21</v>
      </c>
      <c r="L13" t="s">
        <v>10</v>
      </c>
      <c r="M13" t="s">
        <v>235</v>
      </c>
    </row>
    <row r="14" spans="2:13">
      <c r="B14" t="s">
        <v>354</v>
      </c>
      <c r="C14" t="s">
        <v>298</v>
      </c>
      <c r="D14" t="s">
        <v>355</v>
      </c>
      <c r="E14">
        <v>1</v>
      </c>
      <c r="H14" t="s">
        <v>231</v>
      </c>
      <c r="I14" t="s">
        <v>354</v>
      </c>
      <c r="J14" t="s">
        <v>372</v>
      </c>
      <c r="K14" t="s">
        <v>21</v>
      </c>
      <c r="L14" t="s">
        <v>10</v>
      </c>
      <c r="M14" t="s">
        <v>235</v>
      </c>
    </row>
    <row r="15" spans="2:13">
      <c r="B15" t="s">
        <v>356</v>
      </c>
      <c r="C15" t="s">
        <v>355</v>
      </c>
      <c r="D15" t="s">
        <v>298</v>
      </c>
      <c r="E15">
        <v>1</v>
      </c>
      <c r="H15" t="s">
        <v>231</v>
      </c>
      <c r="I15" t="s">
        <v>356</v>
      </c>
      <c r="J15" t="s">
        <v>373</v>
      </c>
      <c r="K15" t="s">
        <v>21</v>
      </c>
      <c r="L15" t="s">
        <v>10</v>
      </c>
      <c r="M15" t="s">
        <v>235</v>
      </c>
    </row>
    <row r="16" spans="2:13">
      <c r="B16" t="s">
        <v>357</v>
      </c>
      <c r="C16" t="s">
        <v>274</v>
      </c>
      <c r="D16" t="s">
        <v>358</v>
      </c>
      <c r="E16">
        <v>1</v>
      </c>
      <c r="H16" t="s">
        <v>231</v>
      </c>
      <c r="I16" t="s">
        <v>357</v>
      </c>
      <c r="J16" t="s">
        <v>374</v>
      </c>
      <c r="K16" t="s">
        <v>21</v>
      </c>
      <c r="L16" t="s">
        <v>10</v>
      </c>
      <c r="M16" t="s">
        <v>235</v>
      </c>
    </row>
    <row r="17" spans="2:13">
      <c r="B17" t="s">
        <v>359</v>
      </c>
      <c r="C17" t="s">
        <v>358</v>
      </c>
      <c r="D17" t="s">
        <v>274</v>
      </c>
      <c r="E17">
        <v>1</v>
      </c>
      <c r="H17" t="s">
        <v>231</v>
      </c>
      <c r="I17" t="s">
        <v>359</v>
      </c>
      <c r="J17" t="s">
        <v>375</v>
      </c>
      <c r="K17" t="s">
        <v>21</v>
      </c>
      <c r="L17" t="s">
        <v>10</v>
      </c>
      <c r="M17" t="s">
        <v>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2025-12-22T06:27:14Z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