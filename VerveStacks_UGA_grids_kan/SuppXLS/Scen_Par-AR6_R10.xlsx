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UGA_grids_kan\SuppXLS\"/>
    </mc:Choice>
  </mc:AlternateContent>
  <xr:revisionPtr revIDLastSave="0" documentId="8_{0A156C6C-0F97-44EA-A4BF-0E41E4A6DFE4}" xr6:coauthVersionLast="47" xr6:coauthVersionMax="47" xr10:uidLastSave="{00000000-0000-0000-0000-000000000000}"/>
  <bookViews>
    <workbookView xWindow="-98" yWindow="-98" windowWidth="28996" windowHeight="17475" firstSheet="11" activeTab="11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  <sheet name="ev_charging_uc" sheetId="6" r:id="rId5"/>
    <sheet name="ts_012" sheetId="7" r:id="rId6"/>
    <sheet name="ts_030" sheetId="8" r:id="rId7"/>
    <sheet name="ts_048" sheetId="9" r:id="rId8"/>
    <sheet name="s1_d" sheetId="10" r:id="rId9"/>
    <sheet name="s1v1_d" sheetId="11" r:id="rId10"/>
    <sheet name="ts_annual" sheetId="12" r:id="rId11"/>
    <sheet name="ts_12t" sheetId="13" r:id="rId12"/>
  </sheets>
  <definedNames>
    <definedName name="_xlnm._FilterDatabase" localSheetId="0" hidden="1">Veda!$C$6:$E$63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6" l="1"/>
  <c r="X9" i="13"/>
  <c r="S9" i="13"/>
  <c r="N9" i="13"/>
  <c r="I9" i="13"/>
  <c r="A11" i="13"/>
  <c r="C9" i="13" s="1"/>
  <c r="X9" i="12"/>
  <c r="S9" i="12"/>
  <c r="N9" i="12"/>
  <c r="I9" i="12"/>
  <c r="A11" i="12"/>
  <c r="C9" i="12" s="1"/>
  <c r="X9" i="11"/>
  <c r="S9" i="11"/>
  <c r="N9" i="11"/>
  <c r="I9" i="11"/>
  <c r="A11" i="11"/>
  <c r="C9" i="11" s="1"/>
  <c r="X9" i="10"/>
  <c r="S9" i="10"/>
  <c r="N9" i="10"/>
  <c r="I9" i="10"/>
  <c r="A11" i="10"/>
  <c r="C9" i="10" s="1"/>
  <c r="X9" i="9"/>
  <c r="S9" i="9"/>
  <c r="N9" i="9"/>
  <c r="I9" i="9"/>
  <c r="A11" i="9"/>
  <c r="C9" i="9" s="1"/>
  <c r="X9" i="8"/>
  <c r="S9" i="8"/>
  <c r="N9" i="8"/>
  <c r="I9" i="8"/>
  <c r="A11" i="8"/>
  <c r="C9" i="8" s="1"/>
  <c r="A11" i="7"/>
  <c r="C9" i="7" s="1"/>
  <c r="C10" i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D67" i="1"/>
  <c r="E64" i="1"/>
  <c r="D10" i="1"/>
  <c r="B10" i="1" s="1"/>
  <c r="D11" i="1"/>
  <c r="B11" i="1" s="1"/>
  <c r="D12" i="1"/>
  <c r="B12" i="1" s="1"/>
  <c r="D13" i="1"/>
  <c r="B13" i="1" s="1"/>
  <c r="D17" i="1"/>
  <c r="D18" i="1"/>
  <c r="D22" i="1"/>
  <c r="D27" i="1"/>
  <c r="D32" i="1"/>
  <c r="D37" i="1"/>
  <c r="D38" i="1"/>
  <c r="D42" i="1"/>
  <c r="D43" i="1"/>
  <c r="D47" i="1"/>
  <c r="D52" i="1"/>
  <c r="D57" i="1"/>
  <c r="D58" i="1"/>
  <c r="D62" i="1"/>
  <c r="D63" i="1"/>
  <c r="D9" i="1"/>
  <c r="B9" i="1" s="1"/>
  <c r="AJ15" i="1"/>
  <c r="D15" i="1" s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/>
  <c r="D23" i="1" s="1"/>
  <c r="AJ28" i="1"/>
  <c r="D28" i="1" s="1"/>
  <c r="AJ33" i="1"/>
  <c r="AJ38" i="1" s="1"/>
  <c r="AJ43" i="1" s="1"/>
  <c r="AJ48" i="1" s="1"/>
  <c r="AJ53" i="1" s="1"/>
  <c r="AJ58" i="1" s="1"/>
  <c r="AJ63" i="1" s="1"/>
  <c r="AJ68" i="1" s="1"/>
  <c r="AJ73" i="1" s="1"/>
  <c r="AJ78" i="1" s="1"/>
  <c r="AJ14" i="1"/>
  <c r="AJ19" i="1" s="1"/>
  <c r="E15" i="1"/>
  <c r="E20" i="1" s="1"/>
  <c r="E25" i="1" s="1"/>
  <c r="E30" i="1" s="1"/>
  <c r="E35" i="1" s="1"/>
  <c r="E40" i="1" s="1"/>
  <c r="E45" i="1" s="1"/>
  <c r="E50" i="1" s="1"/>
  <c r="E55" i="1" s="1"/>
  <c r="E60" i="1" s="1"/>
  <c r="E65" i="1" s="1"/>
  <c r="E16" i="1"/>
  <c r="E17" i="1"/>
  <c r="B17" i="1" s="1"/>
  <c r="E18" i="1"/>
  <c r="B18" i="1" s="1"/>
  <c r="E21" i="1"/>
  <c r="E22" i="1"/>
  <c r="E27" i="1" s="1"/>
  <c r="E32" i="1" s="1"/>
  <c r="E37" i="1" s="1"/>
  <c r="E42" i="1" s="1"/>
  <c r="E47" i="1" s="1"/>
  <c r="E52" i="1" s="1"/>
  <c r="E57" i="1" s="1"/>
  <c r="E62" i="1" s="1"/>
  <c r="B62" i="1" s="1"/>
  <c r="E23" i="1"/>
  <c r="E28" i="1" s="1"/>
  <c r="E26" i="1"/>
  <c r="E31" i="1" s="1"/>
  <c r="E36" i="1" s="1"/>
  <c r="E41" i="1" s="1"/>
  <c r="E46" i="1" s="1"/>
  <c r="E51" i="1" s="1"/>
  <c r="E56" i="1" s="1"/>
  <c r="E61" i="1" s="1"/>
  <c r="E66" i="1" s="1"/>
  <c r="E14" i="1"/>
  <c r="E19" i="1" s="1"/>
  <c r="E24" i="1" s="1"/>
  <c r="E29" i="1" s="1"/>
  <c r="E34" i="1" s="1"/>
  <c r="E39" i="1" s="1"/>
  <c r="E44" i="1" s="1"/>
  <c r="E49" i="1" s="1"/>
  <c r="E54" i="1" s="1"/>
  <c r="E59" i="1" s="1"/>
  <c r="E33" i="1" l="1"/>
  <c r="B28" i="1"/>
  <c r="AJ24" i="1"/>
  <c r="D19" i="1"/>
  <c r="B19" i="1" s="1"/>
  <c r="D21" i="1"/>
  <c r="B21" i="1" s="1"/>
  <c r="B52" i="1"/>
  <c r="D36" i="1"/>
  <c r="B36" i="1" s="1"/>
  <c r="B23" i="1"/>
  <c r="D41" i="1"/>
  <c r="B41" i="1" s="1"/>
  <c r="B47" i="1"/>
  <c r="D26" i="1"/>
  <c r="B26" i="1" s="1"/>
  <c r="B57" i="1"/>
  <c r="D16" i="1"/>
  <c r="B16" i="1" s="1"/>
  <c r="D31" i="1"/>
  <c r="B31" i="1" s="1"/>
  <c r="B15" i="1"/>
  <c r="B27" i="1"/>
  <c r="D61" i="1"/>
  <c r="B61" i="1" s="1"/>
  <c r="D33" i="1"/>
  <c r="D53" i="1"/>
  <c r="D51" i="1"/>
  <c r="B51" i="1" s="1"/>
  <c r="AJ20" i="1"/>
  <c r="D48" i="1"/>
  <c r="D46" i="1"/>
  <c r="B46" i="1" s="1"/>
  <c r="E67" i="1"/>
  <c r="D14" i="1"/>
  <c r="B14" i="1" s="1"/>
  <c r="B22" i="1"/>
  <c r="D56" i="1"/>
  <c r="B56" i="1" s="1"/>
  <c r="B42" i="1"/>
  <c r="B37" i="1"/>
  <c r="D66" i="1"/>
  <c r="B66" i="1" s="1"/>
  <c r="D68" i="1"/>
  <c r="B32" i="1"/>
  <c r="D2" i="1"/>
  <c r="H48" i="1"/>
  <c r="H47" i="1"/>
  <c r="H46" i="1"/>
  <c r="H45" i="1"/>
  <c r="H24" i="6"/>
  <c r="H23" i="6"/>
  <c r="D5" i="1"/>
  <c r="H21" i="6" l="1"/>
  <c r="AJ25" i="1"/>
  <c r="D20" i="1"/>
  <c r="B20" i="1" s="1"/>
  <c r="AJ29" i="1"/>
  <c r="D24" i="1"/>
  <c r="B24" i="1" s="1"/>
  <c r="B67" i="1"/>
  <c r="E38" i="1"/>
  <c r="B33" i="1"/>
  <c r="E5" i="1"/>
  <c r="I24" i="6"/>
  <c r="I23" i="6" s="1"/>
  <c r="E24" i="6"/>
  <c r="E23" i="6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E43" i="1" l="1"/>
  <c r="B38" i="1"/>
  <c r="D29" i="1"/>
  <c r="B29" i="1" s="1"/>
  <c r="AJ34" i="1"/>
  <c r="D25" i="1"/>
  <c r="B25" i="1" s="1"/>
  <c r="AJ30" i="1"/>
  <c r="K40" i="1"/>
  <c r="J37" i="1"/>
  <c r="J45" i="1" s="1"/>
  <c r="J40" i="1"/>
  <c r="I47" i="1"/>
  <c r="L40" i="1"/>
  <c r="M40" i="1"/>
  <c r="N40" i="1"/>
  <c r="M44" i="1"/>
  <c r="N44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O48" i="1" s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M20" i="1"/>
  <c r="N20" i="1"/>
  <c r="I21" i="1"/>
  <c r="J21" i="1"/>
  <c r="K18" i="1"/>
  <c r="M21" i="1"/>
  <c r="O21" i="1"/>
  <c r="K24" i="1"/>
  <c r="V24" i="1" s="1"/>
  <c r="J19" i="1"/>
  <c r="K19" i="1"/>
  <c r="L19" i="1"/>
  <c r="I20" i="1"/>
  <c r="I15" i="1"/>
  <c r="J20" i="1"/>
  <c r="I18" i="1"/>
  <c r="K21" i="1"/>
  <c r="L18" i="1"/>
  <c r="M18" i="1"/>
  <c r="N18" i="1"/>
  <c r="L24" i="1"/>
  <c r="W24" i="1" s="1"/>
  <c r="N24" i="1"/>
  <c r="Y24" i="1" s="1"/>
  <c r="M19" i="1"/>
  <c r="N19" i="1"/>
  <c r="J15" i="1"/>
  <c r="K20" i="1"/>
  <c r="L15" i="1"/>
  <c r="M15" i="1"/>
  <c r="N15" i="1"/>
  <c r="O20" i="1"/>
  <c r="O15" i="1"/>
  <c r="J18" i="1"/>
  <c r="L21" i="1"/>
  <c r="N21" i="1"/>
  <c r="O18" i="1"/>
  <c r="I19" i="1"/>
  <c r="M24" i="1"/>
  <c r="X24" i="1" s="1"/>
  <c r="O24" i="1"/>
  <c r="Z24" i="1" s="1"/>
  <c r="O19" i="1"/>
  <c r="K15" i="1"/>
  <c r="L20" i="1"/>
  <c r="S12" i="1"/>
  <c r="T14" i="1" s="1"/>
  <c r="AJ39" i="1" l="1"/>
  <c r="D34" i="1"/>
  <c r="B34" i="1" s="1"/>
  <c r="D30" i="1"/>
  <c r="B30" i="1" s="1"/>
  <c r="AJ35" i="1"/>
  <c r="E48" i="1"/>
  <c r="B43" i="1"/>
  <c r="T18" i="1"/>
  <c r="V14" i="1"/>
  <c r="V19" i="1" s="1"/>
  <c r="Y14" i="1"/>
  <c r="Y18" i="1" s="1"/>
  <c r="Z14" i="1"/>
  <c r="Z20" i="1" s="1"/>
  <c r="W14" i="1"/>
  <c r="W19" i="1" s="1"/>
  <c r="U14" i="1"/>
  <c r="U18" i="1" s="1"/>
  <c r="X14" i="1"/>
  <c r="X20" i="1" s="1"/>
  <c r="T19" i="1"/>
  <c r="T21" i="1"/>
  <c r="U21" i="1" s="1"/>
  <c r="V21" i="1" s="1"/>
  <c r="W21" i="1" s="1"/>
  <c r="X21" i="1" s="1"/>
  <c r="Y21" i="1" s="1"/>
  <c r="Z21" i="1" s="1"/>
  <c r="T20" i="1"/>
  <c r="E53" i="1" l="1"/>
  <c r="B48" i="1"/>
  <c r="AJ40" i="1"/>
  <c r="D35" i="1"/>
  <c r="B35" i="1" s="1"/>
  <c r="AJ44" i="1"/>
  <c r="D39" i="1"/>
  <c r="B39" i="1" s="1"/>
  <c r="X19" i="1"/>
  <c r="X22" i="1" s="1"/>
  <c r="U19" i="1"/>
  <c r="U20" i="1"/>
  <c r="X18" i="1"/>
  <c r="W18" i="1"/>
  <c r="Z18" i="1"/>
  <c r="Y20" i="1"/>
  <c r="Y19" i="1"/>
  <c r="Z19" i="1"/>
  <c r="Z22" i="1" s="1"/>
  <c r="V18" i="1"/>
  <c r="V20" i="1"/>
  <c r="V22" i="1" s="1"/>
  <c r="W20" i="1"/>
  <c r="W22" i="1" s="1"/>
  <c r="T22" i="1"/>
  <c r="AJ49" i="1" l="1"/>
  <c r="D44" i="1"/>
  <c r="B44" i="1" s="1"/>
  <c r="AJ45" i="1"/>
  <c r="D40" i="1"/>
  <c r="B40" i="1" s="1"/>
  <c r="E58" i="1"/>
  <c r="B53" i="1"/>
  <c r="U22" i="1"/>
  <c r="Y22" i="1"/>
  <c r="E63" i="1" l="1"/>
  <c r="B58" i="1"/>
  <c r="AJ50" i="1"/>
  <c r="D45" i="1"/>
  <c r="B45" i="1" s="1"/>
  <c r="AJ54" i="1"/>
  <c r="D49" i="1"/>
  <c r="B49" i="1" s="1"/>
  <c r="B63" i="1" l="1"/>
  <c r="E68" i="1"/>
  <c r="AJ59" i="1"/>
  <c r="D54" i="1"/>
  <c r="B54" i="1" s="1"/>
  <c r="AJ55" i="1"/>
  <c r="D50" i="1"/>
  <c r="B50" i="1" s="1"/>
  <c r="AJ60" i="1" l="1"/>
  <c r="D55" i="1"/>
  <c r="B55" i="1" s="1"/>
  <c r="B68" i="1"/>
  <c r="AJ64" i="1"/>
  <c r="D59" i="1"/>
  <c r="B59" i="1" s="1"/>
  <c r="AJ69" i="1" l="1"/>
  <c r="D64" i="1"/>
  <c r="B64" i="1" s="1"/>
  <c r="AJ65" i="1"/>
  <c r="D60" i="1"/>
  <c r="B60" i="1" s="1"/>
  <c r="AJ70" i="1" l="1"/>
  <c r="D65" i="1"/>
  <c r="B65" i="1" s="1"/>
  <c r="AJ74" i="1"/>
  <c r="AJ7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M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<sst xmlns="http://schemas.openxmlformats.org/spreadsheetml/2006/main" count="10588" uniqueCount="320">
  <si>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</si>
  <si>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</si>
  <si>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</si>
  <si>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</si>
  <si>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</si>
  <si>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</si>
  <si>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</si>
  <si>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</si>
  <si>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</si>
  <si>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</si>
  <si>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</si>
  <si>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</si>
  <si>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</si>
  <si>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</si>
  <si>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</si>
  <si>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</si>
  <si>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</si>
  <si>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</si>
  <si>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</si>
  <si>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</si>
  <si>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</si>
  <si>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</si>
  <si>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</si>
  <si>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</si>
  <si>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</si>
  <si>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</si>
  <si>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*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</si>
  <si>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</si>
  <si>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</si>
  <si>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</si>
  <si>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</si>
  <si>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</si>
  <si>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</si>
  <si>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</si>
  <si>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</si>
  <si>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</si>
  <si>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</si>
  <si>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</si>
  <si>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</si>
  <si>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</si>
  <si>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</si>
  <si>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</si>
  <si>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</si>
  <si>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</si>
  <si>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</si>
  <si>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</si>
  <si>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</si>
  <si>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</si>
  <si>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</si>
  <si>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</si>
  <si>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</si>
  <si>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</si>
  <si>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</si>
  <si>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</si>
  <si>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</si>
  <si>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</si>
  <si>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</si>
  <si>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</si>
  <si>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</si>
  <si>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</si>
  <si>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</si>
  <si>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</si>
  <si>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</si>
  <si>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</si>
  <si>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</si>
  <si>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</si>
  <si>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</si>
  <si>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</si>
  <si>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</si>
  <si>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</si>
  <si>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</si>
  <si>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</si>
  <si>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</si>
  <si>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</si>
  <si>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</si>
  <si>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</si>
  <si>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</si>
  <si>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</si>
  <si>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</si>
  <si>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</si>
  <si>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</si>
  <si>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</si>
  <si>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</si>
  <si>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</si>
  <si>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</si>
  <si>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</si>
  <si>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</si>
  <si>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</si>
  <si>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</si>
  <si>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</si>
  <si>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</si>
  <si>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</si>
  <si>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</si>
  <si>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</si>
  <si>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</si>
  <si>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</si>
  <si>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</si>
  <si>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</si>
  <si>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</si>
  <si>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</si>
  <si>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</si>
  <si>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s1p1v1_d</t>
  </si>
  <si>
    <t>s5p5v5_d</t>
  </si>
  <si>
    <t>ts_annual</t>
  </si>
  <si>
    <t>pset_co</t>
  </si>
  <si>
    <t>e 1.5 deg no OS</t>
  </si>
  <si>
    <t>d9d</t>
  </si>
  <si>
    <t>d 1.5 deg OS</t>
  </si>
  <si>
    <t>c 2 deg (67%)</t>
  </si>
  <si>
    <t>b 2 deg (50%)</t>
  </si>
  <si>
    <t>a 3 deg</t>
  </si>
  <si>
    <t>c15d</t>
  </si>
  <si>
    <t>~Scenmap</t>
  </si>
  <si>
    <t>scen</t>
  </si>
  <si>
    <t>case_no</t>
  </si>
  <si>
    <t>timeslice</t>
  </si>
  <si>
    <t>climate</t>
  </si>
  <si>
    <t>priority</t>
  </si>
  <si>
    <t>ts_012</t>
  </si>
  <si>
    <t>ts_048</t>
  </si>
  <si>
    <t>ts_12t</t>
  </si>
  <si>
    <t>h48</t>
  </si>
  <si>
    <t>j12</t>
  </si>
  <si>
    <t>k12</t>
  </si>
  <si>
    <t>kAnn</t>
  </si>
  <si>
    <t>~TFM_INS-TS: attribute=flo_cost;pset_pn=-IMP*Z</t>
  </si>
  <si>
    <t>bio price multiplier</t>
  </si>
  <si>
    <t>s1v1_d</t>
  </si>
  <si>
    <t>ts_030</t>
  </si>
  <si>
    <t>i30</t>
  </si>
  <si>
    <t>ts_048P10</t>
  </si>
  <si>
    <t>h48P10</t>
  </si>
  <si>
    <t>ts_048P90</t>
  </si>
  <si>
    <t>h48P90</t>
  </si>
  <si>
    <t>s1_d</t>
  </si>
  <si>
    <t>g1d72</t>
  </si>
  <si>
    <t>f2d96</t>
  </si>
  <si>
    <t>ts_096</t>
  </si>
  <si>
    <t>e96</t>
  </si>
  <si>
    <t>R10AFRICA</t>
  </si>
  <si>
    <t>UGA</t>
  </si>
  <si>
    <t>Oil discoveries, agricultural waste</t>
  </si>
  <si>
    <t>1-25,36-40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</si>
  <si>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</si>
  <si>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</si>
  <si>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</si>
  <si>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</si>
  <si>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</si>
  <si>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</si>
  <si>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</si>
  <si>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</si>
  <si>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H02</t>
  </si>
  <si>
    <t>H03</t>
  </si>
  <si>
    <t>H04</t>
  </si>
  <si>
    <t>com_fr</t>
  </si>
  <si>
    <t>elc_spv_001</t>
  </si>
  <si>
    <t>S01aH01</t>
  </si>
  <si>
    <t>IMPNRGZ</t>
  </si>
  <si>
    <t>S01aH02</t>
  </si>
  <si>
    <t>S01aH03</t>
  </si>
  <si>
    <t>S01aH04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</si>
  <si>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</si>
  <si>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</si>
  <si>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</si>
  <si>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</si>
  <si>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</si>
  <si>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</si>
  <si>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</si>
  <si>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</si>
  <si>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</si>
  <si>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</si>
  <si>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</si>
  <si>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</si>
  <si>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</si>
  <si>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</si>
  <si>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</si>
  <si>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elc_spv_017</t>
  </si>
  <si>
    <t>elc_won_001</t>
  </si>
  <si>
    <t>elc_won_002</t>
  </si>
  <si>
    <t>elc_won_003</t>
  </si>
  <si>
    <t>elc_won_004</t>
  </si>
  <si>
    <t>elc_won_005</t>
  </si>
  <si>
    <t>elc_wof_001</t>
  </si>
  <si>
    <t>elc_wof_002</t>
  </si>
  <si>
    <t>elc_wof_003</t>
  </si>
  <si>
    <t>elc_wof_004</t>
  </si>
  <si>
    <t>elc_wof_005</t>
  </si>
  <si>
    <t>g_yrfr</t>
  </si>
  <si>
    <t>day_night</t>
  </si>
  <si>
    <t>D</t>
  </si>
  <si>
    <t>N</t>
  </si>
  <si>
    <t>S01aH03,S01aH04,S01aH02</t>
  </si>
  <si>
    <t>H05</t>
  </si>
  <si>
    <t>S01aH05</t>
  </si>
  <si>
    <t>S01aH03,S01aH02,S01aH04,S01aH05</t>
  </si>
  <si>
    <t>0101h01</t>
  </si>
  <si>
    <t>b</t>
  </si>
  <si>
    <t>0101h02</t>
  </si>
  <si>
    <t>0101h03</t>
  </si>
  <si>
    <t>0101h04</t>
  </si>
  <si>
    <t>0101h05</t>
  </si>
  <si>
    <t>0101h06</t>
  </si>
  <si>
    <t>0101h07</t>
  </si>
  <si>
    <t>0101h08</t>
  </si>
  <si>
    <t>0101h09</t>
  </si>
  <si>
    <t>0101h10</t>
  </si>
  <si>
    <t>0101h11</t>
  </si>
  <si>
    <t>0101h12</t>
  </si>
  <si>
    <t>0101h13</t>
  </si>
  <si>
    <t>0101h14</t>
  </si>
  <si>
    <t>0101h15</t>
  </si>
  <si>
    <t>0101h16</t>
  </si>
  <si>
    <t>0101h17</t>
  </si>
  <si>
    <t>0101h18</t>
  </si>
  <si>
    <t>0101h19</t>
  </si>
  <si>
    <t>0101h20</t>
  </si>
  <si>
    <t>0101h21</t>
  </si>
  <si>
    <t>0101h22</t>
  </si>
  <si>
    <t>0101h23</t>
  </si>
  <si>
    <t>0101h24</t>
  </si>
  <si>
    <t>S01b0101h01</t>
  </si>
  <si>
    <t>S01b0101h02</t>
  </si>
  <si>
    <t>S01b0101h03</t>
  </si>
  <si>
    <t>S01b0101h04</t>
  </si>
  <si>
    <t>S01b0101h05</t>
  </si>
  <si>
    <t>S01b0101h06</t>
  </si>
  <si>
    <t>S01b0101h07</t>
  </si>
  <si>
    <t>S01b0101h08</t>
  </si>
  <si>
    <t>S01b0101h09</t>
  </si>
  <si>
    <t>S01b0101h10</t>
  </si>
  <si>
    <t>S01b0101h11</t>
  </si>
  <si>
    <t>S01b0101h12</t>
  </si>
  <si>
    <t>S01b0101h13</t>
  </si>
  <si>
    <t>S01b0101h14</t>
  </si>
  <si>
    <t>S01b0101h15</t>
  </si>
  <si>
    <t>S01b0101h16</t>
  </si>
  <si>
    <t>S01b0101h17</t>
  </si>
  <si>
    <t>S01b0101h18</t>
  </si>
  <si>
    <t>S01b0101h19</t>
  </si>
  <si>
    <t>S01b0101h20</t>
  </si>
  <si>
    <t>S01b0101h21</t>
  </si>
  <si>
    <t>S01b0101h22</t>
  </si>
  <si>
    <t>S01b0101h23</t>
  </si>
  <si>
    <t>S01b0101h24</t>
  </si>
  <si>
    <t>S01b0101h18,S01aH01,S01b0101h09,S01b0101h12,S01b0101h14,S01b0101h13,S01b0101h15,S01b0101h17,S01b0101h07,S01b0101h08,S01b0101h10,S01b0101h11,S01b0101h16</t>
  </si>
  <si>
    <t>S01aH02,S01aH04,S01b0101h21,S01b0101h19,S01b0101h22,S01b0101h06,S01b0101h24,S01aH03,S01b0101h02,S01b0101h23,S01aH05,S01b0101h01,S01b0101h04,S01b0101h05,S01b0101h03,S01b0101h20</t>
  </si>
  <si>
    <t>c</t>
  </si>
  <si>
    <t>0102h01</t>
  </si>
  <si>
    <t>0102h02</t>
  </si>
  <si>
    <t>0102h03</t>
  </si>
  <si>
    <t>0102h04</t>
  </si>
  <si>
    <t>0102h05</t>
  </si>
  <si>
    <t>0102h06</t>
  </si>
  <si>
    <t>0102h07</t>
  </si>
  <si>
    <t>0102h08</t>
  </si>
  <si>
    <t>0102h09</t>
  </si>
  <si>
    <t>0102h10</t>
  </si>
  <si>
    <t>0102h11</t>
  </si>
  <si>
    <t>0102h12</t>
  </si>
  <si>
    <t>0102h13</t>
  </si>
  <si>
    <t>0102h14</t>
  </si>
  <si>
    <t>0102h15</t>
  </si>
  <si>
    <t>0102h16</t>
  </si>
  <si>
    <t>0102h17</t>
  </si>
  <si>
    <t>0102h18</t>
  </si>
  <si>
    <t>0102h19</t>
  </si>
  <si>
    <t>0102h20</t>
  </si>
  <si>
    <t>0102h21</t>
  </si>
  <si>
    <t>0102h22</t>
  </si>
  <si>
    <t>0102h23</t>
  </si>
  <si>
    <t>0102h24</t>
  </si>
  <si>
    <t>S01c0102h01</t>
  </si>
  <si>
    <t>S01c0102h02</t>
  </si>
  <si>
    <t>S01c0102h03</t>
  </si>
  <si>
    <t>S01c0102h04</t>
  </si>
  <si>
    <t>S01c0102h05</t>
  </si>
  <si>
    <t>S01c0102h06</t>
  </si>
  <si>
    <t>S01c0102h07</t>
  </si>
  <si>
    <t>S01c0102h08</t>
  </si>
  <si>
    <t>S01c0102h09</t>
  </si>
  <si>
    <t>S01c0102h10</t>
  </si>
  <si>
    <t>S01c0102h11</t>
  </si>
  <si>
    <t>S01c0102h12</t>
  </si>
  <si>
    <t>S01c0102h13</t>
  </si>
  <si>
    <t>S01c0102h14</t>
  </si>
  <si>
    <t>S01c0102h15</t>
  </si>
  <si>
    <t>S01c0102h16</t>
  </si>
  <si>
    <t>S01c0102h17</t>
  </si>
  <si>
    <t>S01c0102h18</t>
  </si>
  <si>
    <t>S01c0102h19</t>
  </si>
  <si>
    <t>S01c0102h20</t>
  </si>
  <si>
    <t>S01c0102h21</t>
  </si>
  <si>
    <t>S01c0102h22</t>
  </si>
  <si>
    <t>S01c0102h23</t>
  </si>
  <si>
    <t>S01c0102h24</t>
  </si>
  <si>
    <t>S01b0101h13,S01b0101h15,S01c0102h11,S01c0102h13,S01b0101h16,S01c0102h17,S01c0102h09,S01c0102h16,S01b0101h08,S01b0101h18,S01b0101h12,S01c0102h12,S01c0102h14,S01c0102h08,S01c0102h10,S01b0101h17,S01aH01,S01b0101h09,S01b0101h10,S01b0101h11,S01b0101h07,S01c0102h07,S01b0101h14,S01c0102h15,S01c0102h18</t>
  </si>
  <si>
    <t>S01aH04,S01b0101h21,S01aH03,S01b0101h02,S01b0101h23,S01c0102h06,S01b0101h04,S01b0101h05,S01b0101h03,S01b0101h20,S01c0102h19,S01c0102h20,S01b0101h19,S01b0101h22,S01c0102h23,S01c0102h04,S01c0102h24,S01aH05,S01aH02,S01c0102h02,S01c0102h05,S01b0101h06,S01c0102h01,S01c0102h21,S01b0101h01,S01c0102h03,S01c0102h22,S01b0101h24</t>
  </si>
  <si>
    <t>AllS</t>
  </si>
  <si>
    <t>AllH</t>
  </si>
  <si>
    <t>AllSaAllH</t>
  </si>
  <si>
    <t>F</t>
  </si>
  <si>
    <t>W,R,S,F</t>
  </si>
  <si>
    <t>R</t>
  </si>
  <si>
    <t>S</t>
  </si>
  <si>
    <t>P</t>
  </si>
  <si>
    <t>W</t>
  </si>
  <si>
    <t>FaD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</si>
  <si>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</si>
  <si>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</si>
  <si>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</si>
  <si>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</si>
  <si>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</si>
  <si>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</si>
  <si>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</si>
  <si>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</si>
  <si>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</si>
  <si>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</si>
  <si>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</si>
  <si>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RaP,FaD,SaD,RaD,WaP,FaP,SaP,WaD</t>
  </si>
  <si>
    <t>RaP,FaP,SaP,RaN,WaP,SaN,WaN,FaN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</si>
</sst>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0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</cellStyleXfs>
  <cellXfs count="19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4" fillId="0" borderId="2" xfId="8"/>
    <xf numFmtId="0" fontId="5" fillId="0" borderId="3" xfId="9"/>
    <xf numFmtId="0" fontId="0" fillId="5" borderId="0" xfId="0" applyFill="1"/>
    <xf numFmtId="0" fontId="9" fillId="0" borderId="0" xfId="0" applyFont="1"/>
    <xf numFmtId="0" fontId="0" fillId="6" borderId="0" xfId="0" applyFill="1"/>
    <xf numFmtId="49" fontId="0" fillId="0" borderId="0" xfId="0" quotePrefix="1" applyNumberFormat="1"/>
  </cellXfs>
  <cellStyles count="10"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48.97</c:v>
                </c:pt>
                <c:pt idx="3">
                  <c:v>87.7</c:v>
                </c:pt>
                <c:pt idx="4">
                  <c:v>122.55</c:v>
                </c:pt>
                <c:pt idx="5">
                  <c:v>179.54</c:v>
                </c:pt>
                <c:pt idx="6">
                  <c:v>211.71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8"/>
  <sheetViews>
    <sheetView workbookViewId="0"/>
  </sheetViews>
  <sheetFormatPr defaultRowHeight="14.25" x14ac:dyDescent="0.45"/>
  <cols>
    <col min="1" max="1" width="6.46484375" bestFit="1" customWidth="1"/>
    <col min="2" max="2" width="19.06640625" bestFit="1" customWidth="1"/>
    <col min="3" max="3" width="7.265625" bestFit="1" customWidth="1"/>
    <col min="4" max="4" width="12.06640625" bestFit="1" customWidth="1"/>
    <col min="5" max="5" width="9.53125" customWidth="1"/>
    <col min="6" max="6" width="1.73046875" bestFit="1" customWidth="1"/>
    <col min="7" max="7" width="24.5312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39" x14ac:dyDescent="0.45">
      <c r="G1" s="18" t="s">
        <v>142</v>
      </c>
    </row>
    <row r="2" spans="1:39" x14ac:dyDescent="0.45">
      <c r="D2" s="1" t="str">
        <f>"~Inputcell: "&amp;_xlfn.TEXTJOIN(",",TRUE,G1:EE1)</f>
        <v>~Inputcell: 1-25,36-40</v>
      </c>
      <c r="G2">
        <v>5</v>
      </c>
      <c r="H2">
        <v>6</v>
      </c>
      <c r="I2">
        <v>7</v>
      </c>
      <c r="J2">
        <v>9</v>
      </c>
      <c r="K2">
        <v>10</v>
      </c>
      <c r="L2">
        <v>11</v>
      </c>
      <c r="M2">
        <v>16</v>
      </c>
      <c r="N2">
        <v>17</v>
      </c>
      <c r="O2">
        <v>18</v>
      </c>
      <c r="P2">
        <v>20</v>
      </c>
      <c r="Q2">
        <v>21</v>
      </c>
      <c r="R2">
        <v>22</v>
      </c>
      <c r="S2">
        <v>27</v>
      </c>
      <c r="T2">
        <v>28</v>
      </c>
      <c r="U2">
        <v>29</v>
      </c>
      <c r="V2">
        <v>31</v>
      </c>
      <c r="W2">
        <v>32</v>
      </c>
      <c r="X2">
        <v>33</v>
      </c>
      <c r="Y2">
        <v>38</v>
      </c>
      <c r="Z2">
        <v>39</v>
      </c>
      <c r="AA2">
        <v>40</v>
      </c>
      <c r="AB2">
        <v>42</v>
      </c>
      <c r="AC2">
        <v>43</v>
      </c>
      <c r="AD2">
        <v>44</v>
      </c>
      <c r="AE2">
        <v>49</v>
      </c>
      <c r="AF2">
        <v>50</v>
      </c>
      <c r="AG2">
        <v>51</v>
      </c>
      <c r="AH2">
        <v>53</v>
      </c>
      <c r="AI2">
        <v>54</v>
      </c>
      <c r="AJ2">
        <v>55</v>
      </c>
    </row>
    <row r="3" spans="1:39" x14ac:dyDescent="0.45">
      <c r="D3" s="9">
        <v>3</v>
      </c>
    </row>
    <row r="5" spans="1:39" x14ac:dyDescent="0.45">
      <c r="D5" s="1" t="str">
        <f>VLOOKUP(D3,$C$9:$E$999,2,FALSE)</f>
        <v>ts_annual</v>
      </c>
      <c r="E5" s="1" t="str">
        <f>VLOOKUP(D3,$C$9:$E$999,3,FALSE)</f>
        <v>C3</v>
      </c>
    </row>
    <row r="7" spans="1:39" x14ac:dyDescent="0.45">
      <c r="B7" s="16" t="s">
        <v>112</v>
      </c>
    </row>
    <row r="8" spans="1:39" ht="14.65" thickBot="1" x14ac:dyDescent="0.5">
      <c r="A8" s="4" t="s">
        <v>117</v>
      </c>
      <c r="B8" s="4" t="s">
        <v>113</v>
      </c>
      <c r="C8" s="4" t="s">
        <v>114</v>
      </c>
      <c r="D8" s="4" t="s">
        <v>115</v>
      </c>
      <c r="E8" s="4" t="s">
        <v>116</v>
      </c>
      <c r="AM8" s="2" t="s">
        <v>126</v>
      </c>
    </row>
    <row r="9" spans="1:39" x14ac:dyDescent="0.45">
      <c r="A9">
        <v>5</v>
      </c>
      <c r="B9" t="str">
        <f>VLOOKUP(E9,$AK$9:$AL$15,2,FALSE)&amp;"."&amp;VLOOKUP(D9,$AH$9:$AI$24,2,FALSE)</f>
        <v>e 1.5 deg no OS.kAnn</v>
      </c>
      <c r="C9">
        <v>1</v>
      </c>
      <c r="D9" t="str">
        <f>VLOOKUP(AJ9,$AG$9:$AH$22,2,FALSE)</f>
        <v>ts_annual</v>
      </c>
      <c r="E9" s="17" t="s">
        <v>0</v>
      </c>
      <c r="G9" t="s">
        <v>1</v>
      </c>
      <c r="AG9">
        <v>1</v>
      </c>
      <c r="AH9" t="s">
        <v>103</v>
      </c>
      <c r="AI9" t="s">
        <v>124</v>
      </c>
      <c r="AJ9" s="10">
        <v>1</v>
      </c>
      <c r="AK9" t="s">
        <v>0</v>
      </c>
      <c r="AL9" t="s">
        <v>105</v>
      </c>
      <c r="AM9" s="12">
        <v>5</v>
      </c>
    </row>
    <row r="10" spans="1:39" x14ac:dyDescent="0.45">
      <c r="A10">
        <v>5</v>
      </c>
      <c r="B10" t="str">
        <f t="shared" ref="B10:B68" si="0">VLOOKUP(E10,$AK$9:$AL$15,2,FALSE)&amp;"."&amp;VLOOKUP(D10,$AH$9:$AI$24,2,FALSE)</f>
        <v>d 1.5 deg OS.kAnn</v>
      </c>
      <c r="C10">
        <f>C9+1</f>
        <v>2</v>
      </c>
      <c r="D10" t="str">
        <f t="shared" ref="D10:D63" si="1">VLOOKUP(AJ10,$AG$9:$AH$22,2,FALSE)</f>
        <v>ts_annual</v>
      </c>
      <c r="E10" s="17" t="s">
        <v>2</v>
      </c>
      <c r="G10" t="s">
        <v>3</v>
      </c>
      <c r="S10" t="s">
        <v>4</v>
      </c>
      <c r="AG10">
        <v>2</v>
      </c>
      <c r="AH10" t="s">
        <v>120</v>
      </c>
      <c r="AI10" t="s">
        <v>123</v>
      </c>
      <c r="AJ10" s="10">
        <v>1</v>
      </c>
      <c r="AK10" t="s">
        <v>2</v>
      </c>
      <c r="AL10" t="s">
        <v>107</v>
      </c>
      <c r="AM10" s="12">
        <v>4</v>
      </c>
    </row>
    <row r="11" spans="1:39" x14ac:dyDescent="0.45">
      <c r="A11">
        <v>5</v>
      </c>
      <c r="B11" t="str">
        <f t="shared" si="0"/>
        <v>c 2 deg (67%).kAnn</v>
      </c>
      <c r="C11">
        <f t="shared" ref="C11:C68" si="2">C10+1</f>
        <v>3</v>
      </c>
      <c r="D11" t="str">
        <f t="shared" si="1"/>
        <v>ts_annual</v>
      </c>
      <c r="E11" s="17" t="s">
        <v>5</v>
      </c>
      <c r="G11" t="s">
        <v>6</v>
      </c>
      <c r="S11" s="1">
        <v>2022</v>
      </c>
      <c r="AG11">
        <v>3</v>
      </c>
      <c r="AH11" t="s">
        <v>118</v>
      </c>
      <c r="AI11" t="s">
        <v>122</v>
      </c>
      <c r="AJ11" s="10">
        <v>1</v>
      </c>
      <c r="AK11" t="s">
        <v>5</v>
      </c>
      <c r="AL11" t="s">
        <v>108</v>
      </c>
      <c r="AM11" s="12">
        <v>3</v>
      </c>
    </row>
    <row r="12" spans="1:39" ht="14.65" customHeight="1" thickBot="1" x14ac:dyDescent="0.5">
      <c r="A12">
        <v>5</v>
      </c>
      <c r="B12" t="str">
        <f t="shared" si="0"/>
        <v>b 2 deg (50%).kAnn</v>
      </c>
      <c r="C12">
        <f t="shared" si="2"/>
        <v>4</v>
      </c>
      <c r="D12" t="str">
        <f t="shared" si="1"/>
        <v>ts_annual</v>
      </c>
      <c r="E12" s="17" t="s">
        <v>7</v>
      </c>
      <c r="G12" t="s">
        <v>8</v>
      </c>
      <c r="S12" s="3">
        <f>SUMIFS(iea_data!I3:I9999,iea_data!$B$3:$B$9999,Veda!$S$11)+T28-T29</f>
        <v>0</v>
      </c>
      <c r="T12" s="2" t="s">
        <v>57</v>
      </c>
      <c r="AG12">
        <v>4</v>
      </c>
      <c r="AH12" t="s">
        <v>128</v>
      </c>
      <c r="AI12" t="s">
        <v>129</v>
      </c>
      <c r="AJ12" s="10">
        <v>1</v>
      </c>
      <c r="AK12" t="s">
        <v>7</v>
      </c>
      <c r="AL12" t="s">
        <v>109</v>
      </c>
      <c r="AM12" s="12">
        <v>3</v>
      </c>
    </row>
    <row r="13" spans="1:39" ht="14.65" customHeight="1" thickTop="1" x14ac:dyDescent="0.45">
      <c r="A13">
        <v>5</v>
      </c>
      <c r="B13" t="str">
        <f t="shared" si="0"/>
        <v>a 3 deg.kAnn</v>
      </c>
      <c r="C13">
        <f t="shared" si="2"/>
        <v>5</v>
      </c>
      <c r="D13" t="str">
        <f t="shared" si="1"/>
        <v>ts_annual</v>
      </c>
      <c r="E13" s="17" t="s">
        <v>9</v>
      </c>
      <c r="G13" t="s">
        <v>10</v>
      </c>
      <c r="AG13">
        <v>5</v>
      </c>
      <c r="AH13" t="s">
        <v>119</v>
      </c>
      <c r="AI13" t="s">
        <v>121</v>
      </c>
      <c r="AJ13" s="10">
        <v>1</v>
      </c>
      <c r="AK13" t="s">
        <v>9</v>
      </c>
      <c r="AL13" t="s">
        <v>110</v>
      </c>
      <c r="AM13" s="12">
        <v>1.5</v>
      </c>
    </row>
    <row r="14" spans="1:39" x14ac:dyDescent="0.45">
      <c r="A14">
        <v>5</v>
      </c>
      <c r="B14" t="str">
        <f t="shared" si="0"/>
        <v>e 1.5 deg no OS.k12</v>
      </c>
      <c r="C14">
        <f t="shared" si="2"/>
        <v>6</v>
      </c>
      <c r="D14" t="str">
        <f t="shared" si="1"/>
        <v>ts_12t</v>
      </c>
      <c r="E14" t="str">
        <f>E9</f>
        <v>C1</v>
      </c>
      <c r="T14" s="8">
        <f>S12</f>
        <v>0</v>
      </c>
      <c r="U14" s="8">
        <f t="shared" ref="U14:Z14" si="3">$S$12*J15</f>
        <v>0</v>
      </c>
      <c r="V14" s="8">
        <f t="shared" si="3"/>
        <v>0</v>
      </c>
      <c r="W14" s="8">
        <f t="shared" si="3"/>
        <v>0</v>
      </c>
      <c r="X14" s="8">
        <f t="shared" si="3"/>
        <v>0</v>
      </c>
      <c r="Y14" s="8">
        <f t="shared" si="3"/>
        <v>0</v>
      </c>
      <c r="Z14" s="8">
        <f t="shared" si="3"/>
        <v>0</v>
      </c>
      <c r="AG14">
        <v>6</v>
      </c>
      <c r="AH14" t="s">
        <v>130</v>
      </c>
      <c r="AI14" t="s">
        <v>131</v>
      </c>
      <c r="AJ14" s="10">
        <f>AJ9+1</f>
        <v>2</v>
      </c>
    </row>
    <row r="15" spans="1:39" x14ac:dyDescent="0.45">
      <c r="A15">
        <v>5</v>
      </c>
      <c r="B15" t="str">
        <f t="shared" si="0"/>
        <v>d 1.5 deg OS.k12</v>
      </c>
      <c r="C15">
        <f t="shared" si="2"/>
        <v>7</v>
      </c>
      <c r="D15" t="str">
        <f t="shared" si="1"/>
        <v>ts_12t</v>
      </c>
      <c r="E15" t="str">
        <f t="shared" ref="E15:E68" si="4">E10</f>
        <v>C2</v>
      </c>
      <c r="G15" t="s">
        <v>11</v>
      </c>
      <c r="I15" s="11">
        <f>SUMIFS(ar6_r10!$F$2:$F$999,ar6_r10!$A$2:$A$999,Veda!$E$5,ar6_r10!$C$2:$C$999,Veda!I$17,ar6_r10!$M$2:$M$999,Veda!$G15)</f>
        <v>1</v>
      </c>
      <c r="J15" s="11">
        <f>SUMIFS(ar6_r10!$F$2:$F$999,ar6_r10!$A$2:$A$999,Veda!$E$5,ar6_r10!$C$2:$C$999,Veda!J$17,ar6_r10!$M$2:$M$999,Veda!$G15)</f>
        <v>1.27</v>
      </c>
      <c r="K15" s="11">
        <f>SUMIFS(ar6_r10!$F$2:$F$999,ar6_r10!$A$2:$A$999,Veda!$E$5,ar6_r10!$C$2:$C$999,Veda!K$17,ar6_r10!$M$2:$M$999,Veda!$G15)</f>
        <v>1.68</v>
      </c>
      <c r="L15" s="11">
        <f>SUMIFS(ar6_r10!$F$2:$F$999,ar6_r10!$A$2:$A$999,Veda!$E$5,ar6_r10!$C$2:$C$999,Veda!L$17,ar6_r10!$M$2:$M$999,Veda!$G15)</f>
        <v>2.2599999999999998</v>
      </c>
      <c r="M15" s="11">
        <f>SUMIFS(ar6_r10!$F$2:$F$999,ar6_r10!$A$2:$A$999,Veda!$E$5,ar6_r10!$C$2:$C$999,Veda!M$17,ar6_r10!$M$2:$M$999,Veda!$G15)</f>
        <v>2.92</v>
      </c>
      <c r="N15" s="11">
        <f>SUMIFS(ar6_r10!$F$2:$F$999,ar6_r10!$A$2:$A$999,Veda!$E$5,ar6_r10!$C$2:$C$999,Veda!N$17,ar6_r10!$M$2:$M$999,Veda!$G15)</f>
        <v>4.4800000000000004</v>
      </c>
      <c r="O15" s="11">
        <f>SUMIFS(ar6_r10!$F$2:$F$999,ar6_r10!$A$2:$A$999,Veda!$E$5,ar6_r10!$C$2:$C$999,Veda!O$17,ar6_r10!$M$2:$M$999,Veda!$G15)</f>
        <v>6.01</v>
      </c>
      <c r="AG15">
        <v>7</v>
      </c>
      <c r="AH15" t="s">
        <v>132</v>
      </c>
      <c r="AI15" t="s">
        <v>133</v>
      </c>
      <c r="AJ15" s="10">
        <f t="shared" ref="AJ15:AJ78" si="5">AJ10+1</f>
        <v>2</v>
      </c>
    </row>
    <row r="16" spans="1:39" ht="17.649999999999999" customHeight="1" thickBot="1" x14ac:dyDescent="0.6">
      <c r="A16">
        <v>5</v>
      </c>
      <c r="B16" t="str">
        <f t="shared" si="0"/>
        <v>c 2 deg (67%).k12</v>
      </c>
      <c r="C16">
        <f t="shared" si="2"/>
        <v>8</v>
      </c>
      <c r="D16" t="str">
        <f t="shared" si="1"/>
        <v>ts_12t</v>
      </c>
      <c r="E16" t="str">
        <f t="shared" si="4"/>
        <v>C3</v>
      </c>
      <c r="S16" s="5" t="s">
        <v>12</v>
      </c>
      <c r="AG16">
        <v>8</v>
      </c>
      <c r="AH16" t="s">
        <v>134</v>
      </c>
      <c r="AI16" t="s">
        <v>135</v>
      </c>
      <c r="AJ16" s="10">
        <f t="shared" si="5"/>
        <v>2</v>
      </c>
    </row>
    <row r="17" spans="1:36" ht="15" customHeight="1" thickTop="1" thickBot="1" x14ac:dyDescent="0.5">
      <c r="A17">
        <v>5</v>
      </c>
      <c r="B17" t="str">
        <f t="shared" si="0"/>
        <v>b 2 deg (50%).k12</v>
      </c>
      <c r="C17">
        <f t="shared" si="2"/>
        <v>9</v>
      </c>
      <c r="D17" t="str">
        <f t="shared" si="1"/>
        <v>ts_12t</v>
      </c>
      <c r="E17" t="str">
        <f t="shared" si="4"/>
        <v>C4</v>
      </c>
      <c r="I17" s="7">
        <v>2020</v>
      </c>
      <c r="J17" s="7">
        <f t="shared" ref="J17:O17" si="6">U17</f>
        <v>2025</v>
      </c>
      <c r="K17" s="7">
        <f t="shared" si="6"/>
        <v>2030</v>
      </c>
      <c r="L17" s="7">
        <f t="shared" si="6"/>
        <v>2035</v>
      </c>
      <c r="M17" s="7">
        <f t="shared" si="6"/>
        <v>2040</v>
      </c>
      <c r="N17" s="7">
        <f t="shared" si="6"/>
        <v>2045</v>
      </c>
      <c r="O17" s="7">
        <f t="shared" si="6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127</v>
      </c>
      <c r="AI17" t="s">
        <v>136</v>
      </c>
      <c r="AJ17" s="10">
        <f t="shared" si="5"/>
        <v>2</v>
      </c>
    </row>
    <row r="18" spans="1:36" x14ac:dyDescent="0.45">
      <c r="A18">
        <v>5</v>
      </c>
      <c r="B18" t="str">
        <f t="shared" si="0"/>
        <v>a 3 deg.k12</v>
      </c>
      <c r="C18">
        <f t="shared" si="2"/>
        <v>10</v>
      </c>
      <c r="D18" t="str">
        <f t="shared" si="1"/>
        <v>ts_12t</v>
      </c>
      <c r="E18" t="str">
        <f t="shared" si="4"/>
        <v>C7</v>
      </c>
      <c r="G18" t="s">
        <v>15</v>
      </c>
      <c r="I18" s="11">
        <f>SUMIFS(ar6_r10!$F$2:$F$999,ar6_r10!$A$2:$A$999,Veda!$E$5,ar6_r10!$C$2:$C$999,Veda!I$17,ar6_r10!$M$2:$M$999,Veda!$G18)</f>
        <v>0</v>
      </c>
      <c r="J18" s="11">
        <f>SUMIFS(ar6_r10!$F$2:$F$999,ar6_r10!$A$2:$A$999,Veda!$E$5,ar6_r10!$C$2:$C$999,Veda!J$17,ar6_r10!$M$2:$M$999,Veda!$G18)</f>
        <v>0</v>
      </c>
      <c r="K18" s="11">
        <f>SUMIFS(ar6_r10!$F$2:$F$999,ar6_r10!$A$2:$A$999,Veda!$E$5,ar6_r10!$C$2:$C$999,Veda!K$17,ar6_r10!$M$2:$M$999,Veda!$G18)</f>
        <v>0</v>
      </c>
      <c r="L18" s="11">
        <f>SUMIFS(ar6_r10!$F$2:$F$999,ar6_r10!$A$2:$A$999,Veda!$E$5,ar6_r10!$C$2:$C$999,Veda!L$17,ar6_r10!$M$2:$M$999,Veda!$G18)</f>
        <v>0.01</v>
      </c>
      <c r="M18" s="11">
        <f>SUMIFS(ar6_r10!$F$2:$F$999,ar6_r10!$A$2:$A$999,Veda!$E$5,ar6_r10!$C$2:$C$999,Veda!M$17,ar6_r10!$M$2:$M$999,Veda!$G18)</f>
        <v>0.02</v>
      </c>
      <c r="N18" s="11">
        <f>SUMIFS(ar6_r10!$F$2:$F$999,ar6_r10!$A$2:$A$999,Veda!$E$5,ar6_r10!$C$2:$C$999,Veda!N$17,ar6_r10!$M$2:$M$999,Veda!$G18)</f>
        <v>0.02</v>
      </c>
      <c r="O18" s="11">
        <f>SUMIFS(ar6_r10!$F$2:$F$999,ar6_r10!$A$2:$A$999,Veda!$E$5,ar6_r10!$C$2:$C$999,Veda!O$17,ar6_r10!$M$2:$M$999,Veda!$G18)</f>
        <v>0.03</v>
      </c>
      <c r="S18" s="10" t="s">
        <v>16</v>
      </c>
      <c r="T18" s="6">
        <f t="shared" ref="T18:Z20" si="7">I18*T$14</f>
        <v>0</v>
      </c>
      <c r="U18" s="6">
        <f t="shared" si="7"/>
        <v>0</v>
      </c>
      <c r="V18" s="6">
        <f t="shared" si="7"/>
        <v>0</v>
      </c>
      <c r="W18" s="6">
        <f t="shared" si="7"/>
        <v>0</v>
      </c>
      <c r="X18" s="6">
        <f t="shared" si="7"/>
        <v>0</v>
      </c>
      <c r="Y18" s="6">
        <f t="shared" si="7"/>
        <v>0</v>
      </c>
      <c r="Z18" s="6">
        <f t="shared" si="7"/>
        <v>0</v>
      </c>
      <c r="AA18" t="s">
        <v>17</v>
      </c>
      <c r="AC18" s="2"/>
      <c r="AG18">
        <v>10</v>
      </c>
      <c r="AH18" t="s">
        <v>137</v>
      </c>
      <c r="AI18" t="s">
        <v>138</v>
      </c>
      <c r="AJ18" s="10">
        <f t="shared" si="5"/>
        <v>2</v>
      </c>
    </row>
    <row r="19" spans="1:36" x14ac:dyDescent="0.45">
      <c r="A19">
        <v>5</v>
      </c>
      <c r="B19" t="str">
        <f t="shared" si="0"/>
        <v>e 1.5 deg no OS.j12</v>
      </c>
      <c r="C19">
        <f t="shared" si="2"/>
        <v>11</v>
      </c>
      <c r="D19" t="str">
        <f t="shared" si="1"/>
        <v>ts_012</v>
      </c>
      <c r="E19" t="str">
        <f t="shared" si="4"/>
        <v>C1</v>
      </c>
      <c r="G19" t="s">
        <v>18</v>
      </c>
      <c r="I19" s="11">
        <f>SUMIFS(ar6_r10!$F$2:$F$999,ar6_r10!$A$2:$A$999,Veda!$E$5,ar6_r10!$C$2:$C$999,Veda!I$17,ar6_r10!$M$2:$M$999,Veda!$G19)</f>
        <v>0.49</v>
      </c>
      <c r="J19" s="11">
        <f>SUMIFS(ar6_r10!$F$2:$F$999,ar6_r10!$A$2:$A$999,Veda!$E$5,ar6_r10!$C$2:$C$999,Veda!J$17,ar6_r10!$M$2:$M$999,Veda!$G19)</f>
        <v>0.45</v>
      </c>
      <c r="K19" s="11">
        <f>SUMIFS(ar6_r10!$F$2:$F$999,ar6_r10!$A$2:$A$999,Veda!$E$5,ar6_r10!$C$2:$C$999,Veda!K$17,ar6_r10!$M$2:$M$999,Veda!$G19)</f>
        <v>0.43</v>
      </c>
      <c r="L19" s="11">
        <f>SUMIFS(ar6_r10!$F$2:$F$999,ar6_r10!$A$2:$A$999,Veda!$E$5,ar6_r10!$C$2:$C$999,Veda!L$17,ar6_r10!$M$2:$M$999,Veda!$G19)</f>
        <v>0.42</v>
      </c>
      <c r="M19" s="11">
        <f>SUMIFS(ar6_r10!$F$2:$F$999,ar6_r10!$A$2:$A$999,Veda!$E$5,ar6_r10!$C$2:$C$999,Veda!M$17,ar6_r10!$M$2:$M$999,Veda!$G19)</f>
        <v>0.4</v>
      </c>
      <c r="N19" s="11">
        <f>SUMIFS(ar6_r10!$F$2:$F$999,ar6_r10!$A$2:$A$999,Veda!$E$5,ar6_r10!$C$2:$C$999,Veda!N$17,ar6_r10!$M$2:$M$999,Veda!$G19)</f>
        <v>0.41</v>
      </c>
      <c r="O19" s="11">
        <f>SUMIFS(ar6_r10!$F$2:$F$999,ar6_r10!$A$2:$A$999,Veda!$E$5,ar6_r10!$C$2:$C$999,Veda!O$17,ar6_r10!$M$2:$M$999,Veda!$G19)</f>
        <v>0.38</v>
      </c>
      <c r="S19" s="10" t="s">
        <v>19</v>
      </c>
      <c r="T19" s="6">
        <f t="shared" si="7"/>
        <v>0</v>
      </c>
      <c r="U19" s="6">
        <f t="shared" si="7"/>
        <v>0</v>
      </c>
      <c r="V19" s="6">
        <f t="shared" si="7"/>
        <v>0</v>
      </c>
      <c r="W19" s="6">
        <f t="shared" si="7"/>
        <v>0</v>
      </c>
      <c r="X19" s="6">
        <f t="shared" si="7"/>
        <v>0</v>
      </c>
      <c r="Y19" s="6">
        <f t="shared" si="7"/>
        <v>0</v>
      </c>
      <c r="Z19" s="6">
        <f t="shared" si="7"/>
        <v>0</v>
      </c>
      <c r="AA19" t="s">
        <v>17</v>
      </c>
      <c r="AG19">
        <v>11</v>
      </c>
      <c r="AH19" t="s">
        <v>101</v>
      </c>
      <c r="AI19" t="s">
        <v>106</v>
      </c>
      <c r="AJ19" s="10">
        <f t="shared" si="5"/>
        <v>3</v>
      </c>
    </row>
    <row r="20" spans="1:36" x14ac:dyDescent="0.45">
      <c r="A20">
        <v>5</v>
      </c>
      <c r="B20" t="str">
        <f t="shared" si="0"/>
        <v>d 1.5 deg OS.j12</v>
      </c>
      <c r="C20">
        <f t="shared" si="2"/>
        <v>12</v>
      </c>
      <c r="D20" t="str">
        <f t="shared" si="1"/>
        <v>ts_012</v>
      </c>
      <c r="E20" t="str">
        <f t="shared" si="4"/>
        <v>C2</v>
      </c>
      <c r="G20" t="s">
        <v>21</v>
      </c>
      <c r="I20" s="11">
        <f>SUMIFS(ar6_r10!$F$2:$F$999,ar6_r10!$A$2:$A$999,Veda!$E$5,ar6_r10!$C$2:$C$999,Veda!I$17,ar6_r10!$M$2:$M$999,Veda!$G20)</f>
        <v>0.49</v>
      </c>
      <c r="J20" s="11">
        <f>SUMIFS(ar6_r10!$F$2:$F$999,ar6_r10!$A$2:$A$999,Veda!$E$5,ar6_r10!$C$2:$C$999,Veda!J$17,ar6_r10!$M$2:$M$999,Veda!$G20)</f>
        <v>0.52</v>
      </c>
      <c r="K20" s="11">
        <f>SUMIFS(ar6_r10!$F$2:$F$999,ar6_r10!$A$2:$A$999,Veda!$E$5,ar6_r10!$C$2:$C$999,Veda!K$17,ar6_r10!$M$2:$M$999,Veda!$G20)</f>
        <v>0.54</v>
      </c>
      <c r="L20" s="11">
        <f>SUMIFS(ar6_r10!$F$2:$F$999,ar6_r10!$A$2:$A$999,Veda!$E$5,ar6_r10!$C$2:$C$999,Veda!L$17,ar6_r10!$M$2:$M$999,Veda!$G20)</f>
        <v>0.51</v>
      </c>
      <c r="M20" s="11">
        <f>SUMIFS(ar6_r10!$F$2:$F$999,ar6_r10!$A$2:$A$999,Veda!$E$5,ar6_r10!$C$2:$C$999,Veda!M$17,ar6_r10!$M$2:$M$999,Veda!$G20)</f>
        <v>0.51</v>
      </c>
      <c r="N20" s="11">
        <f>SUMIFS(ar6_r10!$F$2:$F$999,ar6_r10!$A$2:$A$999,Veda!$E$5,ar6_r10!$C$2:$C$999,Veda!N$17,ar6_r10!$M$2:$M$999,Veda!$G20)</f>
        <v>0.48</v>
      </c>
      <c r="O20" s="11">
        <f>SUMIFS(ar6_r10!$F$2:$F$999,ar6_r10!$A$2:$A$999,Veda!$E$5,ar6_r10!$C$2:$C$999,Veda!O$17,ar6_r10!$M$2:$M$999,Veda!$G20)</f>
        <v>0.47</v>
      </c>
      <c r="S20" s="10" t="s">
        <v>22</v>
      </c>
      <c r="T20" s="6">
        <f t="shared" si="7"/>
        <v>0</v>
      </c>
      <c r="U20" s="6">
        <f t="shared" si="7"/>
        <v>0</v>
      </c>
      <c r="V20" s="6">
        <f t="shared" si="7"/>
        <v>0</v>
      </c>
      <c r="W20" s="6">
        <f t="shared" si="7"/>
        <v>0</v>
      </c>
      <c r="X20" s="6">
        <f t="shared" si="7"/>
        <v>0</v>
      </c>
      <c r="Y20" s="6">
        <f t="shared" si="7"/>
        <v>0</v>
      </c>
      <c r="Z20" s="6">
        <f t="shared" si="7"/>
        <v>0</v>
      </c>
      <c r="AA20" t="s">
        <v>17</v>
      </c>
      <c r="AG20">
        <v>12</v>
      </c>
      <c r="AH20" t="s">
        <v>102</v>
      </c>
      <c r="AI20" t="s">
        <v>111</v>
      </c>
      <c r="AJ20" s="10">
        <f t="shared" si="5"/>
        <v>3</v>
      </c>
    </row>
    <row r="21" spans="1:36" x14ac:dyDescent="0.45">
      <c r="A21">
        <v>5</v>
      </c>
      <c r="B21" t="str">
        <f t="shared" si="0"/>
        <v>c 2 deg (67%).j12</v>
      </c>
      <c r="C21">
        <f t="shared" si="2"/>
        <v>13</v>
      </c>
      <c r="D21" t="str">
        <f t="shared" si="1"/>
        <v>ts_012</v>
      </c>
      <c r="E21" t="str">
        <f t="shared" si="4"/>
        <v>C3</v>
      </c>
      <c r="G21" t="s">
        <v>23</v>
      </c>
      <c r="I21" s="11">
        <f>SUMIFS(ar6_r10!$F$2:$F$999,ar6_r10!$A$2:$A$999,Veda!$E$5,ar6_r10!$C$2:$C$999,Veda!I$17,ar6_r10!$M$2:$M$999,Veda!$G21)</f>
        <v>0.01</v>
      </c>
      <c r="J21" s="11">
        <f>SUMIFS(ar6_r10!$F$2:$F$999,ar6_r10!$A$2:$A$999,Veda!$E$5,ar6_r10!$C$2:$C$999,Veda!J$17,ar6_r10!$M$2:$M$999,Veda!$G21)</f>
        <v>0.01</v>
      </c>
      <c r="K21" s="11">
        <f>SUMIFS(ar6_r10!$F$2:$F$999,ar6_r10!$A$2:$A$999,Veda!$E$5,ar6_r10!$C$2:$C$999,Veda!K$17,ar6_r10!$M$2:$M$999,Veda!$G21)</f>
        <v>0.02</v>
      </c>
      <c r="L21" s="11">
        <f>SUMIFS(ar6_r10!$F$2:$F$999,ar6_r10!$A$2:$A$999,Veda!$E$5,ar6_r10!$C$2:$C$999,Veda!L$17,ar6_r10!$M$2:$M$999,Veda!$G21)</f>
        <v>0.02</v>
      </c>
      <c r="M21" s="11">
        <f>SUMIFS(ar6_r10!$F$2:$F$999,ar6_r10!$A$2:$A$999,Veda!$E$5,ar6_r10!$C$2:$C$999,Veda!M$17,ar6_r10!$M$2:$M$999,Veda!$G21)</f>
        <v>0.03</v>
      </c>
      <c r="N21" s="11">
        <f>SUMIFS(ar6_r10!$F$2:$F$999,ar6_r10!$A$2:$A$999,Veda!$E$5,ar6_r10!$C$2:$C$999,Veda!N$17,ar6_r10!$M$2:$M$999,Veda!$G21)</f>
        <v>0.05</v>
      </c>
      <c r="O21" s="11">
        <f>SUMIFS(ar6_r10!$F$2:$F$999,ar6_r10!$A$2:$A$999,Veda!$E$5,ar6_r10!$C$2:$C$999,Veda!O$17,ar6_r10!$M$2:$M$999,Veda!$G21)</f>
        <v>0.05</v>
      </c>
      <c r="S21" s="10" t="s">
        <v>24</v>
      </c>
      <c r="T21" s="6">
        <f>I21*T$14</f>
        <v>0</v>
      </c>
      <c r="U21" s="6">
        <f t="shared" ref="U21:Z21" si="8">T21</f>
        <v>0</v>
      </c>
      <c r="V21" s="6">
        <f t="shared" si="8"/>
        <v>0</v>
      </c>
      <c r="W21" s="6">
        <f t="shared" si="8"/>
        <v>0</v>
      </c>
      <c r="X21" s="6">
        <f t="shared" si="8"/>
        <v>0</v>
      </c>
      <c r="Y21" s="6">
        <f t="shared" si="8"/>
        <v>0</v>
      </c>
      <c r="Z21" s="6">
        <f t="shared" si="8"/>
        <v>0</v>
      </c>
      <c r="AA21" t="s">
        <v>17</v>
      </c>
      <c r="AC21" s="2" t="s">
        <v>20</v>
      </c>
      <c r="AJ21" s="10">
        <f t="shared" si="5"/>
        <v>3</v>
      </c>
    </row>
    <row r="22" spans="1:36" x14ac:dyDescent="0.45">
      <c r="A22">
        <v>5</v>
      </c>
      <c r="B22" t="str">
        <f t="shared" si="0"/>
        <v>b 2 deg (50%).j12</v>
      </c>
      <c r="C22">
        <f t="shared" si="2"/>
        <v>14</v>
      </c>
      <c r="D22" t="str">
        <f t="shared" si="1"/>
        <v>ts_012</v>
      </c>
      <c r="E22" t="str">
        <f t="shared" si="4"/>
        <v>C4</v>
      </c>
      <c r="S22" s="10" t="s">
        <v>25</v>
      </c>
      <c r="T22" s="6">
        <f t="shared" ref="T22:Z22" si="9">T14-SUM(T19:T21)</f>
        <v>0</v>
      </c>
      <c r="U22" s="6">
        <f t="shared" si="9"/>
        <v>0</v>
      </c>
      <c r="V22" s="6">
        <f t="shared" si="9"/>
        <v>0</v>
      </c>
      <c r="W22" s="6">
        <f t="shared" si="9"/>
        <v>0</v>
      </c>
      <c r="X22" s="6">
        <f t="shared" si="9"/>
        <v>0</v>
      </c>
      <c r="Y22" s="6">
        <f t="shared" si="9"/>
        <v>0</v>
      </c>
      <c r="Z22" s="6">
        <f t="shared" si="9"/>
        <v>0</v>
      </c>
      <c r="AA22" t="s">
        <v>17</v>
      </c>
      <c r="AJ22" s="10">
        <f t="shared" si="5"/>
        <v>3</v>
      </c>
    </row>
    <row r="23" spans="1:36" x14ac:dyDescent="0.45">
      <c r="A23">
        <v>5</v>
      </c>
      <c r="B23" t="str">
        <f t="shared" si="0"/>
        <v>a 3 deg.j12</v>
      </c>
      <c r="C23">
        <f t="shared" si="2"/>
        <v>15</v>
      </c>
      <c r="D23" t="str">
        <f t="shared" si="1"/>
        <v>ts_012</v>
      </c>
      <c r="E23" t="str">
        <f t="shared" si="4"/>
        <v>C7</v>
      </c>
      <c r="S23" t="s">
        <v>26</v>
      </c>
      <c r="AJ23" s="10">
        <f t="shared" si="5"/>
        <v>3</v>
      </c>
    </row>
    <row r="24" spans="1:36" ht="14.65" customHeight="1" x14ac:dyDescent="0.45">
      <c r="A24">
        <v>5</v>
      </c>
      <c r="B24" t="str">
        <f t="shared" si="0"/>
        <v>e 1.5 deg no OS.i30</v>
      </c>
      <c r="C24">
        <f t="shared" si="2"/>
        <v>16</v>
      </c>
      <c r="D24" t="str">
        <f t="shared" si="1"/>
        <v>ts_030</v>
      </c>
      <c r="E24" t="str">
        <f t="shared" si="4"/>
        <v>C1</v>
      </c>
      <c r="G24" s="10" t="s">
        <v>27</v>
      </c>
      <c r="I24" s="8">
        <v>0</v>
      </c>
      <c r="J24" s="8">
        <v>0</v>
      </c>
      <c r="K24" s="8">
        <f>SUMIFS(ar6_r10!$F$2:$F$999,ar6_r10!$A$2:$A$999,Veda!$E$5,ar6_r10!$C$2:$C$999,Veda!K$17,ar6_r10!$M$2:$M$999,Veda!$G24)</f>
        <v>48.97</v>
      </c>
      <c r="L24" s="8">
        <f>SUMIFS(ar6_r10!$F$2:$F$999,ar6_r10!$A$2:$A$999,Veda!$E$5,ar6_r10!$C$2:$C$999,Veda!L$17,ar6_r10!$M$2:$M$999,Veda!$G24)</f>
        <v>87.7</v>
      </c>
      <c r="M24" s="8">
        <f>SUMIFS(ar6_r10!$F$2:$F$999,ar6_r10!$A$2:$A$999,Veda!$E$5,ar6_r10!$C$2:$C$999,Veda!M$17,ar6_r10!$M$2:$M$999,Veda!$G24)</f>
        <v>122.55</v>
      </c>
      <c r="N24" s="8">
        <f>SUMIFS(ar6_r10!$F$2:$F$999,ar6_r10!$A$2:$A$999,Veda!$E$5,ar6_r10!$C$2:$C$999,Veda!N$17,ar6_r10!$M$2:$M$999,Veda!$G24)</f>
        <v>179.54</v>
      </c>
      <c r="O24" s="8">
        <f>SUMIFS(ar6_r10!$F$2:$F$999,ar6_r10!$A$2:$A$999,Veda!$E$5,ar6_r10!$C$2:$C$999,Veda!O$17,ar6_r10!$M$2:$M$999,Veda!$G24)</f>
        <v>211.71</v>
      </c>
      <c r="S24" t="s">
        <v>28</v>
      </c>
      <c r="U24">
        <v>0</v>
      </c>
      <c r="V24" s="11">
        <f>K24/1000</f>
        <v>4.897E-2</v>
      </c>
      <c r="W24" s="11">
        <f>L24/1000</f>
        <v>8.77E-2</v>
      </c>
      <c r="X24" s="11">
        <f>M24/1000</f>
        <v>0.12254999999999999</v>
      </c>
      <c r="Y24" s="11">
        <f>N24/1000</f>
        <v>0.17954000000000001</v>
      </c>
      <c r="Z24" s="11">
        <f>O24/1000</f>
        <v>0.21171000000000001</v>
      </c>
      <c r="AA24" t="s">
        <v>29</v>
      </c>
      <c r="AJ24" s="10">
        <f t="shared" si="5"/>
        <v>4</v>
      </c>
    </row>
    <row r="25" spans="1:36" ht="14.65" customHeight="1" x14ac:dyDescent="0.45">
      <c r="A25">
        <v>5</v>
      </c>
      <c r="B25" t="str">
        <f t="shared" si="0"/>
        <v>d 1.5 deg OS.i30</v>
      </c>
      <c r="C25">
        <f t="shared" si="2"/>
        <v>17</v>
      </c>
      <c r="D25" t="str">
        <f t="shared" si="1"/>
        <v>ts_030</v>
      </c>
      <c r="E25" t="str">
        <f t="shared" si="4"/>
        <v>C2</v>
      </c>
      <c r="AJ25" s="10">
        <f t="shared" si="5"/>
        <v>4</v>
      </c>
    </row>
    <row r="26" spans="1:36" ht="17.649999999999999" customHeight="1" thickBot="1" x14ac:dyDescent="0.6">
      <c r="A26">
        <v>5</v>
      </c>
      <c r="B26" t="str">
        <f t="shared" si="0"/>
        <v>c 2 deg (67%).i30</v>
      </c>
      <c r="C26">
        <f t="shared" si="2"/>
        <v>18</v>
      </c>
      <c r="D26" t="str">
        <f t="shared" si="1"/>
        <v>ts_030</v>
      </c>
      <c r="E26" t="str">
        <f t="shared" si="4"/>
        <v>C3</v>
      </c>
      <c r="S26" s="5" t="s">
        <v>12</v>
      </c>
      <c r="AJ26" s="10">
        <f t="shared" si="5"/>
        <v>4</v>
      </c>
    </row>
    <row r="27" spans="1:36" ht="15" customHeight="1" thickTop="1" thickBot="1" x14ac:dyDescent="0.5">
      <c r="A27">
        <v>5</v>
      </c>
      <c r="B27" t="str">
        <f t="shared" si="0"/>
        <v>b 2 deg (50%).i30</v>
      </c>
      <c r="C27">
        <f t="shared" si="2"/>
        <v>19</v>
      </c>
      <c r="D27" t="str">
        <f t="shared" si="1"/>
        <v>ts_030</v>
      </c>
      <c r="E27" t="str">
        <f t="shared" si="4"/>
        <v>C4</v>
      </c>
      <c r="S27" s="4" t="s">
        <v>30</v>
      </c>
      <c r="T27" s="4">
        <f t="shared" ref="T27:Z27" si="10">T17</f>
        <v>2022</v>
      </c>
      <c r="U27" s="4">
        <f t="shared" si="10"/>
        <v>2025</v>
      </c>
      <c r="V27" s="4">
        <f t="shared" si="10"/>
        <v>2030</v>
      </c>
      <c r="W27" s="4">
        <f t="shared" si="10"/>
        <v>2035</v>
      </c>
      <c r="X27" s="4">
        <f t="shared" si="10"/>
        <v>2040</v>
      </c>
      <c r="Y27" s="4">
        <f t="shared" si="10"/>
        <v>2045</v>
      </c>
      <c r="Z27" s="4">
        <f t="shared" si="10"/>
        <v>2050</v>
      </c>
      <c r="AA27" s="4" t="s">
        <v>14</v>
      </c>
      <c r="AB27" s="4" t="s">
        <v>31</v>
      </c>
      <c r="AJ27" s="10">
        <f t="shared" si="5"/>
        <v>4</v>
      </c>
    </row>
    <row r="28" spans="1:36" ht="14.65" customHeight="1" thickBot="1" x14ac:dyDescent="0.5">
      <c r="A28">
        <v>5</v>
      </c>
      <c r="B28" t="str">
        <f t="shared" si="0"/>
        <v>a 3 deg.i30</v>
      </c>
      <c r="C28">
        <f t="shared" si="2"/>
        <v>20</v>
      </c>
      <c r="D28" t="str">
        <f t="shared" si="1"/>
        <v>ts_030</v>
      </c>
      <c r="E28" t="str">
        <f t="shared" si="4"/>
        <v>C7</v>
      </c>
      <c r="Q28" s="3">
        <f>SUMIFS(iea_data!G3:G9999,iea_data!$B$3:$B$9999,Veda!$S$11)</f>
        <v>0</v>
      </c>
      <c r="S28" t="s">
        <v>32</v>
      </c>
      <c r="T28" s="3">
        <f>Q28</f>
        <v>0</v>
      </c>
      <c r="V28" s="6"/>
      <c r="W28" s="6"/>
      <c r="X28" s="6"/>
      <c r="Y28" s="6"/>
      <c r="Z28" s="6"/>
      <c r="AA28" t="s">
        <v>33</v>
      </c>
      <c r="AB28" t="s">
        <v>34</v>
      </c>
      <c r="AJ28" s="10">
        <f t="shared" si="5"/>
        <v>4</v>
      </c>
    </row>
    <row r="29" spans="1:36" ht="15" customHeight="1" thickTop="1" thickBot="1" x14ac:dyDescent="0.5">
      <c r="A29">
        <v>5</v>
      </c>
      <c r="B29" t="str">
        <f t="shared" si="0"/>
        <v>e 1.5 deg no OS.h48</v>
      </c>
      <c r="C29">
        <f t="shared" si="2"/>
        <v>21</v>
      </c>
      <c r="D29" t="str">
        <f t="shared" si="1"/>
        <v>ts_048</v>
      </c>
      <c r="E29" t="str">
        <f t="shared" si="4"/>
        <v>C1</v>
      </c>
      <c r="Q29" s="3">
        <f>SUMIFS(iea_data!H3:H9999,iea_data!$B$3:$B$9999,Veda!$S$11)</f>
        <v>0</v>
      </c>
      <c r="S29" t="s">
        <v>35</v>
      </c>
      <c r="T29" s="3">
        <f>-1*Q29</f>
        <v>0</v>
      </c>
      <c r="V29" s="6"/>
      <c r="W29" s="6"/>
      <c r="X29" s="6"/>
      <c r="Y29" s="6"/>
      <c r="Z29" s="6"/>
      <c r="AA29" t="s">
        <v>33</v>
      </c>
      <c r="AB29" t="s">
        <v>34</v>
      </c>
      <c r="AJ29" s="10">
        <f t="shared" si="5"/>
        <v>5</v>
      </c>
    </row>
    <row r="30" spans="1:36" ht="14.65" customHeight="1" thickTop="1" x14ac:dyDescent="0.45">
      <c r="A30">
        <v>5</v>
      </c>
      <c r="B30" t="str">
        <f t="shared" si="0"/>
        <v>d 1.5 deg OS.h48</v>
      </c>
      <c r="C30">
        <f t="shared" si="2"/>
        <v>22</v>
      </c>
      <c r="D30" t="str">
        <f t="shared" si="1"/>
        <v>ts_048</v>
      </c>
      <c r="E30" t="str">
        <f t="shared" si="4"/>
        <v>C2</v>
      </c>
      <c r="AJ30" s="10">
        <f t="shared" si="5"/>
        <v>5</v>
      </c>
    </row>
    <row r="31" spans="1:36" x14ac:dyDescent="0.45">
      <c r="A31">
        <v>5</v>
      </c>
      <c r="B31" t="str">
        <f t="shared" si="0"/>
        <v>c 2 deg (67%).h48</v>
      </c>
      <c r="C31">
        <f t="shared" si="2"/>
        <v>23</v>
      </c>
      <c r="D31" t="str">
        <f t="shared" si="1"/>
        <v>ts_048</v>
      </c>
      <c r="E31" t="str">
        <f t="shared" si="4"/>
        <v>C3</v>
      </c>
      <c r="AJ31" s="10">
        <f t="shared" si="5"/>
        <v>5</v>
      </c>
    </row>
    <row r="32" spans="1:36" x14ac:dyDescent="0.45">
      <c r="A32">
        <v>5</v>
      </c>
      <c r="B32" t="str">
        <f t="shared" si="0"/>
        <v>b 2 deg (50%).h48</v>
      </c>
      <c r="C32">
        <f t="shared" si="2"/>
        <v>24</v>
      </c>
      <c r="D32" t="str">
        <f t="shared" si="1"/>
        <v>ts_048</v>
      </c>
      <c r="E32" t="str">
        <f t="shared" si="4"/>
        <v>C4</v>
      </c>
      <c r="AJ32" s="10">
        <f t="shared" si="5"/>
        <v>5</v>
      </c>
    </row>
    <row r="33" spans="1:36" x14ac:dyDescent="0.45">
      <c r="A33">
        <v>5</v>
      </c>
      <c r="B33" t="str">
        <f t="shared" si="0"/>
        <v>a 3 deg.h48</v>
      </c>
      <c r="C33">
        <f t="shared" si="2"/>
        <v>25</v>
      </c>
      <c r="D33" t="str">
        <f t="shared" si="1"/>
        <v>ts_048</v>
      </c>
      <c r="E33" t="str">
        <f t="shared" si="4"/>
        <v>C7</v>
      </c>
      <c r="AJ33" s="10">
        <f t="shared" si="5"/>
        <v>5</v>
      </c>
    </row>
    <row r="34" spans="1:36" x14ac:dyDescent="0.45">
      <c r="A34">
        <v>5</v>
      </c>
      <c r="B34" t="str">
        <f t="shared" si="0"/>
        <v>e 1.5 deg no OS.h48P10</v>
      </c>
      <c r="C34">
        <f t="shared" si="2"/>
        <v>26</v>
      </c>
      <c r="D34" t="str">
        <f t="shared" si="1"/>
        <v>ts_048P10</v>
      </c>
      <c r="E34" t="str">
        <f t="shared" si="4"/>
        <v>C1</v>
      </c>
      <c r="AJ34" s="10">
        <f t="shared" si="5"/>
        <v>6</v>
      </c>
    </row>
    <row r="35" spans="1:36" x14ac:dyDescent="0.45">
      <c r="A35">
        <v>5</v>
      </c>
      <c r="B35" t="str">
        <f t="shared" si="0"/>
        <v>d 1.5 deg OS.h48P10</v>
      </c>
      <c r="C35">
        <f t="shared" si="2"/>
        <v>27</v>
      </c>
      <c r="D35" t="str">
        <f t="shared" si="1"/>
        <v>ts_048P10</v>
      </c>
      <c r="E35" t="str">
        <f t="shared" si="4"/>
        <v>C2</v>
      </c>
      <c r="AJ35" s="10">
        <f t="shared" si="5"/>
        <v>6</v>
      </c>
    </row>
    <row r="36" spans="1:36" x14ac:dyDescent="0.45">
      <c r="A36">
        <v>5</v>
      </c>
      <c r="B36" t="str">
        <f t="shared" si="0"/>
        <v>c 2 deg (67%).h48P10</v>
      </c>
      <c r="C36">
        <f t="shared" si="2"/>
        <v>28</v>
      </c>
      <c r="D36" t="str">
        <f t="shared" si="1"/>
        <v>ts_048P10</v>
      </c>
      <c r="E36" t="str">
        <f t="shared" si="4"/>
        <v>C3</v>
      </c>
      <c r="G36" s="2" t="s">
        <v>9</v>
      </c>
      <c r="AJ36" s="10">
        <f t="shared" si="5"/>
        <v>6</v>
      </c>
    </row>
    <row r="37" spans="1:36" x14ac:dyDescent="0.45">
      <c r="A37">
        <v>5</v>
      </c>
      <c r="B37" t="str">
        <f t="shared" si="0"/>
        <v>b 2 deg (50%).h48P10</v>
      </c>
      <c r="C37">
        <f t="shared" si="2"/>
        <v>29</v>
      </c>
      <c r="D37" t="str">
        <f t="shared" si="1"/>
        <v>ts_048P10</v>
      </c>
      <c r="E37" t="str">
        <f t="shared" si="4"/>
        <v>C4</v>
      </c>
      <c r="G37" t="s">
        <v>74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1.04</v>
      </c>
      <c r="K37" s="11">
        <f>SUMIFS(ar6_r10!$F$2:$F$999,ar6_r10!$A$2:$A$999,Veda!$G$36,ar6_r10!$C$2:$C$999,Veda!K$17,ar6_r10!$M$2:$M$999,Veda!$G37)</f>
        <v>1.37</v>
      </c>
      <c r="L37" s="11">
        <f>SUMIFS(ar6_r10!$F$2:$F$999,ar6_r10!$A$2:$A$999,Veda!$G$36,ar6_r10!$C$2:$C$999,Veda!L$17,ar6_r10!$M$2:$M$999,Veda!$G37)</f>
        <v>1.3</v>
      </c>
      <c r="M37" s="11">
        <f>SUMIFS(ar6_r10!$F$2:$F$999,ar6_r10!$A$2:$A$999,Veda!$G$36,ar6_r10!$C$2:$C$999,Veda!M$17,ar6_r10!$M$2:$M$999,Veda!$G37)</f>
        <v>1.55</v>
      </c>
      <c r="N37" s="11">
        <f>SUMIFS(ar6_r10!$F$2:$F$999,ar6_r10!$A$2:$A$999,Veda!$G$36,ar6_r10!$C$2:$C$999,Veda!N$17,ar6_r10!$M$2:$M$999,Veda!$G37)</f>
        <v>1.63</v>
      </c>
      <c r="O37" s="11">
        <f>SUMIFS(ar6_r10!$F$2:$F$999,ar6_r10!$A$2:$A$999,Veda!$G$36,ar6_r10!$C$2:$C$999,Veda!O$17,ar6_r10!$M$2:$M$999,Veda!$G37)</f>
        <v>1.71</v>
      </c>
      <c r="AJ37" s="10">
        <f t="shared" si="5"/>
        <v>6</v>
      </c>
    </row>
    <row r="38" spans="1:36" x14ac:dyDescent="0.45">
      <c r="A38">
        <v>5</v>
      </c>
      <c r="B38" t="str">
        <f t="shared" si="0"/>
        <v>a 3 deg.h48P10</v>
      </c>
      <c r="C38">
        <f t="shared" si="2"/>
        <v>30</v>
      </c>
      <c r="D38" t="str">
        <f t="shared" si="1"/>
        <v>ts_048P10</v>
      </c>
      <c r="E38" t="str">
        <f t="shared" si="4"/>
        <v>C7</v>
      </c>
      <c r="G38" t="s">
        <v>75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1.08</v>
      </c>
      <c r="K38" s="11">
        <f>SUMIFS(ar6_r10!$F$2:$F$999,ar6_r10!$A$2:$A$999,Veda!$G$36,ar6_r10!$C$2:$C$999,Veda!K$17,ar6_r10!$M$2:$M$999,Veda!$G38)</f>
        <v>1.2</v>
      </c>
      <c r="L38" s="11">
        <f>SUMIFS(ar6_r10!$F$2:$F$999,ar6_r10!$A$2:$A$999,Veda!$G$36,ar6_r10!$C$2:$C$999,Veda!L$17,ar6_r10!$M$2:$M$999,Veda!$G38)</f>
        <v>1.34</v>
      </c>
      <c r="M38" s="11">
        <f>SUMIFS(ar6_r10!$F$2:$F$999,ar6_r10!$A$2:$A$999,Veda!$G$36,ar6_r10!$C$2:$C$999,Veda!M$17,ar6_r10!$M$2:$M$999,Veda!$G38)</f>
        <v>1.52</v>
      </c>
      <c r="N38" s="11">
        <f>SUMIFS(ar6_r10!$F$2:$F$999,ar6_r10!$A$2:$A$999,Veda!$G$36,ar6_r10!$C$2:$C$999,Veda!N$17,ar6_r10!$M$2:$M$999,Veda!$G38)</f>
        <v>1.46</v>
      </c>
      <c r="O38" s="11">
        <f>SUMIFS(ar6_r10!$F$2:$F$999,ar6_r10!$A$2:$A$999,Veda!$G$36,ar6_r10!$C$2:$C$999,Veda!O$17,ar6_r10!$M$2:$M$999,Veda!$G38)</f>
        <v>1.57</v>
      </c>
      <c r="AJ38" s="10">
        <f t="shared" si="5"/>
        <v>6</v>
      </c>
    </row>
    <row r="39" spans="1:36" x14ac:dyDescent="0.45">
      <c r="A39">
        <v>5</v>
      </c>
      <c r="B39" t="str">
        <f t="shared" si="0"/>
        <v>e 1.5 deg no OS.h48P90</v>
      </c>
      <c r="C39">
        <f t="shared" si="2"/>
        <v>31</v>
      </c>
      <c r="D39" t="str">
        <f t="shared" si="1"/>
        <v>ts_048P90</v>
      </c>
      <c r="E39" t="str">
        <f t="shared" si="4"/>
        <v>C1</v>
      </c>
      <c r="G39" t="s">
        <v>76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1.1499999999999999</v>
      </c>
      <c r="K39" s="11">
        <f>SUMIFS(ar6_r10!$F$2:$F$999,ar6_r10!$A$2:$A$999,Veda!$G$36,ar6_r10!$C$2:$C$999,Veda!K$17,ar6_r10!$M$2:$M$999,Veda!$G39)</f>
        <v>1.6</v>
      </c>
      <c r="L39" s="11">
        <f>SUMIFS(ar6_r10!$F$2:$F$999,ar6_r10!$A$2:$A$999,Veda!$G$36,ar6_r10!$C$2:$C$999,Veda!L$17,ar6_r10!$M$2:$M$999,Veda!$G39)</f>
        <v>1.33</v>
      </c>
      <c r="M39" s="11">
        <f>SUMIFS(ar6_r10!$F$2:$F$999,ar6_r10!$A$2:$A$999,Veda!$G$36,ar6_r10!$C$2:$C$999,Veda!M$17,ar6_r10!$M$2:$M$999,Veda!$G39)</f>
        <v>1.47</v>
      </c>
      <c r="N39" s="11">
        <f>SUMIFS(ar6_r10!$F$2:$F$999,ar6_r10!$A$2:$A$999,Veda!$G$36,ar6_r10!$C$2:$C$999,Veda!N$17,ar6_r10!$M$2:$M$999,Veda!$G39)</f>
        <v>1.61</v>
      </c>
      <c r="O39" s="11">
        <f>SUMIFS(ar6_r10!$F$2:$F$999,ar6_r10!$A$2:$A$999,Veda!$G$36,ar6_r10!$C$2:$C$999,Veda!O$17,ar6_r10!$M$2:$M$999,Veda!$G39)</f>
        <v>1.77</v>
      </c>
      <c r="AJ39" s="10">
        <f t="shared" si="5"/>
        <v>7</v>
      </c>
    </row>
    <row r="40" spans="1:36" x14ac:dyDescent="0.45">
      <c r="A40">
        <v>5</v>
      </c>
      <c r="B40" t="str">
        <f t="shared" si="0"/>
        <v>d 1.5 deg OS.h48P90</v>
      </c>
      <c r="C40">
        <f t="shared" si="2"/>
        <v>32</v>
      </c>
      <c r="D40" t="str">
        <f t="shared" si="1"/>
        <v>ts_048P90</v>
      </c>
      <c r="E40" t="str">
        <f t="shared" si="4"/>
        <v>C2</v>
      </c>
      <c r="G40" t="s">
        <v>77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0.84</v>
      </c>
      <c r="K40" s="11">
        <f>SUMIFS(ar6_r10!$F$2:$F$999,ar6_r10!$A$2:$A$999,Veda!$G$36,ar6_r10!$C$2:$C$999,Veda!K$17,ar6_r10!$M$2:$M$999,Veda!$G40)</f>
        <v>0.79</v>
      </c>
      <c r="L40" s="11">
        <f>SUMIFS(ar6_r10!$F$2:$F$999,ar6_r10!$A$2:$A$999,Veda!$G$36,ar6_r10!$C$2:$C$999,Veda!L$17,ar6_r10!$M$2:$M$999,Veda!$G40)</f>
        <v>0.82</v>
      </c>
      <c r="M40" s="11">
        <f>SUMIFS(ar6_r10!$F$2:$F$999,ar6_r10!$A$2:$A$999,Veda!$G$36,ar6_r10!$C$2:$C$999,Veda!M$17,ar6_r10!$M$2:$M$999,Veda!$G40)</f>
        <v>0.86</v>
      </c>
      <c r="N40" s="11">
        <f>SUMIFS(ar6_r10!$F$2:$F$999,ar6_r10!$A$2:$A$999,Veda!$G$36,ar6_r10!$C$2:$C$999,Veda!N$17,ar6_r10!$M$2:$M$999,Veda!$G40)</f>
        <v>0.88</v>
      </c>
      <c r="O40" s="11">
        <f>SUMIFS(ar6_r10!$F$2:$F$999,ar6_r10!$A$2:$A$999,Veda!$G$36,ar6_r10!$C$2:$C$999,Veda!O$17,ar6_r10!$M$2:$M$999,Veda!$G40)</f>
        <v>0.9</v>
      </c>
      <c r="AJ40" s="10">
        <f t="shared" si="5"/>
        <v>7</v>
      </c>
    </row>
    <row r="41" spans="1:36" x14ac:dyDescent="0.45">
      <c r="A41">
        <v>5</v>
      </c>
      <c r="B41" t="str">
        <f t="shared" si="0"/>
        <v>c 2 deg (67%).h48P90</v>
      </c>
      <c r="C41">
        <f t="shared" si="2"/>
        <v>33</v>
      </c>
      <c r="D41" t="str">
        <f t="shared" si="1"/>
        <v>ts_048P90</v>
      </c>
      <c r="E41" t="str">
        <f t="shared" si="4"/>
        <v>C3</v>
      </c>
      <c r="AJ41" s="10">
        <f t="shared" si="5"/>
        <v>7</v>
      </c>
    </row>
    <row r="42" spans="1:36" x14ac:dyDescent="0.45">
      <c r="A42">
        <v>5</v>
      </c>
      <c r="B42" t="str">
        <f t="shared" si="0"/>
        <v>b 2 deg (50%).h48P90</v>
      </c>
      <c r="C42">
        <f t="shared" si="2"/>
        <v>34</v>
      </c>
      <c r="D42" t="str">
        <f t="shared" si="1"/>
        <v>ts_048P90</v>
      </c>
      <c r="E42" t="str">
        <f t="shared" si="4"/>
        <v>C4</v>
      </c>
      <c r="AJ42" s="10">
        <f t="shared" si="5"/>
        <v>7</v>
      </c>
    </row>
    <row r="43" spans="1:36" x14ac:dyDescent="0.45">
      <c r="A43">
        <v>5</v>
      </c>
      <c r="B43" t="str">
        <f t="shared" si="0"/>
        <v>a 3 deg.h48P90</v>
      </c>
      <c r="C43">
        <f t="shared" si="2"/>
        <v>35</v>
      </c>
      <c r="D43" t="str">
        <f t="shared" si="1"/>
        <v>ts_048P90</v>
      </c>
      <c r="E43" t="str">
        <f t="shared" si="4"/>
        <v>C7</v>
      </c>
      <c r="G43" t="s">
        <v>125</v>
      </c>
      <c r="AJ43" s="10">
        <f t="shared" si="5"/>
        <v>7</v>
      </c>
    </row>
    <row r="44" spans="1:36" x14ac:dyDescent="0.45">
      <c r="A44">
        <v>5</v>
      </c>
      <c r="B44" t="str">
        <f t="shared" si="0"/>
        <v>e 1.5 deg no OS.g1d72</v>
      </c>
      <c r="C44">
        <f t="shared" si="2"/>
        <v>36</v>
      </c>
      <c r="D44" t="str">
        <f t="shared" si="1"/>
        <v>s1_d</v>
      </c>
      <c r="E44" t="str">
        <f t="shared" si="4"/>
        <v>C1</v>
      </c>
      <c r="G44" t="s">
        <v>13</v>
      </c>
      <c r="H44" t="s">
        <v>104</v>
      </c>
      <c r="I44">
        <v>2022</v>
      </c>
      <c r="J44">
        <f>J17</f>
        <v>2025</v>
      </c>
      <c r="K44">
        <f t="shared" ref="K44:O44" si="11">K17</f>
        <v>2030</v>
      </c>
      <c r="L44">
        <f t="shared" si="11"/>
        <v>2035</v>
      </c>
      <c r="M44">
        <f t="shared" si="11"/>
        <v>2040</v>
      </c>
      <c r="N44">
        <f t="shared" si="11"/>
        <v>2045</v>
      </c>
      <c r="O44">
        <f t="shared" si="11"/>
        <v>2050</v>
      </c>
      <c r="R44" t="s">
        <v>82</v>
      </c>
      <c r="S44" t="s">
        <v>83</v>
      </c>
      <c r="AJ44" s="10">
        <f t="shared" si="5"/>
        <v>8</v>
      </c>
    </row>
    <row r="45" spans="1:36" x14ac:dyDescent="0.45">
      <c r="A45">
        <v>5</v>
      </c>
      <c r="B45" t="str">
        <f t="shared" si="0"/>
        <v>d 1.5 deg OS.g1d72</v>
      </c>
      <c r="C45">
        <f t="shared" si="2"/>
        <v>37</v>
      </c>
      <c r="D45" t="str">
        <f t="shared" si="1"/>
        <v>s1_d</v>
      </c>
      <c r="E45" t="str">
        <f t="shared" si="4"/>
        <v>C2</v>
      </c>
      <c r="G45" t="s">
        <v>78</v>
      </c>
      <c r="H45" t="str">
        <f>G45</f>
        <v>Gas</v>
      </c>
      <c r="I45">
        <f t="shared" ref="I45:O48" si="12">AVERAGE($R45:$S45)*I37</f>
        <v>29.15</v>
      </c>
      <c r="J45">
        <f t="shared" si="12"/>
        <v>30.315999999999999</v>
      </c>
      <c r="K45">
        <f t="shared" si="12"/>
        <v>39.935500000000005</v>
      </c>
      <c r="L45">
        <f t="shared" si="12"/>
        <v>37.894999999999996</v>
      </c>
      <c r="M45">
        <f t="shared" si="12"/>
        <v>45.182499999999997</v>
      </c>
      <c r="N45">
        <f t="shared" si="12"/>
        <v>47.514499999999991</v>
      </c>
      <c r="O45">
        <f t="shared" si="12"/>
        <v>49.846499999999999</v>
      </c>
      <c r="R45">
        <f>HLOOKUP($G45&amp;"_"&amp;R$44,fuel_prices!$B$10:$I$11,2,FALSE)</f>
        <v>24</v>
      </c>
      <c r="S45">
        <f>HLOOKUP($G45&amp;"_"&amp;S$44,fuel_prices!$B$10:$I$11,2,FALSE)</f>
        <v>34.299999999999997</v>
      </c>
      <c r="AJ45" s="10">
        <f t="shared" si="5"/>
        <v>8</v>
      </c>
    </row>
    <row r="46" spans="1:36" x14ac:dyDescent="0.45">
      <c r="A46">
        <v>5</v>
      </c>
      <c r="B46" t="str">
        <f t="shared" si="0"/>
        <v>c 2 deg (67%).g1d72</v>
      </c>
      <c r="C46">
        <f t="shared" si="2"/>
        <v>38</v>
      </c>
      <c r="D46" t="str">
        <f t="shared" si="1"/>
        <v>s1_d</v>
      </c>
      <c r="E46" t="str">
        <f t="shared" si="4"/>
        <v>C3</v>
      </c>
      <c r="G46" t="s">
        <v>79</v>
      </c>
      <c r="H46" t="str">
        <f t="shared" ref="H46:H48" si="13">G46</f>
        <v>Coal</v>
      </c>
      <c r="I46">
        <f t="shared" si="12"/>
        <v>14.45</v>
      </c>
      <c r="J46">
        <f t="shared" si="12"/>
        <v>15.606</v>
      </c>
      <c r="K46">
        <f t="shared" si="12"/>
        <v>17.34</v>
      </c>
      <c r="L46">
        <f t="shared" si="12"/>
        <v>19.363</v>
      </c>
      <c r="M46">
        <f t="shared" si="12"/>
        <v>21.963999999999999</v>
      </c>
      <c r="N46">
        <f t="shared" si="12"/>
        <v>21.096999999999998</v>
      </c>
      <c r="O46">
        <f t="shared" si="12"/>
        <v>22.686499999999999</v>
      </c>
      <c r="R46">
        <f>HLOOKUP($G46&amp;"_"&amp;R$44,fuel_prices!$B$10:$I$11,2,FALSE)</f>
        <v>12.2</v>
      </c>
      <c r="S46">
        <f>HLOOKUP($G46&amp;"_"&amp;S$44,fuel_prices!$B$10:$I$11,2,FALSE)</f>
        <v>16.7</v>
      </c>
      <c r="AJ46" s="10">
        <f t="shared" si="5"/>
        <v>8</v>
      </c>
    </row>
    <row r="47" spans="1:36" x14ac:dyDescent="0.45">
      <c r="A47">
        <v>5</v>
      </c>
      <c r="B47" t="str">
        <f t="shared" si="0"/>
        <v>b 2 deg (50%).g1d72</v>
      </c>
      <c r="C47">
        <f t="shared" si="2"/>
        <v>39</v>
      </c>
      <c r="D47" t="str">
        <f t="shared" si="1"/>
        <v>s1_d</v>
      </c>
      <c r="E47" t="str">
        <f t="shared" si="4"/>
        <v>C4</v>
      </c>
      <c r="G47" t="s">
        <v>80</v>
      </c>
      <c r="H47" t="str">
        <f t="shared" si="13"/>
        <v>Oil</v>
      </c>
      <c r="I47">
        <f t="shared" si="12"/>
        <v>47</v>
      </c>
      <c r="J47">
        <f t="shared" si="12"/>
        <v>54.05</v>
      </c>
      <c r="K47">
        <f t="shared" si="12"/>
        <v>75.2</v>
      </c>
      <c r="L47">
        <f t="shared" si="12"/>
        <v>62.510000000000005</v>
      </c>
      <c r="M47">
        <f t="shared" si="12"/>
        <v>69.09</v>
      </c>
      <c r="N47">
        <f t="shared" si="12"/>
        <v>75.67</v>
      </c>
      <c r="O47">
        <f t="shared" si="12"/>
        <v>83.19</v>
      </c>
      <c r="R47">
        <f>HLOOKUP($G47&amp;"_"&amp;R$44,fuel_prices!$B$10:$I$11,2,FALSE)</f>
        <v>42</v>
      </c>
      <c r="S47">
        <f>HLOOKUP($G47&amp;"_"&amp;S$44,fuel_prices!$B$10:$I$11,2,FALSE)</f>
        <v>52</v>
      </c>
      <c r="AJ47" s="10">
        <f t="shared" si="5"/>
        <v>8</v>
      </c>
    </row>
    <row r="48" spans="1:36" x14ac:dyDescent="0.45">
      <c r="A48">
        <v>5</v>
      </c>
      <c r="B48" t="str">
        <f t="shared" si="0"/>
        <v>a 3 deg.g1d72</v>
      </c>
      <c r="C48">
        <f t="shared" si="2"/>
        <v>40</v>
      </c>
      <c r="D48" t="str">
        <f t="shared" si="1"/>
        <v>s1_d</v>
      </c>
      <c r="E48" t="str">
        <f t="shared" si="4"/>
        <v>C7</v>
      </c>
      <c r="G48" t="s">
        <v>81</v>
      </c>
      <c r="H48" t="str">
        <f t="shared" si="13"/>
        <v>Bioenergy</v>
      </c>
      <c r="I48">
        <f t="shared" si="12"/>
        <v>16</v>
      </c>
      <c r="O48">
        <f>VLOOKUP($E$5,$AK$9:$AM$15,3,FALSE)*I48</f>
        <v>48</v>
      </c>
      <c r="R48">
        <f>HLOOKUP($G48&amp;"_"&amp;R$44,fuel_prices!$B$10:$I$11,2,FALSE)</f>
        <v>12</v>
      </c>
      <c r="S48">
        <f>HLOOKUP($G48&amp;"_"&amp;S$44,fuel_prices!$B$10:$I$11,2,FALSE)</f>
        <v>20</v>
      </c>
      <c r="AJ48" s="10">
        <f t="shared" si="5"/>
        <v>8</v>
      </c>
    </row>
    <row r="49" spans="1:36" x14ac:dyDescent="0.45">
      <c r="A49">
        <v>5</v>
      </c>
      <c r="B49" t="str">
        <f t="shared" si="0"/>
        <v>e 1.5 deg no OS.f2d96</v>
      </c>
      <c r="C49">
        <f t="shared" si="2"/>
        <v>41</v>
      </c>
      <c r="D49" t="str">
        <f t="shared" si="1"/>
        <v>s1v1_d</v>
      </c>
      <c r="E49" t="str">
        <f t="shared" si="4"/>
        <v>C1</v>
      </c>
      <c r="AJ49" s="10">
        <f t="shared" si="5"/>
        <v>9</v>
      </c>
    </row>
    <row r="50" spans="1:36" x14ac:dyDescent="0.45">
      <c r="A50">
        <v>5</v>
      </c>
      <c r="B50" t="str">
        <f t="shared" si="0"/>
        <v>d 1.5 deg OS.f2d96</v>
      </c>
      <c r="C50">
        <f t="shared" si="2"/>
        <v>42</v>
      </c>
      <c r="D50" t="str">
        <f t="shared" si="1"/>
        <v>s1v1_d</v>
      </c>
      <c r="E50" t="str">
        <f t="shared" si="4"/>
        <v>C2</v>
      </c>
      <c r="AJ50" s="10">
        <f t="shared" si="5"/>
        <v>9</v>
      </c>
    </row>
    <row r="51" spans="1:36" x14ac:dyDescent="0.45">
      <c r="A51">
        <v>5</v>
      </c>
      <c r="B51" t="str">
        <f t="shared" si="0"/>
        <v>c 2 deg (67%).f2d96</v>
      </c>
      <c r="C51">
        <f t="shared" si="2"/>
        <v>43</v>
      </c>
      <c r="D51" t="str">
        <f t="shared" si="1"/>
        <v>s1v1_d</v>
      </c>
      <c r="E51" t="str">
        <f t="shared" si="4"/>
        <v>C3</v>
      </c>
      <c r="AJ51" s="10">
        <f t="shared" si="5"/>
        <v>9</v>
      </c>
    </row>
    <row r="52" spans="1:36" x14ac:dyDescent="0.45">
      <c r="A52">
        <v>5</v>
      </c>
      <c r="B52" t="str">
        <f t="shared" si="0"/>
        <v>b 2 deg (50%).f2d96</v>
      </c>
      <c r="C52">
        <f t="shared" si="2"/>
        <v>44</v>
      </c>
      <c r="D52" t="str">
        <f t="shared" si="1"/>
        <v>s1v1_d</v>
      </c>
      <c r="E52" t="str">
        <f t="shared" si="4"/>
        <v>C4</v>
      </c>
      <c r="AJ52" s="10">
        <f t="shared" si="5"/>
        <v>9</v>
      </c>
    </row>
    <row r="53" spans="1:36" x14ac:dyDescent="0.45">
      <c r="A53">
        <v>5</v>
      </c>
      <c r="B53" t="str">
        <f t="shared" si="0"/>
        <v>a 3 deg.f2d96</v>
      </c>
      <c r="C53">
        <f t="shared" si="2"/>
        <v>45</v>
      </c>
      <c r="D53" t="str">
        <f t="shared" si="1"/>
        <v>s1v1_d</v>
      </c>
      <c r="E53" t="str">
        <f t="shared" si="4"/>
        <v>C7</v>
      </c>
      <c r="AJ53" s="10">
        <f t="shared" si="5"/>
        <v>9</v>
      </c>
    </row>
    <row r="54" spans="1:36" x14ac:dyDescent="0.45">
      <c r="A54">
        <v>5</v>
      </c>
      <c r="B54" t="str">
        <f t="shared" si="0"/>
        <v>e 1.5 deg no OS.e96</v>
      </c>
      <c r="C54">
        <f t="shared" si="2"/>
        <v>46</v>
      </c>
      <c r="D54" t="str">
        <f t="shared" si="1"/>
        <v>ts_096</v>
      </c>
      <c r="E54" t="str">
        <f t="shared" si="4"/>
        <v>C1</v>
      </c>
      <c r="AJ54" s="10">
        <f t="shared" si="5"/>
        <v>10</v>
      </c>
    </row>
    <row r="55" spans="1:36" x14ac:dyDescent="0.45">
      <c r="A55">
        <v>5</v>
      </c>
      <c r="B55" t="str">
        <f t="shared" si="0"/>
        <v>d 1.5 deg OS.e96</v>
      </c>
      <c r="C55">
        <f t="shared" si="2"/>
        <v>47</v>
      </c>
      <c r="D55" t="str">
        <f t="shared" si="1"/>
        <v>ts_096</v>
      </c>
      <c r="E55" t="str">
        <f t="shared" si="4"/>
        <v>C2</v>
      </c>
      <c r="AJ55" s="10">
        <f t="shared" si="5"/>
        <v>10</v>
      </c>
    </row>
    <row r="56" spans="1:36" x14ac:dyDescent="0.45">
      <c r="A56">
        <v>5</v>
      </c>
      <c r="B56" t="str">
        <f t="shared" si="0"/>
        <v>c 2 deg (67%).e96</v>
      </c>
      <c r="C56">
        <f t="shared" si="2"/>
        <v>48</v>
      </c>
      <c r="D56" t="str">
        <f t="shared" si="1"/>
        <v>ts_096</v>
      </c>
      <c r="E56" t="str">
        <f t="shared" si="4"/>
        <v>C3</v>
      </c>
      <c r="AJ56" s="10">
        <f t="shared" si="5"/>
        <v>10</v>
      </c>
    </row>
    <row r="57" spans="1:36" x14ac:dyDescent="0.45">
      <c r="A57">
        <v>5</v>
      </c>
      <c r="B57" t="str">
        <f t="shared" si="0"/>
        <v>b 2 deg (50%).e96</v>
      </c>
      <c r="C57">
        <f t="shared" si="2"/>
        <v>49</v>
      </c>
      <c r="D57" t="str">
        <f t="shared" si="1"/>
        <v>ts_096</v>
      </c>
      <c r="E57" t="str">
        <f t="shared" si="4"/>
        <v>C4</v>
      </c>
      <c r="AJ57" s="10">
        <f t="shared" si="5"/>
        <v>10</v>
      </c>
    </row>
    <row r="58" spans="1:36" x14ac:dyDescent="0.45">
      <c r="A58">
        <v>5</v>
      </c>
      <c r="B58" t="str">
        <f t="shared" si="0"/>
        <v>a 3 deg.e96</v>
      </c>
      <c r="C58">
        <f t="shared" si="2"/>
        <v>50</v>
      </c>
      <c r="D58" t="str">
        <f t="shared" si="1"/>
        <v>ts_096</v>
      </c>
      <c r="E58" t="str">
        <f t="shared" si="4"/>
        <v>C7</v>
      </c>
      <c r="AJ58" s="10">
        <f t="shared" si="5"/>
        <v>10</v>
      </c>
    </row>
    <row r="59" spans="1:36" x14ac:dyDescent="0.45">
      <c r="A59">
        <v>5</v>
      </c>
      <c r="B59" t="str">
        <f t="shared" si="0"/>
        <v>e 1.5 deg no OS.d9d</v>
      </c>
      <c r="C59">
        <f t="shared" si="2"/>
        <v>51</v>
      </c>
      <c r="D59" t="str">
        <f t="shared" si="1"/>
        <v>s1p1v1_d</v>
      </c>
      <c r="E59" t="str">
        <f t="shared" si="4"/>
        <v>C1</v>
      </c>
      <c r="AJ59" s="10">
        <f t="shared" si="5"/>
        <v>11</v>
      </c>
    </row>
    <row r="60" spans="1:36" x14ac:dyDescent="0.45">
      <c r="A60">
        <v>5</v>
      </c>
      <c r="B60" t="str">
        <f t="shared" si="0"/>
        <v>d 1.5 deg OS.d9d</v>
      </c>
      <c r="C60">
        <f t="shared" si="2"/>
        <v>52</v>
      </c>
      <c r="D60" t="str">
        <f t="shared" si="1"/>
        <v>s1p1v1_d</v>
      </c>
      <c r="E60" t="str">
        <f t="shared" si="4"/>
        <v>C2</v>
      </c>
      <c r="AJ60" s="10">
        <f t="shared" si="5"/>
        <v>11</v>
      </c>
    </row>
    <row r="61" spans="1:36" x14ac:dyDescent="0.45">
      <c r="A61">
        <v>5</v>
      </c>
      <c r="B61" t="str">
        <f t="shared" si="0"/>
        <v>c 2 deg (67%).d9d</v>
      </c>
      <c r="C61">
        <f t="shared" si="2"/>
        <v>53</v>
      </c>
      <c r="D61" t="str">
        <f t="shared" si="1"/>
        <v>s1p1v1_d</v>
      </c>
      <c r="E61" t="str">
        <f t="shared" si="4"/>
        <v>C3</v>
      </c>
      <c r="AJ61" s="10">
        <f t="shared" si="5"/>
        <v>11</v>
      </c>
    </row>
    <row r="62" spans="1:36" x14ac:dyDescent="0.45">
      <c r="A62">
        <v>5</v>
      </c>
      <c r="B62" t="str">
        <f t="shared" si="0"/>
        <v>b 2 deg (50%).d9d</v>
      </c>
      <c r="C62">
        <f t="shared" si="2"/>
        <v>54</v>
      </c>
      <c r="D62" t="str">
        <f t="shared" si="1"/>
        <v>s1p1v1_d</v>
      </c>
      <c r="E62" t="str">
        <f t="shared" si="4"/>
        <v>C4</v>
      </c>
      <c r="AJ62" s="10">
        <f t="shared" si="5"/>
        <v>11</v>
      </c>
    </row>
    <row r="63" spans="1:36" x14ac:dyDescent="0.45">
      <c r="A63">
        <v>5</v>
      </c>
      <c r="B63" t="str">
        <f t="shared" si="0"/>
        <v>a 3 deg.d9d</v>
      </c>
      <c r="C63">
        <f t="shared" si="2"/>
        <v>55</v>
      </c>
      <c r="D63" t="str">
        <f t="shared" si="1"/>
        <v>s1p1v1_d</v>
      </c>
      <c r="E63" t="str">
        <f t="shared" si="4"/>
        <v>C7</v>
      </c>
      <c r="AJ63" s="10">
        <f t="shared" si="5"/>
        <v>11</v>
      </c>
    </row>
    <row r="64" spans="1:36" x14ac:dyDescent="0.45">
      <c r="A64">
        <v>5</v>
      </c>
      <c r="B64" t="str">
        <f t="shared" si="0"/>
        <v>e 1.5 deg no OS.c15d</v>
      </c>
      <c r="C64">
        <f t="shared" si="2"/>
        <v>56</v>
      </c>
      <c r="D64" t="str">
        <f t="shared" ref="D64:D68" si="14">VLOOKUP(AJ64,$AG$9:$AH$22,2,FALSE)</f>
        <v>s5p5v5_d</v>
      </c>
      <c r="E64" t="str">
        <f t="shared" si="4"/>
        <v>C1</v>
      </c>
      <c r="AJ64" s="10">
        <f t="shared" si="5"/>
        <v>12</v>
      </c>
    </row>
    <row r="65" spans="1:36" x14ac:dyDescent="0.45">
      <c r="A65">
        <v>5</v>
      </c>
      <c r="B65" t="str">
        <f t="shared" si="0"/>
        <v>d 1.5 deg OS.c15d</v>
      </c>
      <c r="C65">
        <f t="shared" si="2"/>
        <v>57</v>
      </c>
      <c r="D65" t="str">
        <f t="shared" si="14"/>
        <v>s5p5v5_d</v>
      </c>
      <c r="E65" t="str">
        <f t="shared" si="4"/>
        <v>C2</v>
      </c>
      <c r="AJ65" s="10">
        <f t="shared" si="5"/>
        <v>12</v>
      </c>
    </row>
    <row r="66" spans="1:36" x14ac:dyDescent="0.45">
      <c r="A66">
        <v>5</v>
      </c>
      <c r="B66" t="str">
        <f t="shared" si="0"/>
        <v>c 2 deg (67%).c15d</v>
      </c>
      <c r="C66">
        <f t="shared" si="2"/>
        <v>58</v>
      </c>
      <c r="D66" t="str">
        <f t="shared" si="14"/>
        <v>s5p5v5_d</v>
      </c>
      <c r="E66" t="str">
        <f t="shared" si="4"/>
        <v>C3</v>
      </c>
      <c r="AJ66" s="10">
        <f t="shared" si="5"/>
        <v>12</v>
      </c>
    </row>
    <row r="67" spans="1:36" x14ac:dyDescent="0.45">
      <c r="A67">
        <v>5</v>
      </c>
      <c r="B67" t="str">
        <f t="shared" si="0"/>
        <v>b 2 deg (50%).c15d</v>
      </c>
      <c r="C67">
        <f t="shared" si="2"/>
        <v>59</v>
      </c>
      <c r="D67" t="str">
        <f t="shared" si="14"/>
        <v>s5p5v5_d</v>
      </c>
      <c r="E67" t="str">
        <f t="shared" si="4"/>
        <v>C4</v>
      </c>
      <c r="AJ67" s="10">
        <f t="shared" si="5"/>
        <v>12</v>
      </c>
    </row>
    <row r="68" spans="1:36" x14ac:dyDescent="0.45">
      <c r="A68">
        <v>5</v>
      </c>
      <c r="B68" t="str">
        <f t="shared" si="0"/>
        <v>a 3 deg.c15d</v>
      </c>
      <c r="C68">
        <f t="shared" si="2"/>
        <v>60</v>
      </c>
      <c r="D68" t="str">
        <f t="shared" si="14"/>
        <v>s5p5v5_d</v>
      </c>
      <c r="E68" t="str">
        <f t="shared" si="4"/>
        <v>C7</v>
      </c>
      <c r="AJ68" s="10">
        <f t="shared" si="5"/>
        <v>12</v>
      </c>
    </row>
    <row r="69" spans="1:36" x14ac:dyDescent="0.45">
      <c r="AJ69" s="10">
        <f t="shared" si="5"/>
        <v>13</v>
      </c>
    </row>
    <row r="70" spans="1:36" x14ac:dyDescent="0.45">
      <c r="AJ70" s="10">
        <f t="shared" si="5"/>
        <v>13</v>
      </c>
    </row>
    <row r="71" spans="1:36" x14ac:dyDescent="0.45">
      <c r="AJ71" s="10">
        <f t="shared" si="5"/>
        <v>13</v>
      </c>
    </row>
    <row r="72" spans="1:36" x14ac:dyDescent="0.45">
      <c r="AJ72" s="10">
        <f t="shared" si="5"/>
        <v>13</v>
      </c>
    </row>
    <row r="73" spans="1:36" x14ac:dyDescent="0.45">
      <c r="AJ73" s="10">
        <f t="shared" si="5"/>
        <v>13</v>
      </c>
    </row>
    <row r="74" spans="1:36" x14ac:dyDescent="0.45">
      <c r="AJ74" s="10">
        <f t="shared" si="5"/>
        <v>14</v>
      </c>
    </row>
    <row r="75" spans="1:36" x14ac:dyDescent="0.45">
      <c r="AJ75" s="10">
        <f t="shared" si="5"/>
        <v>14</v>
      </c>
    </row>
    <row r="76" spans="1:36" x14ac:dyDescent="0.45">
      <c r="AJ76" s="10">
        <f t="shared" si="5"/>
        <v>14</v>
      </c>
    </row>
    <row r="77" spans="1:36" x14ac:dyDescent="0.45">
      <c r="AJ77" s="10">
        <f t="shared" si="5"/>
        <v>14</v>
      </c>
    </row>
    <row r="78" spans="1:36" x14ac:dyDescent="0.45">
      <c r="AJ78" s="10">
        <f t="shared" si="5"/>
        <v>14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3984375" bestFit="1" customWidth="1"/>
  </cols>
  <sheetData>
    <row r="1" spans="1:10" ht="22.05" customHeight="1" x14ac:dyDescent="0.45"/>
    <row r="9" spans="1:10" x14ac:dyDescent="0.45">
      <c r="A9" t="s">
        <v>60</v>
      </c>
    </row>
    <row r="10" spans="1:10" x14ac:dyDescent="0.45">
      <c r="A10" t="s">
        <v>36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</row>
    <row r="11" spans="1:10" x14ac:dyDescent="0.45">
      <c r="A11" t="s">
        <v>140</v>
      </c>
      <c r="B11">
        <v>24</v>
      </c>
      <c r="C11">
        <v>34.299999999999997</v>
      </c>
      <c r="D11">
        <v>12.2</v>
      </c>
      <c r="E11">
        <v>16.7</v>
      </c>
      <c r="F11">
        <v>42</v>
      </c>
      <c r="G11">
        <v>52</v>
      </c>
      <c r="H11">
        <v>12</v>
      </c>
      <c r="I11">
        <v>20</v>
      </c>
      <c r="J11" t="s">
        <v>141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</cols>
  <sheetData>
    <row r="1" spans="1:9" ht="22.05" customHeight="1" x14ac:dyDescent="0.45"/>
    <row r="9" spans="1:9" x14ac:dyDescent="0.45">
      <c r="A9" t="s">
        <v>58</v>
      </c>
    </row>
    <row r="10" spans="1:9" x14ac:dyDescent="0.4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0"/>
  <sheetViews>
    <sheetView workbookViewId="0">
      <selection sqref="A1:K1"/>
    </sheetView>
  </sheetViews>
  <sheetFormatPr defaultRowHeight="14.25" x14ac:dyDescent="0.45"/>
  <cols>
    <col min="1" max="1" width="10.59765625" customWidth="1"/>
    <col min="2" max="2" width="11.06640625" bestFit="1" customWidth="1"/>
    <col min="3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59</v>
      </c>
    </row>
    <row r="10" spans="1:13" x14ac:dyDescent="0.4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14</v>
      </c>
    </row>
    <row r="11" spans="1:13" x14ac:dyDescent="0.45">
      <c r="A11" t="s">
        <v>0</v>
      </c>
      <c r="B11" t="s">
        <v>139</v>
      </c>
      <c r="C11">
        <v>2020</v>
      </c>
      <c r="D11">
        <v>58</v>
      </c>
      <c r="E11">
        <v>4.4000000000000004</v>
      </c>
      <c r="F11">
        <v>0.43</v>
      </c>
      <c r="G11">
        <v>5.71</v>
      </c>
      <c r="H11">
        <v>0</v>
      </c>
      <c r="I11">
        <v>15.58</v>
      </c>
      <c r="J11">
        <v>0</v>
      </c>
      <c r="K11">
        <v>8.31</v>
      </c>
      <c r="L11" t="s">
        <v>1</v>
      </c>
      <c r="M11" t="s">
        <v>27</v>
      </c>
    </row>
    <row r="12" spans="1:13" x14ac:dyDescent="0.45">
      <c r="A12" t="s">
        <v>0</v>
      </c>
      <c r="B12" t="s">
        <v>139</v>
      </c>
      <c r="C12">
        <v>2025</v>
      </c>
      <c r="D12">
        <v>58</v>
      </c>
      <c r="E12">
        <v>132.94</v>
      </c>
      <c r="F12">
        <v>113.94</v>
      </c>
      <c r="G12">
        <v>135.33000000000001</v>
      </c>
      <c r="H12">
        <v>13.36</v>
      </c>
      <c r="I12">
        <v>626.48</v>
      </c>
      <c r="J12">
        <v>28.22</v>
      </c>
      <c r="K12">
        <v>179.27</v>
      </c>
      <c r="L12" t="s">
        <v>1</v>
      </c>
      <c r="M12" t="s">
        <v>27</v>
      </c>
    </row>
    <row r="13" spans="1:13" x14ac:dyDescent="0.45">
      <c r="A13" t="s">
        <v>0</v>
      </c>
      <c r="B13" t="s">
        <v>139</v>
      </c>
      <c r="C13">
        <v>2030</v>
      </c>
      <c r="D13">
        <v>58</v>
      </c>
      <c r="E13">
        <v>191.57</v>
      </c>
      <c r="F13">
        <v>180.17</v>
      </c>
      <c r="G13">
        <v>130.46</v>
      </c>
      <c r="H13">
        <v>3.02</v>
      </c>
      <c r="I13">
        <v>673.46</v>
      </c>
      <c r="J13">
        <v>89.49</v>
      </c>
      <c r="K13">
        <v>241.69</v>
      </c>
      <c r="L13" t="s">
        <v>1</v>
      </c>
      <c r="M13" t="s">
        <v>27</v>
      </c>
    </row>
    <row r="14" spans="1:13" x14ac:dyDescent="0.45">
      <c r="A14" t="s">
        <v>0</v>
      </c>
      <c r="B14" t="s">
        <v>139</v>
      </c>
      <c r="C14">
        <v>2035</v>
      </c>
      <c r="D14">
        <v>58</v>
      </c>
      <c r="E14">
        <v>278.86</v>
      </c>
      <c r="F14">
        <v>243.45</v>
      </c>
      <c r="G14">
        <v>167.16</v>
      </c>
      <c r="H14">
        <v>9.51</v>
      </c>
      <c r="I14">
        <v>859.53</v>
      </c>
      <c r="J14">
        <v>142.94999999999999</v>
      </c>
      <c r="K14">
        <v>358.71</v>
      </c>
      <c r="L14" t="s">
        <v>1</v>
      </c>
      <c r="M14" t="s">
        <v>27</v>
      </c>
    </row>
    <row r="15" spans="1:13" x14ac:dyDescent="0.45">
      <c r="A15" t="s">
        <v>0</v>
      </c>
      <c r="B15" t="s">
        <v>139</v>
      </c>
      <c r="C15">
        <v>2040</v>
      </c>
      <c r="D15">
        <v>58</v>
      </c>
      <c r="E15">
        <v>397.63</v>
      </c>
      <c r="F15">
        <v>326.01</v>
      </c>
      <c r="G15">
        <v>215.59</v>
      </c>
      <c r="H15">
        <v>115.55</v>
      </c>
      <c r="I15">
        <v>1097.01</v>
      </c>
      <c r="J15">
        <v>239.53</v>
      </c>
      <c r="K15">
        <v>539.74</v>
      </c>
      <c r="L15" t="s">
        <v>1</v>
      </c>
      <c r="M15" t="s">
        <v>27</v>
      </c>
    </row>
    <row r="16" spans="1:13" x14ac:dyDescent="0.45">
      <c r="A16" t="s">
        <v>0</v>
      </c>
      <c r="B16" t="s">
        <v>139</v>
      </c>
      <c r="C16">
        <v>2045</v>
      </c>
      <c r="D16">
        <v>58</v>
      </c>
      <c r="E16">
        <v>527.26</v>
      </c>
      <c r="F16">
        <v>415.81</v>
      </c>
      <c r="G16">
        <v>250.01</v>
      </c>
      <c r="H16">
        <v>193.42</v>
      </c>
      <c r="I16">
        <v>1269.8800000000001</v>
      </c>
      <c r="J16">
        <v>353.85</v>
      </c>
      <c r="K16">
        <v>714.5</v>
      </c>
      <c r="L16" t="s">
        <v>1</v>
      </c>
      <c r="M16" t="s">
        <v>27</v>
      </c>
    </row>
    <row r="17" spans="1:13" x14ac:dyDescent="0.45">
      <c r="A17" t="s">
        <v>0</v>
      </c>
      <c r="B17" t="s">
        <v>139</v>
      </c>
      <c r="C17">
        <v>2050</v>
      </c>
      <c r="D17">
        <v>58</v>
      </c>
      <c r="E17">
        <v>649.79</v>
      </c>
      <c r="F17">
        <v>605.23</v>
      </c>
      <c r="G17">
        <v>268.91000000000003</v>
      </c>
      <c r="H17">
        <v>209.76</v>
      </c>
      <c r="I17">
        <v>1271.76</v>
      </c>
      <c r="J17">
        <v>451.31</v>
      </c>
      <c r="K17">
        <v>863.42</v>
      </c>
      <c r="L17" t="s">
        <v>1</v>
      </c>
      <c r="M17" t="s">
        <v>27</v>
      </c>
    </row>
    <row r="18" spans="1:13" x14ac:dyDescent="0.45">
      <c r="A18" t="s">
        <v>2</v>
      </c>
      <c r="B18" t="s">
        <v>139</v>
      </c>
      <c r="C18">
        <v>2020</v>
      </c>
      <c r="D18">
        <v>76</v>
      </c>
      <c r="E18">
        <v>1.95</v>
      </c>
      <c r="F18">
        <v>0</v>
      </c>
      <c r="G18">
        <v>3.61</v>
      </c>
      <c r="H18">
        <v>0</v>
      </c>
      <c r="I18">
        <v>15.58</v>
      </c>
      <c r="J18">
        <v>0</v>
      </c>
      <c r="K18">
        <v>0.55000000000000004</v>
      </c>
      <c r="L18" t="s">
        <v>3</v>
      </c>
      <c r="M18" t="s">
        <v>27</v>
      </c>
    </row>
    <row r="19" spans="1:13" x14ac:dyDescent="0.45">
      <c r="A19" t="s">
        <v>2</v>
      </c>
      <c r="B19" t="s">
        <v>139</v>
      </c>
      <c r="C19">
        <v>2025</v>
      </c>
      <c r="D19">
        <v>65</v>
      </c>
      <c r="E19">
        <v>42.95</v>
      </c>
      <c r="F19">
        <v>32.69</v>
      </c>
      <c r="G19">
        <v>45.96</v>
      </c>
      <c r="H19">
        <v>0</v>
      </c>
      <c r="I19">
        <v>174.97</v>
      </c>
      <c r="J19">
        <v>5.54</v>
      </c>
      <c r="K19">
        <v>61.39</v>
      </c>
      <c r="L19" t="s">
        <v>3</v>
      </c>
      <c r="M19" t="s">
        <v>27</v>
      </c>
    </row>
    <row r="20" spans="1:13" x14ac:dyDescent="0.45">
      <c r="A20" t="s">
        <v>2</v>
      </c>
      <c r="B20" t="s">
        <v>139</v>
      </c>
      <c r="C20">
        <v>2030</v>
      </c>
      <c r="D20">
        <v>76</v>
      </c>
      <c r="E20">
        <v>55.8</v>
      </c>
      <c r="F20">
        <v>49.85</v>
      </c>
      <c r="G20">
        <v>54.52</v>
      </c>
      <c r="H20">
        <v>0</v>
      </c>
      <c r="I20">
        <v>221.93</v>
      </c>
      <c r="J20">
        <v>10.8</v>
      </c>
      <c r="K20">
        <v>78.77</v>
      </c>
      <c r="L20" t="s">
        <v>3</v>
      </c>
      <c r="M20" t="s">
        <v>27</v>
      </c>
    </row>
    <row r="21" spans="1:13" x14ac:dyDescent="0.45">
      <c r="A21" t="s">
        <v>2</v>
      </c>
      <c r="B21" t="s">
        <v>139</v>
      </c>
      <c r="C21">
        <v>2035</v>
      </c>
      <c r="D21">
        <v>65</v>
      </c>
      <c r="E21">
        <v>217.07</v>
      </c>
      <c r="F21">
        <v>152.99</v>
      </c>
      <c r="G21">
        <v>316.2</v>
      </c>
      <c r="H21">
        <v>29.98</v>
      </c>
      <c r="I21">
        <v>2037.12</v>
      </c>
      <c r="J21">
        <v>95.06</v>
      </c>
      <c r="K21">
        <v>208.88</v>
      </c>
      <c r="L21" t="s">
        <v>3</v>
      </c>
      <c r="M21" t="s">
        <v>27</v>
      </c>
    </row>
    <row r="22" spans="1:13" x14ac:dyDescent="0.45">
      <c r="A22" t="s">
        <v>2</v>
      </c>
      <c r="B22" t="s">
        <v>139</v>
      </c>
      <c r="C22">
        <v>2040</v>
      </c>
      <c r="D22">
        <v>76</v>
      </c>
      <c r="E22">
        <v>257.11</v>
      </c>
      <c r="F22">
        <v>191.71</v>
      </c>
      <c r="G22">
        <v>381.8</v>
      </c>
      <c r="H22">
        <v>0</v>
      </c>
      <c r="I22">
        <v>2600</v>
      </c>
      <c r="J22">
        <v>106.05</v>
      </c>
      <c r="K22">
        <v>261.57</v>
      </c>
      <c r="L22" t="s">
        <v>3</v>
      </c>
      <c r="M22" t="s">
        <v>27</v>
      </c>
    </row>
    <row r="23" spans="1:13" x14ac:dyDescent="0.45">
      <c r="A23" t="s">
        <v>2</v>
      </c>
      <c r="B23" t="s">
        <v>139</v>
      </c>
      <c r="C23">
        <v>2045</v>
      </c>
      <c r="D23">
        <v>65</v>
      </c>
      <c r="E23">
        <v>303.95999999999998</v>
      </c>
      <c r="F23">
        <v>257.82</v>
      </c>
      <c r="G23">
        <v>200.99</v>
      </c>
      <c r="H23">
        <v>103.1</v>
      </c>
      <c r="I23">
        <v>1213.1199999999999</v>
      </c>
      <c r="J23">
        <v>161.66999999999999</v>
      </c>
      <c r="K23">
        <v>360.63</v>
      </c>
      <c r="L23" t="s">
        <v>3</v>
      </c>
      <c r="M23" t="s">
        <v>27</v>
      </c>
    </row>
    <row r="24" spans="1:13" x14ac:dyDescent="0.45">
      <c r="A24" t="s">
        <v>2</v>
      </c>
      <c r="B24" t="s">
        <v>139</v>
      </c>
      <c r="C24">
        <v>2050</v>
      </c>
      <c r="D24">
        <v>76</v>
      </c>
      <c r="E24">
        <v>312.97000000000003</v>
      </c>
      <c r="F24">
        <v>285.06</v>
      </c>
      <c r="G24">
        <v>179.85</v>
      </c>
      <c r="H24">
        <v>0</v>
      </c>
      <c r="I24">
        <v>729.74</v>
      </c>
      <c r="J24">
        <v>180.84</v>
      </c>
      <c r="K24">
        <v>426.08</v>
      </c>
      <c r="L24" t="s">
        <v>3</v>
      </c>
      <c r="M24" t="s">
        <v>27</v>
      </c>
    </row>
    <row r="25" spans="1:13" x14ac:dyDescent="0.45">
      <c r="A25" t="s">
        <v>5</v>
      </c>
      <c r="B25" t="s">
        <v>139</v>
      </c>
      <c r="C25">
        <v>2020</v>
      </c>
      <c r="D25">
        <v>180</v>
      </c>
      <c r="E25">
        <v>7.42</v>
      </c>
      <c r="F25">
        <v>0.14000000000000001</v>
      </c>
      <c r="G25">
        <v>14.79</v>
      </c>
      <c r="H25">
        <v>0</v>
      </c>
      <c r="I25">
        <v>134.31</v>
      </c>
      <c r="J25">
        <v>0</v>
      </c>
      <c r="K25">
        <v>8.31</v>
      </c>
      <c r="L25" t="s">
        <v>6</v>
      </c>
      <c r="M25" t="s">
        <v>27</v>
      </c>
    </row>
    <row r="26" spans="1:13" x14ac:dyDescent="0.45">
      <c r="A26" t="s">
        <v>5</v>
      </c>
      <c r="B26" t="s">
        <v>139</v>
      </c>
      <c r="C26">
        <v>2025</v>
      </c>
      <c r="D26">
        <v>157</v>
      </c>
      <c r="E26">
        <v>34.700000000000003</v>
      </c>
      <c r="F26">
        <v>32.700000000000003</v>
      </c>
      <c r="G26">
        <v>30.36</v>
      </c>
      <c r="H26">
        <v>0</v>
      </c>
      <c r="I26">
        <v>134.68</v>
      </c>
      <c r="J26">
        <v>8.92</v>
      </c>
      <c r="K26">
        <v>45.73</v>
      </c>
      <c r="L26" t="s">
        <v>6</v>
      </c>
      <c r="M26" t="s">
        <v>27</v>
      </c>
    </row>
    <row r="27" spans="1:13" x14ac:dyDescent="0.45">
      <c r="A27" t="s">
        <v>5</v>
      </c>
      <c r="B27" t="s">
        <v>139</v>
      </c>
      <c r="C27">
        <v>2030</v>
      </c>
      <c r="D27">
        <v>180</v>
      </c>
      <c r="E27">
        <v>47.05</v>
      </c>
      <c r="F27">
        <v>48.97</v>
      </c>
      <c r="G27">
        <v>42.47</v>
      </c>
      <c r="H27">
        <v>-17.399999999999999</v>
      </c>
      <c r="I27">
        <v>216.75</v>
      </c>
      <c r="J27">
        <v>12.04</v>
      </c>
      <c r="K27">
        <v>63.91</v>
      </c>
      <c r="L27" t="s">
        <v>6</v>
      </c>
      <c r="M27" t="s">
        <v>27</v>
      </c>
    </row>
    <row r="28" spans="1:13" x14ac:dyDescent="0.45">
      <c r="A28" t="s">
        <v>5</v>
      </c>
      <c r="B28" t="s">
        <v>139</v>
      </c>
      <c r="C28">
        <v>2035</v>
      </c>
      <c r="D28">
        <v>157</v>
      </c>
      <c r="E28">
        <v>108.65</v>
      </c>
      <c r="F28">
        <v>87.7</v>
      </c>
      <c r="G28">
        <v>88.7</v>
      </c>
      <c r="H28">
        <v>14.74</v>
      </c>
      <c r="I28">
        <v>960.63</v>
      </c>
      <c r="J28">
        <v>63.8</v>
      </c>
      <c r="K28">
        <v>133.35</v>
      </c>
      <c r="L28" t="s">
        <v>6</v>
      </c>
      <c r="M28" t="s">
        <v>27</v>
      </c>
    </row>
    <row r="29" spans="1:13" x14ac:dyDescent="0.45">
      <c r="A29" t="s">
        <v>5</v>
      </c>
      <c r="B29" t="s">
        <v>139</v>
      </c>
      <c r="C29">
        <v>2040</v>
      </c>
      <c r="D29">
        <v>180</v>
      </c>
      <c r="E29">
        <v>150.09</v>
      </c>
      <c r="F29">
        <v>122.55</v>
      </c>
      <c r="G29">
        <v>109.7</v>
      </c>
      <c r="H29">
        <v>46.02</v>
      </c>
      <c r="I29">
        <v>1226.04</v>
      </c>
      <c r="J29">
        <v>91.4</v>
      </c>
      <c r="K29">
        <v>178.52</v>
      </c>
      <c r="L29" t="s">
        <v>6</v>
      </c>
      <c r="M29" t="s">
        <v>27</v>
      </c>
    </row>
    <row r="30" spans="1:13" x14ac:dyDescent="0.45">
      <c r="A30" t="s">
        <v>5</v>
      </c>
      <c r="B30" t="s">
        <v>139</v>
      </c>
      <c r="C30">
        <v>2045</v>
      </c>
      <c r="D30">
        <v>157</v>
      </c>
      <c r="E30">
        <v>196.36</v>
      </c>
      <c r="F30">
        <v>179.54</v>
      </c>
      <c r="G30">
        <v>143.16</v>
      </c>
      <c r="H30">
        <v>45.55</v>
      </c>
      <c r="I30">
        <v>1564.8</v>
      </c>
      <c r="J30">
        <v>117.95</v>
      </c>
      <c r="K30">
        <v>229.77</v>
      </c>
      <c r="L30" t="s">
        <v>6</v>
      </c>
      <c r="M30" t="s">
        <v>27</v>
      </c>
    </row>
    <row r="31" spans="1:13" x14ac:dyDescent="0.45">
      <c r="A31" t="s">
        <v>5</v>
      </c>
      <c r="B31" t="s">
        <v>139</v>
      </c>
      <c r="C31">
        <v>2050</v>
      </c>
      <c r="D31">
        <v>180</v>
      </c>
      <c r="E31">
        <v>243.05</v>
      </c>
      <c r="F31">
        <v>211.71</v>
      </c>
      <c r="G31">
        <v>126.45</v>
      </c>
      <c r="H31">
        <v>50.01</v>
      </c>
      <c r="I31">
        <v>712.07</v>
      </c>
      <c r="J31">
        <v>145.79</v>
      </c>
      <c r="K31">
        <v>304.91000000000003</v>
      </c>
      <c r="L31" t="s">
        <v>6</v>
      </c>
      <c r="M31" t="s">
        <v>27</v>
      </c>
    </row>
    <row r="32" spans="1:13" x14ac:dyDescent="0.45">
      <c r="A32" t="s">
        <v>7</v>
      </c>
      <c r="B32" t="s">
        <v>139</v>
      </c>
      <c r="C32">
        <v>2020</v>
      </c>
      <c r="D32">
        <v>69</v>
      </c>
      <c r="E32">
        <v>1.9</v>
      </c>
      <c r="F32">
        <v>0</v>
      </c>
      <c r="G32">
        <v>3.89</v>
      </c>
      <c r="H32">
        <v>0</v>
      </c>
      <c r="I32">
        <v>14.43</v>
      </c>
      <c r="J32">
        <v>0</v>
      </c>
      <c r="K32">
        <v>0</v>
      </c>
      <c r="L32" t="s">
        <v>8</v>
      </c>
      <c r="M32" t="s">
        <v>27</v>
      </c>
    </row>
    <row r="33" spans="1:13" x14ac:dyDescent="0.45">
      <c r="A33" t="s">
        <v>7</v>
      </c>
      <c r="B33" t="s">
        <v>139</v>
      </c>
      <c r="C33">
        <v>2025</v>
      </c>
      <c r="D33">
        <v>63</v>
      </c>
      <c r="E33">
        <v>14.95</v>
      </c>
      <c r="F33">
        <v>14.57</v>
      </c>
      <c r="G33">
        <v>12.73</v>
      </c>
      <c r="H33">
        <v>0</v>
      </c>
      <c r="I33">
        <v>48.97</v>
      </c>
      <c r="J33">
        <v>4.6100000000000003</v>
      </c>
      <c r="K33">
        <v>22.63</v>
      </c>
      <c r="L33" t="s">
        <v>8</v>
      </c>
      <c r="M33" t="s">
        <v>27</v>
      </c>
    </row>
    <row r="34" spans="1:13" x14ac:dyDescent="0.45">
      <c r="A34" t="s">
        <v>7</v>
      </c>
      <c r="B34" t="s">
        <v>139</v>
      </c>
      <c r="C34">
        <v>2030</v>
      </c>
      <c r="D34">
        <v>69</v>
      </c>
      <c r="E34">
        <v>20.25</v>
      </c>
      <c r="F34">
        <v>12.04</v>
      </c>
      <c r="G34">
        <v>23.83</v>
      </c>
      <c r="H34">
        <v>-12.67</v>
      </c>
      <c r="I34">
        <v>82.5</v>
      </c>
      <c r="J34">
        <v>0</v>
      </c>
      <c r="K34">
        <v>36.35</v>
      </c>
      <c r="L34" t="s">
        <v>8</v>
      </c>
      <c r="M34" t="s">
        <v>27</v>
      </c>
    </row>
    <row r="35" spans="1:13" x14ac:dyDescent="0.45">
      <c r="A35" t="s">
        <v>7</v>
      </c>
      <c r="B35" t="s">
        <v>139</v>
      </c>
      <c r="C35">
        <v>2035</v>
      </c>
      <c r="D35">
        <v>63</v>
      </c>
      <c r="E35">
        <v>63.5</v>
      </c>
      <c r="F35">
        <v>55.56</v>
      </c>
      <c r="G35">
        <v>30.26</v>
      </c>
      <c r="H35">
        <v>22.96</v>
      </c>
      <c r="I35">
        <v>148.63999999999999</v>
      </c>
      <c r="J35">
        <v>41.37</v>
      </c>
      <c r="K35">
        <v>83.87</v>
      </c>
      <c r="L35" t="s">
        <v>8</v>
      </c>
      <c r="M35" t="s">
        <v>27</v>
      </c>
    </row>
    <row r="36" spans="1:13" x14ac:dyDescent="0.45">
      <c r="A36" t="s">
        <v>7</v>
      </c>
      <c r="B36" t="s">
        <v>139</v>
      </c>
      <c r="C36">
        <v>2040</v>
      </c>
      <c r="D36">
        <v>69</v>
      </c>
      <c r="E36">
        <v>89.03</v>
      </c>
      <c r="F36">
        <v>76.61</v>
      </c>
      <c r="G36">
        <v>45.3</v>
      </c>
      <c r="H36">
        <v>31.83</v>
      </c>
      <c r="I36">
        <v>281.18</v>
      </c>
      <c r="J36">
        <v>56.75</v>
      </c>
      <c r="K36">
        <v>115.41</v>
      </c>
      <c r="L36" t="s">
        <v>8</v>
      </c>
      <c r="M36" t="s">
        <v>27</v>
      </c>
    </row>
    <row r="37" spans="1:13" x14ac:dyDescent="0.45">
      <c r="A37" t="s">
        <v>7</v>
      </c>
      <c r="B37" t="s">
        <v>139</v>
      </c>
      <c r="C37">
        <v>2045</v>
      </c>
      <c r="D37">
        <v>63</v>
      </c>
      <c r="E37">
        <v>116.52</v>
      </c>
      <c r="F37">
        <v>96.24</v>
      </c>
      <c r="G37">
        <v>62.73</v>
      </c>
      <c r="H37">
        <v>42.44</v>
      </c>
      <c r="I37">
        <v>317.56</v>
      </c>
      <c r="J37">
        <v>72.08</v>
      </c>
      <c r="K37">
        <v>152.12</v>
      </c>
      <c r="L37" t="s">
        <v>8</v>
      </c>
      <c r="M37" t="s">
        <v>27</v>
      </c>
    </row>
    <row r="38" spans="1:13" x14ac:dyDescent="0.45">
      <c r="A38" t="s">
        <v>7</v>
      </c>
      <c r="B38" t="s">
        <v>139</v>
      </c>
      <c r="C38">
        <v>2050</v>
      </c>
      <c r="D38">
        <v>69</v>
      </c>
      <c r="E38">
        <v>135.74</v>
      </c>
      <c r="F38">
        <v>112.53</v>
      </c>
      <c r="G38">
        <v>68.22</v>
      </c>
      <c r="H38">
        <v>54.16</v>
      </c>
      <c r="I38">
        <v>374.88</v>
      </c>
      <c r="J38">
        <v>90.42</v>
      </c>
      <c r="K38">
        <v>161.76</v>
      </c>
      <c r="L38" t="s">
        <v>8</v>
      </c>
      <c r="M38" t="s">
        <v>27</v>
      </c>
    </row>
    <row r="39" spans="1:13" x14ac:dyDescent="0.45">
      <c r="A39" t="s">
        <v>9</v>
      </c>
      <c r="B39" t="s">
        <v>139</v>
      </c>
      <c r="C39">
        <v>2020</v>
      </c>
      <c r="D39">
        <v>57</v>
      </c>
      <c r="E39">
        <v>2.2200000000000002</v>
      </c>
      <c r="F39">
        <v>0</v>
      </c>
      <c r="G39">
        <v>4.43</v>
      </c>
      <c r="H39">
        <v>-0.02</v>
      </c>
      <c r="I39">
        <v>15.43</v>
      </c>
      <c r="J39">
        <v>0</v>
      </c>
      <c r="K39">
        <v>0.55000000000000004</v>
      </c>
      <c r="L39" t="s">
        <v>10</v>
      </c>
      <c r="M39" t="s">
        <v>27</v>
      </c>
    </row>
    <row r="40" spans="1:13" x14ac:dyDescent="0.45">
      <c r="A40" t="s">
        <v>9</v>
      </c>
      <c r="B40" t="s">
        <v>139</v>
      </c>
      <c r="C40">
        <v>2025</v>
      </c>
      <c r="D40">
        <v>52</v>
      </c>
      <c r="E40">
        <v>2.36</v>
      </c>
      <c r="F40">
        <v>0</v>
      </c>
      <c r="G40">
        <v>4.53</v>
      </c>
      <c r="H40">
        <v>0</v>
      </c>
      <c r="I40">
        <v>16.079999999999998</v>
      </c>
      <c r="J40">
        <v>0</v>
      </c>
      <c r="K40">
        <v>1.94</v>
      </c>
      <c r="L40" t="s">
        <v>10</v>
      </c>
      <c r="M40" t="s">
        <v>27</v>
      </c>
    </row>
    <row r="41" spans="1:13" x14ac:dyDescent="0.45">
      <c r="A41" t="s">
        <v>9</v>
      </c>
      <c r="B41" t="s">
        <v>139</v>
      </c>
      <c r="C41">
        <v>2030</v>
      </c>
      <c r="D41">
        <v>57</v>
      </c>
      <c r="E41">
        <v>1.1499999999999999</v>
      </c>
      <c r="F41">
        <v>0</v>
      </c>
      <c r="G41">
        <v>5.2</v>
      </c>
      <c r="H41">
        <v>-15.25</v>
      </c>
      <c r="I41">
        <v>13.77</v>
      </c>
      <c r="J41">
        <v>0</v>
      </c>
      <c r="K41">
        <v>1.25</v>
      </c>
      <c r="L41" t="s">
        <v>10</v>
      </c>
      <c r="M41" t="s">
        <v>27</v>
      </c>
    </row>
    <row r="42" spans="1:13" x14ac:dyDescent="0.45">
      <c r="A42" t="s">
        <v>9</v>
      </c>
      <c r="B42" t="s">
        <v>139</v>
      </c>
      <c r="C42">
        <v>2035</v>
      </c>
      <c r="D42">
        <v>52</v>
      </c>
      <c r="E42">
        <v>2.31</v>
      </c>
      <c r="F42">
        <v>0</v>
      </c>
      <c r="G42">
        <v>3.78</v>
      </c>
      <c r="H42">
        <v>0</v>
      </c>
      <c r="I42">
        <v>13.18</v>
      </c>
      <c r="J42">
        <v>0</v>
      </c>
      <c r="K42">
        <v>1.99</v>
      </c>
      <c r="L42" t="s">
        <v>10</v>
      </c>
      <c r="M42" t="s">
        <v>27</v>
      </c>
    </row>
    <row r="43" spans="1:13" x14ac:dyDescent="0.45">
      <c r="A43" t="s">
        <v>9</v>
      </c>
      <c r="B43" t="s">
        <v>139</v>
      </c>
      <c r="C43">
        <v>2040</v>
      </c>
      <c r="D43">
        <v>57</v>
      </c>
      <c r="E43">
        <v>2.2999999999999998</v>
      </c>
      <c r="F43">
        <v>0</v>
      </c>
      <c r="G43">
        <v>3.67</v>
      </c>
      <c r="H43">
        <v>-7.0000000000000007E-2</v>
      </c>
      <c r="I43">
        <v>12.65</v>
      </c>
      <c r="J43">
        <v>0</v>
      </c>
      <c r="K43">
        <v>2.46</v>
      </c>
      <c r="L43" t="s">
        <v>10</v>
      </c>
      <c r="M43" t="s">
        <v>27</v>
      </c>
    </row>
    <row r="44" spans="1:13" x14ac:dyDescent="0.45">
      <c r="A44" t="s">
        <v>9</v>
      </c>
      <c r="B44" t="s">
        <v>139</v>
      </c>
      <c r="C44">
        <v>2045</v>
      </c>
      <c r="D44">
        <v>52</v>
      </c>
      <c r="E44">
        <v>2.81</v>
      </c>
      <c r="F44">
        <v>0.4</v>
      </c>
      <c r="G44">
        <v>3.9</v>
      </c>
      <c r="H44">
        <v>0</v>
      </c>
      <c r="I44">
        <v>12.18</v>
      </c>
      <c r="J44">
        <v>0</v>
      </c>
      <c r="K44">
        <v>3.1</v>
      </c>
      <c r="L44" t="s">
        <v>10</v>
      </c>
      <c r="M44" t="s">
        <v>27</v>
      </c>
    </row>
    <row r="45" spans="1:13" x14ac:dyDescent="0.45">
      <c r="A45" t="s">
        <v>9</v>
      </c>
      <c r="B45" t="s">
        <v>139</v>
      </c>
      <c r="C45">
        <v>2050</v>
      </c>
      <c r="D45">
        <v>57</v>
      </c>
      <c r="E45">
        <v>2.84</v>
      </c>
      <c r="F45">
        <v>0</v>
      </c>
      <c r="G45">
        <v>4.0999999999999996</v>
      </c>
      <c r="H45">
        <v>-0.03</v>
      </c>
      <c r="I45">
        <v>12.76</v>
      </c>
      <c r="J45">
        <v>0</v>
      </c>
      <c r="K45">
        <v>3.68</v>
      </c>
      <c r="L45" t="s">
        <v>10</v>
      </c>
      <c r="M45" t="s">
        <v>27</v>
      </c>
    </row>
    <row r="46" spans="1:13" x14ac:dyDescent="0.45">
      <c r="A46" t="s">
        <v>0</v>
      </c>
      <c r="B46" t="s">
        <v>139</v>
      </c>
      <c r="C46">
        <v>2020</v>
      </c>
      <c r="D46">
        <v>62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139</v>
      </c>
      <c r="C47">
        <v>2025</v>
      </c>
      <c r="D47">
        <v>62</v>
      </c>
      <c r="E47">
        <v>1.35</v>
      </c>
      <c r="F47">
        <v>1.32</v>
      </c>
      <c r="G47">
        <v>0.28000000000000003</v>
      </c>
      <c r="H47">
        <v>0.84</v>
      </c>
      <c r="I47">
        <v>2.73</v>
      </c>
      <c r="J47">
        <v>1.18</v>
      </c>
      <c r="K47">
        <v>1.5</v>
      </c>
      <c r="L47" t="s">
        <v>1</v>
      </c>
      <c r="M47" t="s">
        <v>11</v>
      </c>
    </row>
    <row r="48" spans="1:13" x14ac:dyDescent="0.45">
      <c r="A48" t="s">
        <v>0</v>
      </c>
      <c r="B48" t="s">
        <v>139</v>
      </c>
      <c r="C48">
        <v>2030</v>
      </c>
      <c r="D48">
        <v>62</v>
      </c>
      <c r="E48">
        <v>1.98</v>
      </c>
      <c r="F48">
        <v>1.99</v>
      </c>
      <c r="G48">
        <v>0.56999999999999995</v>
      </c>
      <c r="H48">
        <v>0.83</v>
      </c>
      <c r="I48">
        <v>3.46</v>
      </c>
      <c r="J48">
        <v>1.61</v>
      </c>
      <c r="K48">
        <v>2.38</v>
      </c>
      <c r="L48" t="s">
        <v>1</v>
      </c>
      <c r="M48" t="s">
        <v>11</v>
      </c>
    </row>
    <row r="49" spans="1:13" x14ac:dyDescent="0.45">
      <c r="A49" t="s">
        <v>0</v>
      </c>
      <c r="B49" t="s">
        <v>139</v>
      </c>
      <c r="C49">
        <v>2035</v>
      </c>
      <c r="D49">
        <v>62</v>
      </c>
      <c r="E49">
        <v>3</v>
      </c>
      <c r="F49">
        <v>3.2</v>
      </c>
      <c r="G49">
        <v>0.99</v>
      </c>
      <c r="H49">
        <v>0.99</v>
      </c>
      <c r="I49">
        <v>4.9400000000000004</v>
      </c>
      <c r="J49">
        <v>2.4</v>
      </c>
      <c r="K49">
        <v>3.74</v>
      </c>
      <c r="L49" t="s">
        <v>1</v>
      </c>
      <c r="M49" t="s">
        <v>11</v>
      </c>
    </row>
    <row r="50" spans="1:13" x14ac:dyDescent="0.45">
      <c r="A50" t="s">
        <v>0</v>
      </c>
      <c r="B50" t="s">
        <v>139</v>
      </c>
      <c r="C50">
        <v>2040</v>
      </c>
      <c r="D50">
        <v>62</v>
      </c>
      <c r="E50">
        <v>4.45</v>
      </c>
      <c r="F50">
        <v>4.5599999999999996</v>
      </c>
      <c r="G50">
        <v>1.66</v>
      </c>
      <c r="H50">
        <v>1.35</v>
      </c>
      <c r="I50">
        <v>8.23</v>
      </c>
      <c r="J50">
        <v>3.29</v>
      </c>
      <c r="K50">
        <v>5.7</v>
      </c>
      <c r="L50" t="s">
        <v>1</v>
      </c>
      <c r="M50" t="s">
        <v>11</v>
      </c>
    </row>
    <row r="51" spans="1:13" x14ac:dyDescent="0.45">
      <c r="A51" t="s">
        <v>0</v>
      </c>
      <c r="B51" t="s">
        <v>139</v>
      </c>
      <c r="C51">
        <v>2045</v>
      </c>
      <c r="D51">
        <v>62</v>
      </c>
      <c r="E51">
        <v>6.47</v>
      </c>
      <c r="F51">
        <v>6.53</v>
      </c>
      <c r="G51">
        <v>2.66</v>
      </c>
      <c r="H51">
        <v>1.82</v>
      </c>
      <c r="I51">
        <v>12.68</v>
      </c>
      <c r="J51">
        <v>4.76</v>
      </c>
      <c r="K51">
        <v>8.67</v>
      </c>
      <c r="L51" t="s">
        <v>1</v>
      </c>
      <c r="M51" t="s">
        <v>11</v>
      </c>
    </row>
    <row r="52" spans="1:13" x14ac:dyDescent="0.45">
      <c r="A52" t="s">
        <v>0</v>
      </c>
      <c r="B52" t="s">
        <v>139</v>
      </c>
      <c r="C52">
        <v>2050</v>
      </c>
      <c r="D52">
        <v>62</v>
      </c>
      <c r="E52">
        <v>8.86</v>
      </c>
      <c r="F52">
        <v>8.2899999999999991</v>
      </c>
      <c r="G52">
        <v>3.89</v>
      </c>
      <c r="H52">
        <v>2.4300000000000002</v>
      </c>
      <c r="I52">
        <v>18.18</v>
      </c>
      <c r="J52">
        <v>6.3</v>
      </c>
      <c r="K52">
        <v>12.13</v>
      </c>
      <c r="L52" t="s">
        <v>1</v>
      </c>
      <c r="M52" t="s">
        <v>11</v>
      </c>
    </row>
    <row r="53" spans="1:13" x14ac:dyDescent="0.45">
      <c r="A53" t="s">
        <v>2</v>
      </c>
      <c r="B53" t="s">
        <v>139</v>
      </c>
      <c r="C53">
        <v>2020</v>
      </c>
      <c r="D53">
        <v>90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139</v>
      </c>
      <c r="C54">
        <v>2025</v>
      </c>
      <c r="D54">
        <v>79</v>
      </c>
      <c r="E54">
        <v>1.38</v>
      </c>
      <c r="F54">
        <v>1.3</v>
      </c>
      <c r="G54">
        <v>0.19</v>
      </c>
      <c r="H54">
        <v>1.1000000000000001</v>
      </c>
      <c r="I54">
        <v>1.71</v>
      </c>
      <c r="J54">
        <v>1.22</v>
      </c>
      <c r="K54">
        <v>1.55</v>
      </c>
      <c r="L54" t="s">
        <v>3</v>
      </c>
      <c r="M54" t="s">
        <v>11</v>
      </c>
    </row>
    <row r="55" spans="1:13" x14ac:dyDescent="0.45">
      <c r="A55" t="s">
        <v>2</v>
      </c>
      <c r="B55" t="s">
        <v>139</v>
      </c>
      <c r="C55">
        <v>2030</v>
      </c>
      <c r="D55">
        <v>90</v>
      </c>
      <c r="E55">
        <v>1.96</v>
      </c>
      <c r="F55">
        <v>1.78</v>
      </c>
      <c r="G55">
        <v>0.44</v>
      </c>
      <c r="H55">
        <v>1.21</v>
      </c>
      <c r="I55">
        <v>2.81</v>
      </c>
      <c r="J55">
        <v>1.62</v>
      </c>
      <c r="K55">
        <v>2.42</v>
      </c>
      <c r="L55" t="s">
        <v>3</v>
      </c>
      <c r="M55" t="s">
        <v>11</v>
      </c>
    </row>
    <row r="56" spans="1:13" x14ac:dyDescent="0.45">
      <c r="A56" t="s">
        <v>2</v>
      </c>
      <c r="B56" t="s">
        <v>139</v>
      </c>
      <c r="C56">
        <v>2035</v>
      </c>
      <c r="D56">
        <v>79</v>
      </c>
      <c r="E56">
        <v>2.78</v>
      </c>
      <c r="F56">
        <v>2.4700000000000002</v>
      </c>
      <c r="G56">
        <v>0.82</v>
      </c>
      <c r="H56">
        <v>1.33</v>
      </c>
      <c r="I56">
        <v>4.38</v>
      </c>
      <c r="J56">
        <v>2.16</v>
      </c>
      <c r="K56">
        <v>3.53</v>
      </c>
      <c r="L56" t="s">
        <v>3</v>
      </c>
      <c r="M56" t="s">
        <v>11</v>
      </c>
    </row>
    <row r="57" spans="1:13" x14ac:dyDescent="0.45">
      <c r="A57" t="s">
        <v>2</v>
      </c>
      <c r="B57" t="s">
        <v>139</v>
      </c>
      <c r="C57">
        <v>2040</v>
      </c>
      <c r="D57">
        <v>90</v>
      </c>
      <c r="E57">
        <v>3.97</v>
      </c>
      <c r="F57">
        <v>3.46</v>
      </c>
      <c r="G57">
        <v>1.37</v>
      </c>
      <c r="H57">
        <v>1.54</v>
      </c>
      <c r="I57">
        <v>6.38</v>
      </c>
      <c r="J57">
        <v>3.05</v>
      </c>
      <c r="K57">
        <v>5.44</v>
      </c>
      <c r="L57" t="s">
        <v>3</v>
      </c>
      <c r="M57" t="s">
        <v>11</v>
      </c>
    </row>
    <row r="58" spans="1:13" x14ac:dyDescent="0.45">
      <c r="A58" t="s">
        <v>2</v>
      </c>
      <c r="B58" t="s">
        <v>139</v>
      </c>
      <c r="C58">
        <v>2045</v>
      </c>
      <c r="D58">
        <v>79</v>
      </c>
      <c r="E58">
        <v>5.97</v>
      </c>
      <c r="F58">
        <v>4.96</v>
      </c>
      <c r="G58">
        <v>2.42</v>
      </c>
      <c r="H58">
        <v>2.0699999999999998</v>
      </c>
      <c r="I58">
        <v>10.039999999999999</v>
      </c>
      <c r="J58">
        <v>4.13</v>
      </c>
      <c r="K58">
        <v>8.59</v>
      </c>
      <c r="L58" t="s">
        <v>3</v>
      </c>
      <c r="M58" t="s">
        <v>11</v>
      </c>
    </row>
    <row r="59" spans="1:13" x14ac:dyDescent="0.45">
      <c r="A59" t="s">
        <v>2</v>
      </c>
      <c r="B59" t="s">
        <v>139</v>
      </c>
      <c r="C59">
        <v>2050</v>
      </c>
      <c r="D59">
        <v>90</v>
      </c>
      <c r="E59">
        <v>8.2100000000000009</v>
      </c>
      <c r="F59">
        <v>6.61</v>
      </c>
      <c r="G59">
        <v>3.57</v>
      </c>
      <c r="H59">
        <v>2.62</v>
      </c>
      <c r="I59">
        <v>15.13</v>
      </c>
      <c r="J59">
        <v>5.72</v>
      </c>
      <c r="K59">
        <v>12.01</v>
      </c>
      <c r="L59" t="s">
        <v>3</v>
      </c>
      <c r="M59" t="s">
        <v>11</v>
      </c>
    </row>
    <row r="60" spans="1:13" x14ac:dyDescent="0.45">
      <c r="A60" t="s">
        <v>5</v>
      </c>
      <c r="B60" t="s">
        <v>139</v>
      </c>
      <c r="C60">
        <v>2020</v>
      </c>
      <c r="D60">
        <v>221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139</v>
      </c>
      <c r="C61">
        <v>2025</v>
      </c>
      <c r="D61">
        <v>198</v>
      </c>
      <c r="E61">
        <v>1.33</v>
      </c>
      <c r="F61">
        <v>1.27</v>
      </c>
      <c r="G61">
        <v>0.23</v>
      </c>
      <c r="H61">
        <v>0.85</v>
      </c>
      <c r="I61">
        <v>3.03</v>
      </c>
      <c r="J61">
        <v>1.2</v>
      </c>
      <c r="K61">
        <v>1.53</v>
      </c>
      <c r="L61" t="s">
        <v>6</v>
      </c>
      <c r="M61" t="s">
        <v>11</v>
      </c>
    </row>
    <row r="62" spans="1:13" x14ac:dyDescent="0.45">
      <c r="A62" t="s">
        <v>5</v>
      </c>
      <c r="B62" t="s">
        <v>139</v>
      </c>
      <c r="C62">
        <v>2030</v>
      </c>
      <c r="D62">
        <v>221</v>
      </c>
      <c r="E62">
        <v>1.81</v>
      </c>
      <c r="F62">
        <v>1.68</v>
      </c>
      <c r="G62">
        <v>0.52</v>
      </c>
      <c r="H62">
        <v>0.84</v>
      </c>
      <c r="I62">
        <v>4.38</v>
      </c>
      <c r="J62">
        <v>1.55</v>
      </c>
      <c r="K62">
        <v>2.42</v>
      </c>
      <c r="L62" t="s">
        <v>6</v>
      </c>
      <c r="M62" t="s">
        <v>11</v>
      </c>
    </row>
    <row r="63" spans="1:13" x14ac:dyDescent="0.45">
      <c r="A63" t="s">
        <v>5</v>
      </c>
      <c r="B63" t="s">
        <v>139</v>
      </c>
      <c r="C63">
        <v>2035</v>
      </c>
      <c r="D63">
        <v>198</v>
      </c>
      <c r="E63">
        <v>2.56</v>
      </c>
      <c r="F63">
        <v>2.2599999999999998</v>
      </c>
      <c r="G63">
        <v>0.92</v>
      </c>
      <c r="H63">
        <v>1.07</v>
      </c>
      <c r="I63">
        <v>5.6</v>
      </c>
      <c r="J63">
        <v>1.8</v>
      </c>
      <c r="K63">
        <v>3.46</v>
      </c>
      <c r="L63" t="s">
        <v>6</v>
      </c>
      <c r="M63" t="s">
        <v>11</v>
      </c>
    </row>
    <row r="64" spans="1:13" x14ac:dyDescent="0.45">
      <c r="A64" t="s">
        <v>5</v>
      </c>
      <c r="B64" t="s">
        <v>139</v>
      </c>
      <c r="C64">
        <v>2040</v>
      </c>
      <c r="D64">
        <v>221</v>
      </c>
      <c r="E64">
        <v>3.46</v>
      </c>
      <c r="F64">
        <v>2.92</v>
      </c>
      <c r="G64">
        <v>1.4</v>
      </c>
      <c r="H64">
        <v>1.4</v>
      </c>
      <c r="I64">
        <v>6.62</v>
      </c>
      <c r="J64">
        <v>2.4</v>
      </c>
      <c r="K64">
        <v>4.99</v>
      </c>
      <c r="L64" t="s">
        <v>6</v>
      </c>
      <c r="M64" t="s">
        <v>11</v>
      </c>
    </row>
    <row r="65" spans="1:13" x14ac:dyDescent="0.45">
      <c r="A65" t="s">
        <v>5</v>
      </c>
      <c r="B65" t="s">
        <v>139</v>
      </c>
      <c r="C65">
        <v>2045</v>
      </c>
      <c r="D65">
        <v>198</v>
      </c>
      <c r="E65">
        <v>5.0199999999999996</v>
      </c>
      <c r="F65">
        <v>4.4800000000000004</v>
      </c>
      <c r="G65">
        <v>2.2000000000000002</v>
      </c>
      <c r="H65">
        <v>1.74</v>
      </c>
      <c r="I65">
        <v>9.85</v>
      </c>
      <c r="J65">
        <v>2.88</v>
      </c>
      <c r="K65">
        <v>7.22</v>
      </c>
      <c r="L65" t="s">
        <v>6</v>
      </c>
      <c r="M65" t="s">
        <v>11</v>
      </c>
    </row>
    <row r="66" spans="1:13" x14ac:dyDescent="0.45">
      <c r="A66" t="s">
        <v>5</v>
      </c>
      <c r="B66" t="s">
        <v>139</v>
      </c>
      <c r="C66">
        <v>2050</v>
      </c>
      <c r="D66">
        <v>221</v>
      </c>
      <c r="E66">
        <v>6.66</v>
      </c>
      <c r="F66">
        <v>6.01</v>
      </c>
      <c r="G66">
        <v>3.09</v>
      </c>
      <c r="H66">
        <v>2.17</v>
      </c>
      <c r="I66">
        <v>13.48</v>
      </c>
      <c r="J66">
        <v>4.18</v>
      </c>
      <c r="K66">
        <v>9.92</v>
      </c>
      <c r="L66" t="s">
        <v>6</v>
      </c>
      <c r="M66" t="s">
        <v>11</v>
      </c>
    </row>
    <row r="67" spans="1:13" x14ac:dyDescent="0.45">
      <c r="A67" t="s">
        <v>7</v>
      </c>
      <c r="B67" t="s">
        <v>139</v>
      </c>
      <c r="C67">
        <v>2020</v>
      </c>
      <c r="D67">
        <v>79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139</v>
      </c>
      <c r="C68">
        <v>2025</v>
      </c>
      <c r="D68">
        <v>73</v>
      </c>
      <c r="E68">
        <v>1.23</v>
      </c>
      <c r="F68">
        <v>1.26</v>
      </c>
      <c r="G68">
        <v>0.1</v>
      </c>
      <c r="H68">
        <v>0.96</v>
      </c>
      <c r="I68">
        <v>1.4</v>
      </c>
      <c r="J68">
        <v>1.2</v>
      </c>
      <c r="K68">
        <v>1.28</v>
      </c>
      <c r="L68" t="s">
        <v>8</v>
      </c>
      <c r="M68" t="s">
        <v>11</v>
      </c>
    </row>
    <row r="69" spans="1:13" x14ac:dyDescent="0.45">
      <c r="A69" t="s">
        <v>7</v>
      </c>
      <c r="B69" t="s">
        <v>139</v>
      </c>
      <c r="C69">
        <v>2030</v>
      </c>
      <c r="D69">
        <v>79</v>
      </c>
      <c r="E69">
        <v>1.44</v>
      </c>
      <c r="F69">
        <v>1.51</v>
      </c>
      <c r="G69">
        <v>0.23</v>
      </c>
      <c r="H69">
        <v>0.84</v>
      </c>
      <c r="I69">
        <v>1.72</v>
      </c>
      <c r="J69">
        <v>1.22</v>
      </c>
      <c r="K69">
        <v>1.61</v>
      </c>
      <c r="L69" t="s">
        <v>8</v>
      </c>
      <c r="M69" t="s">
        <v>11</v>
      </c>
    </row>
    <row r="70" spans="1:13" x14ac:dyDescent="0.45">
      <c r="A70" t="s">
        <v>7</v>
      </c>
      <c r="B70" t="s">
        <v>139</v>
      </c>
      <c r="C70">
        <v>2035</v>
      </c>
      <c r="D70">
        <v>73</v>
      </c>
      <c r="E70">
        <v>1.76</v>
      </c>
      <c r="F70">
        <v>1.82</v>
      </c>
      <c r="G70">
        <v>0.34</v>
      </c>
      <c r="H70">
        <v>0.93</v>
      </c>
      <c r="I70">
        <v>2.21</v>
      </c>
      <c r="J70">
        <v>1.33</v>
      </c>
      <c r="K70">
        <v>2.04</v>
      </c>
      <c r="L70" t="s">
        <v>8</v>
      </c>
      <c r="M70" t="s">
        <v>11</v>
      </c>
    </row>
    <row r="71" spans="1:13" x14ac:dyDescent="0.45">
      <c r="A71" t="s">
        <v>7</v>
      </c>
      <c r="B71" t="s">
        <v>139</v>
      </c>
      <c r="C71">
        <v>2040</v>
      </c>
      <c r="D71">
        <v>79</v>
      </c>
      <c r="E71">
        <v>2.17</v>
      </c>
      <c r="F71">
        <v>2.19</v>
      </c>
      <c r="G71">
        <v>0.48</v>
      </c>
      <c r="H71">
        <v>1.1499999999999999</v>
      </c>
      <c r="I71">
        <v>2.89</v>
      </c>
      <c r="J71">
        <v>1.63</v>
      </c>
      <c r="K71">
        <v>2.66</v>
      </c>
      <c r="L71" t="s">
        <v>8</v>
      </c>
      <c r="M71" t="s">
        <v>11</v>
      </c>
    </row>
    <row r="72" spans="1:13" x14ac:dyDescent="0.45">
      <c r="A72" t="s">
        <v>7</v>
      </c>
      <c r="B72" t="s">
        <v>139</v>
      </c>
      <c r="C72">
        <v>2045</v>
      </c>
      <c r="D72">
        <v>73</v>
      </c>
      <c r="E72">
        <v>2.84</v>
      </c>
      <c r="F72">
        <v>2.59</v>
      </c>
      <c r="G72">
        <v>0.87</v>
      </c>
      <c r="H72">
        <v>1.33</v>
      </c>
      <c r="I72">
        <v>4.1399999999999997</v>
      </c>
      <c r="J72">
        <v>2</v>
      </c>
      <c r="K72">
        <v>3.81</v>
      </c>
      <c r="L72" t="s">
        <v>8</v>
      </c>
      <c r="M72" t="s">
        <v>11</v>
      </c>
    </row>
    <row r="73" spans="1:13" x14ac:dyDescent="0.45">
      <c r="A73" t="s">
        <v>7</v>
      </c>
      <c r="B73" t="s">
        <v>139</v>
      </c>
      <c r="C73">
        <v>2050</v>
      </c>
      <c r="D73">
        <v>79</v>
      </c>
      <c r="E73">
        <v>3.71</v>
      </c>
      <c r="F73">
        <v>3.32</v>
      </c>
      <c r="G73">
        <v>1.24</v>
      </c>
      <c r="H73">
        <v>1.88</v>
      </c>
      <c r="I73">
        <v>5.64</v>
      </c>
      <c r="J73">
        <v>2.58</v>
      </c>
      <c r="K73">
        <v>5.09</v>
      </c>
      <c r="L73" t="s">
        <v>8</v>
      </c>
      <c r="M73" t="s">
        <v>11</v>
      </c>
    </row>
    <row r="74" spans="1:13" x14ac:dyDescent="0.45">
      <c r="A74" t="s">
        <v>9</v>
      </c>
      <c r="B74" t="s">
        <v>139</v>
      </c>
      <c r="C74">
        <v>2020</v>
      </c>
      <c r="D74">
        <v>59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139</v>
      </c>
      <c r="C75">
        <v>2025</v>
      </c>
      <c r="D75">
        <v>54</v>
      </c>
      <c r="E75">
        <v>1.44</v>
      </c>
      <c r="F75">
        <v>1.41</v>
      </c>
      <c r="G75">
        <v>0.19</v>
      </c>
      <c r="H75">
        <v>0.98</v>
      </c>
      <c r="I75">
        <v>1.71</v>
      </c>
      <c r="J75">
        <v>1.28</v>
      </c>
      <c r="K75">
        <v>1.61</v>
      </c>
      <c r="L75" t="s">
        <v>10</v>
      </c>
      <c r="M75" t="s">
        <v>11</v>
      </c>
    </row>
    <row r="76" spans="1:13" x14ac:dyDescent="0.45">
      <c r="A76" t="s">
        <v>9</v>
      </c>
      <c r="B76" t="s">
        <v>139</v>
      </c>
      <c r="C76">
        <v>2030</v>
      </c>
      <c r="D76">
        <v>59</v>
      </c>
      <c r="E76">
        <v>2.0299999999999998</v>
      </c>
      <c r="F76">
        <v>1.8</v>
      </c>
      <c r="G76">
        <v>0.47</v>
      </c>
      <c r="H76">
        <v>1.02</v>
      </c>
      <c r="I76">
        <v>2.81</v>
      </c>
      <c r="J76">
        <v>1.64</v>
      </c>
      <c r="K76">
        <v>2.4700000000000002</v>
      </c>
      <c r="L76" t="s">
        <v>10</v>
      </c>
      <c r="M76" t="s">
        <v>11</v>
      </c>
    </row>
    <row r="77" spans="1:13" x14ac:dyDescent="0.45">
      <c r="A77" t="s">
        <v>9</v>
      </c>
      <c r="B77" t="s">
        <v>139</v>
      </c>
      <c r="C77">
        <v>2035</v>
      </c>
      <c r="D77">
        <v>54</v>
      </c>
      <c r="E77">
        <v>2.83</v>
      </c>
      <c r="F77">
        <v>2.75</v>
      </c>
      <c r="G77">
        <v>0.81</v>
      </c>
      <c r="H77">
        <v>1.06</v>
      </c>
      <c r="I77">
        <v>4.41</v>
      </c>
      <c r="J77">
        <v>2.13</v>
      </c>
      <c r="K77">
        <v>3.4</v>
      </c>
      <c r="L77" t="s">
        <v>10</v>
      </c>
      <c r="M77" t="s">
        <v>11</v>
      </c>
    </row>
    <row r="78" spans="1:13" x14ac:dyDescent="0.45">
      <c r="A78" t="s">
        <v>9</v>
      </c>
      <c r="B78" t="s">
        <v>139</v>
      </c>
      <c r="C78">
        <v>2040</v>
      </c>
      <c r="D78">
        <v>59</v>
      </c>
      <c r="E78">
        <v>3.65</v>
      </c>
      <c r="F78">
        <v>3.36</v>
      </c>
      <c r="G78">
        <v>1.26</v>
      </c>
      <c r="H78">
        <v>1.1100000000000001</v>
      </c>
      <c r="I78">
        <v>6.51</v>
      </c>
      <c r="J78">
        <v>2.59</v>
      </c>
      <c r="K78">
        <v>4.49</v>
      </c>
      <c r="L78" t="s">
        <v>10</v>
      </c>
      <c r="M78" t="s">
        <v>11</v>
      </c>
    </row>
    <row r="79" spans="1:13" x14ac:dyDescent="0.45">
      <c r="A79" t="s">
        <v>9</v>
      </c>
      <c r="B79" t="s">
        <v>139</v>
      </c>
      <c r="C79">
        <v>2045</v>
      </c>
      <c r="D79">
        <v>54</v>
      </c>
      <c r="E79">
        <v>4.95</v>
      </c>
      <c r="F79">
        <v>5.12</v>
      </c>
      <c r="G79">
        <v>1.81</v>
      </c>
      <c r="H79">
        <v>1.17</v>
      </c>
      <c r="I79">
        <v>9.23</v>
      </c>
      <c r="J79">
        <v>3.58</v>
      </c>
      <c r="K79">
        <v>5.89</v>
      </c>
      <c r="L79" t="s">
        <v>10</v>
      </c>
      <c r="M79" t="s">
        <v>11</v>
      </c>
    </row>
    <row r="80" spans="1:13" x14ac:dyDescent="0.45">
      <c r="A80" t="s">
        <v>9</v>
      </c>
      <c r="B80" t="s">
        <v>139</v>
      </c>
      <c r="C80">
        <v>2050</v>
      </c>
      <c r="D80">
        <v>59</v>
      </c>
      <c r="E80">
        <v>6.18</v>
      </c>
      <c r="F80">
        <v>5.69</v>
      </c>
      <c r="G80">
        <v>2.5499999999999998</v>
      </c>
      <c r="H80">
        <v>1.25</v>
      </c>
      <c r="I80">
        <v>12.97</v>
      </c>
      <c r="J80">
        <v>4.2300000000000004</v>
      </c>
      <c r="K80">
        <v>7.5</v>
      </c>
      <c r="L80" t="s">
        <v>10</v>
      </c>
      <c r="M80" t="s">
        <v>11</v>
      </c>
    </row>
    <row r="81" spans="1:13" x14ac:dyDescent="0.45">
      <c r="A81" t="s">
        <v>0</v>
      </c>
      <c r="B81" t="s">
        <v>139</v>
      </c>
      <c r="C81">
        <v>2020</v>
      </c>
      <c r="D81">
        <v>62</v>
      </c>
      <c r="E81">
        <v>0.01</v>
      </c>
      <c r="F81">
        <v>0</v>
      </c>
      <c r="G81">
        <v>0.01</v>
      </c>
      <c r="H81">
        <v>0</v>
      </c>
      <c r="I81">
        <v>0.01</v>
      </c>
      <c r="J81">
        <v>0</v>
      </c>
      <c r="K81">
        <v>0.01</v>
      </c>
      <c r="L81" t="s">
        <v>1</v>
      </c>
      <c r="M81" t="s">
        <v>15</v>
      </c>
    </row>
    <row r="82" spans="1:13" x14ac:dyDescent="0.45">
      <c r="A82" t="s">
        <v>0</v>
      </c>
      <c r="B82" t="s">
        <v>139</v>
      </c>
      <c r="C82">
        <v>2025</v>
      </c>
      <c r="D82">
        <v>62</v>
      </c>
      <c r="E82">
        <v>0.01</v>
      </c>
      <c r="F82">
        <v>0.01</v>
      </c>
      <c r="G82">
        <v>0.01</v>
      </c>
      <c r="H82">
        <v>0</v>
      </c>
      <c r="I82">
        <v>0.02</v>
      </c>
      <c r="J82">
        <v>0</v>
      </c>
      <c r="K82">
        <v>0.01</v>
      </c>
      <c r="L82" t="s">
        <v>1</v>
      </c>
      <c r="M82" t="s">
        <v>15</v>
      </c>
    </row>
    <row r="83" spans="1:13" x14ac:dyDescent="0.45">
      <c r="A83" t="s">
        <v>0</v>
      </c>
      <c r="B83" t="s">
        <v>139</v>
      </c>
      <c r="C83">
        <v>2030</v>
      </c>
      <c r="D83">
        <v>62</v>
      </c>
      <c r="E83">
        <v>0.01</v>
      </c>
      <c r="F83">
        <v>0.01</v>
      </c>
      <c r="G83">
        <v>0.01</v>
      </c>
      <c r="H83">
        <v>0</v>
      </c>
      <c r="I83">
        <v>7.0000000000000007E-2</v>
      </c>
      <c r="J83">
        <v>0</v>
      </c>
      <c r="K83">
        <v>0.01</v>
      </c>
      <c r="L83" t="s">
        <v>1</v>
      </c>
      <c r="M83" t="s">
        <v>15</v>
      </c>
    </row>
    <row r="84" spans="1:13" x14ac:dyDescent="0.45">
      <c r="A84" t="s">
        <v>0</v>
      </c>
      <c r="B84" t="s">
        <v>139</v>
      </c>
      <c r="C84">
        <v>2035</v>
      </c>
      <c r="D84">
        <v>62</v>
      </c>
      <c r="E84">
        <v>0.02</v>
      </c>
      <c r="F84">
        <v>0.01</v>
      </c>
      <c r="G84">
        <v>0.03</v>
      </c>
      <c r="H84">
        <v>0</v>
      </c>
      <c r="I84">
        <v>0.15</v>
      </c>
      <c r="J84">
        <v>0.01</v>
      </c>
      <c r="K84">
        <v>0.02</v>
      </c>
      <c r="L84" t="s">
        <v>1</v>
      </c>
      <c r="M84" t="s">
        <v>15</v>
      </c>
    </row>
    <row r="85" spans="1:13" x14ac:dyDescent="0.45">
      <c r="A85" t="s">
        <v>0</v>
      </c>
      <c r="B85" t="s">
        <v>139</v>
      </c>
      <c r="C85">
        <v>2040</v>
      </c>
      <c r="D85">
        <v>62</v>
      </c>
      <c r="E85">
        <v>0.04</v>
      </c>
      <c r="F85">
        <v>0.03</v>
      </c>
      <c r="G85">
        <v>0.03</v>
      </c>
      <c r="H85">
        <v>0</v>
      </c>
      <c r="I85">
        <v>0.15</v>
      </c>
      <c r="J85">
        <v>0.02</v>
      </c>
      <c r="K85">
        <v>0.04</v>
      </c>
      <c r="L85" t="s">
        <v>1</v>
      </c>
      <c r="M85" t="s">
        <v>15</v>
      </c>
    </row>
    <row r="86" spans="1:13" x14ac:dyDescent="0.45">
      <c r="A86" t="s">
        <v>0</v>
      </c>
      <c r="B86" t="s">
        <v>139</v>
      </c>
      <c r="C86">
        <v>2045</v>
      </c>
      <c r="D86">
        <v>62</v>
      </c>
      <c r="E86">
        <v>0.05</v>
      </c>
      <c r="F86">
        <v>0.04</v>
      </c>
      <c r="G86">
        <v>0.03</v>
      </c>
      <c r="H86">
        <v>0</v>
      </c>
      <c r="I86">
        <v>0.16</v>
      </c>
      <c r="J86">
        <v>0.03</v>
      </c>
      <c r="K86">
        <v>0.06</v>
      </c>
      <c r="L86" t="s">
        <v>1</v>
      </c>
      <c r="M86" t="s">
        <v>15</v>
      </c>
    </row>
    <row r="87" spans="1:13" x14ac:dyDescent="0.45">
      <c r="A87" t="s">
        <v>0</v>
      </c>
      <c r="B87" t="s">
        <v>139</v>
      </c>
      <c r="C87">
        <v>2050</v>
      </c>
      <c r="D87">
        <v>62</v>
      </c>
      <c r="E87">
        <v>0.06</v>
      </c>
      <c r="F87">
        <v>0.06</v>
      </c>
      <c r="G87">
        <v>0.03</v>
      </c>
      <c r="H87">
        <v>0</v>
      </c>
      <c r="I87">
        <v>0.15</v>
      </c>
      <c r="J87">
        <v>0.04</v>
      </c>
      <c r="K87">
        <v>7.0000000000000007E-2</v>
      </c>
      <c r="L87" t="s">
        <v>1</v>
      </c>
      <c r="M87" t="s">
        <v>15</v>
      </c>
    </row>
    <row r="88" spans="1:13" x14ac:dyDescent="0.45">
      <c r="A88" t="s">
        <v>2</v>
      </c>
      <c r="B88" t="s">
        <v>139</v>
      </c>
      <c r="C88">
        <v>2020</v>
      </c>
      <c r="D88">
        <v>90</v>
      </c>
      <c r="E88">
        <v>0.01</v>
      </c>
      <c r="F88">
        <v>0</v>
      </c>
      <c r="G88">
        <v>0.01</v>
      </c>
      <c r="H88">
        <v>0</v>
      </c>
      <c r="I88">
        <v>0.01</v>
      </c>
      <c r="J88">
        <v>0</v>
      </c>
      <c r="K88">
        <v>0.01</v>
      </c>
      <c r="L88" t="s">
        <v>3</v>
      </c>
      <c r="M88" t="s">
        <v>15</v>
      </c>
    </row>
    <row r="89" spans="1:13" x14ac:dyDescent="0.45">
      <c r="A89" t="s">
        <v>2</v>
      </c>
      <c r="B89" t="s">
        <v>139</v>
      </c>
      <c r="C89">
        <v>2025</v>
      </c>
      <c r="D89">
        <v>79</v>
      </c>
      <c r="E89">
        <v>0</v>
      </c>
      <c r="F89">
        <v>0</v>
      </c>
      <c r="G89">
        <v>0</v>
      </c>
      <c r="H89">
        <v>0</v>
      </c>
      <c r="I89">
        <v>0.01</v>
      </c>
      <c r="J89">
        <v>0</v>
      </c>
      <c r="K89">
        <v>0.01</v>
      </c>
      <c r="L89" t="s">
        <v>3</v>
      </c>
      <c r="M89" t="s">
        <v>15</v>
      </c>
    </row>
    <row r="90" spans="1:13" x14ac:dyDescent="0.45">
      <c r="A90" t="s">
        <v>2</v>
      </c>
      <c r="B90" t="s">
        <v>139</v>
      </c>
      <c r="C90">
        <v>2030</v>
      </c>
      <c r="D90">
        <v>90</v>
      </c>
      <c r="E90">
        <v>0.01</v>
      </c>
      <c r="F90">
        <v>0</v>
      </c>
      <c r="G90">
        <v>0.01</v>
      </c>
      <c r="H90">
        <v>0</v>
      </c>
      <c r="I90">
        <v>0.02</v>
      </c>
      <c r="J90">
        <v>0</v>
      </c>
      <c r="K90">
        <v>0.01</v>
      </c>
      <c r="L90" t="s">
        <v>3</v>
      </c>
      <c r="M90" t="s">
        <v>15</v>
      </c>
    </row>
    <row r="91" spans="1:13" x14ac:dyDescent="0.45">
      <c r="A91" t="s">
        <v>2</v>
      </c>
      <c r="B91" t="s">
        <v>139</v>
      </c>
      <c r="C91">
        <v>2035</v>
      </c>
      <c r="D91">
        <v>79</v>
      </c>
      <c r="E91">
        <v>0.01</v>
      </c>
      <c r="F91">
        <v>0.01</v>
      </c>
      <c r="G91">
        <v>0.02</v>
      </c>
      <c r="H91">
        <v>0</v>
      </c>
      <c r="I91">
        <v>0.09</v>
      </c>
      <c r="J91">
        <v>0</v>
      </c>
      <c r="K91">
        <v>0.02</v>
      </c>
      <c r="L91" t="s">
        <v>3</v>
      </c>
      <c r="M91" t="s">
        <v>15</v>
      </c>
    </row>
    <row r="92" spans="1:13" x14ac:dyDescent="0.45">
      <c r="A92" t="s">
        <v>2</v>
      </c>
      <c r="B92" t="s">
        <v>139</v>
      </c>
      <c r="C92">
        <v>2040</v>
      </c>
      <c r="D92">
        <v>90</v>
      </c>
      <c r="E92">
        <v>0.03</v>
      </c>
      <c r="F92">
        <v>0.03</v>
      </c>
      <c r="G92">
        <v>0.03</v>
      </c>
      <c r="H92">
        <v>0</v>
      </c>
      <c r="I92">
        <v>0.11</v>
      </c>
      <c r="J92">
        <v>0.02</v>
      </c>
      <c r="K92">
        <v>0.04</v>
      </c>
      <c r="L92" t="s">
        <v>3</v>
      </c>
      <c r="M92" t="s">
        <v>15</v>
      </c>
    </row>
    <row r="93" spans="1:13" x14ac:dyDescent="0.45">
      <c r="A93" t="s">
        <v>2</v>
      </c>
      <c r="B93" t="s">
        <v>139</v>
      </c>
      <c r="C93">
        <v>2045</v>
      </c>
      <c r="D93">
        <v>79</v>
      </c>
      <c r="E93">
        <v>0.04</v>
      </c>
      <c r="F93">
        <v>0.04</v>
      </c>
      <c r="G93">
        <v>0.03</v>
      </c>
      <c r="H93">
        <v>0</v>
      </c>
      <c r="I93">
        <v>0.11</v>
      </c>
      <c r="J93">
        <v>0.02</v>
      </c>
      <c r="K93">
        <v>0.05</v>
      </c>
      <c r="L93" t="s">
        <v>3</v>
      </c>
      <c r="M93" t="s">
        <v>15</v>
      </c>
    </row>
    <row r="94" spans="1:13" x14ac:dyDescent="0.45">
      <c r="A94" t="s">
        <v>2</v>
      </c>
      <c r="B94" t="s">
        <v>139</v>
      </c>
      <c r="C94">
        <v>2050</v>
      </c>
      <c r="D94">
        <v>90</v>
      </c>
      <c r="E94">
        <v>0.06</v>
      </c>
      <c r="F94">
        <v>0.06</v>
      </c>
      <c r="G94">
        <v>0.03</v>
      </c>
      <c r="H94">
        <v>0</v>
      </c>
      <c r="I94">
        <v>0.12</v>
      </c>
      <c r="J94">
        <v>0.04</v>
      </c>
      <c r="K94">
        <v>0.08</v>
      </c>
      <c r="L94" t="s">
        <v>3</v>
      </c>
      <c r="M94" t="s">
        <v>15</v>
      </c>
    </row>
    <row r="95" spans="1:13" x14ac:dyDescent="0.45">
      <c r="A95" t="s">
        <v>5</v>
      </c>
      <c r="B95" t="s">
        <v>139</v>
      </c>
      <c r="C95">
        <v>2020</v>
      </c>
      <c r="D95">
        <v>219</v>
      </c>
      <c r="E95">
        <v>0.01</v>
      </c>
      <c r="F95">
        <v>0</v>
      </c>
      <c r="G95">
        <v>0.01</v>
      </c>
      <c r="H95">
        <v>0</v>
      </c>
      <c r="I95">
        <v>0.03</v>
      </c>
      <c r="J95">
        <v>0</v>
      </c>
      <c r="K95">
        <v>0.01</v>
      </c>
      <c r="L95" t="s">
        <v>6</v>
      </c>
      <c r="M95" t="s">
        <v>15</v>
      </c>
    </row>
    <row r="96" spans="1:13" x14ac:dyDescent="0.45">
      <c r="A96" t="s">
        <v>5</v>
      </c>
      <c r="B96" t="s">
        <v>139</v>
      </c>
      <c r="C96">
        <v>2025</v>
      </c>
      <c r="D96">
        <v>196</v>
      </c>
      <c r="E96">
        <v>0</v>
      </c>
      <c r="F96">
        <v>0</v>
      </c>
      <c r="G96">
        <v>0.01</v>
      </c>
      <c r="H96">
        <v>0</v>
      </c>
      <c r="I96">
        <v>0.02</v>
      </c>
      <c r="J96">
        <v>0</v>
      </c>
      <c r="K96">
        <v>0.01</v>
      </c>
      <c r="L96" t="s">
        <v>6</v>
      </c>
      <c r="M96" t="s">
        <v>15</v>
      </c>
    </row>
    <row r="97" spans="1:13" x14ac:dyDescent="0.45">
      <c r="A97" t="s">
        <v>5</v>
      </c>
      <c r="B97" t="s">
        <v>139</v>
      </c>
      <c r="C97">
        <v>2030</v>
      </c>
      <c r="D97">
        <v>219</v>
      </c>
      <c r="E97">
        <v>0.01</v>
      </c>
      <c r="F97">
        <v>0</v>
      </c>
      <c r="G97">
        <v>0.01</v>
      </c>
      <c r="H97">
        <v>0</v>
      </c>
      <c r="I97">
        <v>0.05</v>
      </c>
      <c r="J97">
        <v>0</v>
      </c>
      <c r="K97">
        <v>0.01</v>
      </c>
      <c r="L97" t="s">
        <v>6</v>
      </c>
      <c r="M97" t="s">
        <v>15</v>
      </c>
    </row>
    <row r="98" spans="1:13" x14ac:dyDescent="0.45">
      <c r="A98" t="s">
        <v>5</v>
      </c>
      <c r="B98" t="s">
        <v>139</v>
      </c>
      <c r="C98">
        <v>2035</v>
      </c>
      <c r="D98">
        <v>196</v>
      </c>
      <c r="E98">
        <v>0.01</v>
      </c>
      <c r="F98">
        <v>0.01</v>
      </c>
      <c r="G98">
        <v>0.01</v>
      </c>
      <c r="H98">
        <v>0</v>
      </c>
      <c r="I98">
        <v>0.09</v>
      </c>
      <c r="J98">
        <v>0</v>
      </c>
      <c r="K98">
        <v>0.02</v>
      </c>
      <c r="L98" t="s">
        <v>6</v>
      </c>
      <c r="M98" t="s">
        <v>15</v>
      </c>
    </row>
    <row r="99" spans="1:13" x14ac:dyDescent="0.45">
      <c r="A99" t="s">
        <v>5</v>
      </c>
      <c r="B99" t="s">
        <v>139</v>
      </c>
      <c r="C99">
        <v>2040</v>
      </c>
      <c r="D99">
        <v>219</v>
      </c>
      <c r="E99">
        <v>0.02</v>
      </c>
      <c r="F99">
        <v>0.02</v>
      </c>
      <c r="G99">
        <v>0.02</v>
      </c>
      <c r="H99">
        <v>0</v>
      </c>
      <c r="I99">
        <v>0.11</v>
      </c>
      <c r="J99">
        <v>0.01</v>
      </c>
      <c r="K99">
        <v>0.03</v>
      </c>
      <c r="L99" t="s">
        <v>6</v>
      </c>
      <c r="M99" t="s">
        <v>15</v>
      </c>
    </row>
    <row r="100" spans="1:13" x14ac:dyDescent="0.45">
      <c r="A100" t="s">
        <v>5</v>
      </c>
      <c r="B100" t="s">
        <v>139</v>
      </c>
      <c r="C100">
        <v>2045</v>
      </c>
      <c r="D100">
        <v>196</v>
      </c>
      <c r="E100">
        <v>0.03</v>
      </c>
      <c r="F100">
        <v>0.02</v>
      </c>
      <c r="G100">
        <v>0.02</v>
      </c>
      <c r="H100">
        <v>0</v>
      </c>
      <c r="I100">
        <v>0.09</v>
      </c>
      <c r="J100">
        <v>0.01</v>
      </c>
      <c r="K100">
        <v>0.03</v>
      </c>
      <c r="L100" t="s">
        <v>6</v>
      </c>
      <c r="M100" t="s">
        <v>15</v>
      </c>
    </row>
    <row r="101" spans="1:13" x14ac:dyDescent="0.45">
      <c r="A101" t="s">
        <v>5</v>
      </c>
      <c r="B101" t="s">
        <v>139</v>
      </c>
      <c r="C101">
        <v>2050</v>
      </c>
      <c r="D101">
        <v>219</v>
      </c>
      <c r="E101">
        <v>0.03</v>
      </c>
      <c r="F101">
        <v>0.03</v>
      </c>
      <c r="G101">
        <v>0.02</v>
      </c>
      <c r="H101">
        <v>0</v>
      </c>
      <c r="I101">
        <v>0.12</v>
      </c>
      <c r="J101">
        <v>0.01</v>
      </c>
      <c r="K101">
        <v>0.05</v>
      </c>
      <c r="L101" t="s">
        <v>6</v>
      </c>
      <c r="M101" t="s">
        <v>15</v>
      </c>
    </row>
    <row r="102" spans="1:13" x14ac:dyDescent="0.45">
      <c r="A102" t="s">
        <v>7</v>
      </c>
      <c r="B102" t="s">
        <v>139</v>
      </c>
      <c r="C102">
        <v>2020</v>
      </c>
      <c r="D102">
        <v>79</v>
      </c>
      <c r="E102">
        <v>0</v>
      </c>
      <c r="F102">
        <v>0</v>
      </c>
      <c r="G102">
        <v>0.01</v>
      </c>
      <c r="H102">
        <v>0</v>
      </c>
      <c r="I102">
        <v>0.03</v>
      </c>
      <c r="J102">
        <v>0</v>
      </c>
      <c r="K102">
        <v>0</v>
      </c>
      <c r="L102" t="s">
        <v>8</v>
      </c>
      <c r="M102" t="s">
        <v>15</v>
      </c>
    </row>
    <row r="103" spans="1:13" x14ac:dyDescent="0.45">
      <c r="A103" t="s">
        <v>7</v>
      </c>
      <c r="B103" t="s">
        <v>139</v>
      </c>
      <c r="C103">
        <v>2025</v>
      </c>
      <c r="D103">
        <v>73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 t="s">
        <v>8</v>
      </c>
      <c r="M103" t="s">
        <v>15</v>
      </c>
    </row>
    <row r="104" spans="1:13" x14ac:dyDescent="0.45">
      <c r="A104" t="s">
        <v>7</v>
      </c>
      <c r="B104" t="s">
        <v>139</v>
      </c>
      <c r="C104">
        <v>2030</v>
      </c>
      <c r="D104">
        <v>79</v>
      </c>
      <c r="E104">
        <v>0</v>
      </c>
      <c r="F104">
        <v>0</v>
      </c>
      <c r="G104">
        <v>0.01</v>
      </c>
      <c r="H104">
        <v>0</v>
      </c>
      <c r="I104">
        <v>0.04</v>
      </c>
      <c r="J104">
        <v>0</v>
      </c>
      <c r="K104">
        <v>0</v>
      </c>
      <c r="L104" t="s">
        <v>8</v>
      </c>
      <c r="M104" t="s">
        <v>15</v>
      </c>
    </row>
    <row r="105" spans="1:13" x14ac:dyDescent="0.45">
      <c r="A105" t="s">
        <v>7</v>
      </c>
      <c r="B105" t="s">
        <v>139</v>
      </c>
      <c r="C105">
        <v>2035</v>
      </c>
      <c r="D105">
        <v>73</v>
      </c>
      <c r="E105">
        <v>0</v>
      </c>
      <c r="F105">
        <v>0</v>
      </c>
      <c r="G105">
        <v>0</v>
      </c>
      <c r="H105">
        <v>0</v>
      </c>
      <c r="I105">
        <v>0.02</v>
      </c>
      <c r="J105">
        <v>0</v>
      </c>
      <c r="K105">
        <v>0</v>
      </c>
      <c r="L105" t="s">
        <v>8</v>
      </c>
      <c r="M105" t="s">
        <v>15</v>
      </c>
    </row>
    <row r="106" spans="1:13" x14ac:dyDescent="0.45">
      <c r="A106" t="s">
        <v>7</v>
      </c>
      <c r="B106" t="s">
        <v>139</v>
      </c>
      <c r="C106">
        <v>2040</v>
      </c>
      <c r="D106">
        <v>79</v>
      </c>
      <c r="E106">
        <v>0.01</v>
      </c>
      <c r="F106">
        <v>0</v>
      </c>
      <c r="G106">
        <v>0.02</v>
      </c>
      <c r="H106">
        <v>0</v>
      </c>
      <c r="I106">
        <v>0.06</v>
      </c>
      <c r="J106">
        <v>0</v>
      </c>
      <c r="K106">
        <v>0</v>
      </c>
      <c r="L106" t="s">
        <v>8</v>
      </c>
      <c r="M106" t="s">
        <v>15</v>
      </c>
    </row>
    <row r="107" spans="1:13" x14ac:dyDescent="0.45">
      <c r="A107" t="s">
        <v>7</v>
      </c>
      <c r="B107" t="s">
        <v>139</v>
      </c>
      <c r="C107">
        <v>2045</v>
      </c>
      <c r="D107">
        <v>73</v>
      </c>
      <c r="E107">
        <v>0.01</v>
      </c>
      <c r="F107">
        <v>0</v>
      </c>
      <c r="G107">
        <v>0.02</v>
      </c>
      <c r="H107">
        <v>0</v>
      </c>
      <c r="I107">
        <v>0.06</v>
      </c>
      <c r="J107">
        <v>0</v>
      </c>
      <c r="K107">
        <v>0.01</v>
      </c>
      <c r="L107" t="s">
        <v>8</v>
      </c>
      <c r="M107" t="s">
        <v>15</v>
      </c>
    </row>
    <row r="108" spans="1:13" x14ac:dyDescent="0.45">
      <c r="A108" t="s">
        <v>7</v>
      </c>
      <c r="B108" t="s">
        <v>139</v>
      </c>
      <c r="C108">
        <v>2050</v>
      </c>
      <c r="D108">
        <v>79</v>
      </c>
      <c r="E108">
        <v>0.02</v>
      </c>
      <c r="F108">
        <v>0.01</v>
      </c>
      <c r="G108">
        <v>0.02</v>
      </c>
      <c r="H108">
        <v>0</v>
      </c>
      <c r="I108">
        <v>0.08</v>
      </c>
      <c r="J108">
        <v>0</v>
      </c>
      <c r="K108">
        <v>0.01</v>
      </c>
      <c r="L108" t="s">
        <v>8</v>
      </c>
      <c r="M108" t="s">
        <v>15</v>
      </c>
    </row>
    <row r="109" spans="1:13" x14ac:dyDescent="0.45">
      <c r="A109" t="s">
        <v>9</v>
      </c>
      <c r="B109" t="s">
        <v>139</v>
      </c>
      <c r="C109">
        <v>2020</v>
      </c>
      <c r="D109">
        <v>57</v>
      </c>
      <c r="E109">
        <v>0.01</v>
      </c>
      <c r="F109">
        <v>0.01</v>
      </c>
      <c r="G109">
        <v>0.01</v>
      </c>
      <c r="H109">
        <v>0</v>
      </c>
      <c r="I109">
        <v>0.03</v>
      </c>
      <c r="J109">
        <v>0</v>
      </c>
      <c r="K109">
        <v>0.01</v>
      </c>
      <c r="L109" t="s">
        <v>10</v>
      </c>
      <c r="M109" t="s">
        <v>15</v>
      </c>
    </row>
    <row r="110" spans="1:13" x14ac:dyDescent="0.45">
      <c r="A110" t="s">
        <v>9</v>
      </c>
      <c r="B110" t="s">
        <v>139</v>
      </c>
      <c r="C110">
        <v>2025</v>
      </c>
      <c r="D110">
        <v>52</v>
      </c>
      <c r="E110">
        <v>0.01</v>
      </c>
      <c r="F110">
        <v>0.01</v>
      </c>
      <c r="G110">
        <v>0</v>
      </c>
      <c r="H110">
        <v>0</v>
      </c>
      <c r="I110">
        <v>0.01</v>
      </c>
      <c r="J110">
        <v>0</v>
      </c>
      <c r="K110">
        <v>0.01</v>
      </c>
      <c r="L110" t="s">
        <v>10</v>
      </c>
      <c r="M110" t="s">
        <v>15</v>
      </c>
    </row>
    <row r="111" spans="1:13" x14ac:dyDescent="0.45">
      <c r="A111" t="s">
        <v>9</v>
      </c>
      <c r="B111" t="s">
        <v>139</v>
      </c>
      <c r="C111">
        <v>2030</v>
      </c>
      <c r="D111">
        <v>57</v>
      </c>
      <c r="E111">
        <v>0.01</v>
      </c>
      <c r="F111">
        <v>0.01</v>
      </c>
      <c r="G111">
        <v>0.01</v>
      </c>
      <c r="H111">
        <v>0</v>
      </c>
      <c r="I111">
        <v>0.04</v>
      </c>
      <c r="J111">
        <v>0</v>
      </c>
      <c r="K111">
        <v>0.01</v>
      </c>
      <c r="L111" t="s">
        <v>10</v>
      </c>
      <c r="M111" t="s">
        <v>15</v>
      </c>
    </row>
    <row r="112" spans="1:13" x14ac:dyDescent="0.45">
      <c r="A112" t="s">
        <v>9</v>
      </c>
      <c r="B112" t="s">
        <v>139</v>
      </c>
      <c r="C112">
        <v>2035</v>
      </c>
      <c r="D112">
        <v>52</v>
      </c>
      <c r="E112">
        <v>0.01</v>
      </c>
      <c r="F112">
        <v>0.02</v>
      </c>
      <c r="G112">
        <v>0.01</v>
      </c>
      <c r="H112">
        <v>0</v>
      </c>
      <c r="I112">
        <v>0.03</v>
      </c>
      <c r="J112">
        <v>0</v>
      </c>
      <c r="K112">
        <v>0.02</v>
      </c>
      <c r="L112" t="s">
        <v>10</v>
      </c>
      <c r="M112" t="s">
        <v>15</v>
      </c>
    </row>
    <row r="113" spans="1:13" x14ac:dyDescent="0.45">
      <c r="A113" t="s">
        <v>9</v>
      </c>
      <c r="B113" t="s">
        <v>139</v>
      </c>
      <c r="C113">
        <v>2040</v>
      </c>
      <c r="D113">
        <v>57</v>
      </c>
      <c r="E113">
        <v>0.02</v>
      </c>
      <c r="F113">
        <v>0.02</v>
      </c>
      <c r="G113">
        <v>0.01</v>
      </c>
      <c r="H113">
        <v>0</v>
      </c>
      <c r="I113">
        <v>0.05</v>
      </c>
      <c r="J113">
        <v>0</v>
      </c>
      <c r="K113">
        <v>0.03</v>
      </c>
      <c r="L113" t="s">
        <v>10</v>
      </c>
      <c r="M113" t="s">
        <v>15</v>
      </c>
    </row>
    <row r="114" spans="1:13" x14ac:dyDescent="0.45">
      <c r="A114" t="s">
        <v>9</v>
      </c>
      <c r="B114" t="s">
        <v>139</v>
      </c>
      <c r="C114">
        <v>2045</v>
      </c>
      <c r="D114">
        <v>52</v>
      </c>
      <c r="E114">
        <v>0.02</v>
      </c>
      <c r="F114">
        <v>0.03</v>
      </c>
      <c r="G114">
        <v>0.02</v>
      </c>
      <c r="H114">
        <v>0</v>
      </c>
      <c r="I114">
        <v>0.05</v>
      </c>
      <c r="J114">
        <v>0</v>
      </c>
      <c r="K114">
        <v>0.03</v>
      </c>
      <c r="L114" t="s">
        <v>10</v>
      </c>
      <c r="M114" t="s">
        <v>15</v>
      </c>
    </row>
    <row r="115" spans="1:13" x14ac:dyDescent="0.45">
      <c r="A115" t="s">
        <v>9</v>
      </c>
      <c r="B115" t="s">
        <v>139</v>
      </c>
      <c r="C115">
        <v>2050</v>
      </c>
      <c r="D115">
        <v>57</v>
      </c>
      <c r="E115">
        <v>0.03</v>
      </c>
      <c r="F115">
        <v>0.03</v>
      </c>
      <c r="G115">
        <v>0.02</v>
      </c>
      <c r="H115">
        <v>0</v>
      </c>
      <c r="I115">
        <v>0.06</v>
      </c>
      <c r="J115">
        <v>0</v>
      </c>
      <c r="K115">
        <v>0.04</v>
      </c>
      <c r="L115" t="s">
        <v>10</v>
      </c>
      <c r="M115" t="s">
        <v>15</v>
      </c>
    </row>
    <row r="116" spans="1:13" x14ac:dyDescent="0.45">
      <c r="A116" t="s">
        <v>0</v>
      </c>
      <c r="B116" t="s">
        <v>139</v>
      </c>
      <c r="C116">
        <v>2020</v>
      </c>
      <c r="D116">
        <v>62</v>
      </c>
      <c r="E116">
        <v>0.49</v>
      </c>
      <c r="F116">
        <v>0.49</v>
      </c>
      <c r="G116">
        <v>0.04</v>
      </c>
      <c r="H116">
        <v>0.37</v>
      </c>
      <c r="I116">
        <v>0.57999999999999996</v>
      </c>
      <c r="J116">
        <v>0.46</v>
      </c>
      <c r="K116">
        <v>0.5</v>
      </c>
      <c r="L116" t="s">
        <v>1</v>
      </c>
      <c r="M116" t="s">
        <v>18</v>
      </c>
    </row>
    <row r="117" spans="1:13" x14ac:dyDescent="0.45">
      <c r="A117" t="s">
        <v>0</v>
      </c>
      <c r="B117" t="s">
        <v>139</v>
      </c>
      <c r="C117">
        <v>2025</v>
      </c>
      <c r="D117">
        <v>62</v>
      </c>
      <c r="E117">
        <v>0.47</v>
      </c>
      <c r="F117">
        <v>0.48</v>
      </c>
      <c r="G117">
        <v>7.0000000000000007E-2</v>
      </c>
      <c r="H117">
        <v>0.33</v>
      </c>
      <c r="I117">
        <v>0.6</v>
      </c>
      <c r="J117">
        <v>0.44</v>
      </c>
      <c r="K117">
        <v>0.54</v>
      </c>
      <c r="L117" t="s">
        <v>1</v>
      </c>
      <c r="M117" t="s">
        <v>18</v>
      </c>
    </row>
    <row r="118" spans="1:13" x14ac:dyDescent="0.45">
      <c r="A118" t="s">
        <v>0</v>
      </c>
      <c r="B118" t="s">
        <v>139</v>
      </c>
      <c r="C118">
        <v>2030</v>
      </c>
      <c r="D118">
        <v>62</v>
      </c>
      <c r="E118">
        <v>0.48</v>
      </c>
      <c r="F118">
        <v>0.5</v>
      </c>
      <c r="G118">
        <v>0.09</v>
      </c>
      <c r="H118">
        <v>0.31</v>
      </c>
      <c r="I118">
        <v>0.61</v>
      </c>
      <c r="J118">
        <v>0.4</v>
      </c>
      <c r="K118">
        <v>0.56000000000000005</v>
      </c>
      <c r="L118" t="s">
        <v>1</v>
      </c>
      <c r="M118" t="s">
        <v>18</v>
      </c>
    </row>
    <row r="119" spans="1:13" x14ac:dyDescent="0.45">
      <c r="A119" t="s">
        <v>0</v>
      </c>
      <c r="B119" t="s">
        <v>139</v>
      </c>
      <c r="C119">
        <v>2035</v>
      </c>
      <c r="D119">
        <v>62</v>
      </c>
      <c r="E119">
        <v>0.47</v>
      </c>
      <c r="F119">
        <v>0.51</v>
      </c>
      <c r="G119">
        <v>0.09</v>
      </c>
      <c r="H119">
        <v>0.28999999999999998</v>
      </c>
      <c r="I119">
        <v>0.64</v>
      </c>
      <c r="J119">
        <v>0.38</v>
      </c>
      <c r="K119">
        <v>0.54</v>
      </c>
      <c r="L119" t="s">
        <v>1</v>
      </c>
      <c r="M119" t="s">
        <v>18</v>
      </c>
    </row>
    <row r="120" spans="1:13" x14ac:dyDescent="0.45">
      <c r="A120" t="s">
        <v>0</v>
      </c>
      <c r="B120" t="s">
        <v>139</v>
      </c>
      <c r="C120">
        <v>2040</v>
      </c>
      <c r="D120">
        <v>62</v>
      </c>
      <c r="E120">
        <v>0.46</v>
      </c>
      <c r="F120">
        <v>0.51</v>
      </c>
      <c r="G120">
        <v>0.11</v>
      </c>
      <c r="H120">
        <v>0.22</v>
      </c>
      <c r="I120">
        <v>0.64</v>
      </c>
      <c r="J120">
        <v>0.36</v>
      </c>
      <c r="K120">
        <v>0.55000000000000004</v>
      </c>
      <c r="L120" t="s">
        <v>1</v>
      </c>
      <c r="M120" t="s">
        <v>18</v>
      </c>
    </row>
    <row r="121" spans="1:13" x14ac:dyDescent="0.45">
      <c r="A121" t="s">
        <v>0</v>
      </c>
      <c r="B121" t="s">
        <v>139</v>
      </c>
      <c r="C121">
        <v>2045</v>
      </c>
      <c r="D121">
        <v>62</v>
      </c>
      <c r="E121">
        <v>0.47</v>
      </c>
      <c r="F121">
        <v>0.53</v>
      </c>
      <c r="G121">
        <v>0.12</v>
      </c>
      <c r="H121">
        <v>0.2</v>
      </c>
      <c r="I121">
        <v>0.63</v>
      </c>
      <c r="J121">
        <v>0.36</v>
      </c>
      <c r="K121">
        <v>0.56000000000000005</v>
      </c>
      <c r="L121" t="s">
        <v>1</v>
      </c>
      <c r="M121" t="s">
        <v>18</v>
      </c>
    </row>
    <row r="122" spans="1:13" x14ac:dyDescent="0.45">
      <c r="A122" t="s">
        <v>0</v>
      </c>
      <c r="B122" t="s">
        <v>139</v>
      </c>
      <c r="C122">
        <v>2050</v>
      </c>
      <c r="D122">
        <v>62</v>
      </c>
      <c r="E122">
        <v>0.47</v>
      </c>
      <c r="F122">
        <v>0.54</v>
      </c>
      <c r="G122">
        <v>0.13</v>
      </c>
      <c r="H122">
        <v>0.2</v>
      </c>
      <c r="I122">
        <v>0.63</v>
      </c>
      <c r="J122">
        <v>0.35</v>
      </c>
      <c r="K122">
        <v>0.56999999999999995</v>
      </c>
      <c r="L122" t="s">
        <v>1</v>
      </c>
      <c r="M122" t="s">
        <v>18</v>
      </c>
    </row>
    <row r="123" spans="1:13" x14ac:dyDescent="0.45">
      <c r="A123" t="s">
        <v>2</v>
      </c>
      <c r="B123" t="s">
        <v>139</v>
      </c>
      <c r="C123">
        <v>2020</v>
      </c>
      <c r="D123">
        <v>90</v>
      </c>
      <c r="E123">
        <v>0.48</v>
      </c>
      <c r="F123">
        <v>0.49</v>
      </c>
      <c r="G123">
        <v>0.06</v>
      </c>
      <c r="H123">
        <v>0.37</v>
      </c>
      <c r="I123">
        <v>0.57999999999999996</v>
      </c>
      <c r="J123">
        <v>0.44</v>
      </c>
      <c r="K123">
        <v>0.51</v>
      </c>
      <c r="L123" t="s">
        <v>3</v>
      </c>
      <c r="M123" t="s">
        <v>18</v>
      </c>
    </row>
    <row r="124" spans="1:13" x14ac:dyDescent="0.45">
      <c r="A124" t="s">
        <v>2</v>
      </c>
      <c r="B124" t="s">
        <v>139</v>
      </c>
      <c r="C124">
        <v>2025</v>
      </c>
      <c r="D124">
        <v>79</v>
      </c>
      <c r="E124">
        <v>0.49</v>
      </c>
      <c r="F124">
        <v>0.48</v>
      </c>
      <c r="G124">
        <v>0.08</v>
      </c>
      <c r="H124">
        <v>0.23</v>
      </c>
      <c r="I124">
        <v>0.66</v>
      </c>
      <c r="J124">
        <v>0.44</v>
      </c>
      <c r="K124">
        <v>0.54</v>
      </c>
      <c r="L124" t="s">
        <v>3</v>
      </c>
      <c r="M124" t="s">
        <v>18</v>
      </c>
    </row>
    <row r="125" spans="1:13" x14ac:dyDescent="0.45">
      <c r="A125" t="s">
        <v>2</v>
      </c>
      <c r="B125" t="s">
        <v>139</v>
      </c>
      <c r="C125">
        <v>2030</v>
      </c>
      <c r="D125">
        <v>90</v>
      </c>
      <c r="E125">
        <v>0.47</v>
      </c>
      <c r="F125">
        <v>0.46</v>
      </c>
      <c r="G125">
        <v>0.09</v>
      </c>
      <c r="H125">
        <v>0.28999999999999998</v>
      </c>
      <c r="I125">
        <v>0.71</v>
      </c>
      <c r="J125">
        <v>0.4</v>
      </c>
      <c r="K125">
        <v>0.55000000000000004</v>
      </c>
      <c r="L125" t="s">
        <v>3</v>
      </c>
      <c r="M125" t="s">
        <v>18</v>
      </c>
    </row>
    <row r="126" spans="1:13" x14ac:dyDescent="0.45">
      <c r="A126" t="s">
        <v>2</v>
      </c>
      <c r="B126" t="s">
        <v>139</v>
      </c>
      <c r="C126">
        <v>2035</v>
      </c>
      <c r="D126">
        <v>79</v>
      </c>
      <c r="E126">
        <v>0.47</v>
      </c>
      <c r="F126">
        <v>0.49</v>
      </c>
      <c r="G126">
        <v>0.08</v>
      </c>
      <c r="H126">
        <v>0.28000000000000003</v>
      </c>
      <c r="I126">
        <v>0.66</v>
      </c>
      <c r="J126">
        <v>0.39</v>
      </c>
      <c r="K126">
        <v>0.54</v>
      </c>
      <c r="L126" t="s">
        <v>3</v>
      </c>
      <c r="M126" t="s">
        <v>18</v>
      </c>
    </row>
    <row r="127" spans="1:13" x14ac:dyDescent="0.45">
      <c r="A127" t="s">
        <v>2</v>
      </c>
      <c r="B127" t="s">
        <v>139</v>
      </c>
      <c r="C127">
        <v>2040</v>
      </c>
      <c r="D127">
        <v>90</v>
      </c>
      <c r="E127">
        <v>0.45</v>
      </c>
      <c r="F127">
        <v>0.47</v>
      </c>
      <c r="G127">
        <v>0.08</v>
      </c>
      <c r="H127">
        <v>0.28999999999999998</v>
      </c>
      <c r="I127">
        <v>0.64</v>
      </c>
      <c r="J127">
        <v>0.38</v>
      </c>
      <c r="K127">
        <v>0.51</v>
      </c>
      <c r="L127" t="s">
        <v>3</v>
      </c>
      <c r="M127" t="s">
        <v>18</v>
      </c>
    </row>
    <row r="128" spans="1:13" x14ac:dyDescent="0.45">
      <c r="A128" t="s">
        <v>2</v>
      </c>
      <c r="B128" t="s">
        <v>139</v>
      </c>
      <c r="C128">
        <v>2045</v>
      </c>
      <c r="D128">
        <v>79</v>
      </c>
      <c r="E128">
        <v>0.46</v>
      </c>
      <c r="F128">
        <v>0.47</v>
      </c>
      <c r="G128">
        <v>0.08</v>
      </c>
      <c r="H128">
        <v>0.27</v>
      </c>
      <c r="I128">
        <v>0.64</v>
      </c>
      <c r="J128">
        <v>0.38</v>
      </c>
      <c r="K128">
        <v>0.54</v>
      </c>
      <c r="L128" t="s">
        <v>3</v>
      </c>
      <c r="M128" t="s">
        <v>18</v>
      </c>
    </row>
    <row r="129" spans="1:13" x14ac:dyDescent="0.45">
      <c r="A129" t="s">
        <v>2</v>
      </c>
      <c r="B129" t="s">
        <v>139</v>
      </c>
      <c r="C129">
        <v>2050</v>
      </c>
      <c r="D129">
        <v>90</v>
      </c>
      <c r="E129">
        <v>0.45</v>
      </c>
      <c r="F129">
        <v>0.46</v>
      </c>
      <c r="G129">
        <v>0.09</v>
      </c>
      <c r="H129">
        <v>0.24</v>
      </c>
      <c r="I129">
        <v>0.64</v>
      </c>
      <c r="J129">
        <v>0.36</v>
      </c>
      <c r="K129">
        <v>0.53</v>
      </c>
      <c r="L129" t="s">
        <v>3</v>
      </c>
      <c r="M129" t="s">
        <v>18</v>
      </c>
    </row>
    <row r="130" spans="1:13" x14ac:dyDescent="0.45">
      <c r="A130" t="s">
        <v>5</v>
      </c>
      <c r="B130" t="s">
        <v>139</v>
      </c>
      <c r="C130">
        <v>2020</v>
      </c>
      <c r="D130">
        <v>221</v>
      </c>
      <c r="E130">
        <v>0.46</v>
      </c>
      <c r="F130">
        <v>0.49</v>
      </c>
      <c r="G130">
        <v>0.05</v>
      </c>
      <c r="H130">
        <v>0.37</v>
      </c>
      <c r="I130">
        <v>0.55000000000000004</v>
      </c>
      <c r="J130">
        <v>0.43</v>
      </c>
      <c r="K130">
        <v>0.5</v>
      </c>
      <c r="L130" t="s">
        <v>6</v>
      </c>
      <c r="M130" t="s">
        <v>18</v>
      </c>
    </row>
    <row r="131" spans="1:13" x14ac:dyDescent="0.45">
      <c r="A131" t="s">
        <v>5</v>
      </c>
      <c r="B131" t="s">
        <v>139</v>
      </c>
      <c r="C131">
        <v>2025</v>
      </c>
      <c r="D131">
        <v>198</v>
      </c>
      <c r="E131">
        <v>0.45</v>
      </c>
      <c r="F131">
        <v>0.45</v>
      </c>
      <c r="G131">
        <v>0.09</v>
      </c>
      <c r="H131">
        <v>0.23</v>
      </c>
      <c r="I131">
        <v>0.54</v>
      </c>
      <c r="J131">
        <v>0.43</v>
      </c>
      <c r="K131">
        <v>0.54</v>
      </c>
      <c r="L131" t="s">
        <v>6</v>
      </c>
      <c r="M131" t="s">
        <v>18</v>
      </c>
    </row>
    <row r="132" spans="1:13" x14ac:dyDescent="0.45">
      <c r="A132" t="s">
        <v>5</v>
      </c>
      <c r="B132" t="s">
        <v>139</v>
      </c>
      <c r="C132">
        <v>2030</v>
      </c>
      <c r="D132">
        <v>221</v>
      </c>
      <c r="E132">
        <v>0.43</v>
      </c>
      <c r="F132">
        <v>0.43</v>
      </c>
      <c r="G132">
        <v>0.1</v>
      </c>
      <c r="H132">
        <v>0.25</v>
      </c>
      <c r="I132">
        <v>0.56999999999999995</v>
      </c>
      <c r="J132">
        <v>0.34</v>
      </c>
      <c r="K132">
        <v>0.56000000000000005</v>
      </c>
      <c r="L132" t="s">
        <v>6</v>
      </c>
      <c r="M132" t="s">
        <v>18</v>
      </c>
    </row>
    <row r="133" spans="1:13" x14ac:dyDescent="0.45">
      <c r="A133" t="s">
        <v>5</v>
      </c>
      <c r="B133" t="s">
        <v>139</v>
      </c>
      <c r="C133">
        <v>2035</v>
      </c>
      <c r="D133">
        <v>198</v>
      </c>
      <c r="E133">
        <v>0.44</v>
      </c>
      <c r="F133">
        <v>0.42</v>
      </c>
      <c r="G133">
        <v>0.09</v>
      </c>
      <c r="H133">
        <v>0.26</v>
      </c>
      <c r="I133">
        <v>0.6</v>
      </c>
      <c r="J133">
        <v>0.37</v>
      </c>
      <c r="K133">
        <v>0.54</v>
      </c>
      <c r="L133" t="s">
        <v>6</v>
      </c>
      <c r="M133" t="s">
        <v>18</v>
      </c>
    </row>
    <row r="134" spans="1:13" x14ac:dyDescent="0.45">
      <c r="A134" t="s">
        <v>5</v>
      </c>
      <c r="B134" t="s">
        <v>139</v>
      </c>
      <c r="C134">
        <v>2040</v>
      </c>
      <c r="D134">
        <v>221</v>
      </c>
      <c r="E134">
        <v>0.42</v>
      </c>
      <c r="F134">
        <v>0.4</v>
      </c>
      <c r="G134">
        <v>0.1</v>
      </c>
      <c r="H134">
        <v>0.25</v>
      </c>
      <c r="I134">
        <v>0.6</v>
      </c>
      <c r="J134">
        <v>0.32</v>
      </c>
      <c r="K134">
        <v>0.53</v>
      </c>
      <c r="L134" t="s">
        <v>6</v>
      </c>
      <c r="M134" t="s">
        <v>18</v>
      </c>
    </row>
    <row r="135" spans="1:13" x14ac:dyDescent="0.45">
      <c r="A135" t="s">
        <v>5</v>
      </c>
      <c r="B135" t="s">
        <v>139</v>
      </c>
      <c r="C135">
        <v>2045</v>
      </c>
      <c r="D135">
        <v>198</v>
      </c>
      <c r="E135">
        <v>0.44</v>
      </c>
      <c r="F135">
        <v>0.41</v>
      </c>
      <c r="G135">
        <v>0.1</v>
      </c>
      <c r="H135">
        <v>0.23</v>
      </c>
      <c r="I135">
        <v>0.6</v>
      </c>
      <c r="J135">
        <v>0.33</v>
      </c>
      <c r="K135">
        <v>0.54</v>
      </c>
      <c r="L135" t="s">
        <v>6</v>
      </c>
      <c r="M135" t="s">
        <v>18</v>
      </c>
    </row>
    <row r="136" spans="1:13" x14ac:dyDescent="0.45">
      <c r="A136" t="s">
        <v>5</v>
      </c>
      <c r="B136" t="s">
        <v>139</v>
      </c>
      <c r="C136">
        <v>2050</v>
      </c>
      <c r="D136">
        <v>221</v>
      </c>
      <c r="E136">
        <v>0.41</v>
      </c>
      <c r="F136">
        <v>0.38</v>
      </c>
      <c r="G136">
        <v>0.12</v>
      </c>
      <c r="H136">
        <v>0.16</v>
      </c>
      <c r="I136">
        <v>0.62</v>
      </c>
      <c r="J136">
        <v>0.31</v>
      </c>
      <c r="K136">
        <v>0.55000000000000004</v>
      </c>
      <c r="L136" t="s">
        <v>6</v>
      </c>
      <c r="M136" t="s">
        <v>18</v>
      </c>
    </row>
    <row r="137" spans="1:13" x14ac:dyDescent="0.45">
      <c r="A137" t="s">
        <v>7</v>
      </c>
      <c r="B137" t="s">
        <v>139</v>
      </c>
      <c r="C137">
        <v>2020</v>
      </c>
      <c r="D137">
        <v>79</v>
      </c>
      <c r="E137">
        <v>0.44</v>
      </c>
      <c r="F137">
        <v>0.45</v>
      </c>
      <c r="G137">
        <v>0.05</v>
      </c>
      <c r="H137">
        <v>0.37</v>
      </c>
      <c r="I137">
        <v>0.55000000000000004</v>
      </c>
      <c r="J137">
        <v>0.4</v>
      </c>
      <c r="K137">
        <v>0.49</v>
      </c>
      <c r="L137" t="s">
        <v>8</v>
      </c>
      <c r="M137" t="s">
        <v>18</v>
      </c>
    </row>
    <row r="138" spans="1:13" x14ac:dyDescent="0.45">
      <c r="A138" t="s">
        <v>7</v>
      </c>
      <c r="B138" t="s">
        <v>139</v>
      </c>
      <c r="C138">
        <v>2025</v>
      </c>
      <c r="D138">
        <v>73</v>
      </c>
      <c r="E138">
        <v>0.4</v>
      </c>
      <c r="F138">
        <v>0.44</v>
      </c>
      <c r="G138">
        <v>7.0000000000000007E-2</v>
      </c>
      <c r="H138">
        <v>0.23</v>
      </c>
      <c r="I138">
        <v>0.47</v>
      </c>
      <c r="J138">
        <v>0.35</v>
      </c>
      <c r="K138">
        <v>0.45</v>
      </c>
      <c r="L138" t="s">
        <v>8</v>
      </c>
      <c r="M138" t="s">
        <v>18</v>
      </c>
    </row>
    <row r="139" spans="1:13" x14ac:dyDescent="0.45">
      <c r="A139" t="s">
        <v>7</v>
      </c>
      <c r="B139" t="s">
        <v>139</v>
      </c>
      <c r="C139">
        <v>2030</v>
      </c>
      <c r="D139">
        <v>79</v>
      </c>
      <c r="E139">
        <v>0.37</v>
      </c>
      <c r="F139">
        <v>0.34</v>
      </c>
      <c r="G139">
        <v>0.06</v>
      </c>
      <c r="H139">
        <v>0.25</v>
      </c>
      <c r="I139">
        <v>0.47</v>
      </c>
      <c r="J139">
        <v>0.33</v>
      </c>
      <c r="K139">
        <v>0.43</v>
      </c>
      <c r="L139" t="s">
        <v>8</v>
      </c>
      <c r="M139" t="s">
        <v>18</v>
      </c>
    </row>
    <row r="140" spans="1:13" x14ac:dyDescent="0.45">
      <c r="A140" t="s">
        <v>7</v>
      </c>
      <c r="B140" t="s">
        <v>139</v>
      </c>
      <c r="C140">
        <v>2035</v>
      </c>
      <c r="D140">
        <v>73</v>
      </c>
      <c r="E140">
        <v>0.37</v>
      </c>
      <c r="F140">
        <v>0.35</v>
      </c>
      <c r="G140">
        <v>0.06</v>
      </c>
      <c r="H140">
        <v>0.28999999999999998</v>
      </c>
      <c r="I140">
        <v>0.46</v>
      </c>
      <c r="J140">
        <v>0.32</v>
      </c>
      <c r="K140">
        <v>0.42</v>
      </c>
      <c r="L140" t="s">
        <v>8</v>
      </c>
      <c r="M140" t="s">
        <v>18</v>
      </c>
    </row>
    <row r="141" spans="1:13" x14ac:dyDescent="0.45">
      <c r="A141" t="s">
        <v>7</v>
      </c>
      <c r="B141" t="s">
        <v>139</v>
      </c>
      <c r="C141">
        <v>2040</v>
      </c>
      <c r="D141">
        <v>79</v>
      </c>
      <c r="E141">
        <v>0.36</v>
      </c>
      <c r="F141">
        <v>0.33</v>
      </c>
      <c r="G141">
        <v>0.06</v>
      </c>
      <c r="H141">
        <v>0.26</v>
      </c>
      <c r="I141">
        <v>0.49</v>
      </c>
      <c r="J141">
        <v>0.31</v>
      </c>
      <c r="K141">
        <v>0.41</v>
      </c>
      <c r="L141" t="s">
        <v>8</v>
      </c>
      <c r="M141" t="s">
        <v>18</v>
      </c>
    </row>
    <row r="142" spans="1:13" x14ac:dyDescent="0.45">
      <c r="A142" t="s">
        <v>7</v>
      </c>
      <c r="B142" t="s">
        <v>139</v>
      </c>
      <c r="C142">
        <v>2045</v>
      </c>
      <c r="D142">
        <v>73</v>
      </c>
      <c r="E142">
        <v>0.37</v>
      </c>
      <c r="F142">
        <v>0.38</v>
      </c>
      <c r="G142">
        <v>0.05</v>
      </c>
      <c r="H142">
        <v>0.3</v>
      </c>
      <c r="I142">
        <v>0.48</v>
      </c>
      <c r="J142">
        <v>0.31</v>
      </c>
      <c r="K142">
        <v>0.41</v>
      </c>
      <c r="L142" t="s">
        <v>8</v>
      </c>
      <c r="M142" t="s">
        <v>18</v>
      </c>
    </row>
    <row r="143" spans="1:13" x14ac:dyDescent="0.45">
      <c r="A143" t="s">
        <v>7</v>
      </c>
      <c r="B143" t="s">
        <v>139</v>
      </c>
      <c r="C143">
        <v>2050</v>
      </c>
      <c r="D143">
        <v>79</v>
      </c>
      <c r="E143">
        <v>0.36</v>
      </c>
      <c r="F143">
        <v>0.36</v>
      </c>
      <c r="G143">
        <v>0.06</v>
      </c>
      <c r="H143">
        <v>0.21</v>
      </c>
      <c r="I143">
        <v>0.46</v>
      </c>
      <c r="J143">
        <v>0.31</v>
      </c>
      <c r="K143">
        <v>0.4</v>
      </c>
      <c r="L143" t="s">
        <v>8</v>
      </c>
      <c r="M143" t="s">
        <v>18</v>
      </c>
    </row>
    <row r="144" spans="1:13" x14ac:dyDescent="0.45">
      <c r="A144" t="s">
        <v>9</v>
      </c>
      <c r="B144" t="s">
        <v>139</v>
      </c>
      <c r="C144">
        <v>2020</v>
      </c>
      <c r="D144">
        <v>59</v>
      </c>
      <c r="E144">
        <v>0.49</v>
      </c>
      <c r="F144">
        <v>0.5</v>
      </c>
      <c r="G144">
        <v>0.06</v>
      </c>
      <c r="H144">
        <v>0.37</v>
      </c>
      <c r="I144">
        <v>0.59</v>
      </c>
      <c r="J144">
        <v>0.45</v>
      </c>
      <c r="K144">
        <v>0.51</v>
      </c>
      <c r="L144" t="s">
        <v>10</v>
      </c>
      <c r="M144" t="s">
        <v>18</v>
      </c>
    </row>
    <row r="145" spans="1:13" x14ac:dyDescent="0.45">
      <c r="A145" t="s">
        <v>9</v>
      </c>
      <c r="B145" t="s">
        <v>139</v>
      </c>
      <c r="C145">
        <v>2025</v>
      </c>
      <c r="D145">
        <v>54</v>
      </c>
      <c r="E145">
        <v>0.5</v>
      </c>
      <c r="F145">
        <v>0.52</v>
      </c>
      <c r="G145">
        <v>7.0000000000000007E-2</v>
      </c>
      <c r="H145">
        <v>0.36</v>
      </c>
      <c r="I145">
        <v>0.64</v>
      </c>
      <c r="J145">
        <v>0.44</v>
      </c>
      <c r="K145">
        <v>0.54</v>
      </c>
      <c r="L145" t="s">
        <v>10</v>
      </c>
      <c r="M145" t="s">
        <v>18</v>
      </c>
    </row>
    <row r="146" spans="1:13" x14ac:dyDescent="0.45">
      <c r="A146" t="s">
        <v>9</v>
      </c>
      <c r="B146" t="s">
        <v>139</v>
      </c>
      <c r="C146">
        <v>2030</v>
      </c>
      <c r="D146">
        <v>59</v>
      </c>
      <c r="E146">
        <v>0.48</v>
      </c>
      <c r="F146">
        <v>0.49</v>
      </c>
      <c r="G146">
        <v>0.1</v>
      </c>
      <c r="H146">
        <v>0.28000000000000003</v>
      </c>
      <c r="I146">
        <v>0.68</v>
      </c>
      <c r="J146">
        <v>0.42</v>
      </c>
      <c r="K146">
        <v>0.56999999999999995</v>
      </c>
      <c r="L146" t="s">
        <v>10</v>
      </c>
      <c r="M146" t="s">
        <v>18</v>
      </c>
    </row>
    <row r="147" spans="1:13" x14ac:dyDescent="0.45">
      <c r="A147" t="s">
        <v>9</v>
      </c>
      <c r="B147" t="s">
        <v>139</v>
      </c>
      <c r="C147">
        <v>2035</v>
      </c>
      <c r="D147">
        <v>54</v>
      </c>
      <c r="E147">
        <v>0.49</v>
      </c>
      <c r="F147">
        <v>0.52</v>
      </c>
      <c r="G147">
        <v>0.08</v>
      </c>
      <c r="H147">
        <v>0.33</v>
      </c>
      <c r="I147">
        <v>0.65</v>
      </c>
      <c r="J147">
        <v>0.42</v>
      </c>
      <c r="K147">
        <v>0.55000000000000004</v>
      </c>
      <c r="L147" t="s">
        <v>10</v>
      </c>
      <c r="M147" t="s">
        <v>18</v>
      </c>
    </row>
    <row r="148" spans="1:13" x14ac:dyDescent="0.45">
      <c r="A148" t="s">
        <v>9</v>
      </c>
      <c r="B148" t="s">
        <v>139</v>
      </c>
      <c r="C148">
        <v>2040</v>
      </c>
      <c r="D148">
        <v>59</v>
      </c>
      <c r="E148">
        <v>0.46</v>
      </c>
      <c r="F148">
        <v>0.5</v>
      </c>
      <c r="G148">
        <v>0.1</v>
      </c>
      <c r="H148">
        <v>0.25</v>
      </c>
      <c r="I148">
        <v>0.63</v>
      </c>
      <c r="J148">
        <v>0.4</v>
      </c>
      <c r="K148">
        <v>0.54</v>
      </c>
      <c r="L148" t="s">
        <v>10</v>
      </c>
      <c r="M148" t="s">
        <v>18</v>
      </c>
    </row>
    <row r="149" spans="1:13" x14ac:dyDescent="0.45">
      <c r="A149" t="s">
        <v>9</v>
      </c>
      <c r="B149" t="s">
        <v>139</v>
      </c>
      <c r="C149">
        <v>2045</v>
      </c>
      <c r="D149">
        <v>54</v>
      </c>
      <c r="E149">
        <v>0.47</v>
      </c>
      <c r="F149">
        <v>0.5</v>
      </c>
      <c r="G149">
        <v>7.0000000000000007E-2</v>
      </c>
      <c r="H149">
        <v>0.32</v>
      </c>
      <c r="I149">
        <v>0.6</v>
      </c>
      <c r="J149">
        <v>0.41</v>
      </c>
      <c r="K149">
        <v>0.53</v>
      </c>
      <c r="L149" t="s">
        <v>10</v>
      </c>
      <c r="M149" t="s">
        <v>18</v>
      </c>
    </row>
    <row r="150" spans="1:13" x14ac:dyDescent="0.45">
      <c r="A150" t="s">
        <v>9</v>
      </c>
      <c r="B150" t="s">
        <v>139</v>
      </c>
      <c r="C150">
        <v>2050</v>
      </c>
      <c r="D150">
        <v>59</v>
      </c>
      <c r="E150">
        <v>0.44</v>
      </c>
      <c r="F150">
        <v>0.48</v>
      </c>
      <c r="G150">
        <v>0.1</v>
      </c>
      <c r="H150">
        <v>0.2</v>
      </c>
      <c r="I150">
        <v>0.59</v>
      </c>
      <c r="J150">
        <v>0.38</v>
      </c>
      <c r="K150">
        <v>0.52</v>
      </c>
      <c r="L150" t="s">
        <v>10</v>
      </c>
      <c r="M150" t="s">
        <v>18</v>
      </c>
    </row>
    <row r="151" spans="1:13" x14ac:dyDescent="0.45">
      <c r="A151" t="s">
        <v>0</v>
      </c>
      <c r="B151" t="s">
        <v>139</v>
      </c>
      <c r="C151">
        <v>2020</v>
      </c>
      <c r="D151">
        <v>62</v>
      </c>
      <c r="E151">
        <v>0.5</v>
      </c>
      <c r="F151">
        <v>0.49</v>
      </c>
      <c r="G151">
        <v>0.03</v>
      </c>
      <c r="H151">
        <v>0.42</v>
      </c>
      <c r="I151">
        <v>0.6</v>
      </c>
      <c r="J151">
        <v>0.49</v>
      </c>
      <c r="K151">
        <v>0.53</v>
      </c>
      <c r="L151" t="s">
        <v>1</v>
      </c>
      <c r="M151" t="s">
        <v>21</v>
      </c>
    </row>
    <row r="152" spans="1:13" x14ac:dyDescent="0.45">
      <c r="A152" t="s">
        <v>0</v>
      </c>
      <c r="B152" t="s">
        <v>139</v>
      </c>
      <c r="C152">
        <v>2025</v>
      </c>
      <c r="D152">
        <v>62</v>
      </c>
      <c r="E152">
        <v>0.5</v>
      </c>
      <c r="F152">
        <v>0.5</v>
      </c>
      <c r="G152">
        <v>0.06</v>
      </c>
      <c r="H152">
        <v>0.4</v>
      </c>
      <c r="I152">
        <v>0.64</v>
      </c>
      <c r="J152">
        <v>0.45</v>
      </c>
      <c r="K152">
        <v>0.54</v>
      </c>
      <c r="L152" t="s">
        <v>1</v>
      </c>
      <c r="M152" t="s">
        <v>21</v>
      </c>
    </row>
    <row r="153" spans="1:13" x14ac:dyDescent="0.45">
      <c r="A153" t="s">
        <v>0</v>
      </c>
      <c r="B153" t="s">
        <v>139</v>
      </c>
      <c r="C153">
        <v>2030</v>
      </c>
      <c r="D153">
        <v>62</v>
      </c>
      <c r="E153">
        <v>0.49</v>
      </c>
      <c r="F153">
        <v>0.47</v>
      </c>
      <c r="G153">
        <v>0.08</v>
      </c>
      <c r="H153">
        <v>0.38</v>
      </c>
      <c r="I153">
        <v>0.66</v>
      </c>
      <c r="J153">
        <v>0.42</v>
      </c>
      <c r="K153">
        <v>0.54</v>
      </c>
      <c r="L153" t="s">
        <v>1</v>
      </c>
      <c r="M153" t="s">
        <v>21</v>
      </c>
    </row>
    <row r="154" spans="1:13" x14ac:dyDescent="0.45">
      <c r="A154" t="s">
        <v>0</v>
      </c>
      <c r="B154" t="s">
        <v>139</v>
      </c>
      <c r="C154">
        <v>2035</v>
      </c>
      <c r="D154">
        <v>62</v>
      </c>
      <c r="E154">
        <v>0.48</v>
      </c>
      <c r="F154">
        <v>0.46</v>
      </c>
      <c r="G154">
        <v>0.08</v>
      </c>
      <c r="H154">
        <v>0.35</v>
      </c>
      <c r="I154">
        <v>0.7</v>
      </c>
      <c r="J154">
        <v>0.42</v>
      </c>
      <c r="K154">
        <v>0.54</v>
      </c>
      <c r="L154" t="s">
        <v>1</v>
      </c>
      <c r="M154" t="s">
        <v>21</v>
      </c>
    </row>
    <row r="155" spans="1:13" x14ac:dyDescent="0.45">
      <c r="A155" t="s">
        <v>0</v>
      </c>
      <c r="B155" t="s">
        <v>139</v>
      </c>
      <c r="C155">
        <v>2040</v>
      </c>
      <c r="D155">
        <v>62</v>
      </c>
      <c r="E155">
        <v>0.47</v>
      </c>
      <c r="F155">
        <v>0.43</v>
      </c>
      <c r="G155">
        <v>0.09</v>
      </c>
      <c r="H155">
        <v>0.34</v>
      </c>
      <c r="I155">
        <v>0.72</v>
      </c>
      <c r="J155">
        <v>0.41</v>
      </c>
      <c r="K155">
        <v>0.53</v>
      </c>
      <c r="L155" t="s">
        <v>1</v>
      </c>
      <c r="M155" t="s">
        <v>21</v>
      </c>
    </row>
    <row r="156" spans="1:13" x14ac:dyDescent="0.45">
      <c r="A156" t="s">
        <v>0</v>
      </c>
      <c r="B156" t="s">
        <v>139</v>
      </c>
      <c r="C156">
        <v>2045</v>
      </c>
      <c r="D156">
        <v>62</v>
      </c>
      <c r="E156">
        <v>0.45</v>
      </c>
      <c r="F156">
        <v>0.4</v>
      </c>
      <c r="G156">
        <v>0.1</v>
      </c>
      <c r="H156">
        <v>0.3</v>
      </c>
      <c r="I156">
        <v>0.71</v>
      </c>
      <c r="J156">
        <v>0.38</v>
      </c>
      <c r="K156">
        <v>0.5</v>
      </c>
      <c r="L156" t="s">
        <v>1</v>
      </c>
      <c r="M156" t="s">
        <v>21</v>
      </c>
    </row>
    <row r="157" spans="1:13" x14ac:dyDescent="0.45">
      <c r="A157" t="s">
        <v>0</v>
      </c>
      <c r="B157" t="s">
        <v>139</v>
      </c>
      <c r="C157">
        <v>2050</v>
      </c>
      <c r="D157">
        <v>62</v>
      </c>
      <c r="E157">
        <v>0.44</v>
      </c>
      <c r="F157">
        <v>0.38</v>
      </c>
      <c r="G157">
        <v>0.11</v>
      </c>
      <c r="H157">
        <v>0.28999999999999998</v>
      </c>
      <c r="I157">
        <v>0.69</v>
      </c>
      <c r="J157">
        <v>0.37</v>
      </c>
      <c r="K157">
        <v>0.48</v>
      </c>
      <c r="L157" t="s">
        <v>1</v>
      </c>
      <c r="M157" t="s">
        <v>21</v>
      </c>
    </row>
    <row r="158" spans="1:13" x14ac:dyDescent="0.45">
      <c r="A158" t="s">
        <v>2</v>
      </c>
      <c r="B158" t="s">
        <v>139</v>
      </c>
      <c r="C158">
        <v>2020</v>
      </c>
      <c r="D158">
        <v>87</v>
      </c>
      <c r="E158">
        <v>0.51</v>
      </c>
      <c r="F158">
        <v>0.5</v>
      </c>
      <c r="G158">
        <v>0.05</v>
      </c>
      <c r="H158">
        <v>0.42</v>
      </c>
      <c r="I158">
        <v>0.6</v>
      </c>
      <c r="J158">
        <v>0.47</v>
      </c>
      <c r="K158">
        <v>0.55000000000000004</v>
      </c>
      <c r="L158" t="s">
        <v>3</v>
      </c>
      <c r="M158" t="s">
        <v>21</v>
      </c>
    </row>
    <row r="159" spans="1:13" x14ac:dyDescent="0.45">
      <c r="A159" t="s">
        <v>2</v>
      </c>
      <c r="B159" t="s">
        <v>139</v>
      </c>
      <c r="C159">
        <v>2025</v>
      </c>
      <c r="D159">
        <v>76</v>
      </c>
      <c r="E159">
        <v>0.49</v>
      </c>
      <c r="F159">
        <v>0.5</v>
      </c>
      <c r="G159">
        <v>0.06</v>
      </c>
      <c r="H159">
        <v>0.32</v>
      </c>
      <c r="I159">
        <v>0.65</v>
      </c>
      <c r="J159">
        <v>0.45</v>
      </c>
      <c r="K159">
        <v>0.52</v>
      </c>
      <c r="L159" t="s">
        <v>3</v>
      </c>
      <c r="M159" t="s">
        <v>21</v>
      </c>
    </row>
    <row r="160" spans="1:13" x14ac:dyDescent="0.45">
      <c r="A160" t="s">
        <v>2</v>
      </c>
      <c r="B160" t="s">
        <v>139</v>
      </c>
      <c r="C160">
        <v>2030</v>
      </c>
      <c r="D160">
        <v>87</v>
      </c>
      <c r="E160">
        <v>0.5</v>
      </c>
      <c r="F160">
        <v>0.52</v>
      </c>
      <c r="G160">
        <v>7.0000000000000007E-2</v>
      </c>
      <c r="H160">
        <v>0.26</v>
      </c>
      <c r="I160">
        <v>0.63</v>
      </c>
      <c r="J160">
        <v>0.43</v>
      </c>
      <c r="K160">
        <v>0.55000000000000004</v>
      </c>
      <c r="L160" t="s">
        <v>3</v>
      </c>
      <c r="M160" t="s">
        <v>21</v>
      </c>
    </row>
    <row r="161" spans="1:13" x14ac:dyDescent="0.45">
      <c r="A161" t="s">
        <v>2</v>
      </c>
      <c r="B161" t="s">
        <v>139</v>
      </c>
      <c r="C161">
        <v>2035</v>
      </c>
      <c r="D161">
        <v>76</v>
      </c>
      <c r="E161">
        <v>0.49</v>
      </c>
      <c r="F161">
        <v>0.49</v>
      </c>
      <c r="G161">
        <v>7.0000000000000007E-2</v>
      </c>
      <c r="H161">
        <v>0.28999999999999998</v>
      </c>
      <c r="I161">
        <v>0.63</v>
      </c>
      <c r="J161">
        <v>0.43</v>
      </c>
      <c r="K161">
        <v>0.54</v>
      </c>
      <c r="L161" t="s">
        <v>3</v>
      </c>
      <c r="M161" t="s">
        <v>21</v>
      </c>
    </row>
    <row r="162" spans="1:13" x14ac:dyDescent="0.45">
      <c r="A162" t="s">
        <v>2</v>
      </c>
      <c r="B162" t="s">
        <v>139</v>
      </c>
      <c r="C162">
        <v>2040</v>
      </c>
      <c r="D162">
        <v>87</v>
      </c>
      <c r="E162">
        <v>0.48</v>
      </c>
      <c r="F162">
        <v>0.48</v>
      </c>
      <c r="G162">
        <v>0.06</v>
      </c>
      <c r="H162">
        <v>0.3</v>
      </c>
      <c r="I162">
        <v>0.66</v>
      </c>
      <c r="J162">
        <v>0.45</v>
      </c>
      <c r="K162">
        <v>0.52</v>
      </c>
      <c r="L162" t="s">
        <v>3</v>
      </c>
      <c r="M162" t="s">
        <v>21</v>
      </c>
    </row>
    <row r="163" spans="1:13" x14ac:dyDescent="0.45">
      <c r="A163" t="s">
        <v>2</v>
      </c>
      <c r="B163" t="s">
        <v>139</v>
      </c>
      <c r="C163">
        <v>2045</v>
      </c>
      <c r="D163">
        <v>76</v>
      </c>
      <c r="E163">
        <v>0.46</v>
      </c>
      <c r="F163">
        <v>0.48</v>
      </c>
      <c r="G163">
        <v>0.06</v>
      </c>
      <c r="H163">
        <v>0.28999999999999998</v>
      </c>
      <c r="I163">
        <v>0.66</v>
      </c>
      <c r="J163">
        <v>0.42</v>
      </c>
      <c r="K163">
        <v>0.5</v>
      </c>
      <c r="L163" t="s">
        <v>3</v>
      </c>
      <c r="M163" t="s">
        <v>21</v>
      </c>
    </row>
    <row r="164" spans="1:13" x14ac:dyDescent="0.45">
      <c r="A164" t="s">
        <v>2</v>
      </c>
      <c r="B164" t="s">
        <v>139</v>
      </c>
      <c r="C164">
        <v>2050</v>
      </c>
      <c r="D164">
        <v>87</v>
      </c>
      <c r="E164">
        <v>0.45</v>
      </c>
      <c r="F164">
        <v>0.46</v>
      </c>
      <c r="G164">
        <v>7.0000000000000007E-2</v>
      </c>
      <c r="H164">
        <v>0.28000000000000003</v>
      </c>
      <c r="I164">
        <v>0.68</v>
      </c>
      <c r="J164">
        <v>0.39</v>
      </c>
      <c r="K164">
        <v>0.48</v>
      </c>
      <c r="L164" t="s">
        <v>3</v>
      </c>
      <c r="M164" t="s">
        <v>21</v>
      </c>
    </row>
    <row r="165" spans="1:13" x14ac:dyDescent="0.45">
      <c r="A165" t="s">
        <v>5</v>
      </c>
      <c r="B165" t="s">
        <v>139</v>
      </c>
      <c r="C165">
        <v>2020</v>
      </c>
      <c r="D165">
        <v>220</v>
      </c>
      <c r="E165">
        <v>0.51</v>
      </c>
      <c r="F165">
        <v>0.49</v>
      </c>
      <c r="G165">
        <v>0.05</v>
      </c>
      <c r="H165">
        <v>0.43</v>
      </c>
      <c r="I165">
        <v>0.6</v>
      </c>
      <c r="J165">
        <v>0.48</v>
      </c>
      <c r="K165">
        <v>0.55000000000000004</v>
      </c>
      <c r="L165" t="s">
        <v>6</v>
      </c>
      <c r="M165" t="s">
        <v>21</v>
      </c>
    </row>
    <row r="166" spans="1:13" x14ac:dyDescent="0.45">
      <c r="A166" t="s">
        <v>5</v>
      </c>
      <c r="B166" t="s">
        <v>139</v>
      </c>
      <c r="C166">
        <v>2025</v>
      </c>
      <c r="D166">
        <v>197</v>
      </c>
      <c r="E166">
        <v>0.51</v>
      </c>
      <c r="F166">
        <v>0.52</v>
      </c>
      <c r="G166">
        <v>0.06</v>
      </c>
      <c r="H166">
        <v>0.35</v>
      </c>
      <c r="I166">
        <v>0.66</v>
      </c>
      <c r="J166">
        <v>0.45</v>
      </c>
      <c r="K166">
        <v>0.54</v>
      </c>
      <c r="L166" t="s">
        <v>6</v>
      </c>
      <c r="M166" t="s">
        <v>21</v>
      </c>
    </row>
    <row r="167" spans="1:13" x14ac:dyDescent="0.45">
      <c r="A167" t="s">
        <v>5</v>
      </c>
      <c r="B167" t="s">
        <v>139</v>
      </c>
      <c r="C167">
        <v>2030</v>
      </c>
      <c r="D167">
        <v>220</v>
      </c>
      <c r="E167">
        <v>0.52</v>
      </c>
      <c r="F167">
        <v>0.54</v>
      </c>
      <c r="G167">
        <v>0.09</v>
      </c>
      <c r="H167">
        <v>0.37</v>
      </c>
      <c r="I167">
        <v>0.74</v>
      </c>
      <c r="J167">
        <v>0.42</v>
      </c>
      <c r="K167">
        <v>0.57999999999999996</v>
      </c>
      <c r="L167" t="s">
        <v>6</v>
      </c>
      <c r="M167" t="s">
        <v>21</v>
      </c>
    </row>
    <row r="168" spans="1:13" x14ac:dyDescent="0.45">
      <c r="A168" t="s">
        <v>5</v>
      </c>
      <c r="B168" t="s">
        <v>139</v>
      </c>
      <c r="C168">
        <v>2035</v>
      </c>
      <c r="D168">
        <v>197</v>
      </c>
      <c r="E168">
        <v>0.52</v>
      </c>
      <c r="F168">
        <v>0.51</v>
      </c>
      <c r="G168">
        <v>0.08</v>
      </c>
      <c r="H168">
        <v>0.39</v>
      </c>
      <c r="I168">
        <v>0.73</v>
      </c>
      <c r="J168">
        <v>0.44</v>
      </c>
      <c r="K168">
        <v>0.59</v>
      </c>
      <c r="L168" t="s">
        <v>6</v>
      </c>
      <c r="M168" t="s">
        <v>21</v>
      </c>
    </row>
    <row r="169" spans="1:13" x14ac:dyDescent="0.45">
      <c r="A169" t="s">
        <v>5</v>
      </c>
      <c r="B169" t="s">
        <v>139</v>
      </c>
      <c r="C169">
        <v>2040</v>
      </c>
      <c r="D169">
        <v>220</v>
      </c>
      <c r="E169">
        <v>0.53</v>
      </c>
      <c r="F169">
        <v>0.51</v>
      </c>
      <c r="G169">
        <v>0.1</v>
      </c>
      <c r="H169">
        <v>0.38</v>
      </c>
      <c r="I169">
        <v>0.73</v>
      </c>
      <c r="J169">
        <v>0.44</v>
      </c>
      <c r="K169">
        <v>0.6</v>
      </c>
      <c r="L169" t="s">
        <v>6</v>
      </c>
      <c r="M169" t="s">
        <v>21</v>
      </c>
    </row>
    <row r="170" spans="1:13" x14ac:dyDescent="0.45">
      <c r="A170" t="s">
        <v>5</v>
      </c>
      <c r="B170" t="s">
        <v>139</v>
      </c>
      <c r="C170">
        <v>2045</v>
      </c>
      <c r="D170">
        <v>197</v>
      </c>
      <c r="E170">
        <v>0.49</v>
      </c>
      <c r="F170">
        <v>0.48</v>
      </c>
      <c r="G170">
        <v>0.09</v>
      </c>
      <c r="H170">
        <v>0.33</v>
      </c>
      <c r="I170">
        <v>0.72</v>
      </c>
      <c r="J170">
        <v>0.42</v>
      </c>
      <c r="K170">
        <v>0.56999999999999995</v>
      </c>
      <c r="L170" t="s">
        <v>6</v>
      </c>
      <c r="M170" t="s">
        <v>21</v>
      </c>
    </row>
    <row r="171" spans="1:13" x14ac:dyDescent="0.45">
      <c r="A171" t="s">
        <v>5</v>
      </c>
      <c r="B171" t="s">
        <v>139</v>
      </c>
      <c r="C171">
        <v>2050</v>
      </c>
      <c r="D171">
        <v>220</v>
      </c>
      <c r="E171">
        <v>0.51</v>
      </c>
      <c r="F171">
        <v>0.47</v>
      </c>
      <c r="G171">
        <v>0.12</v>
      </c>
      <c r="H171">
        <v>0.32</v>
      </c>
      <c r="I171">
        <v>0.82</v>
      </c>
      <c r="J171">
        <v>0.4</v>
      </c>
      <c r="K171">
        <v>0.57999999999999996</v>
      </c>
      <c r="L171" t="s">
        <v>6</v>
      </c>
      <c r="M171" t="s">
        <v>21</v>
      </c>
    </row>
    <row r="172" spans="1:13" x14ac:dyDescent="0.45">
      <c r="A172" t="s">
        <v>7</v>
      </c>
      <c r="B172" t="s">
        <v>139</v>
      </c>
      <c r="C172">
        <v>2020</v>
      </c>
      <c r="D172">
        <v>79</v>
      </c>
      <c r="E172">
        <v>0.53</v>
      </c>
      <c r="F172">
        <v>0.54</v>
      </c>
      <c r="G172">
        <v>0.06</v>
      </c>
      <c r="H172">
        <v>0.43</v>
      </c>
      <c r="I172">
        <v>0.6</v>
      </c>
      <c r="J172">
        <v>0.47</v>
      </c>
      <c r="K172">
        <v>0.59</v>
      </c>
      <c r="L172" t="s">
        <v>8</v>
      </c>
      <c r="M172" t="s">
        <v>21</v>
      </c>
    </row>
    <row r="173" spans="1:13" x14ac:dyDescent="0.45">
      <c r="A173" t="s">
        <v>7</v>
      </c>
      <c r="B173" t="s">
        <v>139</v>
      </c>
      <c r="C173">
        <v>2025</v>
      </c>
      <c r="D173">
        <v>73</v>
      </c>
      <c r="E173">
        <v>0.55000000000000004</v>
      </c>
      <c r="F173">
        <v>0.54</v>
      </c>
      <c r="G173">
        <v>0.06</v>
      </c>
      <c r="H173">
        <v>0.35</v>
      </c>
      <c r="I173">
        <v>0.63</v>
      </c>
      <c r="J173">
        <v>0.52</v>
      </c>
      <c r="K173">
        <v>0.59</v>
      </c>
      <c r="L173" t="s">
        <v>8</v>
      </c>
      <c r="M173" t="s">
        <v>21</v>
      </c>
    </row>
    <row r="174" spans="1:13" x14ac:dyDescent="0.45">
      <c r="A174" t="s">
        <v>7</v>
      </c>
      <c r="B174" t="s">
        <v>139</v>
      </c>
      <c r="C174">
        <v>2030</v>
      </c>
      <c r="D174">
        <v>79</v>
      </c>
      <c r="E174">
        <v>0.57999999999999996</v>
      </c>
      <c r="F174">
        <v>0.56999999999999995</v>
      </c>
      <c r="G174">
        <v>0.06</v>
      </c>
      <c r="H174">
        <v>0.37</v>
      </c>
      <c r="I174">
        <v>0.69</v>
      </c>
      <c r="J174">
        <v>0.54</v>
      </c>
      <c r="K174">
        <v>0.63</v>
      </c>
      <c r="L174" t="s">
        <v>8</v>
      </c>
      <c r="M174" t="s">
        <v>21</v>
      </c>
    </row>
    <row r="175" spans="1:13" x14ac:dyDescent="0.45">
      <c r="A175" t="s">
        <v>7</v>
      </c>
      <c r="B175" t="s">
        <v>139</v>
      </c>
      <c r="C175">
        <v>2035</v>
      </c>
      <c r="D175">
        <v>73</v>
      </c>
      <c r="E175">
        <v>0.57999999999999996</v>
      </c>
      <c r="F175">
        <v>0.61</v>
      </c>
      <c r="G175">
        <v>0.05</v>
      </c>
      <c r="H175">
        <v>0.5</v>
      </c>
      <c r="I175">
        <v>0.65</v>
      </c>
      <c r="J175">
        <v>0.53</v>
      </c>
      <c r="K175">
        <v>0.63</v>
      </c>
      <c r="L175" t="s">
        <v>8</v>
      </c>
      <c r="M175" t="s">
        <v>21</v>
      </c>
    </row>
    <row r="176" spans="1:13" x14ac:dyDescent="0.45">
      <c r="A176" t="s">
        <v>7</v>
      </c>
      <c r="B176" t="s">
        <v>139</v>
      </c>
      <c r="C176">
        <v>2040</v>
      </c>
      <c r="D176">
        <v>79</v>
      </c>
      <c r="E176">
        <v>0.57999999999999996</v>
      </c>
      <c r="F176">
        <v>0.61</v>
      </c>
      <c r="G176">
        <v>7.0000000000000007E-2</v>
      </c>
      <c r="H176">
        <v>0.44</v>
      </c>
      <c r="I176">
        <v>0.72</v>
      </c>
      <c r="J176">
        <v>0.52</v>
      </c>
      <c r="K176">
        <v>0.63</v>
      </c>
      <c r="L176" t="s">
        <v>8</v>
      </c>
      <c r="M176" t="s">
        <v>21</v>
      </c>
    </row>
    <row r="177" spans="1:13" x14ac:dyDescent="0.45">
      <c r="A177" t="s">
        <v>7</v>
      </c>
      <c r="B177" t="s">
        <v>139</v>
      </c>
      <c r="C177">
        <v>2045</v>
      </c>
      <c r="D177">
        <v>73</v>
      </c>
      <c r="E177">
        <v>0.55000000000000004</v>
      </c>
      <c r="F177">
        <v>0.54</v>
      </c>
      <c r="G177">
        <v>0.06</v>
      </c>
      <c r="H177">
        <v>0.44</v>
      </c>
      <c r="I177">
        <v>0.64</v>
      </c>
      <c r="J177">
        <v>0.5</v>
      </c>
      <c r="K177">
        <v>0.61</v>
      </c>
      <c r="L177" t="s">
        <v>8</v>
      </c>
      <c r="M177" t="s">
        <v>21</v>
      </c>
    </row>
    <row r="178" spans="1:13" x14ac:dyDescent="0.45">
      <c r="A178" t="s">
        <v>7</v>
      </c>
      <c r="B178" t="s">
        <v>139</v>
      </c>
      <c r="C178">
        <v>2050</v>
      </c>
      <c r="D178">
        <v>79</v>
      </c>
      <c r="E178">
        <v>0.55000000000000004</v>
      </c>
      <c r="F178">
        <v>0.53</v>
      </c>
      <c r="G178">
        <v>0.09</v>
      </c>
      <c r="H178">
        <v>0.42</v>
      </c>
      <c r="I178">
        <v>0.76</v>
      </c>
      <c r="J178">
        <v>0.48</v>
      </c>
      <c r="K178">
        <v>0.62</v>
      </c>
      <c r="L178" t="s">
        <v>8</v>
      </c>
      <c r="M178" t="s">
        <v>21</v>
      </c>
    </row>
    <row r="179" spans="1:13" x14ac:dyDescent="0.45">
      <c r="A179" t="s">
        <v>9</v>
      </c>
      <c r="B179" t="s">
        <v>139</v>
      </c>
      <c r="C179">
        <v>2020</v>
      </c>
      <c r="D179">
        <v>55</v>
      </c>
      <c r="E179">
        <v>0.5</v>
      </c>
      <c r="F179">
        <v>0.49</v>
      </c>
      <c r="G179">
        <v>0.06</v>
      </c>
      <c r="H179">
        <v>0.34</v>
      </c>
      <c r="I179">
        <v>0.6</v>
      </c>
      <c r="J179">
        <v>0.46</v>
      </c>
      <c r="K179">
        <v>0.54</v>
      </c>
      <c r="L179" t="s">
        <v>10</v>
      </c>
      <c r="M179" t="s">
        <v>21</v>
      </c>
    </row>
    <row r="180" spans="1:13" x14ac:dyDescent="0.45">
      <c r="A180" t="s">
        <v>9</v>
      </c>
      <c r="B180" t="s">
        <v>139</v>
      </c>
      <c r="C180">
        <v>2025</v>
      </c>
      <c r="D180">
        <v>50</v>
      </c>
      <c r="E180">
        <v>0.49</v>
      </c>
      <c r="F180">
        <v>0.46</v>
      </c>
      <c r="G180">
        <v>7.0000000000000007E-2</v>
      </c>
      <c r="H180">
        <v>0.35</v>
      </c>
      <c r="I180">
        <v>0.62</v>
      </c>
      <c r="J180">
        <v>0.45</v>
      </c>
      <c r="K180">
        <v>0.55000000000000004</v>
      </c>
      <c r="L180" t="s">
        <v>10</v>
      </c>
      <c r="M180" t="s">
        <v>21</v>
      </c>
    </row>
    <row r="181" spans="1:13" x14ac:dyDescent="0.45">
      <c r="A181" t="s">
        <v>9</v>
      </c>
      <c r="B181" t="s">
        <v>139</v>
      </c>
      <c r="C181">
        <v>2030</v>
      </c>
      <c r="D181">
        <v>55</v>
      </c>
      <c r="E181">
        <v>0.5</v>
      </c>
      <c r="F181">
        <v>0.47</v>
      </c>
      <c r="G181">
        <v>0.1</v>
      </c>
      <c r="H181">
        <v>0.3</v>
      </c>
      <c r="I181">
        <v>0.75</v>
      </c>
      <c r="J181">
        <v>0.42</v>
      </c>
      <c r="K181">
        <v>0.56000000000000005</v>
      </c>
      <c r="L181" t="s">
        <v>10</v>
      </c>
      <c r="M181" t="s">
        <v>21</v>
      </c>
    </row>
    <row r="182" spans="1:13" x14ac:dyDescent="0.45">
      <c r="A182" t="s">
        <v>9</v>
      </c>
      <c r="B182" t="s">
        <v>139</v>
      </c>
      <c r="C182">
        <v>2035</v>
      </c>
      <c r="D182">
        <v>50</v>
      </c>
      <c r="E182">
        <v>0.49</v>
      </c>
      <c r="F182">
        <v>0.46</v>
      </c>
      <c r="G182">
        <v>0.08</v>
      </c>
      <c r="H182">
        <v>0.32</v>
      </c>
      <c r="I182">
        <v>0.63</v>
      </c>
      <c r="J182">
        <v>0.43</v>
      </c>
      <c r="K182">
        <v>0.55000000000000004</v>
      </c>
      <c r="L182" t="s">
        <v>10</v>
      </c>
      <c r="M182" t="s">
        <v>21</v>
      </c>
    </row>
    <row r="183" spans="1:13" x14ac:dyDescent="0.45">
      <c r="A183" t="s">
        <v>9</v>
      </c>
      <c r="B183" t="s">
        <v>139</v>
      </c>
      <c r="C183">
        <v>2040</v>
      </c>
      <c r="D183">
        <v>55</v>
      </c>
      <c r="E183">
        <v>0.51</v>
      </c>
      <c r="F183">
        <v>0.47</v>
      </c>
      <c r="G183">
        <v>0.1</v>
      </c>
      <c r="H183">
        <v>0.33</v>
      </c>
      <c r="I183">
        <v>0.73</v>
      </c>
      <c r="J183">
        <v>0.43</v>
      </c>
      <c r="K183">
        <v>0.56999999999999995</v>
      </c>
      <c r="L183" t="s">
        <v>10</v>
      </c>
      <c r="M183" t="s">
        <v>21</v>
      </c>
    </row>
    <row r="184" spans="1:13" x14ac:dyDescent="0.45">
      <c r="A184" t="s">
        <v>9</v>
      </c>
      <c r="B184" t="s">
        <v>139</v>
      </c>
      <c r="C184">
        <v>2045</v>
      </c>
      <c r="D184">
        <v>50</v>
      </c>
      <c r="E184">
        <v>0.49</v>
      </c>
      <c r="F184">
        <v>0.48</v>
      </c>
      <c r="G184">
        <v>7.0000000000000007E-2</v>
      </c>
      <c r="H184">
        <v>0.34</v>
      </c>
      <c r="I184">
        <v>0.64</v>
      </c>
      <c r="J184">
        <v>0.43</v>
      </c>
      <c r="K184">
        <v>0.53</v>
      </c>
      <c r="L184" t="s">
        <v>10</v>
      </c>
      <c r="M184" t="s">
        <v>21</v>
      </c>
    </row>
    <row r="185" spans="1:13" x14ac:dyDescent="0.45">
      <c r="A185" t="s">
        <v>9</v>
      </c>
      <c r="B185" t="s">
        <v>139</v>
      </c>
      <c r="C185">
        <v>2050</v>
      </c>
      <c r="D185">
        <v>55</v>
      </c>
      <c r="E185">
        <v>0.51</v>
      </c>
      <c r="F185">
        <v>0.49</v>
      </c>
      <c r="G185">
        <v>0.11</v>
      </c>
      <c r="H185">
        <v>0.35</v>
      </c>
      <c r="I185">
        <v>0.78</v>
      </c>
      <c r="J185">
        <v>0.43</v>
      </c>
      <c r="K185">
        <v>0.56000000000000005</v>
      </c>
      <c r="L185" t="s">
        <v>10</v>
      </c>
      <c r="M185" t="s">
        <v>21</v>
      </c>
    </row>
    <row r="186" spans="1:13" x14ac:dyDescent="0.45">
      <c r="A186" t="s">
        <v>0</v>
      </c>
      <c r="B186" t="s">
        <v>139</v>
      </c>
      <c r="C186">
        <v>2020</v>
      </c>
      <c r="D186">
        <v>62</v>
      </c>
      <c r="E186">
        <v>0.01</v>
      </c>
      <c r="F186">
        <v>0.01</v>
      </c>
      <c r="G186">
        <v>0</v>
      </c>
      <c r="H186">
        <v>0</v>
      </c>
      <c r="I186">
        <v>0.02</v>
      </c>
      <c r="J186">
        <v>0.01</v>
      </c>
      <c r="K186">
        <v>0.01</v>
      </c>
      <c r="L186" t="s">
        <v>1</v>
      </c>
      <c r="M186" t="s">
        <v>23</v>
      </c>
    </row>
    <row r="187" spans="1:13" x14ac:dyDescent="0.45">
      <c r="A187" t="s">
        <v>0</v>
      </c>
      <c r="B187" t="s">
        <v>139</v>
      </c>
      <c r="C187">
        <v>2025</v>
      </c>
      <c r="D187">
        <v>62</v>
      </c>
      <c r="E187">
        <v>0.02</v>
      </c>
      <c r="F187">
        <v>0.01</v>
      </c>
      <c r="G187">
        <v>0.01</v>
      </c>
      <c r="H187">
        <v>0</v>
      </c>
      <c r="I187">
        <v>0.05</v>
      </c>
      <c r="J187">
        <v>0.01</v>
      </c>
      <c r="K187">
        <v>0.02</v>
      </c>
      <c r="L187" t="s">
        <v>1</v>
      </c>
      <c r="M187" t="s">
        <v>23</v>
      </c>
    </row>
    <row r="188" spans="1:13" x14ac:dyDescent="0.45">
      <c r="A188" t="s">
        <v>0</v>
      </c>
      <c r="B188" t="s">
        <v>139</v>
      </c>
      <c r="C188">
        <v>2030</v>
      </c>
      <c r="D188">
        <v>62</v>
      </c>
      <c r="E188">
        <v>0.03</v>
      </c>
      <c r="F188">
        <v>0.02</v>
      </c>
      <c r="G188">
        <v>0.02</v>
      </c>
      <c r="H188">
        <v>0</v>
      </c>
      <c r="I188">
        <v>7.0000000000000007E-2</v>
      </c>
      <c r="J188">
        <v>0.02</v>
      </c>
      <c r="K188">
        <v>0.03</v>
      </c>
      <c r="L188" t="s">
        <v>1</v>
      </c>
      <c r="M188" t="s">
        <v>23</v>
      </c>
    </row>
    <row r="189" spans="1:13" x14ac:dyDescent="0.45">
      <c r="A189" t="s">
        <v>0</v>
      </c>
      <c r="B189" t="s">
        <v>139</v>
      </c>
      <c r="C189">
        <v>2035</v>
      </c>
      <c r="D189">
        <v>62</v>
      </c>
      <c r="E189">
        <v>0.04</v>
      </c>
      <c r="F189">
        <v>0.04</v>
      </c>
      <c r="G189">
        <v>0.02</v>
      </c>
      <c r="H189">
        <v>0</v>
      </c>
      <c r="I189">
        <v>0.11</v>
      </c>
      <c r="J189">
        <v>0.03</v>
      </c>
      <c r="K189">
        <v>0.06</v>
      </c>
      <c r="L189" t="s">
        <v>1</v>
      </c>
      <c r="M189" t="s">
        <v>23</v>
      </c>
    </row>
    <row r="190" spans="1:13" x14ac:dyDescent="0.45">
      <c r="A190" t="s">
        <v>0</v>
      </c>
      <c r="B190" t="s">
        <v>139</v>
      </c>
      <c r="C190">
        <v>2040</v>
      </c>
      <c r="D190">
        <v>62</v>
      </c>
      <c r="E190">
        <v>0.06</v>
      </c>
      <c r="F190">
        <v>0.05</v>
      </c>
      <c r="G190">
        <v>0.04</v>
      </c>
      <c r="H190">
        <v>0.01</v>
      </c>
      <c r="I190">
        <v>0.14000000000000001</v>
      </c>
      <c r="J190">
        <v>0.04</v>
      </c>
      <c r="K190">
        <v>0.1</v>
      </c>
      <c r="L190" t="s">
        <v>1</v>
      </c>
      <c r="M190" t="s">
        <v>23</v>
      </c>
    </row>
    <row r="191" spans="1:13" x14ac:dyDescent="0.45">
      <c r="A191" t="s">
        <v>0</v>
      </c>
      <c r="B191" t="s">
        <v>139</v>
      </c>
      <c r="C191">
        <v>2045</v>
      </c>
      <c r="D191">
        <v>62</v>
      </c>
      <c r="E191">
        <v>7.0000000000000007E-2</v>
      </c>
      <c r="F191">
        <v>0.06</v>
      </c>
      <c r="G191">
        <v>0.05</v>
      </c>
      <c r="H191">
        <v>0</v>
      </c>
      <c r="I191">
        <v>0.18</v>
      </c>
      <c r="J191">
        <v>0.04</v>
      </c>
      <c r="K191">
        <v>0.11</v>
      </c>
      <c r="L191" t="s">
        <v>1</v>
      </c>
      <c r="M191" t="s">
        <v>23</v>
      </c>
    </row>
    <row r="192" spans="1:13" x14ac:dyDescent="0.45">
      <c r="A192" t="s">
        <v>0</v>
      </c>
      <c r="B192" t="s">
        <v>139</v>
      </c>
      <c r="C192">
        <v>2050</v>
      </c>
      <c r="D192">
        <v>62</v>
      </c>
      <c r="E192">
        <v>0.08</v>
      </c>
      <c r="F192">
        <v>0.06</v>
      </c>
      <c r="G192">
        <v>0.06</v>
      </c>
      <c r="H192">
        <v>0</v>
      </c>
      <c r="I192">
        <v>0.2</v>
      </c>
      <c r="J192">
        <v>0.05</v>
      </c>
      <c r="K192">
        <v>0.13</v>
      </c>
      <c r="L192" t="s">
        <v>1</v>
      </c>
      <c r="M192" t="s">
        <v>23</v>
      </c>
    </row>
    <row r="193" spans="1:13" x14ac:dyDescent="0.45">
      <c r="A193" t="s">
        <v>2</v>
      </c>
      <c r="B193" t="s">
        <v>139</v>
      </c>
      <c r="C193">
        <v>2020</v>
      </c>
      <c r="D193">
        <v>90</v>
      </c>
      <c r="E193">
        <v>0.01</v>
      </c>
      <c r="F193">
        <v>0.01</v>
      </c>
      <c r="G193">
        <v>0.01</v>
      </c>
      <c r="H193">
        <v>0</v>
      </c>
      <c r="I193">
        <v>0.02</v>
      </c>
      <c r="J193">
        <v>0.01</v>
      </c>
      <c r="K193">
        <v>0.02</v>
      </c>
      <c r="L193" t="s">
        <v>3</v>
      </c>
      <c r="M193" t="s">
        <v>23</v>
      </c>
    </row>
    <row r="194" spans="1:13" x14ac:dyDescent="0.45">
      <c r="A194" t="s">
        <v>2</v>
      </c>
      <c r="B194" t="s">
        <v>139</v>
      </c>
      <c r="C194">
        <v>2025</v>
      </c>
      <c r="D194">
        <v>79</v>
      </c>
      <c r="E194">
        <v>0.02</v>
      </c>
      <c r="F194">
        <v>0.02</v>
      </c>
      <c r="G194">
        <v>0.02</v>
      </c>
      <c r="H194">
        <v>0</v>
      </c>
      <c r="I194">
        <v>0.15</v>
      </c>
      <c r="J194">
        <v>0.01</v>
      </c>
      <c r="K194">
        <v>0.02</v>
      </c>
      <c r="L194" t="s">
        <v>3</v>
      </c>
      <c r="M194" t="s">
        <v>23</v>
      </c>
    </row>
    <row r="195" spans="1:13" x14ac:dyDescent="0.45">
      <c r="A195" t="s">
        <v>2</v>
      </c>
      <c r="B195" t="s">
        <v>139</v>
      </c>
      <c r="C195">
        <v>2030</v>
      </c>
      <c r="D195">
        <v>90</v>
      </c>
      <c r="E195">
        <v>0.03</v>
      </c>
      <c r="F195">
        <v>0.02</v>
      </c>
      <c r="G195">
        <v>0.02</v>
      </c>
      <c r="H195">
        <v>0</v>
      </c>
      <c r="I195">
        <v>0.11</v>
      </c>
      <c r="J195">
        <v>0.02</v>
      </c>
      <c r="K195">
        <v>0.06</v>
      </c>
      <c r="L195" t="s">
        <v>3</v>
      </c>
      <c r="M195" t="s">
        <v>23</v>
      </c>
    </row>
    <row r="196" spans="1:13" x14ac:dyDescent="0.45">
      <c r="A196" t="s">
        <v>2</v>
      </c>
      <c r="B196" t="s">
        <v>139</v>
      </c>
      <c r="C196">
        <v>2035</v>
      </c>
      <c r="D196">
        <v>79</v>
      </c>
      <c r="E196">
        <v>0.04</v>
      </c>
      <c r="F196">
        <v>0.03</v>
      </c>
      <c r="G196">
        <v>0.03</v>
      </c>
      <c r="H196">
        <v>0</v>
      </c>
      <c r="I196">
        <v>0.09</v>
      </c>
      <c r="J196">
        <v>0.02</v>
      </c>
      <c r="K196">
        <v>7.0000000000000007E-2</v>
      </c>
      <c r="L196" t="s">
        <v>3</v>
      </c>
      <c r="M196" t="s">
        <v>23</v>
      </c>
    </row>
    <row r="197" spans="1:13" x14ac:dyDescent="0.45">
      <c r="A197" t="s">
        <v>2</v>
      </c>
      <c r="B197" t="s">
        <v>139</v>
      </c>
      <c r="C197">
        <v>2040</v>
      </c>
      <c r="D197">
        <v>90</v>
      </c>
      <c r="E197">
        <v>0.06</v>
      </c>
      <c r="F197">
        <v>0.05</v>
      </c>
      <c r="G197">
        <v>0.04</v>
      </c>
      <c r="H197">
        <v>0.01</v>
      </c>
      <c r="I197">
        <v>0.12</v>
      </c>
      <c r="J197">
        <v>0.03</v>
      </c>
      <c r="K197">
        <v>0.1</v>
      </c>
      <c r="L197" t="s">
        <v>3</v>
      </c>
      <c r="M197" t="s">
        <v>23</v>
      </c>
    </row>
    <row r="198" spans="1:13" x14ac:dyDescent="0.45">
      <c r="A198" t="s">
        <v>2</v>
      </c>
      <c r="B198" t="s">
        <v>139</v>
      </c>
      <c r="C198">
        <v>2045</v>
      </c>
      <c r="D198">
        <v>79</v>
      </c>
      <c r="E198">
        <v>7.0000000000000007E-2</v>
      </c>
      <c r="F198">
        <v>0.06</v>
      </c>
      <c r="G198">
        <v>0.04</v>
      </c>
      <c r="H198">
        <v>0</v>
      </c>
      <c r="I198">
        <v>0.16</v>
      </c>
      <c r="J198">
        <v>0.04</v>
      </c>
      <c r="K198">
        <v>0.1</v>
      </c>
      <c r="L198" t="s">
        <v>3</v>
      </c>
      <c r="M198" t="s">
        <v>23</v>
      </c>
    </row>
    <row r="199" spans="1:13" x14ac:dyDescent="0.45">
      <c r="A199" t="s">
        <v>2</v>
      </c>
      <c r="B199" t="s">
        <v>139</v>
      </c>
      <c r="C199">
        <v>2050</v>
      </c>
      <c r="D199">
        <v>90</v>
      </c>
      <c r="E199">
        <v>0.1</v>
      </c>
      <c r="F199">
        <v>0.08</v>
      </c>
      <c r="G199">
        <v>0.06</v>
      </c>
      <c r="H199">
        <v>0</v>
      </c>
      <c r="I199">
        <v>0.19</v>
      </c>
      <c r="J199">
        <v>0.05</v>
      </c>
      <c r="K199">
        <v>0.16</v>
      </c>
      <c r="L199" t="s">
        <v>3</v>
      </c>
      <c r="M199" t="s">
        <v>23</v>
      </c>
    </row>
    <row r="200" spans="1:13" x14ac:dyDescent="0.45">
      <c r="A200" t="s">
        <v>5</v>
      </c>
      <c r="B200" t="s">
        <v>139</v>
      </c>
      <c r="C200">
        <v>2020</v>
      </c>
      <c r="D200">
        <v>221</v>
      </c>
      <c r="E200">
        <v>0.01</v>
      </c>
      <c r="F200">
        <v>0.01</v>
      </c>
      <c r="G200">
        <v>0</v>
      </c>
      <c r="H200">
        <v>0</v>
      </c>
      <c r="I200">
        <v>0.02</v>
      </c>
      <c r="J200">
        <v>0.01</v>
      </c>
      <c r="K200">
        <v>0.01</v>
      </c>
      <c r="L200" t="s">
        <v>6</v>
      </c>
      <c r="M200" t="s">
        <v>23</v>
      </c>
    </row>
    <row r="201" spans="1:13" x14ac:dyDescent="0.45">
      <c r="A201" t="s">
        <v>5</v>
      </c>
      <c r="B201" t="s">
        <v>139</v>
      </c>
      <c r="C201">
        <v>2025</v>
      </c>
      <c r="D201">
        <v>198</v>
      </c>
      <c r="E201">
        <v>0.03</v>
      </c>
      <c r="F201">
        <v>0.01</v>
      </c>
      <c r="G201">
        <v>0.05</v>
      </c>
      <c r="H201">
        <v>0</v>
      </c>
      <c r="I201">
        <v>0.32</v>
      </c>
      <c r="J201">
        <v>0.01</v>
      </c>
      <c r="K201">
        <v>0.02</v>
      </c>
      <c r="L201" t="s">
        <v>6</v>
      </c>
      <c r="M201" t="s">
        <v>23</v>
      </c>
    </row>
    <row r="202" spans="1:13" x14ac:dyDescent="0.45">
      <c r="A202" t="s">
        <v>5</v>
      </c>
      <c r="B202" t="s">
        <v>139</v>
      </c>
      <c r="C202">
        <v>2030</v>
      </c>
      <c r="D202">
        <v>221</v>
      </c>
      <c r="E202">
        <v>0.03</v>
      </c>
      <c r="F202">
        <v>0.02</v>
      </c>
      <c r="G202">
        <v>0.04</v>
      </c>
      <c r="H202">
        <v>0</v>
      </c>
      <c r="I202">
        <v>0.33</v>
      </c>
      <c r="J202">
        <v>0.01</v>
      </c>
      <c r="K202">
        <v>0.03</v>
      </c>
      <c r="L202" t="s">
        <v>6</v>
      </c>
      <c r="M202" t="s">
        <v>23</v>
      </c>
    </row>
    <row r="203" spans="1:13" x14ac:dyDescent="0.45">
      <c r="A203" t="s">
        <v>5</v>
      </c>
      <c r="B203" t="s">
        <v>139</v>
      </c>
      <c r="C203">
        <v>2035</v>
      </c>
      <c r="D203">
        <v>198</v>
      </c>
      <c r="E203">
        <v>0.03</v>
      </c>
      <c r="F203">
        <v>0.02</v>
      </c>
      <c r="G203">
        <v>0.02</v>
      </c>
      <c r="H203">
        <v>0</v>
      </c>
      <c r="I203">
        <v>0.09</v>
      </c>
      <c r="J203">
        <v>0.02</v>
      </c>
      <c r="K203">
        <v>0.03</v>
      </c>
      <c r="L203" t="s">
        <v>6</v>
      </c>
      <c r="M203" t="s">
        <v>23</v>
      </c>
    </row>
    <row r="204" spans="1:13" x14ac:dyDescent="0.45">
      <c r="A204" t="s">
        <v>5</v>
      </c>
      <c r="B204" t="s">
        <v>139</v>
      </c>
      <c r="C204">
        <v>2040</v>
      </c>
      <c r="D204">
        <v>221</v>
      </c>
      <c r="E204">
        <v>0.04</v>
      </c>
      <c r="F204">
        <v>0.03</v>
      </c>
      <c r="G204">
        <v>0.03</v>
      </c>
      <c r="H204">
        <v>0</v>
      </c>
      <c r="I204">
        <v>0.13</v>
      </c>
      <c r="J204">
        <v>0.02</v>
      </c>
      <c r="K204">
        <v>0.05</v>
      </c>
      <c r="L204" t="s">
        <v>6</v>
      </c>
      <c r="M204" t="s">
        <v>23</v>
      </c>
    </row>
    <row r="205" spans="1:13" x14ac:dyDescent="0.45">
      <c r="A205" t="s">
        <v>5</v>
      </c>
      <c r="B205" t="s">
        <v>139</v>
      </c>
      <c r="C205">
        <v>2045</v>
      </c>
      <c r="D205">
        <v>198</v>
      </c>
      <c r="E205">
        <v>0.06</v>
      </c>
      <c r="F205">
        <v>0.05</v>
      </c>
      <c r="G205">
        <v>0.04</v>
      </c>
      <c r="H205">
        <v>0</v>
      </c>
      <c r="I205">
        <v>0.17</v>
      </c>
      <c r="J205">
        <v>0.03</v>
      </c>
      <c r="K205">
        <v>7.0000000000000007E-2</v>
      </c>
      <c r="L205" t="s">
        <v>6</v>
      </c>
      <c r="M205" t="s">
        <v>23</v>
      </c>
    </row>
    <row r="206" spans="1:13" x14ac:dyDescent="0.45">
      <c r="A206" t="s">
        <v>5</v>
      </c>
      <c r="B206" t="s">
        <v>139</v>
      </c>
      <c r="C206">
        <v>2050</v>
      </c>
      <c r="D206">
        <v>221</v>
      </c>
      <c r="E206">
        <v>7.0000000000000007E-2</v>
      </c>
      <c r="F206">
        <v>0.05</v>
      </c>
      <c r="G206">
        <v>0.06</v>
      </c>
      <c r="H206">
        <v>0</v>
      </c>
      <c r="I206">
        <v>0.21</v>
      </c>
      <c r="J206">
        <v>0.03</v>
      </c>
      <c r="K206">
        <v>0.1</v>
      </c>
      <c r="L206" t="s">
        <v>6</v>
      </c>
      <c r="M206" t="s">
        <v>23</v>
      </c>
    </row>
    <row r="207" spans="1:13" x14ac:dyDescent="0.45">
      <c r="A207" t="s">
        <v>7</v>
      </c>
      <c r="B207" t="s">
        <v>139</v>
      </c>
      <c r="C207">
        <v>2020</v>
      </c>
      <c r="D207">
        <v>79</v>
      </c>
      <c r="E207">
        <v>0.01</v>
      </c>
      <c r="F207">
        <v>0.01</v>
      </c>
      <c r="G207">
        <v>0</v>
      </c>
      <c r="H207">
        <v>0</v>
      </c>
      <c r="I207">
        <v>0.02</v>
      </c>
      <c r="J207">
        <v>0.01</v>
      </c>
      <c r="K207">
        <v>0.02</v>
      </c>
      <c r="L207" t="s">
        <v>8</v>
      </c>
      <c r="M207" t="s">
        <v>23</v>
      </c>
    </row>
    <row r="208" spans="1:13" x14ac:dyDescent="0.45">
      <c r="A208" t="s">
        <v>7</v>
      </c>
      <c r="B208" t="s">
        <v>139</v>
      </c>
      <c r="C208">
        <v>2025</v>
      </c>
      <c r="D208">
        <v>73</v>
      </c>
      <c r="E208">
        <v>0.03</v>
      </c>
      <c r="F208">
        <v>0.02</v>
      </c>
      <c r="G208">
        <v>0.06</v>
      </c>
      <c r="H208">
        <v>0</v>
      </c>
      <c r="I208">
        <v>0.38</v>
      </c>
      <c r="J208">
        <v>0.01</v>
      </c>
      <c r="K208">
        <v>0.02</v>
      </c>
      <c r="L208" t="s">
        <v>8</v>
      </c>
      <c r="M208" t="s">
        <v>23</v>
      </c>
    </row>
    <row r="209" spans="1:13" x14ac:dyDescent="0.45">
      <c r="A209" t="s">
        <v>7</v>
      </c>
      <c r="B209" t="s">
        <v>139</v>
      </c>
      <c r="C209">
        <v>2030</v>
      </c>
      <c r="D209">
        <v>79</v>
      </c>
      <c r="E209">
        <v>0.03</v>
      </c>
      <c r="F209">
        <v>0.02</v>
      </c>
      <c r="G209">
        <v>0.05</v>
      </c>
      <c r="H209">
        <v>0</v>
      </c>
      <c r="I209">
        <v>0.3</v>
      </c>
      <c r="J209">
        <v>0.01</v>
      </c>
      <c r="K209">
        <v>0.03</v>
      </c>
      <c r="L209" t="s">
        <v>8</v>
      </c>
      <c r="M209" t="s">
        <v>23</v>
      </c>
    </row>
    <row r="210" spans="1:13" x14ac:dyDescent="0.45">
      <c r="A210" t="s">
        <v>7</v>
      </c>
      <c r="B210" t="s">
        <v>139</v>
      </c>
      <c r="C210">
        <v>2035</v>
      </c>
      <c r="D210">
        <v>73</v>
      </c>
      <c r="E210">
        <v>0.03</v>
      </c>
      <c r="F210">
        <v>0.03</v>
      </c>
      <c r="G210">
        <v>0.03</v>
      </c>
      <c r="H210">
        <v>0</v>
      </c>
      <c r="I210">
        <v>0.09</v>
      </c>
      <c r="J210">
        <v>0.01</v>
      </c>
      <c r="K210">
        <v>0.04</v>
      </c>
      <c r="L210" t="s">
        <v>8</v>
      </c>
      <c r="M210" t="s">
        <v>23</v>
      </c>
    </row>
    <row r="211" spans="1:13" x14ac:dyDescent="0.45">
      <c r="A211" t="s">
        <v>7</v>
      </c>
      <c r="B211" t="s">
        <v>139</v>
      </c>
      <c r="C211">
        <v>2040</v>
      </c>
      <c r="D211">
        <v>79</v>
      </c>
      <c r="E211">
        <v>0.04</v>
      </c>
      <c r="F211">
        <v>0.04</v>
      </c>
      <c r="G211">
        <v>0.04</v>
      </c>
      <c r="H211">
        <v>0.01</v>
      </c>
      <c r="I211">
        <v>0.13</v>
      </c>
      <c r="J211">
        <v>0.01</v>
      </c>
      <c r="K211">
        <v>0.06</v>
      </c>
      <c r="L211" t="s">
        <v>8</v>
      </c>
      <c r="M211" t="s">
        <v>23</v>
      </c>
    </row>
    <row r="212" spans="1:13" x14ac:dyDescent="0.45">
      <c r="A212" t="s">
        <v>7</v>
      </c>
      <c r="B212" t="s">
        <v>139</v>
      </c>
      <c r="C212">
        <v>2045</v>
      </c>
      <c r="D212">
        <v>73</v>
      </c>
      <c r="E212">
        <v>0.06</v>
      </c>
      <c r="F212">
        <v>0.06</v>
      </c>
      <c r="G212">
        <v>0.05</v>
      </c>
      <c r="H212">
        <v>0.01</v>
      </c>
      <c r="I212">
        <v>0.17</v>
      </c>
      <c r="J212">
        <v>0.02</v>
      </c>
      <c r="K212">
        <v>0.08</v>
      </c>
      <c r="L212" t="s">
        <v>8</v>
      </c>
      <c r="M212" t="s">
        <v>23</v>
      </c>
    </row>
    <row r="213" spans="1:13" x14ac:dyDescent="0.45">
      <c r="A213" t="s">
        <v>7</v>
      </c>
      <c r="B213" t="s">
        <v>139</v>
      </c>
      <c r="C213">
        <v>2050</v>
      </c>
      <c r="D213">
        <v>79</v>
      </c>
      <c r="E213">
        <v>7.0000000000000007E-2</v>
      </c>
      <c r="F213">
        <v>0.06</v>
      </c>
      <c r="G213">
        <v>7.0000000000000007E-2</v>
      </c>
      <c r="H213">
        <v>0.01</v>
      </c>
      <c r="I213">
        <v>0.22</v>
      </c>
      <c r="J213">
        <v>0.02</v>
      </c>
      <c r="K213">
        <v>0.11</v>
      </c>
      <c r="L213" t="s">
        <v>8</v>
      </c>
      <c r="M213" t="s">
        <v>23</v>
      </c>
    </row>
    <row r="214" spans="1:13" x14ac:dyDescent="0.45">
      <c r="A214" t="s">
        <v>9</v>
      </c>
      <c r="B214" t="s">
        <v>139</v>
      </c>
      <c r="C214">
        <v>2020</v>
      </c>
      <c r="D214">
        <v>59</v>
      </c>
      <c r="E214">
        <v>0.01</v>
      </c>
      <c r="F214">
        <v>0.01</v>
      </c>
      <c r="G214">
        <v>0.01</v>
      </c>
      <c r="H214">
        <v>0</v>
      </c>
      <c r="I214">
        <v>0.02</v>
      </c>
      <c r="J214">
        <v>0.01</v>
      </c>
      <c r="K214">
        <v>0.01</v>
      </c>
      <c r="L214" t="s">
        <v>10</v>
      </c>
      <c r="M214" t="s">
        <v>23</v>
      </c>
    </row>
    <row r="215" spans="1:13" x14ac:dyDescent="0.45">
      <c r="A215" t="s">
        <v>9</v>
      </c>
      <c r="B215" t="s">
        <v>139</v>
      </c>
      <c r="C215">
        <v>2025</v>
      </c>
      <c r="D215">
        <v>54</v>
      </c>
      <c r="E215">
        <v>0.01</v>
      </c>
      <c r="F215">
        <v>0.01</v>
      </c>
      <c r="G215">
        <v>0.01</v>
      </c>
      <c r="H215">
        <v>0</v>
      </c>
      <c r="I215">
        <v>0.03</v>
      </c>
      <c r="J215">
        <v>0.01</v>
      </c>
      <c r="K215">
        <v>0.01</v>
      </c>
      <c r="L215" t="s">
        <v>10</v>
      </c>
      <c r="M215" t="s">
        <v>23</v>
      </c>
    </row>
    <row r="216" spans="1:13" x14ac:dyDescent="0.45">
      <c r="A216" t="s">
        <v>9</v>
      </c>
      <c r="B216" t="s">
        <v>139</v>
      </c>
      <c r="C216">
        <v>2030</v>
      </c>
      <c r="D216">
        <v>59</v>
      </c>
      <c r="E216">
        <v>0.01</v>
      </c>
      <c r="F216">
        <v>0.01</v>
      </c>
      <c r="G216">
        <v>0.01</v>
      </c>
      <c r="H216">
        <v>0</v>
      </c>
      <c r="I216">
        <v>0.03</v>
      </c>
      <c r="J216">
        <v>0.01</v>
      </c>
      <c r="K216">
        <v>0.02</v>
      </c>
      <c r="L216" t="s">
        <v>10</v>
      </c>
      <c r="M216" t="s">
        <v>23</v>
      </c>
    </row>
    <row r="217" spans="1:13" x14ac:dyDescent="0.45">
      <c r="A217" t="s">
        <v>9</v>
      </c>
      <c r="B217" t="s">
        <v>139</v>
      </c>
      <c r="C217">
        <v>2035</v>
      </c>
      <c r="D217">
        <v>54</v>
      </c>
      <c r="E217">
        <v>0.02</v>
      </c>
      <c r="F217">
        <v>0.02</v>
      </c>
      <c r="G217">
        <v>0.01</v>
      </c>
      <c r="H217">
        <v>0</v>
      </c>
      <c r="I217">
        <v>0.04</v>
      </c>
      <c r="J217">
        <v>0.01</v>
      </c>
      <c r="K217">
        <v>0.03</v>
      </c>
      <c r="L217" t="s">
        <v>10</v>
      </c>
      <c r="M217" t="s">
        <v>23</v>
      </c>
    </row>
    <row r="218" spans="1:13" x14ac:dyDescent="0.45">
      <c r="A218" t="s">
        <v>9</v>
      </c>
      <c r="B218" t="s">
        <v>139</v>
      </c>
      <c r="C218">
        <v>2040</v>
      </c>
      <c r="D218">
        <v>59</v>
      </c>
      <c r="E218">
        <v>0.02</v>
      </c>
      <c r="F218">
        <v>0.02</v>
      </c>
      <c r="G218">
        <v>0.02</v>
      </c>
      <c r="H218">
        <v>0</v>
      </c>
      <c r="I218">
        <v>0.06</v>
      </c>
      <c r="J218">
        <v>0.01</v>
      </c>
      <c r="K218">
        <v>0.03</v>
      </c>
      <c r="L218" t="s">
        <v>10</v>
      </c>
      <c r="M218" t="s">
        <v>23</v>
      </c>
    </row>
    <row r="219" spans="1:13" x14ac:dyDescent="0.45">
      <c r="A219" t="s">
        <v>9</v>
      </c>
      <c r="B219" t="s">
        <v>139</v>
      </c>
      <c r="C219">
        <v>2045</v>
      </c>
      <c r="D219">
        <v>54</v>
      </c>
      <c r="E219">
        <v>0.03</v>
      </c>
      <c r="F219">
        <v>0.03</v>
      </c>
      <c r="G219">
        <v>0.02</v>
      </c>
      <c r="H219">
        <v>0</v>
      </c>
      <c r="I219">
        <v>0.08</v>
      </c>
      <c r="J219">
        <v>0.01</v>
      </c>
      <c r="K219">
        <v>0.05</v>
      </c>
      <c r="L219" t="s">
        <v>10</v>
      </c>
      <c r="M219" t="s">
        <v>23</v>
      </c>
    </row>
    <row r="220" spans="1:13" x14ac:dyDescent="0.45">
      <c r="A220" t="s">
        <v>9</v>
      </c>
      <c r="B220" t="s">
        <v>139</v>
      </c>
      <c r="C220">
        <v>2050</v>
      </c>
      <c r="D220">
        <v>59</v>
      </c>
      <c r="E220">
        <v>0.04</v>
      </c>
      <c r="F220">
        <v>0.03</v>
      </c>
      <c r="G220">
        <v>0.03</v>
      </c>
      <c r="H220">
        <v>0</v>
      </c>
      <c r="I220">
        <v>0.12</v>
      </c>
      <c r="J220">
        <v>0.01</v>
      </c>
      <c r="K220">
        <v>0.05</v>
      </c>
      <c r="L220" t="s">
        <v>10</v>
      </c>
      <c r="M220" t="s">
        <v>23</v>
      </c>
    </row>
    <row r="221" spans="1:13" x14ac:dyDescent="0.45">
      <c r="A221" t="s">
        <v>0</v>
      </c>
      <c r="B221" t="s">
        <v>139</v>
      </c>
      <c r="C221">
        <v>2020</v>
      </c>
      <c r="D221">
        <v>45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 t="s">
        <v>1</v>
      </c>
      <c r="M221" t="s">
        <v>70</v>
      </c>
    </row>
    <row r="222" spans="1:13" x14ac:dyDescent="0.45">
      <c r="A222" t="s">
        <v>0</v>
      </c>
      <c r="B222" t="s">
        <v>139</v>
      </c>
      <c r="C222">
        <v>2025</v>
      </c>
      <c r="D222">
        <v>45</v>
      </c>
      <c r="E222">
        <v>1.89</v>
      </c>
      <c r="F222">
        <v>1.42</v>
      </c>
      <c r="G222">
        <v>1.06</v>
      </c>
      <c r="H222">
        <v>0.98</v>
      </c>
      <c r="I222">
        <v>6.94</v>
      </c>
      <c r="J222">
        <v>1.25</v>
      </c>
      <c r="K222">
        <v>2.17</v>
      </c>
      <c r="L222" t="s">
        <v>1</v>
      </c>
      <c r="M222" t="s">
        <v>70</v>
      </c>
    </row>
    <row r="223" spans="1:13" x14ac:dyDescent="0.45">
      <c r="A223" t="s">
        <v>0</v>
      </c>
      <c r="B223" t="s">
        <v>139</v>
      </c>
      <c r="C223">
        <v>2030</v>
      </c>
      <c r="D223">
        <v>45</v>
      </c>
      <c r="E223">
        <v>4.08</v>
      </c>
      <c r="F223">
        <v>2.79</v>
      </c>
      <c r="G223">
        <v>3.25</v>
      </c>
      <c r="H223">
        <v>1.4</v>
      </c>
      <c r="I223">
        <v>11.77</v>
      </c>
      <c r="J223">
        <v>2.0699999999999998</v>
      </c>
      <c r="K223">
        <v>3.91</v>
      </c>
      <c r="L223" t="s">
        <v>1</v>
      </c>
      <c r="M223" t="s">
        <v>70</v>
      </c>
    </row>
    <row r="224" spans="1:13" x14ac:dyDescent="0.45">
      <c r="A224" t="s">
        <v>0</v>
      </c>
      <c r="B224" t="s">
        <v>139</v>
      </c>
      <c r="C224">
        <v>2035</v>
      </c>
      <c r="D224">
        <v>45</v>
      </c>
      <c r="E224">
        <v>6.02</v>
      </c>
      <c r="F224">
        <v>3.28</v>
      </c>
      <c r="G224">
        <v>6.72</v>
      </c>
      <c r="H224">
        <v>2.0099999999999998</v>
      </c>
      <c r="I224">
        <v>23.22</v>
      </c>
      <c r="J224">
        <v>2.5099999999999998</v>
      </c>
      <c r="K224">
        <v>4.6100000000000003</v>
      </c>
      <c r="L224" t="s">
        <v>1</v>
      </c>
      <c r="M224" t="s">
        <v>70</v>
      </c>
    </row>
    <row r="225" spans="1:13" x14ac:dyDescent="0.45">
      <c r="A225" t="s">
        <v>0</v>
      </c>
      <c r="B225" t="s">
        <v>139</v>
      </c>
      <c r="C225">
        <v>2040</v>
      </c>
      <c r="D225">
        <v>45</v>
      </c>
      <c r="E225">
        <v>8.8699999999999992</v>
      </c>
      <c r="F225">
        <v>4.2</v>
      </c>
      <c r="G225">
        <v>9.9600000000000009</v>
      </c>
      <c r="H225">
        <v>2.8</v>
      </c>
      <c r="I225">
        <v>33.03</v>
      </c>
      <c r="J225">
        <v>3.68</v>
      </c>
      <c r="K225">
        <v>6.81</v>
      </c>
      <c r="L225" t="s">
        <v>1</v>
      </c>
      <c r="M225" t="s">
        <v>70</v>
      </c>
    </row>
    <row r="226" spans="1:13" x14ac:dyDescent="0.45">
      <c r="A226" t="s">
        <v>0</v>
      </c>
      <c r="B226" t="s">
        <v>139</v>
      </c>
      <c r="C226">
        <v>2045</v>
      </c>
      <c r="D226">
        <v>45</v>
      </c>
      <c r="E226">
        <v>11.22</v>
      </c>
      <c r="F226">
        <v>5.78</v>
      </c>
      <c r="G226">
        <v>12.65</v>
      </c>
      <c r="H226">
        <v>3.1</v>
      </c>
      <c r="I226">
        <v>41.52</v>
      </c>
      <c r="J226">
        <v>4.6100000000000003</v>
      </c>
      <c r="K226">
        <v>8.3800000000000008</v>
      </c>
      <c r="L226" t="s">
        <v>1</v>
      </c>
      <c r="M226" t="s">
        <v>70</v>
      </c>
    </row>
    <row r="227" spans="1:13" x14ac:dyDescent="0.45">
      <c r="A227" t="s">
        <v>0</v>
      </c>
      <c r="B227" t="s">
        <v>139</v>
      </c>
      <c r="C227">
        <v>2050</v>
      </c>
      <c r="D227">
        <v>45</v>
      </c>
      <c r="E227">
        <v>12.65</v>
      </c>
      <c r="F227">
        <v>6.68</v>
      </c>
      <c r="G227">
        <v>14.61</v>
      </c>
      <c r="H227">
        <v>3.15</v>
      </c>
      <c r="I227">
        <v>47.39</v>
      </c>
      <c r="J227">
        <v>4.87</v>
      </c>
      <c r="K227">
        <v>9.56</v>
      </c>
      <c r="L227" t="s">
        <v>1</v>
      </c>
      <c r="M227" t="s">
        <v>70</v>
      </c>
    </row>
    <row r="228" spans="1:13" x14ac:dyDescent="0.45">
      <c r="A228" t="s">
        <v>2</v>
      </c>
      <c r="B228" t="s">
        <v>139</v>
      </c>
      <c r="C228">
        <v>2020</v>
      </c>
      <c r="D228">
        <v>44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1</v>
      </c>
      <c r="L228" t="s">
        <v>3</v>
      </c>
      <c r="M228" t="s">
        <v>70</v>
      </c>
    </row>
    <row r="229" spans="1:13" x14ac:dyDescent="0.45">
      <c r="A229" t="s">
        <v>2</v>
      </c>
      <c r="B229" t="s">
        <v>139</v>
      </c>
      <c r="C229">
        <v>2025</v>
      </c>
      <c r="D229">
        <v>44</v>
      </c>
      <c r="E229">
        <v>1.29</v>
      </c>
      <c r="F229">
        <v>1.23</v>
      </c>
      <c r="G229">
        <v>0.37</v>
      </c>
      <c r="H229">
        <v>1.01</v>
      </c>
      <c r="I229">
        <v>2.68</v>
      </c>
      <c r="J229">
        <v>1.0900000000000001</v>
      </c>
      <c r="K229">
        <v>1.26</v>
      </c>
      <c r="L229" t="s">
        <v>3</v>
      </c>
      <c r="M229" t="s">
        <v>70</v>
      </c>
    </row>
    <row r="230" spans="1:13" x14ac:dyDescent="0.45">
      <c r="A230" t="s">
        <v>2</v>
      </c>
      <c r="B230" t="s">
        <v>139</v>
      </c>
      <c r="C230">
        <v>2030</v>
      </c>
      <c r="D230">
        <v>44</v>
      </c>
      <c r="E230">
        <v>1.88</v>
      </c>
      <c r="F230">
        <v>1.58</v>
      </c>
      <c r="G230">
        <v>0.89</v>
      </c>
      <c r="H230">
        <v>1.05</v>
      </c>
      <c r="I230">
        <v>4.2300000000000004</v>
      </c>
      <c r="J230">
        <v>1.22</v>
      </c>
      <c r="K230">
        <v>2.0699999999999998</v>
      </c>
      <c r="L230" t="s">
        <v>3</v>
      </c>
      <c r="M230" t="s">
        <v>70</v>
      </c>
    </row>
    <row r="231" spans="1:13" x14ac:dyDescent="0.45">
      <c r="A231" t="s">
        <v>2</v>
      </c>
      <c r="B231" t="s">
        <v>139</v>
      </c>
      <c r="C231">
        <v>2035</v>
      </c>
      <c r="D231">
        <v>44</v>
      </c>
      <c r="E231">
        <v>4.59</v>
      </c>
      <c r="F231">
        <v>2.4700000000000002</v>
      </c>
      <c r="G231">
        <v>7.19</v>
      </c>
      <c r="H231">
        <v>0</v>
      </c>
      <c r="I231">
        <v>43.03</v>
      </c>
      <c r="J231">
        <v>1.94</v>
      </c>
      <c r="K231">
        <v>3.7</v>
      </c>
      <c r="L231" t="s">
        <v>3</v>
      </c>
      <c r="M231" t="s">
        <v>70</v>
      </c>
    </row>
    <row r="232" spans="1:13" x14ac:dyDescent="0.45">
      <c r="A232" t="s">
        <v>2</v>
      </c>
      <c r="B232" t="s">
        <v>139</v>
      </c>
      <c r="C232">
        <v>2040</v>
      </c>
      <c r="D232">
        <v>44</v>
      </c>
      <c r="E232">
        <v>5.66</v>
      </c>
      <c r="F232">
        <v>3.55</v>
      </c>
      <c r="G232">
        <v>8.02</v>
      </c>
      <c r="H232">
        <v>0</v>
      </c>
      <c r="I232">
        <v>45.45</v>
      </c>
      <c r="J232">
        <v>2.1800000000000002</v>
      </c>
      <c r="K232">
        <v>4.55</v>
      </c>
      <c r="L232" t="s">
        <v>3</v>
      </c>
      <c r="M232" t="s">
        <v>70</v>
      </c>
    </row>
    <row r="233" spans="1:13" x14ac:dyDescent="0.45">
      <c r="A233" t="s">
        <v>2</v>
      </c>
      <c r="B233" t="s">
        <v>139</v>
      </c>
      <c r="C233">
        <v>2045</v>
      </c>
      <c r="D233">
        <v>44</v>
      </c>
      <c r="E233">
        <v>5.93</v>
      </c>
      <c r="F233">
        <v>4.43</v>
      </c>
      <c r="G233">
        <v>6.44</v>
      </c>
      <c r="H233">
        <v>0</v>
      </c>
      <c r="I233">
        <v>38.75</v>
      </c>
      <c r="J233">
        <v>2.83</v>
      </c>
      <c r="K233">
        <v>5.51</v>
      </c>
      <c r="L233" t="s">
        <v>3</v>
      </c>
      <c r="M233" t="s">
        <v>70</v>
      </c>
    </row>
    <row r="234" spans="1:13" x14ac:dyDescent="0.45">
      <c r="A234" t="s">
        <v>2</v>
      </c>
      <c r="B234" t="s">
        <v>139</v>
      </c>
      <c r="C234">
        <v>2050</v>
      </c>
      <c r="D234">
        <v>44</v>
      </c>
      <c r="E234">
        <v>5.53</v>
      </c>
      <c r="F234">
        <v>4.87</v>
      </c>
      <c r="G234">
        <v>3.17</v>
      </c>
      <c r="H234">
        <v>0</v>
      </c>
      <c r="I234">
        <v>16.7</v>
      </c>
      <c r="J234">
        <v>3.35</v>
      </c>
      <c r="K234">
        <v>6.71</v>
      </c>
      <c r="L234" t="s">
        <v>3</v>
      </c>
      <c r="M234" t="s">
        <v>70</v>
      </c>
    </row>
    <row r="235" spans="1:13" x14ac:dyDescent="0.45">
      <c r="A235" t="s">
        <v>5</v>
      </c>
      <c r="B235" t="s">
        <v>139</v>
      </c>
      <c r="C235">
        <v>2020</v>
      </c>
      <c r="D235">
        <v>111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 t="s">
        <v>6</v>
      </c>
      <c r="M235" t="s">
        <v>70</v>
      </c>
    </row>
    <row r="236" spans="1:13" x14ac:dyDescent="0.45">
      <c r="A236" t="s">
        <v>5</v>
      </c>
      <c r="B236" t="s">
        <v>139</v>
      </c>
      <c r="C236">
        <v>2025</v>
      </c>
      <c r="D236">
        <v>111</v>
      </c>
      <c r="E236">
        <v>1.28</v>
      </c>
      <c r="F236">
        <v>1.24</v>
      </c>
      <c r="G236">
        <v>0.38</v>
      </c>
      <c r="H236">
        <v>0</v>
      </c>
      <c r="I236">
        <v>2.27</v>
      </c>
      <c r="J236">
        <v>1.04</v>
      </c>
      <c r="K236">
        <v>1.41</v>
      </c>
      <c r="L236" t="s">
        <v>6</v>
      </c>
      <c r="M236" t="s">
        <v>70</v>
      </c>
    </row>
    <row r="237" spans="1:13" x14ac:dyDescent="0.45">
      <c r="A237" t="s">
        <v>5</v>
      </c>
      <c r="B237" t="s">
        <v>139</v>
      </c>
      <c r="C237">
        <v>2030</v>
      </c>
      <c r="D237">
        <v>111</v>
      </c>
      <c r="E237">
        <v>1.75</v>
      </c>
      <c r="F237">
        <v>1.8</v>
      </c>
      <c r="G237">
        <v>0.56999999999999995</v>
      </c>
      <c r="H237">
        <v>0</v>
      </c>
      <c r="I237">
        <v>3.34</v>
      </c>
      <c r="J237">
        <v>1.3</v>
      </c>
      <c r="K237">
        <v>2.0699999999999998</v>
      </c>
      <c r="L237" t="s">
        <v>6</v>
      </c>
      <c r="M237" t="s">
        <v>70</v>
      </c>
    </row>
    <row r="238" spans="1:13" x14ac:dyDescent="0.45">
      <c r="A238" t="s">
        <v>5</v>
      </c>
      <c r="B238" t="s">
        <v>139</v>
      </c>
      <c r="C238">
        <v>2035</v>
      </c>
      <c r="D238">
        <v>111</v>
      </c>
      <c r="E238">
        <v>2.35</v>
      </c>
      <c r="F238">
        <v>2.2000000000000002</v>
      </c>
      <c r="G238">
        <v>1.1000000000000001</v>
      </c>
      <c r="H238">
        <v>0</v>
      </c>
      <c r="I238">
        <v>9.6999999999999993</v>
      </c>
      <c r="J238">
        <v>1.74</v>
      </c>
      <c r="K238">
        <v>2.67</v>
      </c>
      <c r="L238" t="s">
        <v>6</v>
      </c>
      <c r="M238" t="s">
        <v>70</v>
      </c>
    </row>
    <row r="239" spans="1:13" x14ac:dyDescent="0.45">
      <c r="A239" t="s">
        <v>5</v>
      </c>
      <c r="B239" t="s">
        <v>139</v>
      </c>
      <c r="C239">
        <v>2040</v>
      </c>
      <c r="D239">
        <v>111</v>
      </c>
      <c r="E239">
        <v>3.01</v>
      </c>
      <c r="F239">
        <v>2.78</v>
      </c>
      <c r="G239">
        <v>1.52</v>
      </c>
      <c r="H239">
        <v>0</v>
      </c>
      <c r="I239">
        <v>14.06</v>
      </c>
      <c r="J239">
        <v>2.23</v>
      </c>
      <c r="K239">
        <v>3.41</v>
      </c>
      <c r="L239" t="s">
        <v>6</v>
      </c>
      <c r="M239" t="s">
        <v>70</v>
      </c>
    </row>
    <row r="240" spans="1:13" x14ac:dyDescent="0.45">
      <c r="A240" t="s">
        <v>5</v>
      </c>
      <c r="B240" t="s">
        <v>139</v>
      </c>
      <c r="C240">
        <v>2045</v>
      </c>
      <c r="D240">
        <v>111</v>
      </c>
      <c r="E240">
        <v>3.61</v>
      </c>
      <c r="F240">
        <v>3.29</v>
      </c>
      <c r="G240">
        <v>1.52</v>
      </c>
      <c r="H240">
        <v>0</v>
      </c>
      <c r="I240">
        <v>12.8</v>
      </c>
      <c r="J240">
        <v>2.9</v>
      </c>
      <c r="K240">
        <v>4.16</v>
      </c>
      <c r="L240" t="s">
        <v>6</v>
      </c>
      <c r="M240" t="s">
        <v>70</v>
      </c>
    </row>
    <row r="241" spans="1:13" x14ac:dyDescent="0.45">
      <c r="A241" t="s">
        <v>5</v>
      </c>
      <c r="B241" t="s">
        <v>139</v>
      </c>
      <c r="C241">
        <v>2050</v>
      </c>
      <c r="D241">
        <v>111</v>
      </c>
      <c r="E241">
        <v>4.09</v>
      </c>
      <c r="F241">
        <v>3.81</v>
      </c>
      <c r="G241">
        <v>1.61</v>
      </c>
      <c r="H241">
        <v>0</v>
      </c>
      <c r="I241">
        <v>8.86</v>
      </c>
      <c r="J241">
        <v>3.07</v>
      </c>
      <c r="K241">
        <v>4.71</v>
      </c>
      <c r="L241" t="s">
        <v>6</v>
      </c>
      <c r="M241" t="s">
        <v>70</v>
      </c>
    </row>
    <row r="242" spans="1:13" x14ac:dyDescent="0.45">
      <c r="A242" t="s">
        <v>7</v>
      </c>
      <c r="B242" t="s">
        <v>139</v>
      </c>
      <c r="C242">
        <v>2020</v>
      </c>
      <c r="D242">
        <v>30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 t="s">
        <v>8</v>
      </c>
      <c r="M242" t="s">
        <v>70</v>
      </c>
    </row>
    <row r="243" spans="1:13" x14ac:dyDescent="0.45">
      <c r="A243" t="s">
        <v>7</v>
      </c>
      <c r="B243" t="s">
        <v>139</v>
      </c>
      <c r="C243">
        <v>2025</v>
      </c>
      <c r="D243">
        <v>30</v>
      </c>
      <c r="E243">
        <v>1.19</v>
      </c>
      <c r="F243">
        <v>1.1599999999999999</v>
      </c>
      <c r="G243">
        <v>0.14000000000000001</v>
      </c>
      <c r="H243">
        <v>1.02</v>
      </c>
      <c r="I243">
        <v>1.48</v>
      </c>
      <c r="J243">
        <v>1.04</v>
      </c>
      <c r="K243">
        <v>1.3</v>
      </c>
      <c r="L243" t="s">
        <v>8</v>
      </c>
      <c r="M243" t="s">
        <v>70</v>
      </c>
    </row>
    <row r="244" spans="1:13" x14ac:dyDescent="0.45">
      <c r="A244" t="s">
        <v>7</v>
      </c>
      <c r="B244" t="s">
        <v>139</v>
      </c>
      <c r="C244">
        <v>2030</v>
      </c>
      <c r="D244">
        <v>30</v>
      </c>
      <c r="E244">
        <v>1.5</v>
      </c>
      <c r="F244">
        <v>1.54</v>
      </c>
      <c r="G244">
        <v>0.33</v>
      </c>
      <c r="H244">
        <v>1.01</v>
      </c>
      <c r="I244">
        <v>2.0499999999999998</v>
      </c>
      <c r="J244">
        <v>1.1499999999999999</v>
      </c>
      <c r="K244">
        <v>1.77</v>
      </c>
      <c r="L244" t="s">
        <v>8</v>
      </c>
      <c r="M244" t="s">
        <v>70</v>
      </c>
    </row>
    <row r="245" spans="1:13" x14ac:dyDescent="0.45">
      <c r="A245" t="s">
        <v>7</v>
      </c>
      <c r="B245" t="s">
        <v>139</v>
      </c>
      <c r="C245">
        <v>2035</v>
      </c>
      <c r="D245">
        <v>30</v>
      </c>
      <c r="E245">
        <v>1.89</v>
      </c>
      <c r="F245">
        <v>1.73</v>
      </c>
      <c r="G245">
        <v>0.53</v>
      </c>
      <c r="H245">
        <v>0.84</v>
      </c>
      <c r="I245">
        <v>3.21</v>
      </c>
      <c r="J245">
        <v>1.61</v>
      </c>
      <c r="K245">
        <v>2.0499999999999998</v>
      </c>
      <c r="L245" t="s">
        <v>8</v>
      </c>
      <c r="M245" t="s">
        <v>70</v>
      </c>
    </row>
    <row r="246" spans="1:13" x14ac:dyDescent="0.45">
      <c r="A246" t="s">
        <v>7</v>
      </c>
      <c r="B246" t="s">
        <v>139</v>
      </c>
      <c r="C246">
        <v>2040</v>
      </c>
      <c r="D246">
        <v>30</v>
      </c>
      <c r="E246">
        <v>2.34</v>
      </c>
      <c r="F246">
        <v>2.02</v>
      </c>
      <c r="G246">
        <v>0.79</v>
      </c>
      <c r="H246">
        <v>0.95</v>
      </c>
      <c r="I246">
        <v>5.05</v>
      </c>
      <c r="J246">
        <v>1.95</v>
      </c>
      <c r="K246">
        <v>2.29</v>
      </c>
      <c r="L246" t="s">
        <v>8</v>
      </c>
      <c r="M246" t="s">
        <v>70</v>
      </c>
    </row>
    <row r="247" spans="1:13" x14ac:dyDescent="0.45">
      <c r="A247" t="s">
        <v>7</v>
      </c>
      <c r="B247" t="s">
        <v>139</v>
      </c>
      <c r="C247">
        <v>2045</v>
      </c>
      <c r="D247">
        <v>30</v>
      </c>
      <c r="E247">
        <v>2.63</v>
      </c>
      <c r="F247">
        <v>2.27</v>
      </c>
      <c r="G247">
        <v>0.96</v>
      </c>
      <c r="H247">
        <v>0.93</v>
      </c>
      <c r="I247">
        <v>5.96</v>
      </c>
      <c r="J247">
        <v>2.2000000000000002</v>
      </c>
      <c r="K247">
        <v>2.62</v>
      </c>
      <c r="L247" t="s">
        <v>8</v>
      </c>
      <c r="M247" t="s">
        <v>70</v>
      </c>
    </row>
    <row r="248" spans="1:13" x14ac:dyDescent="0.45">
      <c r="A248" t="s">
        <v>7</v>
      </c>
      <c r="B248" t="s">
        <v>139</v>
      </c>
      <c r="C248">
        <v>2050</v>
      </c>
      <c r="D248">
        <v>30</v>
      </c>
      <c r="E248">
        <v>2.73</v>
      </c>
      <c r="F248">
        <v>2.48</v>
      </c>
      <c r="G248">
        <v>0.83</v>
      </c>
      <c r="H248">
        <v>0.92</v>
      </c>
      <c r="I248">
        <v>5.0599999999999996</v>
      </c>
      <c r="J248">
        <v>2.34</v>
      </c>
      <c r="K248">
        <v>2.92</v>
      </c>
      <c r="L248" t="s">
        <v>8</v>
      </c>
      <c r="M248" t="s">
        <v>70</v>
      </c>
    </row>
    <row r="249" spans="1:13" x14ac:dyDescent="0.45">
      <c r="A249" t="s">
        <v>9</v>
      </c>
      <c r="B249" t="s">
        <v>139</v>
      </c>
      <c r="C249">
        <v>2020</v>
      </c>
      <c r="D249">
        <v>45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 t="s">
        <v>10</v>
      </c>
      <c r="M249" t="s">
        <v>70</v>
      </c>
    </row>
    <row r="250" spans="1:13" x14ac:dyDescent="0.45">
      <c r="A250" t="s">
        <v>9</v>
      </c>
      <c r="B250" t="s">
        <v>139</v>
      </c>
      <c r="C250">
        <v>2025</v>
      </c>
      <c r="D250">
        <v>45</v>
      </c>
      <c r="E250">
        <v>1.07</v>
      </c>
      <c r="F250">
        <v>1.04</v>
      </c>
      <c r="G250">
        <v>0.08</v>
      </c>
      <c r="H250">
        <v>0.96</v>
      </c>
      <c r="I250">
        <v>1.24</v>
      </c>
      <c r="J250">
        <v>1.02</v>
      </c>
      <c r="K250">
        <v>1.1399999999999999</v>
      </c>
      <c r="L250" t="s">
        <v>10</v>
      </c>
      <c r="M250" t="s">
        <v>70</v>
      </c>
    </row>
    <row r="251" spans="1:13" x14ac:dyDescent="0.45">
      <c r="A251" t="s">
        <v>9</v>
      </c>
      <c r="B251" t="s">
        <v>139</v>
      </c>
      <c r="C251">
        <v>2030</v>
      </c>
      <c r="D251">
        <v>45</v>
      </c>
      <c r="E251">
        <v>1.36</v>
      </c>
      <c r="F251">
        <v>1.37</v>
      </c>
      <c r="G251">
        <v>0.23</v>
      </c>
      <c r="H251">
        <v>1.01</v>
      </c>
      <c r="I251">
        <v>1.81</v>
      </c>
      <c r="J251">
        <v>1.1399999999999999</v>
      </c>
      <c r="K251">
        <v>1.57</v>
      </c>
      <c r="L251" t="s">
        <v>10</v>
      </c>
      <c r="M251" t="s">
        <v>70</v>
      </c>
    </row>
    <row r="252" spans="1:13" x14ac:dyDescent="0.45">
      <c r="A252" t="s">
        <v>9</v>
      </c>
      <c r="B252" t="s">
        <v>139</v>
      </c>
      <c r="C252">
        <v>2035</v>
      </c>
      <c r="D252">
        <v>45</v>
      </c>
      <c r="E252">
        <v>1.31</v>
      </c>
      <c r="F252">
        <v>1.3</v>
      </c>
      <c r="G252">
        <v>0.22</v>
      </c>
      <c r="H252">
        <v>1.01</v>
      </c>
      <c r="I252">
        <v>1.98</v>
      </c>
      <c r="J252">
        <v>1.1599999999999999</v>
      </c>
      <c r="K252">
        <v>1.39</v>
      </c>
      <c r="L252" t="s">
        <v>10</v>
      </c>
      <c r="M252" t="s">
        <v>70</v>
      </c>
    </row>
    <row r="253" spans="1:13" x14ac:dyDescent="0.45">
      <c r="A253" t="s">
        <v>9</v>
      </c>
      <c r="B253" t="s">
        <v>139</v>
      </c>
      <c r="C253">
        <v>2040</v>
      </c>
      <c r="D253">
        <v>45</v>
      </c>
      <c r="E253">
        <v>1.53</v>
      </c>
      <c r="F253">
        <v>1.55</v>
      </c>
      <c r="G253">
        <v>0.28999999999999998</v>
      </c>
      <c r="H253">
        <v>1.03</v>
      </c>
      <c r="I253">
        <v>2.25</v>
      </c>
      <c r="J253">
        <v>1.38</v>
      </c>
      <c r="K253">
        <v>1.69</v>
      </c>
      <c r="L253" t="s">
        <v>10</v>
      </c>
      <c r="M253" t="s">
        <v>70</v>
      </c>
    </row>
    <row r="254" spans="1:13" x14ac:dyDescent="0.45">
      <c r="A254" t="s">
        <v>9</v>
      </c>
      <c r="B254" t="s">
        <v>139</v>
      </c>
      <c r="C254">
        <v>2045</v>
      </c>
      <c r="D254">
        <v>45</v>
      </c>
      <c r="E254">
        <v>1.64</v>
      </c>
      <c r="F254">
        <v>1.63</v>
      </c>
      <c r="G254">
        <v>0.34</v>
      </c>
      <c r="H254">
        <v>1.05</v>
      </c>
      <c r="I254">
        <v>2.5299999999999998</v>
      </c>
      <c r="J254">
        <v>1.52</v>
      </c>
      <c r="K254">
        <v>1.72</v>
      </c>
      <c r="L254" t="s">
        <v>10</v>
      </c>
      <c r="M254" t="s">
        <v>70</v>
      </c>
    </row>
    <row r="255" spans="1:13" x14ac:dyDescent="0.45">
      <c r="A255" t="s">
        <v>9</v>
      </c>
      <c r="B255" t="s">
        <v>139</v>
      </c>
      <c r="C255">
        <v>2050</v>
      </c>
      <c r="D255">
        <v>45</v>
      </c>
      <c r="E255">
        <v>1.75</v>
      </c>
      <c r="F255">
        <v>1.71</v>
      </c>
      <c r="G255">
        <v>0.41</v>
      </c>
      <c r="H255">
        <v>1.07</v>
      </c>
      <c r="I255">
        <v>2.81</v>
      </c>
      <c r="J255">
        <v>1.6</v>
      </c>
      <c r="K255">
        <v>1.91</v>
      </c>
      <c r="L255" t="s">
        <v>10</v>
      </c>
      <c r="M255" t="s">
        <v>70</v>
      </c>
    </row>
    <row r="256" spans="1:13" x14ac:dyDescent="0.45">
      <c r="A256" t="s">
        <v>0</v>
      </c>
      <c r="B256" t="s">
        <v>139</v>
      </c>
      <c r="C256">
        <v>2020</v>
      </c>
      <c r="D256">
        <v>50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71</v>
      </c>
    </row>
    <row r="257" spans="1:13" x14ac:dyDescent="0.45">
      <c r="A257" t="s">
        <v>0</v>
      </c>
      <c r="B257" t="s">
        <v>139</v>
      </c>
      <c r="C257">
        <v>2025</v>
      </c>
      <c r="D257">
        <v>50</v>
      </c>
      <c r="E257">
        <v>1.68</v>
      </c>
      <c r="F257">
        <v>1.62</v>
      </c>
      <c r="G257">
        <v>0.68</v>
      </c>
      <c r="H257">
        <v>0.33</v>
      </c>
      <c r="I257">
        <v>4.1399999999999997</v>
      </c>
      <c r="J257">
        <v>1.3</v>
      </c>
      <c r="K257">
        <v>1.93</v>
      </c>
      <c r="L257" t="s">
        <v>1</v>
      </c>
      <c r="M257" t="s">
        <v>71</v>
      </c>
    </row>
    <row r="258" spans="1:13" x14ac:dyDescent="0.45">
      <c r="A258" t="s">
        <v>0</v>
      </c>
      <c r="B258" t="s">
        <v>139</v>
      </c>
      <c r="C258">
        <v>2030</v>
      </c>
      <c r="D258">
        <v>50</v>
      </c>
      <c r="E258">
        <v>2.57</v>
      </c>
      <c r="F258">
        <v>2.44</v>
      </c>
      <c r="G258">
        <v>1.27</v>
      </c>
      <c r="H258">
        <v>0.28000000000000003</v>
      </c>
      <c r="I258">
        <v>7.3</v>
      </c>
      <c r="J258">
        <v>1.85</v>
      </c>
      <c r="K258">
        <v>3.34</v>
      </c>
      <c r="L258" t="s">
        <v>1</v>
      </c>
      <c r="M258" t="s">
        <v>71</v>
      </c>
    </row>
    <row r="259" spans="1:13" x14ac:dyDescent="0.45">
      <c r="A259" t="s">
        <v>0</v>
      </c>
      <c r="B259" t="s">
        <v>139</v>
      </c>
      <c r="C259">
        <v>2035</v>
      </c>
      <c r="D259">
        <v>50</v>
      </c>
      <c r="E259">
        <v>3.06</v>
      </c>
      <c r="F259">
        <v>2.7</v>
      </c>
      <c r="G259">
        <v>1.67</v>
      </c>
      <c r="H259">
        <v>0.31</v>
      </c>
      <c r="I259">
        <v>7.57</v>
      </c>
      <c r="J259">
        <v>2.1800000000000002</v>
      </c>
      <c r="K259">
        <v>3.28</v>
      </c>
      <c r="L259" t="s">
        <v>1</v>
      </c>
      <c r="M259" t="s">
        <v>71</v>
      </c>
    </row>
    <row r="260" spans="1:13" x14ac:dyDescent="0.45">
      <c r="A260" t="s">
        <v>0</v>
      </c>
      <c r="B260" t="s">
        <v>139</v>
      </c>
      <c r="C260">
        <v>2040</v>
      </c>
      <c r="D260">
        <v>50</v>
      </c>
      <c r="E260">
        <v>3.98</v>
      </c>
      <c r="F260">
        <v>3.54</v>
      </c>
      <c r="G260">
        <v>1.98</v>
      </c>
      <c r="H260">
        <v>0.25</v>
      </c>
      <c r="I260">
        <v>8.4</v>
      </c>
      <c r="J260">
        <v>2.98</v>
      </c>
      <c r="K260">
        <v>5.07</v>
      </c>
      <c r="L260" t="s">
        <v>1</v>
      </c>
      <c r="M260" t="s">
        <v>71</v>
      </c>
    </row>
    <row r="261" spans="1:13" x14ac:dyDescent="0.45">
      <c r="A261" t="s">
        <v>0</v>
      </c>
      <c r="B261" t="s">
        <v>139</v>
      </c>
      <c r="C261">
        <v>2045</v>
      </c>
      <c r="D261">
        <v>50</v>
      </c>
      <c r="E261">
        <v>4.59</v>
      </c>
      <c r="F261">
        <v>4.41</v>
      </c>
      <c r="G261">
        <v>2.66</v>
      </c>
      <c r="H261">
        <v>0.13</v>
      </c>
      <c r="I261">
        <v>9.58</v>
      </c>
      <c r="J261">
        <v>3.37</v>
      </c>
      <c r="K261">
        <v>5.82</v>
      </c>
      <c r="L261" t="s">
        <v>1</v>
      </c>
      <c r="M261" t="s">
        <v>71</v>
      </c>
    </row>
    <row r="262" spans="1:13" x14ac:dyDescent="0.45">
      <c r="A262" t="s">
        <v>0</v>
      </c>
      <c r="B262" t="s">
        <v>139</v>
      </c>
      <c r="C262">
        <v>2050</v>
      </c>
      <c r="D262">
        <v>50</v>
      </c>
      <c r="E262">
        <v>5</v>
      </c>
      <c r="F262">
        <v>4.6399999999999997</v>
      </c>
      <c r="G262">
        <v>3.13</v>
      </c>
      <c r="H262">
        <v>-0.06</v>
      </c>
      <c r="I262">
        <v>10.78</v>
      </c>
      <c r="J262">
        <v>3.83</v>
      </c>
      <c r="K262">
        <v>6.14</v>
      </c>
      <c r="L262" t="s">
        <v>1</v>
      </c>
      <c r="M262" t="s">
        <v>71</v>
      </c>
    </row>
    <row r="263" spans="1:13" x14ac:dyDescent="0.45">
      <c r="A263" t="s">
        <v>2</v>
      </c>
      <c r="B263" t="s">
        <v>139</v>
      </c>
      <c r="C263">
        <v>2020</v>
      </c>
      <c r="D263">
        <v>63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71</v>
      </c>
    </row>
    <row r="264" spans="1:13" x14ac:dyDescent="0.45">
      <c r="A264" t="s">
        <v>2</v>
      </c>
      <c r="B264" t="s">
        <v>139</v>
      </c>
      <c r="C264">
        <v>2025</v>
      </c>
      <c r="D264">
        <v>52</v>
      </c>
      <c r="E264">
        <v>1.41</v>
      </c>
      <c r="F264">
        <v>1.37</v>
      </c>
      <c r="G264">
        <v>0.27</v>
      </c>
      <c r="H264">
        <v>1.03</v>
      </c>
      <c r="I264">
        <v>1.93</v>
      </c>
      <c r="J264">
        <v>1.18</v>
      </c>
      <c r="K264">
        <v>1.59</v>
      </c>
      <c r="L264" t="s">
        <v>3</v>
      </c>
      <c r="M264" t="s">
        <v>71</v>
      </c>
    </row>
    <row r="265" spans="1:13" x14ac:dyDescent="0.45">
      <c r="A265" t="s">
        <v>2</v>
      </c>
      <c r="B265" t="s">
        <v>139</v>
      </c>
      <c r="C265">
        <v>2030</v>
      </c>
      <c r="D265">
        <v>63</v>
      </c>
      <c r="E265">
        <v>2.04</v>
      </c>
      <c r="F265">
        <v>1.53</v>
      </c>
      <c r="G265">
        <v>1.47</v>
      </c>
      <c r="H265">
        <v>0.82</v>
      </c>
      <c r="I265">
        <v>8</v>
      </c>
      <c r="J265">
        <v>1.18</v>
      </c>
      <c r="K265">
        <v>2.3199999999999998</v>
      </c>
      <c r="L265" t="s">
        <v>3</v>
      </c>
      <c r="M265" t="s">
        <v>71</v>
      </c>
    </row>
    <row r="266" spans="1:13" x14ac:dyDescent="0.45">
      <c r="A266" t="s">
        <v>2</v>
      </c>
      <c r="B266" t="s">
        <v>139</v>
      </c>
      <c r="C266">
        <v>2035</v>
      </c>
      <c r="D266">
        <v>52</v>
      </c>
      <c r="E266">
        <v>2.91</v>
      </c>
      <c r="F266">
        <v>1.99</v>
      </c>
      <c r="G266">
        <v>3.74</v>
      </c>
      <c r="H266">
        <v>0.76</v>
      </c>
      <c r="I266">
        <v>21.7</v>
      </c>
      <c r="J266">
        <v>1.32</v>
      </c>
      <c r="K266">
        <v>2.62</v>
      </c>
      <c r="L266" t="s">
        <v>3</v>
      </c>
      <c r="M266" t="s">
        <v>71</v>
      </c>
    </row>
    <row r="267" spans="1:13" x14ac:dyDescent="0.45">
      <c r="A267" t="s">
        <v>2</v>
      </c>
      <c r="B267" t="s">
        <v>139</v>
      </c>
      <c r="C267">
        <v>2040</v>
      </c>
      <c r="D267">
        <v>63</v>
      </c>
      <c r="E267">
        <v>3.43</v>
      </c>
      <c r="F267">
        <v>2.5099999999999998</v>
      </c>
      <c r="G267">
        <v>3.41</v>
      </c>
      <c r="H267">
        <v>0</v>
      </c>
      <c r="I267">
        <v>19.86</v>
      </c>
      <c r="J267">
        <v>1.63</v>
      </c>
      <c r="K267">
        <v>3.54</v>
      </c>
      <c r="L267" t="s">
        <v>3</v>
      </c>
      <c r="M267" t="s">
        <v>71</v>
      </c>
    </row>
    <row r="268" spans="1:13" x14ac:dyDescent="0.45">
      <c r="A268" t="s">
        <v>2</v>
      </c>
      <c r="B268" t="s">
        <v>139</v>
      </c>
      <c r="C268">
        <v>2045</v>
      </c>
      <c r="D268">
        <v>52</v>
      </c>
      <c r="E268">
        <v>2.95</v>
      </c>
      <c r="F268">
        <v>2.52</v>
      </c>
      <c r="G268">
        <v>1.96</v>
      </c>
      <c r="H268">
        <v>0</v>
      </c>
      <c r="I268">
        <v>9.93</v>
      </c>
      <c r="J268">
        <v>1.68</v>
      </c>
      <c r="K268">
        <v>3.98</v>
      </c>
      <c r="L268" t="s">
        <v>3</v>
      </c>
      <c r="M268" t="s">
        <v>71</v>
      </c>
    </row>
    <row r="269" spans="1:13" x14ac:dyDescent="0.45">
      <c r="A269" t="s">
        <v>2</v>
      </c>
      <c r="B269" t="s">
        <v>139</v>
      </c>
      <c r="C269">
        <v>2050</v>
      </c>
      <c r="D269">
        <v>63</v>
      </c>
      <c r="E269">
        <v>3.43</v>
      </c>
      <c r="F269">
        <v>1.98</v>
      </c>
      <c r="G269">
        <v>3.94</v>
      </c>
      <c r="H269">
        <v>0</v>
      </c>
      <c r="I269">
        <v>19.37</v>
      </c>
      <c r="J269">
        <v>1.33</v>
      </c>
      <c r="K269">
        <v>4.25</v>
      </c>
      <c r="L269" t="s">
        <v>3</v>
      </c>
      <c r="M269" t="s">
        <v>71</v>
      </c>
    </row>
    <row r="270" spans="1:13" x14ac:dyDescent="0.45">
      <c r="A270" t="s">
        <v>5</v>
      </c>
      <c r="B270" t="s">
        <v>139</v>
      </c>
      <c r="C270">
        <v>2020</v>
      </c>
      <c r="D270">
        <v>163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71</v>
      </c>
    </row>
    <row r="271" spans="1:13" x14ac:dyDescent="0.45">
      <c r="A271" t="s">
        <v>5</v>
      </c>
      <c r="B271" t="s">
        <v>139</v>
      </c>
      <c r="C271">
        <v>2025</v>
      </c>
      <c r="D271">
        <v>160</v>
      </c>
      <c r="E271">
        <v>1.38</v>
      </c>
      <c r="F271">
        <v>1.38</v>
      </c>
      <c r="G271">
        <v>0.27</v>
      </c>
      <c r="H271">
        <v>0</v>
      </c>
      <c r="I271">
        <v>1.97</v>
      </c>
      <c r="J271">
        <v>1.1499999999999999</v>
      </c>
      <c r="K271">
        <v>1.59</v>
      </c>
      <c r="L271" t="s">
        <v>6</v>
      </c>
      <c r="M271" t="s">
        <v>71</v>
      </c>
    </row>
    <row r="272" spans="1:13" x14ac:dyDescent="0.45">
      <c r="A272" t="s">
        <v>5</v>
      </c>
      <c r="B272" t="s">
        <v>139</v>
      </c>
      <c r="C272">
        <v>2030</v>
      </c>
      <c r="D272">
        <v>163</v>
      </c>
      <c r="E272">
        <v>1.73</v>
      </c>
      <c r="F272">
        <v>1.67</v>
      </c>
      <c r="G272">
        <v>0.56000000000000005</v>
      </c>
      <c r="H272">
        <v>0</v>
      </c>
      <c r="I272">
        <v>3.35</v>
      </c>
      <c r="J272">
        <v>1.29</v>
      </c>
      <c r="K272">
        <v>2.16</v>
      </c>
      <c r="L272" t="s">
        <v>6</v>
      </c>
      <c r="M272" t="s">
        <v>71</v>
      </c>
    </row>
    <row r="273" spans="1:13" x14ac:dyDescent="0.45">
      <c r="A273" t="s">
        <v>5</v>
      </c>
      <c r="B273" t="s">
        <v>139</v>
      </c>
      <c r="C273">
        <v>2035</v>
      </c>
      <c r="D273">
        <v>160</v>
      </c>
      <c r="E273">
        <v>1.97</v>
      </c>
      <c r="F273">
        <v>1.79</v>
      </c>
      <c r="G273">
        <v>0.85</v>
      </c>
      <c r="H273">
        <v>0</v>
      </c>
      <c r="I273">
        <v>8.33</v>
      </c>
      <c r="J273">
        <v>1.58</v>
      </c>
      <c r="K273">
        <v>2.25</v>
      </c>
      <c r="L273" t="s">
        <v>6</v>
      </c>
      <c r="M273" t="s">
        <v>71</v>
      </c>
    </row>
    <row r="274" spans="1:13" x14ac:dyDescent="0.45">
      <c r="A274" t="s">
        <v>5</v>
      </c>
      <c r="B274" t="s">
        <v>139</v>
      </c>
      <c r="C274">
        <v>2040</v>
      </c>
      <c r="D274">
        <v>163</v>
      </c>
      <c r="E274">
        <v>2.37</v>
      </c>
      <c r="F274">
        <v>2.31</v>
      </c>
      <c r="G274">
        <v>1.03</v>
      </c>
      <c r="H274">
        <v>0</v>
      </c>
      <c r="I274">
        <v>10.31</v>
      </c>
      <c r="J274">
        <v>1.79</v>
      </c>
      <c r="K274">
        <v>2.68</v>
      </c>
      <c r="L274" t="s">
        <v>6</v>
      </c>
      <c r="M274" t="s">
        <v>71</v>
      </c>
    </row>
    <row r="275" spans="1:13" x14ac:dyDescent="0.45">
      <c r="A275" t="s">
        <v>5</v>
      </c>
      <c r="B275" t="s">
        <v>139</v>
      </c>
      <c r="C275">
        <v>2045</v>
      </c>
      <c r="D275">
        <v>160</v>
      </c>
      <c r="E275">
        <v>2.79</v>
      </c>
      <c r="F275">
        <v>2.8</v>
      </c>
      <c r="G275">
        <v>1.1299999999999999</v>
      </c>
      <c r="H275">
        <v>0</v>
      </c>
      <c r="I275">
        <v>8.11</v>
      </c>
      <c r="J275">
        <v>2.1</v>
      </c>
      <c r="K275">
        <v>3.28</v>
      </c>
      <c r="L275" t="s">
        <v>6</v>
      </c>
      <c r="M275" t="s">
        <v>71</v>
      </c>
    </row>
    <row r="276" spans="1:13" x14ac:dyDescent="0.45">
      <c r="A276" t="s">
        <v>5</v>
      </c>
      <c r="B276" t="s">
        <v>139</v>
      </c>
      <c r="C276">
        <v>2050</v>
      </c>
      <c r="D276">
        <v>163</v>
      </c>
      <c r="E276">
        <v>2.89</v>
      </c>
      <c r="F276">
        <v>2.96</v>
      </c>
      <c r="G276">
        <v>1.3</v>
      </c>
      <c r="H276">
        <v>0</v>
      </c>
      <c r="I276">
        <v>7.49</v>
      </c>
      <c r="J276">
        <v>1.98</v>
      </c>
      <c r="K276">
        <v>3.61</v>
      </c>
      <c r="L276" t="s">
        <v>6</v>
      </c>
      <c r="M276" t="s">
        <v>71</v>
      </c>
    </row>
    <row r="277" spans="1:13" x14ac:dyDescent="0.45">
      <c r="A277" t="s">
        <v>7</v>
      </c>
      <c r="B277" t="s">
        <v>139</v>
      </c>
      <c r="C277">
        <v>2020</v>
      </c>
      <c r="D277">
        <v>51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71</v>
      </c>
    </row>
    <row r="278" spans="1:13" x14ac:dyDescent="0.45">
      <c r="A278" t="s">
        <v>7</v>
      </c>
      <c r="B278" t="s">
        <v>139</v>
      </c>
      <c r="C278">
        <v>2025</v>
      </c>
      <c r="D278">
        <v>51</v>
      </c>
      <c r="E278">
        <v>1.32</v>
      </c>
      <c r="F278">
        <v>1.34</v>
      </c>
      <c r="G278">
        <v>0.17</v>
      </c>
      <c r="H278">
        <v>1.01</v>
      </c>
      <c r="I278">
        <v>1.6</v>
      </c>
      <c r="J278">
        <v>1.1499999999999999</v>
      </c>
      <c r="K278">
        <v>1.45</v>
      </c>
      <c r="L278" t="s">
        <v>8</v>
      </c>
      <c r="M278" t="s">
        <v>71</v>
      </c>
    </row>
    <row r="279" spans="1:13" x14ac:dyDescent="0.45">
      <c r="A279" t="s">
        <v>7</v>
      </c>
      <c r="B279" t="s">
        <v>139</v>
      </c>
      <c r="C279">
        <v>2030</v>
      </c>
      <c r="D279">
        <v>51</v>
      </c>
      <c r="E279">
        <v>1.41</v>
      </c>
      <c r="F279">
        <v>1.31</v>
      </c>
      <c r="G279">
        <v>0.19</v>
      </c>
      <c r="H279">
        <v>1</v>
      </c>
      <c r="I279">
        <v>1.68</v>
      </c>
      <c r="J279">
        <v>1.27</v>
      </c>
      <c r="K279">
        <v>1.63</v>
      </c>
      <c r="L279" t="s">
        <v>8</v>
      </c>
      <c r="M279" t="s">
        <v>71</v>
      </c>
    </row>
    <row r="280" spans="1:13" x14ac:dyDescent="0.45">
      <c r="A280" t="s">
        <v>7</v>
      </c>
      <c r="B280" t="s">
        <v>139</v>
      </c>
      <c r="C280">
        <v>2035</v>
      </c>
      <c r="D280">
        <v>51</v>
      </c>
      <c r="E280">
        <v>1.58</v>
      </c>
      <c r="F280">
        <v>1.6</v>
      </c>
      <c r="G280">
        <v>0.22</v>
      </c>
      <c r="H280">
        <v>1.01</v>
      </c>
      <c r="I280">
        <v>2.17</v>
      </c>
      <c r="J280">
        <v>1.43</v>
      </c>
      <c r="K280">
        <v>1.69</v>
      </c>
      <c r="L280" t="s">
        <v>8</v>
      </c>
      <c r="M280" t="s">
        <v>71</v>
      </c>
    </row>
    <row r="281" spans="1:13" x14ac:dyDescent="0.45">
      <c r="A281" t="s">
        <v>7</v>
      </c>
      <c r="B281" t="s">
        <v>139</v>
      </c>
      <c r="C281">
        <v>2040</v>
      </c>
      <c r="D281">
        <v>51</v>
      </c>
      <c r="E281">
        <v>1.8</v>
      </c>
      <c r="F281">
        <v>1.78</v>
      </c>
      <c r="G281">
        <v>0.36</v>
      </c>
      <c r="H281">
        <v>0.99</v>
      </c>
      <c r="I281">
        <v>3.17</v>
      </c>
      <c r="J281">
        <v>1.53</v>
      </c>
      <c r="K281">
        <v>1.91</v>
      </c>
      <c r="L281" t="s">
        <v>8</v>
      </c>
      <c r="M281" t="s">
        <v>71</v>
      </c>
    </row>
    <row r="282" spans="1:13" x14ac:dyDescent="0.45">
      <c r="A282" t="s">
        <v>7</v>
      </c>
      <c r="B282" t="s">
        <v>139</v>
      </c>
      <c r="C282">
        <v>2045</v>
      </c>
      <c r="D282">
        <v>51</v>
      </c>
      <c r="E282">
        <v>2.02</v>
      </c>
      <c r="F282">
        <v>2</v>
      </c>
      <c r="G282">
        <v>0.45</v>
      </c>
      <c r="H282">
        <v>0.99</v>
      </c>
      <c r="I282">
        <v>3.63</v>
      </c>
      <c r="J282">
        <v>1.81</v>
      </c>
      <c r="K282">
        <v>2.1800000000000002</v>
      </c>
      <c r="L282" t="s">
        <v>8</v>
      </c>
      <c r="M282" t="s">
        <v>71</v>
      </c>
    </row>
    <row r="283" spans="1:13" x14ac:dyDescent="0.45">
      <c r="A283" t="s">
        <v>7</v>
      </c>
      <c r="B283" t="s">
        <v>139</v>
      </c>
      <c r="C283">
        <v>2050</v>
      </c>
      <c r="D283">
        <v>51</v>
      </c>
      <c r="E283">
        <v>2.11</v>
      </c>
      <c r="F283">
        <v>2.11</v>
      </c>
      <c r="G283">
        <v>0.49</v>
      </c>
      <c r="H283">
        <v>0.92</v>
      </c>
      <c r="I283">
        <v>4.0199999999999996</v>
      </c>
      <c r="J283">
        <v>1.91</v>
      </c>
      <c r="K283">
        <v>2.2799999999999998</v>
      </c>
      <c r="L283" t="s">
        <v>8</v>
      </c>
      <c r="M283" t="s">
        <v>71</v>
      </c>
    </row>
    <row r="284" spans="1:13" x14ac:dyDescent="0.45">
      <c r="A284" t="s">
        <v>9</v>
      </c>
      <c r="B284" t="s">
        <v>139</v>
      </c>
      <c r="C284">
        <v>2020</v>
      </c>
      <c r="D284">
        <v>40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71</v>
      </c>
    </row>
    <row r="285" spans="1:13" x14ac:dyDescent="0.45">
      <c r="A285" t="s">
        <v>9</v>
      </c>
      <c r="B285" t="s">
        <v>139</v>
      </c>
      <c r="C285">
        <v>2025</v>
      </c>
      <c r="D285">
        <v>40</v>
      </c>
      <c r="E285">
        <v>1.23</v>
      </c>
      <c r="F285">
        <v>1.1499999999999999</v>
      </c>
      <c r="G285">
        <v>0.19</v>
      </c>
      <c r="H285">
        <v>0.92</v>
      </c>
      <c r="I285">
        <v>1.63</v>
      </c>
      <c r="J285">
        <v>1.07</v>
      </c>
      <c r="K285">
        <v>1.37</v>
      </c>
      <c r="L285" t="s">
        <v>10</v>
      </c>
      <c r="M285" t="s">
        <v>71</v>
      </c>
    </row>
    <row r="286" spans="1:13" x14ac:dyDescent="0.45">
      <c r="A286" t="s">
        <v>9</v>
      </c>
      <c r="B286" t="s">
        <v>139</v>
      </c>
      <c r="C286">
        <v>2030</v>
      </c>
      <c r="D286">
        <v>40</v>
      </c>
      <c r="E286">
        <v>1.54</v>
      </c>
      <c r="F286">
        <v>1.6</v>
      </c>
      <c r="G286">
        <v>0.41</v>
      </c>
      <c r="H286">
        <v>1</v>
      </c>
      <c r="I286">
        <v>2.66</v>
      </c>
      <c r="J286">
        <v>1.18</v>
      </c>
      <c r="K286">
        <v>1.91</v>
      </c>
      <c r="L286" t="s">
        <v>10</v>
      </c>
      <c r="M286" t="s">
        <v>71</v>
      </c>
    </row>
    <row r="287" spans="1:13" x14ac:dyDescent="0.45">
      <c r="A287" t="s">
        <v>9</v>
      </c>
      <c r="B287" t="s">
        <v>139</v>
      </c>
      <c r="C287">
        <v>2035</v>
      </c>
      <c r="D287">
        <v>40</v>
      </c>
      <c r="E287">
        <v>1.36</v>
      </c>
      <c r="F287">
        <v>1.33</v>
      </c>
      <c r="G287">
        <v>0.26</v>
      </c>
      <c r="H287">
        <v>0.99</v>
      </c>
      <c r="I287">
        <v>1.86</v>
      </c>
      <c r="J287">
        <v>1.19</v>
      </c>
      <c r="K287">
        <v>1.55</v>
      </c>
      <c r="L287" t="s">
        <v>10</v>
      </c>
      <c r="M287" t="s">
        <v>71</v>
      </c>
    </row>
    <row r="288" spans="1:13" x14ac:dyDescent="0.45">
      <c r="A288" t="s">
        <v>9</v>
      </c>
      <c r="B288" t="s">
        <v>139</v>
      </c>
      <c r="C288">
        <v>2040</v>
      </c>
      <c r="D288">
        <v>40</v>
      </c>
      <c r="E288">
        <v>1.56</v>
      </c>
      <c r="F288">
        <v>1.47</v>
      </c>
      <c r="G288">
        <v>0.37</v>
      </c>
      <c r="H288">
        <v>0.97</v>
      </c>
      <c r="I288">
        <v>2.5299999999999998</v>
      </c>
      <c r="J288">
        <v>1.29</v>
      </c>
      <c r="K288">
        <v>1.88</v>
      </c>
      <c r="L288" t="s">
        <v>10</v>
      </c>
      <c r="M288" t="s">
        <v>71</v>
      </c>
    </row>
    <row r="289" spans="1:13" x14ac:dyDescent="0.45">
      <c r="A289" t="s">
        <v>9</v>
      </c>
      <c r="B289" t="s">
        <v>139</v>
      </c>
      <c r="C289">
        <v>2045</v>
      </c>
      <c r="D289">
        <v>40</v>
      </c>
      <c r="E289">
        <v>1.66</v>
      </c>
      <c r="F289">
        <v>1.61</v>
      </c>
      <c r="G289">
        <v>0.41</v>
      </c>
      <c r="H289">
        <v>0.97</v>
      </c>
      <c r="I289">
        <v>2.62</v>
      </c>
      <c r="J289">
        <v>1.33</v>
      </c>
      <c r="K289">
        <v>2</v>
      </c>
      <c r="L289" t="s">
        <v>10</v>
      </c>
      <c r="M289" t="s">
        <v>71</v>
      </c>
    </row>
    <row r="290" spans="1:13" x14ac:dyDescent="0.45">
      <c r="A290" t="s">
        <v>9</v>
      </c>
      <c r="B290" t="s">
        <v>139</v>
      </c>
      <c r="C290">
        <v>2050</v>
      </c>
      <c r="D290">
        <v>40</v>
      </c>
      <c r="E290">
        <v>1.81</v>
      </c>
      <c r="F290">
        <v>1.77</v>
      </c>
      <c r="G290">
        <v>0.5</v>
      </c>
      <c r="H290">
        <v>0.98</v>
      </c>
      <c r="I290">
        <v>2.93</v>
      </c>
      <c r="J290">
        <v>1.39</v>
      </c>
      <c r="K290">
        <v>2.23</v>
      </c>
      <c r="L290" t="s">
        <v>10</v>
      </c>
      <c r="M290" t="s">
        <v>71</v>
      </c>
    </row>
    <row r="291" spans="1:13" x14ac:dyDescent="0.45">
      <c r="A291" t="s">
        <v>0</v>
      </c>
      <c r="B291" t="s">
        <v>139</v>
      </c>
      <c r="C291">
        <v>2020</v>
      </c>
      <c r="D291">
        <v>20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72</v>
      </c>
    </row>
    <row r="292" spans="1:13" x14ac:dyDescent="0.45">
      <c r="A292" t="s">
        <v>0</v>
      </c>
      <c r="B292" t="s">
        <v>139</v>
      </c>
      <c r="C292">
        <v>2025</v>
      </c>
      <c r="D292">
        <v>20</v>
      </c>
      <c r="E292">
        <v>7.61</v>
      </c>
      <c r="F292">
        <v>4.08</v>
      </c>
      <c r="G292">
        <v>7.12</v>
      </c>
      <c r="H292">
        <v>2.94</v>
      </c>
      <c r="I292">
        <v>29.92</v>
      </c>
      <c r="J292">
        <v>3.4</v>
      </c>
      <c r="K292">
        <v>10.6</v>
      </c>
      <c r="L292" t="s">
        <v>1</v>
      </c>
      <c r="M292" t="s">
        <v>72</v>
      </c>
    </row>
    <row r="293" spans="1:13" x14ac:dyDescent="0.45">
      <c r="A293" t="s">
        <v>0</v>
      </c>
      <c r="B293" t="s">
        <v>139</v>
      </c>
      <c r="C293">
        <v>2030</v>
      </c>
      <c r="D293">
        <v>20</v>
      </c>
      <c r="E293">
        <v>12.53</v>
      </c>
      <c r="F293">
        <v>9.2200000000000006</v>
      </c>
      <c r="G293">
        <v>11.46</v>
      </c>
      <c r="H293">
        <v>1.94</v>
      </c>
      <c r="I293">
        <v>47.8</v>
      </c>
      <c r="J293">
        <v>4.63</v>
      </c>
      <c r="K293">
        <v>14.79</v>
      </c>
      <c r="L293" t="s">
        <v>1</v>
      </c>
      <c r="M293" t="s">
        <v>72</v>
      </c>
    </row>
    <row r="294" spans="1:13" x14ac:dyDescent="0.45">
      <c r="A294" t="s">
        <v>0</v>
      </c>
      <c r="B294" t="s">
        <v>139</v>
      </c>
      <c r="C294">
        <v>2035</v>
      </c>
      <c r="D294">
        <v>20</v>
      </c>
      <c r="E294">
        <v>16.79</v>
      </c>
      <c r="F294">
        <v>17.05</v>
      </c>
      <c r="G294">
        <v>14.54</v>
      </c>
      <c r="H294">
        <v>1.7</v>
      </c>
      <c r="I294">
        <v>58.52</v>
      </c>
      <c r="J294">
        <v>4.22</v>
      </c>
      <c r="K294">
        <v>18.739999999999998</v>
      </c>
      <c r="L294" t="s">
        <v>1</v>
      </c>
      <c r="M294" t="s">
        <v>72</v>
      </c>
    </row>
    <row r="295" spans="1:13" x14ac:dyDescent="0.45">
      <c r="A295" t="s">
        <v>0</v>
      </c>
      <c r="B295" t="s">
        <v>139</v>
      </c>
      <c r="C295">
        <v>2040</v>
      </c>
      <c r="D295">
        <v>20</v>
      </c>
      <c r="E295">
        <v>21.55</v>
      </c>
      <c r="F295">
        <v>23.37</v>
      </c>
      <c r="G295">
        <v>17.690000000000001</v>
      </c>
      <c r="H295">
        <v>3.3</v>
      </c>
      <c r="I295">
        <v>69.67</v>
      </c>
      <c r="J295">
        <v>4.72</v>
      </c>
      <c r="K295">
        <v>24.63</v>
      </c>
      <c r="L295" t="s">
        <v>1</v>
      </c>
      <c r="M295" t="s">
        <v>72</v>
      </c>
    </row>
    <row r="296" spans="1:13" x14ac:dyDescent="0.45">
      <c r="A296" t="s">
        <v>0</v>
      </c>
      <c r="B296" t="s">
        <v>139</v>
      </c>
      <c r="C296">
        <v>2045</v>
      </c>
      <c r="D296">
        <v>20</v>
      </c>
      <c r="E296">
        <v>25.39</v>
      </c>
      <c r="F296">
        <v>28.77</v>
      </c>
      <c r="G296">
        <v>21.69</v>
      </c>
      <c r="H296">
        <v>3.06</v>
      </c>
      <c r="I296">
        <v>85.13</v>
      </c>
      <c r="J296">
        <v>3.99</v>
      </c>
      <c r="K296">
        <v>30.24</v>
      </c>
      <c r="L296" t="s">
        <v>1</v>
      </c>
      <c r="M296" t="s">
        <v>72</v>
      </c>
    </row>
    <row r="297" spans="1:13" x14ac:dyDescent="0.45">
      <c r="A297" t="s">
        <v>0</v>
      </c>
      <c r="B297" t="s">
        <v>139</v>
      </c>
      <c r="C297">
        <v>2050</v>
      </c>
      <c r="D297">
        <v>18</v>
      </c>
      <c r="E297">
        <v>29.74</v>
      </c>
      <c r="F297">
        <v>33.130000000000003</v>
      </c>
      <c r="G297">
        <v>24.52</v>
      </c>
      <c r="H297">
        <v>3.44</v>
      </c>
      <c r="I297">
        <v>91.86</v>
      </c>
      <c r="J297">
        <v>3.88</v>
      </c>
      <c r="K297">
        <v>35.229999999999997</v>
      </c>
      <c r="L297" t="s">
        <v>1</v>
      </c>
      <c r="M297" t="s">
        <v>72</v>
      </c>
    </row>
    <row r="298" spans="1:13" x14ac:dyDescent="0.45">
      <c r="A298" t="s">
        <v>2</v>
      </c>
      <c r="B298" t="s">
        <v>139</v>
      </c>
      <c r="C298">
        <v>2020</v>
      </c>
      <c r="D298">
        <v>18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72</v>
      </c>
    </row>
    <row r="299" spans="1:13" x14ac:dyDescent="0.45">
      <c r="A299" t="s">
        <v>2</v>
      </c>
      <c r="B299" t="s">
        <v>139</v>
      </c>
      <c r="C299">
        <v>2025</v>
      </c>
      <c r="D299">
        <v>18</v>
      </c>
      <c r="E299">
        <v>3.25</v>
      </c>
      <c r="F299">
        <v>2.66</v>
      </c>
      <c r="G299">
        <v>1.95</v>
      </c>
      <c r="H299">
        <v>1.68</v>
      </c>
      <c r="I299">
        <v>10.35</v>
      </c>
      <c r="J299">
        <v>2.3199999999999998</v>
      </c>
      <c r="K299">
        <v>3.1</v>
      </c>
      <c r="L299" t="s">
        <v>3</v>
      </c>
      <c r="M299" t="s">
        <v>72</v>
      </c>
    </row>
    <row r="300" spans="1:13" x14ac:dyDescent="0.45">
      <c r="A300" t="s">
        <v>2</v>
      </c>
      <c r="B300" t="s">
        <v>139</v>
      </c>
      <c r="C300">
        <v>2030</v>
      </c>
      <c r="D300">
        <v>18</v>
      </c>
      <c r="E300">
        <v>4.8099999999999996</v>
      </c>
      <c r="F300">
        <v>3.33</v>
      </c>
      <c r="G300">
        <v>2.74</v>
      </c>
      <c r="H300">
        <v>2.77</v>
      </c>
      <c r="I300">
        <v>9.65</v>
      </c>
      <c r="J300">
        <v>2.92</v>
      </c>
      <c r="K300">
        <v>5.01</v>
      </c>
      <c r="L300" t="s">
        <v>3</v>
      </c>
      <c r="M300" t="s">
        <v>72</v>
      </c>
    </row>
    <row r="301" spans="1:13" x14ac:dyDescent="0.45">
      <c r="A301" t="s">
        <v>2</v>
      </c>
      <c r="B301" t="s">
        <v>139</v>
      </c>
      <c r="C301">
        <v>2035</v>
      </c>
      <c r="D301">
        <v>18</v>
      </c>
      <c r="E301">
        <v>7.14</v>
      </c>
      <c r="F301">
        <v>4.62</v>
      </c>
      <c r="G301">
        <v>5.56</v>
      </c>
      <c r="H301">
        <v>0</v>
      </c>
      <c r="I301">
        <v>21.32</v>
      </c>
      <c r="J301">
        <v>3.81</v>
      </c>
      <c r="K301">
        <v>10.6</v>
      </c>
      <c r="L301" t="s">
        <v>3</v>
      </c>
      <c r="M301" t="s">
        <v>72</v>
      </c>
    </row>
    <row r="302" spans="1:13" x14ac:dyDescent="0.45">
      <c r="A302" t="s">
        <v>2</v>
      </c>
      <c r="B302" t="s">
        <v>139</v>
      </c>
      <c r="C302">
        <v>2040</v>
      </c>
      <c r="D302">
        <v>18</v>
      </c>
      <c r="E302">
        <v>9.2100000000000009</v>
      </c>
      <c r="F302">
        <v>4.83</v>
      </c>
      <c r="G302">
        <v>9.36</v>
      </c>
      <c r="H302">
        <v>0</v>
      </c>
      <c r="I302">
        <v>33.340000000000003</v>
      </c>
      <c r="J302">
        <v>3.44</v>
      </c>
      <c r="K302">
        <v>13.38</v>
      </c>
      <c r="L302" t="s">
        <v>3</v>
      </c>
      <c r="M302" t="s">
        <v>72</v>
      </c>
    </row>
    <row r="303" spans="1:13" x14ac:dyDescent="0.45">
      <c r="A303" t="s">
        <v>2</v>
      </c>
      <c r="B303" t="s">
        <v>139</v>
      </c>
      <c r="C303">
        <v>2045</v>
      </c>
      <c r="D303">
        <v>17</v>
      </c>
      <c r="E303">
        <v>7.53</v>
      </c>
      <c r="F303">
        <v>5.53</v>
      </c>
      <c r="G303">
        <v>7.14</v>
      </c>
      <c r="H303">
        <v>0</v>
      </c>
      <c r="I303">
        <v>28.53</v>
      </c>
      <c r="J303">
        <v>3.04</v>
      </c>
      <c r="K303">
        <v>12.57</v>
      </c>
      <c r="L303" t="s">
        <v>3</v>
      </c>
      <c r="M303" t="s">
        <v>72</v>
      </c>
    </row>
    <row r="304" spans="1:13" x14ac:dyDescent="0.45">
      <c r="A304" t="s">
        <v>2</v>
      </c>
      <c r="B304" t="s">
        <v>139</v>
      </c>
      <c r="C304">
        <v>2050</v>
      </c>
      <c r="D304">
        <v>15</v>
      </c>
      <c r="E304">
        <v>5.33</v>
      </c>
      <c r="F304">
        <v>3.7</v>
      </c>
      <c r="G304">
        <v>3.04</v>
      </c>
      <c r="H304">
        <v>0</v>
      </c>
      <c r="I304">
        <v>11.92</v>
      </c>
      <c r="J304">
        <v>3.38</v>
      </c>
      <c r="K304">
        <v>6.81</v>
      </c>
      <c r="L304" t="s">
        <v>3</v>
      </c>
      <c r="M304" t="s">
        <v>72</v>
      </c>
    </row>
    <row r="305" spans="1:13" x14ac:dyDescent="0.45">
      <c r="A305" t="s">
        <v>5</v>
      </c>
      <c r="B305" t="s">
        <v>139</v>
      </c>
      <c r="C305">
        <v>2020</v>
      </c>
      <c r="D305">
        <v>69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72</v>
      </c>
    </row>
    <row r="306" spans="1:13" x14ac:dyDescent="0.45">
      <c r="A306" t="s">
        <v>5</v>
      </c>
      <c r="B306" t="s">
        <v>139</v>
      </c>
      <c r="C306">
        <v>2025</v>
      </c>
      <c r="D306">
        <v>69</v>
      </c>
      <c r="E306">
        <v>4.26</v>
      </c>
      <c r="F306">
        <v>3.37</v>
      </c>
      <c r="G306">
        <v>2.64</v>
      </c>
      <c r="H306">
        <v>0</v>
      </c>
      <c r="I306">
        <v>14.43</v>
      </c>
      <c r="J306">
        <v>2.3199999999999998</v>
      </c>
      <c r="K306">
        <v>4.68</v>
      </c>
      <c r="L306" t="s">
        <v>6</v>
      </c>
      <c r="M306" t="s">
        <v>72</v>
      </c>
    </row>
    <row r="307" spans="1:13" x14ac:dyDescent="0.45">
      <c r="A307" t="s">
        <v>5</v>
      </c>
      <c r="B307" t="s">
        <v>139</v>
      </c>
      <c r="C307">
        <v>2030</v>
      </c>
      <c r="D307">
        <v>69</v>
      </c>
      <c r="E307">
        <v>7.11</v>
      </c>
      <c r="F307">
        <v>5.19</v>
      </c>
      <c r="G307">
        <v>4.8</v>
      </c>
      <c r="H307">
        <v>0</v>
      </c>
      <c r="I307">
        <v>22.88</v>
      </c>
      <c r="J307">
        <v>2.89</v>
      </c>
      <c r="K307">
        <v>9.61</v>
      </c>
      <c r="L307" t="s">
        <v>6</v>
      </c>
      <c r="M307" t="s">
        <v>72</v>
      </c>
    </row>
    <row r="308" spans="1:13" x14ac:dyDescent="0.45">
      <c r="A308" t="s">
        <v>5</v>
      </c>
      <c r="B308" t="s">
        <v>139</v>
      </c>
      <c r="C308">
        <v>2035</v>
      </c>
      <c r="D308">
        <v>69</v>
      </c>
      <c r="E308">
        <v>9.7799999999999994</v>
      </c>
      <c r="F308">
        <v>9.64</v>
      </c>
      <c r="G308">
        <v>6.88</v>
      </c>
      <c r="H308">
        <v>0</v>
      </c>
      <c r="I308">
        <v>30.18</v>
      </c>
      <c r="J308">
        <v>3.6</v>
      </c>
      <c r="K308">
        <v>14.65</v>
      </c>
      <c r="L308" t="s">
        <v>6</v>
      </c>
      <c r="M308" t="s">
        <v>72</v>
      </c>
    </row>
    <row r="309" spans="1:13" x14ac:dyDescent="0.45">
      <c r="A309" t="s">
        <v>5</v>
      </c>
      <c r="B309" t="s">
        <v>139</v>
      </c>
      <c r="C309">
        <v>2040</v>
      </c>
      <c r="D309">
        <v>69</v>
      </c>
      <c r="E309">
        <v>12.77</v>
      </c>
      <c r="F309">
        <v>12.01</v>
      </c>
      <c r="G309">
        <v>10.210000000000001</v>
      </c>
      <c r="H309">
        <v>0</v>
      </c>
      <c r="I309">
        <v>36.81</v>
      </c>
      <c r="J309">
        <v>3.26</v>
      </c>
      <c r="K309">
        <v>19.88</v>
      </c>
      <c r="L309" t="s">
        <v>6</v>
      </c>
      <c r="M309" t="s">
        <v>72</v>
      </c>
    </row>
    <row r="310" spans="1:13" x14ac:dyDescent="0.45">
      <c r="A310" t="s">
        <v>5</v>
      </c>
      <c r="B310" t="s">
        <v>139</v>
      </c>
      <c r="C310">
        <v>2045</v>
      </c>
      <c r="D310">
        <v>69</v>
      </c>
      <c r="E310">
        <v>14.94</v>
      </c>
      <c r="F310">
        <v>11.15</v>
      </c>
      <c r="G310">
        <v>13.33</v>
      </c>
      <c r="H310">
        <v>0</v>
      </c>
      <c r="I310">
        <v>47.01</v>
      </c>
      <c r="J310">
        <v>2.94</v>
      </c>
      <c r="K310">
        <v>24.26</v>
      </c>
      <c r="L310" t="s">
        <v>6</v>
      </c>
      <c r="M310" t="s">
        <v>72</v>
      </c>
    </row>
    <row r="311" spans="1:13" x14ac:dyDescent="0.45">
      <c r="A311" t="s">
        <v>5</v>
      </c>
      <c r="B311" t="s">
        <v>139</v>
      </c>
      <c r="C311">
        <v>2050</v>
      </c>
      <c r="D311">
        <v>63</v>
      </c>
      <c r="E311">
        <v>17.46</v>
      </c>
      <c r="F311">
        <v>5.57</v>
      </c>
      <c r="G311">
        <v>16.41</v>
      </c>
      <c r="H311">
        <v>0</v>
      </c>
      <c r="I311">
        <v>57.91</v>
      </c>
      <c r="J311">
        <v>3.21</v>
      </c>
      <c r="K311">
        <v>28.8</v>
      </c>
      <c r="L311" t="s">
        <v>6</v>
      </c>
      <c r="M311" t="s">
        <v>72</v>
      </c>
    </row>
    <row r="312" spans="1:13" x14ac:dyDescent="0.45">
      <c r="A312" t="s">
        <v>7</v>
      </c>
      <c r="B312" t="s">
        <v>139</v>
      </c>
      <c r="C312">
        <v>2020</v>
      </c>
      <c r="D312">
        <v>27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72</v>
      </c>
    </row>
    <row r="313" spans="1:13" x14ac:dyDescent="0.45">
      <c r="A313" t="s">
        <v>7</v>
      </c>
      <c r="B313" t="s">
        <v>139</v>
      </c>
      <c r="C313">
        <v>2025</v>
      </c>
      <c r="D313">
        <v>27</v>
      </c>
      <c r="E313">
        <v>3.29</v>
      </c>
      <c r="F313">
        <v>4.22</v>
      </c>
      <c r="G313">
        <v>1.71</v>
      </c>
      <c r="H313">
        <v>1.01</v>
      </c>
      <c r="I313">
        <v>6</v>
      </c>
      <c r="J313">
        <v>1.72</v>
      </c>
      <c r="K313">
        <v>4.68</v>
      </c>
      <c r="L313" t="s">
        <v>8</v>
      </c>
      <c r="M313" t="s">
        <v>72</v>
      </c>
    </row>
    <row r="314" spans="1:13" x14ac:dyDescent="0.45">
      <c r="A314" t="s">
        <v>7</v>
      </c>
      <c r="B314" t="s">
        <v>139</v>
      </c>
      <c r="C314">
        <v>2030</v>
      </c>
      <c r="D314">
        <v>27</v>
      </c>
      <c r="E314">
        <v>5.64</v>
      </c>
      <c r="F314">
        <v>6.45</v>
      </c>
      <c r="G314">
        <v>3.52</v>
      </c>
      <c r="H314">
        <v>1.06</v>
      </c>
      <c r="I314">
        <v>9.61</v>
      </c>
      <c r="J314">
        <v>2.4900000000000002</v>
      </c>
      <c r="K314">
        <v>9.6</v>
      </c>
      <c r="L314" t="s">
        <v>8</v>
      </c>
      <c r="M314" t="s">
        <v>72</v>
      </c>
    </row>
    <row r="315" spans="1:13" x14ac:dyDescent="0.45">
      <c r="A315" t="s">
        <v>7</v>
      </c>
      <c r="B315" t="s">
        <v>139</v>
      </c>
      <c r="C315">
        <v>2035</v>
      </c>
      <c r="D315">
        <v>27</v>
      </c>
      <c r="E315">
        <v>6.11</v>
      </c>
      <c r="F315">
        <v>6.79</v>
      </c>
      <c r="G315">
        <v>3.09</v>
      </c>
      <c r="H315">
        <v>2.06</v>
      </c>
      <c r="I315">
        <v>11.98</v>
      </c>
      <c r="J315">
        <v>2.98</v>
      </c>
      <c r="K315">
        <v>8.33</v>
      </c>
      <c r="L315" t="s">
        <v>8</v>
      </c>
      <c r="M315" t="s">
        <v>72</v>
      </c>
    </row>
    <row r="316" spans="1:13" x14ac:dyDescent="0.45">
      <c r="A316" t="s">
        <v>7</v>
      </c>
      <c r="B316" t="s">
        <v>139</v>
      </c>
      <c r="C316">
        <v>2040</v>
      </c>
      <c r="D316">
        <v>27</v>
      </c>
      <c r="E316">
        <v>8.31</v>
      </c>
      <c r="F316">
        <v>9.44</v>
      </c>
      <c r="G316">
        <v>4.3099999999999996</v>
      </c>
      <c r="H316">
        <v>2.2000000000000002</v>
      </c>
      <c r="I316">
        <v>14.3</v>
      </c>
      <c r="J316">
        <v>4.45</v>
      </c>
      <c r="K316">
        <v>11.39</v>
      </c>
      <c r="L316" t="s">
        <v>8</v>
      </c>
      <c r="M316" t="s">
        <v>72</v>
      </c>
    </row>
    <row r="317" spans="1:13" x14ac:dyDescent="0.45">
      <c r="A317" t="s">
        <v>7</v>
      </c>
      <c r="B317" t="s">
        <v>139</v>
      </c>
      <c r="C317">
        <v>2045</v>
      </c>
      <c r="D317">
        <v>27</v>
      </c>
      <c r="E317">
        <v>9.83</v>
      </c>
      <c r="F317">
        <v>10.97</v>
      </c>
      <c r="G317">
        <v>5.59</v>
      </c>
      <c r="H317">
        <v>2.2000000000000002</v>
      </c>
      <c r="I317">
        <v>17.59</v>
      </c>
      <c r="J317">
        <v>4.3600000000000003</v>
      </c>
      <c r="K317">
        <v>13.87</v>
      </c>
      <c r="L317" t="s">
        <v>8</v>
      </c>
      <c r="M317" t="s">
        <v>72</v>
      </c>
    </row>
    <row r="318" spans="1:13" x14ac:dyDescent="0.45">
      <c r="A318" t="s">
        <v>7</v>
      </c>
      <c r="B318" t="s">
        <v>139</v>
      </c>
      <c r="C318">
        <v>2050</v>
      </c>
      <c r="D318">
        <v>27</v>
      </c>
      <c r="E318">
        <v>10.73</v>
      </c>
      <c r="F318">
        <v>12</v>
      </c>
      <c r="G318">
        <v>6.63</v>
      </c>
      <c r="H318">
        <v>2.5299999999999998</v>
      </c>
      <c r="I318">
        <v>20.81</v>
      </c>
      <c r="J318">
        <v>3.97</v>
      </c>
      <c r="K318">
        <v>16.079999999999998</v>
      </c>
      <c r="L318" t="s">
        <v>8</v>
      </c>
      <c r="M318" t="s">
        <v>72</v>
      </c>
    </row>
    <row r="319" spans="1:13" x14ac:dyDescent="0.45">
      <c r="A319" t="s">
        <v>9</v>
      </c>
      <c r="B319" t="s">
        <v>139</v>
      </c>
      <c r="C319">
        <v>2020</v>
      </c>
      <c r="D319">
        <v>14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72</v>
      </c>
    </row>
    <row r="320" spans="1:13" x14ac:dyDescent="0.45">
      <c r="A320" t="s">
        <v>9</v>
      </c>
      <c r="B320" t="s">
        <v>139</v>
      </c>
      <c r="C320">
        <v>2025</v>
      </c>
      <c r="D320">
        <v>14</v>
      </c>
      <c r="E320">
        <v>1.29</v>
      </c>
      <c r="F320">
        <v>1.08</v>
      </c>
      <c r="G320">
        <v>0.55000000000000004</v>
      </c>
      <c r="H320">
        <v>1</v>
      </c>
      <c r="I320">
        <v>3.05</v>
      </c>
      <c r="J320">
        <v>1.07</v>
      </c>
      <c r="K320">
        <v>1.0900000000000001</v>
      </c>
      <c r="L320" t="s">
        <v>10</v>
      </c>
      <c r="M320" t="s">
        <v>72</v>
      </c>
    </row>
    <row r="321" spans="1:13" x14ac:dyDescent="0.45">
      <c r="A321" t="s">
        <v>9</v>
      </c>
      <c r="B321" t="s">
        <v>139</v>
      </c>
      <c r="C321">
        <v>2030</v>
      </c>
      <c r="D321">
        <v>14</v>
      </c>
      <c r="E321">
        <v>1.82</v>
      </c>
      <c r="F321">
        <v>1.2</v>
      </c>
      <c r="G321">
        <v>2.1800000000000002</v>
      </c>
      <c r="H321">
        <v>1.03</v>
      </c>
      <c r="I321">
        <v>9.36</v>
      </c>
      <c r="J321">
        <v>1.1499999999999999</v>
      </c>
      <c r="K321">
        <v>1.26</v>
      </c>
      <c r="L321" t="s">
        <v>10</v>
      </c>
      <c r="M321" t="s">
        <v>72</v>
      </c>
    </row>
    <row r="322" spans="1:13" x14ac:dyDescent="0.45">
      <c r="A322" t="s">
        <v>9</v>
      </c>
      <c r="B322" t="s">
        <v>139</v>
      </c>
      <c r="C322">
        <v>2035</v>
      </c>
      <c r="D322">
        <v>14</v>
      </c>
      <c r="E322">
        <v>1.99</v>
      </c>
      <c r="F322">
        <v>1.34</v>
      </c>
      <c r="G322">
        <v>2.5299999999999998</v>
      </c>
      <c r="H322">
        <v>1.02</v>
      </c>
      <c r="I322">
        <v>10.74</v>
      </c>
      <c r="J322">
        <v>1.22</v>
      </c>
      <c r="K322">
        <v>1.49</v>
      </c>
      <c r="L322" t="s">
        <v>10</v>
      </c>
      <c r="M322" t="s">
        <v>72</v>
      </c>
    </row>
    <row r="323" spans="1:13" x14ac:dyDescent="0.45">
      <c r="A323" t="s">
        <v>9</v>
      </c>
      <c r="B323" t="s">
        <v>139</v>
      </c>
      <c r="C323">
        <v>2040</v>
      </c>
      <c r="D323">
        <v>14</v>
      </c>
      <c r="E323">
        <v>2.16</v>
      </c>
      <c r="F323">
        <v>1.52</v>
      </c>
      <c r="G323">
        <v>2.5499999999999998</v>
      </c>
      <c r="H323">
        <v>1.01</v>
      </c>
      <c r="I323">
        <v>10.96</v>
      </c>
      <c r="J323">
        <v>1.29</v>
      </c>
      <c r="K323">
        <v>1.79</v>
      </c>
      <c r="L323" t="s">
        <v>10</v>
      </c>
      <c r="M323" t="s">
        <v>72</v>
      </c>
    </row>
    <row r="324" spans="1:13" x14ac:dyDescent="0.45">
      <c r="A324" t="s">
        <v>9</v>
      </c>
      <c r="B324" t="s">
        <v>139</v>
      </c>
      <c r="C324">
        <v>2045</v>
      </c>
      <c r="D324">
        <v>14</v>
      </c>
      <c r="E324">
        <v>2.0699999999999998</v>
      </c>
      <c r="F324">
        <v>1.46</v>
      </c>
      <c r="G324">
        <v>2.0699999999999998</v>
      </c>
      <c r="H324">
        <v>1</v>
      </c>
      <c r="I324">
        <v>9.17</v>
      </c>
      <c r="J324">
        <v>1.35</v>
      </c>
      <c r="K324">
        <v>1.89</v>
      </c>
      <c r="L324" t="s">
        <v>10</v>
      </c>
      <c r="M324" t="s">
        <v>72</v>
      </c>
    </row>
    <row r="325" spans="1:13" x14ac:dyDescent="0.45">
      <c r="A325" t="s">
        <v>9</v>
      </c>
      <c r="B325" t="s">
        <v>139</v>
      </c>
      <c r="C325">
        <v>2050</v>
      </c>
      <c r="D325">
        <v>14</v>
      </c>
      <c r="E325">
        <v>2.23</v>
      </c>
      <c r="F325">
        <v>1.57</v>
      </c>
      <c r="G325">
        <v>2.3199999999999998</v>
      </c>
      <c r="H325">
        <v>1.01</v>
      </c>
      <c r="I325">
        <v>10.14</v>
      </c>
      <c r="J325">
        <v>1.4</v>
      </c>
      <c r="K325">
        <v>2.04</v>
      </c>
      <c r="L325" t="s">
        <v>10</v>
      </c>
      <c r="M325" t="s">
        <v>72</v>
      </c>
    </row>
    <row r="326" spans="1:13" x14ac:dyDescent="0.45">
      <c r="A326" t="s">
        <v>0</v>
      </c>
      <c r="B326" t="s">
        <v>139</v>
      </c>
      <c r="C326">
        <v>2020</v>
      </c>
      <c r="D326">
        <v>6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73</v>
      </c>
    </row>
    <row r="327" spans="1:13" x14ac:dyDescent="0.45">
      <c r="A327" t="s">
        <v>0</v>
      </c>
      <c r="B327" t="s">
        <v>139</v>
      </c>
      <c r="C327">
        <v>2025</v>
      </c>
      <c r="D327">
        <v>6</v>
      </c>
      <c r="E327">
        <v>0.98</v>
      </c>
      <c r="F327">
        <v>0.99</v>
      </c>
      <c r="G327">
        <v>0.05</v>
      </c>
      <c r="H327">
        <v>0.92</v>
      </c>
      <c r="I327">
        <v>1.04</v>
      </c>
      <c r="J327">
        <v>0.93</v>
      </c>
      <c r="K327">
        <v>1.03</v>
      </c>
      <c r="L327" t="s">
        <v>1</v>
      </c>
      <c r="M327" t="s">
        <v>73</v>
      </c>
    </row>
    <row r="328" spans="1:13" x14ac:dyDescent="0.45">
      <c r="A328" t="s">
        <v>0</v>
      </c>
      <c r="B328" t="s">
        <v>139</v>
      </c>
      <c r="C328">
        <v>2030</v>
      </c>
      <c r="D328">
        <v>6</v>
      </c>
      <c r="E328">
        <v>0.92</v>
      </c>
      <c r="F328">
        <v>0.93</v>
      </c>
      <c r="G328">
        <v>0.02</v>
      </c>
      <c r="H328">
        <v>0.89</v>
      </c>
      <c r="I328">
        <v>0.95</v>
      </c>
      <c r="J328">
        <v>0.91</v>
      </c>
      <c r="K328">
        <v>0.94</v>
      </c>
      <c r="L328" t="s">
        <v>1</v>
      </c>
      <c r="M328" t="s">
        <v>73</v>
      </c>
    </row>
    <row r="329" spans="1:13" x14ac:dyDescent="0.45">
      <c r="A329" t="s">
        <v>0</v>
      </c>
      <c r="B329" t="s">
        <v>139</v>
      </c>
      <c r="C329">
        <v>2035</v>
      </c>
      <c r="D329">
        <v>6</v>
      </c>
      <c r="E329">
        <v>0.88</v>
      </c>
      <c r="F329">
        <v>0.87</v>
      </c>
      <c r="G329">
        <v>0.02</v>
      </c>
      <c r="H329">
        <v>0.86</v>
      </c>
      <c r="I329">
        <v>0.91</v>
      </c>
      <c r="J329">
        <v>0.87</v>
      </c>
      <c r="K329">
        <v>0.88</v>
      </c>
      <c r="L329" t="s">
        <v>1</v>
      </c>
      <c r="M329" t="s">
        <v>73</v>
      </c>
    </row>
    <row r="330" spans="1:13" x14ac:dyDescent="0.45">
      <c r="A330" t="s">
        <v>0</v>
      </c>
      <c r="B330" t="s">
        <v>139</v>
      </c>
      <c r="C330">
        <v>2040</v>
      </c>
      <c r="D330">
        <v>6</v>
      </c>
      <c r="E330">
        <v>0.9</v>
      </c>
      <c r="F330">
        <v>0.89</v>
      </c>
      <c r="G330">
        <v>0.02</v>
      </c>
      <c r="H330">
        <v>0.89</v>
      </c>
      <c r="I330">
        <v>0.93</v>
      </c>
      <c r="J330">
        <v>0.89</v>
      </c>
      <c r="K330">
        <v>0.91</v>
      </c>
      <c r="L330" t="s">
        <v>1</v>
      </c>
      <c r="M330" t="s">
        <v>73</v>
      </c>
    </row>
    <row r="331" spans="1:13" x14ac:dyDescent="0.45">
      <c r="A331" t="s">
        <v>0</v>
      </c>
      <c r="B331" t="s">
        <v>139</v>
      </c>
      <c r="C331">
        <v>2045</v>
      </c>
      <c r="D331">
        <v>6</v>
      </c>
      <c r="E331">
        <v>0.95</v>
      </c>
      <c r="F331">
        <v>0.96</v>
      </c>
      <c r="G331">
        <v>0.02</v>
      </c>
      <c r="H331">
        <v>0.91</v>
      </c>
      <c r="I331">
        <v>0.98</v>
      </c>
      <c r="J331">
        <v>0.95</v>
      </c>
      <c r="K331">
        <v>0.96</v>
      </c>
      <c r="L331" t="s">
        <v>1</v>
      </c>
      <c r="M331" t="s">
        <v>73</v>
      </c>
    </row>
    <row r="332" spans="1:13" x14ac:dyDescent="0.45">
      <c r="A332" t="s">
        <v>0</v>
      </c>
      <c r="B332" t="s">
        <v>139</v>
      </c>
      <c r="C332">
        <v>2050</v>
      </c>
      <c r="D332">
        <v>6</v>
      </c>
      <c r="E332">
        <v>0.96</v>
      </c>
      <c r="F332">
        <v>0.97</v>
      </c>
      <c r="G332">
        <v>0.04</v>
      </c>
      <c r="H332">
        <v>0.89</v>
      </c>
      <c r="I332">
        <v>0.99</v>
      </c>
      <c r="J332">
        <v>0.94</v>
      </c>
      <c r="K332">
        <v>0.98</v>
      </c>
      <c r="L332" t="s">
        <v>1</v>
      </c>
      <c r="M332" t="s">
        <v>73</v>
      </c>
    </row>
    <row r="333" spans="1:13" x14ac:dyDescent="0.45">
      <c r="A333" t="s">
        <v>2</v>
      </c>
      <c r="B333" t="s">
        <v>139</v>
      </c>
      <c r="C333">
        <v>2020</v>
      </c>
      <c r="D333">
        <v>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73</v>
      </c>
    </row>
    <row r="334" spans="1:13" x14ac:dyDescent="0.45">
      <c r="A334" t="s">
        <v>2</v>
      </c>
      <c r="B334" t="s">
        <v>139</v>
      </c>
      <c r="C334">
        <v>2025</v>
      </c>
      <c r="D334">
        <v>7</v>
      </c>
      <c r="E334">
        <v>0.99</v>
      </c>
      <c r="F334">
        <v>0.99</v>
      </c>
      <c r="G334">
        <v>0.08</v>
      </c>
      <c r="H334">
        <v>0.85</v>
      </c>
      <c r="I334">
        <v>1.08</v>
      </c>
      <c r="J334">
        <v>0.97</v>
      </c>
      <c r="K334">
        <v>1.03</v>
      </c>
      <c r="L334" t="s">
        <v>3</v>
      </c>
      <c r="M334" t="s">
        <v>73</v>
      </c>
    </row>
    <row r="335" spans="1:13" x14ac:dyDescent="0.45">
      <c r="A335" t="s">
        <v>2</v>
      </c>
      <c r="B335" t="s">
        <v>139</v>
      </c>
      <c r="C335">
        <v>2030</v>
      </c>
      <c r="D335">
        <v>7</v>
      </c>
      <c r="E335">
        <v>0.84</v>
      </c>
      <c r="F335">
        <v>0.83</v>
      </c>
      <c r="G335">
        <v>0.03</v>
      </c>
      <c r="H335">
        <v>0.81</v>
      </c>
      <c r="I335">
        <v>0.89</v>
      </c>
      <c r="J335">
        <v>0.82</v>
      </c>
      <c r="K335">
        <v>0.85</v>
      </c>
      <c r="L335" t="s">
        <v>3</v>
      </c>
      <c r="M335" t="s">
        <v>73</v>
      </c>
    </row>
    <row r="336" spans="1:13" x14ac:dyDescent="0.45">
      <c r="A336" t="s">
        <v>2</v>
      </c>
      <c r="B336" t="s">
        <v>139</v>
      </c>
      <c r="C336">
        <v>2035</v>
      </c>
      <c r="D336">
        <v>7</v>
      </c>
      <c r="E336">
        <v>0.88</v>
      </c>
      <c r="F336">
        <v>0.86</v>
      </c>
      <c r="G336">
        <v>0.04</v>
      </c>
      <c r="H336">
        <v>0.84</v>
      </c>
      <c r="I336">
        <v>0.96</v>
      </c>
      <c r="J336">
        <v>0.85</v>
      </c>
      <c r="K336">
        <v>0.91</v>
      </c>
      <c r="L336" t="s">
        <v>3</v>
      </c>
      <c r="M336" t="s">
        <v>73</v>
      </c>
    </row>
    <row r="337" spans="1:13" x14ac:dyDescent="0.45">
      <c r="A337" t="s">
        <v>2</v>
      </c>
      <c r="B337" t="s">
        <v>139</v>
      </c>
      <c r="C337">
        <v>2040</v>
      </c>
      <c r="D337">
        <v>7</v>
      </c>
      <c r="E337">
        <v>0.95</v>
      </c>
      <c r="F337">
        <v>0.95</v>
      </c>
      <c r="G337">
        <v>0.03</v>
      </c>
      <c r="H337">
        <v>0.9</v>
      </c>
      <c r="I337">
        <v>0.98</v>
      </c>
      <c r="J337">
        <v>0.93</v>
      </c>
      <c r="K337">
        <v>0.97</v>
      </c>
      <c r="L337" t="s">
        <v>3</v>
      </c>
      <c r="M337" t="s">
        <v>73</v>
      </c>
    </row>
    <row r="338" spans="1:13" x14ac:dyDescent="0.45">
      <c r="A338" t="s">
        <v>2</v>
      </c>
      <c r="B338" t="s">
        <v>139</v>
      </c>
      <c r="C338">
        <v>2045</v>
      </c>
      <c r="D338">
        <v>7</v>
      </c>
      <c r="E338">
        <v>1</v>
      </c>
      <c r="F338">
        <v>0.98</v>
      </c>
      <c r="G338">
        <v>0.04</v>
      </c>
      <c r="H338">
        <v>0.96</v>
      </c>
      <c r="I338">
        <v>1.07</v>
      </c>
      <c r="J338">
        <v>0.97</v>
      </c>
      <c r="K338">
        <v>1.01</v>
      </c>
      <c r="L338" t="s">
        <v>3</v>
      </c>
      <c r="M338" t="s">
        <v>73</v>
      </c>
    </row>
    <row r="339" spans="1:13" x14ac:dyDescent="0.45">
      <c r="A339" t="s">
        <v>2</v>
      </c>
      <c r="B339" t="s">
        <v>139</v>
      </c>
      <c r="C339">
        <v>2050</v>
      </c>
      <c r="D339">
        <v>7</v>
      </c>
      <c r="E339">
        <v>1.05</v>
      </c>
      <c r="F339">
        <v>1.05</v>
      </c>
      <c r="G339">
        <v>0.03</v>
      </c>
      <c r="H339">
        <v>1.01</v>
      </c>
      <c r="I339">
        <v>1.0900000000000001</v>
      </c>
      <c r="J339">
        <v>1.03</v>
      </c>
      <c r="K339">
        <v>1.08</v>
      </c>
      <c r="L339" t="s">
        <v>3</v>
      </c>
      <c r="M339" t="s">
        <v>73</v>
      </c>
    </row>
    <row r="340" spans="1:13" x14ac:dyDescent="0.45">
      <c r="A340" t="s">
        <v>5</v>
      </c>
      <c r="B340" t="s">
        <v>139</v>
      </c>
      <c r="C340">
        <v>2020</v>
      </c>
      <c r="D340">
        <v>15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73</v>
      </c>
    </row>
    <row r="341" spans="1:13" x14ac:dyDescent="0.45">
      <c r="A341" t="s">
        <v>5</v>
      </c>
      <c r="B341" t="s">
        <v>139</v>
      </c>
      <c r="C341">
        <v>2025</v>
      </c>
      <c r="D341">
        <v>15</v>
      </c>
      <c r="E341">
        <v>1.07</v>
      </c>
      <c r="F341">
        <v>0.99</v>
      </c>
      <c r="G341">
        <v>0.22</v>
      </c>
      <c r="H341">
        <v>0.82</v>
      </c>
      <c r="I341">
        <v>1.32</v>
      </c>
      <c r="J341">
        <v>0.88</v>
      </c>
      <c r="K341">
        <v>1.32</v>
      </c>
      <c r="L341" t="s">
        <v>6</v>
      </c>
      <c r="M341" t="s">
        <v>73</v>
      </c>
    </row>
    <row r="342" spans="1:13" x14ac:dyDescent="0.45">
      <c r="A342" t="s">
        <v>5</v>
      </c>
      <c r="B342" t="s">
        <v>139</v>
      </c>
      <c r="C342">
        <v>2030</v>
      </c>
      <c r="D342">
        <v>15</v>
      </c>
      <c r="E342">
        <v>0.99</v>
      </c>
      <c r="F342">
        <v>0.86</v>
      </c>
      <c r="G342">
        <v>0.22</v>
      </c>
      <c r="H342">
        <v>0.77</v>
      </c>
      <c r="I342">
        <v>1.43</v>
      </c>
      <c r="J342">
        <v>0.81</v>
      </c>
      <c r="K342">
        <v>1.19</v>
      </c>
      <c r="L342" t="s">
        <v>6</v>
      </c>
      <c r="M342" t="s">
        <v>73</v>
      </c>
    </row>
    <row r="343" spans="1:13" x14ac:dyDescent="0.45">
      <c r="A343" t="s">
        <v>5</v>
      </c>
      <c r="B343" t="s">
        <v>139</v>
      </c>
      <c r="C343">
        <v>2035</v>
      </c>
      <c r="D343">
        <v>15</v>
      </c>
      <c r="E343">
        <v>1.07</v>
      </c>
      <c r="F343">
        <v>0.91</v>
      </c>
      <c r="G343">
        <v>0.28999999999999998</v>
      </c>
      <c r="H343">
        <v>0.77</v>
      </c>
      <c r="I343">
        <v>1.65</v>
      </c>
      <c r="J343">
        <v>0.85</v>
      </c>
      <c r="K343">
        <v>1.32</v>
      </c>
      <c r="L343" t="s">
        <v>6</v>
      </c>
      <c r="M343" t="s">
        <v>73</v>
      </c>
    </row>
    <row r="344" spans="1:13" x14ac:dyDescent="0.45">
      <c r="A344" t="s">
        <v>5</v>
      </c>
      <c r="B344" t="s">
        <v>139</v>
      </c>
      <c r="C344">
        <v>2040</v>
      </c>
      <c r="D344">
        <v>15</v>
      </c>
      <c r="E344">
        <v>1.33</v>
      </c>
      <c r="F344">
        <v>0.96</v>
      </c>
      <c r="G344">
        <v>0.59</v>
      </c>
      <c r="H344">
        <v>0.88</v>
      </c>
      <c r="I344">
        <v>2.57</v>
      </c>
      <c r="J344">
        <v>0.92</v>
      </c>
      <c r="K344">
        <v>1.69</v>
      </c>
      <c r="L344" t="s">
        <v>6</v>
      </c>
      <c r="M344" t="s">
        <v>73</v>
      </c>
    </row>
    <row r="345" spans="1:13" x14ac:dyDescent="0.45">
      <c r="A345" t="s">
        <v>5</v>
      </c>
      <c r="B345" t="s">
        <v>139</v>
      </c>
      <c r="C345">
        <v>2045</v>
      </c>
      <c r="D345">
        <v>15</v>
      </c>
      <c r="E345">
        <v>1.73</v>
      </c>
      <c r="F345">
        <v>1.05</v>
      </c>
      <c r="G345">
        <v>1.03</v>
      </c>
      <c r="H345">
        <v>0.92</v>
      </c>
      <c r="I345">
        <v>3.81</v>
      </c>
      <c r="J345">
        <v>1.01</v>
      </c>
      <c r="K345">
        <v>2.36</v>
      </c>
      <c r="L345" t="s">
        <v>6</v>
      </c>
      <c r="M345" t="s">
        <v>73</v>
      </c>
    </row>
    <row r="346" spans="1:13" x14ac:dyDescent="0.45">
      <c r="A346" t="s">
        <v>5</v>
      </c>
      <c r="B346" t="s">
        <v>139</v>
      </c>
      <c r="C346">
        <v>2050</v>
      </c>
      <c r="D346">
        <v>15</v>
      </c>
      <c r="E346">
        <v>2.09</v>
      </c>
      <c r="F346">
        <v>1.1000000000000001</v>
      </c>
      <c r="G346">
        <v>1.4</v>
      </c>
      <c r="H346">
        <v>0.98</v>
      </c>
      <c r="I346">
        <v>4.58</v>
      </c>
      <c r="J346">
        <v>1.08</v>
      </c>
      <c r="K346">
        <v>3.03</v>
      </c>
      <c r="L346" t="s">
        <v>6</v>
      </c>
      <c r="M346" t="s">
        <v>73</v>
      </c>
    </row>
    <row r="347" spans="1:13" x14ac:dyDescent="0.45">
      <c r="A347" t="s">
        <v>7</v>
      </c>
      <c r="B347" t="s">
        <v>139</v>
      </c>
      <c r="C347">
        <v>2020</v>
      </c>
      <c r="D347">
        <v>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73</v>
      </c>
    </row>
    <row r="348" spans="1:13" x14ac:dyDescent="0.45">
      <c r="A348" t="s">
        <v>7</v>
      </c>
      <c r="B348" t="s">
        <v>139</v>
      </c>
      <c r="C348">
        <v>2025</v>
      </c>
      <c r="D348">
        <v>8</v>
      </c>
      <c r="E348">
        <v>1.3</v>
      </c>
      <c r="F348">
        <v>1.29</v>
      </c>
      <c r="G348">
        <v>0.01</v>
      </c>
      <c r="H348">
        <v>1.29</v>
      </c>
      <c r="I348">
        <v>1.32</v>
      </c>
      <c r="J348">
        <v>1.29</v>
      </c>
      <c r="K348">
        <v>1.3</v>
      </c>
      <c r="L348" t="s">
        <v>8</v>
      </c>
      <c r="M348" t="s">
        <v>73</v>
      </c>
    </row>
    <row r="349" spans="1:13" x14ac:dyDescent="0.45">
      <c r="A349" t="s">
        <v>7</v>
      </c>
      <c r="B349" t="s">
        <v>139</v>
      </c>
      <c r="C349">
        <v>2030</v>
      </c>
      <c r="D349">
        <v>8</v>
      </c>
      <c r="E349">
        <v>1.1200000000000001</v>
      </c>
      <c r="F349">
        <v>1.1000000000000001</v>
      </c>
      <c r="G349">
        <v>0.06</v>
      </c>
      <c r="H349">
        <v>1.07</v>
      </c>
      <c r="I349">
        <v>1.2</v>
      </c>
      <c r="J349">
        <v>1.07</v>
      </c>
      <c r="K349">
        <v>1.1599999999999999</v>
      </c>
      <c r="L349" t="s">
        <v>8</v>
      </c>
      <c r="M349" t="s">
        <v>73</v>
      </c>
    </row>
    <row r="350" spans="1:13" x14ac:dyDescent="0.45">
      <c r="A350" t="s">
        <v>7</v>
      </c>
      <c r="B350" t="s">
        <v>139</v>
      </c>
      <c r="C350">
        <v>2035</v>
      </c>
      <c r="D350">
        <v>8</v>
      </c>
      <c r="E350">
        <v>1.04</v>
      </c>
      <c r="F350">
        <v>1.02</v>
      </c>
      <c r="G350">
        <v>7.0000000000000007E-2</v>
      </c>
      <c r="H350">
        <v>0.95</v>
      </c>
      <c r="I350">
        <v>1.1200000000000001</v>
      </c>
      <c r="J350">
        <v>1</v>
      </c>
      <c r="K350">
        <v>1.1000000000000001</v>
      </c>
      <c r="L350" t="s">
        <v>8</v>
      </c>
      <c r="M350" t="s">
        <v>73</v>
      </c>
    </row>
    <row r="351" spans="1:13" x14ac:dyDescent="0.45">
      <c r="A351" t="s">
        <v>7</v>
      </c>
      <c r="B351" t="s">
        <v>139</v>
      </c>
      <c r="C351">
        <v>2040</v>
      </c>
      <c r="D351">
        <v>8</v>
      </c>
      <c r="E351">
        <v>1.1399999999999999</v>
      </c>
      <c r="F351">
        <v>1.1100000000000001</v>
      </c>
      <c r="G351">
        <v>0.12</v>
      </c>
      <c r="H351">
        <v>1.04</v>
      </c>
      <c r="I351">
        <v>1.38</v>
      </c>
      <c r="J351">
        <v>1.04</v>
      </c>
      <c r="K351">
        <v>1.17</v>
      </c>
      <c r="L351" t="s">
        <v>8</v>
      </c>
      <c r="M351" t="s">
        <v>73</v>
      </c>
    </row>
    <row r="352" spans="1:13" x14ac:dyDescent="0.45">
      <c r="A352" t="s">
        <v>7</v>
      </c>
      <c r="B352" t="s">
        <v>139</v>
      </c>
      <c r="C352">
        <v>2045</v>
      </c>
      <c r="D352">
        <v>8</v>
      </c>
      <c r="E352">
        <v>1.41</v>
      </c>
      <c r="F352">
        <v>1.45</v>
      </c>
      <c r="G352">
        <v>0.16</v>
      </c>
      <c r="H352">
        <v>1.2</v>
      </c>
      <c r="I352">
        <v>1.57</v>
      </c>
      <c r="J352">
        <v>1.27</v>
      </c>
      <c r="K352">
        <v>1.56</v>
      </c>
      <c r="L352" t="s">
        <v>8</v>
      </c>
      <c r="M352" t="s">
        <v>73</v>
      </c>
    </row>
    <row r="353" spans="1:13" x14ac:dyDescent="0.45">
      <c r="A353" t="s">
        <v>7</v>
      </c>
      <c r="B353" t="s">
        <v>139</v>
      </c>
      <c r="C353">
        <v>2050</v>
      </c>
      <c r="D353">
        <v>8</v>
      </c>
      <c r="E353">
        <v>1.91</v>
      </c>
      <c r="F353">
        <v>1.92</v>
      </c>
      <c r="G353">
        <v>0.34</v>
      </c>
      <c r="H353">
        <v>1.42</v>
      </c>
      <c r="I353">
        <v>2.35</v>
      </c>
      <c r="J353">
        <v>1.69</v>
      </c>
      <c r="K353">
        <v>2.17</v>
      </c>
      <c r="L353" t="s">
        <v>8</v>
      </c>
      <c r="M353" t="s">
        <v>73</v>
      </c>
    </row>
    <row r="354" spans="1:13" x14ac:dyDescent="0.45">
      <c r="A354" t="s">
        <v>9</v>
      </c>
      <c r="B354" t="s">
        <v>139</v>
      </c>
      <c r="C354">
        <v>2020</v>
      </c>
      <c r="D354">
        <v>7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73</v>
      </c>
    </row>
    <row r="355" spans="1:13" x14ac:dyDescent="0.45">
      <c r="A355" t="s">
        <v>9</v>
      </c>
      <c r="B355" t="s">
        <v>139</v>
      </c>
      <c r="C355">
        <v>2025</v>
      </c>
      <c r="D355">
        <v>7</v>
      </c>
      <c r="E355">
        <v>0.99</v>
      </c>
      <c r="F355">
        <v>0.84</v>
      </c>
      <c r="G355">
        <v>0.21</v>
      </c>
      <c r="H355">
        <v>0.83</v>
      </c>
      <c r="I355">
        <v>1.29</v>
      </c>
      <c r="J355">
        <v>0.83</v>
      </c>
      <c r="K355">
        <v>1.1599999999999999</v>
      </c>
      <c r="L355" t="s">
        <v>10</v>
      </c>
      <c r="M355" t="s">
        <v>73</v>
      </c>
    </row>
    <row r="356" spans="1:13" x14ac:dyDescent="0.45">
      <c r="A356" t="s">
        <v>9</v>
      </c>
      <c r="B356" t="s">
        <v>139</v>
      </c>
      <c r="C356">
        <v>2030</v>
      </c>
      <c r="D356">
        <v>7</v>
      </c>
      <c r="E356">
        <v>0.9</v>
      </c>
      <c r="F356">
        <v>0.79</v>
      </c>
      <c r="G356">
        <v>0.14000000000000001</v>
      </c>
      <c r="H356">
        <v>0.78</v>
      </c>
      <c r="I356">
        <v>1.07</v>
      </c>
      <c r="J356">
        <v>0.78</v>
      </c>
      <c r="K356">
        <v>1.04</v>
      </c>
      <c r="L356" t="s">
        <v>10</v>
      </c>
      <c r="M356" t="s">
        <v>73</v>
      </c>
    </row>
    <row r="357" spans="1:13" x14ac:dyDescent="0.45">
      <c r="A357" t="s">
        <v>9</v>
      </c>
      <c r="B357" t="s">
        <v>139</v>
      </c>
      <c r="C357">
        <v>2035</v>
      </c>
      <c r="D357">
        <v>7</v>
      </c>
      <c r="E357">
        <v>0.85</v>
      </c>
      <c r="F357">
        <v>0.82</v>
      </c>
      <c r="G357">
        <v>7.0000000000000007E-2</v>
      </c>
      <c r="H357">
        <v>0.8</v>
      </c>
      <c r="I357">
        <v>0.98</v>
      </c>
      <c r="J357">
        <v>0.81</v>
      </c>
      <c r="K357">
        <v>0.86</v>
      </c>
      <c r="L357" t="s">
        <v>10</v>
      </c>
      <c r="M357" t="s">
        <v>73</v>
      </c>
    </row>
    <row r="358" spans="1:13" x14ac:dyDescent="0.45">
      <c r="A358" t="s">
        <v>9</v>
      </c>
      <c r="B358" t="s">
        <v>139</v>
      </c>
      <c r="C358">
        <v>2040</v>
      </c>
      <c r="D358">
        <v>7</v>
      </c>
      <c r="E358">
        <v>0.87</v>
      </c>
      <c r="F358">
        <v>0.86</v>
      </c>
      <c r="G358">
        <v>0.06</v>
      </c>
      <c r="H358">
        <v>0.83</v>
      </c>
      <c r="I358">
        <v>0.99</v>
      </c>
      <c r="J358">
        <v>0.84</v>
      </c>
      <c r="K358">
        <v>0.86</v>
      </c>
      <c r="L358" t="s">
        <v>10</v>
      </c>
      <c r="M358" t="s">
        <v>73</v>
      </c>
    </row>
    <row r="359" spans="1:13" x14ac:dyDescent="0.45">
      <c r="A359" t="s">
        <v>9</v>
      </c>
      <c r="B359" t="s">
        <v>139</v>
      </c>
      <c r="C359">
        <v>2045</v>
      </c>
      <c r="D359">
        <v>7</v>
      </c>
      <c r="E359">
        <v>0.9</v>
      </c>
      <c r="F359">
        <v>0.88</v>
      </c>
      <c r="G359">
        <v>0.09</v>
      </c>
      <c r="H359">
        <v>0.82</v>
      </c>
      <c r="I359">
        <v>1.0900000000000001</v>
      </c>
      <c r="J359">
        <v>0.85</v>
      </c>
      <c r="K359">
        <v>0.89</v>
      </c>
      <c r="L359" t="s">
        <v>10</v>
      </c>
      <c r="M359" t="s">
        <v>73</v>
      </c>
    </row>
    <row r="360" spans="1:13" x14ac:dyDescent="0.45">
      <c r="A360" t="s">
        <v>9</v>
      </c>
      <c r="B360" t="s">
        <v>139</v>
      </c>
      <c r="C360">
        <v>2050</v>
      </c>
      <c r="D360">
        <v>7</v>
      </c>
      <c r="E360">
        <v>0.94</v>
      </c>
      <c r="F360">
        <v>0.9</v>
      </c>
      <c r="G360">
        <v>0.15</v>
      </c>
      <c r="H360">
        <v>0.84</v>
      </c>
      <c r="I360">
        <v>1.28</v>
      </c>
      <c r="J360">
        <v>0.87</v>
      </c>
      <c r="K360">
        <v>0.92</v>
      </c>
      <c r="L360" t="s">
        <v>10</v>
      </c>
      <c r="M360" t="s">
        <v>73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S24"/>
  <sheetViews>
    <sheetView workbookViewId="0">
      <selection activeCell="H21" sqref="H21"/>
    </sheetView>
  </sheetViews>
  <sheetFormatPr defaultRowHeight="14.25" x14ac:dyDescent="0.45"/>
  <sheetData>
    <row r="10" spans="1:19" x14ac:dyDescent="0.45">
      <c r="A10" t="str">
        <f>IFERROR(Veda!D5,"ts_12t")</f>
        <v>ts_annual</v>
      </c>
      <c r="B10" s="15"/>
      <c r="C10" s="15" t="s">
        <v>188</v>
      </c>
      <c r="D10" t="s">
        <v>128</v>
      </c>
      <c r="F10" t="s">
        <v>188</v>
      </c>
      <c r="G10" t="s">
        <v>119</v>
      </c>
      <c r="I10" t="s">
        <v>188</v>
      </c>
      <c r="J10" t="s">
        <v>134</v>
      </c>
      <c r="L10" t="s">
        <v>188</v>
      </c>
      <c r="M10" t="s">
        <v>127</v>
      </c>
      <c r="O10" t="s">
        <v>188</v>
      </c>
      <c r="P10" t="s">
        <v>103</v>
      </c>
      <c r="R10" t="s">
        <v>188</v>
      </c>
      <c r="S10" t="s">
        <v>120</v>
      </c>
    </row>
    <row r="11" spans="1:19" x14ac:dyDescent="0.45">
      <c r="B11" s="15"/>
      <c r="C11" s="15" t="s">
        <v>189</v>
      </c>
      <c r="D11" t="s">
        <v>156</v>
      </c>
      <c r="F11" t="s">
        <v>189</v>
      </c>
      <c r="G11" t="s">
        <v>156</v>
      </c>
      <c r="I11" t="s">
        <v>189</v>
      </c>
      <c r="J11" t="s">
        <v>244</v>
      </c>
      <c r="L11" t="s">
        <v>189</v>
      </c>
      <c r="M11" t="s">
        <v>295</v>
      </c>
      <c r="O11" t="s">
        <v>189</v>
      </c>
      <c r="P11" t="s">
        <v>299</v>
      </c>
      <c r="R11" t="s">
        <v>189</v>
      </c>
      <c r="S11" t="s">
        <v>318</v>
      </c>
    </row>
    <row r="12" spans="1:19" x14ac:dyDescent="0.45">
      <c r="B12" s="15"/>
      <c r="C12" s="15" t="s">
        <v>190</v>
      </c>
      <c r="D12" t="s">
        <v>191</v>
      </c>
      <c r="F12" t="s">
        <v>190</v>
      </c>
      <c r="G12" t="s">
        <v>194</v>
      </c>
      <c r="I12" t="s">
        <v>190</v>
      </c>
      <c r="J12" t="s">
        <v>245</v>
      </c>
      <c r="L12" t="s">
        <v>190</v>
      </c>
      <c r="M12" t="s">
        <v>296</v>
      </c>
      <c r="O12" t="s">
        <v>190</v>
      </c>
      <c r="P12" t="s">
        <v>299</v>
      </c>
      <c r="R12" t="s">
        <v>190</v>
      </c>
      <c r="S12" t="s">
        <v>319</v>
      </c>
    </row>
    <row r="17" spans="3:13" x14ac:dyDescent="0.45">
      <c r="I17" s="12">
        <v>0.75</v>
      </c>
      <c r="K17" s="2" t="s">
        <v>84</v>
      </c>
    </row>
    <row r="18" spans="3:13" ht="17.649999999999999" thickBot="1" x14ac:dyDescent="0.6">
      <c r="C18" s="13" t="s">
        <v>85</v>
      </c>
    </row>
    <row r="19" spans="3:13" ht="14.65" thickTop="1" x14ac:dyDescent="0.45"/>
    <row r="21" spans="3:13" ht="17.649999999999999" thickBot="1" x14ac:dyDescent="0.6">
      <c r="H21" s="13" t="str">
        <f>IF(H23=H24,"Not Required!","~UC_T: LO")</f>
        <v>Not Required!</v>
      </c>
    </row>
    <row r="22" spans="3:13" ht="15" thickTop="1" thickBot="1" x14ac:dyDescent="0.5">
      <c r="C22" s="14" t="s">
        <v>86</v>
      </c>
      <c r="D22" s="14" t="s">
        <v>87</v>
      </c>
      <c r="E22" s="14" t="s">
        <v>88</v>
      </c>
      <c r="F22" s="14" t="s">
        <v>89</v>
      </c>
      <c r="G22" s="14" t="s">
        <v>90</v>
      </c>
      <c r="H22" s="14" t="s">
        <v>91</v>
      </c>
      <c r="I22" s="14" t="s">
        <v>92</v>
      </c>
      <c r="J22" s="14" t="s">
        <v>93</v>
      </c>
      <c r="K22" s="14" t="s">
        <v>94</v>
      </c>
    </row>
    <row r="23" spans="3:13" x14ac:dyDescent="0.45">
      <c r="C23" t="s">
        <v>95</v>
      </c>
      <c r="D23" t="s">
        <v>96</v>
      </c>
      <c r="E23" t="str">
        <f>G23</f>
        <v>AuxStoIN</v>
      </c>
      <c r="F23" t="s">
        <v>97</v>
      </c>
      <c r="G23" t="s">
        <v>98</v>
      </c>
      <c r="H23" t="str">
        <f>HLOOKUP($A$10,$D$10:$CU$12,3,FALSE)</f>
        <v>AllSaAllH</v>
      </c>
      <c r="I23">
        <f>1+I24</f>
        <v>0.25</v>
      </c>
      <c r="J23">
        <v>0</v>
      </c>
      <c r="K23">
        <v>3</v>
      </c>
      <c r="M23" t="s">
        <v>99</v>
      </c>
    </row>
    <row r="24" spans="3:13" x14ac:dyDescent="0.45">
      <c r="D24" t="s">
        <v>96</v>
      </c>
      <c r="E24" t="str">
        <f>G24</f>
        <v>AuxStoIN</v>
      </c>
      <c r="F24" t="s">
        <v>97</v>
      </c>
      <c r="G24" t="s">
        <v>98</v>
      </c>
      <c r="H24" t="str">
        <f>HLOOKUP($A$10,$D$10:$CU$12,2,FALSE)</f>
        <v>AllSaAllH</v>
      </c>
      <c r="I24">
        <f>-$I$17</f>
        <v>-0.75</v>
      </c>
      <c r="M24" t="s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BF407-8A0B-481A-A101-AA9975E5C8A4}">
  <dimension ref="A9:G12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DeActivated</v>
      </c>
    </row>
    <row r="10" spans="1:7" x14ac:dyDescent="0.45">
      <c r="A10" t="s">
        <v>118</v>
      </c>
      <c r="C10" t="s">
        <v>143</v>
      </c>
      <c r="D10" t="s">
        <v>144</v>
      </c>
      <c r="E10" t="s">
        <v>145</v>
      </c>
      <c r="F10" t="s">
        <v>146</v>
      </c>
      <c r="G10" t="s">
        <v>147</v>
      </c>
    </row>
    <row r="11" spans="1:7" x14ac:dyDescent="0.45">
      <c r="A11" t="str">
        <f>IFERROR(IF(Veda!D5=A10,"ok","x"),"")</f>
        <v>x</v>
      </c>
      <c r="C11" t="s">
        <v>148</v>
      </c>
      <c r="D11" t="s">
        <v>149</v>
      </c>
      <c r="E11" t="s">
        <v>150</v>
      </c>
      <c r="F11" t="s">
        <v>148</v>
      </c>
      <c r="G11" t="s">
        <v>149</v>
      </c>
    </row>
    <row r="12" spans="1:7" x14ac:dyDescent="0.45">
      <c r="E12" t="s">
        <v>151</v>
      </c>
      <c r="G12" t="s">
        <v>149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53747-A577-4A76-994C-64A7E951A91F}">
  <dimension ref="A9:AA78"/>
  <sheetViews>
    <sheetView workbookViewId="0"/>
  </sheetViews>
  <sheetFormatPr defaultRowHeight="14.25" x14ac:dyDescent="0.45"/>
  <sheetData>
    <row r="9" spans="1:27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</row>
    <row r="10" spans="1:27" x14ac:dyDescent="0.45">
      <c r="A10" t="s">
        <v>128</v>
      </c>
      <c r="C10" t="s">
        <v>143</v>
      </c>
      <c r="D10" t="s">
        <v>144</v>
      </c>
      <c r="E10" t="s">
        <v>145</v>
      </c>
      <c r="F10" t="s">
        <v>146</v>
      </c>
      <c r="G10" t="s">
        <v>147</v>
      </c>
      <c r="I10" t="s">
        <v>13</v>
      </c>
      <c r="J10" t="s">
        <v>115</v>
      </c>
      <c r="K10" t="s">
        <v>154</v>
      </c>
      <c r="L10" t="s">
        <v>30</v>
      </c>
      <c r="N10" t="s">
        <v>13</v>
      </c>
      <c r="O10" t="s">
        <v>115</v>
      </c>
      <c r="P10" t="s">
        <v>154</v>
      </c>
      <c r="Q10" t="s">
        <v>30</v>
      </c>
      <c r="S10" t="s">
        <v>13</v>
      </c>
      <c r="T10" t="s">
        <v>115</v>
      </c>
      <c r="U10" t="s">
        <v>154</v>
      </c>
      <c r="V10" t="s">
        <v>30</v>
      </c>
      <c r="X10" t="s">
        <v>187</v>
      </c>
      <c r="Y10" t="s">
        <v>154</v>
      </c>
      <c r="Z10" t="s">
        <v>115</v>
      </c>
      <c r="AA10" t="s">
        <v>13</v>
      </c>
    </row>
    <row r="11" spans="1:27" x14ac:dyDescent="0.45">
      <c r="A11" t="str">
        <f>IFERROR(IF(Veda!D5=A10,"ok","x"),"")</f>
        <v>x</v>
      </c>
      <c r="C11" t="s">
        <v>148</v>
      </c>
      <c r="D11" t="s">
        <v>149</v>
      </c>
      <c r="E11" t="s">
        <v>150</v>
      </c>
      <c r="F11" t="s">
        <v>148</v>
      </c>
      <c r="G11" t="s">
        <v>149</v>
      </c>
      <c r="I11" t="s">
        <v>155</v>
      </c>
      <c r="J11" t="s">
        <v>156</v>
      </c>
      <c r="K11">
        <v>0.99999999999999711</v>
      </c>
      <c r="L11" t="s">
        <v>157</v>
      </c>
      <c r="N11" t="s">
        <v>177</v>
      </c>
      <c r="O11" t="s">
        <v>156</v>
      </c>
      <c r="P11">
        <v>0.85637232462800039</v>
      </c>
      <c r="Q11" t="s">
        <v>157</v>
      </c>
      <c r="S11" t="s">
        <v>182</v>
      </c>
      <c r="T11" t="s">
        <v>156</v>
      </c>
      <c r="U11">
        <v>0.85637232462800039</v>
      </c>
      <c r="V11" t="s">
        <v>157</v>
      </c>
      <c r="X11">
        <v>0.875</v>
      </c>
      <c r="Y11">
        <v>0.93950393224440432</v>
      </c>
      <c r="Z11" t="s">
        <v>156</v>
      </c>
      <c r="AA11" t="s">
        <v>25</v>
      </c>
    </row>
    <row r="12" spans="1:27" x14ac:dyDescent="0.45">
      <c r="E12" t="s">
        <v>151</v>
      </c>
      <c r="G12" t="s">
        <v>149</v>
      </c>
      <c r="I12" t="s">
        <v>155</v>
      </c>
      <c r="J12" t="s">
        <v>158</v>
      </c>
      <c r="K12">
        <v>0</v>
      </c>
      <c r="L12" t="s">
        <v>157</v>
      </c>
      <c r="N12" t="s">
        <v>177</v>
      </c>
      <c r="O12" t="s">
        <v>158</v>
      </c>
      <c r="P12">
        <v>5.3956079375296902E-2</v>
      </c>
      <c r="Q12" t="s">
        <v>157</v>
      </c>
      <c r="S12" t="s">
        <v>182</v>
      </c>
      <c r="T12" t="s">
        <v>158</v>
      </c>
      <c r="U12">
        <v>5.3956079375296902E-2</v>
      </c>
      <c r="V12" t="s">
        <v>157</v>
      </c>
      <c r="X12">
        <v>4.1666666666666664E-2</v>
      </c>
      <c r="Y12">
        <v>2.9038112522686035E-2</v>
      </c>
      <c r="Z12" t="s">
        <v>158</v>
      </c>
      <c r="AA12" t="s">
        <v>25</v>
      </c>
    </row>
    <row r="13" spans="1:27" x14ac:dyDescent="0.45">
      <c r="E13" t="s">
        <v>152</v>
      </c>
      <c r="G13" t="s">
        <v>149</v>
      </c>
      <c r="I13" t="s">
        <v>155</v>
      </c>
      <c r="J13" t="s">
        <v>159</v>
      </c>
      <c r="K13">
        <v>0</v>
      </c>
      <c r="L13" t="s">
        <v>157</v>
      </c>
      <c r="N13" t="s">
        <v>177</v>
      </c>
      <c r="O13" t="s">
        <v>159</v>
      </c>
      <c r="P13">
        <v>4.862192391936928E-2</v>
      </c>
      <c r="Q13" t="s">
        <v>157</v>
      </c>
      <c r="S13" t="s">
        <v>182</v>
      </c>
      <c r="T13" t="s">
        <v>159</v>
      </c>
      <c r="U13">
        <v>4.862192391936928E-2</v>
      </c>
      <c r="V13" t="s">
        <v>157</v>
      </c>
      <c r="X13">
        <v>4.1666666666666664E-2</v>
      </c>
      <c r="Y13">
        <v>2.0568663036902607E-2</v>
      </c>
      <c r="Z13" t="s">
        <v>159</v>
      </c>
      <c r="AA13" t="s">
        <v>25</v>
      </c>
    </row>
    <row r="14" spans="1:27" x14ac:dyDescent="0.45">
      <c r="E14" t="s">
        <v>153</v>
      </c>
      <c r="G14" t="s">
        <v>149</v>
      </c>
      <c r="I14" t="s">
        <v>155</v>
      </c>
      <c r="J14" t="s">
        <v>160</v>
      </c>
      <c r="K14">
        <v>0</v>
      </c>
      <c r="L14" t="s">
        <v>157</v>
      </c>
      <c r="N14" t="s">
        <v>177</v>
      </c>
      <c r="O14" t="s">
        <v>160</v>
      </c>
      <c r="P14">
        <v>4.1049672077330179E-2</v>
      </c>
      <c r="Q14" t="s">
        <v>157</v>
      </c>
      <c r="S14" t="s">
        <v>182</v>
      </c>
      <c r="T14" t="s">
        <v>160</v>
      </c>
      <c r="U14">
        <v>4.1049672077330179E-2</v>
      </c>
      <c r="V14" t="s">
        <v>157</v>
      </c>
      <c r="X14">
        <v>4.1666666666666664E-2</v>
      </c>
      <c r="Y14">
        <v>1.0889292196007261E-2</v>
      </c>
      <c r="Z14" t="s">
        <v>160</v>
      </c>
      <c r="AA14" t="s">
        <v>25</v>
      </c>
    </row>
    <row r="15" spans="1:27" x14ac:dyDescent="0.45">
      <c r="I15" t="s">
        <v>161</v>
      </c>
      <c r="J15" t="s">
        <v>156</v>
      </c>
      <c r="K15">
        <v>1.0000000000000011</v>
      </c>
      <c r="L15" t="s">
        <v>157</v>
      </c>
      <c r="N15" t="s">
        <v>178</v>
      </c>
      <c r="O15" t="s">
        <v>156</v>
      </c>
      <c r="P15">
        <v>0.89239818312373498</v>
      </c>
      <c r="Q15" t="s">
        <v>157</v>
      </c>
      <c r="S15" t="s">
        <v>183</v>
      </c>
      <c r="T15" t="s">
        <v>156</v>
      </c>
      <c r="U15">
        <v>0.89239818312373498</v>
      </c>
      <c r="V15" t="s">
        <v>157</v>
      </c>
    </row>
    <row r="16" spans="1:27" x14ac:dyDescent="0.45">
      <c r="I16" t="s">
        <v>161</v>
      </c>
      <c r="J16" t="s">
        <v>158</v>
      </c>
      <c r="K16">
        <v>0</v>
      </c>
      <c r="L16" t="s">
        <v>157</v>
      </c>
      <c r="N16" t="s">
        <v>178</v>
      </c>
      <c r="O16" t="s">
        <v>158</v>
      </c>
      <c r="P16">
        <v>4.0337660183244001E-2</v>
      </c>
      <c r="Q16" t="s">
        <v>157</v>
      </c>
      <c r="S16" t="s">
        <v>183</v>
      </c>
      <c r="T16" t="s">
        <v>158</v>
      </c>
      <c r="U16">
        <v>4.0337660183244001E-2</v>
      </c>
      <c r="V16" t="s">
        <v>157</v>
      </c>
    </row>
    <row r="17" spans="9:22" x14ac:dyDescent="0.45">
      <c r="I17" t="s">
        <v>161</v>
      </c>
      <c r="J17" t="s">
        <v>159</v>
      </c>
      <c r="K17">
        <v>0</v>
      </c>
      <c r="L17" t="s">
        <v>157</v>
      </c>
      <c r="N17" t="s">
        <v>178</v>
      </c>
      <c r="O17" t="s">
        <v>159</v>
      </c>
      <c r="P17">
        <v>3.6232557120329467E-2</v>
      </c>
      <c r="Q17" t="s">
        <v>157</v>
      </c>
      <c r="S17" t="s">
        <v>183</v>
      </c>
      <c r="T17" t="s">
        <v>159</v>
      </c>
      <c r="U17">
        <v>3.6232557120329467E-2</v>
      </c>
      <c r="V17" t="s">
        <v>157</v>
      </c>
    </row>
    <row r="18" spans="9:22" x14ac:dyDescent="0.45">
      <c r="I18" t="s">
        <v>161</v>
      </c>
      <c r="J18" t="s">
        <v>160</v>
      </c>
      <c r="K18">
        <v>0</v>
      </c>
      <c r="L18" t="s">
        <v>157</v>
      </c>
      <c r="N18" t="s">
        <v>178</v>
      </c>
      <c r="O18" t="s">
        <v>160</v>
      </c>
      <c r="P18">
        <v>3.1031599572685357E-2</v>
      </c>
      <c r="Q18" t="s">
        <v>157</v>
      </c>
      <c r="S18" t="s">
        <v>183</v>
      </c>
      <c r="T18" t="s">
        <v>160</v>
      </c>
      <c r="U18">
        <v>3.1031599572685357E-2</v>
      </c>
      <c r="V18" t="s">
        <v>157</v>
      </c>
    </row>
    <row r="19" spans="9:22" x14ac:dyDescent="0.45">
      <c r="I19" t="s">
        <v>162</v>
      </c>
      <c r="J19" t="s">
        <v>156</v>
      </c>
      <c r="K19">
        <v>1.0000000000000013</v>
      </c>
      <c r="L19" t="s">
        <v>157</v>
      </c>
      <c r="N19" t="s">
        <v>179</v>
      </c>
      <c r="O19" t="s">
        <v>156</v>
      </c>
      <c r="P19">
        <v>0.86542193737121609</v>
      </c>
      <c r="Q19" t="s">
        <v>157</v>
      </c>
      <c r="S19" t="s">
        <v>184</v>
      </c>
      <c r="T19" t="s">
        <v>156</v>
      </c>
      <c r="U19">
        <v>0.86542193737121609</v>
      </c>
      <c r="V19" t="s">
        <v>157</v>
      </c>
    </row>
    <row r="20" spans="9:22" x14ac:dyDescent="0.45">
      <c r="I20" t="s">
        <v>162</v>
      </c>
      <c r="J20" t="s">
        <v>158</v>
      </c>
      <c r="K20">
        <v>0</v>
      </c>
      <c r="L20" t="s">
        <v>157</v>
      </c>
      <c r="N20" t="s">
        <v>179</v>
      </c>
      <c r="O20" t="s">
        <v>158</v>
      </c>
      <c r="P20">
        <v>5.3566746756770658E-2</v>
      </c>
      <c r="Q20" t="s">
        <v>157</v>
      </c>
      <c r="S20" t="s">
        <v>184</v>
      </c>
      <c r="T20" t="s">
        <v>158</v>
      </c>
      <c r="U20">
        <v>5.3566746756770658E-2</v>
      </c>
      <c r="V20" t="s">
        <v>157</v>
      </c>
    </row>
    <row r="21" spans="9:22" x14ac:dyDescent="0.45">
      <c r="I21" t="s">
        <v>162</v>
      </c>
      <c r="J21" t="s">
        <v>159</v>
      </c>
      <c r="K21">
        <v>0</v>
      </c>
      <c r="L21" t="s">
        <v>157</v>
      </c>
      <c r="N21" t="s">
        <v>179</v>
      </c>
      <c r="O21" t="s">
        <v>159</v>
      </c>
      <c r="P21">
        <v>4.4695857241544588E-2</v>
      </c>
      <c r="Q21" t="s">
        <v>157</v>
      </c>
      <c r="S21" t="s">
        <v>184</v>
      </c>
      <c r="T21" t="s">
        <v>159</v>
      </c>
      <c r="U21">
        <v>4.4695857241544588E-2</v>
      </c>
      <c r="V21" t="s">
        <v>157</v>
      </c>
    </row>
    <row r="22" spans="9:22" x14ac:dyDescent="0.45">
      <c r="I22" t="s">
        <v>162</v>
      </c>
      <c r="J22" t="s">
        <v>160</v>
      </c>
      <c r="K22">
        <v>0</v>
      </c>
      <c r="L22" t="s">
        <v>157</v>
      </c>
      <c r="N22" t="s">
        <v>179</v>
      </c>
      <c r="O22" t="s">
        <v>160</v>
      </c>
      <c r="P22">
        <v>3.6315458630468651E-2</v>
      </c>
      <c r="Q22" t="s">
        <v>157</v>
      </c>
      <c r="S22" t="s">
        <v>184</v>
      </c>
      <c r="T22" t="s">
        <v>160</v>
      </c>
      <c r="U22">
        <v>3.6315458630468651E-2</v>
      </c>
      <c r="V22" t="s">
        <v>157</v>
      </c>
    </row>
    <row r="23" spans="9:22" x14ac:dyDescent="0.45">
      <c r="I23" t="s">
        <v>163</v>
      </c>
      <c r="J23" t="s">
        <v>156</v>
      </c>
      <c r="K23">
        <v>1.0000000000000027</v>
      </c>
      <c r="L23" t="s">
        <v>157</v>
      </c>
      <c r="N23" t="s">
        <v>180</v>
      </c>
      <c r="O23" t="s">
        <v>156</v>
      </c>
      <c r="P23">
        <v>0.89410942665464876</v>
      </c>
      <c r="Q23" t="s">
        <v>157</v>
      </c>
      <c r="S23" t="s">
        <v>185</v>
      </c>
      <c r="T23" t="s">
        <v>156</v>
      </c>
      <c r="U23">
        <v>0.89410942665464876</v>
      </c>
      <c r="V23" t="s">
        <v>157</v>
      </c>
    </row>
    <row r="24" spans="9:22" x14ac:dyDescent="0.45">
      <c r="I24" t="s">
        <v>163</v>
      </c>
      <c r="J24" t="s">
        <v>158</v>
      </c>
      <c r="K24">
        <v>0</v>
      </c>
      <c r="L24" t="s">
        <v>157</v>
      </c>
      <c r="N24" t="s">
        <v>180</v>
      </c>
      <c r="O24" t="s">
        <v>158</v>
      </c>
      <c r="P24">
        <v>4.1810027762186369E-2</v>
      </c>
      <c r="Q24" t="s">
        <v>157</v>
      </c>
      <c r="S24" t="s">
        <v>185</v>
      </c>
      <c r="T24" t="s">
        <v>158</v>
      </c>
      <c r="U24">
        <v>4.1810027762186369E-2</v>
      </c>
      <c r="V24" t="s">
        <v>157</v>
      </c>
    </row>
    <row r="25" spans="9:22" x14ac:dyDescent="0.45">
      <c r="I25" t="s">
        <v>163</v>
      </c>
      <c r="J25" t="s">
        <v>159</v>
      </c>
      <c r="K25">
        <v>0</v>
      </c>
      <c r="L25" t="s">
        <v>157</v>
      </c>
      <c r="N25" t="s">
        <v>180</v>
      </c>
      <c r="O25" t="s">
        <v>159</v>
      </c>
      <c r="P25">
        <v>3.480264417170844E-2</v>
      </c>
      <c r="Q25" t="s">
        <v>157</v>
      </c>
      <c r="S25" t="s">
        <v>185</v>
      </c>
      <c r="T25" t="s">
        <v>159</v>
      </c>
      <c r="U25">
        <v>3.480264417170844E-2</v>
      </c>
      <c r="V25" t="s">
        <v>157</v>
      </c>
    </row>
    <row r="26" spans="9:22" x14ac:dyDescent="0.45">
      <c r="I26" t="s">
        <v>163</v>
      </c>
      <c r="J26" t="s">
        <v>160</v>
      </c>
      <c r="K26">
        <v>0</v>
      </c>
      <c r="L26" t="s">
        <v>157</v>
      </c>
      <c r="N26" t="s">
        <v>180</v>
      </c>
      <c r="O26" t="s">
        <v>160</v>
      </c>
      <c r="P26">
        <v>2.9277901411452562E-2</v>
      </c>
      <c r="Q26" t="s">
        <v>157</v>
      </c>
      <c r="S26" t="s">
        <v>185</v>
      </c>
      <c r="T26" t="s">
        <v>160</v>
      </c>
      <c r="U26">
        <v>2.9277901411452562E-2</v>
      </c>
      <c r="V26" t="s">
        <v>157</v>
      </c>
    </row>
    <row r="27" spans="9:22" x14ac:dyDescent="0.45">
      <c r="I27" t="s">
        <v>164</v>
      </c>
      <c r="J27" t="s">
        <v>156</v>
      </c>
      <c r="K27">
        <v>0.99999999999999944</v>
      </c>
      <c r="L27" t="s">
        <v>157</v>
      </c>
      <c r="N27" t="s">
        <v>181</v>
      </c>
      <c r="O27" t="s">
        <v>156</v>
      </c>
      <c r="P27">
        <v>0.91529367451726473</v>
      </c>
      <c r="Q27" t="s">
        <v>157</v>
      </c>
      <c r="S27" t="s">
        <v>186</v>
      </c>
      <c r="T27" t="s">
        <v>156</v>
      </c>
      <c r="U27">
        <v>0.91529367451726473</v>
      </c>
      <c r="V27" t="s">
        <v>157</v>
      </c>
    </row>
    <row r="28" spans="9:22" x14ac:dyDescent="0.45">
      <c r="I28" t="s">
        <v>164</v>
      </c>
      <c r="J28" t="s">
        <v>158</v>
      </c>
      <c r="K28">
        <v>0</v>
      </c>
      <c r="L28" t="s">
        <v>157</v>
      </c>
      <c r="N28" t="s">
        <v>181</v>
      </c>
      <c r="O28" t="s">
        <v>158</v>
      </c>
      <c r="P28">
        <v>3.2731612428383725E-2</v>
      </c>
      <c r="Q28" t="s">
        <v>157</v>
      </c>
      <c r="S28" t="s">
        <v>186</v>
      </c>
      <c r="T28" t="s">
        <v>158</v>
      </c>
      <c r="U28">
        <v>3.2731612428383725E-2</v>
      </c>
      <c r="V28" t="s">
        <v>157</v>
      </c>
    </row>
    <row r="29" spans="9:22" x14ac:dyDescent="0.45">
      <c r="I29" t="s">
        <v>164</v>
      </c>
      <c r="J29" t="s">
        <v>159</v>
      </c>
      <c r="K29">
        <v>0</v>
      </c>
      <c r="L29" t="s">
        <v>157</v>
      </c>
      <c r="N29" t="s">
        <v>181</v>
      </c>
      <c r="O29" t="s">
        <v>159</v>
      </c>
      <c r="P29">
        <v>2.7321737182807983E-2</v>
      </c>
      <c r="Q29" t="s">
        <v>157</v>
      </c>
      <c r="S29" t="s">
        <v>186</v>
      </c>
      <c r="T29" t="s">
        <v>159</v>
      </c>
      <c r="U29">
        <v>2.7321737182807983E-2</v>
      </c>
      <c r="V29" t="s">
        <v>157</v>
      </c>
    </row>
    <row r="30" spans="9:22" x14ac:dyDescent="0.45">
      <c r="I30" t="s">
        <v>164</v>
      </c>
      <c r="J30" t="s">
        <v>160</v>
      </c>
      <c r="K30">
        <v>0</v>
      </c>
      <c r="L30" t="s">
        <v>157</v>
      </c>
      <c r="N30" t="s">
        <v>181</v>
      </c>
      <c r="O30" t="s">
        <v>160</v>
      </c>
      <c r="P30">
        <v>2.4652975871541988E-2</v>
      </c>
      <c r="Q30" t="s">
        <v>157</v>
      </c>
      <c r="S30" t="s">
        <v>186</v>
      </c>
      <c r="T30" t="s">
        <v>160</v>
      </c>
      <c r="U30">
        <v>2.4652975871541988E-2</v>
      </c>
      <c r="V30" t="s">
        <v>157</v>
      </c>
    </row>
    <row r="31" spans="9:22" x14ac:dyDescent="0.45">
      <c r="I31" t="s">
        <v>165</v>
      </c>
      <c r="J31" t="s">
        <v>156</v>
      </c>
      <c r="K31">
        <v>1.0000000000000011</v>
      </c>
      <c r="L31" t="s">
        <v>157</v>
      </c>
    </row>
    <row r="32" spans="9:22" x14ac:dyDescent="0.45">
      <c r="I32" t="s">
        <v>165</v>
      </c>
      <c r="J32" t="s">
        <v>158</v>
      </c>
      <c r="K32">
        <v>0</v>
      </c>
      <c r="L32" t="s">
        <v>157</v>
      </c>
    </row>
    <row r="33" spans="9:12" x14ac:dyDescent="0.45">
      <c r="I33" t="s">
        <v>165</v>
      </c>
      <c r="J33" t="s">
        <v>159</v>
      </c>
      <c r="K33">
        <v>0</v>
      </c>
      <c r="L33" t="s">
        <v>157</v>
      </c>
    </row>
    <row r="34" spans="9:12" x14ac:dyDescent="0.45">
      <c r="I34" t="s">
        <v>165</v>
      </c>
      <c r="J34" t="s">
        <v>160</v>
      </c>
      <c r="K34">
        <v>0</v>
      </c>
      <c r="L34" t="s">
        <v>157</v>
      </c>
    </row>
    <row r="35" spans="9:12" x14ac:dyDescent="0.45">
      <c r="I35" t="s">
        <v>166</v>
      </c>
      <c r="J35" t="s">
        <v>156</v>
      </c>
      <c r="K35">
        <v>1.0000000000000018</v>
      </c>
      <c r="L35" t="s">
        <v>157</v>
      </c>
    </row>
    <row r="36" spans="9:12" x14ac:dyDescent="0.45">
      <c r="I36" t="s">
        <v>166</v>
      </c>
      <c r="J36" t="s">
        <v>158</v>
      </c>
      <c r="K36">
        <v>0</v>
      </c>
      <c r="L36" t="s">
        <v>157</v>
      </c>
    </row>
    <row r="37" spans="9:12" x14ac:dyDescent="0.45">
      <c r="I37" t="s">
        <v>166</v>
      </c>
      <c r="J37" t="s">
        <v>159</v>
      </c>
      <c r="K37">
        <v>0</v>
      </c>
      <c r="L37" t="s">
        <v>157</v>
      </c>
    </row>
    <row r="38" spans="9:12" x14ac:dyDescent="0.45">
      <c r="I38" t="s">
        <v>166</v>
      </c>
      <c r="J38" t="s">
        <v>160</v>
      </c>
      <c r="K38">
        <v>0</v>
      </c>
      <c r="L38" t="s">
        <v>157</v>
      </c>
    </row>
    <row r="39" spans="9:12" x14ac:dyDescent="0.45">
      <c r="I39" t="s">
        <v>167</v>
      </c>
      <c r="J39" t="s">
        <v>156</v>
      </c>
      <c r="K39">
        <v>1.0000000000000002</v>
      </c>
      <c r="L39" t="s">
        <v>157</v>
      </c>
    </row>
    <row r="40" spans="9:12" x14ac:dyDescent="0.45">
      <c r="I40" t="s">
        <v>167</v>
      </c>
      <c r="J40" t="s">
        <v>158</v>
      </c>
      <c r="K40">
        <v>0</v>
      </c>
      <c r="L40" t="s">
        <v>157</v>
      </c>
    </row>
    <row r="41" spans="9:12" x14ac:dyDescent="0.45">
      <c r="I41" t="s">
        <v>167</v>
      </c>
      <c r="J41" t="s">
        <v>159</v>
      </c>
      <c r="K41">
        <v>0</v>
      </c>
      <c r="L41" t="s">
        <v>157</v>
      </c>
    </row>
    <row r="42" spans="9:12" x14ac:dyDescent="0.45">
      <c r="I42" t="s">
        <v>167</v>
      </c>
      <c r="J42" t="s">
        <v>160</v>
      </c>
      <c r="K42">
        <v>0</v>
      </c>
      <c r="L42" t="s">
        <v>157</v>
      </c>
    </row>
    <row r="43" spans="9:12" x14ac:dyDescent="0.45">
      <c r="I43" t="s">
        <v>168</v>
      </c>
      <c r="J43" t="s">
        <v>156</v>
      </c>
      <c r="K43">
        <v>0.99999999999999878</v>
      </c>
      <c r="L43" t="s">
        <v>157</v>
      </c>
    </row>
    <row r="44" spans="9:12" x14ac:dyDescent="0.45">
      <c r="I44" t="s">
        <v>168</v>
      </c>
      <c r="J44" t="s">
        <v>158</v>
      </c>
      <c r="K44">
        <v>0</v>
      </c>
      <c r="L44" t="s">
        <v>157</v>
      </c>
    </row>
    <row r="45" spans="9:12" x14ac:dyDescent="0.45">
      <c r="I45" t="s">
        <v>168</v>
      </c>
      <c r="J45" t="s">
        <v>159</v>
      </c>
      <c r="K45">
        <v>0</v>
      </c>
      <c r="L45" t="s">
        <v>157</v>
      </c>
    </row>
    <row r="46" spans="9:12" x14ac:dyDescent="0.45">
      <c r="I46" t="s">
        <v>168</v>
      </c>
      <c r="J46" t="s">
        <v>160</v>
      </c>
      <c r="K46">
        <v>0</v>
      </c>
      <c r="L46" t="s">
        <v>157</v>
      </c>
    </row>
    <row r="47" spans="9:12" x14ac:dyDescent="0.45">
      <c r="I47" t="s">
        <v>169</v>
      </c>
      <c r="J47" t="s">
        <v>156</v>
      </c>
      <c r="K47">
        <v>0.99999999999999856</v>
      </c>
      <c r="L47" t="s">
        <v>157</v>
      </c>
    </row>
    <row r="48" spans="9:12" x14ac:dyDescent="0.45">
      <c r="I48" t="s">
        <v>169</v>
      </c>
      <c r="J48" t="s">
        <v>158</v>
      </c>
      <c r="K48">
        <v>0</v>
      </c>
      <c r="L48" t="s">
        <v>157</v>
      </c>
    </row>
    <row r="49" spans="9:12" x14ac:dyDescent="0.45">
      <c r="I49" t="s">
        <v>169</v>
      </c>
      <c r="J49" t="s">
        <v>159</v>
      </c>
      <c r="K49">
        <v>0</v>
      </c>
      <c r="L49" t="s">
        <v>157</v>
      </c>
    </row>
    <row r="50" spans="9:12" x14ac:dyDescent="0.45">
      <c r="I50" t="s">
        <v>169</v>
      </c>
      <c r="J50" t="s">
        <v>160</v>
      </c>
      <c r="K50">
        <v>0</v>
      </c>
      <c r="L50" t="s">
        <v>157</v>
      </c>
    </row>
    <row r="51" spans="9:12" x14ac:dyDescent="0.45">
      <c r="I51" t="s">
        <v>170</v>
      </c>
      <c r="J51" t="s">
        <v>156</v>
      </c>
      <c r="K51">
        <v>0.99999999999999711</v>
      </c>
      <c r="L51" t="s">
        <v>157</v>
      </c>
    </row>
    <row r="52" spans="9:12" x14ac:dyDescent="0.45">
      <c r="I52" t="s">
        <v>170</v>
      </c>
      <c r="J52" t="s">
        <v>158</v>
      </c>
      <c r="K52">
        <v>0</v>
      </c>
      <c r="L52" t="s">
        <v>157</v>
      </c>
    </row>
    <row r="53" spans="9:12" x14ac:dyDescent="0.45">
      <c r="I53" t="s">
        <v>170</v>
      </c>
      <c r="J53" t="s">
        <v>159</v>
      </c>
      <c r="K53">
        <v>0</v>
      </c>
      <c r="L53" t="s">
        <v>157</v>
      </c>
    </row>
    <row r="54" spans="9:12" x14ac:dyDescent="0.45">
      <c r="I54" t="s">
        <v>170</v>
      </c>
      <c r="J54" t="s">
        <v>160</v>
      </c>
      <c r="K54">
        <v>0</v>
      </c>
      <c r="L54" t="s">
        <v>157</v>
      </c>
    </row>
    <row r="55" spans="9:12" x14ac:dyDescent="0.45">
      <c r="I55" t="s">
        <v>171</v>
      </c>
      <c r="J55" t="s">
        <v>156</v>
      </c>
      <c r="K55">
        <v>1.0000000000000007</v>
      </c>
      <c r="L55" t="s">
        <v>157</v>
      </c>
    </row>
    <row r="56" spans="9:12" x14ac:dyDescent="0.45">
      <c r="I56" t="s">
        <v>171</v>
      </c>
      <c r="J56" t="s">
        <v>158</v>
      </c>
      <c r="K56">
        <v>0</v>
      </c>
      <c r="L56" t="s">
        <v>157</v>
      </c>
    </row>
    <row r="57" spans="9:12" x14ac:dyDescent="0.45">
      <c r="I57" t="s">
        <v>171</v>
      </c>
      <c r="J57" t="s">
        <v>159</v>
      </c>
      <c r="K57">
        <v>0</v>
      </c>
      <c r="L57" t="s">
        <v>157</v>
      </c>
    </row>
    <row r="58" spans="9:12" x14ac:dyDescent="0.45">
      <c r="I58" t="s">
        <v>171</v>
      </c>
      <c r="J58" t="s">
        <v>160</v>
      </c>
      <c r="K58">
        <v>0</v>
      </c>
      <c r="L58" t="s">
        <v>157</v>
      </c>
    </row>
    <row r="59" spans="9:12" x14ac:dyDescent="0.45">
      <c r="I59" t="s">
        <v>172</v>
      </c>
      <c r="J59" t="s">
        <v>156</v>
      </c>
      <c r="K59">
        <v>0.99999999999999911</v>
      </c>
      <c r="L59" t="s">
        <v>157</v>
      </c>
    </row>
    <row r="60" spans="9:12" x14ac:dyDescent="0.45">
      <c r="I60" t="s">
        <v>172</v>
      </c>
      <c r="J60" t="s">
        <v>158</v>
      </c>
      <c r="K60">
        <v>0</v>
      </c>
      <c r="L60" t="s">
        <v>157</v>
      </c>
    </row>
    <row r="61" spans="9:12" x14ac:dyDescent="0.45">
      <c r="I61" t="s">
        <v>172</v>
      </c>
      <c r="J61" t="s">
        <v>159</v>
      </c>
      <c r="K61">
        <v>0</v>
      </c>
      <c r="L61" t="s">
        <v>157</v>
      </c>
    </row>
    <row r="62" spans="9:12" x14ac:dyDescent="0.45">
      <c r="I62" t="s">
        <v>172</v>
      </c>
      <c r="J62" t="s">
        <v>160</v>
      </c>
      <c r="K62">
        <v>0</v>
      </c>
      <c r="L62" t="s">
        <v>157</v>
      </c>
    </row>
    <row r="63" spans="9:12" x14ac:dyDescent="0.45">
      <c r="I63" t="s">
        <v>173</v>
      </c>
      <c r="J63" t="s">
        <v>156</v>
      </c>
      <c r="K63">
        <v>1.0000000000000002</v>
      </c>
      <c r="L63" t="s">
        <v>157</v>
      </c>
    </row>
    <row r="64" spans="9:12" x14ac:dyDescent="0.45">
      <c r="I64" t="s">
        <v>173</v>
      </c>
      <c r="J64" t="s">
        <v>158</v>
      </c>
      <c r="K64">
        <v>0</v>
      </c>
      <c r="L64" t="s">
        <v>157</v>
      </c>
    </row>
    <row r="65" spans="9:12" x14ac:dyDescent="0.45">
      <c r="I65" t="s">
        <v>173</v>
      </c>
      <c r="J65" t="s">
        <v>159</v>
      </c>
      <c r="K65">
        <v>0</v>
      </c>
      <c r="L65" t="s">
        <v>157</v>
      </c>
    </row>
    <row r="66" spans="9:12" x14ac:dyDescent="0.45">
      <c r="I66" t="s">
        <v>173</v>
      </c>
      <c r="J66" t="s">
        <v>160</v>
      </c>
      <c r="K66">
        <v>0</v>
      </c>
      <c r="L66" t="s">
        <v>157</v>
      </c>
    </row>
    <row r="67" spans="9:12" x14ac:dyDescent="0.45">
      <c r="I67" t="s">
        <v>174</v>
      </c>
      <c r="J67" t="s">
        <v>156</v>
      </c>
      <c r="K67">
        <v>1.0000000000000011</v>
      </c>
      <c r="L67" t="s">
        <v>157</v>
      </c>
    </row>
    <row r="68" spans="9:12" x14ac:dyDescent="0.45">
      <c r="I68" t="s">
        <v>174</v>
      </c>
      <c r="J68" t="s">
        <v>158</v>
      </c>
      <c r="K68">
        <v>0</v>
      </c>
      <c r="L68" t="s">
        <v>157</v>
      </c>
    </row>
    <row r="69" spans="9:12" x14ac:dyDescent="0.45">
      <c r="I69" t="s">
        <v>174</v>
      </c>
      <c r="J69" t="s">
        <v>159</v>
      </c>
      <c r="K69">
        <v>0</v>
      </c>
      <c r="L69" t="s">
        <v>157</v>
      </c>
    </row>
    <row r="70" spans="9:12" x14ac:dyDescent="0.45">
      <c r="I70" t="s">
        <v>174</v>
      </c>
      <c r="J70" t="s">
        <v>160</v>
      </c>
      <c r="K70">
        <v>0</v>
      </c>
      <c r="L70" t="s">
        <v>157</v>
      </c>
    </row>
    <row r="71" spans="9:12" x14ac:dyDescent="0.45">
      <c r="I71" t="s">
        <v>175</v>
      </c>
      <c r="J71" t="s">
        <v>156</v>
      </c>
      <c r="K71">
        <v>0.99999999999999989</v>
      </c>
      <c r="L71" t="s">
        <v>157</v>
      </c>
    </row>
    <row r="72" spans="9:12" x14ac:dyDescent="0.45">
      <c r="I72" t="s">
        <v>175</v>
      </c>
      <c r="J72" t="s">
        <v>158</v>
      </c>
      <c r="K72">
        <v>0</v>
      </c>
      <c r="L72" t="s">
        <v>157</v>
      </c>
    </row>
    <row r="73" spans="9:12" x14ac:dyDescent="0.45">
      <c r="I73" t="s">
        <v>175</v>
      </c>
      <c r="J73" t="s">
        <v>159</v>
      </c>
      <c r="K73">
        <v>0</v>
      </c>
      <c r="L73" t="s">
        <v>157</v>
      </c>
    </row>
    <row r="74" spans="9:12" x14ac:dyDescent="0.45">
      <c r="I74" t="s">
        <v>175</v>
      </c>
      <c r="J74" t="s">
        <v>160</v>
      </c>
      <c r="K74">
        <v>0</v>
      </c>
      <c r="L74" t="s">
        <v>157</v>
      </c>
    </row>
    <row r="75" spans="9:12" x14ac:dyDescent="0.45">
      <c r="I75" t="s">
        <v>176</v>
      </c>
      <c r="J75" t="s">
        <v>156</v>
      </c>
      <c r="K75">
        <v>1.0000000000000018</v>
      </c>
      <c r="L75" t="s">
        <v>157</v>
      </c>
    </row>
    <row r="76" spans="9:12" x14ac:dyDescent="0.45">
      <c r="I76" t="s">
        <v>176</v>
      </c>
      <c r="J76" t="s">
        <v>158</v>
      </c>
      <c r="K76">
        <v>0</v>
      </c>
      <c r="L76" t="s">
        <v>157</v>
      </c>
    </row>
    <row r="77" spans="9:12" x14ac:dyDescent="0.45">
      <c r="I77" t="s">
        <v>176</v>
      </c>
      <c r="J77" t="s">
        <v>159</v>
      </c>
      <c r="K77">
        <v>0</v>
      </c>
      <c r="L77" t="s">
        <v>157</v>
      </c>
    </row>
    <row r="78" spans="9:12" x14ac:dyDescent="0.45">
      <c r="I78" t="s">
        <v>176</v>
      </c>
      <c r="J78" t="s">
        <v>160</v>
      </c>
      <c r="K78">
        <v>0</v>
      </c>
      <c r="L78" t="s">
        <v>157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677F7-C473-4B34-8D5B-0FB5FED2FDBC}">
  <dimension ref="A9:AA95"/>
  <sheetViews>
    <sheetView workbookViewId="0"/>
  </sheetViews>
  <sheetFormatPr defaultRowHeight="14.25" x14ac:dyDescent="0.45"/>
  <sheetData>
    <row r="9" spans="1:27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</row>
    <row r="10" spans="1:27" x14ac:dyDescent="0.45">
      <c r="A10" t="s">
        <v>119</v>
      </c>
      <c r="C10" t="s">
        <v>143</v>
      </c>
      <c r="D10" t="s">
        <v>144</v>
      </c>
      <c r="E10" t="s">
        <v>145</v>
      </c>
      <c r="F10" t="s">
        <v>146</v>
      </c>
      <c r="G10" t="s">
        <v>147</v>
      </c>
      <c r="I10" t="s">
        <v>13</v>
      </c>
      <c r="J10" t="s">
        <v>115</v>
      </c>
      <c r="K10" t="s">
        <v>154</v>
      </c>
      <c r="L10" t="s">
        <v>30</v>
      </c>
      <c r="N10" t="s">
        <v>13</v>
      </c>
      <c r="O10" t="s">
        <v>115</v>
      </c>
      <c r="P10" t="s">
        <v>154</v>
      </c>
      <c r="Q10" t="s">
        <v>30</v>
      </c>
      <c r="S10" t="s">
        <v>13</v>
      </c>
      <c r="T10" t="s">
        <v>115</v>
      </c>
      <c r="U10" t="s">
        <v>154</v>
      </c>
      <c r="V10" t="s">
        <v>30</v>
      </c>
      <c r="X10" t="s">
        <v>187</v>
      </c>
      <c r="Y10" t="s">
        <v>154</v>
      </c>
      <c r="Z10" t="s">
        <v>115</v>
      </c>
      <c r="AA10" t="s">
        <v>13</v>
      </c>
    </row>
    <row r="11" spans="1:27" x14ac:dyDescent="0.45">
      <c r="A11" t="str">
        <f>IFERROR(IF(Veda!D5=A10,"ok","x"),"")</f>
        <v>x</v>
      </c>
      <c r="C11" t="s">
        <v>148</v>
      </c>
      <c r="D11" t="s">
        <v>149</v>
      </c>
      <c r="E11" t="s">
        <v>150</v>
      </c>
      <c r="F11" t="s">
        <v>148</v>
      </c>
      <c r="G11" t="s">
        <v>149</v>
      </c>
      <c r="I11" t="s">
        <v>155</v>
      </c>
      <c r="J11" t="s">
        <v>156</v>
      </c>
      <c r="K11">
        <v>0.99999999999999711</v>
      </c>
      <c r="L11" t="s">
        <v>157</v>
      </c>
      <c r="N11" t="s">
        <v>177</v>
      </c>
      <c r="O11" t="s">
        <v>156</v>
      </c>
      <c r="P11">
        <v>0.80298052545071685</v>
      </c>
      <c r="Q11" t="s">
        <v>157</v>
      </c>
      <c r="S11" t="s">
        <v>182</v>
      </c>
      <c r="T11" t="s">
        <v>156</v>
      </c>
      <c r="U11">
        <v>0.80298052545071685</v>
      </c>
      <c r="V11" t="s">
        <v>157</v>
      </c>
      <c r="X11">
        <v>0.83333333333333337</v>
      </c>
      <c r="Y11">
        <v>0.89957652752571104</v>
      </c>
      <c r="Z11" t="s">
        <v>156</v>
      </c>
      <c r="AA11" t="s">
        <v>25</v>
      </c>
    </row>
    <row r="12" spans="1:27" x14ac:dyDescent="0.45">
      <c r="E12" t="s">
        <v>151</v>
      </c>
      <c r="G12" t="s">
        <v>149</v>
      </c>
      <c r="I12" t="s">
        <v>155</v>
      </c>
      <c r="J12" t="s">
        <v>158</v>
      </c>
      <c r="K12">
        <v>0</v>
      </c>
      <c r="L12" t="s">
        <v>157</v>
      </c>
      <c r="N12" t="s">
        <v>177</v>
      </c>
      <c r="O12" t="s">
        <v>158</v>
      </c>
      <c r="P12">
        <v>5.339179917728358E-2</v>
      </c>
      <c r="Q12" t="s">
        <v>157</v>
      </c>
      <c r="S12" t="s">
        <v>182</v>
      </c>
      <c r="T12" t="s">
        <v>158</v>
      </c>
      <c r="U12">
        <v>5.339179917728358E-2</v>
      </c>
      <c r="V12" t="s">
        <v>157</v>
      </c>
      <c r="X12">
        <v>4.1666666666666664E-2</v>
      </c>
      <c r="Y12">
        <v>3.9927404718693285E-2</v>
      </c>
      <c r="Z12" t="s">
        <v>158</v>
      </c>
      <c r="AA12" t="s">
        <v>25</v>
      </c>
    </row>
    <row r="13" spans="1:27" x14ac:dyDescent="0.45">
      <c r="E13" t="s">
        <v>152</v>
      </c>
      <c r="G13" t="s">
        <v>149</v>
      </c>
      <c r="I13" t="s">
        <v>155</v>
      </c>
      <c r="J13" t="s">
        <v>159</v>
      </c>
      <c r="K13">
        <v>0</v>
      </c>
      <c r="L13" t="s">
        <v>157</v>
      </c>
      <c r="N13" t="s">
        <v>177</v>
      </c>
      <c r="O13" t="s">
        <v>159</v>
      </c>
      <c r="P13">
        <v>5.3956079375296902E-2</v>
      </c>
      <c r="Q13" t="s">
        <v>157</v>
      </c>
      <c r="S13" t="s">
        <v>182</v>
      </c>
      <c r="T13" t="s">
        <v>159</v>
      </c>
      <c r="U13">
        <v>5.3956079375296902E-2</v>
      </c>
      <c r="V13" t="s">
        <v>157</v>
      </c>
      <c r="X13">
        <v>4.1666666666666664E-2</v>
      </c>
      <c r="Y13">
        <v>2.9038112522686035E-2</v>
      </c>
      <c r="Z13" t="s">
        <v>159</v>
      </c>
      <c r="AA13" t="s">
        <v>25</v>
      </c>
    </row>
    <row r="14" spans="1:27" x14ac:dyDescent="0.45">
      <c r="E14" t="s">
        <v>153</v>
      </c>
      <c r="G14" t="s">
        <v>149</v>
      </c>
      <c r="I14" t="s">
        <v>155</v>
      </c>
      <c r="J14" t="s">
        <v>160</v>
      </c>
      <c r="K14">
        <v>0</v>
      </c>
      <c r="L14" t="s">
        <v>157</v>
      </c>
      <c r="N14" t="s">
        <v>177</v>
      </c>
      <c r="O14" t="s">
        <v>160</v>
      </c>
      <c r="P14">
        <v>4.862192391936928E-2</v>
      </c>
      <c r="Q14" t="s">
        <v>157</v>
      </c>
      <c r="S14" t="s">
        <v>182</v>
      </c>
      <c r="T14" t="s">
        <v>160</v>
      </c>
      <c r="U14">
        <v>4.862192391936928E-2</v>
      </c>
      <c r="V14" t="s">
        <v>157</v>
      </c>
      <c r="X14">
        <v>4.1666666666666664E-2</v>
      </c>
      <c r="Y14">
        <v>2.0568663036902607E-2</v>
      </c>
      <c r="Z14" t="s">
        <v>160</v>
      </c>
      <c r="AA14" t="s">
        <v>25</v>
      </c>
    </row>
    <row r="15" spans="1:27" x14ac:dyDescent="0.45">
      <c r="E15" t="s">
        <v>192</v>
      </c>
      <c r="G15" t="s">
        <v>149</v>
      </c>
      <c r="I15" t="s">
        <v>155</v>
      </c>
      <c r="J15" t="s">
        <v>193</v>
      </c>
      <c r="K15">
        <v>0</v>
      </c>
      <c r="L15" t="s">
        <v>157</v>
      </c>
      <c r="N15" t="s">
        <v>177</v>
      </c>
      <c r="O15" t="s">
        <v>193</v>
      </c>
      <c r="P15">
        <v>4.1049672077330179E-2</v>
      </c>
      <c r="Q15" t="s">
        <v>157</v>
      </c>
      <c r="S15" t="s">
        <v>182</v>
      </c>
      <c r="T15" t="s">
        <v>193</v>
      </c>
      <c r="U15">
        <v>4.1049672077330179E-2</v>
      </c>
      <c r="V15" t="s">
        <v>157</v>
      </c>
      <c r="X15">
        <v>4.1666666666666664E-2</v>
      </c>
      <c r="Y15">
        <v>1.0889292196007261E-2</v>
      </c>
      <c r="Z15" t="s">
        <v>193</v>
      </c>
      <c r="AA15" t="s">
        <v>25</v>
      </c>
    </row>
    <row r="16" spans="1:27" x14ac:dyDescent="0.45">
      <c r="I16" t="s">
        <v>161</v>
      </c>
      <c r="J16" t="s">
        <v>156</v>
      </c>
      <c r="K16">
        <v>1.0000000000000011</v>
      </c>
      <c r="L16" t="s">
        <v>157</v>
      </c>
      <c r="N16" t="s">
        <v>178</v>
      </c>
      <c r="O16" t="s">
        <v>156</v>
      </c>
      <c r="P16">
        <v>0.85194468602013385</v>
      </c>
      <c r="Q16" t="s">
        <v>157</v>
      </c>
      <c r="S16" t="s">
        <v>183</v>
      </c>
      <c r="T16" t="s">
        <v>156</v>
      </c>
      <c r="U16">
        <v>0.85194468602013385</v>
      </c>
      <c r="V16" t="s">
        <v>157</v>
      </c>
    </row>
    <row r="17" spans="9:22" x14ac:dyDescent="0.45">
      <c r="I17" t="s">
        <v>161</v>
      </c>
      <c r="J17" t="s">
        <v>158</v>
      </c>
      <c r="K17">
        <v>0</v>
      </c>
      <c r="L17" t="s">
        <v>157</v>
      </c>
      <c r="N17" t="s">
        <v>178</v>
      </c>
      <c r="O17" t="s">
        <v>158</v>
      </c>
      <c r="P17">
        <v>4.0453497103601056E-2</v>
      </c>
      <c r="Q17" t="s">
        <v>157</v>
      </c>
      <c r="S17" t="s">
        <v>183</v>
      </c>
      <c r="T17" t="s">
        <v>158</v>
      </c>
      <c r="U17">
        <v>4.0453497103601056E-2</v>
      </c>
      <c r="V17" t="s">
        <v>157</v>
      </c>
    </row>
    <row r="18" spans="9:22" x14ac:dyDescent="0.45">
      <c r="I18" t="s">
        <v>161</v>
      </c>
      <c r="J18" t="s">
        <v>159</v>
      </c>
      <c r="K18">
        <v>0</v>
      </c>
      <c r="L18" t="s">
        <v>157</v>
      </c>
      <c r="N18" t="s">
        <v>178</v>
      </c>
      <c r="O18" t="s">
        <v>159</v>
      </c>
      <c r="P18">
        <v>4.0337660183244001E-2</v>
      </c>
      <c r="Q18" t="s">
        <v>157</v>
      </c>
      <c r="S18" t="s">
        <v>183</v>
      </c>
      <c r="T18" t="s">
        <v>159</v>
      </c>
      <c r="U18">
        <v>4.0337660183244001E-2</v>
      </c>
      <c r="V18" t="s">
        <v>157</v>
      </c>
    </row>
    <row r="19" spans="9:22" x14ac:dyDescent="0.45">
      <c r="I19" t="s">
        <v>161</v>
      </c>
      <c r="J19" t="s">
        <v>160</v>
      </c>
      <c r="K19">
        <v>0</v>
      </c>
      <c r="L19" t="s">
        <v>157</v>
      </c>
      <c r="N19" t="s">
        <v>178</v>
      </c>
      <c r="O19" t="s">
        <v>160</v>
      </c>
      <c r="P19">
        <v>3.6232557120329467E-2</v>
      </c>
      <c r="Q19" t="s">
        <v>157</v>
      </c>
      <c r="S19" t="s">
        <v>183</v>
      </c>
      <c r="T19" t="s">
        <v>160</v>
      </c>
      <c r="U19">
        <v>3.6232557120329467E-2</v>
      </c>
      <c r="V19" t="s">
        <v>157</v>
      </c>
    </row>
    <row r="20" spans="9:22" x14ac:dyDescent="0.45">
      <c r="I20" t="s">
        <v>161</v>
      </c>
      <c r="J20" t="s">
        <v>193</v>
      </c>
      <c r="K20">
        <v>0</v>
      </c>
      <c r="L20" t="s">
        <v>157</v>
      </c>
      <c r="N20" t="s">
        <v>178</v>
      </c>
      <c r="O20" t="s">
        <v>193</v>
      </c>
      <c r="P20">
        <v>3.1031599572685357E-2</v>
      </c>
      <c r="Q20" t="s">
        <v>157</v>
      </c>
      <c r="S20" t="s">
        <v>183</v>
      </c>
      <c r="T20" t="s">
        <v>193</v>
      </c>
      <c r="U20">
        <v>3.1031599572685357E-2</v>
      </c>
      <c r="V20" t="s">
        <v>157</v>
      </c>
    </row>
    <row r="21" spans="9:22" x14ac:dyDescent="0.45">
      <c r="I21" t="s">
        <v>162</v>
      </c>
      <c r="J21" t="s">
        <v>156</v>
      </c>
      <c r="K21">
        <v>1.0000000000000013</v>
      </c>
      <c r="L21" t="s">
        <v>157</v>
      </c>
      <c r="N21" t="s">
        <v>179</v>
      </c>
      <c r="O21" t="s">
        <v>156</v>
      </c>
      <c r="P21">
        <v>0.80668990842046473</v>
      </c>
      <c r="Q21" t="s">
        <v>157</v>
      </c>
      <c r="S21" t="s">
        <v>184</v>
      </c>
      <c r="T21" t="s">
        <v>156</v>
      </c>
      <c r="U21">
        <v>0.80668990842046473</v>
      </c>
      <c r="V21" t="s">
        <v>157</v>
      </c>
    </row>
    <row r="22" spans="9:22" x14ac:dyDescent="0.45">
      <c r="I22" t="s">
        <v>162</v>
      </c>
      <c r="J22" t="s">
        <v>158</v>
      </c>
      <c r="K22">
        <v>0</v>
      </c>
      <c r="L22" t="s">
        <v>157</v>
      </c>
      <c r="N22" t="s">
        <v>179</v>
      </c>
      <c r="O22" t="s">
        <v>158</v>
      </c>
      <c r="P22">
        <v>5.8732028950751386E-2</v>
      </c>
      <c r="Q22" t="s">
        <v>157</v>
      </c>
      <c r="S22" t="s">
        <v>184</v>
      </c>
      <c r="T22" t="s">
        <v>158</v>
      </c>
      <c r="U22">
        <v>5.8732028950751386E-2</v>
      </c>
      <c r="V22" t="s">
        <v>157</v>
      </c>
    </row>
    <row r="23" spans="9:22" x14ac:dyDescent="0.45">
      <c r="I23" t="s">
        <v>162</v>
      </c>
      <c r="J23" t="s">
        <v>159</v>
      </c>
      <c r="K23">
        <v>0</v>
      </c>
      <c r="L23" t="s">
        <v>157</v>
      </c>
      <c r="N23" t="s">
        <v>179</v>
      </c>
      <c r="O23" t="s">
        <v>159</v>
      </c>
      <c r="P23">
        <v>5.3566746756770658E-2</v>
      </c>
      <c r="Q23" t="s">
        <v>157</v>
      </c>
      <c r="S23" t="s">
        <v>184</v>
      </c>
      <c r="T23" t="s">
        <v>159</v>
      </c>
      <c r="U23">
        <v>5.3566746756770658E-2</v>
      </c>
      <c r="V23" t="s">
        <v>157</v>
      </c>
    </row>
    <row r="24" spans="9:22" x14ac:dyDescent="0.45">
      <c r="I24" t="s">
        <v>162</v>
      </c>
      <c r="J24" t="s">
        <v>160</v>
      </c>
      <c r="K24">
        <v>0</v>
      </c>
      <c r="L24" t="s">
        <v>157</v>
      </c>
      <c r="N24" t="s">
        <v>179</v>
      </c>
      <c r="O24" t="s">
        <v>160</v>
      </c>
      <c r="P24">
        <v>4.4695857241544588E-2</v>
      </c>
      <c r="Q24" t="s">
        <v>157</v>
      </c>
      <c r="S24" t="s">
        <v>184</v>
      </c>
      <c r="T24" t="s">
        <v>160</v>
      </c>
      <c r="U24">
        <v>4.4695857241544588E-2</v>
      </c>
      <c r="V24" t="s">
        <v>157</v>
      </c>
    </row>
    <row r="25" spans="9:22" x14ac:dyDescent="0.45">
      <c r="I25" t="s">
        <v>162</v>
      </c>
      <c r="J25" t="s">
        <v>193</v>
      </c>
      <c r="K25">
        <v>0</v>
      </c>
      <c r="L25" t="s">
        <v>157</v>
      </c>
      <c r="N25" t="s">
        <v>179</v>
      </c>
      <c r="O25" t="s">
        <v>193</v>
      </c>
      <c r="P25">
        <v>3.6315458630468651E-2</v>
      </c>
      <c r="Q25" t="s">
        <v>157</v>
      </c>
      <c r="S25" t="s">
        <v>184</v>
      </c>
      <c r="T25" t="s">
        <v>193</v>
      </c>
      <c r="U25">
        <v>3.6315458630468651E-2</v>
      </c>
      <c r="V25" t="s">
        <v>157</v>
      </c>
    </row>
    <row r="26" spans="9:22" x14ac:dyDescent="0.45">
      <c r="I26" t="s">
        <v>163</v>
      </c>
      <c r="J26" t="s">
        <v>156</v>
      </c>
      <c r="K26">
        <v>1.0000000000000027</v>
      </c>
      <c r="L26" t="s">
        <v>157</v>
      </c>
      <c r="N26" t="s">
        <v>180</v>
      </c>
      <c r="O26" t="s">
        <v>156</v>
      </c>
      <c r="P26">
        <v>0.84771987771900914</v>
      </c>
      <c r="Q26" t="s">
        <v>157</v>
      </c>
      <c r="S26" t="s">
        <v>185</v>
      </c>
      <c r="T26" t="s">
        <v>156</v>
      </c>
      <c r="U26">
        <v>0.84771987771900914</v>
      </c>
      <c r="V26" t="s">
        <v>157</v>
      </c>
    </row>
    <row r="27" spans="9:22" x14ac:dyDescent="0.45">
      <c r="I27" t="s">
        <v>163</v>
      </c>
      <c r="J27" t="s">
        <v>158</v>
      </c>
      <c r="K27">
        <v>0</v>
      </c>
      <c r="L27" t="s">
        <v>157</v>
      </c>
      <c r="N27" t="s">
        <v>180</v>
      </c>
      <c r="O27" t="s">
        <v>158</v>
      </c>
      <c r="P27">
        <v>4.6389548935639714E-2</v>
      </c>
      <c r="Q27" t="s">
        <v>157</v>
      </c>
      <c r="S27" t="s">
        <v>185</v>
      </c>
      <c r="T27" t="s">
        <v>158</v>
      </c>
      <c r="U27">
        <v>4.6389548935639714E-2</v>
      </c>
      <c r="V27" t="s">
        <v>157</v>
      </c>
    </row>
    <row r="28" spans="9:22" x14ac:dyDescent="0.45">
      <c r="I28" t="s">
        <v>163</v>
      </c>
      <c r="J28" t="s">
        <v>159</v>
      </c>
      <c r="K28">
        <v>0</v>
      </c>
      <c r="L28" t="s">
        <v>157</v>
      </c>
      <c r="N28" t="s">
        <v>180</v>
      </c>
      <c r="O28" t="s">
        <v>159</v>
      </c>
      <c r="P28">
        <v>4.1810027762186369E-2</v>
      </c>
      <c r="Q28" t="s">
        <v>157</v>
      </c>
      <c r="S28" t="s">
        <v>185</v>
      </c>
      <c r="T28" t="s">
        <v>159</v>
      </c>
      <c r="U28">
        <v>4.1810027762186369E-2</v>
      </c>
      <c r="V28" t="s">
        <v>157</v>
      </c>
    </row>
    <row r="29" spans="9:22" x14ac:dyDescent="0.45">
      <c r="I29" t="s">
        <v>163</v>
      </c>
      <c r="J29" t="s">
        <v>160</v>
      </c>
      <c r="K29">
        <v>0</v>
      </c>
      <c r="L29" t="s">
        <v>157</v>
      </c>
      <c r="N29" t="s">
        <v>180</v>
      </c>
      <c r="O29" t="s">
        <v>160</v>
      </c>
      <c r="P29">
        <v>3.480264417170844E-2</v>
      </c>
      <c r="Q29" t="s">
        <v>157</v>
      </c>
      <c r="S29" t="s">
        <v>185</v>
      </c>
      <c r="T29" t="s">
        <v>160</v>
      </c>
      <c r="U29">
        <v>3.480264417170844E-2</v>
      </c>
      <c r="V29" t="s">
        <v>157</v>
      </c>
    </row>
    <row r="30" spans="9:22" x14ac:dyDescent="0.45">
      <c r="I30" t="s">
        <v>163</v>
      </c>
      <c r="J30" t="s">
        <v>193</v>
      </c>
      <c r="K30">
        <v>0</v>
      </c>
      <c r="L30" t="s">
        <v>157</v>
      </c>
      <c r="N30" t="s">
        <v>180</v>
      </c>
      <c r="O30" t="s">
        <v>193</v>
      </c>
      <c r="P30">
        <v>2.9277901411452562E-2</v>
      </c>
      <c r="Q30" t="s">
        <v>157</v>
      </c>
      <c r="S30" t="s">
        <v>185</v>
      </c>
      <c r="T30" t="s">
        <v>193</v>
      </c>
      <c r="U30">
        <v>2.9277901411452562E-2</v>
      </c>
      <c r="V30" t="s">
        <v>157</v>
      </c>
    </row>
    <row r="31" spans="9:22" x14ac:dyDescent="0.45">
      <c r="I31" t="s">
        <v>164</v>
      </c>
      <c r="J31" t="s">
        <v>156</v>
      </c>
      <c r="K31">
        <v>0.99999999999999944</v>
      </c>
      <c r="L31" t="s">
        <v>157</v>
      </c>
      <c r="N31" t="s">
        <v>181</v>
      </c>
      <c r="O31" t="s">
        <v>156</v>
      </c>
      <c r="P31">
        <v>0.87466155279149138</v>
      </c>
      <c r="Q31" t="s">
        <v>157</v>
      </c>
      <c r="S31" t="s">
        <v>186</v>
      </c>
      <c r="T31" t="s">
        <v>156</v>
      </c>
      <c r="U31">
        <v>0.87466155279149138</v>
      </c>
      <c r="V31" t="s">
        <v>157</v>
      </c>
    </row>
    <row r="32" spans="9:22" x14ac:dyDescent="0.45">
      <c r="I32" t="s">
        <v>164</v>
      </c>
      <c r="J32" t="s">
        <v>158</v>
      </c>
      <c r="K32">
        <v>0</v>
      </c>
      <c r="L32" t="s">
        <v>157</v>
      </c>
      <c r="N32" t="s">
        <v>181</v>
      </c>
      <c r="O32" t="s">
        <v>158</v>
      </c>
      <c r="P32">
        <v>4.0632121725773455E-2</v>
      </c>
      <c r="Q32" t="s">
        <v>157</v>
      </c>
      <c r="S32" t="s">
        <v>186</v>
      </c>
      <c r="T32" t="s">
        <v>158</v>
      </c>
      <c r="U32">
        <v>4.0632121725773455E-2</v>
      </c>
      <c r="V32" t="s">
        <v>157</v>
      </c>
    </row>
    <row r="33" spans="9:22" x14ac:dyDescent="0.45">
      <c r="I33" t="s">
        <v>164</v>
      </c>
      <c r="J33" t="s">
        <v>159</v>
      </c>
      <c r="K33">
        <v>0</v>
      </c>
      <c r="L33" t="s">
        <v>157</v>
      </c>
      <c r="N33" t="s">
        <v>181</v>
      </c>
      <c r="O33" t="s">
        <v>159</v>
      </c>
      <c r="P33">
        <v>3.2731612428383725E-2</v>
      </c>
      <c r="Q33" t="s">
        <v>157</v>
      </c>
      <c r="S33" t="s">
        <v>186</v>
      </c>
      <c r="T33" t="s">
        <v>159</v>
      </c>
      <c r="U33">
        <v>3.2731612428383725E-2</v>
      </c>
      <c r="V33" t="s">
        <v>157</v>
      </c>
    </row>
    <row r="34" spans="9:22" x14ac:dyDescent="0.45">
      <c r="I34" t="s">
        <v>164</v>
      </c>
      <c r="J34" t="s">
        <v>160</v>
      </c>
      <c r="K34">
        <v>0</v>
      </c>
      <c r="L34" t="s">
        <v>157</v>
      </c>
      <c r="N34" t="s">
        <v>181</v>
      </c>
      <c r="O34" t="s">
        <v>160</v>
      </c>
      <c r="P34">
        <v>2.7321737182807983E-2</v>
      </c>
      <c r="Q34" t="s">
        <v>157</v>
      </c>
      <c r="S34" t="s">
        <v>186</v>
      </c>
      <c r="T34" t="s">
        <v>160</v>
      </c>
      <c r="U34">
        <v>2.7321737182807983E-2</v>
      </c>
      <c r="V34" t="s">
        <v>157</v>
      </c>
    </row>
    <row r="35" spans="9:22" x14ac:dyDescent="0.45">
      <c r="I35" t="s">
        <v>164</v>
      </c>
      <c r="J35" t="s">
        <v>193</v>
      </c>
      <c r="K35">
        <v>0</v>
      </c>
      <c r="L35" t="s">
        <v>157</v>
      </c>
      <c r="N35" t="s">
        <v>181</v>
      </c>
      <c r="O35" t="s">
        <v>193</v>
      </c>
      <c r="P35">
        <v>2.4652975871541988E-2</v>
      </c>
      <c r="Q35" t="s">
        <v>157</v>
      </c>
      <c r="S35" t="s">
        <v>186</v>
      </c>
      <c r="T35" t="s">
        <v>193</v>
      </c>
      <c r="U35">
        <v>2.4652975871541988E-2</v>
      </c>
      <c r="V35" t="s">
        <v>157</v>
      </c>
    </row>
    <row r="36" spans="9:22" x14ac:dyDescent="0.45">
      <c r="I36" t="s">
        <v>165</v>
      </c>
      <c r="J36" t="s">
        <v>156</v>
      </c>
      <c r="K36">
        <v>1.0000000000000011</v>
      </c>
      <c r="L36" t="s">
        <v>157</v>
      </c>
    </row>
    <row r="37" spans="9:22" x14ac:dyDescent="0.45">
      <c r="I37" t="s">
        <v>165</v>
      </c>
      <c r="J37" t="s">
        <v>158</v>
      </c>
      <c r="K37">
        <v>0</v>
      </c>
      <c r="L37" t="s">
        <v>157</v>
      </c>
    </row>
    <row r="38" spans="9:22" x14ac:dyDescent="0.45">
      <c r="I38" t="s">
        <v>165</v>
      </c>
      <c r="J38" t="s">
        <v>159</v>
      </c>
      <c r="K38">
        <v>0</v>
      </c>
      <c r="L38" t="s">
        <v>157</v>
      </c>
    </row>
    <row r="39" spans="9:22" x14ac:dyDescent="0.45">
      <c r="I39" t="s">
        <v>165</v>
      </c>
      <c r="J39" t="s">
        <v>160</v>
      </c>
      <c r="K39">
        <v>0</v>
      </c>
      <c r="L39" t="s">
        <v>157</v>
      </c>
    </row>
    <row r="40" spans="9:22" x14ac:dyDescent="0.45">
      <c r="I40" t="s">
        <v>165</v>
      </c>
      <c r="J40" t="s">
        <v>193</v>
      </c>
      <c r="K40">
        <v>0</v>
      </c>
      <c r="L40" t="s">
        <v>157</v>
      </c>
    </row>
    <row r="41" spans="9:22" x14ac:dyDescent="0.45">
      <c r="I41" t="s">
        <v>166</v>
      </c>
      <c r="J41" t="s">
        <v>156</v>
      </c>
      <c r="K41">
        <v>1.0000000000000018</v>
      </c>
      <c r="L41" t="s">
        <v>157</v>
      </c>
    </row>
    <row r="42" spans="9:22" x14ac:dyDescent="0.45">
      <c r="I42" t="s">
        <v>166</v>
      </c>
      <c r="J42" t="s">
        <v>158</v>
      </c>
      <c r="K42">
        <v>0</v>
      </c>
      <c r="L42" t="s">
        <v>157</v>
      </c>
    </row>
    <row r="43" spans="9:22" x14ac:dyDescent="0.45">
      <c r="I43" t="s">
        <v>166</v>
      </c>
      <c r="J43" t="s">
        <v>159</v>
      </c>
      <c r="K43">
        <v>0</v>
      </c>
      <c r="L43" t="s">
        <v>157</v>
      </c>
    </row>
    <row r="44" spans="9:22" x14ac:dyDescent="0.45">
      <c r="I44" t="s">
        <v>166</v>
      </c>
      <c r="J44" t="s">
        <v>160</v>
      </c>
      <c r="K44">
        <v>0</v>
      </c>
      <c r="L44" t="s">
        <v>157</v>
      </c>
    </row>
    <row r="45" spans="9:22" x14ac:dyDescent="0.45">
      <c r="I45" t="s">
        <v>166</v>
      </c>
      <c r="J45" t="s">
        <v>193</v>
      </c>
      <c r="K45">
        <v>0</v>
      </c>
      <c r="L45" t="s">
        <v>157</v>
      </c>
    </row>
    <row r="46" spans="9:22" x14ac:dyDescent="0.45">
      <c r="I46" t="s">
        <v>167</v>
      </c>
      <c r="J46" t="s">
        <v>156</v>
      </c>
      <c r="K46">
        <v>1.0000000000000002</v>
      </c>
      <c r="L46" t="s">
        <v>157</v>
      </c>
    </row>
    <row r="47" spans="9:22" x14ac:dyDescent="0.45">
      <c r="I47" t="s">
        <v>167</v>
      </c>
      <c r="J47" t="s">
        <v>158</v>
      </c>
      <c r="K47">
        <v>0</v>
      </c>
      <c r="L47" t="s">
        <v>157</v>
      </c>
    </row>
    <row r="48" spans="9:22" x14ac:dyDescent="0.45">
      <c r="I48" t="s">
        <v>167</v>
      </c>
      <c r="J48" t="s">
        <v>159</v>
      </c>
      <c r="K48">
        <v>0</v>
      </c>
      <c r="L48" t="s">
        <v>157</v>
      </c>
    </row>
    <row r="49" spans="9:12" x14ac:dyDescent="0.45">
      <c r="I49" t="s">
        <v>167</v>
      </c>
      <c r="J49" t="s">
        <v>160</v>
      </c>
      <c r="K49">
        <v>0</v>
      </c>
      <c r="L49" t="s">
        <v>157</v>
      </c>
    </row>
    <row r="50" spans="9:12" x14ac:dyDescent="0.45">
      <c r="I50" t="s">
        <v>167</v>
      </c>
      <c r="J50" t="s">
        <v>193</v>
      </c>
      <c r="K50">
        <v>0</v>
      </c>
      <c r="L50" t="s">
        <v>157</v>
      </c>
    </row>
    <row r="51" spans="9:12" x14ac:dyDescent="0.45">
      <c r="I51" t="s">
        <v>168</v>
      </c>
      <c r="J51" t="s">
        <v>156</v>
      </c>
      <c r="K51">
        <v>0.99999999999999878</v>
      </c>
      <c r="L51" t="s">
        <v>157</v>
      </c>
    </row>
    <row r="52" spans="9:12" x14ac:dyDescent="0.45">
      <c r="I52" t="s">
        <v>168</v>
      </c>
      <c r="J52" t="s">
        <v>158</v>
      </c>
      <c r="K52">
        <v>0</v>
      </c>
      <c r="L52" t="s">
        <v>157</v>
      </c>
    </row>
    <row r="53" spans="9:12" x14ac:dyDescent="0.45">
      <c r="I53" t="s">
        <v>168</v>
      </c>
      <c r="J53" t="s">
        <v>159</v>
      </c>
      <c r="K53">
        <v>0</v>
      </c>
      <c r="L53" t="s">
        <v>157</v>
      </c>
    </row>
    <row r="54" spans="9:12" x14ac:dyDescent="0.45">
      <c r="I54" t="s">
        <v>168</v>
      </c>
      <c r="J54" t="s">
        <v>160</v>
      </c>
      <c r="K54">
        <v>0</v>
      </c>
      <c r="L54" t="s">
        <v>157</v>
      </c>
    </row>
    <row r="55" spans="9:12" x14ac:dyDescent="0.45">
      <c r="I55" t="s">
        <v>168</v>
      </c>
      <c r="J55" t="s">
        <v>193</v>
      </c>
      <c r="K55">
        <v>0</v>
      </c>
      <c r="L55" t="s">
        <v>157</v>
      </c>
    </row>
    <row r="56" spans="9:12" x14ac:dyDescent="0.45">
      <c r="I56" t="s">
        <v>169</v>
      </c>
      <c r="J56" t="s">
        <v>156</v>
      </c>
      <c r="K56">
        <v>0.99999999999999856</v>
      </c>
      <c r="L56" t="s">
        <v>157</v>
      </c>
    </row>
    <row r="57" spans="9:12" x14ac:dyDescent="0.45">
      <c r="I57" t="s">
        <v>169</v>
      </c>
      <c r="J57" t="s">
        <v>158</v>
      </c>
      <c r="K57">
        <v>0</v>
      </c>
      <c r="L57" t="s">
        <v>157</v>
      </c>
    </row>
    <row r="58" spans="9:12" x14ac:dyDescent="0.45">
      <c r="I58" t="s">
        <v>169</v>
      </c>
      <c r="J58" t="s">
        <v>159</v>
      </c>
      <c r="K58">
        <v>0</v>
      </c>
      <c r="L58" t="s">
        <v>157</v>
      </c>
    </row>
    <row r="59" spans="9:12" x14ac:dyDescent="0.45">
      <c r="I59" t="s">
        <v>169</v>
      </c>
      <c r="J59" t="s">
        <v>160</v>
      </c>
      <c r="K59">
        <v>0</v>
      </c>
      <c r="L59" t="s">
        <v>157</v>
      </c>
    </row>
    <row r="60" spans="9:12" x14ac:dyDescent="0.45">
      <c r="I60" t="s">
        <v>169</v>
      </c>
      <c r="J60" t="s">
        <v>193</v>
      </c>
      <c r="K60">
        <v>0</v>
      </c>
      <c r="L60" t="s">
        <v>157</v>
      </c>
    </row>
    <row r="61" spans="9:12" x14ac:dyDescent="0.45">
      <c r="I61" t="s">
        <v>170</v>
      </c>
      <c r="J61" t="s">
        <v>156</v>
      </c>
      <c r="K61">
        <v>0.99999999999999711</v>
      </c>
      <c r="L61" t="s">
        <v>157</v>
      </c>
    </row>
    <row r="62" spans="9:12" x14ac:dyDescent="0.45">
      <c r="I62" t="s">
        <v>170</v>
      </c>
      <c r="J62" t="s">
        <v>158</v>
      </c>
      <c r="K62">
        <v>0</v>
      </c>
      <c r="L62" t="s">
        <v>157</v>
      </c>
    </row>
    <row r="63" spans="9:12" x14ac:dyDescent="0.45">
      <c r="I63" t="s">
        <v>170</v>
      </c>
      <c r="J63" t="s">
        <v>159</v>
      </c>
      <c r="K63">
        <v>0</v>
      </c>
      <c r="L63" t="s">
        <v>157</v>
      </c>
    </row>
    <row r="64" spans="9:12" x14ac:dyDescent="0.45">
      <c r="I64" t="s">
        <v>170</v>
      </c>
      <c r="J64" t="s">
        <v>160</v>
      </c>
      <c r="K64">
        <v>0</v>
      </c>
      <c r="L64" t="s">
        <v>157</v>
      </c>
    </row>
    <row r="65" spans="9:12" x14ac:dyDescent="0.45">
      <c r="I65" t="s">
        <v>170</v>
      </c>
      <c r="J65" t="s">
        <v>193</v>
      </c>
      <c r="K65">
        <v>0</v>
      </c>
      <c r="L65" t="s">
        <v>157</v>
      </c>
    </row>
    <row r="66" spans="9:12" x14ac:dyDescent="0.45">
      <c r="I66" t="s">
        <v>171</v>
      </c>
      <c r="J66" t="s">
        <v>156</v>
      </c>
      <c r="K66">
        <v>1.0000000000000007</v>
      </c>
      <c r="L66" t="s">
        <v>157</v>
      </c>
    </row>
    <row r="67" spans="9:12" x14ac:dyDescent="0.45">
      <c r="I67" t="s">
        <v>171</v>
      </c>
      <c r="J67" t="s">
        <v>158</v>
      </c>
      <c r="K67">
        <v>0</v>
      </c>
      <c r="L67" t="s">
        <v>157</v>
      </c>
    </row>
    <row r="68" spans="9:12" x14ac:dyDescent="0.45">
      <c r="I68" t="s">
        <v>171</v>
      </c>
      <c r="J68" t="s">
        <v>159</v>
      </c>
      <c r="K68">
        <v>0</v>
      </c>
      <c r="L68" t="s">
        <v>157</v>
      </c>
    </row>
    <row r="69" spans="9:12" x14ac:dyDescent="0.45">
      <c r="I69" t="s">
        <v>171</v>
      </c>
      <c r="J69" t="s">
        <v>160</v>
      </c>
      <c r="K69">
        <v>0</v>
      </c>
      <c r="L69" t="s">
        <v>157</v>
      </c>
    </row>
    <row r="70" spans="9:12" x14ac:dyDescent="0.45">
      <c r="I70" t="s">
        <v>171</v>
      </c>
      <c r="J70" t="s">
        <v>193</v>
      </c>
      <c r="K70">
        <v>0</v>
      </c>
      <c r="L70" t="s">
        <v>157</v>
      </c>
    </row>
    <row r="71" spans="9:12" x14ac:dyDescent="0.45">
      <c r="I71" t="s">
        <v>172</v>
      </c>
      <c r="J71" t="s">
        <v>156</v>
      </c>
      <c r="K71">
        <v>0.99999999999999911</v>
      </c>
      <c r="L71" t="s">
        <v>157</v>
      </c>
    </row>
    <row r="72" spans="9:12" x14ac:dyDescent="0.45">
      <c r="I72" t="s">
        <v>172</v>
      </c>
      <c r="J72" t="s">
        <v>158</v>
      </c>
      <c r="K72">
        <v>0</v>
      </c>
      <c r="L72" t="s">
        <v>157</v>
      </c>
    </row>
    <row r="73" spans="9:12" x14ac:dyDescent="0.45">
      <c r="I73" t="s">
        <v>172</v>
      </c>
      <c r="J73" t="s">
        <v>159</v>
      </c>
      <c r="K73">
        <v>0</v>
      </c>
      <c r="L73" t="s">
        <v>157</v>
      </c>
    </row>
    <row r="74" spans="9:12" x14ac:dyDescent="0.45">
      <c r="I74" t="s">
        <v>172</v>
      </c>
      <c r="J74" t="s">
        <v>160</v>
      </c>
      <c r="K74">
        <v>0</v>
      </c>
      <c r="L74" t="s">
        <v>157</v>
      </c>
    </row>
    <row r="75" spans="9:12" x14ac:dyDescent="0.45">
      <c r="I75" t="s">
        <v>172</v>
      </c>
      <c r="J75" t="s">
        <v>193</v>
      </c>
      <c r="K75">
        <v>0</v>
      </c>
      <c r="L75" t="s">
        <v>157</v>
      </c>
    </row>
    <row r="76" spans="9:12" x14ac:dyDescent="0.45">
      <c r="I76" t="s">
        <v>173</v>
      </c>
      <c r="J76" t="s">
        <v>156</v>
      </c>
      <c r="K76">
        <v>1.0000000000000002</v>
      </c>
      <c r="L76" t="s">
        <v>157</v>
      </c>
    </row>
    <row r="77" spans="9:12" x14ac:dyDescent="0.45">
      <c r="I77" t="s">
        <v>173</v>
      </c>
      <c r="J77" t="s">
        <v>158</v>
      </c>
      <c r="K77">
        <v>0</v>
      </c>
      <c r="L77" t="s">
        <v>157</v>
      </c>
    </row>
    <row r="78" spans="9:12" x14ac:dyDescent="0.45">
      <c r="I78" t="s">
        <v>173</v>
      </c>
      <c r="J78" t="s">
        <v>159</v>
      </c>
      <c r="K78">
        <v>0</v>
      </c>
      <c r="L78" t="s">
        <v>157</v>
      </c>
    </row>
    <row r="79" spans="9:12" x14ac:dyDescent="0.45">
      <c r="I79" t="s">
        <v>173</v>
      </c>
      <c r="J79" t="s">
        <v>160</v>
      </c>
      <c r="K79">
        <v>0</v>
      </c>
      <c r="L79" t="s">
        <v>157</v>
      </c>
    </row>
    <row r="80" spans="9:12" x14ac:dyDescent="0.45">
      <c r="I80" t="s">
        <v>173</v>
      </c>
      <c r="J80" t="s">
        <v>193</v>
      </c>
      <c r="K80">
        <v>0</v>
      </c>
      <c r="L80" t="s">
        <v>157</v>
      </c>
    </row>
    <row r="81" spans="9:12" x14ac:dyDescent="0.45">
      <c r="I81" t="s">
        <v>174</v>
      </c>
      <c r="J81" t="s">
        <v>156</v>
      </c>
      <c r="K81">
        <v>1.0000000000000011</v>
      </c>
      <c r="L81" t="s">
        <v>157</v>
      </c>
    </row>
    <row r="82" spans="9:12" x14ac:dyDescent="0.45">
      <c r="I82" t="s">
        <v>174</v>
      </c>
      <c r="J82" t="s">
        <v>158</v>
      </c>
      <c r="K82">
        <v>0</v>
      </c>
      <c r="L82" t="s">
        <v>157</v>
      </c>
    </row>
    <row r="83" spans="9:12" x14ac:dyDescent="0.45">
      <c r="I83" t="s">
        <v>174</v>
      </c>
      <c r="J83" t="s">
        <v>159</v>
      </c>
      <c r="K83">
        <v>0</v>
      </c>
      <c r="L83" t="s">
        <v>157</v>
      </c>
    </row>
    <row r="84" spans="9:12" x14ac:dyDescent="0.45">
      <c r="I84" t="s">
        <v>174</v>
      </c>
      <c r="J84" t="s">
        <v>160</v>
      </c>
      <c r="K84">
        <v>0</v>
      </c>
      <c r="L84" t="s">
        <v>157</v>
      </c>
    </row>
    <row r="85" spans="9:12" x14ac:dyDescent="0.45">
      <c r="I85" t="s">
        <v>174</v>
      </c>
      <c r="J85" t="s">
        <v>193</v>
      </c>
      <c r="K85">
        <v>0</v>
      </c>
      <c r="L85" t="s">
        <v>157</v>
      </c>
    </row>
    <row r="86" spans="9:12" x14ac:dyDescent="0.45">
      <c r="I86" t="s">
        <v>175</v>
      </c>
      <c r="J86" t="s">
        <v>156</v>
      </c>
      <c r="K86">
        <v>0.99999999999999989</v>
      </c>
      <c r="L86" t="s">
        <v>157</v>
      </c>
    </row>
    <row r="87" spans="9:12" x14ac:dyDescent="0.45">
      <c r="I87" t="s">
        <v>175</v>
      </c>
      <c r="J87" t="s">
        <v>158</v>
      </c>
      <c r="K87">
        <v>0</v>
      </c>
      <c r="L87" t="s">
        <v>157</v>
      </c>
    </row>
    <row r="88" spans="9:12" x14ac:dyDescent="0.45">
      <c r="I88" t="s">
        <v>175</v>
      </c>
      <c r="J88" t="s">
        <v>159</v>
      </c>
      <c r="K88">
        <v>0</v>
      </c>
      <c r="L88" t="s">
        <v>157</v>
      </c>
    </row>
    <row r="89" spans="9:12" x14ac:dyDescent="0.45">
      <c r="I89" t="s">
        <v>175</v>
      </c>
      <c r="J89" t="s">
        <v>160</v>
      </c>
      <c r="K89">
        <v>0</v>
      </c>
      <c r="L89" t="s">
        <v>157</v>
      </c>
    </row>
    <row r="90" spans="9:12" x14ac:dyDescent="0.45">
      <c r="I90" t="s">
        <v>175</v>
      </c>
      <c r="J90" t="s">
        <v>193</v>
      </c>
      <c r="K90">
        <v>0</v>
      </c>
      <c r="L90" t="s">
        <v>157</v>
      </c>
    </row>
    <row r="91" spans="9:12" x14ac:dyDescent="0.45">
      <c r="I91" t="s">
        <v>176</v>
      </c>
      <c r="J91" t="s">
        <v>156</v>
      </c>
      <c r="K91">
        <v>1.0000000000000018</v>
      </c>
      <c r="L91" t="s">
        <v>157</v>
      </c>
    </row>
    <row r="92" spans="9:12" x14ac:dyDescent="0.45">
      <c r="I92" t="s">
        <v>176</v>
      </c>
      <c r="J92" t="s">
        <v>158</v>
      </c>
      <c r="K92">
        <v>0</v>
      </c>
      <c r="L92" t="s">
        <v>157</v>
      </c>
    </row>
    <row r="93" spans="9:12" x14ac:dyDescent="0.45">
      <c r="I93" t="s">
        <v>176</v>
      </c>
      <c r="J93" t="s">
        <v>159</v>
      </c>
      <c r="K93">
        <v>0</v>
      </c>
      <c r="L93" t="s">
        <v>157</v>
      </c>
    </row>
    <row r="94" spans="9:12" x14ac:dyDescent="0.45">
      <c r="I94" t="s">
        <v>176</v>
      </c>
      <c r="J94" t="s">
        <v>160</v>
      </c>
      <c r="K94">
        <v>0</v>
      </c>
      <c r="L94" t="s">
        <v>157</v>
      </c>
    </row>
    <row r="95" spans="9:12" x14ac:dyDescent="0.45">
      <c r="I95" t="s">
        <v>176</v>
      </c>
      <c r="J95" t="s">
        <v>193</v>
      </c>
      <c r="K95">
        <v>0</v>
      </c>
      <c r="L95" t="s">
        <v>157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E8984-2441-49F3-99C5-EBE298B60DCC}">
  <dimension ref="A9:AA503"/>
  <sheetViews>
    <sheetView workbookViewId="0"/>
  </sheetViews>
  <sheetFormatPr defaultRowHeight="14.25" x14ac:dyDescent="0.45"/>
  <sheetData>
    <row r="9" spans="1:27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</row>
    <row r="10" spans="1:27" x14ac:dyDescent="0.45">
      <c r="A10" t="s">
        <v>134</v>
      </c>
      <c r="C10" t="s">
        <v>143</v>
      </c>
      <c r="D10" t="s">
        <v>144</v>
      </c>
      <c r="E10" t="s">
        <v>145</v>
      </c>
      <c r="F10" t="s">
        <v>146</v>
      </c>
      <c r="G10" t="s">
        <v>147</v>
      </c>
      <c r="I10" t="s">
        <v>13</v>
      </c>
      <c r="J10" t="s">
        <v>115</v>
      </c>
      <c r="K10" t="s">
        <v>154</v>
      </c>
      <c r="L10" t="s">
        <v>30</v>
      </c>
      <c r="N10" t="s">
        <v>13</v>
      </c>
      <c r="O10" t="s">
        <v>115</v>
      </c>
      <c r="P10" t="s">
        <v>154</v>
      </c>
      <c r="Q10" t="s">
        <v>30</v>
      </c>
      <c r="S10" t="s">
        <v>13</v>
      </c>
      <c r="T10" t="s">
        <v>115</v>
      </c>
      <c r="U10" t="s">
        <v>154</v>
      </c>
      <c r="V10" t="s">
        <v>30</v>
      </c>
      <c r="X10" t="s">
        <v>187</v>
      </c>
      <c r="Y10" t="s">
        <v>154</v>
      </c>
      <c r="Z10" t="s">
        <v>115</v>
      </c>
      <c r="AA10" t="s">
        <v>13</v>
      </c>
    </row>
    <row r="11" spans="1:27" x14ac:dyDescent="0.45">
      <c r="A11" t="str">
        <f>IFERROR(IF(Veda!D5=A10,"ok","x"),"")</f>
        <v>x</v>
      </c>
      <c r="C11" t="s">
        <v>148</v>
      </c>
      <c r="D11" t="s">
        <v>149</v>
      </c>
      <c r="E11" t="s">
        <v>195</v>
      </c>
      <c r="F11" t="s">
        <v>148</v>
      </c>
      <c r="G11" t="s">
        <v>196</v>
      </c>
      <c r="I11" t="s">
        <v>155</v>
      </c>
      <c r="J11" t="s">
        <v>156</v>
      </c>
      <c r="K11">
        <v>0.99678664949203755</v>
      </c>
      <c r="L11" t="s">
        <v>157</v>
      </c>
      <c r="N11" t="s">
        <v>177</v>
      </c>
      <c r="O11" t="s">
        <v>156</v>
      </c>
      <c r="P11">
        <v>0.80157882178342033</v>
      </c>
      <c r="Q11" t="s">
        <v>157</v>
      </c>
      <c r="S11" t="s">
        <v>182</v>
      </c>
      <c r="T11" t="s">
        <v>156</v>
      </c>
      <c r="U11">
        <v>0.80157882178342033</v>
      </c>
      <c r="V11" t="s">
        <v>157</v>
      </c>
      <c r="X11">
        <v>0.83105022831050224</v>
      </c>
      <c r="Y11">
        <v>0.89711193429961333</v>
      </c>
      <c r="Z11" t="s">
        <v>156</v>
      </c>
      <c r="AA11" t="s">
        <v>25</v>
      </c>
    </row>
    <row r="12" spans="1:27" x14ac:dyDescent="0.45">
      <c r="D12" t="s">
        <v>196</v>
      </c>
      <c r="E12" t="s">
        <v>197</v>
      </c>
      <c r="F12" t="s">
        <v>148</v>
      </c>
      <c r="G12" t="s">
        <v>196</v>
      </c>
      <c r="I12" t="s">
        <v>155</v>
      </c>
      <c r="J12" t="s">
        <v>158</v>
      </c>
      <c r="K12">
        <v>0</v>
      </c>
      <c r="L12" t="s">
        <v>157</v>
      </c>
      <c r="N12" t="s">
        <v>177</v>
      </c>
      <c r="O12" t="s">
        <v>158</v>
      </c>
      <c r="P12">
        <v>5.3026235831505092E-2</v>
      </c>
      <c r="Q12" t="s">
        <v>157</v>
      </c>
      <c r="S12" t="s">
        <v>182</v>
      </c>
      <c r="T12" t="s">
        <v>158</v>
      </c>
      <c r="U12">
        <v>5.3026235831505092E-2</v>
      </c>
      <c r="V12" t="s">
        <v>157</v>
      </c>
      <c r="X12">
        <v>4.1552511415525115E-2</v>
      </c>
      <c r="Y12">
        <v>3.9818014568779057E-2</v>
      </c>
      <c r="Z12" t="s">
        <v>158</v>
      </c>
      <c r="AA12" t="s">
        <v>25</v>
      </c>
    </row>
    <row r="13" spans="1:27" x14ac:dyDescent="0.45">
      <c r="E13" t="s">
        <v>198</v>
      </c>
      <c r="G13" t="s">
        <v>196</v>
      </c>
      <c r="I13" t="s">
        <v>155</v>
      </c>
      <c r="J13" t="s">
        <v>159</v>
      </c>
      <c r="K13">
        <v>0</v>
      </c>
      <c r="L13" t="s">
        <v>157</v>
      </c>
      <c r="N13" t="s">
        <v>177</v>
      </c>
      <c r="O13" t="s">
        <v>159</v>
      </c>
      <c r="P13">
        <v>5.3616374941806266E-2</v>
      </c>
      <c r="Q13" t="s">
        <v>157</v>
      </c>
      <c r="S13" t="s">
        <v>182</v>
      </c>
      <c r="T13" t="s">
        <v>159</v>
      </c>
      <c r="U13">
        <v>5.3616374941806266E-2</v>
      </c>
      <c r="V13" t="s">
        <v>157</v>
      </c>
      <c r="X13">
        <v>4.1552511415525115E-2</v>
      </c>
      <c r="Y13">
        <v>2.8958556050021136E-2</v>
      </c>
      <c r="Z13" t="s">
        <v>159</v>
      </c>
      <c r="AA13" t="s">
        <v>25</v>
      </c>
    </row>
    <row r="14" spans="1:27" x14ac:dyDescent="0.45">
      <c r="E14" t="s">
        <v>199</v>
      </c>
      <c r="G14" t="s">
        <v>196</v>
      </c>
      <c r="I14" t="s">
        <v>155</v>
      </c>
      <c r="J14" t="s">
        <v>160</v>
      </c>
      <c r="K14">
        <v>0</v>
      </c>
      <c r="L14" t="s">
        <v>157</v>
      </c>
      <c r="N14" t="s">
        <v>177</v>
      </c>
      <c r="O14" t="s">
        <v>160</v>
      </c>
      <c r="P14">
        <v>4.8351446530624925E-2</v>
      </c>
      <c r="Q14" t="s">
        <v>157</v>
      </c>
      <c r="S14" t="s">
        <v>182</v>
      </c>
      <c r="T14" t="s">
        <v>160</v>
      </c>
      <c r="U14">
        <v>4.8351446530624925E-2</v>
      </c>
      <c r="V14" t="s">
        <v>157</v>
      </c>
      <c r="X14">
        <v>4.1552511415525115E-2</v>
      </c>
      <c r="Y14">
        <v>2.0512310535431639E-2</v>
      </c>
      <c r="Z14" t="s">
        <v>160</v>
      </c>
      <c r="AA14" t="s">
        <v>25</v>
      </c>
    </row>
    <row r="15" spans="1:27" x14ac:dyDescent="0.45">
      <c r="E15" t="s">
        <v>200</v>
      </c>
      <c r="G15" t="s">
        <v>196</v>
      </c>
      <c r="I15" t="s">
        <v>155</v>
      </c>
      <c r="J15" t="s">
        <v>193</v>
      </c>
      <c r="K15">
        <v>0</v>
      </c>
      <c r="L15" t="s">
        <v>157</v>
      </c>
      <c r="N15" t="s">
        <v>177</v>
      </c>
      <c r="O15" t="s">
        <v>193</v>
      </c>
      <c r="P15">
        <v>4.083707649021464E-2</v>
      </c>
      <c r="Q15" t="s">
        <v>157</v>
      </c>
      <c r="S15" t="s">
        <v>182</v>
      </c>
      <c r="T15" t="s">
        <v>193</v>
      </c>
      <c r="U15">
        <v>4.083707649021464E-2</v>
      </c>
      <c r="V15" t="s">
        <v>157</v>
      </c>
      <c r="X15">
        <v>4.1552511415525115E-2</v>
      </c>
      <c r="Y15">
        <v>1.0859458518757926E-2</v>
      </c>
      <c r="Z15" t="s">
        <v>193</v>
      </c>
      <c r="AA15" t="s">
        <v>25</v>
      </c>
    </row>
    <row r="16" spans="1:27" x14ac:dyDescent="0.45">
      <c r="E16" t="s">
        <v>201</v>
      </c>
      <c r="G16" t="s">
        <v>196</v>
      </c>
      <c r="I16" t="s">
        <v>155</v>
      </c>
      <c r="J16" t="s">
        <v>220</v>
      </c>
      <c r="K16">
        <v>0</v>
      </c>
      <c r="L16" t="s">
        <v>157</v>
      </c>
      <c r="N16" t="s">
        <v>177</v>
      </c>
      <c r="O16" t="s">
        <v>220</v>
      </c>
      <c r="P16">
        <v>2.166640797025974E-5</v>
      </c>
      <c r="Q16" t="s">
        <v>157</v>
      </c>
      <c r="S16" t="s">
        <v>182</v>
      </c>
      <c r="T16" t="s">
        <v>220</v>
      </c>
      <c r="U16">
        <v>2.166640797025974E-5</v>
      </c>
      <c r="V16" t="s">
        <v>157</v>
      </c>
      <c r="X16">
        <v>1.1415525114155251E-4</v>
      </c>
      <c r="Y16">
        <v>2.1546544680075254E-5</v>
      </c>
      <c r="Z16" t="s">
        <v>220</v>
      </c>
      <c r="AA16" t="s">
        <v>25</v>
      </c>
    </row>
    <row r="17" spans="5:27" x14ac:dyDescent="0.45">
      <c r="E17" t="s">
        <v>202</v>
      </c>
      <c r="G17" t="s">
        <v>196</v>
      </c>
      <c r="I17" t="s">
        <v>155</v>
      </c>
      <c r="J17" t="s">
        <v>221</v>
      </c>
      <c r="K17">
        <v>0</v>
      </c>
      <c r="L17" t="s">
        <v>157</v>
      </c>
      <c r="N17" t="s">
        <v>177</v>
      </c>
      <c r="O17" t="s">
        <v>221</v>
      </c>
      <c r="P17">
        <v>1.4922983503568244E-5</v>
      </c>
      <c r="Q17" t="s">
        <v>157</v>
      </c>
      <c r="S17" t="s">
        <v>182</v>
      </c>
      <c r="T17" t="s">
        <v>221</v>
      </c>
      <c r="U17">
        <v>1.4922983503568244E-5</v>
      </c>
      <c r="V17" t="s">
        <v>157</v>
      </c>
      <c r="X17">
        <v>1.1415525114155251E-4</v>
      </c>
      <c r="Y17">
        <v>1.4916838624667481E-5</v>
      </c>
      <c r="Z17" t="s">
        <v>221</v>
      </c>
      <c r="AA17" t="s">
        <v>25</v>
      </c>
    </row>
    <row r="18" spans="5:27" x14ac:dyDescent="0.45">
      <c r="E18" t="s">
        <v>203</v>
      </c>
      <c r="G18" t="s">
        <v>196</v>
      </c>
      <c r="I18" t="s">
        <v>155</v>
      </c>
      <c r="J18" t="s">
        <v>222</v>
      </c>
      <c r="K18">
        <v>0</v>
      </c>
      <c r="L18" t="s">
        <v>157</v>
      </c>
      <c r="N18" t="s">
        <v>177</v>
      </c>
      <c r="O18" t="s">
        <v>222</v>
      </c>
      <c r="P18">
        <v>1.3659638119045915E-5</v>
      </c>
      <c r="Q18" t="s">
        <v>157</v>
      </c>
      <c r="S18" t="s">
        <v>182</v>
      </c>
      <c r="T18" t="s">
        <v>222</v>
      </c>
      <c r="U18">
        <v>1.3659638119045915E-5</v>
      </c>
      <c r="V18" t="s">
        <v>157</v>
      </c>
      <c r="X18">
        <v>1.1415525114155251E-4</v>
      </c>
      <c r="Y18">
        <v>1.6574265138519424E-5</v>
      </c>
      <c r="Z18" t="s">
        <v>222</v>
      </c>
      <c r="AA18" t="s">
        <v>25</v>
      </c>
    </row>
    <row r="19" spans="5:27" x14ac:dyDescent="0.45">
      <c r="E19" t="s">
        <v>204</v>
      </c>
      <c r="G19" t="s">
        <v>196</v>
      </c>
      <c r="I19" t="s">
        <v>155</v>
      </c>
      <c r="J19" t="s">
        <v>223</v>
      </c>
      <c r="K19">
        <v>0</v>
      </c>
      <c r="L19" t="s">
        <v>157</v>
      </c>
      <c r="N19" t="s">
        <v>177</v>
      </c>
      <c r="O19" t="s">
        <v>223</v>
      </c>
      <c r="P19">
        <v>2.124455415672156E-5</v>
      </c>
      <c r="Q19" t="s">
        <v>157</v>
      </c>
      <c r="S19" t="s">
        <v>182</v>
      </c>
      <c r="T19" t="s">
        <v>223</v>
      </c>
      <c r="U19">
        <v>2.124455415672156E-5</v>
      </c>
      <c r="V19" t="s">
        <v>157</v>
      </c>
      <c r="X19">
        <v>1.1415525114155251E-4</v>
      </c>
      <c r="Y19">
        <v>1.4585353321897093E-5</v>
      </c>
      <c r="Z19" t="s">
        <v>223</v>
      </c>
      <c r="AA19" t="s">
        <v>25</v>
      </c>
    </row>
    <row r="20" spans="5:27" x14ac:dyDescent="0.45">
      <c r="E20" t="s">
        <v>205</v>
      </c>
      <c r="G20" t="s">
        <v>196</v>
      </c>
      <c r="I20" t="s">
        <v>155</v>
      </c>
      <c r="J20" t="s">
        <v>224</v>
      </c>
      <c r="K20">
        <v>0</v>
      </c>
      <c r="L20" t="s">
        <v>157</v>
      </c>
      <c r="N20" t="s">
        <v>177</v>
      </c>
      <c r="O20" t="s">
        <v>224</v>
      </c>
      <c r="P20">
        <v>1.9842827402878495E-5</v>
      </c>
      <c r="Q20" t="s">
        <v>157</v>
      </c>
      <c r="S20" t="s">
        <v>182</v>
      </c>
      <c r="T20" t="s">
        <v>224</v>
      </c>
      <c r="U20">
        <v>1.9842827402878495E-5</v>
      </c>
      <c r="V20" t="s">
        <v>157</v>
      </c>
      <c r="X20">
        <v>1.1415525114155251E-4</v>
      </c>
      <c r="Y20">
        <v>2.1215059377304864E-5</v>
      </c>
      <c r="Z20" t="s">
        <v>224</v>
      </c>
      <c r="AA20" t="s">
        <v>25</v>
      </c>
    </row>
    <row r="21" spans="5:27" x14ac:dyDescent="0.45">
      <c r="E21" t="s">
        <v>206</v>
      </c>
      <c r="G21" t="s">
        <v>196</v>
      </c>
      <c r="I21" t="s">
        <v>155</v>
      </c>
      <c r="J21" t="s">
        <v>225</v>
      </c>
      <c r="K21">
        <v>0</v>
      </c>
      <c r="L21" t="s">
        <v>157</v>
      </c>
      <c r="N21" t="s">
        <v>177</v>
      </c>
      <c r="O21" t="s">
        <v>225</v>
      </c>
      <c r="P21">
        <v>1.8525785526401914E-5</v>
      </c>
      <c r="Q21" t="s">
        <v>157</v>
      </c>
      <c r="S21" t="s">
        <v>182</v>
      </c>
      <c r="T21" t="s">
        <v>225</v>
      </c>
      <c r="U21">
        <v>1.8525785526401914E-5</v>
      </c>
      <c r="V21" t="s">
        <v>157</v>
      </c>
      <c r="X21">
        <v>1.1415525114155251E-4</v>
      </c>
      <c r="Y21">
        <v>5.7678442682047593E-5</v>
      </c>
      <c r="Z21" t="s">
        <v>225</v>
      </c>
      <c r="AA21" t="s">
        <v>25</v>
      </c>
    </row>
    <row r="22" spans="5:27" x14ac:dyDescent="0.45">
      <c r="E22" t="s">
        <v>207</v>
      </c>
      <c r="G22" t="s">
        <v>196</v>
      </c>
      <c r="I22" t="s">
        <v>155</v>
      </c>
      <c r="J22" t="s">
        <v>226</v>
      </c>
      <c r="K22">
        <v>0</v>
      </c>
      <c r="L22" t="s">
        <v>157</v>
      </c>
      <c r="N22" t="s">
        <v>177</v>
      </c>
      <c r="O22" t="s">
        <v>226</v>
      </c>
      <c r="P22">
        <v>1.8002809609476419E-5</v>
      </c>
      <c r="Q22" t="s">
        <v>157</v>
      </c>
      <c r="S22" t="s">
        <v>182</v>
      </c>
      <c r="T22" t="s">
        <v>226</v>
      </c>
      <c r="U22">
        <v>1.8002809609476419E-5</v>
      </c>
      <c r="V22" t="s">
        <v>157</v>
      </c>
      <c r="X22">
        <v>1.1415525114155251E-4</v>
      </c>
      <c r="Y22">
        <v>1.6905750441289813E-4</v>
      </c>
      <c r="Z22" t="s">
        <v>226</v>
      </c>
      <c r="AA22" t="s">
        <v>25</v>
      </c>
    </row>
    <row r="23" spans="5:27" x14ac:dyDescent="0.45">
      <c r="E23" t="s">
        <v>208</v>
      </c>
      <c r="G23" t="s">
        <v>196</v>
      </c>
      <c r="I23" t="s">
        <v>155</v>
      </c>
      <c r="J23" t="s">
        <v>227</v>
      </c>
      <c r="K23">
        <v>1.1983366928875353E-4</v>
      </c>
      <c r="L23" t="s">
        <v>157</v>
      </c>
      <c r="N23" t="s">
        <v>177</v>
      </c>
      <c r="O23" t="s">
        <v>227</v>
      </c>
      <c r="P23">
        <v>1.5135501787449521E-5</v>
      </c>
      <c r="Q23" t="s">
        <v>157</v>
      </c>
      <c r="S23" t="s">
        <v>182</v>
      </c>
      <c r="T23" t="s">
        <v>227</v>
      </c>
      <c r="U23">
        <v>1.5135501787449521E-5</v>
      </c>
      <c r="V23" t="s">
        <v>157</v>
      </c>
      <c r="X23">
        <v>1.1415525114155251E-4</v>
      </c>
      <c r="Y23">
        <v>1.9060404909297337E-4</v>
      </c>
      <c r="Z23" t="s">
        <v>227</v>
      </c>
      <c r="AA23" t="s">
        <v>25</v>
      </c>
    </row>
    <row r="24" spans="5:27" x14ac:dyDescent="0.45">
      <c r="E24" t="s">
        <v>209</v>
      </c>
      <c r="G24" t="s">
        <v>196</v>
      </c>
      <c r="I24" t="s">
        <v>155</v>
      </c>
      <c r="J24" t="s">
        <v>228</v>
      </c>
      <c r="K24">
        <v>2.4890525058364157E-4</v>
      </c>
      <c r="L24" t="s">
        <v>157</v>
      </c>
      <c r="N24" t="s">
        <v>177</v>
      </c>
      <c r="O24" t="s">
        <v>228</v>
      </c>
      <c r="P24">
        <v>3.1424962688849062E-7</v>
      </c>
      <c r="Q24" t="s">
        <v>157</v>
      </c>
      <c r="S24" t="s">
        <v>182</v>
      </c>
      <c r="T24" t="s">
        <v>228</v>
      </c>
      <c r="U24">
        <v>3.1424962688849062E-7</v>
      </c>
      <c r="V24" t="s">
        <v>157</v>
      </c>
      <c r="X24">
        <v>1.1415525114155251E-4</v>
      </c>
      <c r="Y24">
        <v>1.4585353321897094E-4</v>
      </c>
      <c r="Z24" t="s">
        <v>228</v>
      </c>
      <c r="AA24" t="s">
        <v>25</v>
      </c>
    </row>
    <row r="25" spans="5:27" x14ac:dyDescent="0.45">
      <c r="E25" t="s">
        <v>210</v>
      </c>
      <c r="G25" t="s">
        <v>196</v>
      </c>
      <c r="I25" t="s">
        <v>155</v>
      </c>
      <c r="J25" t="s">
        <v>229</v>
      </c>
      <c r="K25">
        <v>2.3952384266094615E-4</v>
      </c>
      <c r="L25" t="s">
        <v>157</v>
      </c>
      <c r="N25" t="s">
        <v>177</v>
      </c>
      <c r="O25" t="s">
        <v>229</v>
      </c>
      <c r="P25">
        <v>8.6732412524613962E-6</v>
      </c>
      <c r="Q25" t="s">
        <v>157</v>
      </c>
      <c r="S25" t="s">
        <v>182</v>
      </c>
      <c r="T25" t="s">
        <v>229</v>
      </c>
      <c r="U25">
        <v>8.6732412524613962E-6</v>
      </c>
      <c r="V25" t="s">
        <v>157</v>
      </c>
      <c r="X25">
        <v>1.1415525114155251E-4</v>
      </c>
      <c r="Y25">
        <v>1.4452759200788939E-4</v>
      </c>
      <c r="Z25" t="s">
        <v>229</v>
      </c>
      <c r="AA25" t="s">
        <v>25</v>
      </c>
    </row>
    <row r="26" spans="5:27" x14ac:dyDescent="0.45">
      <c r="E26" t="s">
        <v>211</v>
      </c>
      <c r="G26" t="s">
        <v>196</v>
      </c>
      <c r="I26" t="s">
        <v>155</v>
      </c>
      <c r="J26" t="s">
        <v>230</v>
      </c>
      <c r="K26">
        <v>2.4859298457575123E-4</v>
      </c>
      <c r="L26" t="s">
        <v>157</v>
      </c>
      <c r="N26" t="s">
        <v>177</v>
      </c>
      <c r="O26" t="s">
        <v>230</v>
      </c>
      <c r="P26">
        <v>7.6688504577245242E-5</v>
      </c>
      <c r="Q26" t="s">
        <v>157</v>
      </c>
      <c r="S26" t="s">
        <v>182</v>
      </c>
      <c r="T26" t="s">
        <v>230</v>
      </c>
      <c r="U26">
        <v>7.6688504577245242E-5</v>
      </c>
      <c r="V26" t="s">
        <v>157</v>
      </c>
      <c r="X26">
        <v>1.1415525114155251E-4</v>
      </c>
      <c r="Y26">
        <v>1.408812536774151E-4</v>
      </c>
      <c r="Z26" t="s">
        <v>230</v>
      </c>
      <c r="AA26" t="s">
        <v>25</v>
      </c>
    </row>
    <row r="27" spans="5:27" x14ac:dyDescent="0.45">
      <c r="E27" t="s">
        <v>212</v>
      </c>
      <c r="G27" t="s">
        <v>196</v>
      </c>
      <c r="I27" t="s">
        <v>155</v>
      </c>
      <c r="J27" t="s">
        <v>231</v>
      </c>
      <c r="K27">
        <v>2.9995481669878386E-4</v>
      </c>
      <c r="L27" t="s">
        <v>157</v>
      </c>
      <c r="N27" t="s">
        <v>177</v>
      </c>
      <c r="O27" t="s">
        <v>231</v>
      </c>
      <c r="P27">
        <v>8.3145010354350709E-5</v>
      </c>
      <c r="Q27" t="s">
        <v>157</v>
      </c>
      <c r="S27" t="s">
        <v>182</v>
      </c>
      <c r="T27" t="s">
        <v>231</v>
      </c>
      <c r="U27">
        <v>8.3145010354350709E-5</v>
      </c>
      <c r="V27" t="s">
        <v>157</v>
      </c>
      <c r="X27">
        <v>1.1415525114155251E-4</v>
      </c>
      <c r="Y27">
        <v>1.4054976837464471E-4</v>
      </c>
      <c r="Z27" t="s">
        <v>231</v>
      </c>
      <c r="AA27" t="s">
        <v>25</v>
      </c>
    </row>
    <row r="28" spans="5:27" x14ac:dyDescent="0.45">
      <c r="E28" t="s">
        <v>213</v>
      </c>
      <c r="G28" t="s">
        <v>196</v>
      </c>
      <c r="I28" t="s">
        <v>155</v>
      </c>
      <c r="J28" t="s">
        <v>232</v>
      </c>
      <c r="K28">
        <v>3.3361723613141897E-4</v>
      </c>
      <c r="L28" t="s">
        <v>157</v>
      </c>
      <c r="N28" t="s">
        <v>177</v>
      </c>
      <c r="O28" t="s">
        <v>232</v>
      </c>
      <c r="P28">
        <v>7.2317134480462443E-5</v>
      </c>
      <c r="Q28" t="s">
        <v>157</v>
      </c>
      <c r="S28" t="s">
        <v>182</v>
      </c>
      <c r="T28" t="s">
        <v>232</v>
      </c>
      <c r="U28">
        <v>7.2317134480462443E-5</v>
      </c>
      <c r="V28" t="s">
        <v>157</v>
      </c>
      <c r="X28">
        <v>1.1415525114155251E-4</v>
      </c>
      <c r="Y28">
        <v>1.4253868019126702E-4</v>
      </c>
      <c r="Z28" t="s">
        <v>232</v>
      </c>
      <c r="AA28" t="s">
        <v>25</v>
      </c>
    </row>
    <row r="29" spans="5:27" x14ac:dyDescent="0.45">
      <c r="E29" t="s">
        <v>214</v>
      </c>
      <c r="G29" t="s">
        <v>196</v>
      </c>
      <c r="I29" t="s">
        <v>155</v>
      </c>
      <c r="J29" t="s">
        <v>233</v>
      </c>
      <c r="K29">
        <v>3.3282449278003998E-4</v>
      </c>
      <c r="L29" t="s">
        <v>157</v>
      </c>
      <c r="N29" t="s">
        <v>177</v>
      </c>
      <c r="O29" t="s">
        <v>233</v>
      </c>
      <c r="P29">
        <v>7.0966363651140746E-5</v>
      </c>
      <c r="Q29" t="s">
        <v>157</v>
      </c>
      <c r="S29" t="s">
        <v>182</v>
      </c>
      <c r="T29" t="s">
        <v>233</v>
      </c>
      <c r="U29">
        <v>7.0966363651140746E-5</v>
      </c>
      <c r="V29" t="s">
        <v>157</v>
      </c>
      <c r="X29">
        <v>1.1415525114155251E-4</v>
      </c>
      <c r="Y29">
        <v>1.4883690094390442E-4</v>
      </c>
      <c r="Z29" t="s">
        <v>233</v>
      </c>
      <c r="AA29" t="s">
        <v>25</v>
      </c>
    </row>
    <row r="30" spans="5:27" x14ac:dyDescent="0.45">
      <c r="E30" t="s">
        <v>215</v>
      </c>
      <c r="G30" t="s">
        <v>196</v>
      </c>
      <c r="I30" t="s">
        <v>155</v>
      </c>
      <c r="J30" t="s">
        <v>234</v>
      </c>
      <c r="K30">
        <v>3.4349935806425499E-4</v>
      </c>
      <c r="L30" t="s">
        <v>157</v>
      </c>
      <c r="N30" t="s">
        <v>177</v>
      </c>
      <c r="O30" t="s">
        <v>234</v>
      </c>
      <c r="P30">
        <v>6.8229319044717552E-5</v>
      </c>
      <c r="Q30" t="s">
        <v>157</v>
      </c>
      <c r="S30" t="s">
        <v>182</v>
      </c>
      <c r="T30" t="s">
        <v>234</v>
      </c>
      <c r="U30">
        <v>6.8229319044717552E-5</v>
      </c>
      <c r="V30" t="s">
        <v>157</v>
      </c>
      <c r="X30">
        <v>1.1415525114155251E-4</v>
      </c>
      <c r="Y30">
        <v>1.5049432745775637E-4</v>
      </c>
      <c r="Z30" t="s">
        <v>234</v>
      </c>
      <c r="AA30" t="s">
        <v>25</v>
      </c>
    </row>
    <row r="31" spans="5:27" x14ac:dyDescent="0.45">
      <c r="E31" t="s">
        <v>216</v>
      </c>
      <c r="G31" t="s">
        <v>196</v>
      </c>
      <c r="I31" t="s">
        <v>155</v>
      </c>
      <c r="J31" t="s">
        <v>235</v>
      </c>
      <c r="K31">
        <v>3.1128537999409957E-4</v>
      </c>
      <c r="L31" t="s">
        <v>157</v>
      </c>
      <c r="N31" t="s">
        <v>177</v>
      </c>
      <c r="O31" t="s">
        <v>235</v>
      </c>
      <c r="P31">
        <v>7.9097857461100148E-5</v>
      </c>
      <c r="Q31" t="s">
        <v>157</v>
      </c>
      <c r="S31" t="s">
        <v>182</v>
      </c>
      <c r="T31" t="s">
        <v>235</v>
      </c>
      <c r="U31">
        <v>7.9097857461100148E-5</v>
      </c>
      <c r="V31" t="s">
        <v>157</v>
      </c>
      <c r="X31">
        <v>1.1415525114155251E-4</v>
      </c>
      <c r="Y31">
        <v>1.7237235744060203E-4</v>
      </c>
      <c r="Z31" t="s">
        <v>235</v>
      </c>
      <c r="AA31" t="s">
        <v>25</v>
      </c>
    </row>
    <row r="32" spans="5:27" x14ac:dyDescent="0.45">
      <c r="E32" t="s">
        <v>217</v>
      </c>
      <c r="G32" t="s">
        <v>196</v>
      </c>
      <c r="I32" t="s">
        <v>155</v>
      </c>
      <c r="J32" t="s">
        <v>236</v>
      </c>
      <c r="K32">
        <v>2.9765469960808404E-4</v>
      </c>
      <c r="L32" t="s">
        <v>157</v>
      </c>
      <c r="N32" t="s">
        <v>177</v>
      </c>
      <c r="O32" t="s">
        <v>236</v>
      </c>
      <c r="P32">
        <v>9.9561935666787787E-5</v>
      </c>
      <c r="Q32" t="s">
        <v>157</v>
      </c>
      <c r="S32" t="s">
        <v>182</v>
      </c>
      <c r="T32" t="s">
        <v>236</v>
      </c>
      <c r="U32">
        <v>9.9561935666787787E-5</v>
      </c>
      <c r="V32" t="s">
        <v>157</v>
      </c>
      <c r="X32">
        <v>1.1415525114155251E-4</v>
      </c>
      <c r="Y32">
        <v>2.2209515285616027E-4</v>
      </c>
      <c r="Z32" t="s">
        <v>236</v>
      </c>
      <c r="AA32" t="s">
        <v>25</v>
      </c>
    </row>
    <row r="33" spans="5:27" x14ac:dyDescent="0.45">
      <c r="E33" t="s">
        <v>218</v>
      </c>
      <c r="G33" t="s">
        <v>196</v>
      </c>
      <c r="I33" t="s">
        <v>155</v>
      </c>
      <c r="J33" t="s">
        <v>237</v>
      </c>
      <c r="K33">
        <v>2.6913980501190387E-4</v>
      </c>
      <c r="L33" t="s">
        <v>157</v>
      </c>
      <c r="N33" t="s">
        <v>177</v>
      </c>
      <c r="O33" t="s">
        <v>237</v>
      </c>
      <c r="P33">
        <v>1.3872932424880454E-4</v>
      </c>
      <c r="Q33" t="s">
        <v>157</v>
      </c>
      <c r="S33" t="s">
        <v>182</v>
      </c>
      <c r="T33" t="s">
        <v>237</v>
      </c>
      <c r="U33">
        <v>1.3872932424880454E-4</v>
      </c>
      <c r="V33" t="s">
        <v>157</v>
      </c>
      <c r="X33">
        <v>1.1415525114155251E-4</v>
      </c>
      <c r="Y33">
        <v>2.2209515285616027E-4</v>
      </c>
      <c r="Z33" t="s">
        <v>237</v>
      </c>
      <c r="AA33" t="s">
        <v>25</v>
      </c>
    </row>
    <row r="34" spans="5:27" x14ac:dyDescent="0.45">
      <c r="E34" t="s">
        <v>219</v>
      </c>
      <c r="G34" t="s">
        <v>196</v>
      </c>
      <c r="I34" t="s">
        <v>155</v>
      </c>
      <c r="J34" t="s">
        <v>238</v>
      </c>
      <c r="K34">
        <v>1.6851897256192587E-4</v>
      </c>
      <c r="L34" t="s">
        <v>157</v>
      </c>
      <c r="N34" t="s">
        <v>177</v>
      </c>
      <c r="O34" t="s">
        <v>238</v>
      </c>
      <c r="P34">
        <v>2.3310568298689222E-4</v>
      </c>
      <c r="Q34" t="s">
        <v>157</v>
      </c>
      <c r="S34" t="s">
        <v>182</v>
      </c>
      <c r="T34" t="s">
        <v>238</v>
      </c>
      <c r="U34">
        <v>2.3310568298689222E-4</v>
      </c>
      <c r="V34" t="s">
        <v>157</v>
      </c>
      <c r="X34">
        <v>1.1415525114155251E-4</v>
      </c>
      <c r="Y34">
        <v>1.7237235744060203E-4</v>
      </c>
      <c r="Z34" t="s">
        <v>238</v>
      </c>
      <c r="AA34" t="s">
        <v>25</v>
      </c>
    </row>
    <row r="35" spans="5:27" x14ac:dyDescent="0.45">
      <c r="E35" t="s">
        <v>150</v>
      </c>
      <c r="G35" t="s">
        <v>149</v>
      </c>
      <c r="I35" t="s">
        <v>155</v>
      </c>
      <c r="J35" t="s">
        <v>239</v>
      </c>
      <c r="K35">
        <v>0</v>
      </c>
      <c r="L35" t="s">
        <v>157</v>
      </c>
      <c r="N35" t="s">
        <v>177</v>
      </c>
      <c r="O35" t="s">
        <v>239</v>
      </c>
      <c r="P35">
        <v>3.2787453586987861E-4</v>
      </c>
      <c r="Q35" t="s">
        <v>157</v>
      </c>
      <c r="S35" t="s">
        <v>182</v>
      </c>
      <c r="T35" t="s">
        <v>239</v>
      </c>
      <c r="U35">
        <v>3.2787453586987861E-4</v>
      </c>
      <c r="V35" t="s">
        <v>157</v>
      </c>
      <c r="X35">
        <v>1.1415525114155251E-4</v>
      </c>
      <c r="Y35">
        <v>1.5579809230208258E-4</v>
      </c>
      <c r="Z35" t="s">
        <v>239</v>
      </c>
      <c r="AA35" t="s">
        <v>25</v>
      </c>
    </row>
    <row r="36" spans="5:27" x14ac:dyDescent="0.45">
      <c r="E36" t="s">
        <v>151</v>
      </c>
      <c r="G36" t="s">
        <v>149</v>
      </c>
      <c r="I36" t="s">
        <v>155</v>
      </c>
      <c r="J36" t="s">
        <v>240</v>
      </c>
      <c r="K36">
        <v>0</v>
      </c>
      <c r="L36" t="s">
        <v>157</v>
      </c>
      <c r="N36" t="s">
        <v>177</v>
      </c>
      <c r="O36" t="s">
        <v>240</v>
      </c>
      <c r="P36">
        <v>3.6556334577849303E-4</v>
      </c>
      <c r="Q36" t="s">
        <v>157</v>
      </c>
      <c r="S36" t="s">
        <v>182</v>
      </c>
      <c r="T36" t="s">
        <v>240</v>
      </c>
      <c r="U36">
        <v>3.6556334577849303E-4</v>
      </c>
      <c r="V36" t="s">
        <v>157</v>
      </c>
      <c r="X36">
        <v>1.1415525114155251E-4</v>
      </c>
      <c r="Y36">
        <v>1.093901499142282E-4</v>
      </c>
      <c r="Z36" t="s">
        <v>240</v>
      </c>
      <c r="AA36" t="s">
        <v>25</v>
      </c>
    </row>
    <row r="37" spans="5:27" x14ac:dyDescent="0.45">
      <c r="E37" t="s">
        <v>152</v>
      </c>
      <c r="G37" t="s">
        <v>149</v>
      </c>
      <c r="I37" t="s">
        <v>155</v>
      </c>
      <c r="J37" t="s">
        <v>241</v>
      </c>
      <c r="K37">
        <v>0</v>
      </c>
      <c r="L37" t="s">
        <v>157</v>
      </c>
      <c r="N37" t="s">
        <v>177</v>
      </c>
      <c r="O37" t="s">
        <v>241</v>
      </c>
      <c r="P37">
        <v>3.3970443349063079E-4</v>
      </c>
      <c r="Q37" t="s">
        <v>157</v>
      </c>
      <c r="S37" t="s">
        <v>182</v>
      </c>
      <c r="T37" t="s">
        <v>241</v>
      </c>
      <c r="U37">
        <v>3.3970443349063079E-4</v>
      </c>
      <c r="V37" t="s">
        <v>157</v>
      </c>
      <c r="X37">
        <v>1.1415525114155251E-4</v>
      </c>
      <c r="Y37">
        <v>7.9556472664893237E-5</v>
      </c>
      <c r="Z37" t="s">
        <v>241</v>
      </c>
      <c r="AA37" t="s">
        <v>25</v>
      </c>
    </row>
    <row r="38" spans="5:27" x14ac:dyDescent="0.45">
      <c r="E38" t="s">
        <v>153</v>
      </c>
      <c r="G38" t="s">
        <v>149</v>
      </c>
      <c r="I38" t="s">
        <v>155</v>
      </c>
      <c r="J38" t="s">
        <v>242</v>
      </c>
      <c r="K38">
        <v>0</v>
      </c>
      <c r="L38" t="s">
        <v>157</v>
      </c>
      <c r="N38" t="s">
        <v>177</v>
      </c>
      <c r="O38" t="s">
        <v>242</v>
      </c>
      <c r="P38">
        <v>2.7047738874435049E-4</v>
      </c>
      <c r="Q38" t="s">
        <v>157</v>
      </c>
      <c r="S38" t="s">
        <v>182</v>
      </c>
      <c r="T38" t="s">
        <v>242</v>
      </c>
      <c r="U38">
        <v>2.7047738874435049E-4</v>
      </c>
      <c r="V38" t="s">
        <v>157</v>
      </c>
      <c r="X38">
        <v>1.1415525114155251E-4</v>
      </c>
      <c r="Y38">
        <v>5.6352501470966035E-5</v>
      </c>
      <c r="Z38" t="s">
        <v>242</v>
      </c>
      <c r="AA38" t="s">
        <v>25</v>
      </c>
    </row>
    <row r="39" spans="5:27" x14ac:dyDescent="0.45">
      <c r="E39" t="s">
        <v>192</v>
      </c>
      <c r="G39" t="s">
        <v>149</v>
      </c>
      <c r="I39" t="s">
        <v>155</v>
      </c>
      <c r="J39" t="s">
        <v>243</v>
      </c>
      <c r="K39">
        <v>0</v>
      </c>
      <c r="L39" t="s">
        <v>157</v>
      </c>
      <c r="N39" t="s">
        <v>177</v>
      </c>
      <c r="O39" t="s">
        <v>243</v>
      </c>
      <c r="P39">
        <v>2.1259558711553983E-4</v>
      </c>
      <c r="Q39" t="s">
        <v>157</v>
      </c>
      <c r="S39" t="s">
        <v>182</v>
      </c>
      <c r="T39" t="s">
        <v>243</v>
      </c>
      <c r="U39">
        <v>2.1259558711553983E-4</v>
      </c>
      <c r="V39" t="s">
        <v>157</v>
      </c>
      <c r="X39">
        <v>1.1415525114155251E-4</v>
      </c>
      <c r="Y39">
        <v>2.9833677249334962E-5</v>
      </c>
      <c r="Z39" t="s">
        <v>243</v>
      </c>
      <c r="AA39" t="s">
        <v>25</v>
      </c>
    </row>
    <row r="40" spans="5:27" x14ac:dyDescent="0.45">
      <c r="I40" t="s">
        <v>161</v>
      </c>
      <c r="J40" t="s">
        <v>156</v>
      </c>
      <c r="K40">
        <v>0.99684899547337957</v>
      </c>
      <c r="L40" t="s">
        <v>157</v>
      </c>
      <c r="N40" t="s">
        <v>178</v>
      </c>
      <c r="O40" t="s">
        <v>156</v>
      </c>
      <c r="P40">
        <v>0.85063996573922185</v>
      </c>
      <c r="Q40" t="s">
        <v>157</v>
      </c>
      <c r="S40" t="s">
        <v>183</v>
      </c>
      <c r="T40" t="s">
        <v>156</v>
      </c>
      <c r="U40">
        <v>0.85063996573922185</v>
      </c>
      <c r="V40" t="s">
        <v>157</v>
      </c>
    </row>
    <row r="41" spans="5:27" x14ac:dyDescent="0.45">
      <c r="I41" t="s">
        <v>161</v>
      </c>
      <c r="J41" t="s">
        <v>158</v>
      </c>
      <c r="K41">
        <v>0</v>
      </c>
      <c r="L41" t="s">
        <v>157</v>
      </c>
      <c r="N41" t="s">
        <v>178</v>
      </c>
      <c r="O41" t="s">
        <v>158</v>
      </c>
      <c r="P41">
        <v>4.0245780061286436E-2</v>
      </c>
      <c r="Q41" t="s">
        <v>157</v>
      </c>
      <c r="S41" t="s">
        <v>183</v>
      </c>
      <c r="T41" t="s">
        <v>158</v>
      </c>
      <c r="U41">
        <v>4.0245780061286436E-2</v>
      </c>
      <c r="V41" t="s">
        <v>157</v>
      </c>
    </row>
    <row r="42" spans="5:27" x14ac:dyDescent="0.45">
      <c r="I42" t="s">
        <v>161</v>
      </c>
      <c r="J42" t="s">
        <v>159</v>
      </c>
      <c r="K42">
        <v>0</v>
      </c>
      <c r="L42" t="s">
        <v>157</v>
      </c>
      <c r="N42" t="s">
        <v>178</v>
      </c>
      <c r="O42" t="s">
        <v>159</v>
      </c>
      <c r="P42">
        <v>4.0139846530832406E-2</v>
      </c>
      <c r="Q42" t="s">
        <v>157</v>
      </c>
      <c r="S42" t="s">
        <v>183</v>
      </c>
      <c r="T42" t="s">
        <v>159</v>
      </c>
      <c r="U42">
        <v>4.0139846530832406E-2</v>
      </c>
      <c r="V42" t="s">
        <v>157</v>
      </c>
    </row>
    <row r="43" spans="5:27" x14ac:dyDescent="0.45">
      <c r="I43" t="s">
        <v>161</v>
      </c>
      <c r="J43" t="s">
        <v>160</v>
      </c>
      <c r="K43">
        <v>0</v>
      </c>
      <c r="L43" t="s">
        <v>157</v>
      </c>
      <c r="N43" t="s">
        <v>178</v>
      </c>
      <c r="O43" t="s">
        <v>160</v>
      </c>
      <c r="P43">
        <v>3.60697193703826E-2</v>
      </c>
      <c r="Q43" t="s">
        <v>157</v>
      </c>
      <c r="S43" t="s">
        <v>183</v>
      </c>
      <c r="T43" t="s">
        <v>160</v>
      </c>
      <c r="U43">
        <v>3.60697193703826E-2</v>
      </c>
      <c r="V43" t="s">
        <v>157</v>
      </c>
    </row>
    <row r="44" spans="5:27" x14ac:dyDescent="0.45">
      <c r="I44" t="s">
        <v>161</v>
      </c>
      <c r="J44" t="s">
        <v>193</v>
      </c>
      <c r="K44">
        <v>0</v>
      </c>
      <c r="L44" t="s">
        <v>157</v>
      </c>
      <c r="N44" t="s">
        <v>178</v>
      </c>
      <c r="O44" t="s">
        <v>193</v>
      </c>
      <c r="P44">
        <v>3.0909748299038274E-2</v>
      </c>
      <c r="Q44" t="s">
        <v>157</v>
      </c>
      <c r="S44" t="s">
        <v>183</v>
      </c>
      <c r="T44" t="s">
        <v>193</v>
      </c>
      <c r="U44">
        <v>3.0909748299038274E-2</v>
      </c>
      <c r="V44" t="s">
        <v>157</v>
      </c>
    </row>
    <row r="45" spans="5:27" x14ac:dyDescent="0.45">
      <c r="I45" t="s">
        <v>161</v>
      </c>
      <c r="J45" t="s">
        <v>220</v>
      </c>
      <c r="K45">
        <v>0</v>
      </c>
      <c r="L45" t="s">
        <v>157</v>
      </c>
      <c r="N45" t="s">
        <v>178</v>
      </c>
      <c r="O45" t="s">
        <v>220</v>
      </c>
      <c r="P45">
        <v>2.2732548452083193E-5</v>
      </c>
      <c r="Q45" t="s">
        <v>157</v>
      </c>
      <c r="S45" t="s">
        <v>183</v>
      </c>
      <c r="T45" t="s">
        <v>220</v>
      </c>
      <c r="U45">
        <v>2.2732548452083193E-5</v>
      </c>
      <c r="V45" t="s">
        <v>157</v>
      </c>
    </row>
    <row r="46" spans="5:27" x14ac:dyDescent="0.45">
      <c r="I46" t="s">
        <v>161</v>
      </c>
      <c r="J46" t="s">
        <v>221</v>
      </c>
      <c r="K46">
        <v>0</v>
      </c>
      <c r="L46" t="s">
        <v>157</v>
      </c>
      <c r="N46" t="s">
        <v>178</v>
      </c>
      <c r="O46" t="s">
        <v>221</v>
      </c>
      <c r="P46">
        <v>2.9160169062172083E-6</v>
      </c>
      <c r="Q46" t="s">
        <v>157</v>
      </c>
      <c r="S46" t="s">
        <v>183</v>
      </c>
      <c r="T46" t="s">
        <v>221</v>
      </c>
      <c r="U46">
        <v>2.9160169062172083E-6</v>
      </c>
      <c r="V46" t="s">
        <v>157</v>
      </c>
    </row>
    <row r="47" spans="5:27" x14ac:dyDescent="0.45">
      <c r="I47" t="s">
        <v>161</v>
      </c>
      <c r="J47" t="s">
        <v>222</v>
      </c>
      <c r="K47">
        <v>0</v>
      </c>
      <c r="L47" t="s">
        <v>157</v>
      </c>
      <c r="N47" t="s">
        <v>178</v>
      </c>
      <c r="O47" t="s">
        <v>222</v>
      </c>
      <c r="P47">
        <v>3.7282910607167097E-5</v>
      </c>
      <c r="Q47" t="s">
        <v>157</v>
      </c>
      <c r="S47" t="s">
        <v>183</v>
      </c>
      <c r="T47" t="s">
        <v>222</v>
      </c>
      <c r="U47">
        <v>3.7282910607167097E-5</v>
      </c>
      <c r="V47" t="s">
        <v>157</v>
      </c>
    </row>
    <row r="48" spans="5:27" x14ac:dyDescent="0.45">
      <c r="I48" t="s">
        <v>161</v>
      </c>
      <c r="J48" t="s">
        <v>223</v>
      </c>
      <c r="K48">
        <v>0</v>
      </c>
      <c r="L48" t="s">
        <v>157</v>
      </c>
      <c r="N48" t="s">
        <v>178</v>
      </c>
      <c r="O48" t="s">
        <v>223</v>
      </c>
      <c r="P48">
        <v>1.6515007599055076E-5</v>
      </c>
      <c r="Q48" t="s">
        <v>157</v>
      </c>
      <c r="S48" t="s">
        <v>183</v>
      </c>
      <c r="T48" t="s">
        <v>223</v>
      </c>
      <c r="U48">
        <v>1.6515007599055076E-5</v>
      </c>
      <c r="V48" t="s">
        <v>157</v>
      </c>
    </row>
    <row r="49" spans="9:22" x14ac:dyDescent="0.45">
      <c r="I49" t="s">
        <v>161</v>
      </c>
      <c r="J49" t="s">
        <v>224</v>
      </c>
      <c r="K49">
        <v>0</v>
      </c>
      <c r="L49" t="s">
        <v>157</v>
      </c>
      <c r="N49" t="s">
        <v>178</v>
      </c>
      <c r="O49" t="s">
        <v>224</v>
      </c>
      <c r="P49">
        <v>5.3309599654457026E-6</v>
      </c>
      <c r="Q49" t="s">
        <v>157</v>
      </c>
      <c r="S49" t="s">
        <v>183</v>
      </c>
      <c r="T49" t="s">
        <v>224</v>
      </c>
      <c r="U49">
        <v>5.3309599654457026E-6</v>
      </c>
      <c r="V49" t="s">
        <v>157</v>
      </c>
    </row>
    <row r="50" spans="9:22" x14ac:dyDescent="0.45">
      <c r="I50" t="s">
        <v>161</v>
      </c>
      <c r="J50" t="s">
        <v>225</v>
      </c>
      <c r="K50">
        <v>0</v>
      </c>
      <c r="L50" t="s">
        <v>157</v>
      </c>
      <c r="N50" t="s">
        <v>178</v>
      </c>
      <c r="O50" t="s">
        <v>225</v>
      </c>
      <c r="P50">
        <v>4.9861381592941089E-6</v>
      </c>
      <c r="Q50" t="s">
        <v>157</v>
      </c>
      <c r="S50" t="s">
        <v>183</v>
      </c>
      <c r="T50" t="s">
        <v>225</v>
      </c>
      <c r="U50">
        <v>4.9861381592941089E-6</v>
      </c>
      <c r="V50" t="s">
        <v>157</v>
      </c>
    </row>
    <row r="51" spans="9:22" x14ac:dyDescent="0.45">
      <c r="I51" t="s">
        <v>161</v>
      </c>
      <c r="J51" t="s">
        <v>226</v>
      </c>
      <c r="K51">
        <v>0</v>
      </c>
      <c r="L51" t="s">
        <v>157</v>
      </c>
      <c r="N51" t="s">
        <v>178</v>
      </c>
      <c r="O51" t="s">
        <v>226</v>
      </c>
      <c r="P51">
        <v>5.3202848271301473E-6</v>
      </c>
      <c r="Q51" t="s">
        <v>157</v>
      </c>
      <c r="S51" t="s">
        <v>183</v>
      </c>
      <c r="T51" t="s">
        <v>226</v>
      </c>
      <c r="U51">
        <v>5.3202848271301473E-6</v>
      </c>
      <c r="V51" t="s">
        <v>157</v>
      </c>
    </row>
    <row r="52" spans="9:22" x14ac:dyDescent="0.45">
      <c r="I52" t="s">
        <v>161</v>
      </c>
      <c r="J52" t="s">
        <v>227</v>
      </c>
      <c r="K52">
        <v>6.2119983257031181E-5</v>
      </c>
      <c r="L52" t="s">
        <v>157</v>
      </c>
      <c r="N52" t="s">
        <v>178</v>
      </c>
      <c r="O52" t="s">
        <v>227</v>
      </c>
      <c r="P52">
        <v>1.6958867644419886E-5</v>
      </c>
      <c r="Q52" t="s">
        <v>157</v>
      </c>
      <c r="S52" t="s">
        <v>183</v>
      </c>
      <c r="T52" t="s">
        <v>227</v>
      </c>
      <c r="U52">
        <v>1.6958867644419886E-5</v>
      </c>
      <c r="V52" t="s">
        <v>157</v>
      </c>
    </row>
    <row r="53" spans="9:22" x14ac:dyDescent="0.45">
      <c r="I53" t="s">
        <v>161</v>
      </c>
      <c r="J53" t="s">
        <v>228</v>
      </c>
      <c r="K53">
        <v>1.5894193454561403E-4</v>
      </c>
      <c r="L53" t="s">
        <v>157</v>
      </c>
      <c r="N53" t="s">
        <v>178</v>
      </c>
      <c r="O53" t="s">
        <v>228</v>
      </c>
      <c r="P53">
        <v>8.0988464358574494E-7</v>
      </c>
      <c r="Q53" t="s">
        <v>157</v>
      </c>
      <c r="S53" t="s">
        <v>183</v>
      </c>
      <c r="T53" t="s">
        <v>228</v>
      </c>
      <c r="U53">
        <v>8.0988464358574494E-7</v>
      </c>
      <c r="V53" t="s">
        <v>157</v>
      </c>
    </row>
    <row r="54" spans="9:22" x14ac:dyDescent="0.45">
      <c r="I54" t="s">
        <v>161</v>
      </c>
      <c r="J54" t="s">
        <v>229</v>
      </c>
      <c r="K54">
        <v>2.8599099486084796E-4</v>
      </c>
      <c r="L54" t="s">
        <v>157</v>
      </c>
      <c r="N54" t="s">
        <v>178</v>
      </c>
      <c r="O54" t="s">
        <v>229</v>
      </c>
      <c r="P54">
        <v>3.9018588713480714E-5</v>
      </c>
      <c r="Q54" t="s">
        <v>157</v>
      </c>
      <c r="S54" t="s">
        <v>183</v>
      </c>
      <c r="T54" t="s">
        <v>229</v>
      </c>
      <c r="U54">
        <v>3.9018588713480714E-5</v>
      </c>
      <c r="V54" t="s">
        <v>157</v>
      </c>
    </row>
    <row r="55" spans="9:22" x14ac:dyDescent="0.45">
      <c r="I55" t="s">
        <v>161</v>
      </c>
      <c r="J55" t="s">
        <v>230</v>
      </c>
      <c r="K55">
        <v>3.266129642861661E-4</v>
      </c>
      <c r="L55" t="s">
        <v>157</v>
      </c>
      <c r="N55" t="s">
        <v>178</v>
      </c>
      <c r="O55" t="s">
        <v>230</v>
      </c>
      <c r="P55">
        <v>8.7396465760692846E-5</v>
      </c>
      <c r="Q55" t="s">
        <v>157</v>
      </c>
      <c r="S55" t="s">
        <v>183</v>
      </c>
      <c r="T55" t="s">
        <v>230</v>
      </c>
      <c r="U55">
        <v>8.7396465760692846E-5</v>
      </c>
      <c r="V55" t="s">
        <v>157</v>
      </c>
    </row>
    <row r="56" spans="9:22" x14ac:dyDescent="0.45">
      <c r="I56" t="s">
        <v>161</v>
      </c>
      <c r="J56" t="s">
        <v>231</v>
      </c>
      <c r="K56">
        <v>3.1550883078505559E-4</v>
      </c>
      <c r="L56" t="s">
        <v>157</v>
      </c>
      <c r="N56" t="s">
        <v>178</v>
      </c>
      <c r="O56" t="s">
        <v>231</v>
      </c>
      <c r="P56">
        <v>9.8140887791862221E-5</v>
      </c>
      <c r="Q56" t="s">
        <v>157</v>
      </c>
      <c r="S56" t="s">
        <v>183</v>
      </c>
      <c r="T56" t="s">
        <v>231</v>
      </c>
      <c r="U56">
        <v>9.8140887791862221E-5</v>
      </c>
      <c r="V56" t="s">
        <v>157</v>
      </c>
    </row>
    <row r="57" spans="9:22" x14ac:dyDescent="0.45">
      <c r="I57" t="s">
        <v>161</v>
      </c>
      <c r="J57" t="s">
        <v>232</v>
      </c>
      <c r="K57">
        <v>3.3712190977713808E-4</v>
      </c>
      <c r="L57" t="s">
        <v>157</v>
      </c>
      <c r="N57" t="s">
        <v>178</v>
      </c>
      <c r="O57" t="s">
        <v>232</v>
      </c>
      <c r="P57">
        <v>8.7303497945313469E-5</v>
      </c>
      <c r="Q57" t="s">
        <v>157</v>
      </c>
      <c r="S57" t="s">
        <v>183</v>
      </c>
      <c r="T57" t="s">
        <v>232</v>
      </c>
      <c r="U57">
        <v>8.7303497945313469E-5</v>
      </c>
      <c r="V57" t="s">
        <v>157</v>
      </c>
    </row>
    <row r="58" spans="9:22" x14ac:dyDescent="0.45">
      <c r="I58" t="s">
        <v>161</v>
      </c>
      <c r="J58" t="s">
        <v>233</v>
      </c>
      <c r="K58">
        <v>2.8590703254641718E-4</v>
      </c>
      <c r="L58" t="s">
        <v>157</v>
      </c>
      <c r="N58" t="s">
        <v>178</v>
      </c>
      <c r="O58" t="s">
        <v>233</v>
      </c>
      <c r="P58">
        <v>8.2545510830791936E-5</v>
      </c>
      <c r="Q58" t="s">
        <v>157</v>
      </c>
      <c r="S58" t="s">
        <v>183</v>
      </c>
      <c r="T58" t="s">
        <v>233</v>
      </c>
      <c r="U58">
        <v>8.2545510830791936E-5</v>
      </c>
      <c r="V58" t="s">
        <v>157</v>
      </c>
    </row>
    <row r="59" spans="9:22" x14ac:dyDescent="0.45">
      <c r="I59" t="s">
        <v>161</v>
      </c>
      <c r="J59" t="s">
        <v>234</v>
      </c>
      <c r="K59">
        <v>3.1160652256195906E-4</v>
      </c>
      <c r="L59" t="s">
        <v>157</v>
      </c>
      <c r="N59" t="s">
        <v>178</v>
      </c>
      <c r="O59" t="s">
        <v>234</v>
      </c>
      <c r="P59">
        <v>8.762402026804393E-5</v>
      </c>
      <c r="Q59" t="s">
        <v>157</v>
      </c>
      <c r="S59" t="s">
        <v>183</v>
      </c>
      <c r="T59" t="s">
        <v>234</v>
      </c>
      <c r="U59">
        <v>8.762402026804393E-5</v>
      </c>
      <c r="V59" t="s">
        <v>157</v>
      </c>
    </row>
    <row r="60" spans="9:22" x14ac:dyDescent="0.45">
      <c r="I60" t="s">
        <v>161</v>
      </c>
      <c r="J60" t="s">
        <v>235</v>
      </c>
      <c r="K60">
        <v>2.9479049714174489E-4</v>
      </c>
      <c r="L60" t="s">
        <v>157</v>
      </c>
      <c r="N60" t="s">
        <v>178</v>
      </c>
      <c r="O60" t="s">
        <v>235</v>
      </c>
      <c r="P60">
        <v>9.8969046957348838E-5</v>
      </c>
      <c r="Q60" t="s">
        <v>157</v>
      </c>
      <c r="S60" t="s">
        <v>183</v>
      </c>
      <c r="T60" t="s">
        <v>235</v>
      </c>
      <c r="U60">
        <v>9.8969046957348838E-5</v>
      </c>
      <c r="V60" t="s">
        <v>157</v>
      </c>
    </row>
    <row r="61" spans="9:22" x14ac:dyDescent="0.45">
      <c r="I61" t="s">
        <v>161</v>
      </c>
      <c r="J61" t="s">
        <v>236</v>
      </c>
      <c r="K61">
        <v>3.2997985534134299E-4</v>
      </c>
      <c r="L61" t="s">
        <v>157</v>
      </c>
      <c r="N61" t="s">
        <v>178</v>
      </c>
      <c r="O61" t="s">
        <v>236</v>
      </c>
      <c r="P61">
        <v>1.1476878485862534E-4</v>
      </c>
      <c r="Q61" t="s">
        <v>157</v>
      </c>
      <c r="S61" t="s">
        <v>183</v>
      </c>
      <c r="T61" t="s">
        <v>236</v>
      </c>
      <c r="U61">
        <v>1.1476878485862534E-4</v>
      </c>
      <c r="V61" t="s">
        <v>157</v>
      </c>
    </row>
    <row r="62" spans="9:22" x14ac:dyDescent="0.45">
      <c r="I62" t="s">
        <v>161</v>
      </c>
      <c r="J62" t="s">
        <v>237</v>
      </c>
      <c r="K62">
        <v>2.7016293097042131E-4</v>
      </c>
      <c r="L62" t="s">
        <v>157</v>
      </c>
      <c r="N62" t="s">
        <v>178</v>
      </c>
      <c r="O62" t="s">
        <v>237</v>
      </c>
      <c r="P62">
        <v>1.3165677724283746E-4</v>
      </c>
      <c r="Q62" t="s">
        <v>157</v>
      </c>
      <c r="S62" t="s">
        <v>183</v>
      </c>
      <c r="T62" t="s">
        <v>237</v>
      </c>
      <c r="U62">
        <v>1.3165677724283746E-4</v>
      </c>
      <c r="V62" t="s">
        <v>157</v>
      </c>
    </row>
    <row r="63" spans="9:22" x14ac:dyDescent="0.45">
      <c r="I63" t="s">
        <v>161</v>
      </c>
      <c r="J63" t="s">
        <v>238</v>
      </c>
      <c r="K63">
        <v>1.7226107054768602E-4</v>
      </c>
      <c r="L63" t="s">
        <v>157</v>
      </c>
      <c r="N63" t="s">
        <v>178</v>
      </c>
      <c r="O63" t="s">
        <v>238</v>
      </c>
      <c r="P63">
        <v>1.6730609370920919E-4</v>
      </c>
      <c r="Q63" t="s">
        <v>157</v>
      </c>
      <c r="S63" t="s">
        <v>183</v>
      </c>
      <c r="T63" t="s">
        <v>238</v>
      </c>
      <c r="U63">
        <v>1.6730609370920919E-4</v>
      </c>
      <c r="V63" t="s">
        <v>157</v>
      </c>
    </row>
    <row r="64" spans="9:22" x14ac:dyDescent="0.45">
      <c r="I64" t="s">
        <v>161</v>
      </c>
      <c r="J64" t="s">
        <v>239</v>
      </c>
      <c r="K64">
        <v>0</v>
      </c>
      <c r="L64" t="s">
        <v>157</v>
      </c>
      <c r="N64" t="s">
        <v>178</v>
      </c>
      <c r="O64" t="s">
        <v>239</v>
      </c>
      <c r="P64">
        <v>1.971379880294438E-4</v>
      </c>
      <c r="Q64" t="s">
        <v>157</v>
      </c>
      <c r="S64" t="s">
        <v>183</v>
      </c>
      <c r="T64" t="s">
        <v>239</v>
      </c>
      <c r="U64">
        <v>1.971379880294438E-4</v>
      </c>
      <c r="V64" t="s">
        <v>157</v>
      </c>
    </row>
    <row r="65" spans="9:22" x14ac:dyDescent="0.45">
      <c r="I65" t="s">
        <v>161</v>
      </c>
      <c r="J65" t="s">
        <v>240</v>
      </c>
      <c r="K65">
        <v>0</v>
      </c>
      <c r="L65" t="s">
        <v>157</v>
      </c>
      <c r="N65" t="s">
        <v>178</v>
      </c>
      <c r="O65" t="s">
        <v>240</v>
      </c>
      <c r="P65">
        <v>2.0771704231461986E-4</v>
      </c>
      <c r="Q65" t="s">
        <v>157</v>
      </c>
      <c r="S65" t="s">
        <v>183</v>
      </c>
      <c r="T65" t="s">
        <v>240</v>
      </c>
      <c r="U65">
        <v>2.0771704231461986E-4</v>
      </c>
      <c r="V65" t="s">
        <v>157</v>
      </c>
    </row>
    <row r="66" spans="9:22" x14ac:dyDescent="0.45">
      <c r="I66" t="s">
        <v>161</v>
      </c>
      <c r="J66" t="s">
        <v>241</v>
      </c>
      <c r="K66">
        <v>0</v>
      </c>
      <c r="L66" t="s">
        <v>157</v>
      </c>
      <c r="N66" t="s">
        <v>178</v>
      </c>
      <c r="O66" t="s">
        <v>241</v>
      </c>
      <c r="P66">
        <v>1.9781365241159062E-4</v>
      </c>
      <c r="Q66" t="s">
        <v>157</v>
      </c>
      <c r="S66" t="s">
        <v>183</v>
      </c>
      <c r="T66" t="s">
        <v>241</v>
      </c>
      <c r="U66">
        <v>1.9781365241159062E-4</v>
      </c>
      <c r="V66" t="s">
        <v>157</v>
      </c>
    </row>
    <row r="67" spans="9:22" x14ac:dyDescent="0.45">
      <c r="I67" t="s">
        <v>161</v>
      </c>
      <c r="J67" t="s">
        <v>242</v>
      </c>
      <c r="K67">
        <v>0</v>
      </c>
      <c r="L67" t="s">
        <v>157</v>
      </c>
      <c r="N67" t="s">
        <v>178</v>
      </c>
      <c r="O67" t="s">
        <v>242</v>
      </c>
      <c r="P67">
        <v>1.6283774994686981E-4</v>
      </c>
      <c r="Q67" t="s">
        <v>157</v>
      </c>
      <c r="S67" t="s">
        <v>183</v>
      </c>
      <c r="T67" t="s">
        <v>242</v>
      </c>
      <c r="U67">
        <v>1.6283774994686981E-4</v>
      </c>
      <c r="V67" t="s">
        <v>157</v>
      </c>
    </row>
    <row r="68" spans="9:22" x14ac:dyDescent="0.45">
      <c r="I68" t="s">
        <v>161</v>
      </c>
      <c r="J68" t="s">
        <v>243</v>
      </c>
      <c r="K68">
        <v>0</v>
      </c>
      <c r="L68" t="s">
        <v>157</v>
      </c>
      <c r="N68" t="s">
        <v>178</v>
      </c>
      <c r="O68" t="s">
        <v>243</v>
      </c>
      <c r="P68">
        <v>1.2185127364708361E-4</v>
      </c>
      <c r="Q68" t="s">
        <v>157</v>
      </c>
      <c r="S68" t="s">
        <v>183</v>
      </c>
      <c r="T68" t="s">
        <v>243</v>
      </c>
      <c r="U68">
        <v>1.2185127364708361E-4</v>
      </c>
      <c r="V68" t="s">
        <v>157</v>
      </c>
    </row>
    <row r="69" spans="9:22" x14ac:dyDescent="0.45">
      <c r="I69" t="s">
        <v>162</v>
      </c>
      <c r="J69" t="s">
        <v>156</v>
      </c>
      <c r="K69">
        <v>0.99677325605599698</v>
      </c>
      <c r="L69" t="s">
        <v>157</v>
      </c>
      <c r="N69" t="s">
        <v>179</v>
      </c>
      <c r="O69" t="s">
        <v>156</v>
      </c>
      <c r="P69">
        <v>0.80473031063517697</v>
      </c>
      <c r="Q69" t="s">
        <v>157</v>
      </c>
      <c r="S69" t="s">
        <v>184</v>
      </c>
      <c r="T69" t="s">
        <v>156</v>
      </c>
      <c r="U69">
        <v>0.80473031063517697</v>
      </c>
      <c r="V69" t="s">
        <v>157</v>
      </c>
    </row>
    <row r="70" spans="9:22" x14ac:dyDescent="0.45">
      <c r="I70" t="s">
        <v>162</v>
      </c>
      <c r="J70" t="s">
        <v>158</v>
      </c>
      <c r="K70">
        <v>0</v>
      </c>
      <c r="L70" t="s">
        <v>157</v>
      </c>
      <c r="N70" t="s">
        <v>179</v>
      </c>
      <c r="O70" t="s">
        <v>158</v>
      </c>
      <c r="P70">
        <v>5.8347328274326975E-2</v>
      </c>
      <c r="Q70" t="s">
        <v>157</v>
      </c>
      <c r="S70" t="s">
        <v>184</v>
      </c>
      <c r="T70" t="s">
        <v>158</v>
      </c>
      <c r="U70">
        <v>5.8347328274326975E-2</v>
      </c>
      <c r="V70" t="s">
        <v>157</v>
      </c>
    </row>
    <row r="71" spans="9:22" x14ac:dyDescent="0.45">
      <c r="I71" t="s">
        <v>162</v>
      </c>
      <c r="J71" t="s">
        <v>159</v>
      </c>
      <c r="K71">
        <v>0</v>
      </c>
      <c r="L71" t="s">
        <v>157</v>
      </c>
      <c r="N71" t="s">
        <v>179</v>
      </c>
      <c r="O71" t="s">
        <v>159</v>
      </c>
      <c r="P71">
        <v>5.320656020077702E-2</v>
      </c>
      <c r="Q71" t="s">
        <v>157</v>
      </c>
      <c r="S71" t="s">
        <v>184</v>
      </c>
      <c r="T71" t="s">
        <v>159</v>
      </c>
      <c r="U71">
        <v>5.320656020077702E-2</v>
      </c>
      <c r="V71" t="s">
        <v>157</v>
      </c>
    </row>
    <row r="72" spans="9:22" x14ac:dyDescent="0.45">
      <c r="I72" t="s">
        <v>162</v>
      </c>
      <c r="J72" t="s">
        <v>160</v>
      </c>
      <c r="K72">
        <v>0</v>
      </c>
      <c r="L72" t="s">
        <v>157</v>
      </c>
      <c r="N72" t="s">
        <v>179</v>
      </c>
      <c r="O72" t="s">
        <v>160</v>
      </c>
      <c r="P72">
        <v>4.4400691014790633E-2</v>
      </c>
      <c r="Q72" t="s">
        <v>157</v>
      </c>
      <c r="S72" t="s">
        <v>184</v>
      </c>
      <c r="T72" t="s">
        <v>160</v>
      </c>
      <c r="U72">
        <v>4.4400691014790633E-2</v>
      </c>
      <c r="V72" t="s">
        <v>157</v>
      </c>
    </row>
    <row r="73" spans="9:22" x14ac:dyDescent="0.45">
      <c r="I73" t="s">
        <v>162</v>
      </c>
      <c r="J73" t="s">
        <v>193</v>
      </c>
      <c r="K73">
        <v>0</v>
      </c>
      <c r="L73" t="s">
        <v>157</v>
      </c>
      <c r="N73" t="s">
        <v>179</v>
      </c>
      <c r="O73" t="s">
        <v>193</v>
      </c>
      <c r="P73">
        <v>3.6089276513762016E-2</v>
      </c>
      <c r="Q73" t="s">
        <v>157</v>
      </c>
      <c r="S73" t="s">
        <v>184</v>
      </c>
      <c r="T73" t="s">
        <v>193</v>
      </c>
      <c r="U73">
        <v>3.6089276513762016E-2</v>
      </c>
      <c r="V73" t="s">
        <v>157</v>
      </c>
    </row>
    <row r="74" spans="9:22" x14ac:dyDescent="0.45">
      <c r="I74" t="s">
        <v>162</v>
      </c>
      <c r="J74" t="s">
        <v>220</v>
      </c>
      <c r="K74">
        <v>0</v>
      </c>
      <c r="L74" t="s">
        <v>157</v>
      </c>
      <c r="N74" t="s">
        <v>179</v>
      </c>
      <c r="O74" t="s">
        <v>220</v>
      </c>
      <c r="P74">
        <v>2.1955313571267455E-5</v>
      </c>
      <c r="Q74" t="s">
        <v>157</v>
      </c>
      <c r="S74" t="s">
        <v>184</v>
      </c>
      <c r="T74" t="s">
        <v>220</v>
      </c>
      <c r="U74">
        <v>2.1955313571267455E-5</v>
      </c>
      <c r="V74" t="s">
        <v>157</v>
      </c>
    </row>
    <row r="75" spans="9:22" x14ac:dyDescent="0.45">
      <c r="I75" t="s">
        <v>162</v>
      </c>
      <c r="J75" t="s">
        <v>221</v>
      </c>
      <c r="K75">
        <v>0</v>
      </c>
      <c r="L75" t="s">
        <v>157</v>
      </c>
      <c r="N75" t="s">
        <v>179</v>
      </c>
      <c r="O75" t="s">
        <v>221</v>
      </c>
      <c r="P75">
        <v>7.6647510669104944E-5</v>
      </c>
      <c r="Q75" t="s">
        <v>157</v>
      </c>
      <c r="S75" t="s">
        <v>184</v>
      </c>
      <c r="T75" t="s">
        <v>221</v>
      </c>
      <c r="U75">
        <v>7.6647510669104944E-5</v>
      </c>
      <c r="V75" t="s">
        <v>157</v>
      </c>
    </row>
    <row r="76" spans="9:22" x14ac:dyDescent="0.45">
      <c r="I76" t="s">
        <v>162</v>
      </c>
      <c r="J76" t="s">
        <v>222</v>
      </c>
      <c r="K76">
        <v>0</v>
      </c>
      <c r="L76" t="s">
        <v>157</v>
      </c>
      <c r="N76" t="s">
        <v>179</v>
      </c>
      <c r="O76" t="s">
        <v>222</v>
      </c>
      <c r="P76">
        <v>1.3937405361818253E-6</v>
      </c>
      <c r="Q76" t="s">
        <v>157</v>
      </c>
      <c r="S76" t="s">
        <v>184</v>
      </c>
      <c r="T76" t="s">
        <v>222</v>
      </c>
      <c r="U76">
        <v>1.3937405361818253E-6</v>
      </c>
      <c r="V76" t="s">
        <v>157</v>
      </c>
    </row>
    <row r="77" spans="9:22" x14ac:dyDescent="0.45">
      <c r="I77" t="s">
        <v>162</v>
      </c>
      <c r="J77" t="s">
        <v>223</v>
      </c>
      <c r="K77">
        <v>0</v>
      </c>
      <c r="L77" t="s">
        <v>157</v>
      </c>
      <c r="N77" t="s">
        <v>179</v>
      </c>
      <c r="O77" t="s">
        <v>223</v>
      </c>
      <c r="P77">
        <v>5.4388838257306631E-6</v>
      </c>
      <c r="Q77" t="s">
        <v>157</v>
      </c>
      <c r="S77" t="s">
        <v>184</v>
      </c>
      <c r="T77" t="s">
        <v>223</v>
      </c>
      <c r="U77">
        <v>5.4388838257306631E-6</v>
      </c>
      <c r="V77" t="s">
        <v>157</v>
      </c>
    </row>
    <row r="78" spans="9:22" x14ac:dyDescent="0.45">
      <c r="I78" t="s">
        <v>162</v>
      </c>
      <c r="J78" t="s">
        <v>224</v>
      </c>
      <c r="K78">
        <v>0</v>
      </c>
      <c r="L78" t="s">
        <v>157</v>
      </c>
      <c r="N78" t="s">
        <v>179</v>
      </c>
      <c r="O78" t="s">
        <v>224</v>
      </c>
      <c r="P78">
        <v>6.4024296418853198E-7</v>
      </c>
      <c r="Q78" t="s">
        <v>157</v>
      </c>
      <c r="S78" t="s">
        <v>184</v>
      </c>
      <c r="T78" t="s">
        <v>224</v>
      </c>
      <c r="U78">
        <v>6.4024296418853198E-7</v>
      </c>
      <c r="V78" t="s">
        <v>157</v>
      </c>
    </row>
    <row r="79" spans="9:22" x14ac:dyDescent="0.45">
      <c r="I79" t="s">
        <v>162</v>
      </c>
      <c r="J79" t="s">
        <v>225</v>
      </c>
      <c r="K79">
        <v>0</v>
      </c>
      <c r="L79" t="s">
        <v>157</v>
      </c>
      <c r="N79" t="s">
        <v>179</v>
      </c>
      <c r="O79" t="s">
        <v>225</v>
      </c>
      <c r="P79">
        <v>5.913327879039419E-7</v>
      </c>
      <c r="Q79" t="s">
        <v>157</v>
      </c>
      <c r="S79" t="s">
        <v>184</v>
      </c>
      <c r="T79" t="s">
        <v>225</v>
      </c>
      <c r="U79">
        <v>5.913327879039419E-7</v>
      </c>
      <c r="V79" t="s">
        <v>157</v>
      </c>
    </row>
    <row r="80" spans="9:22" x14ac:dyDescent="0.45">
      <c r="I80" t="s">
        <v>162</v>
      </c>
      <c r="J80" t="s">
        <v>226</v>
      </c>
      <c r="K80">
        <v>0</v>
      </c>
      <c r="L80" t="s">
        <v>157</v>
      </c>
      <c r="N80" t="s">
        <v>179</v>
      </c>
      <c r="O80" t="s">
        <v>226</v>
      </c>
      <c r="P80">
        <v>4.0827198564375419E-7</v>
      </c>
      <c r="Q80" t="s">
        <v>157</v>
      </c>
      <c r="S80" t="s">
        <v>184</v>
      </c>
      <c r="T80" t="s">
        <v>226</v>
      </c>
      <c r="U80">
        <v>4.0827198564375419E-7</v>
      </c>
      <c r="V80" t="s">
        <v>157</v>
      </c>
    </row>
    <row r="81" spans="9:22" x14ac:dyDescent="0.45">
      <c r="I81" t="s">
        <v>162</v>
      </c>
      <c r="J81" t="s">
        <v>227</v>
      </c>
      <c r="K81">
        <v>1.4796647392918019E-4</v>
      </c>
      <c r="L81" t="s">
        <v>157</v>
      </c>
      <c r="N81" t="s">
        <v>179</v>
      </c>
      <c r="O81" t="s">
        <v>227</v>
      </c>
      <c r="P81">
        <v>2.8581462816553363E-7</v>
      </c>
      <c r="Q81" t="s">
        <v>157</v>
      </c>
      <c r="S81" t="s">
        <v>184</v>
      </c>
      <c r="T81" t="s">
        <v>227</v>
      </c>
      <c r="U81">
        <v>2.8581462816553363E-7</v>
      </c>
      <c r="V81" t="s">
        <v>157</v>
      </c>
    </row>
    <row r="82" spans="9:22" x14ac:dyDescent="0.45">
      <c r="I82" t="s">
        <v>162</v>
      </c>
      <c r="J82" t="s">
        <v>228</v>
      </c>
      <c r="K82">
        <v>2.4232636681076222E-4</v>
      </c>
      <c r="L82" t="s">
        <v>157</v>
      </c>
      <c r="N82" t="s">
        <v>179</v>
      </c>
      <c r="O82" t="s">
        <v>228</v>
      </c>
      <c r="P82">
        <v>0</v>
      </c>
      <c r="Q82" t="s">
        <v>157</v>
      </c>
      <c r="S82" t="s">
        <v>184</v>
      </c>
      <c r="T82" t="s">
        <v>228</v>
      </c>
      <c r="U82">
        <v>0</v>
      </c>
      <c r="V82" t="s">
        <v>157</v>
      </c>
    </row>
    <row r="83" spans="9:22" x14ac:dyDescent="0.45">
      <c r="I83" t="s">
        <v>162</v>
      </c>
      <c r="J83" t="s">
        <v>229</v>
      </c>
      <c r="K83">
        <v>3.0825401415529948E-4</v>
      </c>
      <c r="L83" t="s">
        <v>157</v>
      </c>
      <c r="N83" t="s">
        <v>179</v>
      </c>
      <c r="O83" t="s">
        <v>229</v>
      </c>
      <c r="P83">
        <v>1.1034823197820367E-6</v>
      </c>
      <c r="Q83" t="s">
        <v>157</v>
      </c>
      <c r="S83" t="s">
        <v>184</v>
      </c>
      <c r="T83" t="s">
        <v>229</v>
      </c>
      <c r="U83">
        <v>1.1034823197820367E-6</v>
      </c>
      <c r="V83" t="s">
        <v>157</v>
      </c>
    </row>
    <row r="84" spans="9:22" x14ac:dyDescent="0.45">
      <c r="I84" t="s">
        <v>162</v>
      </c>
      <c r="J84" t="s">
        <v>230</v>
      </c>
      <c r="K84">
        <v>3.7825904588256867E-4</v>
      </c>
      <c r="L84" t="s">
        <v>157</v>
      </c>
      <c r="N84" t="s">
        <v>179</v>
      </c>
      <c r="O84" t="s">
        <v>230</v>
      </c>
      <c r="P84">
        <v>9.8849424422231113E-5</v>
      </c>
      <c r="Q84" t="s">
        <v>157</v>
      </c>
      <c r="S84" t="s">
        <v>184</v>
      </c>
      <c r="T84" t="s">
        <v>230</v>
      </c>
      <c r="U84">
        <v>9.8849424422231113E-5</v>
      </c>
      <c r="V84" t="s">
        <v>157</v>
      </c>
    </row>
    <row r="85" spans="9:22" x14ac:dyDescent="0.45">
      <c r="I85" t="s">
        <v>162</v>
      </c>
      <c r="J85" t="s">
        <v>231</v>
      </c>
      <c r="K85">
        <v>3.6482573332384061E-4</v>
      </c>
      <c r="L85" t="s">
        <v>157</v>
      </c>
      <c r="N85" t="s">
        <v>179</v>
      </c>
      <c r="O85" t="s">
        <v>231</v>
      </c>
      <c r="P85">
        <v>1.3630370714357923E-4</v>
      </c>
      <c r="Q85" t="s">
        <v>157</v>
      </c>
      <c r="S85" t="s">
        <v>184</v>
      </c>
      <c r="T85" t="s">
        <v>231</v>
      </c>
      <c r="U85">
        <v>1.3630370714357923E-4</v>
      </c>
      <c r="V85" t="s">
        <v>157</v>
      </c>
    </row>
    <row r="86" spans="9:22" x14ac:dyDescent="0.45">
      <c r="I86" t="s">
        <v>162</v>
      </c>
      <c r="J86" t="s">
        <v>232</v>
      </c>
      <c r="K86">
        <v>3.6157615323267607E-4</v>
      </c>
      <c r="L86" t="s">
        <v>157</v>
      </c>
      <c r="N86" t="s">
        <v>179</v>
      </c>
      <c r="O86" t="s">
        <v>232</v>
      </c>
      <c r="P86">
        <v>1.4635157617200515E-4</v>
      </c>
      <c r="Q86" t="s">
        <v>157</v>
      </c>
      <c r="S86" t="s">
        <v>184</v>
      </c>
      <c r="T86" t="s">
        <v>232</v>
      </c>
      <c r="U86">
        <v>1.4635157617200515E-4</v>
      </c>
      <c r="V86" t="s">
        <v>157</v>
      </c>
    </row>
    <row r="87" spans="9:22" x14ac:dyDescent="0.45">
      <c r="I87" t="s">
        <v>162</v>
      </c>
      <c r="J87" t="s">
        <v>233</v>
      </c>
      <c r="K87">
        <v>3.0449362472160244E-4</v>
      </c>
      <c r="L87" t="s">
        <v>157</v>
      </c>
      <c r="N87" t="s">
        <v>179</v>
      </c>
      <c r="O87" t="s">
        <v>233</v>
      </c>
      <c r="P87">
        <v>1.4347699372525063E-4</v>
      </c>
      <c r="Q87" t="s">
        <v>157</v>
      </c>
      <c r="S87" t="s">
        <v>184</v>
      </c>
      <c r="T87" t="s">
        <v>233</v>
      </c>
      <c r="U87">
        <v>1.4347699372525063E-4</v>
      </c>
      <c r="V87" t="s">
        <v>157</v>
      </c>
    </row>
    <row r="88" spans="9:22" x14ac:dyDescent="0.45">
      <c r="I88" t="s">
        <v>162</v>
      </c>
      <c r="J88" t="s">
        <v>234</v>
      </c>
      <c r="K88">
        <v>2.8613278181860121E-4</v>
      </c>
      <c r="L88" t="s">
        <v>157</v>
      </c>
      <c r="N88" t="s">
        <v>179</v>
      </c>
      <c r="O88" t="s">
        <v>234</v>
      </c>
      <c r="P88">
        <v>1.4328099638233642E-4</v>
      </c>
      <c r="Q88" t="s">
        <v>157</v>
      </c>
      <c r="S88" t="s">
        <v>184</v>
      </c>
      <c r="T88" t="s">
        <v>234</v>
      </c>
      <c r="U88">
        <v>1.4328099638233642E-4</v>
      </c>
      <c r="V88" t="s">
        <v>157</v>
      </c>
    </row>
    <row r="89" spans="9:22" x14ac:dyDescent="0.45">
      <c r="I89" t="s">
        <v>162</v>
      </c>
      <c r="J89" t="s">
        <v>235</v>
      </c>
      <c r="K89">
        <v>2.4738022394659256E-4</v>
      </c>
      <c r="L89" t="s">
        <v>157</v>
      </c>
      <c r="N89" t="s">
        <v>179</v>
      </c>
      <c r="O89" t="s">
        <v>235</v>
      </c>
      <c r="P89">
        <v>1.5658156692126182E-4</v>
      </c>
      <c r="Q89" t="s">
        <v>157</v>
      </c>
      <c r="S89" t="s">
        <v>184</v>
      </c>
      <c r="T89" t="s">
        <v>235</v>
      </c>
      <c r="U89">
        <v>1.5658156692126182E-4</v>
      </c>
      <c r="V89" t="s">
        <v>157</v>
      </c>
    </row>
    <row r="90" spans="9:22" x14ac:dyDescent="0.45">
      <c r="I90" t="s">
        <v>162</v>
      </c>
      <c r="J90" t="s">
        <v>236</v>
      </c>
      <c r="K90">
        <v>2.6747078523866214E-4</v>
      </c>
      <c r="L90" t="s">
        <v>157</v>
      </c>
      <c r="N90" t="s">
        <v>179</v>
      </c>
      <c r="O90" t="s">
        <v>236</v>
      </c>
      <c r="P90">
        <v>1.663580671739269E-4</v>
      </c>
      <c r="Q90" t="s">
        <v>157</v>
      </c>
      <c r="S90" t="s">
        <v>184</v>
      </c>
      <c r="T90" t="s">
        <v>236</v>
      </c>
      <c r="U90">
        <v>1.663580671739269E-4</v>
      </c>
      <c r="V90" t="s">
        <v>157</v>
      </c>
    </row>
    <row r="91" spans="9:22" x14ac:dyDescent="0.45">
      <c r="I91" t="s">
        <v>162</v>
      </c>
      <c r="J91" t="s">
        <v>237</v>
      </c>
      <c r="K91">
        <v>1.8753598340741405E-4</v>
      </c>
      <c r="L91" t="s">
        <v>157</v>
      </c>
      <c r="N91" t="s">
        <v>179</v>
      </c>
      <c r="O91" t="s">
        <v>237</v>
      </c>
      <c r="P91">
        <v>2.0267492571378386E-4</v>
      </c>
      <c r="Q91" t="s">
        <v>157</v>
      </c>
      <c r="S91" t="s">
        <v>184</v>
      </c>
      <c r="T91" t="s">
        <v>237</v>
      </c>
      <c r="U91">
        <v>2.0267492571378386E-4</v>
      </c>
      <c r="V91" t="s">
        <v>157</v>
      </c>
    </row>
    <row r="92" spans="9:22" x14ac:dyDescent="0.45">
      <c r="I92" t="s">
        <v>162</v>
      </c>
      <c r="J92" t="s">
        <v>238</v>
      </c>
      <c r="K92">
        <v>1.3052275753716491E-4</v>
      </c>
      <c r="L92" t="s">
        <v>157</v>
      </c>
      <c r="N92" t="s">
        <v>179</v>
      </c>
      <c r="O92" t="s">
        <v>238</v>
      </c>
      <c r="P92">
        <v>2.9263308736942451E-4</v>
      </c>
      <c r="Q92" t="s">
        <v>157</v>
      </c>
      <c r="S92" t="s">
        <v>184</v>
      </c>
      <c r="T92" t="s">
        <v>238</v>
      </c>
      <c r="U92">
        <v>2.9263308736942451E-4</v>
      </c>
      <c r="V92" t="s">
        <v>157</v>
      </c>
    </row>
    <row r="93" spans="9:22" x14ac:dyDescent="0.45">
      <c r="I93" t="s">
        <v>162</v>
      </c>
      <c r="J93" t="s">
        <v>239</v>
      </c>
      <c r="K93">
        <v>0</v>
      </c>
      <c r="L93" t="s">
        <v>157</v>
      </c>
      <c r="N93" t="s">
        <v>179</v>
      </c>
      <c r="O93" t="s">
        <v>239</v>
      </c>
      <c r="P93">
        <v>3.6462284697596397E-4</v>
      </c>
      <c r="Q93" t="s">
        <v>157</v>
      </c>
      <c r="S93" t="s">
        <v>184</v>
      </c>
      <c r="T93" t="s">
        <v>239</v>
      </c>
      <c r="U93">
        <v>3.6462284697596397E-4</v>
      </c>
      <c r="V93" t="s">
        <v>157</v>
      </c>
    </row>
    <row r="94" spans="9:22" x14ac:dyDescent="0.45">
      <c r="I94" t="s">
        <v>162</v>
      </c>
      <c r="J94" t="s">
        <v>240</v>
      </c>
      <c r="K94">
        <v>0</v>
      </c>
      <c r="L94" t="s">
        <v>157</v>
      </c>
      <c r="N94" t="s">
        <v>179</v>
      </c>
      <c r="O94" t="s">
        <v>240</v>
      </c>
      <c r="P94">
        <v>3.8470067642441396E-4</v>
      </c>
      <c r="Q94" t="s">
        <v>157</v>
      </c>
      <c r="S94" t="s">
        <v>184</v>
      </c>
      <c r="T94" t="s">
        <v>240</v>
      </c>
      <c r="U94">
        <v>3.8470067642441396E-4</v>
      </c>
      <c r="V94" t="s">
        <v>157</v>
      </c>
    </row>
    <row r="95" spans="9:22" x14ac:dyDescent="0.45">
      <c r="I95" t="s">
        <v>162</v>
      </c>
      <c r="J95" t="s">
        <v>241</v>
      </c>
      <c r="K95">
        <v>0</v>
      </c>
      <c r="L95" t="s">
        <v>157</v>
      </c>
      <c r="N95" t="s">
        <v>179</v>
      </c>
      <c r="O95" t="s">
        <v>241</v>
      </c>
      <c r="P95">
        <v>3.6018655599363608E-4</v>
      </c>
      <c r="Q95" t="s">
        <v>157</v>
      </c>
      <c r="S95" t="s">
        <v>184</v>
      </c>
      <c r="T95" t="s">
        <v>241</v>
      </c>
      <c r="U95">
        <v>3.6018655599363608E-4</v>
      </c>
      <c r="V95" t="s">
        <v>157</v>
      </c>
    </row>
    <row r="96" spans="9:22" x14ac:dyDescent="0.45">
      <c r="I96" t="s">
        <v>162</v>
      </c>
      <c r="J96" t="s">
        <v>242</v>
      </c>
      <c r="K96">
        <v>0</v>
      </c>
      <c r="L96" t="s">
        <v>157</v>
      </c>
      <c r="N96" t="s">
        <v>179</v>
      </c>
      <c r="O96" t="s">
        <v>242</v>
      </c>
      <c r="P96">
        <v>2.9516622675395527E-4</v>
      </c>
      <c r="Q96" t="s">
        <v>157</v>
      </c>
      <c r="S96" t="s">
        <v>184</v>
      </c>
      <c r="T96" t="s">
        <v>242</v>
      </c>
      <c r="U96">
        <v>2.9516622675395527E-4</v>
      </c>
      <c r="V96" t="s">
        <v>157</v>
      </c>
    </row>
    <row r="97" spans="9:22" x14ac:dyDescent="0.45">
      <c r="I97" t="s">
        <v>162</v>
      </c>
      <c r="J97" t="s">
        <v>243</v>
      </c>
      <c r="K97">
        <v>0</v>
      </c>
      <c r="L97" t="s">
        <v>157</v>
      </c>
      <c r="N97" t="s">
        <v>179</v>
      </c>
      <c r="O97" t="s">
        <v>243</v>
      </c>
      <c r="P97">
        <v>2.2618211670663625E-4</v>
      </c>
      <c r="Q97" t="s">
        <v>157</v>
      </c>
      <c r="S97" t="s">
        <v>184</v>
      </c>
      <c r="T97" t="s">
        <v>243</v>
      </c>
      <c r="U97">
        <v>2.2618211670663625E-4</v>
      </c>
      <c r="V97" t="s">
        <v>157</v>
      </c>
    </row>
    <row r="98" spans="9:22" x14ac:dyDescent="0.45">
      <c r="I98" t="s">
        <v>163</v>
      </c>
      <c r="J98" t="s">
        <v>156</v>
      </c>
      <c r="K98">
        <v>0.99698889555816284</v>
      </c>
      <c r="L98" t="s">
        <v>157</v>
      </c>
      <c r="N98" t="s">
        <v>180</v>
      </c>
      <c r="O98" t="s">
        <v>156</v>
      </c>
      <c r="P98">
        <v>0.8462506573649089</v>
      </c>
      <c r="Q98" t="s">
        <v>157</v>
      </c>
      <c r="S98" t="s">
        <v>185</v>
      </c>
      <c r="T98" t="s">
        <v>156</v>
      </c>
      <c r="U98">
        <v>0.8462506573649089</v>
      </c>
      <c r="V98" t="s">
        <v>157</v>
      </c>
    </row>
    <row r="99" spans="9:22" x14ac:dyDescent="0.45">
      <c r="I99" t="s">
        <v>163</v>
      </c>
      <c r="J99" t="s">
        <v>158</v>
      </c>
      <c r="K99">
        <v>0</v>
      </c>
      <c r="L99" t="s">
        <v>157</v>
      </c>
      <c r="N99" t="s">
        <v>180</v>
      </c>
      <c r="O99" t="s">
        <v>158</v>
      </c>
      <c r="P99">
        <v>4.6161618929698923E-2</v>
      </c>
      <c r="Q99" t="s">
        <v>157</v>
      </c>
      <c r="S99" t="s">
        <v>185</v>
      </c>
      <c r="T99" t="s">
        <v>158</v>
      </c>
      <c r="U99">
        <v>4.6161618929698923E-2</v>
      </c>
      <c r="V99" t="s">
        <v>157</v>
      </c>
    </row>
    <row r="100" spans="9:22" x14ac:dyDescent="0.45">
      <c r="I100" t="s">
        <v>163</v>
      </c>
      <c r="J100" t="s">
        <v>159</v>
      </c>
      <c r="K100">
        <v>0</v>
      </c>
      <c r="L100" t="s">
        <v>157</v>
      </c>
      <c r="N100" t="s">
        <v>180</v>
      </c>
      <c r="O100" t="s">
        <v>159</v>
      </c>
      <c r="P100">
        <v>4.1586638297677662E-2</v>
      </c>
      <c r="Q100" t="s">
        <v>157</v>
      </c>
      <c r="S100" t="s">
        <v>185</v>
      </c>
      <c r="T100" t="s">
        <v>159</v>
      </c>
      <c r="U100">
        <v>4.1586638297677662E-2</v>
      </c>
      <c r="V100" t="s">
        <v>157</v>
      </c>
    </row>
    <row r="101" spans="9:22" x14ac:dyDescent="0.45">
      <c r="I101" t="s">
        <v>163</v>
      </c>
      <c r="J101" t="s">
        <v>160</v>
      </c>
      <c r="K101">
        <v>0</v>
      </c>
      <c r="L101" t="s">
        <v>157</v>
      </c>
      <c r="N101" t="s">
        <v>180</v>
      </c>
      <c r="O101" t="s">
        <v>160</v>
      </c>
      <c r="P101">
        <v>3.4630360090433694E-2</v>
      </c>
      <c r="Q101" t="s">
        <v>157</v>
      </c>
      <c r="S101" t="s">
        <v>185</v>
      </c>
      <c r="T101" t="s">
        <v>160</v>
      </c>
      <c r="U101">
        <v>3.4630360090433694E-2</v>
      </c>
      <c r="V101" t="s">
        <v>157</v>
      </c>
    </row>
    <row r="102" spans="9:22" x14ac:dyDescent="0.45">
      <c r="I102" t="s">
        <v>163</v>
      </c>
      <c r="J102" t="s">
        <v>193</v>
      </c>
      <c r="K102">
        <v>0</v>
      </c>
      <c r="L102" t="s">
        <v>157</v>
      </c>
      <c r="N102" t="s">
        <v>180</v>
      </c>
      <c r="O102" t="s">
        <v>193</v>
      </c>
      <c r="P102">
        <v>2.9161855973836845E-2</v>
      </c>
      <c r="Q102" t="s">
        <v>157</v>
      </c>
      <c r="S102" t="s">
        <v>185</v>
      </c>
      <c r="T102" t="s">
        <v>193</v>
      </c>
      <c r="U102">
        <v>2.9161855973836845E-2</v>
      </c>
      <c r="V102" t="s">
        <v>157</v>
      </c>
    </row>
    <row r="103" spans="9:22" x14ac:dyDescent="0.45">
      <c r="I103" t="s">
        <v>163</v>
      </c>
      <c r="J103" t="s">
        <v>220</v>
      </c>
      <c r="K103">
        <v>0</v>
      </c>
      <c r="L103" t="s">
        <v>157</v>
      </c>
      <c r="N103" t="s">
        <v>180</v>
      </c>
      <c r="O103" t="s">
        <v>220</v>
      </c>
      <c r="P103">
        <v>1.2213588100952471E-6</v>
      </c>
      <c r="Q103" t="s">
        <v>157</v>
      </c>
      <c r="S103" t="s">
        <v>185</v>
      </c>
      <c r="T103" t="s">
        <v>220</v>
      </c>
      <c r="U103">
        <v>1.2213588100952471E-6</v>
      </c>
      <c r="V103" t="s">
        <v>157</v>
      </c>
    </row>
    <row r="104" spans="9:22" x14ac:dyDescent="0.45">
      <c r="I104" t="s">
        <v>163</v>
      </c>
      <c r="J104" t="s">
        <v>221</v>
      </c>
      <c r="K104">
        <v>0</v>
      </c>
      <c r="L104" t="s">
        <v>157</v>
      </c>
      <c r="N104" t="s">
        <v>180</v>
      </c>
      <c r="O104" t="s">
        <v>221</v>
      </c>
      <c r="P104">
        <v>4.5287440662986002E-6</v>
      </c>
      <c r="Q104" t="s">
        <v>157</v>
      </c>
      <c r="S104" t="s">
        <v>185</v>
      </c>
      <c r="T104" t="s">
        <v>221</v>
      </c>
      <c r="U104">
        <v>4.5287440662986002E-6</v>
      </c>
      <c r="V104" t="s">
        <v>157</v>
      </c>
    </row>
    <row r="105" spans="9:22" x14ac:dyDescent="0.45">
      <c r="I105" t="s">
        <v>163</v>
      </c>
      <c r="J105" t="s">
        <v>222</v>
      </c>
      <c r="K105">
        <v>0</v>
      </c>
      <c r="L105" t="s">
        <v>157</v>
      </c>
      <c r="N105" t="s">
        <v>180</v>
      </c>
      <c r="O105" t="s">
        <v>222</v>
      </c>
      <c r="P105">
        <v>1.0113293756071696E-6</v>
      </c>
      <c r="Q105" t="s">
        <v>157</v>
      </c>
      <c r="S105" t="s">
        <v>185</v>
      </c>
      <c r="T105" t="s">
        <v>222</v>
      </c>
      <c r="U105">
        <v>1.0113293756071696E-6</v>
      </c>
      <c r="V105" t="s">
        <v>157</v>
      </c>
    </row>
    <row r="106" spans="9:22" x14ac:dyDescent="0.45">
      <c r="I106" t="s">
        <v>163</v>
      </c>
      <c r="J106" t="s">
        <v>223</v>
      </c>
      <c r="K106">
        <v>0</v>
      </c>
      <c r="L106" t="s">
        <v>157</v>
      </c>
      <c r="N106" t="s">
        <v>180</v>
      </c>
      <c r="O106" t="s">
        <v>223</v>
      </c>
      <c r="P106">
        <v>5.4327845171734587E-7</v>
      </c>
      <c r="Q106" t="s">
        <v>157</v>
      </c>
      <c r="S106" t="s">
        <v>185</v>
      </c>
      <c r="T106" t="s">
        <v>223</v>
      </c>
      <c r="U106">
        <v>5.4327845171734587E-7</v>
      </c>
      <c r="V106" t="s">
        <v>157</v>
      </c>
    </row>
    <row r="107" spans="9:22" x14ac:dyDescent="0.45">
      <c r="I107" t="s">
        <v>163</v>
      </c>
      <c r="J107" t="s">
        <v>224</v>
      </c>
      <c r="K107">
        <v>0</v>
      </c>
      <c r="L107" t="s">
        <v>157</v>
      </c>
      <c r="N107" t="s">
        <v>180</v>
      </c>
      <c r="O107" t="s">
        <v>224</v>
      </c>
      <c r="P107">
        <v>3.6070069302700348E-7</v>
      </c>
      <c r="Q107" t="s">
        <v>157</v>
      </c>
      <c r="S107" t="s">
        <v>185</v>
      </c>
      <c r="T107" t="s">
        <v>224</v>
      </c>
      <c r="U107">
        <v>3.6070069302700348E-7</v>
      </c>
      <c r="V107" t="s">
        <v>157</v>
      </c>
    </row>
    <row r="108" spans="9:22" x14ac:dyDescent="0.45">
      <c r="I108" t="s">
        <v>163</v>
      </c>
      <c r="J108" t="s">
        <v>225</v>
      </c>
      <c r="K108">
        <v>0</v>
      </c>
      <c r="L108" t="s">
        <v>157</v>
      </c>
      <c r="N108" t="s">
        <v>180</v>
      </c>
      <c r="O108" t="s">
        <v>225</v>
      </c>
      <c r="P108">
        <v>4.0307635673614929E-7</v>
      </c>
      <c r="Q108" t="s">
        <v>157</v>
      </c>
      <c r="S108" t="s">
        <v>185</v>
      </c>
      <c r="T108" t="s">
        <v>225</v>
      </c>
      <c r="U108">
        <v>4.0307635673614929E-7</v>
      </c>
      <c r="V108" t="s">
        <v>157</v>
      </c>
    </row>
    <row r="109" spans="9:22" x14ac:dyDescent="0.45">
      <c r="I109" t="s">
        <v>163</v>
      </c>
      <c r="J109" t="s">
        <v>226</v>
      </c>
      <c r="K109">
        <v>0</v>
      </c>
      <c r="L109" t="s">
        <v>157</v>
      </c>
      <c r="N109" t="s">
        <v>180</v>
      </c>
      <c r="O109" t="s">
        <v>226</v>
      </c>
      <c r="P109">
        <v>4.1935256388421064E-7</v>
      </c>
      <c r="Q109" t="s">
        <v>157</v>
      </c>
      <c r="S109" t="s">
        <v>185</v>
      </c>
      <c r="T109" t="s">
        <v>226</v>
      </c>
      <c r="U109">
        <v>4.1935256388421064E-7</v>
      </c>
      <c r="V109" t="s">
        <v>157</v>
      </c>
    </row>
    <row r="110" spans="9:22" x14ac:dyDescent="0.45">
      <c r="I110" t="s">
        <v>163</v>
      </c>
      <c r="J110" t="s">
        <v>227</v>
      </c>
      <c r="K110">
        <v>1.5035918421435951E-4</v>
      </c>
      <c r="L110" t="s">
        <v>157</v>
      </c>
      <c r="N110" t="s">
        <v>180</v>
      </c>
      <c r="O110" t="s">
        <v>227</v>
      </c>
      <c r="P110">
        <v>4.4635159587132044E-7</v>
      </c>
      <c r="Q110" t="s">
        <v>157</v>
      </c>
      <c r="S110" t="s">
        <v>185</v>
      </c>
      <c r="T110" t="s">
        <v>227</v>
      </c>
      <c r="U110">
        <v>4.4635159587132044E-7</v>
      </c>
      <c r="V110" t="s">
        <v>157</v>
      </c>
    </row>
    <row r="111" spans="9:22" x14ac:dyDescent="0.45">
      <c r="I111" t="s">
        <v>163</v>
      </c>
      <c r="J111" t="s">
        <v>228</v>
      </c>
      <c r="K111">
        <v>2.1080753790832035E-4</v>
      </c>
      <c r="L111" t="s">
        <v>157</v>
      </c>
      <c r="N111" t="s">
        <v>180</v>
      </c>
      <c r="O111" t="s">
        <v>228</v>
      </c>
      <c r="P111">
        <v>0</v>
      </c>
      <c r="Q111" t="s">
        <v>157</v>
      </c>
      <c r="S111" t="s">
        <v>185</v>
      </c>
      <c r="T111" t="s">
        <v>228</v>
      </c>
      <c r="U111">
        <v>0</v>
      </c>
      <c r="V111" t="s">
        <v>157</v>
      </c>
    </row>
    <row r="112" spans="9:22" x14ac:dyDescent="0.45">
      <c r="I112" t="s">
        <v>163</v>
      </c>
      <c r="J112" t="s">
        <v>229</v>
      </c>
      <c r="K112">
        <v>2.8564670673972303E-4</v>
      </c>
      <c r="L112" t="s">
        <v>157</v>
      </c>
      <c r="N112" t="s">
        <v>180</v>
      </c>
      <c r="O112" t="s">
        <v>229</v>
      </c>
      <c r="P112">
        <v>2.2501465032877417E-5</v>
      </c>
      <c r="Q112" t="s">
        <v>157</v>
      </c>
      <c r="S112" t="s">
        <v>185</v>
      </c>
      <c r="T112" t="s">
        <v>229</v>
      </c>
      <c r="U112">
        <v>2.2501465032877417E-5</v>
      </c>
      <c r="V112" t="s">
        <v>157</v>
      </c>
    </row>
    <row r="113" spans="9:22" x14ac:dyDescent="0.45">
      <c r="I113" t="s">
        <v>163</v>
      </c>
      <c r="J113" t="s">
        <v>230</v>
      </c>
      <c r="K113">
        <v>3.6848985938340222E-4</v>
      </c>
      <c r="L113" t="s">
        <v>157</v>
      </c>
      <c r="N113" t="s">
        <v>180</v>
      </c>
      <c r="O113" t="s">
        <v>230</v>
      </c>
      <c r="P113">
        <v>1.1962059318555601E-4</v>
      </c>
      <c r="Q113" t="s">
        <v>157</v>
      </c>
      <c r="S113" t="s">
        <v>185</v>
      </c>
      <c r="T113" t="s">
        <v>230</v>
      </c>
      <c r="U113">
        <v>1.1962059318555601E-4</v>
      </c>
      <c r="V113" t="s">
        <v>157</v>
      </c>
    </row>
    <row r="114" spans="9:22" x14ac:dyDescent="0.45">
      <c r="I114" t="s">
        <v>163</v>
      </c>
      <c r="J114" t="s">
        <v>231</v>
      </c>
      <c r="K114">
        <v>3.6628891358459251E-4</v>
      </c>
      <c r="L114" t="s">
        <v>157</v>
      </c>
      <c r="N114" t="s">
        <v>180</v>
      </c>
      <c r="O114" t="s">
        <v>231</v>
      </c>
      <c r="P114">
        <v>1.290801866642496E-4</v>
      </c>
      <c r="Q114" t="s">
        <v>157</v>
      </c>
      <c r="S114" t="s">
        <v>185</v>
      </c>
      <c r="T114" t="s">
        <v>231</v>
      </c>
      <c r="U114">
        <v>1.290801866642496E-4</v>
      </c>
      <c r="V114" t="s">
        <v>157</v>
      </c>
    </row>
    <row r="115" spans="9:22" x14ac:dyDescent="0.45">
      <c r="I115" t="s">
        <v>163</v>
      </c>
      <c r="J115" t="s">
        <v>232</v>
      </c>
      <c r="K115">
        <v>3.2460772866230322E-4</v>
      </c>
      <c r="L115" t="s">
        <v>157</v>
      </c>
      <c r="N115" t="s">
        <v>180</v>
      </c>
      <c r="O115" t="s">
        <v>232</v>
      </c>
      <c r="P115">
        <v>1.2874205734718469E-4</v>
      </c>
      <c r="Q115" t="s">
        <v>157</v>
      </c>
      <c r="S115" t="s">
        <v>185</v>
      </c>
      <c r="T115" t="s">
        <v>232</v>
      </c>
      <c r="U115">
        <v>1.2874205734718469E-4</v>
      </c>
      <c r="V115" t="s">
        <v>157</v>
      </c>
    </row>
    <row r="116" spans="9:22" x14ac:dyDescent="0.45">
      <c r="I116" t="s">
        <v>163</v>
      </c>
      <c r="J116" t="s">
        <v>233</v>
      </c>
      <c r="K116">
        <v>3.1671625398642226E-4</v>
      </c>
      <c r="L116" t="s">
        <v>157</v>
      </c>
      <c r="N116" t="s">
        <v>180</v>
      </c>
      <c r="O116" t="s">
        <v>233</v>
      </c>
      <c r="P116">
        <v>1.2834983817864692E-4</v>
      </c>
      <c r="Q116" t="s">
        <v>157</v>
      </c>
      <c r="S116" t="s">
        <v>185</v>
      </c>
      <c r="T116" t="s">
        <v>233</v>
      </c>
      <c r="U116">
        <v>1.2834983817864692E-4</v>
      </c>
      <c r="V116" t="s">
        <v>157</v>
      </c>
    </row>
    <row r="117" spans="9:22" x14ac:dyDescent="0.45">
      <c r="I117" t="s">
        <v>163</v>
      </c>
      <c r="J117" t="s">
        <v>234</v>
      </c>
      <c r="K117">
        <v>2.5422188351667416E-4</v>
      </c>
      <c r="L117" t="s">
        <v>157</v>
      </c>
      <c r="N117" t="s">
        <v>180</v>
      </c>
      <c r="O117" t="s">
        <v>234</v>
      </c>
      <c r="P117">
        <v>1.3036016408506126E-4</v>
      </c>
      <c r="Q117" t="s">
        <v>157</v>
      </c>
      <c r="S117" t="s">
        <v>185</v>
      </c>
      <c r="T117" t="s">
        <v>234</v>
      </c>
      <c r="U117">
        <v>1.3036016408506126E-4</v>
      </c>
      <c r="V117" t="s">
        <v>157</v>
      </c>
    </row>
    <row r="118" spans="9:22" x14ac:dyDescent="0.45">
      <c r="I118" t="s">
        <v>163</v>
      </c>
      <c r="J118" t="s">
        <v>235</v>
      </c>
      <c r="K118">
        <v>2.4100600318822135E-4</v>
      </c>
      <c r="L118" t="s">
        <v>157</v>
      </c>
      <c r="N118" t="s">
        <v>180</v>
      </c>
      <c r="O118" t="s">
        <v>235</v>
      </c>
      <c r="P118">
        <v>1.3991795947173897E-4</v>
      </c>
      <c r="Q118" t="s">
        <v>157</v>
      </c>
      <c r="S118" t="s">
        <v>185</v>
      </c>
      <c r="T118" t="s">
        <v>235</v>
      </c>
      <c r="U118">
        <v>1.3991795947173897E-4</v>
      </c>
      <c r="V118" t="s">
        <v>157</v>
      </c>
    </row>
    <row r="119" spans="9:22" x14ac:dyDescent="0.45">
      <c r="I119" t="s">
        <v>163</v>
      </c>
      <c r="J119" t="s">
        <v>236</v>
      </c>
      <c r="K119">
        <v>1.6762557965947132E-4</v>
      </c>
      <c r="L119" t="s">
        <v>157</v>
      </c>
      <c r="N119" t="s">
        <v>180</v>
      </c>
      <c r="O119" t="s">
        <v>236</v>
      </c>
      <c r="P119">
        <v>1.3999543869198353E-4</v>
      </c>
      <c r="Q119" t="s">
        <v>157</v>
      </c>
      <c r="S119" t="s">
        <v>185</v>
      </c>
      <c r="T119" t="s">
        <v>236</v>
      </c>
      <c r="U119">
        <v>1.3999543869198353E-4</v>
      </c>
      <c r="V119" t="s">
        <v>157</v>
      </c>
    </row>
    <row r="120" spans="9:22" x14ac:dyDescent="0.45">
      <c r="I120" t="s">
        <v>163</v>
      </c>
      <c r="J120" t="s">
        <v>237</v>
      </c>
      <c r="K120">
        <v>1.8313862750428341E-4</v>
      </c>
      <c r="L120" t="s">
        <v>157</v>
      </c>
      <c r="N120" t="s">
        <v>180</v>
      </c>
      <c r="O120" t="s">
        <v>237</v>
      </c>
      <c r="P120">
        <v>1.446481019109295E-4</v>
      </c>
      <c r="Q120" t="s">
        <v>157</v>
      </c>
      <c r="S120" t="s">
        <v>185</v>
      </c>
      <c r="T120" t="s">
        <v>237</v>
      </c>
      <c r="U120">
        <v>1.446481019109295E-4</v>
      </c>
      <c r="V120" t="s">
        <v>157</v>
      </c>
    </row>
    <row r="121" spans="9:22" x14ac:dyDescent="0.45">
      <c r="I121" t="s">
        <v>163</v>
      </c>
      <c r="J121" t="s">
        <v>238</v>
      </c>
      <c r="K121">
        <v>1.4219616349203399E-4</v>
      </c>
      <c r="L121" t="s">
        <v>157</v>
      </c>
      <c r="N121" t="s">
        <v>180</v>
      </c>
      <c r="O121" t="s">
        <v>238</v>
      </c>
      <c r="P121">
        <v>1.7040198883886323E-4</v>
      </c>
      <c r="Q121" t="s">
        <v>157</v>
      </c>
      <c r="S121" t="s">
        <v>185</v>
      </c>
      <c r="T121" t="s">
        <v>238</v>
      </c>
      <c r="U121">
        <v>1.7040198883886323E-4</v>
      </c>
      <c r="V121" t="s">
        <v>157</v>
      </c>
    </row>
    <row r="122" spans="9:22" x14ac:dyDescent="0.45">
      <c r="I122" t="s">
        <v>163</v>
      </c>
      <c r="J122" t="s">
        <v>239</v>
      </c>
      <c r="K122">
        <v>0</v>
      </c>
      <c r="L122" t="s">
        <v>157</v>
      </c>
      <c r="N122" t="s">
        <v>180</v>
      </c>
      <c r="O122" t="s">
        <v>239</v>
      </c>
      <c r="P122">
        <v>2.0666836877984812E-4</v>
      </c>
      <c r="Q122" t="s">
        <v>157</v>
      </c>
      <c r="S122" t="s">
        <v>185</v>
      </c>
      <c r="T122" t="s">
        <v>239</v>
      </c>
      <c r="U122">
        <v>2.0666836877984812E-4</v>
      </c>
      <c r="V122" t="s">
        <v>157</v>
      </c>
    </row>
    <row r="123" spans="9:22" x14ac:dyDescent="0.45">
      <c r="I123" t="s">
        <v>163</v>
      </c>
      <c r="J123" t="s">
        <v>240</v>
      </c>
      <c r="K123">
        <v>0</v>
      </c>
      <c r="L123" t="s">
        <v>157</v>
      </c>
      <c r="N123" t="s">
        <v>180</v>
      </c>
      <c r="O123" t="s">
        <v>240</v>
      </c>
      <c r="P123">
        <v>2.2793000594079223E-4</v>
      </c>
      <c r="Q123" t="s">
        <v>157</v>
      </c>
      <c r="S123" t="s">
        <v>185</v>
      </c>
      <c r="T123" t="s">
        <v>240</v>
      </c>
      <c r="U123">
        <v>2.2793000594079223E-4</v>
      </c>
      <c r="V123" t="s">
        <v>157</v>
      </c>
    </row>
    <row r="124" spans="9:22" x14ac:dyDescent="0.45">
      <c r="I124" t="s">
        <v>163</v>
      </c>
      <c r="J124" t="s">
        <v>241</v>
      </c>
      <c r="K124">
        <v>0</v>
      </c>
      <c r="L124" t="s">
        <v>157</v>
      </c>
      <c r="N124" t="s">
        <v>180</v>
      </c>
      <c r="O124" t="s">
        <v>241</v>
      </c>
      <c r="P124">
        <v>2.2338946450870941E-4</v>
      </c>
      <c r="Q124" t="s">
        <v>157</v>
      </c>
      <c r="S124" t="s">
        <v>185</v>
      </c>
      <c r="T124" t="s">
        <v>241</v>
      </c>
      <c r="U124">
        <v>2.2338946450870941E-4</v>
      </c>
      <c r="V124" t="s">
        <v>157</v>
      </c>
    </row>
    <row r="125" spans="9:22" x14ac:dyDescent="0.45">
      <c r="I125" t="s">
        <v>163</v>
      </c>
      <c r="J125" t="s">
        <v>242</v>
      </c>
      <c r="K125">
        <v>0</v>
      </c>
      <c r="L125" t="s">
        <v>157</v>
      </c>
      <c r="N125" t="s">
        <v>180</v>
      </c>
      <c r="O125" t="s">
        <v>242</v>
      </c>
      <c r="P125">
        <v>1.7228408127474473E-4</v>
      </c>
      <c r="Q125" t="s">
        <v>157</v>
      </c>
      <c r="S125" t="s">
        <v>185</v>
      </c>
      <c r="T125" t="s">
        <v>242</v>
      </c>
      <c r="U125">
        <v>1.7228408127474473E-4</v>
      </c>
      <c r="V125" t="s">
        <v>157</v>
      </c>
    </row>
    <row r="126" spans="9:22" x14ac:dyDescent="0.45">
      <c r="I126" t="s">
        <v>163</v>
      </c>
      <c r="J126" t="s">
        <v>243</v>
      </c>
      <c r="K126">
        <v>0</v>
      </c>
      <c r="L126" t="s">
        <v>157</v>
      </c>
      <c r="N126" t="s">
        <v>180</v>
      </c>
      <c r="O126" t="s">
        <v>243</v>
      </c>
      <c r="P126">
        <v>1.1604543761571597E-4</v>
      </c>
      <c r="Q126" t="s">
        <v>157</v>
      </c>
      <c r="S126" t="s">
        <v>185</v>
      </c>
      <c r="T126" t="s">
        <v>243</v>
      </c>
      <c r="U126">
        <v>1.1604543761571597E-4</v>
      </c>
      <c r="V126" t="s">
        <v>157</v>
      </c>
    </row>
    <row r="127" spans="9:22" x14ac:dyDescent="0.45">
      <c r="I127" t="s">
        <v>164</v>
      </c>
      <c r="J127" t="s">
        <v>156</v>
      </c>
      <c r="K127">
        <v>0.99690619186662488</v>
      </c>
      <c r="L127" t="s">
        <v>157</v>
      </c>
      <c r="N127" t="s">
        <v>181</v>
      </c>
      <c r="O127" t="s">
        <v>156</v>
      </c>
      <c r="P127">
        <v>0.87305822154744395</v>
      </c>
      <c r="Q127" t="s">
        <v>157</v>
      </c>
      <c r="S127" t="s">
        <v>186</v>
      </c>
      <c r="T127" t="s">
        <v>156</v>
      </c>
      <c r="U127">
        <v>0.87305822154744395</v>
      </c>
      <c r="V127" t="s">
        <v>157</v>
      </c>
    </row>
    <row r="128" spans="9:22" x14ac:dyDescent="0.45">
      <c r="I128" t="s">
        <v>164</v>
      </c>
      <c r="J128" t="s">
        <v>158</v>
      </c>
      <c r="K128">
        <v>0</v>
      </c>
      <c r="L128" t="s">
        <v>157</v>
      </c>
      <c r="N128" t="s">
        <v>181</v>
      </c>
      <c r="O128" t="s">
        <v>158</v>
      </c>
      <c r="P128">
        <v>4.0525795481155535E-2</v>
      </c>
      <c r="Q128" t="s">
        <v>157</v>
      </c>
      <c r="S128" t="s">
        <v>186</v>
      </c>
      <c r="T128" t="s">
        <v>158</v>
      </c>
      <c r="U128">
        <v>4.0525795481155535E-2</v>
      </c>
      <c r="V128" t="s">
        <v>157</v>
      </c>
    </row>
    <row r="129" spans="9:22" x14ac:dyDescent="0.45">
      <c r="I129" t="s">
        <v>164</v>
      </c>
      <c r="J129" t="s">
        <v>159</v>
      </c>
      <c r="K129">
        <v>0</v>
      </c>
      <c r="L129" t="s">
        <v>157</v>
      </c>
      <c r="N129" t="s">
        <v>181</v>
      </c>
      <c r="O129" t="s">
        <v>159</v>
      </c>
      <c r="P129">
        <v>3.264931002235176E-2</v>
      </c>
      <c r="Q129" t="s">
        <v>157</v>
      </c>
      <c r="S129" t="s">
        <v>186</v>
      </c>
      <c r="T129" t="s">
        <v>159</v>
      </c>
      <c r="U129">
        <v>3.264931002235176E-2</v>
      </c>
      <c r="V129" t="s">
        <v>157</v>
      </c>
    </row>
    <row r="130" spans="9:22" x14ac:dyDescent="0.45">
      <c r="I130" t="s">
        <v>164</v>
      </c>
      <c r="J130" t="s">
        <v>160</v>
      </c>
      <c r="K130">
        <v>0</v>
      </c>
      <c r="L130" t="s">
        <v>157</v>
      </c>
      <c r="N130" t="s">
        <v>181</v>
      </c>
      <c r="O130" t="s">
        <v>160</v>
      </c>
      <c r="P130">
        <v>2.7263997857435898E-2</v>
      </c>
      <c r="Q130" t="s">
        <v>157</v>
      </c>
      <c r="S130" t="s">
        <v>186</v>
      </c>
      <c r="T130" t="s">
        <v>160</v>
      </c>
      <c r="U130">
        <v>2.7263997857435898E-2</v>
      </c>
      <c r="V130" t="s">
        <v>157</v>
      </c>
    </row>
    <row r="131" spans="9:22" x14ac:dyDescent="0.45">
      <c r="I131" t="s">
        <v>164</v>
      </c>
      <c r="J131" t="s">
        <v>193</v>
      </c>
      <c r="K131">
        <v>0</v>
      </c>
      <c r="L131" t="s">
        <v>157</v>
      </c>
      <c r="N131" t="s">
        <v>181</v>
      </c>
      <c r="O131" t="s">
        <v>193</v>
      </c>
      <c r="P131">
        <v>2.4625431245645799E-2</v>
      </c>
      <c r="Q131" t="s">
        <v>157</v>
      </c>
      <c r="S131" t="s">
        <v>186</v>
      </c>
      <c r="T131" t="s">
        <v>193</v>
      </c>
      <c r="U131">
        <v>2.4625431245645799E-2</v>
      </c>
      <c r="V131" t="s">
        <v>157</v>
      </c>
    </row>
    <row r="132" spans="9:22" x14ac:dyDescent="0.45">
      <c r="I132" t="s">
        <v>164</v>
      </c>
      <c r="J132" t="s">
        <v>220</v>
      </c>
      <c r="K132">
        <v>0</v>
      </c>
      <c r="L132" t="s">
        <v>157</v>
      </c>
      <c r="N132" t="s">
        <v>181</v>
      </c>
      <c r="O132" t="s">
        <v>220</v>
      </c>
      <c r="P132">
        <v>1.922580719233433E-7</v>
      </c>
      <c r="Q132" t="s">
        <v>157</v>
      </c>
      <c r="S132" t="s">
        <v>186</v>
      </c>
      <c r="T132" t="s">
        <v>220</v>
      </c>
      <c r="U132">
        <v>1.922580719233433E-7</v>
      </c>
      <c r="V132" t="s">
        <v>157</v>
      </c>
    </row>
    <row r="133" spans="9:22" x14ac:dyDescent="0.45">
      <c r="I133" t="s">
        <v>164</v>
      </c>
      <c r="J133" t="s">
        <v>221</v>
      </c>
      <c r="K133">
        <v>0</v>
      </c>
      <c r="L133" t="s">
        <v>157</v>
      </c>
      <c r="N133" t="s">
        <v>181</v>
      </c>
      <c r="O133" t="s">
        <v>221</v>
      </c>
      <c r="P133">
        <v>3.5366286438117006E-6</v>
      </c>
      <c r="Q133" t="s">
        <v>157</v>
      </c>
      <c r="S133" t="s">
        <v>186</v>
      </c>
      <c r="T133" t="s">
        <v>221</v>
      </c>
      <c r="U133">
        <v>3.5366286438117006E-6</v>
      </c>
      <c r="V133" t="s">
        <v>157</v>
      </c>
    </row>
    <row r="134" spans="9:22" x14ac:dyDescent="0.45">
      <c r="I134" t="s">
        <v>164</v>
      </c>
      <c r="J134" t="s">
        <v>222</v>
      </c>
      <c r="K134">
        <v>0</v>
      </c>
      <c r="L134" t="s">
        <v>157</v>
      </c>
      <c r="N134" t="s">
        <v>181</v>
      </c>
      <c r="O134" t="s">
        <v>222</v>
      </c>
      <c r="P134">
        <v>3.9522573354741352E-7</v>
      </c>
      <c r="Q134" t="s">
        <v>157</v>
      </c>
      <c r="S134" t="s">
        <v>186</v>
      </c>
      <c r="T134" t="s">
        <v>222</v>
      </c>
      <c r="U134">
        <v>3.9522573354741352E-7</v>
      </c>
      <c r="V134" t="s">
        <v>157</v>
      </c>
    </row>
    <row r="135" spans="9:22" x14ac:dyDescent="0.45">
      <c r="I135" t="s">
        <v>164</v>
      </c>
      <c r="J135" t="s">
        <v>223</v>
      </c>
      <c r="K135">
        <v>0</v>
      </c>
      <c r="L135" t="s">
        <v>157</v>
      </c>
      <c r="N135" t="s">
        <v>181</v>
      </c>
      <c r="O135" t="s">
        <v>223</v>
      </c>
      <c r="P135">
        <v>0</v>
      </c>
      <c r="Q135" t="s">
        <v>157</v>
      </c>
      <c r="S135" t="s">
        <v>186</v>
      </c>
      <c r="T135" t="s">
        <v>223</v>
      </c>
      <c r="U135">
        <v>0</v>
      </c>
      <c r="V135" t="s">
        <v>157</v>
      </c>
    </row>
    <row r="136" spans="9:22" x14ac:dyDescent="0.45">
      <c r="I136" t="s">
        <v>164</v>
      </c>
      <c r="J136" t="s">
        <v>224</v>
      </c>
      <c r="K136">
        <v>0</v>
      </c>
      <c r="L136" t="s">
        <v>157</v>
      </c>
      <c r="N136" t="s">
        <v>181</v>
      </c>
      <c r="O136" t="s">
        <v>224</v>
      </c>
      <c r="P136">
        <v>2.5835349409250227E-10</v>
      </c>
      <c r="Q136" t="s">
        <v>157</v>
      </c>
      <c r="S136" t="s">
        <v>186</v>
      </c>
      <c r="T136" t="s">
        <v>224</v>
      </c>
      <c r="U136">
        <v>2.5835349409250227E-10</v>
      </c>
      <c r="V136" t="s">
        <v>157</v>
      </c>
    </row>
    <row r="137" spans="9:22" x14ac:dyDescent="0.45">
      <c r="I137" t="s">
        <v>164</v>
      </c>
      <c r="J137" t="s">
        <v>225</v>
      </c>
      <c r="K137">
        <v>0</v>
      </c>
      <c r="L137" t="s">
        <v>157</v>
      </c>
      <c r="N137" t="s">
        <v>181</v>
      </c>
      <c r="O137" t="s">
        <v>225</v>
      </c>
      <c r="P137">
        <v>6.5225564120572476E-9</v>
      </c>
      <c r="Q137" t="s">
        <v>157</v>
      </c>
      <c r="S137" t="s">
        <v>186</v>
      </c>
      <c r="T137" t="s">
        <v>225</v>
      </c>
      <c r="U137">
        <v>6.5225564120572476E-9</v>
      </c>
      <c r="V137" t="s">
        <v>157</v>
      </c>
    </row>
    <row r="138" spans="9:22" x14ac:dyDescent="0.45">
      <c r="I138" t="s">
        <v>164</v>
      </c>
      <c r="J138" t="s">
        <v>226</v>
      </c>
      <c r="K138">
        <v>0</v>
      </c>
      <c r="L138" t="s">
        <v>157</v>
      </c>
      <c r="N138" t="s">
        <v>181</v>
      </c>
      <c r="O138" t="s">
        <v>226</v>
      </c>
      <c r="P138">
        <v>5.5368530001912926E-9</v>
      </c>
      <c r="Q138" t="s">
        <v>157</v>
      </c>
      <c r="S138" t="s">
        <v>186</v>
      </c>
      <c r="T138" t="s">
        <v>226</v>
      </c>
      <c r="U138">
        <v>5.5368530001912926E-9</v>
      </c>
      <c r="V138" t="s">
        <v>157</v>
      </c>
    </row>
    <row r="139" spans="9:22" x14ac:dyDescent="0.45">
      <c r="I139" t="s">
        <v>164</v>
      </c>
      <c r="J139" t="s">
        <v>227</v>
      </c>
      <c r="K139">
        <v>1.2292490223595644E-4</v>
      </c>
      <c r="L139" t="s">
        <v>157</v>
      </c>
      <c r="N139" t="s">
        <v>181</v>
      </c>
      <c r="O139" t="s">
        <v>227</v>
      </c>
      <c r="P139">
        <v>1.2306530716237775E-8</v>
      </c>
      <c r="Q139" t="s">
        <v>157</v>
      </c>
      <c r="S139" t="s">
        <v>186</v>
      </c>
      <c r="T139" t="s">
        <v>227</v>
      </c>
      <c r="U139">
        <v>1.2306530716237775E-8</v>
      </c>
      <c r="V139" t="s">
        <v>157</v>
      </c>
    </row>
    <row r="140" spans="9:22" x14ac:dyDescent="0.45">
      <c r="I140" t="s">
        <v>164</v>
      </c>
      <c r="J140" t="s">
        <v>228</v>
      </c>
      <c r="K140">
        <v>2.1601743261876591E-4</v>
      </c>
      <c r="L140" t="s">
        <v>157</v>
      </c>
      <c r="N140" t="s">
        <v>181</v>
      </c>
      <c r="O140" t="s">
        <v>228</v>
      </c>
      <c r="P140">
        <v>0</v>
      </c>
      <c r="Q140" t="s">
        <v>157</v>
      </c>
      <c r="S140" t="s">
        <v>186</v>
      </c>
      <c r="T140" t="s">
        <v>228</v>
      </c>
      <c r="U140">
        <v>0</v>
      </c>
      <c r="V140" t="s">
        <v>157</v>
      </c>
    </row>
    <row r="141" spans="9:22" x14ac:dyDescent="0.45">
      <c r="I141" t="s">
        <v>164</v>
      </c>
      <c r="J141" t="s">
        <v>229</v>
      </c>
      <c r="K141">
        <v>2.8860142323703991E-4</v>
      </c>
      <c r="L141" t="s">
        <v>157</v>
      </c>
      <c r="N141" t="s">
        <v>181</v>
      </c>
      <c r="O141" t="s">
        <v>229</v>
      </c>
      <c r="P141">
        <v>3.0589062120408381E-5</v>
      </c>
      <c r="Q141" t="s">
        <v>157</v>
      </c>
      <c r="S141" t="s">
        <v>186</v>
      </c>
      <c r="T141" t="s">
        <v>229</v>
      </c>
      <c r="U141">
        <v>3.0589062120408381E-5</v>
      </c>
      <c r="V141" t="s">
        <v>157</v>
      </c>
    </row>
    <row r="142" spans="9:22" x14ac:dyDescent="0.45">
      <c r="I142" t="s">
        <v>164</v>
      </c>
      <c r="J142" t="s">
        <v>230</v>
      </c>
      <c r="K142">
        <v>3.6417775549353804E-4</v>
      </c>
      <c r="L142" t="s">
        <v>157</v>
      </c>
      <c r="N142" t="s">
        <v>181</v>
      </c>
      <c r="O142" t="s">
        <v>230</v>
      </c>
      <c r="P142">
        <v>1.3914474546844618E-4</v>
      </c>
      <c r="Q142" t="s">
        <v>157</v>
      </c>
      <c r="S142" t="s">
        <v>186</v>
      </c>
      <c r="T142" t="s">
        <v>230</v>
      </c>
      <c r="U142">
        <v>1.3914474546844618E-4</v>
      </c>
      <c r="V142" t="s">
        <v>157</v>
      </c>
    </row>
    <row r="143" spans="9:22" x14ac:dyDescent="0.45">
      <c r="I143" t="s">
        <v>164</v>
      </c>
      <c r="J143" t="s">
        <v>231</v>
      </c>
      <c r="K143">
        <v>3.6976933980965713E-4</v>
      </c>
      <c r="L143" t="s">
        <v>157</v>
      </c>
      <c r="N143" t="s">
        <v>181</v>
      </c>
      <c r="O143" t="s">
        <v>231</v>
      </c>
      <c r="P143">
        <v>1.6868725220788459E-4</v>
      </c>
      <c r="Q143" t="s">
        <v>157</v>
      </c>
      <c r="S143" t="s">
        <v>186</v>
      </c>
      <c r="T143" t="s">
        <v>231</v>
      </c>
      <c r="U143">
        <v>1.6868725220788459E-4</v>
      </c>
      <c r="V143" t="s">
        <v>157</v>
      </c>
    </row>
    <row r="144" spans="9:22" x14ac:dyDescent="0.45">
      <c r="I144" t="s">
        <v>164</v>
      </c>
      <c r="J144" t="s">
        <v>232</v>
      </c>
      <c r="K144">
        <v>3.1366584738050591E-4</v>
      </c>
      <c r="L144" t="s">
        <v>157</v>
      </c>
      <c r="N144" t="s">
        <v>181</v>
      </c>
      <c r="O144" t="s">
        <v>232</v>
      </c>
      <c r="P144">
        <v>1.6596377361055581E-4</v>
      </c>
      <c r="Q144" t="s">
        <v>157</v>
      </c>
      <c r="S144" t="s">
        <v>186</v>
      </c>
      <c r="T144" t="s">
        <v>232</v>
      </c>
      <c r="U144">
        <v>1.6596377361055581E-4</v>
      </c>
      <c r="V144" t="s">
        <v>157</v>
      </c>
    </row>
    <row r="145" spans="9:22" x14ac:dyDescent="0.45">
      <c r="I145" t="s">
        <v>164</v>
      </c>
      <c r="J145" t="s">
        <v>233</v>
      </c>
      <c r="K145">
        <v>2.5073566976523603E-4</v>
      </c>
      <c r="L145" t="s">
        <v>157</v>
      </c>
      <c r="N145" t="s">
        <v>181</v>
      </c>
      <c r="O145" t="s">
        <v>233</v>
      </c>
      <c r="P145">
        <v>1.6548906819443542E-4</v>
      </c>
      <c r="Q145" t="s">
        <v>157</v>
      </c>
      <c r="S145" t="s">
        <v>186</v>
      </c>
      <c r="T145" t="s">
        <v>233</v>
      </c>
      <c r="U145">
        <v>1.6548906819443542E-4</v>
      </c>
      <c r="V145" t="s">
        <v>157</v>
      </c>
    </row>
    <row r="146" spans="9:22" x14ac:dyDescent="0.45">
      <c r="I146" t="s">
        <v>164</v>
      </c>
      <c r="J146" t="s">
        <v>234</v>
      </c>
      <c r="K146">
        <v>2.4855350589248246E-4</v>
      </c>
      <c r="L146" t="s">
        <v>157</v>
      </c>
      <c r="N146" t="s">
        <v>181</v>
      </c>
      <c r="O146" t="s">
        <v>234</v>
      </c>
      <c r="P146">
        <v>1.7131890628872237E-4</v>
      </c>
      <c r="Q146" t="s">
        <v>157</v>
      </c>
      <c r="S146" t="s">
        <v>186</v>
      </c>
      <c r="T146" t="s">
        <v>234</v>
      </c>
      <c r="U146">
        <v>1.7131890628872237E-4</v>
      </c>
      <c r="V146" t="s">
        <v>157</v>
      </c>
    </row>
    <row r="147" spans="9:22" x14ac:dyDescent="0.45">
      <c r="I147" t="s">
        <v>164</v>
      </c>
      <c r="J147" t="s">
        <v>235</v>
      </c>
      <c r="K147">
        <v>2.3183247278778945E-4</v>
      </c>
      <c r="L147" t="s">
        <v>157</v>
      </c>
      <c r="N147" t="s">
        <v>181</v>
      </c>
      <c r="O147" t="s">
        <v>235</v>
      </c>
      <c r="P147">
        <v>1.8298835772067137E-4</v>
      </c>
      <c r="Q147" t="s">
        <v>157</v>
      </c>
      <c r="S147" t="s">
        <v>186</v>
      </c>
      <c r="T147" t="s">
        <v>235</v>
      </c>
      <c r="U147">
        <v>1.8298835772067137E-4</v>
      </c>
      <c r="V147" t="s">
        <v>157</v>
      </c>
    </row>
    <row r="148" spans="9:22" x14ac:dyDescent="0.45">
      <c r="I148" t="s">
        <v>164</v>
      </c>
      <c r="J148" t="s">
        <v>236</v>
      </c>
      <c r="K148">
        <v>2.8506495710968585E-4</v>
      </c>
      <c r="L148" t="s">
        <v>157</v>
      </c>
      <c r="N148" t="s">
        <v>181</v>
      </c>
      <c r="O148" t="s">
        <v>236</v>
      </c>
      <c r="P148">
        <v>1.7125196533638714E-4</v>
      </c>
      <c r="Q148" t="s">
        <v>157</v>
      </c>
      <c r="S148" t="s">
        <v>186</v>
      </c>
      <c r="T148" t="s">
        <v>236</v>
      </c>
      <c r="U148">
        <v>1.7125196533638714E-4</v>
      </c>
      <c r="V148" t="s">
        <v>157</v>
      </c>
    </row>
    <row r="149" spans="9:22" x14ac:dyDescent="0.45">
      <c r="I149" t="s">
        <v>164</v>
      </c>
      <c r="J149" t="s">
        <v>237</v>
      </c>
      <c r="K149">
        <v>2.4702600423824324E-4</v>
      </c>
      <c r="L149" t="s">
        <v>157</v>
      </c>
      <c r="N149" t="s">
        <v>181</v>
      </c>
      <c r="O149" t="s">
        <v>237</v>
      </c>
      <c r="P149">
        <v>1.5237345673416614E-4</v>
      </c>
      <c r="Q149" t="s">
        <v>157</v>
      </c>
      <c r="S149" t="s">
        <v>186</v>
      </c>
      <c r="T149" t="s">
        <v>237</v>
      </c>
      <c r="U149">
        <v>1.5237345673416614E-4</v>
      </c>
      <c r="V149" t="s">
        <v>157</v>
      </c>
    </row>
    <row r="150" spans="9:22" x14ac:dyDescent="0.45">
      <c r="I150" t="s">
        <v>164</v>
      </c>
      <c r="J150" t="s">
        <v>238</v>
      </c>
      <c r="K150">
        <v>1.5543882280560177E-4</v>
      </c>
      <c r="L150" t="s">
        <v>157</v>
      </c>
      <c r="N150" t="s">
        <v>181</v>
      </c>
      <c r="O150" t="s">
        <v>238</v>
      </c>
      <c r="P150">
        <v>1.306951047706315E-4</v>
      </c>
      <c r="Q150" t="s">
        <v>157</v>
      </c>
      <c r="S150" t="s">
        <v>186</v>
      </c>
      <c r="T150" t="s">
        <v>238</v>
      </c>
      <c r="U150">
        <v>1.306951047706315E-4</v>
      </c>
      <c r="V150" t="s">
        <v>157</v>
      </c>
    </row>
    <row r="151" spans="9:22" x14ac:dyDescent="0.45">
      <c r="I151" t="s">
        <v>164</v>
      </c>
      <c r="J151" t="s">
        <v>239</v>
      </c>
      <c r="K151">
        <v>0</v>
      </c>
      <c r="L151" t="s">
        <v>157</v>
      </c>
      <c r="N151" t="s">
        <v>181</v>
      </c>
      <c r="O151" t="s">
        <v>239</v>
      </c>
      <c r="P151">
        <v>1.2068081485211618E-4</v>
      </c>
      <c r="Q151" t="s">
        <v>157</v>
      </c>
      <c r="S151" t="s">
        <v>186</v>
      </c>
      <c r="T151" t="s">
        <v>239</v>
      </c>
      <c r="U151">
        <v>1.2068081485211618E-4</v>
      </c>
      <c r="V151" t="s">
        <v>157</v>
      </c>
    </row>
    <row r="152" spans="9:22" x14ac:dyDescent="0.45">
      <c r="I152" t="s">
        <v>164</v>
      </c>
      <c r="J152" t="s">
        <v>240</v>
      </c>
      <c r="K152">
        <v>0</v>
      </c>
      <c r="L152" t="s">
        <v>157</v>
      </c>
      <c r="N152" t="s">
        <v>181</v>
      </c>
      <c r="O152" t="s">
        <v>240</v>
      </c>
      <c r="P152">
        <v>1.0632624461792642E-4</v>
      </c>
      <c r="Q152" t="s">
        <v>157</v>
      </c>
      <c r="S152" t="s">
        <v>186</v>
      </c>
      <c r="T152" t="s">
        <v>240</v>
      </c>
      <c r="U152">
        <v>1.0632624461792642E-4</v>
      </c>
      <c r="V152" t="s">
        <v>157</v>
      </c>
    </row>
    <row r="153" spans="9:22" x14ac:dyDescent="0.45">
      <c r="I153" t="s">
        <v>164</v>
      </c>
      <c r="J153" t="s">
        <v>241</v>
      </c>
      <c r="K153">
        <v>0</v>
      </c>
      <c r="L153" t="s">
        <v>157</v>
      </c>
      <c r="N153" t="s">
        <v>181</v>
      </c>
      <c r="O153" t="s">
        <v>241</v>
      </c>
      <c r="P153">
        <v>8.2302406031965766E-5</v>
      </c>
      <c r="Q153" t="s">
        <v>157</v>
      </c>
      <c r="S153" t="s">
        <v>186</v>
      </c>
      <c r="T153" t="s">
        <v>241</v>
      </c>
      <c r="U153">
        <v>8.2302406031965766E-5</v>
      </c>
      <c r="V153" t="s">
        <v>157</v>
      </c>
    </row>
    <row r="154" spans="9:22" x14ac:dyDescent="0.45">
      <c r="I154" t="s">
        <v>164</v>
      </c>
      <c r="J154" t="s">
        <v>242</v>
      </c>
      <c r="K154">
        <v>0</v>
      </c>
      <c r="L154" t="s">
        <v>157</v>
      </c>
      <c r="N154" t="s">
        <v>181</v>
      </c>
      <c r="O154" t="s">
        <v>242</v>
      </c>
      <c r="P154">
        <v>5.7739325372084179E-5</v>
      </c>
      <c r="Q154" t="s">
        <v>157</v>
      </c>
      <c r="S154" t="s">
        <v>186</v>
      </c>
      <c r="T154" t="s">
        <v>242</v>
      </c>
      <c r="U154">
        <v>5.7739325372084179E-5</v>
      </c>
      <c r="V154" t="s">
        <v>157</v>
      </c>
    </row>
    <row r="155" spans="9:22" x14ac:dyDescent="0.45">
      <c r="I155" t="s">
        <v>164</v>
      </c>
      <c r="J155" t="s">
        <v>243</v>
      </c>
      <c r="K155">
        <v>0</v>
      </c>
      <c r="L155" t="s">
        <v>157</v>
      </c>
      <c r="N155" t="s">
        <v>181</v>
      </c>
      <c r="O155" t="s">
        <v>243</v>
      </c>
      <c r="P155">
        <v>2.7544625896190466E-5</v>
      </c>
      <c r="Q155" t="s">
        <v>157</v>
      </c>
      <c r="S155" t="s">
        <v>186</v>
      </c>
      <c r="T155" t="s">
        <v>243</v>
      </c>
      <c r="U155">
        <v>2.7544625896190466E-5</v>
      </c>
      <c r="V155" t="s">
        <v>157</v>
      </c>
    </row>
    <row r="156" spans="9:22" x14ac:dyDescent="0.45">
      <c r="I156" t="s">
        <v>165</v>
      </c>
      <c r="J156" t="s">
        <v>156</v>
      </c>
      <c r="K156">
        <v>0.99685161922983645</v>
      </c>
      <c r="L156" t="s">
        <v>157</v>
      </c>
    </row>
    <row r="157" spans="9:22" x14ac:dyDescent="0.45">
      <c r="I157" t="s">
        <v>165</v>
      </c>
      <c r="J157" t="s">
        <v>158</v>
      </c>
      <c r="K157">
        <v>0</v>
      </c>
      <c r="L157" t="s">
        <v>157</v>
      </c>
    </row>
    <row r="158" spans="9:22" x14ac:dyDescent="0.45">
      <c r="I158" t="s">
        <v>165</v>
      </c>
      <c r="J158" t="s">
        <v>159</v>
      </c>
      <c r="K158">
        <v>0</v>
      </c>
      <c r="L158" t="s">
        <v>157</v>
      </c>
    </row>
    <row r="159" spans="9:22" x14ac:dyDescent="0.45">
      <c r="I159" t="s">
        <v>165</v>
      </c>
      <c r="J159" t="s">
        <v>160</v>
      </c>
      <c r="K159">
        <v>0</v>
      </c>
      <c r="L159" t="s">
        <v>157</v>
      </c>
    </row>
    <row r="160" spans="9:22" x14ac:dyDescent="0.45">
      <c r="I160" t="s">
        <v>165</v>
      </c>
      <c r="J160" t="s">
        <v>193</v>
      </c>
      <c r="K160">
        <v>0</v>
      </c>
      <c r="L160" t="s">
        <v>157</v>
      </c>
    </row>
    <row r="161" spans="9:12" x14ac:dyDescent="0.45">
      <c r="I161" t="s">
        <v>165</v>
      </c>
      <c r="J161" t="s">
        <v>220</v>
      </c>
      <c r="K161">
        <v>0</v>
      </c>
      <c r="L161" t="s">
        <v>157</v>
      </c>
    </row>
    <row r="162" spans="9:12" x14ac:dyDescent="0.45">
      <c r="I162" t="s">
        <v>165</v>
      </c>
      <c r="J162" t="s">
        <v>221</v>
      </c>
      <c r="K162">
        <v>0</v>
      </c>
      <c r="L162" t="s">
        <v>157</v>
      </c>
    </row>
    <row r="163" spans="9:12" x14ac:dyDescent="0.45">
      <c r="I163" t="s">
        <v>165</v>
      </c>
      <c r="J163" t="s">
        <v>222</v>
      </c>
      <c r="K163">
        <v>0</v>
      </c>
      <c r="L163" t="s">
        <v>157</v>
      </c>
    </row>
    <row r="164" spans="9:12" x14ac:dyDescent="0.45">
      <c r="I164" t="s">
        <v>165</v>
      </c>
      <c r="J164" t="s">
        <v>223</v>
      </c>
      <c r="K164">
        <v>0</v>
      </c>
      <c r="L164" t="s">
        <v>157</v>
      </c>
    </row>
    <row r="165" spans="9:12" x14ac:dyDescent="0.45">
      <c r="I165" t="s">
        <v>165</v>
      </c>
      <c r="J165" t="s">
        <v>224</v>
      </c>
      <c r="K165">
        <v>0</v>
      </c>
      <c r="L165" t="s">
        <v>157</v>
      </c>
    </row>
    <row r="166" spans="9:12" x14ac:dyDescent="0.45">
      <c r="I166" t="s">
        <v>165</v>
      </c>
      <c r="J166" t="s">
        <v>225</v>
      </c>
      <c r="K166">
        <v>0</v>
      </c>
      <c r="L166" t="s">
        <v>157</v>
      </c>
    </row>
    <row r="167" spans="9:12" x14ac:dyDescent="0.45">
      <c r="I167" t="s">
        <v>165</v>
      </c>
      <c r="J167" t="s">
        <v>226</v>
      </c>
      <c r="K167">
        <v>0</v>
      </c>
      <c r="L167" t="s">
        <v>157</v>
      </c>
    </row>
    <row r="168" spans="9:12" x14ac:dyDescent="0.45">
      <c r="I168" t="s">
        <v>165</v>
      </c>
      <c r="J168" t="s">
        <v>227</v>
      </c>
      <c r="K168">
        <v>1.6397626739942222E-4</v>
      </c>
      <c r="L168" t="s">
        <v>157</v>
      </c>
    </row>
    <row r="169" spans="9:12" x14ac:dyDescent="0.45">
      <c r="I169" t="s">
        <v>165</v>
      </c>
      <c r="J169" t="s">
        <v>228</v>
      </c>
      <c r="K169">
        <v>2.7996311220804189E-4</v>
      </c>
      <c r="L169" t="s">
        <v>157</v>
      </c>
    </row>
    <row r="170" spans="9:12" x14ac:dyDescent="0.45">
      <c r="I170" t="s">
        <v>165</v>
      </c>
      <c r="J170" t="s">
        <v>229</v>
      </c>
      <c r="K170">
        <v>2.8944719343398131E-4</v>
      </c>
      <c r="L170" t="s">
        <v>157</v>
      </c>
    </row>
    <row r="171" spans="9:12" x14ac:dyDescent="0.45">
      <c r="I171" t="s">
        <v>165</v>
      </c>
      <c r="J171" t="s">
        <v>230</v>
      </c>
      <c r="K171">
        <v>3.3123289798889937E-4</v>
      </c>
      <c r="L171" t="s">
        <v>157</v>
      </c>
    </row>
    <row r="172" spans="9:12" x14ac:dyDescent="0.45">
      <c r="I172" t="s">
        <v>165</v>
      </c>
      <c r="J172" t="s">
        <v>231</v>
      </c>
      <c r="K172">
        <v>3.2432360138393669E-4</v>
      </c>
      <c r="L172" t="s">
        <v>157</v>
      </c>
    </row>
    <row r="173" spans="9:12" x14ac:dyDescent="0.45">
      <c r="I173" t="s">
        <v>165</v>
      </c>
      <c r="J173" t="s">
        <v>232</v>
      </c>
      <c r="K173">
        <v>3.0625601566092685E-4</v>
      </c>
      <c r="L173" t="s">
        <v>157</v>
      </c>
    </row>
    <row r="174" spans="9:12" x14ac:dyDescent="0.45">
      <c r="I174" t="s">
        <v>165</v>
      </c>
      <c r="J174" t="s">
        <v>233</v>
      </c>
      <c r="K174">
        <v>3.0633397260601726E-4</v>
      </c>
      <c r="L174" t="s">
        <v>157</v>
      </c>
    </row>
    <row r="175" spans="9:12" x14ac:dyDescent="0.45">
      <c r="I175" t="s">
        <v>165</v>
      </c>
      <c r="J175" t="s">
        <v>234</v>
      </c>
      <c r="K175">
        <v>2.969983176457557E-4</v>
      </c>
      <c r="L175" t="s">
        <v>157</v>
      </c>
    </row>
    <row r="176" spans="9:12" x14ac:dyDescent="0.45">
      <c r="I176" t="s">
        <v>165</v>
      </c>
      <c r="J176" t="s">
        <v>235</v>
      </c>
      <c r="K176">
        <v>2.9762898340425026E-4</v>
      </c>
      <c r="L176" t="s">
        <v>157</v>
      </c>
    </row>
    <row r="177" spans="9:12" x14ac:dyDescent="0.45">
      <c r="I177" t="s">
        <v>165</v>
      </c>
      <c r="J177" t="s">
        <v>236</v>
      </c>
      <c r="K177">
        <v>2.358020850066872E-4</v>
      </c>
      <c r="L177" t="s">
        <v>157</v>
      </c>
    </row>
    <row r="178" spans="9:12" x14ac:dyDescent="0.45">
      <c r="I178" t="s">
        <v>165</v>
      </c>
      <c r="J178" t="s">
        <v>237</v>
      </c>
      <c r="K178">
        <v>1.9175517576773877E-4</v>
      </c>
      <c r="L178" t="s">
        <v>157</v>
      </c>
    </row>
    <row r="179" spans="9:12" x14ac:dyDescent="0.45">
      <c r="I179" t="s">
        <v>165</v>
      </c>
      <c r="J179" t="s">
        <v>238</v>
      </c>
      <c r="K179">
        <v>1.2466314765907001E-4</v>
      </c>
      <c r="L179" t="s">
        <v>157</v>
      </c>
    </row>
    <row r="180" spans="9:12" x14ac:dyDescent="0.45">
      <c r="I180" t="s">
        <v>165</v>
      </c>
      <c r="J180" t="s">
        <v>239</v>
      </c>
      <c r="K180">
        <v>0</v>
      </c>
      <c r="L180" t="s">
        <v>157</v>
      </c>
    </row>
    <row r="181" spans="9:12" x14ac:dyDescent="0.45">
      <c r="I181" t="s">
        <v>165</v>
      </c>
      <c r="J181" t="s">
        <v>240</v>
      </c>
      <c r="K181">
        <v>0</v>
      </c>
      <c r="L181" t="s">
        <v>157</v>
      </c>
    </row>
    <row r="182" spans="9:12" x14ac:dyDescent="0.45">
      <c r="I182" t="s">
        <v>165</v>
      </c>
      <c r="J182" t="s">
        <v>241</v>
      </c>
      <c r="K182">
        <v>0</v>
      </c>
      <c r="L182" t="s">
        <v>157</v>
      </c>
    </row>
    <row r="183" spans="9:12" x14ac:dyDescent="0.45">
      <c r="I183" t="s">
        <v>165</v>
      </c>
      <c r="J183" t="s">
        <v>242</v>
      </c>
      <c r="K183">
        <v>0</v>
      </c>
      <c r="L183" t="s">
        <v>157</v>
      </c>
    </row>
    <row r="184" spans="9:12" x14ac:dyDescent="0.45">
      <c r="I184" t="s">
        <v>165</v>
      </c>
      <c r="J184" t="s">
        <v>243</v>
      </c>
      <c r="K184">
        <v>0</v>
      </c>
      <c r="L184" t="s">
        <v>157</v>
      </c>
    </row>
    <row r="185" spans="9:12" x14ac:dyDescent="0.45">
      <c r="I185" t="s">
        <v>166</v>
      </c>
      <c r="J185" t="s">
        <v>156</v>
      </c>
      <c r="K185">
        <v>0.99689255834685297</v>
      </c>
      <c r="L185" t="s">
        <v>157</v>
      </c>
    </row>
    <row r="186" spans="9:12" x14ac:dyDescent="0.45">
      <c r="I186" t="s">
        <v>166</v>
      </c>
      <c r="J186" t="s">
        <v>158</v>
      </c>
      <c r="K186">
        <v>0</v>
      </c>
      <c r="L186" t="s">
        <v>157</v>
      </c>
    </row>
    <row r="187" spans="9:12" x14ac:dyDescent="0.45">
      <c r="I187" t="s">
        <v>166</v>
      </c>
      <c r="J187" t="s">
        <v>159</v>
      </c>
      <c r="K187">
        <v>0</v>
      </c>
      <c r="L187" t="s">
        <v>157</v>
      </c>
    </row>
    <row r="188" spans="9:12" x14ac:dyDescent="0.45">
      <c r="I188" t="s">
        <v>166</v>
      </c>
      <c r="J188" t="s">
        <v>160</v>
      </c>
      <c r="K188">
        <v>0</v>
      </c>
      <c r="L188" t="s">
        <v>157</v>
      </c>
    </row>
    <row r="189" spans="9:12" x14ac:dyDescent="0.45">
      <c r="I189" t="s">
        <v>166</v>
      </c>
      <c r="J189" t="s">
        <v>193</v>
      </c>
      <c r="K189">
        <v>0</v>
      </c>
      <c r="L189" t="s">
        <v>157</v>
      </c>
    </row>
    <row r="190" spans="9:12" x14ac:dyDescent="0.45">
      <c r="I190" t="s">
        <v>166</v>
      </c>
      <c r="J190" t="s">
        <v>220</v>
      </c>
      <c r="K190">
        <v>0</v>
      </c>
      <c r="L190" t="s">
        <v>157</v>
      </c>
    </row>
    <row r="191" spans="9:12" x14ac:dyDescent="0.45">
      <c r="I191" t="s">
        <v>166</v>
      </c>
      <c r="J191" t="s">
        <v>221</v>
      </c>
      <c r="K191">
        <v>0</v>
      </c>
      <c r="L191" t="s">
        <v>157</v>
      </c>
    </row>
    <row r="192" spans="9:12" x14ac:dyDescent="0.45">
      <c r="I192" t="s">
        <v>166</v>
      </c>
      <c r="J192" t="s">
        <v>222</v>
      </c>
      <c r="K192">
        <v>0</v>
      </c>
      <c r="L192" t="s">
        <v>157</v>
      </c>
    </row>
    <row r="193" spans="9:12" x14ac:dyDescent="0.45">
      <c r="I193" t="s">
        <v>166</v>
      </c>
      <c r="J193" t="s">
        <v>223</v>
      </c>
      <c r="K193">
        <v>0</v>
      </c>
      <c r="L193" t="s">
        <v>157</v>
      </c>
    </row>
    <row r="194" spans="9:12" x14ac:dyDescent="0.45">
      <c r="I194" t="s">
        <v>166</v>
      </c>
      <c r="J194" t="s">
        <v>224</v>
      </c>
      <c r="K194">
        <v>0</v>
      </c>
      <c r="L194" t="s">
        <v>157</v>
      </c>
    </row>
    <row r="195" spans="9:12" x14ac:dyDescent="0.45">
      <c r="I195" t="s">
        <v>166</v>
      </c>
      <c r="J195" t="s">
        <v>225</v>
      </c>
      <c r="K195">
        <v>0</v>
      </c>
      <c r="L195" t="s">
        <v>157</v>
      </c>
    </row>
    <row r="196" spans="9:12" x14ac:dyDescent="0.45">
      <c r="I196" t="s">
        <v>166</v>
      </c>
      <c r="J196" t="s">
        <v>226</v>
      </c>
      <c r="K196">
        <v>0</v>
      </c>
      <c r="L196" t="s">
        <v>157</v>
      </c>
    </row>
    <row r="197" spans="9:12" x14ac:dyDescent="0.45">
      <c r="I197" t="s">
        <v>166</v>
      </c>
      <c r="J197" t="s">
        <v>227</v>
      </c>
      <c r="K197">
        <v>1.734958851152124E-4</v>
      </c>
      <c r="L197" t="s">
        <v>157</v>
      </c>
    </row>
    <row r="198" spans="9:12" x14ac:dyDescent="0.45">
      <c r="I198" t="s">
        <v>166</v>
      </c>
      <c r="J198" t="s">
        <v>228</v>
      </c>
      <c r="K198">
        <v>3.044934944749429E-4</v>
      </c>
      <c r="L198" t="s">
        <v>157</v>
      </c>
    </row>
    <row r="199" spans="9:12" x14ac:dyDescent="0.45">
      <c r="I199" t="s">
        <v>166</v>
      </c>
      <c r="J199" t="s">
        <v>229</v>
      </c>
      <c r="K199">
        <v>2.7026939999134659E-4</v>
      </c>
      <c r="L199" t="s">
        <v>157</v>
      </c>
    </row>
    <row r="200" spans="9:12" x14ac:dyDescent="0.45">
      <c r="I200" t="s">
        <v>166</v>
      </c>
      <c r="J200" t="s">
        <v>230</v>
      </c>
      <c r="K200">
        <v>3.8582204994016558E-4</v>
      </c>
      <c r="L200" t="s">
        <v>157</v>
      </c>
    </row>
    <row r="201" spans="9:12" x14ac:dyDescent="0.45">
      <c r="I201" t="s">
        <v>166</v>
      </c>
      <c r="J201" t="s">
        <v>231</v>
      </c>
      <c r="K201">
        <v>3.8091932441813641E-4</v>
      </c>
      <c r="L201" t="s">
        <v>157</v>
      </c>
    </row>
    <row r="202" spans="9:12" x14ac:dyDescent="0.45">
      <c r="I202" t="s">
        <v>166</v>
      </c>
      <c r="J202" t="s">
        <v>232</v>
      </c>
      <c r="K202">
        <v>3.2137745652478827E-4</v>
      </c>
      <c r="L202" t="s">
        <v>157</v>
      </c>
    </row>
    <row r="203" spans="9:12" x14ac:dyDescent="0.45">
      <c r="I203" t="s">
        <v>166</v>
      </c>
      <c r="J203" t="s">
        <v>233</v>
      </c>
      <c r="K203">
        <v>2.5439086882844567E-4</v>
      </c>
      <c r="L203" t="s">
        <v>157</v>
      </c>
    </row>
    <row r="204" spans="9:12" x14ac:dyDescent="0.45">
      <c r="I204" t="s">
        <v>166</v>
      </c>
      <c r="J204" t="s">
        <v>234</v>
      </c>
      <c r="K204">
        <v>2.6207255981459775E-4</v>
      </c>
      <c r="L204" t="s">
        <v>157</v>
      </c>
    </row>
    <row r="205" spans="9:12" x14ac:dyDescent="0.45">
      <c r="I205" t="s">
        <v>166</v>
      </c>
      <c r="J205" t="s">
        <v>235</v>
      </c>
      <c r="K205">
        <v>2.7050818172847296E-4</v>
      </c>
      <c r="L205" t="s">
        <v>157</v>
      </c>
    </row>
    <row r="206" spans="9:12" x14ac:dyDescent="0.45">
      <c r="I206" t="s">
        <v>166</v>
      </c>
      <c r="J206" t="s">
        <v>236</v>
      </c>
      <c r="K206">
        <v>2.0977637604693581E-4</v>
      </c>
      <c r="L206" t="s">
        <v>157</v>
      </c>
    </row>
    <row r="207" spans="9:12" x14ac:dyDescent="0.45">
      <c r="I207" t="s">
        <v>166</v>
      </c>
      <c r="J207" t="s">
        <v>237</v>
      </c>
      <c r="K207">
        <v>1.6675773698063948E-4</v>
      </c>
      <c r="L207" t="s">
        <v>157</v>
      </c>
    </row>
    <row r="208" spans="9:12" x14ac:dyDescent="0.45">
      <c r="I208" t="s">
        <v>166</v>
      </c>
      <c r="J208" t="s">
        <v>238</v>
      </c>
      <c r="K208">
        <v>1.0755831928517014E-4</v>
      </c>
      <c r="L208" t="s">
        <v>157</v>
      </c>
    </row>
    <row r="209" spans="9:12" x14ac:dyDescent="0.45">
      <c r="I209" t="s">
        <v>166</v>
      </c>
      <c r="J209" t="s">
        <v>239</v>
      </c>
      <c r="K209">
        <v>0</v>
      </c>
      <c r="L209" t="s">
        <v>157</v>
      </c>
    </row>
    <row r="210" spans="9:12" x14ac:dyDescent="0.45">
      <c r="I210" t="s">
        <v>166</v>
      </c>
      <c r="J210" t="s">
        <v>240</v>
      </c>
      <c r="K210">
        <v>0</v>
      </c>
      <c r="L210" t="s">
        <v>157</v>
      </c>
    </row>
    <row r="211" spans="9:12" x14ac:dyDescent="0.45">
      <c r="I211" t="s">
        <v>166</v>
      </c>
      <c r="J211" t="s">
        <v>241</v>
      </c>
      <c r="K211">
        <v>0</v>
      </c>
      <c r="L211" t="s">
        <v>157</v>
      </c>
    </row>
    <row r="212" spans="9:12" x14ac:dyDescent="0.45">
      <c r="I212" t="s">
        <v>166</v>
      </c>
      <c r="J212" t="s">
        <v>242</v>
      </c>
      <c r="K212">
        <v>0</v>
      </c>
      <c r="L212" t="s">
        <v>157</v>
      </c>
    </row>
    <row r="213" spans="9:12" x14ac:dyDescent="0.45">
      <c r="I213" t="s">
        <v>166</v>
      </c>
      <c r="J213" t="s">
        <v>243</v>
      </c>
      <c r="K213">
        <v>0</v>
      </c>
      <c r="L213" t="s">
        <v>157</v>
      </c>
    </row>
    <row r="214" spans="9:12" x14ac:dyDescent="0.45">
      <c r="I214" t="s">
        <v>167</v>
      </c>
      <c r="J214" t="s">
        <v>156</v>
      </c>
      <c r="K214">
        <v>0.99671660989861699</v>
      </c>
      <c r="L214" t="s">
        <v>157</v>
      </c>
    </row>
    <row r="215" spans="9:12" x14ac:dyDescent="0.45">
      <c r="I215" t="s">
        <v>167</v>
      </c>
      <c r="J215" t="s">
        <v>158</v>
      </c>
      <c r="K215">
        <v>0</v>
      </c>
      <c r="L215" t="s">
        <v>157</v>
      </c>
    </row>
    <row r="216" spans="9:12" x14ac:dyDescent="0.45">
      <c r="I216" t="s">
        <v>167</v>
      </c>
      <c r="J216" t="s">
        <v>159</v>
      </c>
      <c r="K216">
        <v>0</v>
      </c>
      <c r="L216" t="s">
        <v>157</v>
      </c>
    </row>
    <row r="217" spans="9:12" x14ac:dyDescent="0.45">
      <c r="I217" t="s">
        <v>167</v>
      </c>
      <c r="J217" t="s">
        <v>160</v>
      </c>
      <c r="K217">
        <v>0</v>
      </c>
      <c r="L217" t="s">
        <v>157</v>
      </c>
    </row>
    <row r="218" spans="9:12" x14ac:dyDescent="0.45">
      <c r="I218" t="s">
        <v>167</v>
      </c>
      <c r="J218" t="s">
        <v>193</v>
      </c>
      <c r="K218">
        <v>0</v>
      </c>
      <c r="L218" t="s">
        <v>157</v>
      </c>
    </row>
    <row r="219" spans="9:12" x14ac:dyDescent="0.45">
      <c r="I219" t="s">
        <v>167</v>
      </c>
      <c r="J219" t="s">
        <v>220</v>
      </c>
      <c r="K219">
        <v>0</v>
      </c>
      <c r="L219" t="s">
        <v>157</v>
      </c>
    </row>
    <row r="220" spans="9:12" x14ac:dyDescent="0.45">
      <c r="I220" t="s">
        <v>167</v>
      </c>
      <c r="J220" t="s">
        <v>221</v>
      </c>
      <c r="K220">
        <v>0</v>
      </c>
      <c r="L220" t="s">
        <v>157</v>
      </c>
    </row>
    <row r="221" spans="9:12" x14ac:dyDescent="0.45">
      <c r="I221" t="s">
        <v>167</v>
      </c>
      <c r="J221" t="s">
        <v>222</v>
      </c>
      <c r="K221">
        <v>0</v>
      </c>
      <c r="L221" t="s">
        <v>157</v>
      </c>
    </row>
    <row r="222" spans="9:12" x14ac:dyDescent="0.45">
      <c r="I222" t="s">
        <v>167</v>
      </c>
      <c r="J222" t="s">
        <v>223</v>
      </c>
      <c r="K222">
        <v>0</v>
      </c>
      <c r="L222" t="s">
        <v>157</v>
      </c>
    </row>
    <row r="223" spans="9:12" x14ac:dyDescent="0.45">
      <c r="I223" t="s">
        <v>167</v>
      </c>
      <c r="J223" t="s">
        <v>224</v>
      </c>
      <c r="K223">
        <v>0</v>
      </c>
      <c r="L223" t="s">
        <v>157</v>
      </c>
    </row>
    <row r="224" spans="9:12" x14ac:dyDescent="0.45">
      <c r="I224" t="s">
        <v>167</v>
      </c>
      <c r="J224" t="s">
        <v>225</v>
      </c>
      <c r="K224">
        <v>0</v>
      </c>
      <c r="L224" t="s">
        <v>157</v>
      </c>
    </row>
    <row r="225" spans="9:12" x14ac:dyDescent="0.45">
      <c r="I225" t="s">
        <v>167</v>
      </c>
      <c r="J225" t="s">
        <v>226</v>
      </c>
      <c r="K225">
        <v>0</v>
      </c>
      <c r="L225" t="s">
        <v>157</v>
      </c>
    </row>
    <row r="226" spans="9:12" x14ac:dyDescent="0.45">
      <c r="I226" t="s">
        <v>167</v>
      </c>
      <c r="J226" t="s">
        <v>227</v>
      </c>
      <c r="K226">
        <v>1.301415897832407E-4</v>
      </c>
      <c r="L226" t="s">
        <v>157</v>
      </c>
    </row>
    <row r="227" spans="9:12" x14ac:dyDescent="0.45">
      <c r="I227" t="s">
        <v>167</v>
      </c>
      <c r="J227" t="s">
        <v>228</v>
      </c>
      <c r="K227">
        <v>2.7602847430652059E-4</v>
      </c>
      <c r="L227" t="s">
        <v>157</v>
      </c>
    </row>
    <row r="228" spans="9:12" x14ac:dyDescent="0.45">
      <c r="I228" t="s">
        <v>167</v>
      </c>
      <c r="J228" t="s">
        <v>229</v>
      </c>
      <c r="K228">
        <v>2.9379685662664085E-4</v>
      </c>
      <c r="L228" t="s">
        <v>157</v>
      </c>
    </row>
    <row r="229" spans="9:12" x14ac:dyDescent="0.45">
      <c r="I229" t="s">
        <v>167</v>
      </c>
      <c r="J229" t="s">
        <v>230</v>
      </c>
      <c r="K229">
        <v>3.8067530808365263E-4</v>
      </c>
      <c r="L229" t="s">
        <v>157</v>
      </c>
    </row>
    <row r="230" spans="9:12" x14ac:dyDescent="0.45">
      <c r="I230" t="s">
        <v>167</v>
      </c>
      <c r="J230" t="s">
        <v>231</v>
      </c>
      <c r="K230">
        <v>3.6360630090634654E-4</v>
      </c>
      <c r="L230" t="s">
        <v>157</v>
      </c>
    </row>
    <row r="231" spans="9:12" x14ac:dyDescent="0.45">
      <c r="I231" t="s">
        <v>167</v>
      </c>
      <c r="J231" t="s">
        <v>232</v>
      </c>
      <c r="K231">
        <v>3.5578816392580512E-4</v>
      </c>
      <c r="L231" t="s">
        <v>157</v>
      </c>
    </row>
    <row r="232" spans="9:12" x14ac:dyDescent="0.45">
      <c r="I232" t="s">
        <v>167</v>
      </c>
      <c r="J232" t="s">
        <v>233</v>
      </c>
      <c r="K232">
        <v>3.2582682945689123E-4</v>
      </c>
      <c r="L232" t="s">
        <v>157</v>
      </c>
    </row>
    <row r="233" spans="9:12" x14ac:dyDescent="0.45">
      <c r="I233" t="s">
        <v>167</v>
      </c>
      <c r="J233" t="s">
        <v>234</v>
      </c>
      <c r="K233">
        <v>3.069058265438195E-4</v>
      </c>
      <c r="L233" t="s">
        <v>157</v>
      </c>
    </row>
    <row r="234" spans="9:12" x14ac:dyDescent="0.45">
      <c r="I234" t="s">
        <v>167</v>
      </c>
      <c r="J234" t="s">
        <v>235</v>
      </c>
      <c r="K234">
        <v>2.8481049549806367E-4</v>
      </c>
      <c r="L234" t="s">
        <v>157</v>
      </c>
    </row>
    <row r="235" spans="9:12" x14ac:dyDescent="0.45">
      <c r="I235" t="s">
        <v>167</v>
      </c>
      <c r="J235" t="s">
        <v>236</v>
      </c>
      <c r="K235">
        <v>2.2946812995057079E-4</v>
      </c>
      <c r="L235" t="s">
        <v>157</v>
      </c>
    </row>
    <row r="236" spans="9:12" x14ac:dyDescent="0.45">
      <c r="I236" t="s">
        <v>167</v>
      </c>
      <c r="J236" t="s">
        <v>237</v>
      </c>
      <c r="K236">
        <v>1.9908281107046771E-4</v>
      </c>
      <c r="L236" t="s">
        <v>157</v>
      </c>
    </row>
    <row r="237" spans="9:12" x14ac:dyDescent="0.45">
      <c r="I237" t="s">
        <v>167</v>
      </c>
      <c r="J237" t="s">
        <v>238</v>
      </c>
      <c r="K237">
        <v>1.372593152311023E-4</v>
      </c>
      <c r="L237" t="s">
        <v>157</v>
      </c>
    </row>
    <row r="238" spans="9:12" x14ac:dyDescent="0.45">
      <c r="I238" t="s">
        <v>167</v>
      </c>
      <c r="J238" t="s">
        <v>239</v>
      </c>
      <c r="K238">
        <v>0</v>
      </c>
      <c r="L238" t="s">
        <v>157</v>
      </c>
    </row>
    <row r="239" spans="9:12" x14ac:dyDescent="0.45">
      <c r="I239" t="s">
        <v>167</v>
      </c>
      <c r="J239" t="s">
        <v>240</v>
      </c>
      <c r="K239">
        <v>0</v>
      </c>
      <c r="L239" t="s">
        <v>157</v>
      </c>
    </row>
    <row r="240" spans="9:12" x14ac:dyDescent="0.45">
      <c r="I240" t="s">
        <v>167</v>
      </c>
      <c r="J240" t="s">
        <v>241</v>
      </c>
      <c r="K240">
        <v>0</v>
      </c>
      <c r="L240" t="s">
        <v>157</v>
      </c>
    </row>
    <row r="241" spans="9:12" x14ac:dyDescent="0.45">
      <c r="I241" t="s">
        <v>167</v>
      </c>
      <c r="J241" t="s">
        <v>242</v>
      </c>
      <c r="K241">
        <v>0</v>
      </c>
      <c r="L241" t="s">
        <v>157</v>
      </c>
    </row>
    <row r="242" spans="9:12" x14ac:dyDescent="0.45">
      <c r="I242" t="s">
        <v>167</v>
      </c>
      <c r="J242" t="s">
        <v>243</v>
      </c>
      <c r="K242">
        <v>0</v>
      </c>
      <c r="L242" t="s">
        <v>157</v>
      </c>
    </row>
    <row r="243" spans="9:12" x14ac:dyDescent="0.45">
      <c r="I243" t="s">
        <v>168</v>
      </c>
      <c r="J243" t="s">
        <v>156</v>
      </c>
      <c r="K243">
        <v>0.99690361282905682</v>
      </c>
      <c r="L243" t="s">
        <v>157</v>
      </c>
    </row>
    <row r="244" spans="9:12" x14ac:dyDescent="0.45">
      <c r="I244" t="s">
        <v>168</v>
      </c>
      <c r="J244" t="s">
        <v>158</v>
      </c>
      <c r="K244">
        <v>0</v>
      </c>
      <c r="L244" t="s">
        <v>157</v>
      </c>
    </row>
    <row r="245" spans="9:12" x14ac:dyDescent="0.45">
      <c r="I245" t="s">
        <v>168</v>
      </c>
      <c r="J245" t="s">
        <v>159</v>
      </c>
      <c r="K245">
        <v>0</v>
      </c>
      <c r="L245" t="s">
        <v>157</v>
      </c>
    </row>
    <row r="246" spans="9:12" x14ac:dyDescent="0.45">
      <c r="I246" t="s">
        <v>168</v>
      </c>
      <c r="J246" t="s">
        <v>160</v>
      </c>
      <c r="K246">
        <v>0</v>
      </c>
      <c r="L246" t="s">
        <v>157</v>
      </c>
    </row>
    <row r="247" spans="9:12" x14ac:dyDescent="0.45">
      <c r="I247" t="s">
        <v>168</v>
      </c>
      <c r="J247" t="s">
        <v>193</v>
      </c>
      <c r="K247">
        <v>0</v>
      </c>
      <c r="L247" t="s">
        <v>157</v>
      </c>
    </row>
    <row r="248" spans="9:12" x14ac:dyDescent="0.45">
      <c r="I248" t="s">
        <v>168</v>
      </c>
      <c r="J248" t="s">
        <v>220</v>
      </c>
      <c r="K248">
        <v>0</v>
      </c>
      <c r="L248" t="s">
        <v>157</v>
      </c>
    </row>
    <row r="249" spans="9:12" x14ac:dyDescent="0.45">
      <c r="I249" t="s">
        <v>168</v>
      </c>
      <c r="J249" t="s">
        <v>221</v>
      </c>
      <c r="K249">
        <v>0</v>
      </c>
      <c r="L249" t="s">
        <v>157</v>
      </c>
    </row>
    <row r="250" spans="9:12" x14ac:dyDescent="0.45">
      <c r="I250" t="s">
        <v>168</v>
      </c>
      <c r="J250" t="s">
        <v>222</v>
      </c>
      <c r="K250">
        <v>0</v>
      </c>
      <c r="L250" t="s">
        <v>157</v>
      </c>
    </row>
    <row r="251" spans="9:12" x14ac:dyDescent="0.45">
      <c r="I251" t="s">
        <v>168</v>
      </c>
      <c r="J251" t="s">
        <v>223</v>
      </c>
      <c r="K251">
        <v>0</v>
      </c>
      <c r="L251" t="s">
        <v>157</v>
      </c>
    </row>
    <row r="252" spans="9:12" x14ac:dyDescent="0.45">
      <c r="I252" t="s">
        <v>168</v>
      </c>
      <c r="J252" t="s">
        <v>224</v>
      </c>
      <c r="K252">
        <v>0</v>
      </c>
      <c r="L252" t="s">
        <v>157</v>
      </c>
    </row>
    <row r="253" spans="9:12" x14ac:dyDescent="0.45">
      <c r="I253" t="s">
        <v>168</v>
      </c>
      <c r="J253" t="s">
        <v>225</v>
      </c>
      <c r="K253">
        <v>0</v>
      </c>
      <c r="L253" t="s">
        <v>157</v>
      </c>
    </row>
    <row r="254" spans="9:12" x14ac:dyDescent="0.45">
      <c r="I254" t="s">
        <v>168</v>
      </c>
      <c r="J254" t="s">
        <v>226</v>
      </c>
      <c r="K254">
        <v>0</v>
      </c>
      <c r="L254" t="s">
        <v>157</v>
      </c>
    </row>
    <row r="255" spans="9:12" x14ac:dyDescent="0.45">
      <c r="I255" t="s">
        <v>168</v>
      </c>
      <c r="J255" t="s">
        <v>227</v>
      </c>
      <c r="K255">
        <v>1.6639630879575901E-4</v>
      </c>
      <c r="L255" t="s">
        <v>157</v>
      </c>
    </row>
    <row r="256" spans="9:12" x14ac:dyDescent="0.45">
      <c r="I256" t="s">
        <v>168</v>
      </c>
      <c r="J256" t="s">
        <v>228</v>
      </c>
      <c r="K256">
        <v>2.7680581150269932E-4</v>
      </c>
      <c r="L256" t="s">
        <v>157</v>
      </c>
    </row>
    <row r="257" spans="9:12" x14ac:dyDescent="0.45">
      <c r="I257" t="s">
        <v>168</v>
      </c>
      <c r="J257" t="s">
        <v>229</v>
      </c>
      <c r="K257">
        <v>3.2338008857583868E-4</v>
      </c>
      <c r="L257" t="s">
        <v>157</v>
      </c>
    </row>
    <row r="258" spans="9:12" x14ac:dyDescent="0.45">
      <c r="I258" t="s">
        <v>168</v>
      </c>
      <c r="J258" t="s">
        <v>230</v>
      </c>
      <c r="K258">
        <v>3.1091470715849238E-4</v>
      </c>
      <c r="L258" t="s">
        <v>157</v>
      </c>
    </row>
    <row r="259" spans="9:12" x14ac:dyDescent="0.45">
      <c r="I259" t="s">
        <v>168</v>
      </c>
      <c r="J259" t="s">
        <v>231</v>
      </c>
      <c r="K259">
        <v>3.0930936227935936E-4</v>
      </c>
      <c r="L259" t="s">
        <v>157</v>
      </c>
    </row>
    <row r="260" spans="9:12" x14ac:dyDescent="0.45">
      <c r="I260" t="s">
        <v>168</v>
      </c>
      <c r="J260" t="s">
        <v>232</v>
      </c>
      <c r="K260">
        <v>3.0299583918537578E-4</v>
      </c>
      <c r="L260" t="s">
        <v>157</v>
      </c>
    </row>
    <row r="261" spans="9:12" x14ac:dyDescent="0.45">
      <c r="I261" t="s">
        <v>168</v>
      </c>
      <c r="J261" t="s">
        <v>233</v>
      </c>
      <c r="K261">
        <v>2.9691162198461894E-4</v>
      </c>
      <c r="L261" t="s">
        <v>157</v>
      </c>
    </row>
    <row r="262" spans="9:12" x14ac:dyDescent="0.45">
      <c r="I262" t="s">
        <v>168</v>
      </c>
      <c r="J262" t="s">
        <v>234</v>
      </c>
      <c r="K262">
        <v>2.8809153050780243E-4</v>
      </c>
      <c r="L262" t="s">
        <v>157</v>
      </c>
    </row>
    <row r="263" spans="9:12" x14ac:dyDescent="0.45">
      <c r="I263" t="s">
        <v>168</v>
      </c>
      <c r="J263" t="s">
        <v>235</v>
      </c>
      <c r="K263">
        <v>2.9305569749116641E-4</v>
      </c>
      <c r="L263" t="s">
        <v>157</v>
      </c>
    </row>
    <row r="264" spans="9:12" x14ac:dyDescent="0.45">
      <c r="I264" t="s">
        <v>168</v>
      </c>
      <c r="J264" t="s">
        <v>236</v>
      </c>
      <c r="K264">
        <v>2.3913888346344784E-4</v>
      </c>
      <c r="L264" t="s">
        <v>157</v>
      </c>
    </row>
    <row r="265" spans="9:12" x14ac:dyDescent="0.45">
      <c r="I265" t="s">
        <v>168</v>
      </c>
      <c r="J265" t="s">
        <v>237</v>
      </c>
      <c r="K265">
        <v>1.7059985174435765E-4</v>
      </c>
      <c r="L265" t="s">
        <v>157</v>
      </c>
    </row>
    <row r="266" spans="9:12" x14ac:dyDescent="0.45">
      <c r="I266" t="s">
        <v>168</v>
      </c>
      <c r="J266" t="s">
        <v>238</v>
      </c>
      <c r="K266">
        <v>1.1878746825305593E-4</v>
      </c>
      <c r="L266" t="s">
        <v>157</v>
      </c>
    </row>
    <row r="267" spans="9:12" x14ac:dyDescent="0.45">
      <c r="I267" t="s">
        <v>168</v>
      </c>
      <c r="J267" t="s">
        <v>239</v>
      </c>
      <c r="K267">
        <v>0</v>
      </c>
      <c r="L267" t="s">
        <v>157</v>
      </c>
    </row>
    <row r="268" spans="9:12" x14ac:dyDescent="0.45">
      <c r="I268" t="s">
        <v>168</v>
      </c>
      <c r="J268" t="s">
        <v>240</v>
      </c>
      <c r="K268">
        <v>0</v>
      </c>
      <c r="L268" t="s">
        <v>157</v>
      </c>
    </row>
    <row r="269" spans="9:12" x14ac:dyDescent="0.45">
      <c r="I269" t="s">
        <v>168</v>
      </c>
      <c r="J269" t="s">
        <v>241</v>
      </c>
      <c r="K269">
        <v>0</v>
      </c>
      <c r="L269" t="s">
        <v>157</v>
      </c>
    </row>
    <row r="270" spans="9:12" x14ac:dyDescent="0.45">
      <c r="I270" t="s">
        <v>168</v>
      </c>
      <c r="J270" t="s">
        <v>242</v>
      </c>
      <c r="K270">
        <v>0</v>
      </c>
      <c r="L270" t="s">
        <v>157</v>
      </c>
    </row>
    <row r="271" spans="9:12" x14ac:dyDescent="0.45">
      <c r="I271" t="s">
        <v>168</v>
      </c>
      <c r="J271" t="s">
        <v>243</v>
      </c>
      <c r="K271">
        <v>0</v>
      </c>
      <c r="L271" t="s">
        <v>157</v>
      </c>
    </row>
    <row r="272" spans="9:12" x14ac:dyDescent="0.45">
      <c r="I272" t="s">
        <v>169</v>
      </c>
      <c r="J272" t="s">
        <v>156</v>
      </c>
      <c r="K272">
        <v>0.99683328802563664</v>
      </c>
      <c r="L272" t="s">
        <v>157</v>
      </c>
    </row>
    <row r="273" spans="9:12" x14ac:dyDescent="0.45">
      <c r="I273" t="s">
        <v>169</v>
      </c>
      <c r="J273" t="s">
        <v>158</v>
      </c>
      <c r="K273">
        <v>0</v>
      </c>
      <c r="L273" t="s">
        <v>157</v>
      </c>
    </row>
    <row r="274" spans="9:12" x14ac:dyDescent="0.45">
      <c r="I274" t="s">
        <v>169</v>
      </c>
      <c r="J274" t="s">
        <v>159</v>
      </c>
      <c r="K274">
        <v>0</v>
      </c>
      <c r="L274" t="s">
        <v>157</v>
      </c>
    </row>
    <row r="275" spans="9:12" x14ac:dyDescent="0.45">
      <c r="I275" t="s">
        <v>169</v>
      </c>
      <c r="J275" t="s">
        <v>160</v>
      </c>
      <c r="K275">
        <v>0</v>
      </c>
      <c r="L275" t="s">
        <v>157</v>
      </c>
    </row>
    <row r="276" spans="9:12" x14ac:dyDescent="0.45">
      <c r="I276" t="s">
        <v>169</v>
      </c>
      <c r="J276" t="s">
        <v>193</v>
      </c>
      <c r="K276">
        <v>0</v>
      </c>
      <c r="L276" t="s">
        <v>157</v>
      </c>
    </row>
    <row r="277" spans="9:12" x14ac:dyDescent="0.45">
      <c r="I277" t="s">
        <v>169</v>
      </c>
      <c r="J277" t="s">
        <v>220</v>
      </c>
      <c r="K277">
        <v>0</v>
      </c>
      <c r="L277" t="s">
        <v>157</v>
      </c>
    </row>
    <row r="278" spans="9:12" x14ac:dyDescent="0.45">
      <c r="I278" t="s">
        <v>169</v>
      </c>
      <c r="J278" t="s">
        <v>221</v>
      </c>
      <c r="K278">
        <v>0</v>
      </c>
      <c r="L278" t="s">
        <v>157</v>
      </c>
    </row>
    <row r="279" spans="9:12" x14ac:dyDescent="0.45">
      <c r="I279" t="s">
        <v>169</v>
      </c>
      <c r="J279" t="s">
        <v>222</v>
      </c>
      <c r="K279">
        <v>0</v>
      </c>
      <c r="L279" t="s">
        <v>157</v>
      </c>
    </row>
    <row r="280" spans="9:12" x14ac:dyDescent="0.45">
      <c r="I280" t="s">
        <v>169</v>
      </c>
      <c r="J280" t="s">
        <v>223</v>
      </c>
      <c r="K280">
        <v>0</v>
      </c>
      <c r="L280" t="s">
        <v>157</v>
      </c>
    </row>
    <row r="281" spans="9:12" x14ac:dyDescent="0.45">
      <c r="I281" t="s">
        <v>169</v>
      </c>
      <c r="J281" t="s">
        <v>224</v>
      </c>
      <c r="K281">
        <v>0</v>
      </c>
      <c r="L281" t="s">
        <v>157</v>
      </c>
    </row>
    <row r="282" spans="9:12" x14ac:dyDescent="0.45">
      <c r="I282" t="s">
        <v>169</v>
      </c>
      <c r="J282" t="s">
        <v>225</v>
      </c>
      <c r="K282">
        <v>0</v>
      </c>
      <c r="L282" t="s">
        <v>157</v>
      </c>
    </row>
    <row r="283" spans="9:12" x14ac:dyDescent="0.45">
      <c r="I283" t="s">
        <v>169</v>
      </c>
      <c r="J283" t="s">
        <v>226</v>
      </c>
      <c r="K283">
        <v>0</v>
      </c>
      <c r="L283" t="s">
        <v>157</v>
      </c>
    </row>
    <row r="284" spans="9:12" x14ac:dyDescent="0.45">
      <c r="I284" t="s">
        <v>169</v>
      </c>
      <c r="J284" t="s">
        <v>227</v>
      </c>
      <c r="K284">
        <v>1.6140169369607512E-4</v>
      </c>
      <c r="L284" t="s">
        <v>157</v>
      </c>
    </row>
    <row r="285" spans="9:12" x14ac:dyDescent="0.45">
      <c r="I285" t="s">
        <v>169</v>
      </c>
      <c r="J285" t="s">
        <v>228</v>
      </c>
      <c r="K285">
        <v>2.7840238180498473E-4</v>
      </c>
      <c r="L285" t="s">
        <v>157</v>
      </c>
    </row>
    <row r="286" spans="9:12" x14ac:dyDescent="0.45">
      <c r="I286" t="s">
        <v>169</v>
      </c>
      <c r="J286" t="s">
        <v>229</v>
      </c>
      <c r="K286">
        <v>3.2410990049599233E-4</v>
      </c>
      <c r="L286" t="s">
        <v>157</v>
      </c>
    </row>
    <row r="287" spans="9:12" x14ac:dyDescent="0.45">
      <c r="I287" t="s">
        <v>169</v>
      </c>
      <c r="J287" t="s">
        <v>230</v>
      </c>
      <c r="K287">
        <v>3.3269367638410769E-4</v>
      </c>
      <c r="L287" t="s">
        <v>157</v>
      </c>
    </row>
    <row r="288" spans="9:12" x14ac:dyDescent="0.45">
      <c r="I288" t="s">
        <v>169</v>
      </c>
      <c r="J288" t="s">
        <v>231</v>
      </c>
      <c r="K288">
        <v>3.1447303965890112E-4</v>
      </c>
      <c r="L288" t="s">
        <v>157</v>
      </c>
    </row>
    <row r="289" spans="9:12" x14ac:dyDescent="0.45">
      <c r="I289" t="s">
        <v>169</v>
      </c>
      <c r="J289" t="s">
        <v>232</v>
      </c>
      <c r="K289">
        <v>3.0963080553440917E-4</v>
      </c>
      <c r="L289" t="s">
        <v>157</v>
      </c>
    </row>
    <row r="290" spans="9:12" x14ac:dyDescent="0.45">
      <c r="I290" t="s">
        <v>169</v>
      </c>
      <c r="J290" t="s">
        <v>233</v>
      </c>
      <c r="K290">
        <v>2.9902954807021782E-4</v>
      </c>
      <c r="L290" t="s">
        <v>157</v>
      </c>
    </row>
    <row r="291" spans="9:12" x14ac:dyDescent="0.45">
      <c r="I291" t="s">
        <v>169</v>
      </c>
      <c r="J291" t="s">
        <v>234</v>
      </c>
      <c r="K291">
        <v>3.0796518164962953E-4</v>
      </c>
      <c r="L291" t="s">
        <v>157</v>
      </c>
    </row>
    <row r="292" spans="9:12" x14ac:dyDescent="0.45">
      <c r="I292" t="s">
        <v>169</v>
      </c>
      <c r="J292" t="s">
        <v>235</v>
      </c>
      <c r="K292">
        <v>3.0374578282343266E-4</v>
      </c>
      <c r="L292" t="s">
        <v>157</v>
      </c>
    </row>
    <row r="293" spans="9:12" x14ac:dyDescent="0.45">
      <c r="I293" t="s">
        <v>169</v>
      </c>
      <c r="J293" t="s">
        <v>236</v>
      </c>
      <c r="K293">
        <v>2.5181479929568644E-4</v>
      </c>
      <c r="L293" t="s">
        <v>157</v>
      </c>
    </row>
    <row r="294" spans="9:12" x14ac:dyDescent="0.45">
      <c r="I294" t="s">
        <v>169</v>
      </c>
      <c r="J294" t="s">
        <v>237</v>
      </c>
      <c r="K294">
        <v>1.8292657219218071E-4</v>
      </c>
      <c r="L294" t="s">
        <v>157</v>
      </c>
    </row>
    <row r="295" spans="9:12" x14ac:dyDescent="0.45">
      <c r="I295" t="s">
        <v>169</v>
      </c>
      <c r="J295" t="s">
        <v>238</v>
      </c>
      <c r="K295">
        <v>1.0051859275628213E-4</v>
      </c>
      <c r="L295" t="s">
        <v>157</v>
      </c>
    </row>
    <row r="296" spans="9:12" x14ac:dyDescent="0.45">
      <c r="I296" t="s">
        <v>169</v>
      </c>
      <c r="J296" t="s">
        <v>239</v>
      </c>
      <c r="K296">
        <v>0</v>
      </c>
      <c r="L296" t="s">
        <v>157</v>
      </c>
    </row>
    <row r="297" spans="9:12" x14ac:dyDescent="0.45">
      <c r="I297" t="s">
        <v>169</v>
      </c>
      <c r="J297" t="s">
        <v>240</v>
      </c>
      <c r="K297">
        <v>0</v>
      </c>
      <c r="L297" t="s">
        <v>157</v>
      </c>
    </row>
    <row r="298" spans="9:12" x14ac:dyDescent="0.45">
      <c r="I298" t="s">
        <v>169</v>
      </c>
      <c r="J298" t="s">
        <v>241</v>
      </c>
      <c r="K298">
        <v>0</v>
      </c>
      <c r="L298" t="s">
        <v>157</v>
      </c>
    </row>
    <row r="299" spans="9:12" x14ac:dyDescent="0.45">
      <c r="I299" t="s">
        <v>169</v>
      </c>
      <c r="J299" t="s">
        <v>242</v>
      </c>
      <c r="K299">
        <v>0</v>
      </c>
      <c r="L299" t="s">
        <v>157</v>
      </c>
    </row>
    <row r="300" spans="9:12" x14ac:dyDescent="0.45">
      <c r="I300" t="s">
        <v>169</v>
      </c>
      <c r="J300" t="s">
        <v>243</v>
      </c>
      <c r="K300">
        <v>0</v>
      </c>
      <c r="L300" t="s">
        <v>157</v>
      </c>
    </row>
    <row r="301" spans="9:12" x14ac:dyDescent="0.45">
      <c r="I301" t="s">
        <v>170</v>
      </c>
      <c r="J301" t="s">
        <v>156</v>
      </c>
      <c r="K301">
        <v>0.9967818406482698</v>
      </c>
      <c r="L301" t="s">
        <v>157</v>
      </c>
    </row>
    <row r="302" spans="9:12" x14ac:dyDescent="0.45">
      <c r="I302" t="s">
        <v>170</v>
      </c>
      <c r="J302" t="s">
        <v>158</v>
      </c>
      <c r="K302">
        <v>0</v>
      </c>
      <c r="L302" t="s">
        <v>157</v>
      </c>
    </row>
    <row r="303" spans="9:12" x14ac:dyDescent="0.45">
      <c r="I303" t="s">
        <v>170</v>
      </c>
      <c r="J303" t="s">
        <v>159</v>
      </c>
      <c r="K303">
        <v>0</v>
      </c>
      <c r="L303" t="s">
        <v>157</v>
      </c>
    </row>
    <row r="304" spans="9:12" x14ac:dyDescent="0.45">
      <c r="I304" t="s">
        <v>170</v>
      </c>
      <c r="J304" t="s">
        <v>160</v>
      </c>
      <c r="K304">
        <v>0</v>
      </c>
      <c r="L304" t="s">
        <v>157</v>
      </c>
    </row>
    <row r="305" spans="9:12" x14ac:dyDescent="0.45">
      <c r="I305" t="s">
        <v>170</v>
      </c>
      <c r="J305" t="s">
        <v>193</v>
      </c>
      <c r="K305">
        <v>0</v>
      </c>
      <c r="L305" t="s">
        <v>157</v>
      </c>
    </row>
    <row r="306" spans="9:12" x14ac:dyDescent="0.45">
      <c r="I306" t="s">
        <v>170</v>
      </c>
      <c r="J306" t="s">
        <v>220</v>
      </c>
      <c r="K306">
        <v>0</v>
      </c>
      <c r="L306" t="s">
        <v>157</v>
      </c>
    </row>
    <row r="307" spans="9:12" x14ac:dyDescent="0.45">
      <c r="I307" t="s">
        <v>170</v>
      </c>
      <c r="J307" t="s">
        <v>221</v>
      </c>
      <c r="K307">
        <v>0</v>
      </c>
      <c r="L307" t="s">
        <v>157</v>
      </c>
    </row>
    <row r="308" spans="9:12" x14ac:dyDescent="0.45">
      <c r="I308" t="s">
        <v>170</v>
      </c>
      <c r="J308" t="s">
        <v>222</v>
      </c>
      <c r="K308">
        <v>0</v>
      </c>
      <c r="L308" t="s">
        <v>157</v>
      </c>
    </row>
    <row r="309" spans="9:12" x14ac:dyDescent="0.45">
      <c r="I309" t="s">
        <v>170</v>
      </c>
      <c r="J309" t="s">
        <v>223</v>
      </c>
      <c r="K309">
        <v>0</v>
      </c>
      <c r="L309" t="s">
        <v>157</v>
      </c>
    </row>
    <row r="310" spans="9:12" x14ac:dyDescent="0.45">
      <c r="I310" t="s">
        <v>170</v>
      </c>
      <c r="J310" t="s">
        <v>224</v>
      </c>
      <c r="K310">
        <v>0</v>
      </c>
      <c r="L310" t="s">
        <v>157</v>
      </c>
    </row>
    <row r="311" spans="9:12" x14ac:dyDescent="0.45">
      <c r="I311" t="s">
        <v>170</v>
      </c>
      <c r="J311" t="s">
        <v>225</v>
      </c>
      <c r="K311">
        <v>0</v>
      </c>
      <c r="L311" t="s">
        <v>157</v>
      </c>
    </row>
    <row r="312" spans="9:12" x14ac:dyDescent="0.45">
      <c r="I312" t="s">
        <v>170</v>
      </c>
      <c r="J312" t="s">
        <v>226</v>
      </c>
      <c r="K312">
        <v>0</v>
      </c>
      <c r="L312" t="s">
        <v>157</v>
      </c>
    </row>
    <row r="313" spans="9:12" x14ac:dyDescent="0.45">
      <c r="I313" t="s">
        <v>170</v>
      </c>
      <c r="J313" t="s">
        <v>227</v>
      </c>
      <c r="K313">
        <v>1.4456122768385549E-4</v>
      </c>
      <c r="L313" t="s">
        <v>157</v>
      </c>
    </row>
    <row r="314" spans="9:12" x14ac:dyDescent="0.45">
      <c r="I314" t="s">
        <v>170</v>
      </c>
      <c r="J314" t="s">
        <v>228</v>
      </c>
      <c r="K314">
        <v>2.6666800664235313E-4</v>
      </c>
      <c r="L314" t="s">
        <v>157</v>
      </c>
    </row>
    <row r="315" spans="9:12" x14ac:dyDescent="0.45">
      <c r="I315" t="s">
        <v>170</v>
      </c>
      <c r="J315" t="s">
        <v>229</v>
      </c>
      <c r="K315">
        <v>3.2711203789907316E-4</v>
      </c>
      <c r="L315" t="s">
        <v>157</v>
      </c>
    </row>
    <row r="316" spans="9:12" x14ac:dyDescent="0.45">
      <c r="I316" t="s">
        <v>170</v>
      </c>
      <c r="J316" t="s">
        <v>230</v>
      </c>
      <c r="K316">
        <v>3.4622082609115805E-4</v>
      </c>
      <c r="L316" t="s">
        <v>157</v>
      </c>
    </row>
    <row r="317" spans="9:12" x14ac:dyDescent="0.45">
      <c r="I317" t="s">
        <v>170</v>
      </c>
      <c r="J317" t="s">
        <v>231</v>
      </c>
      <c r="K317">
        <v>3.5612788102412087E-4</v>
      </c>
      <c r="L317" t="s">
        <v>157</v>
      </c>
    </row>
    <row r="318" spans="9:12" x14ac:dyDescent="0.45">
      <c r="I318" t="s">
        <v>170</v>
      </c>
      <c r="J318" t="s">
        <v>232</v>
      </c>
      <c r="K318">
        <v>3.1294071726094952E-4</v>
      </c>
      <c r="L318" t="s">
        <v>157</v>
      </c>
    </row>
    <row r="319" spans="9:12" x14ac:dyDescent="0.45">
      <c r="I319" t="s">
        <v>170</v>
      </c>
      <c r="J319" t="s">
        <v>233</v>
      </c>
      <c r="K319">
        <v>3.078338596384464E-4</v>
      </c>
      <c r="L319" t="s">
        <v>157</v>
      </c>
    </row>
    <row r="320" spans="9:12" x14ac:dyDescent="0.45">
      <c r="I320" t="s">
        <v>170</v>
      </c>
      <c r="J320" t="s">
        <v>234</v>
      </c>
      <c r="K320">
        <v>3.1626868728963181E-4</v>
      </c>
      <c r="L320" t="s">
        <v>157</v>
      </c>
    </row>
    <row r="321" spans="9:12" x14ac:dyDescent="0.45">
      <c r="I321" t="s">
        <v>170</v>
      </c>
      <c r="J321" t="s">
        <v>235</v>
      </c>
      <c r="K321">
        <v>3.0061782356848325E-4</v>
      </c>
      <c r="L321" t="s">
        <v>157</v>
      </c>
    </row>
    <row r="322" spans="9:12" x14ac:dyDescent="0.45">
      <c r="I322" t="s">
        <v>170</v>
      </c>
      <c r="J322" t="s">
        <v>236</v>
      </c>
      <c r="K322">
        <v>2.3643004325173535E-4</v>
      </c>
      <c r="L322" t="s">
        <v>157</v>
      </c>
    </row>
    <row r="323" spans="9:12" x14ac:dyDescent="0.45">
      <c r="I323" t="s">
        <v>170</v>
      </c>
      <c r="J323" t="s">
        <v>237</v>
      </c>
      <c r="K323">
        <v>1.871484837875954E-4</v>
      </c>
      <c r="L323" t="s">
        <v>157</v>
      </c>
    </row>
    <row r="324" spans="9:12" x14ac:dyDescent="0.45">
      <c r="I324" t="s">
        <v>170</v>
      </c>
      <c r="J324" t="s">
        <v>238</v>
      </c>
      <c r="K324">
        <v>1.1622975758985149E-4</v>
      </c>
      <c r="L324" t="s">
        <v>157</v>
      </c>
    </row>
    <row r="325" spans="9:12" x14ac:dyDescent="0.45">
      <c r="I325" t="s">
        <v>170</v>
      </c>
      <c r="J325" t="s">
        <v>239</v>
      </c>
      <c r="K325">
        <v>0</v>
      </c>
      <c r="L325" t="s">
        <v>157</v>
      </c>
    </row>
    <row r="326" spans="9:12" x14ac:dyDescent="0.45">
      <c r="I326" t="s">
        <v>170</v>
      </c>
      <c r="J326" t="s">
        <v>240</v>
      </c>
      <c r="K326">
        <v>0</v>
      </c>
      <c r="L326" t="s">
        <v>157</v>
      </c>
    </row>
    <row r="327" spans="9:12" x14ac:dyDescent="0.45">
      <c r="I327" t="s">
        <v>170</v>
      </c>
      <c r="J327" t="s">
        <v>241</v>
      </c>
      <c r="K327">
        <v>0</v>
      </c>
      <c r="L327" t="s">
        <v>157</v>
      </c>
    </row>
    <row r="328" spans="9:12" x14ac:dyDescent="0.45">
      <c r="I328" t="s">
        <v>170</v>
      </c>
      <c r="J328" t="s">
        <v>242</v>
      </c>
      <c r="K328">
        <v>0</v>
      </c>
      <c r="L328" t="s">
        <v>157</v>
      </c>
    </row>
    <row r="329" spans="9:12" x14ac:dyDescent="0.45">
      <c r="I329" t="s">
        <v>170</v>
      </c>
      <c r="J329" t="s">
        <v>243</v>
      </c>
      <c r="K329">
        <v>0</v>
      </c>
      <c r="L329" t="s">
        <v>157</v>
      </c>
    </row>
    <row r="330" spans="9:12" x14ac:dyDescent="0.45">
      <c r="I330" t="s">
        <v>171</v>
      </c>
      <c r="J330" t="s">
        <v>156</v>
      </c>
      <c r="K330">
        <v>0.99676461079269096</v>
      </c>
      <c r="L330" t="s">
        <v>157</v>
      </c>
    </row>
    <row r="331" spans="9:12" x14ac:dyDescent="0.45">
      <c r="I331" t="s">
        <v>171</v>
      </c>
      <c r="J331" t="s">
        <v>158</v>
      </c>
      <c r="K331">
        <v>0</v>
      </c>
      <c r="L331" t="s">
        <v>157</v>
      </c>
    </row>
    <row r="332" spans="9:12" x14ac:dyDescent="0.45">
      <c r="I332" t="s">
        <v>171</v>
      </c>
      <c r="J332" t="s">
        <v>159</v>
      </c>
      <c r="K332">
        <v>0</v>
      </c>
      <c r="L332" t="s">
        <v>157</v>
      </c>
    </row>
    <row r="333" spans="9:12" x14ac:dyDescent="0.45">
      <c r="I333" t="s">
        <v>171</v>
      </c>
      <c r="J333" t="s">
        <v>160</v>
      </c>
      <c r="K333">
        <v>0</v>
      </c>
      <c r="L333" t="s">
        <v>157</v>
      </c>
    </row>
    <row r="334" spans="9:12" x14ac:dyDescent="0.45">
      <c r="I334" t="s">
        <v>171</v>
      </c>
      <c r="J334" t="s">
        <v>193</v>
      </c>
      <c r="K334">
        <v>0</v>
      </c>
      <c r="L334" t="s">
        <v>157</v>
      </c>
    </row>
    <row r="335" spans="9:12" x14ac:dyDescent="0.45">
      <c r="I335" t="s">
        <v>171</v>
      </c>
      <c r="J335" t="s">
        <v>220</v>
      </c>
      <c r="K335">
        <v>0</v>
      </c>
      <c r="L335" t="s">
        <v>157</v>
      </c>
    </row>
    <row r="336" spans="9:12" x14ac:dyDescent="0.45">
      <c r="I336" t="s">
        <v>171</v>
      </c>
      <c r="J336" t="s">
        <v>221</v>
      </c>
      <c r="K336">
        <v>0</v>
      </c>
      <c r="L336" t="s">
        <v>157</v>
      </c>
    </row>
    <row r="337" spans="9:12" x14ac:dyDescent="0.45">
      <c r="I337" t="s">
        <v>171</v>
      </c>
      <c r="J337" t="s">
        <v>222</v>
      </c>
      <c r="K337">
        <v>0</v>
      </c>
      <c r="L337" t="s">
        <v>157</v>
      </c>
    </row>
    <row r="338" spans="9:12" x14ac:dyDescent="0.45">
      <c r="I338" t="s">
        <v>171</v>
      </c>
      <c r="J338" t="s">
        <v>223</v>
      </c>
      <c r="K338">
        <v>0</v>
      </c>
      <c r="L338" t="s">
        <v>157</v>
      </c>
    </row>
    <row r="339" spans="9:12" x14ac:dyDescent="0.45">
      <c r="I339" t="s">
        <v>171</v>
      </c>
      <c r="J339" t="s">
        <v>224</v>
      </c>
      <c r="K339">
        <v>0</v>
      </c>
      <c r="L339" t="s">
        <v>157</v>
      </c>
    </row>
    <row r="340" spans="9:12" x14ac:dyDescent="0.45">
      <c r="I340" t="s">
        <v>171</v>
      </c>
      <c r="J340" t="s">
        <v>225</v>
      </c>
      <c r="K340">
        <v>0</v>
      </c>
      <c r="L340" t="s">
        <v>157</v>
      </c>
    </row>
    <row r="341" spans="9:12" x14ac:dyDescent="0.45">
      <c r="I341" t="s">
        <v>171</v>
      </c>
      <c r="J341" t="s">
        <v>226</v>
      </c>
      <c r="K341">
        <v>0</v>
      </c>
      <c r="L341" t="s">
        <v>157</v>
      </c>
    </row>
    <row r="342" spans="9:12" x14ac:dyDescent="0.45">
      <c r="I342" t="s">
        <v>171</v>
      </c>
      <c r="J342" t="s">
        <v>227</v>
      </c>
      <c r="K342">
        <v>1.3793389360080384E-4</v>
      </c>
      <c r="L342" t="s">
        <v>157</v>
      </c>
    </row>
    <row r="343" spans="9:12" x14ac:dyDescent="0.45">
      <c r="I343" t="s">
        <v>171</v>
      </c>
      <c r="J343" t="s">
        <v>228</v>
      </c>
      <c r="K343">
        <v>2.6287650666471799E-4</v>
      </c>
      <c r="L343" t="s">
        <v>157</v>
      </c>
    </row>
    <row r="344" spans="9:12" x14ac:dyDescent="0.45">
      <c r="I344" t="s">
        <v>171</v>
      </c>
      <c r="J344" t="s">
        <v>229</v>
      </c>
      <c r="K344">
        <v>3.2102286945333714E-4</v>
      </c>
      <c r="L344" t="s">
        <v>157</v>
      </c>
    </row>
    <row r="345" spans="9:12" x14ac:dyDescent="0.45">
      <c r="I345" t="s">
        <v>171</v>
      </c>
      <c r="J345" t="s">
        <v>230</v>
      </c>
      <c r="K345">
        <v>3.4767272070264013E-4</v>
      </c>
      <c r="L345" t="s">
        <v>157</v>
      </c>
    </row>
    <row r="346" spans="9:12" x14ac:dyDescent="0.45">
      <c r="I346" t="s">
        <v>171</v>
      </c>
      <c r="J346" t="s">
        <v>231</v>
      </c>
      <c r="K346">
        <v>3.2454352243440997E-4</v>
      </c>
      <c r="L346" t="s">
        <v>157</v>
      </c>
    </row>
    <row r="347" spans="9:12" x14ac:dyDescent="0.45">
      <c r="I347" t="s">
        <v>171</v>
      </c>
      <c r="J347" t="s">
        <v>232</v>
      </c>
      <c r="K347">
        <v>3.2446738440454324E-4</v>
      </c>
      <c r="L347" t="s">
        <v>157</v>
      </c>
    </row>
    <row r="348" spans="9:12" x14ac:dyDescent="0.45">
      <c r="I348" t="s">
        <v>171</v>
      </c>
      <c r="J348" t="s">
        <v>233</v>
      </c>
      <c r="K348">
        <v>3.0312281930909075E-4</v>
      </c>
      <c r="L348" t="s">
        <v>157</v>
      </c>
    </row>
    <row r="349" spans="9:12" x14ac:dyDescent="0.45">
      <c r="I349" t="s">
        <v>171</v>
      </c>
      <c r="J349" t="s">
        <v>234</v>
      </c>
      <c r="K349">
        <v>3.0928706711190874E-4</v>
      </c>
      <c r="L349" t="s">
        <v>157</v>
      </c>
    </row>
    <row r="350" spans="9:12" x14ac:dyDescent="0.45">
      <c r="I350" t="s">
        <v>171</v>
      </c>
      <c r="J350" t="s">
        <v>235</v>
      </c>
      <c r="K350">
        <v>3.1284926290186182E-4</v>
      </c>
      <c r="L350" t="s">
        <v>157</v>
      </c>
    </row>
    <row r="351" spans="9:12" x14ac:dyDescent="0.45">
      <c r="I351" t="s">
        <v>171</v>
      </c>
      <c r="J351" t="s">
        <v>236</v>
      </c>
      <c r="K351">
        <v>2.6856652899143109E-4</v>
      </c>
      <c r="L351" t="s">
        <v>157</v>
      </c>
    </row>
    <row r="352" spans="9:12" x14ac:dyDescent="0.45">
      <c r="I352" t="s">
        <v>171</v>
      </c>
      <c r="J352" t="s">
        <v>237</v>
      </c>
      <c r="K352">
        <v>2.0968817817123141E-4</v>
      </c>
      <c r="L352" t="s">
        <v>157</v>
      </c>
    </row>
    <row r="353" spans="9:12" x14ac:dyDescent="0.45">
      <c r="I353" t="s">
        <v>171</v>
      </c>
      <c r="J353" t="s">
        <v>238</v>
      </c>
      <c r="K353">
        <v>1.1335845356367266E-4</v>
      </c>
      <c r="L353" t="s">
        <v>157</v>
      </c>
    </row>
    <row r="354" spans="9:12" x14ac:dyDescent="0.45">
      <c r="I354" t="s">
        <v>171</v>
      </c>
      <c r="J354" t="s">
        <v>239</v>
      </c>
      <c r="K354">
        <v>0</v>
      </c>
      <c r="L354" t="s">
        <v>157</v>
      </c>
    </row>
    <row r="355" spans="9:12" x14ac:dyDescent="0.45">
      <c r="I355" t="s">
        <v>171</v>
      </c>
      <c r="J355" t="s">
        <v>240</v>
      </c>
      <c r="K355">
        <v>0</v>
      </c>
      <c r="L355" t="s">
        <v>157</v>
      </c>
    </row>
    <row r="356" spans="9:12" x14ac:dyDescent="0.45">
      <c r="I356" t="s">
        <v>171</v>
      </c>
      <c r="J356" t="s">
        <v>241</v>
      </c>
      <c r="K356">
        <v>0</v>
      </c>
      <c r="L356" t="s">
        <v>157</v>
      </c>
    </row>
    <row r="357" spans="9:12" x14ac:dyDescent="0.45">
      <c r="I357" t="s">
        <v>171</v>
      </c>
      <c r="J357" t="s">
        <v>242</v>
      </c>
      <c r="K357">
        <v>0</v>
      </c>
      <c r="L357" t="s">
        <v>157</v>
      </c>
    </row>
    <row r="358" spans="9:12" x14ac:dyDescent="0.45">
      <c r="I358" t="s">
        <v>171</v>
      </c>
      <c r="J358" t="s">
        <v>243</v>
      </c>
      <c r="K358">
        <v>0</v>
      </c>
      <c r="L358" t="s">
        <v>157</v>
      </c>
    </row>
    <row r="359" spans="9:12" x14ac:dyDescent="0.45">
      <c r="I359" t="s">
        <v>172</v>
      </c>
      <c r="J359" t="s">
        <v>156</v>
      </c>
      <c r="K359">
        <v>0.99674993607989415</v>
      </c>
      <c r="L359" t="s">
        <v>157</v>
      </c>
    </row>
    <row r="360" spans="9:12" x14ac:dyDescent="0.45">
      <c r="I360" t="s">
        <v>172</v>
      </c>
      <c r="J360" t="s">
        <v>158</v>
      </c>
      <c r="K360">
        <v>0</v>
      </c>
      <c r="L360" t="s">
        <v>157</v>
      </c>
    </row>
    <row r="361" spans="9:12" x14ac:dyDescent="0.45">
      <c r="I361" t="s">
        <v>172</v>
      </c>
      <c r="J361" t="s">
        <v>159</v>
      </c>
      <c r="K361">
        <v>0</v>
      </c>
      <c r="L361" t="s">
        <v>157</v>
      </c>
    </row>
    <row r="362" spans="9:12" x14ac:dyDescent="0.45">
      <c r="I362" t="s">
        <v>172</v>
      </c>
      <c r="J362" t="s">
        <v>160</v>
      </c>
      <c r="K362">
        <v>0</v>
      </c>
      <c r="L362" t="s">
        <v>157</v>
      </c>
    </row>
    <row r="363" spans="9:12" x14ac:dyDescent="0.45">
      <c r="I363" t="s">
        <v>172</v>
      </c>
      <c r="J363" t="s">
        <v>193</v>
      </c>
      <c r="K363">
        <v>0</v>
      </c>
      <c r="L363" t="s">
        <v>157</v>
      </c>
    </row>
    <row r="364" spans="9:12" x14ac:dyDescent="0.45">
      <c r="I364" t="s">
        <v>172</v>
      </c>
      <c r="J364" t="s">
        <v>220</v>
      </c>
      <c r="K364">
        <v>0</v>
      </c>
      <c r="L364" t="s">
        <v>157</v>
      </c>
    </row>
    <row r="365" spans="9:12" x14ac:dyDescent="0.45">
      <c r="I365" t="s">
        <v>172</v>
      </c>
      <c r="J365" t="s">
        <v>221</v>
      </c>
      <c r="K365">
        <v>0</v>
      </c>
      <c r="L365" t="s">
        <v>157</v>
      </c>
    </row>
    <row r="366" spans="9:12" x14ac:dyDescent="0.45">
      <c r="I366" t="s">
        <v>172</v>
      </c>
      <c r="J366" t="s">
        <v>222</v>
      </c>
      <c r="K366">
        <v>0</v>
      </c>
      <c r="L366" t="s">
        <v>157</v>
      </c>
    </row>
    <row r="367" spans="9:12" x14ac:dyDescent="0.45">
      <c r="I367" t="s">
        <v>172</v>
      </c>
      <c r="J367" t="s">
        <v>223</v>
      </c>
      <c r="K367">
        <v>0</v>
      </c>
      <c r="L367" t="s">
        <v>157</v>
      </c>
    </row>
    <row r="368" spans="9:12" x14ac:dyDescent="0.45">
      <c r="I368" t="s">
        <v>172</v>
      </c>
      <c r="J368" t="s">
        <v>224</v>
      </c>
      <c r="K368">
        <v>0</v>
      </c>
      <c r="L368" t="s">
        <v>157</v>
      </c>
    </row>
    <row r="369" spans="9:12" x14ac:dyDescent="0.45">
      <c r="I369" t="s">
        <v>172</v>
      </c>
      <c r="J369" t="s">
        <v>225</v>
      </c>
      <c r="K369">
        <v>0</v>
      </c>
      <c r="L369" t="s">
        <v>157</v>
      </c>
    </row>
    <row r="370" spans="9:12" x14ac:dyDescent="0.45">
      <c r="I370" t="s">
        <v>172</v>
      </c>
      <c r="J370" t="s">
        <v>226</v>
      </c>
      <c r="K370">
        <v>0</v>
      </c>
      <c r="L370" t="s">
        <v>157</v>
      </c>
    </row>
    <row r="371" spans="9:12" x14ac:dyDescent="0.45">
      <c r="I371" t="s">
        <v>172</v>
      </c>
      <c r="J371" t="s">
        <v>227</v>
      </c>
      <c r="K371">
        <v>1.3396793320715012E-4</v>
      </c>
      <c r="L371" t="s">
        <v>157</v>
      </c>
    </row>
    <row r="372" spans="9:12" x14ac:dyDescent="0.45">
      <c r="I372" t="s">
        <v>172</v>
      </c>
      <c r="J372" t="s">
        <v>228</v>
      </c>
      <c r="K372">
        <v>2.671406268003914E-4</v>
      </c>
      <c r="L372" t="s">
        <v>157</v>
      </c>
    </row>
    <row r="373" spans="9:12" x14ac:dyDescent="0.45">
      <c r="I373" t="s">
        <v>172</v>
      </c>
      <c r="J373" t="s">
        <v>229</v>
      </c>
      <c r="K373">
        <v>2.9699828754969193E-4</v>
      </c>
      <c r="L373" t="s">
        <v>157</v>
      </c>
    </row>
    <row r="374" spans="9:12" x14ac:dyDescent="0.45">
      <c r="I374" t="s">
        <v>172</v>
      </c>
      <c r="J374" t="s">
        <v>230</v>
      </c>
      <c r="K374">
        <v>3.5282727417737536E-4</v>
      </c>
      <c r="L374" t="s">
        <v>157</v>
      </c>
    </row>
    <row r="375" spans="9:12" x14ac:dyDescent="0.45">
      <c r="I375" t="s">
        <v>172</v>
      </c>
      <c r="J375" t="s">
        <v>231</v>
      </c>
      <c r="K375">
        <v>3.2182544816209839E-4</v>
      </c>
      <c r="L375" t="s">
        <v>157</v>
      </c>
    </row>
    <row r="376" spans="9:12" x14ac:dyDescent="0.45">
      <c r="I376" t="s">
        <v>172</v>
      </c>
      <c r="J376" t="s">
        <v>232</v>
      </c>
      <c r="K376">
        <v>3.2550624603836192E-4</v>
      </c>
      <c r="L376" t="s">
        <v>157</v>
      </c>
    </row>
    <row r="377" spans="9:12" x14ac:dyDescent="0.45">
      <c r="I377" t="s">
        <v>172</v>
      </c>
      <c r="J377" t="s">
        <v>233</v>
      </c>
      <c r="K377">
        <v>3.0690454615952482E-4</v>
      </c>
      <c r="L377" t="s">
        <v>157</v>
      </c>
    </row>
    <row r="378" spans="9:12" x14ac:dyDescent="0.45">
      <c r="I378" t="s">
        <v>172</v>
      </c>
      <c r="J378" t="s">
        <v>234</v>
      </c>
      <c r="K378">
        <v>2.9526001934267795E-4</v>
      </c>
      <c r="L378" t="s">
        <v>157</v>
      </c>
    </row>
    <row r="379" spans="9:12" x14ac:dyDescent="0.45">
      <c r="I379" t="s">
        <v>172</v>
      </c>
      <c r="J379" t="s">
        <v>235</v>
      </c>
      <c r="K379">
        <v>3.1568723435732195E-4</v>
      </c>
      <c r="L379" t="s">
        <v>157</v>
      </c>
    </row>
    <row r="380" spans="9:12" x14ac:dyDescent="0.45">
      <c r="I380" t="s">
        <v>172</v>
      </c>
      <c r="J380" t="s">
        <v>236</v>
      </c>
      <c r="K380">
        <v>2.6276143920446671E-4</v>
      </c>
      <c r="L380" t="s">
        <v>157</v>
      </c>
    </row>
    <row r="381" spans="9:12" x14ac:dyDescent="0.45">
      <c r="I381" t="s">
        <v>172</v>
      </c>
      <c r="J381" t="s">
        <v>237</v>
      </c>
      <c r="K381">
        <v>2.2640014697354385E-4</v>
      </c>
      <c r="L381" t="s">
        <v>157</v>
      </c>
    </row>
    <row r="382" spans="9:12" x14ac:dyDescent="0.45">
      <c r="I382" t="s">
        <v>172</v>
      </c>
      <c r="J382" t="s">
        <v>238</v>
      </c>
      <c r="K382">
        <v>1.4478471813236023E-4</v>
      </c>
      <c r="L382" t="s">
        <v>157</v>
      </c>
    </row>
    <row r="383" spans="9:12" x14ac:dyDescent="0.45">
      <c r="I383" t="s">
        <v>172</v>
      </c>
      <c r="J383" t="s">
        <v>239</v>
      </c>
      <c r="K383">
        <v>0</v>
      </c>
      <c r="L383" t="s">
        <v>157</v>
      </c>
    </row>
    <row r="384" spans="9:12" x14ac:dyDescent="0.45">
      <c r="I384" t="s">
        <v>172</v>
      </c>
      <c r="J384" t="s">
        <v>240</v>
      </c>
      <c r="K384">
        <v>0</v>
      </c>
      <c r="L384" t="s">
        <v>157</v>
      </c>
    </row>
    <row r="385" spans="9:12" x14ac:dyDescent="0.45">
      <c r="I385" t="s">
        <v>172</v>
      </c>
      <c r="J385" t="s">
        <v>241</v>
      </c>
      <c r="K385">
        <v>0</v>
      </c>
      <c r="L385" t="s">
        <v>157</v>
      </c>
    </row>
    <row r="386" spans="9:12" x14ac:dyDescent="0.45">
      <c r="I386" t="s">
        <v>172</v>
      </c>
      <c r="J386" t="s">
        <v>242</v>
      </c>
      <c r="K386">
        <v>0</v>
      </c>
      <c r="L386" t="s">
        <v>157</v>
      </c>
    </row>
    <row r="387" spans="9:12" x14ac:dyDescent="0.45">
      <c r="I387" t="s">
        <v>172</v>
      </c>
      <c r="J387" t="s">
        <v>243</v>
      </c>
      <c r="K387">
        <v>0</v>
      </c>
      <c r="L387" t="s">
        <v>157</v>
      </c>
    </row>
    <row r="388" spans="9:12" x14ac:dyDescent="0.45">
      <c r="I388" t="s">
        <v>173</v>
      </c>
      <c r="J388" t="s">
        <v>156</v>
      </c>
      <c r="K388">
        <v>0.99675412843235323</v>
      </c>
      <c r="L388" t="s">
        <v>157</v>
      </c>
    </row>
    <row r="389" spans="9:12" x14ac:dyDescent="0.45">
      <c r="I389" t="s">
        <v>173</v>
      </c>
      <c r="J389" t="s">
        <v>158</v>
      </c>
      <c r="K389">
        <v>0</v>
      </c>
      <c r="L389" t="s">
        <v>157</v>
      </c>
    </row>
    <row r="390" spans="9:12" x14ac:dyDescent="0.45">
      <c r="I390" t="s">
        <v>173</v>
      </c>
      <c r="J390" t="s">
        <v>159</v>
      </c>
      <c r="K390">
        <v>0</v>
      </c>
      <c r="L390" t="s">
        <v>157</v>
      </c>
    </row>
    <row r="391" spans="9:12" x14ac:dyDescent="0.45">
      <c r="I391" t="s">
        <v>173</v>
      </c>
      <c r="J391" t="s">
        <v>160</v>
      </c>
      <c r="K391">
        <v>0</v>
      </c>
      <c r="L391" t="s">
        <v>157</v>
      </c>
    </row>
    <row r="392" spans="9:12" x14ac:dyDescent="0.45">
      <c r="I392" t="s">
        <v>173</v>
      </c>
      <c r="J392" t="s">
        <v>193</v>
      </c>
      <c r="K392">
        <v>0</v>
      </c>
      <c r="L392" t="s">
        <v>157</v>
      </c>
    </row>
    <row r="393" spans="9:12" x14ac:dyDescent="0.45">
      <c r="I393" t="s">
        <v>173</v>
      </c>
      <c r="J393" t="s">
        <v>220</v>
      </c>
      <c r="K393">
        <v>0</v>
      </c>
      <c r="L393" t="s">
        <v>157</v>
      </c>
    </row>
    <row r="394" spans="9:12" x14ac:dyDescent="0.45">
      <c r="I394" t="s">
        <v>173</v>
      </c>
      <c r="J394" t="s">
        <v>221</v>
      </c>
      <c r="K394">
        <v>0</v>
      </c>
      <c r="L394" t="s">
        <v>157</v>
      </c>
    </row>
    <row r="395" spans="9:12" x14ac:dyDescent="0.45">
      <c r="I395" t="s">
        <v>173</v>
      </c>
      <c r="J395" t="s">
        <v>222</v>
      </c>
      <c r="K395">
        <v>0</v>
      </c>
      <c r="L395" t="s">
        <v>157</v>
      </c>
    </row>
    <row r="396" spans="9:12" x14ac:dyDescent="0.45">
      <c r="I396" t="s">
        <v>173</v>
      </c>
      <c r="J396" t="s">
        <v>223</v>
      </c>
      <c r="K396">
        <v>0</v>
      </c>
      <c r="L396" t="s">
        <v>157</v>
      </c>
    </row>
    <row r="397" spans="9:12" x14ac:dyDescent="0.45">
      <c r="I397" t="s">
        <v>173</v>
      </c>
      <c r="J397" t="s">
        <v>224</v>
      </c>
      <c r="K397">
        <v>0</v>
      </c>
      <c r="L397" t="s">
        <v>157</v>
      </c>
    </row>
    <row r="398" spans="9:12" x14ac:dyDescent="0.45">
      <c r="I398" t="s">
        <v>173</v>
      </c>
      <c r="J398" t="s">
        <v>225</v>
      </c>
      <c r="K398">
        <v>0</v>
      </c>
      <c r="L398" t="s">
        <v>157</v>
      </c>
    </row>
    <row r="399" spans="9:12" x14ac:dyDescent="0.45">
      <c r="I399" t="s">
        <v>173</v>
      </c>
      <c r="J399" t="s">
        <v>226</v>
      </c>
      <c r="K399">
        <v>0</v>
      </c>
      <c r="L399" t="s">
        <v>157</v>
      </c>
    </row>
    <row r="400" spans="9:12" x14ac:dyDescent="0.45">
      <c r="I400" t="s">
        <v>173</v>
      </c>
      <c r="J400" t="s">
        <v>227</v>
      </c>
      <c r="K400">
        <v>1.1935657673576815E-4</v>
      </c>
      <c r="L400" t="s">
        <v>157</v>
      </c>
    </row>
    <row r="401" spans="9:12" x14ac:dyDescent="0.45">
      <c r="I401" t="s">
        <v>173</v>
      </c>
      <c r="J401" t="s">
        <v>228</v>
      </c>
      <c r="K401">
        <v>2.4369549620937967E-4</v>
      </c>
      <c r="L401" t="s">
        <v>157</v>
      </c>
    </row>
    <row r="402" spans="9:12" x14ac:dyDescent="0.45">
      <c r="I402" t="s">
        <v>173</v>
      </c>
      <c r="J402" t="s">
        <v>229</v>
      </c>
      <c r="K402">
        <v>3.1898422597647269E-4</v>
      </c>
      <c r="L402" t="s">
        <v>157</v>
      </c>
    </row>
    <row r="403" spans="9:12" x14ac:dyDescent="0.45">
      <c r="I403" t="s">
        <v>173</v>
      </c>
      <c r="J403" t="s">
        <v>230</v>
      </c>
      <c r="K403">
        <v>3.412603058197613E-4</v>
      </c>
      <c r="L403" t="s">
        <v>157</v>
      </c>
    </row>
    <row r="404" spans="9:12" x14ac:dyDescent="0.45">
      <c r="I404" t="s">
        <v>173</v>
      </c>
      <c r="J404" t="s">
        <v>231</v>
      </c>
      <c r="K404">
        <v>3.5990455853463827E-4</v>
      </c>
      <c r="L404" t="s">
        <v>157</v>
      </c>
    </row>
    <row r="405" spans="9:12" x14ac:dyDescent="0.45">
      <c r="I405" t="s">
        <v>173</v>
      </c>
      <c r="J405" t="s">
        <v>232</v>
      </c>
      <c r="K405">
        <v>3.3251748332787631E-4</v>
      </c>
      <c r="L405" t="s">
        <v>157</v>
      </c>
    </row>
    <row r="406" spans="9:12" x14ac:dyDescent="0.45">
      <c r="I406" t="s">
        <v>173</v>
      </c>
      <c r="J406" t="s">
        <v>233</v>
      </c>
      <c r="K406">
        <v>3.1987951071301216E-4</v>
      </c>
      <c r="L406" t="s">
        <v>157</v>
      </c>
    </row>
    <row r="407" spans="9:12" x14ac:dyDescent="0.45">
      <c r="I407" t="s">
        <v>173</v>
      </c>
      <c r="J407" t="s">
        <v>234</v>
      </c>
      <c r="K407">
        <v>3.1537090763743226E-4</v>
      </c>
      <c r="L407" t="s">
        <v>157</v>
      </c>
    </row>
    <row r="408" spans="9:12" x14ac:dyDescent="0.45">
      <c r="I408" t="s">
        <v>173</v>
      </c>
      <c r="J408" t="s">
        <v>235</v>
      </c>
      <c r="K408">
        <v>2.8522940668044167E-4</v>
      </c>
      <c r="L408" t="s">
        <v>157</v>
      </c>
    </row>
    <row r="409" spans="9:12" x14ac:dyDescent="0.45">
      <c r="I409" t="s">
        <v>173</v>
      </c>
      <c r="J409" t="s">
        <v>236</v>
      </c>
      <c r="K409">
        <v>2.3893182614073295E-4</v>
      </c>
      <c r="L409" t="s">
        <v>157</v>
      </c>
    </row>
    <row r="410" spans="9:12" x14ac:dyDescent="0.45">
      <c r="I410" t="s">
        <v>173</v>
      </c>
      <c r="J410" t="s">
        <v>237</v>
      </c>
      <c r="K410">
        <v>2.2579230333538659E-4</v>
      </c>
      <c r="L410" t="s">
        <v>157</v>
      </c>
    </row>
    <row r="411" spans="9:12" x14ac:dyDescent="0.45">
      <c r="I411" t="s">
        <v>173</v>
      </c>
      <c r="J411" t="s">
        <v>238</v>
      </c>
      <c r="K411">
        <v>1.449489665360487E-4</v>
      </c>
      <c r="L411" t="s">
        <v>157</v>
      </c>
    </row>
    <row r="412" spans="9:12" x14ac:dyDescent="0.45">
      <c r="I412" t="s">
        <v>173</v>
      </c>
      <c r="J412" t="s">
        <v>239</v>
      </c>
      <c r="K412">
        <v>0</v>
      </c>
      <c r="L412" t="s">
        <v>157</v>
      </c>
    </row>
    <row r="413" spans="9:12" x14ac:dyDescent="0.45">
      <c r="I413" t="s">
        <v>173</v>
      </c>
      <c r="J413" t="s">
        <v>240</v>
      </c>
      <c r="K413">
        <v>0</v>
      </c>
      <c r="L413" t="s">
        <v>157</v>
      </c>
    </row>
    <row r="414" spans="9:12" x14ac:dyDescent="0.45">
      <c r="I414" t="s">
        <v>173</v>
      </c>
      <c r="J414" t="s">
        <v>241</v>
      </c>
      <c r="K414">
        <v>0</v>
      </c>
      <c r="L414" t="s">
        <v>157</v>
      </c>
    </row>
    <row r="415" spans="9:12" x14ac:dyDescent="0.45">
      <c r="I415" t="s">
        <v>173</v>
      </c>
      <c r="J415" t="s">
        <v>242</v>
      </c>
      <c r="K415">
        <v>0</v>
      </c>
      <c r="L415" t="s">
        <v>157</v>
      </c>
    </row>
    <row r="416" spans="9:12" x14ac:dyDescent="0.45">
      <c r="I416" t="s">
        <v>173</v>
      </c>
      <c r="J416" t="s">
        <v>243</v>
      </c>
      <c r="K416">
        <v>0</v>
      </c>
      <c r="L416" t="s">
        <v>157</v>
      </c>
    </row>
    <row r="417" spans="9:12" x14ac:dyDescent="0.45">
      <c r="I417" t="s">
        <v>174</v>
      </c>
      <c r="J417" t="s">
        <v>156</v>
      </c>
      <c r="K417">
        <v>0.99670954318035521</v>
      </c>
      <c r="L417" t="s">
        <v>157</v>
      </c>
    </row>
    <row r="418" spans="9:12" x14ac:dyDescent="0.45">
      <c r="I418" t="s">
        <v>174</v>
      </c>
      <c r="J418" t="s">
        <v>158</v>
      </c>
      <c r="K418">
        <v>0</v>
      </c>
      <c r="L418" t="s">
        <v>157</v>
      </c>
    </row>
    <row r="419" spans="9:12" x14ac:dyDescent="0.45">
      <c r="I419" t="s">
        <v>174</v>
      </c>
      <c r="J419" t="s">
        <v>159</v>
      </c>
      <c r="K419">
        <v>0</v>
      </c>
      <c r="L419" t="s">
        <v>157</v>
      </c>
    </row>
    <row r="420" spans="9:12" x14ac:dyDescent="0.45">
      <c r="I420" t="s">
        <v>174</v>
      </c>
      <c r="J420" t="s">
        <v>160</v>
      </c>
      <c r="K420">
        <v>0</v>
      </c>
      <c r="L420" t="s">
        <v>157</v>
      </c>
    </row>
    <row r="421" spans="9:12" x14ac:dyDescent="0.45">
      <c r="I421" t="s">
        <v>174</v>
      </c>
      <c r="J421" t="s">
        <v>193</v>
      </c>
      <c r="K421">
        <v>0</v>
      </c>
      <c r="L421" t="s">
        <v>157</v>
      </c>
    </row>
    <row r="422" spans="9:12" x14ac:dyDescent="0.45">
      <c r="I422" t="s">
        <v>174</v>
      </c>
      <c r="J422" t="s">
        <v>220</v>
      </c>
      <c r="K422">
        <v>0</v>
      </c>
      <c r="L422" t="s">
        <v>157</v>
      </c>
    </row>
    <row r="423" spans="9:12" x14ac:dyDescent="0.45">
      <c r="I423" t="s">
        <v>174</v>
      </c>
      <c r="J423" t="s">
        <v>221</v>
      </c>
      <c r="K423">
        <v>0</v>
      </c>
      <c r="L423" t="s">
        <v>157</v>
      </c>
    </row>
    <row r="424" spans="9:12" x14ac:dyDescent="0.45">
      <c r="I424" t="s">
        <v>174</v>
      </c>
      <c r="J424" t="s">
        <v>222</v>
      </c>
      <c r="K424">
        <v>0</v>
      </c>
      <c r="L424" t="s">
        <v>157</v>
      </c>
    </row>
    <row r="425" spans="9:12" x14ac:dyDescent="0.45">
      <c r="I425" t="s">
        <v>174</v>
      </c>
      <c r="J425" t="s">
        <v>223</v>
      </c>
      <c r="K425">
        <v>0</v>
      </c>
      <c r="L425" t="s">
        <v>157</v>
      </c>
    </row>
    <row r="426" spans="9:12" x14ac:dyDescent="0.45">
      <c r="I426" t="s">
        <v>174</v>
      </c>
      <c r="J426" t="s">
        <v>224</v>
      </c>
      <c r="K426">
        <v>0</v>
      </c>
      <c r="L426" t="s">
        <v>157</v>
      </c>
    </row>
    <row r="427" spans="9:12" x14ac:dyDescent="0.45">
      <c r="I427" t="s">
        <v>174</v>
      </c>
      <c r="J427" t="s">
        <v>225</v>
      </c>
      <c r="K427">
        <v>0</v>
      </c>
      <c r="L427" t="s">
        <v>157</v>
      </c>
    </row>
    <row r="428" spans="9:12" x14ac:dyDescent="0.45">
      <c r="I428" t="s">
        <v>174</v>
      </c>
      <c r="J428" t="s">
        <v>226</v>
      </c>
      <c r="K428">
        <v>0</v>
      </c>
      <c r="L428" t="s">
        <v>157</v>
      </c>
    </row>
    <row r="429" spans="9:12" x14ac:dyDescent="0.45">
      <c r="I429" t="s">
        <v>174</v>
      </c>
      <c r="J429" t="s">
        <v>227</v>
      </c>
      <c r="K429">
        <v>1.4041675905708913E-4</v>
      </c>
      <c r="L429" t="s">
        <v>157</v>
      </c>
    </row>
    <row r="430" spans="9:12" x14ac:dyDescent="0.45">
      <c r="I430" t="s">
        <v>174</v>
      </c>
      <c r="J430" t="s">
        <v>228</v>
      </c>
      <c r="K430">
        <v>2.5723436751578561E-4</v>
      </c>
      <c r="L430" t="s">
        <v>157</v>
      </c>
    </row>
    <row r="431" spans="9:12" x14ac:dyDescent="0.45">
      <c r="I431" t="s">
        <v>174</v>
      </c>
      <c r="J431" t="s">
        <v>229</v>
      </c>
      <c r="K431">
        <v>2.5782719059414542E-4</v>
      </c>
      <c r="L431" t="s">
        <v>157</v>
      </c>
    </row>
    <row r="432" spans="9:12" x14ac:dyDescent="0.45">
      <c r="I432" t="s">
        <v>174</v>
      </c>
      <c r="J432" t="s">
        <v>230</v>
      </c>
      <c r="K432">
        <v>3.1031976806689674E-4</v>
      </c>
      <c r="L432" t="s">
        <v>157</v>
      </c>
    </row>
    <row r="433" spans="9:12" x14ac:dyDescent="0.45">
      <c r="I433" t="s">
        <v>174</v>
      </c>
      <c r="J433" t="s">
        <v>231</v>
      </c>
      <c r="K433">
        <v>3.5618402298494132E-4</v>
      </c>
      <c r="L433" t="s">
        <v>157</v>
      </c>
    </row>
    <row r="434" spans="9:12" x14ac:dyDescent="0.45">
      <c r="I434" t="s">
        <v>174</v>
      </c>
      <c r="J434" t="s">
        <v>232</v>
      </c>
      <c r="K434">
        <v>3.5134875036623619E-4</v>
      </c>
      <c r="L434" t="s">
        <v>157</v>
      </c>
    </row>
    <row r="435" spans="9:12" x14ac:dyDescent="0.45">
      <c r="I435" t="s">
        <v>174</v>
      </c>
      <c r="J435" t="s">
        <v>233</v>
      </c>
      <c r="K435">
        <v>3.3609875576852665E-4</v>
      </c>
      <c r="L435" t="s">
        <v>157</v>
      </c>
    </row>
    <row r="436" spans="9:12" x14ac:dyDescent="0.45">
      <c r="I436" t="s">
        <v>174</v>
      </c>
      <c r="J436" t="s">
        <v>234</v>
      </c>
      <c r="K436">
        <v>3.497921017331863E-4</v>
      </c>
      <c r="L436" t="s">
        <v>157</v>
      </c>
    </row>
    <row r="437" spans="9:12" x14ac:dyDescent="0.45">
      <c r="I437" t="s">
        <v>174</v>
      </c>
      <c r="J437" t="s">
        <v>235</v>
      </c>
      <c r="K437">
        <v>3.3045275893897141E-4</v>
      </c>
      <c r="L437" t="s">
        <v>157</v>
      </c>
    </row>
    <row r="438" spans="9:12" x14ac:dyDescent="0.45">
      <c r="I438" t="s">
        <v>174</v>
      </c>
      <c r="J438" t="s">
        <v>236</v>
      </c>
      <c r="K438">
        <v>2.4006911418822372E-4</v>
      </c>
      <c r="L438" t="s">
        <v>157</v>
      </c>
    </row>
    <row r="439" spans="9:12" x14ac:dyDescent="0.45">
      <c r="I439" t="s">
        <v>174</v>
      </c>
      <c r="J439" t="s">
        <v>237</v>
      </c>
      <c r="K439">
        <v>2.2424493952822723E-4</v>
      </c>
      <c r="L439" t="s">
        <v>157</v>
      </c>
    </row>
    <row r="440" spans="9:12" x14ac:dyDescent="0.45">
      <c r="I440" t="s">
        <v>174</v>
      </c>
      <c r="J440" t="s">
        <v>238</v>
      </c>
      <c r="K440">
        <v>1.3646829090360873E-4</v>
      </c>
      <c r="L440" t="s">
        <v>157</v>
      </c>
    </row>
    <row r="441" spans="9:12" x14ac:dyDescent="0.45">
      <c r="I441" t="s">
        <v>174</v>
      </c>
      <c r="J441" t="s">
        <v>239</v>
      </c>
      <c r="K441">
        <v>0</v>
      </c>
      <c r="L441" t="s">
        <v>157</v>
      </c>
    </row>
    <row r="442" spans="9:12" x14ac:dyDescent="0.45">
      <c r="I442" t="s">
        <v>174</v>
      </c>
      <c r="J442" t="s">
        <v>240</v>
      </c>
      <c r="K442">
        <v>0</v>
      </c>
      <c r="L442" t="s">
        <v>157</v>
      </c>
    </row>
    <row r="443" spans="9:12" x14ac:dyDescent="0.45">
      <c r="I443" t="s">
        <v>174</v>
      </c>
      <c r="J443" t="s">
        <v>241</v>
      </c>
      <c r="K443">
        <v>0</v>
      </c>
      <c r="L443" t="s">
        <v>157</v>
      </c>
    </row>
    <row r="444" spans="9:12" x14ac:dyDescent="0.45">
      <c r="I444" t="s">
        <v>174</v>
      </c>
      <c r="J444" t="s">
        <v>242</v>
      </c>
      <c r="K444">
        <v>0</v>
      </c>
      <c r="L444" t="s">
        <v>157</v>
      </c>
    </row>
    <row r="445" spans="9:12" x14ac:dyDescent="0.45">
      <c r="I445" t="s">
        <v>174</v>
      </c>
      <c r="J445" t="s">
        <v>243</v>
      </c>
      <c r="K445">
        <v>0</v>
      </c>
      <c r="L445" t="s">
        <v>157</v>
      </c>
    </row>
    <row r="446" spans="9:12" x14ac:dyDescent="0.45">
      <c r="I446" t="s">
        <v>175</v>
      </c>
      <c r="J446" t="s">
        <v>156</v>
      </c>
      <c r="K446">
        <v>0.99683047440709505</v>
      </c>
      <c r="L446" t="s">
        <v>157</v>
      </c>
    </row>
    <row r="447" spans="9:12" x14ac:dyDescent="0.45">
      <c r="I447" t="s">
        <v>175</v>
      </c>
      <c r="J447" t="s">
        <v>158</v>
      </c>
      <c r="K447">
        <v>0</v>
      </c>
      <c r="L447" t="s">
        <v>157</v>
      </c>
    </row>
    <row r="448" spans="9:12" x14ac:dyDescent="0.45">
      <c r="I448" t="s">
        <v>175</v>
      </c>
      <c r="J448" t="s">
        <v>159</v>
      </c>
      <c r="K448">
        <v>0</v>
      </c>
      <c r="L448" t="s">
        <v>157</v>
      </c>
    </row>
    <row r="449" spans="9:12" x14ac:dyDescent="0.45">
      <c r="I449" t="s">
        <v>175</v>
      </c>
      <c r="J449" t="s">
        <v>160</v>
      </c>
      <c r="K449">
        <v>0</v>
      </c>
      <c r="L449" t="s">
        <v>157</v>
      </c>
    </row>
    <row r="450" spans="9:12" x14ac:dyDescent="0.45">
      <c r="I450" t="s">
        <v>175</v>
      </c>
      <c r="J450" t="s">
        <v>193</v>
      </c>
      <c r="K450">
        <v>0</v>
      </c>
      <c r="L450" t="s">
        <v>157</v>
      </c>
    </row>
    <row r="451" spans="9:12" x14ac:dyDescent="0.45">
      <c r="I451" t="s">
        <v>175</v>
      </c>
      <c r="J451" t="s">
        <v>220</v>
      </c>
      <c r="K451">
        <v>0</v>
      </c>
      <c r="L451" t="s">
        <v>157</v>
      </c>
    </row>
    <row r="452" spans="9:12" x14ac:dyDescent="0.45">
      <c r="I452" t="s">
        <v>175</v>
      </c>
      <c r="J452" t="s">
        <v>221</v>
      </c>
      <c r="K452">
        <v>0</v>
      </c>
      <c r="L452" t="s">
        <v>157</v>
      </c>
    </row>
    <row r="453" spans="9:12" x14ac:dyDescent="0.45">
      <c r="I453" t="s">
        <v>175</v>
      </c>
      <c r="J453" t="s">
        <v>222</v>
      </c>
      <c r="K453">
        <v>0</v>
      </c>
      <c r="L453" t="s">
        <v>157</v>
      </c>
    </row>
    <row r="454" spans="9:12" x14ac:dyDescent="0.45">
      <c r="I454" t="s">
        <v>175</v>
      </c>
      <c r="J454" t="s">
        <v>223</v>
      </c>
      <c r="K454">
        <v>0</v>
      </c>
      <c r="L454" t="s">
        <v>157</v>
      </c>
    </row>
    <row r="455" spans="9:12" x14ac:dyDescent="0.45">
      <c r="I455" t="s">
        <v>175</v>
      </c>
      <c r="J455" t="s">
        <v>224</v>
      </c>
      <c r="K455">
        <v>0</v>
      </c>
      <c r="L455" t="s">
        <v>157</v>
      </c>
    </row>
    <row r="456" spans="9:12" x14ac:dyDescent="0.45">
      <c r="I456" t="s">
        <v>175</v>
      </c>
      <c r="J456" t="s">
        <v>225</v>
      </c>
      <c r="K456">
        <v>0</v>
      </c>
      <c r="L456" t="s">
        <v>157</v>
      </c>
    </row>
    <row r="457" spans="9:12" x14ac:dyDescent="0.45">
      <c r="I457" t="s">
        <v>175</v>
      </c>
      <c r="J457" t="s">
        <v>226</v>
      </c>
      <c r="K457">
        <v>0</v>
      </c>
      <c r="L457" t="s">
        <v>157</v>
      </c>
    </row>
    <row r="458" spans="9:12" x14ac:dyDescent="0.45">
      <c r="I458" t="s">
        <v>175</v>
      </c>
      <c r="J458" t="s">
        <v>227</v>
      </c>
      <c r="K458">
        <v>1.4164611284399266E-4</v>
      </c>
      <c r="L458" t="s">
        <v>157</v>
      </c>
    </row>
    <row r="459" spans="9:12" x14ac:dyDescent="0.45">
      <c r="I459" t="s">
        <v>175</v>
      </c>
      <c r="J459" t="s">
        <v>228</v>
      </c>
      <c r="K459">
        <v>2.6119786347552975E-4</v>
      </c>
      <c r="L459" t="s">
        <v>157</v>
      </c>
    </row>
    <row r="460" spans="9:12" x14ac:dyDescent="0.45">
      <c r="I460" t="s">
        <v>175</v>
      </c>
      <c r="J460" t="s">
        <v>229</v>
      </c>
      <c r="K460">
        <v>3.3675482070844964E-4</v>
      </c>
      <c r="L460" t="s">
        <v>157</v>
      </c>
    </row>
    <row r="461" spans="9:12" x14ac:dyDescent="0.45">
      <c r="I461" t="s">
        <v>175</v>
      </c>
      <c r="J461" t="s">
        <v>230</v>
      </c>
      <c r="K461">
        <v>3.516133988215806E-4</v>
      </c>
      <c r="L461" t="s">
        <v>157</v>
      </c>
    </row>
    <row r="462" spans="9:12" x14ac:dyDescent="0.45">
      <c r="I462" t="s">
        <v>175</v>
      </c>
      <c r="J462" t="s">
        <v>231</v>
      </c>
      <c r="K462">
        <v>3.575553239518789E-4</v>
      </c>
      <c r="L462" t="s">
        <v>157</v>
      </c>
    </row>
    <row r="463" spans="9:12" x14ac:dyDescent="0.45">
      <c r="I463" t="s">
        <v>175</v>
      </c>
      <c r="J463" t="s">
        <v>232</v>
      </c>
      <c r="K463">
        <v>3.2189141970439882E-4</v>
      </c>
      <c r="L463" t="s">
        <v>157</v>
      </c>
    </row>
    <row r="464" spans="9:12" x14ac:dyDescent="0.45">
      <c r="I464" t="s">
        <v>175</v>
      </c>
      <c r="J464" t="s">
        <v>233</v>
      </c>
      <c r="K464">
        <v>2.9573312852590027E-4</v>
      </c>
      <c r="L464" t="s">
        <v>157</v>
      </c>
    </row>
    <row r="465" spans="9:12" x14ac:dyDescent="0.45">
      <c r="I465" t="s">
        <v>175</v>
      </c>
      <c r="J465" t="s">
        <v>234</v>
      </c>
      <c r="K465">
        <v>2.802768362371631E-4</v>
      </c>
      <c r="L465" t="s">
        <v>157</v>
      </c>
    </row>
    <row r="466" spans="9:12" x14ac:dyDescent="0.45">
      <c r="I466" t="s">
        <v>175</v>
      </c>
      <c r="J466" t="s">
        <v>235</v>
      </c>
      <c r="K466">
        <v>2.2620919900122598E-4</v>
      </c>
      <c r="L466" t="s">
        <v>157</v>
      </c>
    </row>
    <row r="467" spans="9:12" x14ac:dyDescent="0.45">
      <c r="I467" t="s">
        <v>175</v>
      </c>
      <c r="J467" t="s">
        <v>236</v>
      </c>
      <c r="K467">
        <v>2.2354712949369977E-4</v>
      </c>
      <c r="L467" t="s">
        <v>157</v>
      </c>
    </row>
    <row r="468" spans="9:12" x14ac:dyDescent="0.45">
      <c r="I468" t="s">
        <v>175</v>
      </c>
      <c r="J468" t="s">
        <v>237</v>
      </c>
      <c r="K468">
        <v>2.2236589437382817E-4</v>
      </c>
      <c r="L468" t="s">
        <v>157</v>
      </c>
    </row>
    <row r="469" spans="9:12" x14ac:dyDescent="0.45">
      <c r="I469" t="s">
        <v>175</v>
      </c>
      <c r="J469" t="s">
        <v>238</v>
      </c>
      <c r="K469">
        <v>1.5073446576727005E-4</v>
      </c>
      <c r="L469" t="s">
        <v>157</v>
      </c>
    </row>
    <row r="470" spans="9:12" x14ac:dyDescent="0.45">
      <c r="I470" t="s">
        <v>175</v>
      </c>
      <c r="J470" t="s">
        <v>239</v>
      </c>
      <c r="K470">
        <v>0</v>
      </c>
      <c r="L470" t="s">
        <v>157</v>
      </c>
    </row>
    <row r="471" spans="9:12" x14ac:dyDescent="0.45">
      <c r="I471" t="s">
        <v>175</v>
      </c>
      <c r="J471" t="s">
        <v>240</v>
      </c>
      <c r="K471">
        <v>0</v>
      </c>
      <c r="L471" t="s">
        <v>157</v>
      </c>
    </row>
    <row r="472" spans="9:12" x14ac:dyDescent="0.45">
      <c r="I472" t="s">
        <v>175</v>
      </c>
      <c r="J472" t="s">
        <v>241</v>
      </c>
      <c r="K472">
        <v>0</v>
      </c>
      <c r="L472" t="s">
        <v>157</v>
      </c>
    </row>
    <row r="473" spans="9:12" x14ac:dyDescent="0.45">
      <c r="I473" t="s">
        <v>175</v>
      </c>
      <c r="J473" t="s">
        <v>242</v>
      </c>
      <c r="K473">
        <v>0</v>
      </c>
      <c r="L473" t="s">
        <v>157</v>
      </c>
    </row>
    <row r="474" spans="9:12" x14ac:dyDescent="0.45">
      <c r="I474" t="s">
        <v>175</v>
      </c>
      <c r="J474" t="s">
        <v>243</v>
      </c>
      <c r="K474">
        <v>0</v>
      </c>
      <c r="L474" t="s">
        <v>157</v>
      </c>
    </row>
    <row r="475" spans="9:12" x14ac:dyDescent="0.45">
      <c r="I475" t="s">
        <v>176</v>
      </c>
      <c r="J475" t="s">
        <v>156</v>
      </c>
      <c r="K475">
        <v>0.99671446651726581</v>
      </c>
      <c r="L475" t="s">
        <v>157</v>
      </c>
    </row>
    <row r="476" spans="9:12" x14ac:dyDescent="0.45">
      <c r="I476" t="s">
        <v>176</v>
      </c>
      <c r="J476" t="s">
        <v>158</v>
      </c>
      <c r="K476">
        <v>0</v>
      </c>
      <c r="L476" t="s">
        <v>157</v>
      </c>
    </row>
    <row r="477" spans="9:12" x14ac:dyDescent="0.45">
      <c r="I477" t="s">
        <v>176</v>
      </c>
      <c r="J477" t="s">
        <v>159</v>
      </c>
      <c r="K477">
        <v>0</v>
      </c>
      <c r="L477" t="s">
        <v>157</v>
      </c>
    </row>
    <row r="478" spans="9:12" x14ac:dyDescent="0.45">
      <c r="I478" t="s">
        <v>176</v>
      </c>
      <c r="J478" t="s">
        <v>160</v>
      </c>
      <c r="K478">
        <v>0</v>
      </c>
      <c r="L478" t="s">
        <v>157</v>
      </c>
    </row>
    <row r="479" spans="9:12" x14ac:dyDescent="0.45">
      <c r="I479" t="s">
        <v>176</v>
      </c>
      <c r="J479" t="s">
        <v>193</v>
      </c>
      <c r="K479">
        <v>0</v>
      </c>
      <c r="L479" t="s">
        <v>157</v>
      </c>
    </row>
    <row r="480" spans="9:12" x14ac:dyDescent="0.45">
      <c r="I480" t="s">
        <v>176</v>
      </c>
      <c r="J480" t="s">
        <v>220</v>
      </c>
      <c r="K480">
        <v>0</v>
      </c>
      <c r="L480" t="s">
        <v>157</v>
      </c>
    </row>
    <row r="481" spans="9:12" x14ac:dyDescent="0.45">
      <c r="I481" t="s">
        <v>176</v>
      </c>
      <c r="J481" t="s">
        <v>221</v>
      </c>
      <c r="K481">
        <v>0</v>
      </c>
      <c r="L481" t="s">
        <v>157</v>
      </c>
    </row>
    <row r="482" spans="9:12" x14ac:dyDescent="0.45">
      <c r="I482" t="s">
        <v>176</v>
      </c>
      <c r="J482" t="s">
        <v>222</v>
      </c>
      <c r="K482">
        <v>0</v>
      </c>
      <c r="L482" t="s">
        <v>157</v>
      </c>
    </row>
    <row r="483" spans="9:12" x14ac:dyDescent="0.45">
      <c r="I483" t="s">
        <v>176</v>
      </c>
      <c r="J483" t="s">
        <v>223</v>
      </c>
      <c r="K483">
        <v>0</v>
      </c>
      <c r="L483" t="s">
        <v>157</v>
      </c>
    </row>
    <row r="484" spans="9:12" x14ac:dyDescent="0.45">
      <c r="I484" t="s">
        <v>176</v>
      </c>
      <c r="J484" t="s">
        <v>224</v>
      </c>
      <c r="K484">
        <v>0</v>
      </c>
      <c r="L484" t="s">
        <v>157</v>
      </c>
    </row>
    <row r="485" spans="9:12" x14ac:dyDescent="0.45">
      <c r="I485" t="s">
        <v>176</v>
      </c>
      <c r="J485" t="s">
        <v>225</v>
      </c>
      <c r="K485">
        <v>0</v>
      </c>
      <c r="L485" t="s">
        <v>157</v>
      </c>
    </row>
    <row r="486" spans="9:12" x14ac:dyDescent="0.45">
      <c r="I486" t="s">
        <v>176</v>
      </c>
      <c r="J486" t="s">
        <v>226</v>
      </c>
      <c r="K486">
        <v>0</v>
      </c>
      <c r="L486" t="s">
        <v>157</v>
      </c>
    </row>
    <row r="487" spans="9:12" x14ac:dyDescent="0.45">
      <c r="I487" t="s">
        <v>176</v>
      </c>
      <c r="J487" t="s">
        <v>227</v>
      </c>
      <c r="K487">
        <v>1.4321524949722066E-4</v>
      </c>
      <c r="L487" t="s">
        <v>157</v>
      </c>
    </row>
    <row r="488" spans="9:12" x14ac:dyDescent="0.45">
      <c r="I488" t="s">
        <v>176</v>
      </c>
      <c r="J488" t="s">
        <v>228</v>
      </c>
      <c r="K488">
        <v>2.9668756288089675E-4</v>
      </c>
      <c r="L488" t="s">
        <v>157</v>
      </c>
    </row>
    <row r="489" spans="9:12" x14ac:dyDescent="0.45">
      <c r="I489" t="s">
        <v>176</v>
      </c>
      <c r="J489" t="s">
        <v>229</v>
      </c>
      <c r="K489">
        <v>3.377884252832285E-4</v>
      </c>
      <c r="L489" t="s">
        <v>157</v>
      </c>
    </row>
    <row r="490" spans="9:12" x14ac:dyDescent="0.45">
      <c r="I490" t="s">
        <v>176</v>
      </c>
      <c r="J490" t="s">
        <v>230</v>
      </c>
      <c r="K490">
        <v>3.430843380640517E-4</v>
      </c>
      <c r="L490" t="s">
        <v>157</v>
      </c>
    </row>
    <row r="491" spans="9:12" x14ac:dyDescent="0.45">
      <c r="I491" t="s">
        <v>176</v>
      </c>
      <c r="J491" t="s">
        <v>231</v>
      </c>
      <c r="K491">
        <v>3.3983729767382749E-4</v>
      </c>
      <c r="L491" t="s">
        <v>157</v>
      </c>
    </row>
    <row r="492" spans="9:12" x14ac:dyDescent="0.45">
      <c r="I492" t="s">
        <v>176</v>
      </c>
      <c r="J492" t="s">
        <v>232</v>
      </c>
      <c r="K492">
        <v>3.2325599880768635E-4</v>
      </c>
      <c r="L492" t="s">
        <v>157</v>
      </c>
    </row>
    <row r="493" spans="9:12" x14ac:dyDescent="0.45">
      <c r="I493" t="s">
        <v>176</v>
      </c>
      <c r="J493" t="s">
        <v>233</v>
      </c>
      <c r="K493">
        <v>2.8901846585120726E-4</v>
      </c>
      <c r="L493" t="s">
        <v>157</v>
      </c>
    </row>
    <row r="494" spans="9:12" x14ac:dyDescent="0.45">
      <c r="I494" t="s">
        <v>176</v>
      </c>
      <c r="J494" t="s">
        <v>234</v>
      </c>
      <c r="K494">
        <v>2.8787313138112724E-4</v>
      </c>
      <c r="L494" t="s">
        <v>157</v>
      </c>
    </row>
    <row r="495" spans="9:12" x14ac:dyDescent="0.45">
      <c r="I495" t="s">
        <v>176</v>
      </c>
      <c r="J495" t="s">
        <v>235</v>
      </c>
      <c r="K495">
        <v>2.9360669721339386E-4</v>
      </c>
      <c r="L495" t="s">
        <v>157</v>
      </c>
    </row>
    <row r="496" spans="9:12" x14ac:dyDescent="0.45">
      <c r="I496" t="s">
        <v>176</v>
      </c>
      <c r="J496" t="s">
        <v>236</v>
      </c>
      <c r="K496">
        <v>2.1947505903704715E-4</v>
      </c>
      <c r="L496" t="s">
        <v>157</v>
      </c>
    </row>
    <row r="497" spans="9:12" x14ac:dyDescent="0.45">
      <c r="I497" t="s">
        <v>176</v>
      </c>
      <c r="J497" t="s">
        <v>237</v>
      </c>
      <c r="K497">
        <v>2.5203584372165467E-4</v>
      </c>
      <c r="L497" t="s">
        <v>157</v>
      </c>
    </row>
    <row r="498" spans="9:12" x14ac:dyDescent="0.45">
      <c r="I498" t="s">
        <v>176</v>
      </c>
      <c r="J498" t="s">
        <v>238</v>
      </c>
      <c r="K498">
        <v>1.5965541332459282E-4</v>
      </c>
      <c r="L498" t="s">
        <v>157</v>
      </c>
    </row>
    <row r="499" spans="9:12" x14ac:dyDescent="0.45">
      <c r="I499" t="s">
        <v>176</v>
      </c>
      <c r="J499" t="s">
        <v>239</v>
      </c>
      <c r="K499">
        <v>0</v>
      </c>
      <c r="L499" t="s">
        <v>157</v>
      </c>
    </row>
    <row r="500" spans="9:12" x14ac:dyDescent="0.45">
      <c r="I500" t="s">
        <v>176</v>
      </c>
      <c r="J500" t="s">
        <v>240</v>
      </c>
      <c r="K500">
        <v>0</v>
      </c>
      <c r="L500" t="s">
        <v>157</v>
      </c>
    </row>
    <row r="501" spans="9:12" x14ac:dyDescent="0.45">
      <c r="I501" t="s">
        <v>176</v>
      </c>
      <c r="J501" t="s">
        <v>241</v>
      </c>
      <c r="K501">
        <v>0</v>
      </c>
      <c r="L501" t="s">
        <v>157</v>
      </c>
    </row>
    <row r="502" spans="9:12" x14ac:dyDescent="0.45">
      <c r="I502" t="s">
        <v>176</v>
      </c>
      <c r="J502" t="s">
        <v>242</v>
      </c>
      <c r="K502">
        <v>0</v>
      </c>
      <c r="L502" t="s">
        <v>157</v>
      </c>
    </row>
    <row r="503" spans="9:12" x14ac:dyDescent="0.45">
      <c r="I503" t="s">
        <v>176</v>
      </c>
      <c r="J503" t="s">
        <v>243</v>
      </c>
      <c r="K503">
        <v>0</v>
      </c>
      <c r="L503" t="s">
        <v>157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A8539-7C92-498A-96A2-09AE5248DCD3}">
  <dimension ref="A9:AA911"/>
  <sheetViews>
    <sheetView workbookViewId="0"/>
  </sheetViews>
  <sheetFormatPr defaultRowHeight="14.25" x14ac:dyDescent="0.45"/>
  <sheetData>
    <row r="9" spans="1:27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</row>
    <row r="10" spans="1:27" x14ac:dyDescent="0.45">
      <c r="A10" t="s">
        <v>127</v>
      </c>
      <c r="C10" t="s">
        <v>143</v>
      </c>
      <c r="D10" t="s">
        <v>144</v>
      </c>
      <c r="E10" t="s">
        <v>145</v>
      </c>
      <c r="F10" t="s">
        <v>146</v>
      </c>
      <c r="G10" t="s">
        <v>147</v>
      </c>
      <c r="I10" t="s">
        <v>13</v>
      </c>
      <c r="J10" t="s">
        <v>115</v>
      </c>
      <c r="K10" t="s">
        <v>154</v>
      </c>
      <c r="L10" t="s">
        <v>30</v>
      </c>
      <c r="N10" t="s">
        <v>13</v>
      </c>
      <c r="O10" t="s">
        <v>115</v>
      </c>
      <c r="P10" t="s">
        <v>154</v>
      </c>
      <c r="Q10" t="s">
        <v>30</v>
      </c>
      <c r="S10" t="s">
        <v>13</v>
      </c>
      <c r="T10" t="s">
        <v>115</v>
      </c>
      <c r="U10" t="s">
        <v>154</v>
      </c>
      <c r="V10" t="s">
        <v>30</v>
      </c>
      <c r="X10" t="s">
        <v>187</v>
      </c>
      <c r="Y10" t="s">
        <v>154</v>
      </c>
      <c r="Z10" t="s">
        <v>115</v>
      </c>
      <c r="AA10" t="s">
        <v>13</v>
      </c>
    </row>
    <row r="11" spans="1:27" x14ac:dyDescent="0.45">
      <c r="A11" t="str">
        <f>IFERROR(IF(Veda!D5=A10,"ok","x"),"")</f>
        <v>x</v>
      </c>
      <c r="C11" t="s">
        <v>148</v>
      </c>
      <c r="D11" t="s">
        <v>149</v>
      </c>
      <c r="E11" t="s">
        <v>195</v>
      </c>
      <c r="F11" t="s">
        <v>148</v>
      </c>
      <c r="G11" t="s">
        <v>196</v>
      </c>
      <c r="I11" t="s">
        <v>155</v>
      </c>
      <c r="J11" t="s">
        <v>156</v>
      </c>
      <c r="K11">
        <v>0.99321151831235521</v>
      </c>
      <c r="L11" t="s">
        <v>157</v>
      </c>
      <c r="N11" t="s">
        <v>177</v>
      </c>
      <c r="O11" t="s">
        <v>156</v>
      </c>
      <c r="P11">
        <v>0.80013267972610247</v>
      </c>
      <c r="Q11" t="s">
        <v>157</v>
      </c>
      <c r="S11" t="s">
        <v>182</v>
      </c>
      <c r="T11" t="s">
        <v>156</v>
      </c>
      <c r="U11">
        <v>0.80013267972610247</v>
      </c>
      <c r="V11" t="s">
        <v>157</v>
      </c>
      <c r="X11">
        <v>0.82876712328767121</v>
      </c>
      <c r="Y11">
        <v>0.89464734107351551</v>
      </c>
      <c r="Z11" t="s">
        <v>156</v>
      </c>
      <c r="AA11" t="s">
        <v>25</v>
      </c>
    </row>
    <row r="12" spans="1:27" x14ac:dyDescent="0.45">
      <c r="D12" t="s">
        <v>196</v>
      </c>
      <c r="E12" t="s">
        <v>197</v>
      </c>
      <c r="F12" t="s">
        <v>148</v>
      </c>
      <c r="G12" t="s">
        <v>196</v>
      </c>
      <c r="I12" t="s">
        <v>155</v>
      </c>
      <c r="J12" t="s">
        <v>158</v>
      </c>
      <c r="K12">
        <v>0</v>
      </c>
      <c r="L12" t="s">
        <v>157</v>
      </c>
      <c r="N12" t="s">
        <v>177</v>
      </c>
      <c r="O12" t="s">
        <v>158</v>
      </c>
      <c r="P12">
        <v>5.2757571588354368E-2</v>
      </c>
      <c r="Q12" t="s">
        <v>157</v>
      </c>
      <c r="S12" t="s">
        <v>182</v>
      </c>
      <c r="T12" t="s">
        <v>158</v>
      </c>
      <c r="U12">
        <v>5.2757571588354368E-2</v>
      </c>
      <c r="V12" t="s">
        <v>157</v>
      </c>
      <c r="X12">
        <v>4.1438356164383565E-2</v>
      </c>
      <c r="Y12">
        <v>3.970862441886483E-2</v>
      </c>
      <c r="Z12" t="s">
        <v>158</v>
      </c>
      <c r="AA12" t="s">
        <v>25</v>
      </c>
    </row>
    <row r="13" spans="1:27" x14ac:dyDescent="0.45">
      <c r="D13" t="s">
        <v>246</v>
      </c>
      <c r="E13" t="s">
        <v>198</v>
      </c>
      <c r="F13" t="s">
        <v>148</v>
      </c>
      <c r="G13" t="s">
        <v>196</v>
      </c>
      <c r="I13" t="s">
        <v>155</v>
      </c>
      <c r="J13" t="s">
        <v>159</v>
      </c>
      <c r="K13">
        <v>0</v>
      </c>
      <c r="L13" t="s">
        <v>157</v>
      </c>
      <c r="N13" t="s">
        <v>177</v>
      </c>
      <c r="O13" t="s">
        <v>159</v>
      </c>
      <c r="P13">
        <v>5.3279794185520368E-2</v>
      </c>
      <c r="Q13" t="s">
        <v>157</v>
      </c>
      <c r="S13" t="s">
        <v>182</v>
      </c>
      <c r="T13" t="s">
        <v>159</v>
      </c>
      <c r="U13">
        <v>5.3279794185520368E-2</v>
      </c>
      <c r="V13" t="s">
        <v>157</v>
      </c>
      <c r="X13">
        <v>4.1438356164383565E-2</v>
      </c>
      <c r="Y13">
        <v>2.8878999577356249E-2</v>
      </c>
      <c r="Z13" t="s">
        <v>159</v>
      </c>
      <c r="AA13" t="s">
        <v>25</v>
      </c>
    </row>
    <row r="14" spans="1:27" x14ac:dyDescent="0.45">
      <c r="E14" t="s">
        <v>199</v>
      </c>
      <c r="G14" t="s">
        <v>196</v>
      </c>
      <c r="I14" t="s">
        <v>155</v>
      </c>
      <c r="J14" t="s">
        <v>160</v>
      </c>
      <c r="K14">
        <v>0</v>
      </c>
      <c r="L14" t="s">
        <v>157</v>
      </c>
      <c r="N14" t="s">
        <v>177</v>
      </c>
      <c r="O14" t="s">
        <v>160</v>
      </c>
      <c r="P14">
        <v>4.8006644054408368E-2</v>
      </c>
      <c r="Q14" t="s">
        <v>157</v>
      </c>
      <c r="S14" t="s">
        <v>182</v>
      </c>
      <c r="T14" t="s">
        <v>160</v>
      </c>
      <c r="U14">
        <v>4.8006644054408368E-2</v>
      </c>
      <c r="V14" t="s">
        <v>157</v>
      </c>
      <c r="X14">
        <v>4.1438356164383565E-2</v>
      </c>
      <c r="Y14">
        <v>2.0455958033960674E-2</v>
      </c>
      <c r="Z14" t="s">
        <v>160</v>
      </c>
      <c r="AA14" t="s">
        <v>25</v>
      </c>
    </row>
    <row r="15" spans="1:27" x14ac:dyDescent="0.45">
      <c r="E15" t="s">
        <v>200</v>
      </c>
      <c r="G15" t="s">
        <v>196</v>
      </c>
      <c r="I15" t="s">
        <v>155</v>
      </c>
      <c r="J15" t="s">
        <v>193</v>
      </c>
      <c r="K15">
        <v>0</v>
      </c>
      <c r="L15" t="s">
        <v>157</v>
      </c>
      <c r="N15" t="s">
        <v>177</v>
      </c>
      <c r="O15" t="s">
        <v>193</v>
      </c>
      <c r="P15">
        <v>4.0538505651854531E-2</v>
      </c>
      <c r="Q15" t="s">
        <v>157</v>
      </c>
      <c r="S15" t="s">
        <v>182</v>
      </c>
      <c r="T15" t="s">
        <v>193</v>
      </c>
      <c r="U15">
        <v>4.0538505651854531E-2</v>
      </c>
      <c r="V15" t="s">
        <v>157</v>
      </c>
      <c r="X15">
        <v>4.1438356164383565E-2</v>
      </c>
      <c r="Y15">
        <v>1.0829624841508591E-2</v>
      </c>
      <c r="Z15" t="s">
        <v>193</v>
      </c>
      <c r="AA15" t="s">
        <v>25</v>
      </c>
    </row>
    <row r="16" spans="1:27" x14ac:dyDescent="0.45">
      <c r="E16" t="s">
        <v>201</v>
      </c>
      <c r="G16" t="s">
        <v>196</v>
      </c>
      <c r="I16" t="s">
        <v>155</v>
      </c>
      <c r="J16" t="s">
        <v>220</v>
      </c>
      <c r="K16">
        <v>0</v>
      </c>
      <c r="L16" t="s">
        <v>157</v>
      </c>
      <c r="N16" t="s">
        <v>177</v>
      </c>
      <c r="O16" t="s">
        <v>220</v>
      </c>
      <c r="P16">
        <v>2.166640797025974E-5</v>
      </c>
      <c r="Q16" t="s">
        <v>157</v>
      </c>
      <c r="S16" t="s">
        <v>182</v>
      </c>
      <c r="T16" t="s">
        <v>220</v>
      </c>
      <c r="U16">
        <v>2.166640797025974E-5</v>
      </c>
      <c r="V16" t="s">
        <v>157</v>
      </c>
      <c r="X16">
        <v>1.1415525114155251E-4</v>
      </c>
      <c r="Y16">
        <v>2.1546544680075254E-5</v>
      </c>
      <c r="Z16" t="s">
        <v>220</v>
      </c>
      <c r="AA16" t="s">
        <v>25</v>
      </c>
    </row>
    <row r="17" spans="5:27" x14ac:dyDescent="0.45">
      <c r="E17" t="s">
        <v>202</v>
      </c>
      <c r="G17" t="s">
        <v>196</v>
      </c>
      <c r="I17" t="s">
        <v>155</v>
      </c>
      <c r="J17" t="s">
        <v>221</v>
      </c>
      <c r="K17">
        <v>0</v>
      </c>
      <c r="L17" t="s">
        <v>157</v>
      </c>
      <c r="N17" t="s">
        <v>177</v>
      </c>
      <c r="O17" t="s">
        <v>221</v>
      </c>
      <c r="P17">
        <v>1.4922983503568244E-5</v>
      </c>
      <c r="Q17" t="s">
        <v>157</v>
      </c>
      <c r="S17" t="s">
        <v>182</v>
      </c>
      <c r="T17" t="s">
        <v>221</v>
      </c>
      <c r="U17">
        <v>1.4922983503568244E-5</v>
      </c>
      <c r="V17" t="s">
        <v>157</v>
      </c>
      <c r="X17">
        <v>1.1415525114155251E-4</v>
      </c>
      <c r="Y17">
        <v>1.4916838624667481E-5</v>
      </c>
      <c r="Z17" t="s">
        <v>221</v>
      </c>
      <c r="AA17" t="s">
        <v>25</v>
      </c>
    </row>
    <row r="18" spans="5:27" x14ac:dyDescent="0.45">
      <c r="E18" t="s">
        <v>203</v>
      </c>
      <c r="G18" t="s">
        <v>196</v>
      </c>
      <c r="I18" t="s">
        <v>155</v>
      </c>
      <c r="J18" t="s">
        <v>222</v>
      </c>
      <c r="K18">
        <v>0</v>
      </c>
      <c r="L18" t="s">
        <v>157</v>
      </c>
      <c r="N18" t="s">
        <v>177</v>
      </c>
      <c r="O18" t="s">
        <v>222</v>
      </c>
      <c r="P18">
        <v>1.3659638119045915E-5</v>
      </c>
      <c r="Q18" t="s">
        <v>157</v>
      </c>
      <c r="S18" t="s">
        <v>182</v>
      </c>
      <c r="T18" t="s">
        <v>222</v>
      </c>
      <c r="U18">
        <v>1.3659638119045915E-5</v>
      </c>
      <c r="V18" t="s">
        <v>157</v>
      </c>
      <c r="X18">
        <v>1.1415525114155251E-4</v>
      </c>
      <c r="Y18">
        <v>1.6574265138519424E-5</v>
      </c>
      <c r="Z18" t="s">
        <v>222</v>
      </c>
      <c r="AA18" t="s">
        <v>25</v>
      </c>
    </row>
    <row r="19" spans="5:27" x14ac:dyDescent="0.45">
      <c r="E19" t="s">
        <v>204</v>
      </c>
      <c r="G19" t="s">
        <v>196</v>
      </c>
      <c r="I19" t="s">
        <v>155</v>
      </c>
      <c r="J19" t="s">
        <v>223</v>
      </c>
      <c r="K19">
        <v>0</v>
      </c>
      <c r="L19" t="s">
        <v>157</v>
      </c>
      <c r="N19" t="s">
        <v>177</v>
      </c>
      <c r="O19" t="s">
        <v>223</v>
      </c>
      <c r="P19">
        <v>2.124455415672156E-5</v>
      </c>
      <c r="Q19" t="s">
        <v>157</v>
      </c>
      <c r="S19" t="s">
        <v>182</v>
      </c>
      <c r="T19" t="s">
        <v>223</v>
      </c>
      <c r="U19">
        <v>2.124455415672156E-5</v>
      </c>
      <c r="V19" t="s">
        <v>157</v>
      </c>
      <c r="X19">
        <v>1.1415525114155251E-4</v>
      </c>
      <c r="Y19">
        <v>1.4585353321897093E-5</v>
      </c>
      <c r="Z19" t="s">
        <v>223</v>
      </c>
      <c r="AA19" t="s">
        <v>25</v>
      </c>
    </row>
    <row r="20" spans="5:27" x14ac:dyDescent="0.45">
      <c r="E20" t="s">
        <v>205</v>
      </c>
      <c r="G20" t="s">
        <v>196</v>
      </c>
      <c r="I20" t="s">
        <v>155</v>
      </c>
      <c r="J20" t="s">
        <v>224</v>
      </c>
      <c r="K20">
        <v>0</v>
      </c>
      <c r="L20" t="s">
        <v>157</v>
      </c>
      <c r="N20" t="s">
        <v>177</v>
      </c>
      <c r="O20" t="s">
        <v>224</v>
      </c>
      <c r="P20">
        <v>1.9842827402878495E-5</v>
      </c>
      <c r="Q20" t="s">
        <v>157</v>
      </c>
      <c r="S20" t="s">
        <v>182</v>
      </c>
      <c r="T20" t="s">
        <v>224</v>
      </c>
      <c r="U20">
        <v>1.9842827402878495E-5</v>
      </c>
      <c r="V20" t="s">
        <v>157</v>
      </c>
      <c r="X20">
        <v>1.1415525114155251E-4</v>
      </c>
      <c r="Y20">
        <v>2.1215059377304864E-5</v>
      </c>
      <c r="Z20" t="s">
        <v>224</v>
      </c>
      <c r="AA20" t="s">
        <v>25</v>
      </c>
    </row>
    <row r="21" spans="5:27" x14ac:dyDescent="0.45">
      <c r="E21" t="s">
        <v>206</v>
      </c>
      <c r="G21" t="s">
        <v>196</v>
      </c>
      <c r="I21" t="s">
        <v>155</v>
      </c>
      <c r="J21" t="s">
        <v>225</v>
      </c>
      <c r="K21">
        <v>0</v>
      </c>
      <c r="L21" t="s">
        <v>157</v>
      </c>
      <c r="N21" t="s">
        <v>177</v>
      </c>
      <c r="O21" t="s">
        <v>225</v>
      </c>
      <c r="P21">
        <v>1.8525785526401914E-5</v>
      </c>
      <c r="Q21" t="s">
        <v>157</v>
      </c>
      <c r="S21" t="s">
        <v>182</v>
      </c>
      <c r="T21" t="s">
        <v>225</v>
      </c>
      <c r="U21">
        <v>1.8525785526401914E-5</v>
      </c>
      <c r="V21" t="s">
        <v>157</v>
      </c>
      <c r="X21">
        <v>1.1415525114155251E-4</v>
      </c>
      <c r="Y21">
        <v>5.7678442682047593E-5</v>
      </c>
      <c r="Z21" t="s">
        <v>225</v>
      </c>
      <c r="AA21" t="s">
        <v>25</v>
      </c>
    </row>
    <row r="22" spans="5:27" x14ac:dyDescent="0.45">
      <c r="E22" t="s">
        <v>207</v>
      </c>
      <c r="G22" t="s">
        <v>196</v>
      </c>
      <c r="I22" t="s">
        <v>155</v>
      </c>
      <c r="J22" t="s">
        <v>226</v>
      </c>
      <c r="K22">
        <v>0</v>
      </c>
      <c r="L22" t="s">
        <v>157</v>
      </c>
      <c r="N22" t="s">
        <v>177</v>
      </c>
      <c r="O22" t="s">
        <v>226</v>
      </c>
      <c r="P22">
        <v>1.8002809609476419E-5</v>
      </c>
      <c r="Q22" t="s">
        <v>157</v>
      </c>
      <c r="S22" t="s">
        <v>182</v>
      </c>
      <c r="T22" t="s">
        <v>226</v>
      </c>
      <c r="U22">
        <v>1.8002809609476419E-5</v>
      </c>
      <c r="V22" t="s">
        <v>157</v>
      </c>
      <c r="X22">
        <v>1.1415525114155251E-4</v>
      </c>
      <c r="Y22">
        <v>1.6905750441289813E-4</v>
      </c>
      <c r="Z22" t="s">
        <v>226</v>
      </c>
      <c r="AA22" t="s">
        <v>25</v>
      </c>
    </row>
    <row r="23" spans="5:27" x14ac:dyDescent="0.45">
      <c r="E23" t="s">
        <v>208</v>
      </c>
      <c r="G23" t="s">
        <v>196</v>
      </c>
      <c r="I23" t="s">
        <v>155</v>
      </c>
      <c r="J23" t="s">
        <v>227</v>
      </c>
      <c r="K23">
        <v>1.1983366928875353E-4</v>
      </c>
      <c r="L23" t="s">
        <v>157</v>
      </c>
      <c r="N23" t="s">
        <v>177</v>
      </c>
      <c r="O23" t="s">
        <v>227</v>
      </c>
      <c r="P23">
        <v>1.5135501787449521E-5</v>
      </c>
      <c r="Q23" t="s">
        <v>157</v>
      </c>
      <c r="S23" t="s">
        <v>182</v>
      </c>
      <c r="T23" t="s">
        <v>227</v>
      </c>
      <c r="U23">
        <v>1.5135501787449521E-5</v>
      </c>
      <c r="V23" t="s">
        <v>157</v>
      </c>
      <c r="X23">
        <v>1.1415525114155251E-4</v>
      </c>
      <c r="Y23">
        <v>1.9060404909297337E-4</v>
      </c>
      <c r="Z23" t="s">
        <v>227</v>
      </c>
      <c r="AA23" t="s">
        <v>25</v>
      </c>
    </row>
    <row r="24" spans="5:27" x14ac:dyDescent="0.45">
      <c r="E24" t="s">
        <v>209</v>
      </c>
      <c r="G24" t="s">
        <v>196</v>
      </c>
      <c r="I24" t="s">
        <v>155</v>
      </c>
      <c r="J24" t="s">
        <v>228</v>
      </c>
      <c r="K24">
        <v>2.4890525058364157E-4</v>
      </c>
      <c r="L24" t="s">
        <v>157</v>
      </c>
      <c r="N24" t="s">
        <v>177</v>
      </c>
      <c r="O24" t="s">
        <v>228</v>
      </c>
      <c r="P24">
        <v>3.1424962688849062E-7</v>
      </c>
      <c r="Q24" t="s">
        <v>157</v>
      </c>
      <c r="S24" t="s">
        <v>182</v>
      </c>
      <c r="T24" t="s">
        <v>228</v>
      </c>
      <c r="U24">
        <v>3.1424962688849062E-7</v>
      </c>
      <c r="V24" t="s">
        <v>157</v>
      </c>
      <c r="X24">
        <v>1.1415525114155251E-4</v>
      </c>
      <c r="Y24">
        <v>1.4585353321897094E-4</v>
      </c>
      <c r="Z24" t="s">
        <v>228</v>
      </c>
      <c r="AA24" t="s">
        <v>25</v>
      </c>
    </row>
    <row r="25" spans="5:27" x14ac:dyDescent="0.45">
      <c r="E25" t="s">
        <v>210</v>
      </c>
      <c r="G25" t="s">
        <v>196</v>
      </c>
      <c r="I25" t="s">
        <v>155</v>
      </c>
      <c r="J25" t="s">
        <v>229</v>
      </c>
      <c r="K25">
        <v>2.3952384266094615E-4</v>
      </c>
      <c r="L25" t="s">
        <v>157</v>
      </c>
      <c r="N25" t="s">
        <v>177</v>
      </c>
      <c r="O25" t="s">
        <v>229</v>
      </c>
      <c r="P25">
        <v>8.6732412524613962E-6</v>
      </c>
      <c r="Q25" t="s">
        <v>157</v>
      </c>
      <c r="S25" t="s">
        <v>182</v>
      </c>
      <c r="T25" t="s">
        <v>229</v>
      </c>
      <c r="U25">
        <v>8.6732412524613962E-6</v>
      </c>
      <c r="V25" t="s">
        <v>157</v>
      </c>
      <c r="X25">
        <v>1.1415525114155251E-4</v>
      </c>
      <c r="Y25">
        <v>1.4452759200788939E-4</v>
      </c>
      <c r="Z25" t="s">
        <v>229</v>
      </c>
      <c r="AA25" t="s">
        <v>25</v>
      </c>
    </row>
    <row r="26" spans="5:27" x14ac:dyDescent="0.45">
      <c r="E26" t="s">
        <v>211</v>
      </c>
      <c r="G26" t="s">
        <v>196</v>
      </c>
      <c r="I26" t="s">
        <v>155</v>
      </c>
      <c r="J26" t="s">
        <v>230</v>
      </c>
      <c r="K26">
        <v>2.4859298457575123E-4</v>
      </c>
      <c r="L26" t="s">
        <v>157</v>
      </c>
      <c r="N26" t="s">
        <v>177</v>
      </c>
      <c r="O26" t="s">
        <v>230</v>
      </c>
      <c r="P26">
        <v>7.6688504577245242E-5</v>
      </c>
      <c r="Q26" t="s">
        <v>157</v>
      </c>
      <c r="S26" t="s">
        <v>182</v>
      </c>
      <c r="T26" t="s">
        <v>230</v>
      </c>
      <c r="U26">
        <v>7.6688504577245242E-5</v>
      </c>
      <c r="V26" t="s">
        <v>157</v>
      </c>
      <c r="X26">
        <v>1.1415525114155251E-4</v>
      </c>
      <c r="Y26">
        <v>1.408812536774151E-4</v>
      </c>
      <c r="Z26" t="s">
        <v>230</v>
      </c>
      <c r="AA26" t="s">
        <v>25</v>
      </c>
    </row>
    <row r="27" spans="5:27" x14ac:dyDescent="0.45">
      <c r="E27" t="s">
        <v>212</v>
      </c>
      <c r="G27" t="s">
        <v>196</v>
      </c>
      <c r="I27" t="s">
        <v>155</v>
      </c>
      <c r="J27" t="s">
        <v>231</v>
      </c>
      <c r="K27">
        <v>2.9995481669878386E-4</v>
      </c>
      <c r="L27" t="s">
        <v>157</v>
      </c>
      <c r="N27" t="s">
        <v>177</v>
      </c>
      <c r="O27" t="s">
        <v>231</v>
      </c>
      <c r="P27">
        <v>8.3145010354350709E-5</v>
      </c>
      <c r="Q27" t="s">
        <v>157</v>
      </c>
      <c r="S27" t="s">
        <v>182</v>
      </c>
      <c r="T27" t="s">
        <v>231</v>
      </c>
      <c r="U27">
        <v>8.3145010354350709E-5</v>
      </c>
      <c r="V27" t="s">
        <v>157</v>
      </c>
      <c r="X27">
        <v>1.1415525114155251E-4</v>
      </c>
      <c r="Y27">
        <v>1.4054976837464471E-4</v>
      </c>
      <c r="Z27" t="s">
        <v>231</v>
      </c>
      <c r="AA27" t="s">
        <v>25</v>
      </c>
    </row>
    <row r="28" spans="5:27" x14ac:dyDescent="0.45">
      <c r="E28" t="s">
        <v>213</v>
      </c>
      <c r="G28" t="s">
        <v>196</v>
      </c>
      <c r="I28" t="s">
        <v>155</v>
      </c>
      <c r="J28" t="s">
        <v>232</v>
      </c>
      <c r="K28">
        <v>3.3361723613141897E-4</v>
      </c>
      <c r="L28" t="s">
        <v>157</v>
      </c>
      <c r="N28" t="s">
        <v>177</v>
      </c>
      <c r="O28" t="s">
        <v>232</v>
      </c>
      <c r="P28">
        <v>7.2317134480462443E-5</v>
      </c>
      <c r="Q28" t="s">
        <v>157</v>
      </c>
      <c r="S28" t="s">
        <v>182</v>
      </c>
      <c r="T28" t="s">
        <v>232</v>
      </c>
      <c r="U28">
        <v>7.2317134480462443E-5</v>
      </c>
      <c r="V28" t="s">
        <v>157</v>
      </c>
      <c r="X28">
        <v>1.1415525114155251E-4</v>
      </c>
      <c r="Y28">
        <v>1.4253868019126702E-4</v>
      </c>
      <c r="Z28" t="s">
        <v>232</v>
      </c>
      <c r="AA28" t="s">
        <v>25</v>
      </c>
    </row>
    <row r="29" spans="5:27" x14ac:dyDescent="0.45">
      <c r="E29" t="s">
        <v>214</v>
      </c>
      <c r="G29" t="s">
        <v>196</v>
      </c>
      <c r="I29" t="s">
        <v>155</v>
      </c>
      <c r="J29" t="s">
        <v>233</v>
      </c>
      <c r="K29">
        <v>3.3282449278003998E-4</v>
      </c>
      <c r="L29" t="s">
        <v>157</v>
      </c>
      <c r="N29" t="s">
        <v>177</v>
      </c>
      <c r="O29" t="s">
        <v>233</v>
      </c>
      <c r="P29">
        <v>7.0966363651140746E-5</v>
      </c>
      <c r="Q29" t="s">
        <v>157</v>
      </c>
      <c r="S29" t="s">
        <v>182</v>
      </c>
      <c r="T29" t="s">
        <v>233</v>
      </c>
      <c r="U29">
        <v>7.0966363651140746E-5</v>
      </c>
      <c r="V29" t="s">
        <v>157</v>
      </c>
      <c r="X29">
        <v>1.1415525114155251E-4</v>
      </c>
      <c r="Y29">
        <v>1.4883690094390442E-4</v>
      </c>
      <c r="Z29" t="s">
        <v>233</v>
      </c>
      <c r="AA29" t="s">
        <v>25</v>
      </c>
    </row>
    <row r="30" spans="5:27" x14ac:dyDescent="0.45">
      <c r="E30" t="s">
        <v>215</v>
      </c>
      <c r="G30" t="s">
        <v>196</v>
      </c>
      <c r="I30" t="s">
        <v>155</v>
      </c>
      <c r="J30" t="s">
        <v>234</v>
      </c>
      <c r="K30">
        <v>3.4349935806425499E-4</v>
      </c>
      <c r="L30" t="s">
        <v>157</v>
      </c>
      <c r="N30" t="s">
        <v>177</v>
      </c>
      <c r="O30" t="s">
        <v>234</v>
      </c>
      <c r="P30">
        <v>6.8229319044717552E-5</v>
      </c>
      <c r="Q30" t="s">
        <v>157</v>
      </c>
      <c r="S30" t="s">
        <v>182</v>
      </c>
      <c r="T30" t="s">
        <v>234</v>
      </c>
      <c r="U30">
        <v>6.8229319044717552E-5</v>
      </c>
      <c r="V30" t="s">
        <v>157</v>
      </c>
      <c r="X30">
        <v>1.1415525114155251E-4</v>
      </c>
      <c r="Y30">
        <v>1.5049432745775637E-4</v>
      </c>
      <c r="Z30" t="s">
        <v>234</v>
      </c>
      <c r="AA30" t="s">
        <v>25</v>
      </c>
    </row>
    <row r="31" spans="5:27" x14ac:dyDescent="0.45">
      <c r="E31" t="s">
        <v>216</v>
      </c>
      <c r="G31" t="s">
        <v>196</v>
      </c>
      <c r="I31" t="s">
        <v>155</v>
      </c>
      <c r="J31" t="s">
        <v>235</v>
      </c>
      <c r="K31">
        <v>3.1128537999409957E-4</v>
      </c>
      <c r="L31" t="s">
        <v>157</v>
      </c>
      <c r="N31" t="s">
        <v>177</v>
      </c>
      <c r="O31" t="s">
        <v>235</v>
      </c>
      <c r="P31">
        <v>7.9097857461100148E-5</v>
      </c>
      <c r="Q31" t="s">
        <v>157</v>
      </c>
      <c r="S31" t="s">
        <v>182</v>
      </c>
      <c r="T31" t="s">
        <v>235</v>
      </c>
      <c r="U31">
        <v>7.9097857461100148E-5</v>
      </c>
      <c r="V31" t="s">
        <v>157</v>
      </c>
      <c r="X31">
        <v>1.1415525114155251E-4</v>
      </c>
      <c r="Y31">
        <v>1.7237235744060203E-4</v>
      </c>
      <c r="Z31" t="s">
        <v>235</v>
      </c>
      <c r="AA31" t="s">
        <v>25</v>
      </c>
    </row>
    <row r="32" spans="5:27" x14ac:dyDescent="0.45">
      <c r="E32" t="s">
        <v>217</v>
      </c>
      <c r="G32" t="s">
        <v>196</v>
      </c>
      <c r="I32" t="s">
        <v>155</v>
      </c>
      <c r="J32" t="s">
        <v>236</v>
      </c>
      <c r="K32">
        <v>2.9765469960808404E-4</v>
      </c>
      <c r="L32" t="s">
        <v>157</v>
      </c>
      <c r="N32" t="s">
        <v>177</v>
      </c>
      <c r="O32" t="s">
        <v>236</v>
      </c>
      <c r="P32">
        <v>9.9561935666787787E-5</v>
      </c>
      <c r="Q32" t="s">
        <v>157</v>
      </c>
      <c r="S32" t="s">
        <v>182</v>
      </c>
      <c r="T32" t="s">
        <v>236</v>
      </c>
      <c r="U32">
        <v>9.9561935666787787E-5</v>
      </c>
      <c r="V32" t="s">
        <v>157</v>
      </c>
      <c r="X32">
        <v>1.1415525114155251E-4</v>
      </c>
      <c r="Y32">
        <v>2.2209515285616027E-4</v>
      </c>
      <c r="Z32" t="s">
        <v>236</v>
      </c>
      <c r="AA32" t="s">
        <v>25</v>
      </c>
    </row>
    <row r="33" spans="5:27" x14ac:dyDescent="0.45">
      <c r="E33" t="s">
        <v>218</v>
      </c>
      <c r="G33" t="s">
        <v>196</v>
      </c>
      <c r="I33" t="s">
        <v>155</v>
      </c>
      <c r="J33" t="s">
        <v>237</v>
      </c>
      <c r="K33">
        <v>2.6913980501190387E-4</v>
      </c>
      <c r="L33" t="s">
        <v>157</v>
      </c>
      <c r="N33" t="s">
        <v>177</v>
      </c>
      <c r="O33" t="s">
        <v>237</v>
      </c>
      <c r="P33">
        <v>1.3872932424880454E-4</v>
      </c>
      <c r="Q33" t="s">
        <v>157</v>
      </c>
      <c r="S33" t="s">
        <v>182</v>
      </c>
      <c r="T33" t="s">
        <v>237</v>
      </c>
      <c r="U33">
        <v>1.3872932424880454E-4</v>
      </c>
      <c r="V33" t="s">
        <v>157</v>
      </c>
      <c r="X33">
        <v>1.1415525114155251E-4</v>
      </c>
      <c r="Y33">
        <v>2.2209515285616027E-4</v>
      </c>
      <c r="Z33" t="s">
        <v>237</v>
      </c>
      <c r="AA33" t="s">
        <v>25</v>
      </c>
    </row>
    <row r="34" spans="5:27" x14ac:dyDescent="0.45">
      <c r="E34" t="s">
        <v>219</v>
      </c>
      <c r="G34" t="s">
        <v>196</v>
      </c>
      <c r="I34" t="s">
        <v>155</v>
      </c>
      <c r="J34" t="s">
        <v>238</v>
      </c>
      <c r="K34">
        <v>1.6851897256192587E-4</v>
      </c>
      <c r="L34" t="s">
        <v>157</v>
      </c>
      <c r="N34" t="s">
        <v>177</v>
      </c>
      <c r="O34" t="s">
        <v>238</v>
      </c>
      <c r="P34">
        <v>2.3310568298689222E-4</v>
      </c>
      <c r="Q34" t="s">
        <v>157</v>
      </c>
      <c r="S34" t="s">
        <v>182</v>
      </c>
      <c r="T34" t="s">
        <v>238</v>
      </c>
      <c r="U34">
        <v>2.3310568298689222E-4</v>
      </c>
      <c r="V34" t="s">
        <v>157</v>
      </c>
      <c r="X34">
        <v>1.1415525114155251E-4</v>
      </c>
      <c r="Y34">
        <v>1.7237235744060203E-4</v>
      </c>
      <c r="Z34" t="s">
        <v>238</v>
      </c>
      <c r="AA34" t="s">
        <v>25</v>
      </c>
    </row>
    <row r="35" spans="5:27" x14ac:dyDescent="0.45">
      <c r="E35" t="s">
        <v>247</v>
      </c>
      <c r="G35" t="s">
        <v>246</v>
      </c>
      <c r="I35" t="s">
        <v>155</v>
      </c>
      <c r="J35" t="s">
        <v>239</v>
      </c>
      <c r="K35">
        <v>0</v>
      </c>
      <c r="L35" t="s">
        <v>157</v>
      </c>
      <c r="N35" t="s">
        <v>177</v>
      </c>
      <c r="O35" t="s">
        <v>239</v>
      </c>
      <c r="P35">
        <v>3.2787453586987861E-4</v>
      </c>
      <c r="Q35" t="s">
        <v>157</v>
      </c>
      <c r="S35" t="s">
        <v>182</v>
      </c>
      <c r="T35" t="s">
        <v>239</v>
      </c>
      <c r="U35">
        <v>3.2787453586987861E-4</v>
      </c>
      <c r="V35" t="s">
        <v>157</v>
      </c>
      <c r="X35">
        <v>1.1415525114155251E-4</v>
      </c>
      <c r="Y35">
        <v>1.5579809230208258E-4</v>
      </c>
      <c r="Z35" t="s">
        <v>239</v>
      </c>
      <c r="AA35" t="s">
        <v>25</v>
      </c>
    </row>
    <row r="36" spans="5:27" x14ac:dyDescent="0.45">
      <c r="E36" t="s">
        <v>248</v>
      </c>
      <c r="G36" t="s">
        <v>246</v>
      </c>
      <c r="I36" t="s">
        <v>155</v>
      </c>
      <c r="J36" t="s">
        <v>240</v>
      </c>
      <c r="K36">
        <v>0</v>
      </c>
      <c r="L36" t="s">
        <v>157</v>
      </c>
      <c r="N36" t="s">
        <v>177</v>
      </c>
      <c r="O36" t="s">
        <v>240</v>
      </c>
      <c r="P36">
        <v>3.6556334577849303E-4</v>
      </c>
      <c r="Q36" t="s">
        <v>157</v>
      </c>
      <c r="S36" t="s">
        <v>182</v>
      </c>
      <c r="T36" t="s">
        <v>240</v>
      </c>
      <c r="U36">
        <v>3.6556334577849303E-4</v>
      </c>
      <c r="V36" t="s">
        <v>157</v>
      </c>
      <c r="X36">
        <v>1.1415525114155251E-4</v>
      </c>
      <c r="Y36">
        <v>1.093901499142282E-4</v>
      </c>
      <c r="Z36" t="s">
        <v>240</v>
      </c>
      <c r="AA36" t="s">
        <v>25</v>
      </c>
    </row>
    <row r="37" spans="5:27" x14ac:dyDescent="0.45">
      <c r="E37" t="s">
        <v>249</v>
      </c>
      <c r="G37" t="s">
        <v>246</v>
      </c>
      <c r="I37" t="s">
        <v>155</v>
      </c>
      <c r="J37" t="s">
        <v>241</v>
      </c>
      <c r="K37">
        <v>0</v>
      </c>
      <c r="L37" t="s">
        <v>157</v>
      </c>
      <c r="N37" t="s">
        <v>177</v>
      </c>
      <c r="O37" t="s">
        <v>241</v>
      </c>
      <c r="P37">
        <v>3.3970443349063079E-4</v>
      </c>
      <c r="Q37" t="s">
        <v>157</v>
      </c>
      <c r="S37" t="s">
        <v>182</v>
      </c>
      <c r="T37" t="s">
        <v>241</v>
      </c>
      <c r="U37">
        <v>3.3970443349063079E-4</v>
      </c>
      <c r="V37" t="s">
        <v>157</v>
      </c>
      <c r="X37">
        <v>1.1415525114155251E-4</v>
      </c>
      <c r="Y37">
        <v>7.9556472664893237E-5</v>
      </c>
      <c r="Z37" t="s">
        <v>241</v>
      </c>
      <c r="AA37" t="s">
        <v>25</v>
      </c>
    </row>
    <row r="38" spans="5:27" x14ac:dyDescent="0.45">
      <c r="E38" t="s">
        <v>250</v>
      </c>
      <c r="G38" t="s">
        <v>246</v>
      </c>
      <c r="I38" t="s">
        <v>155</v>
      </c>
      <c r="J38" t="s">
        <v>242</v>
      </c>
      <c r="K38">
        <v>0</v>
      </c>
      <c r="L38" t="s">
        <v>157</v>
      </c>
      <c r="N38" t="s">
        <v>177</v>
      </c>
      <c r="O38" t="s">
        <v>242</v>
      </c>
      <c r="P38">
        <v>2.7047738874435049E-4</v>
      </c>
      <c r="Q38" t="s">
        <v>157</v>
      </c>
      <c r="S38" t="s">
        <v>182</v>
      </c>
      <c r="T38" t="s">
        <v>242</v>
      </c>
      <c r="U38">
        <v>2.7047738874435049E-4</v>
      </c>
      <c r="V38" t="s">
        <v>157</v>
      </c>
      <c r="X38">
        <v>1.1415525114155251E-4</v>
      </c>
      <c r="Y38">
        <v>5.6352501470966035E-5</v>
      </c>
      <c r="Z38" t="s">
        <v>242</v>
      </c>
      <c r="AA38" t="s">
        <v>25</v>
      </c>
    </row>
    <row r="39" spans="5:27" x14ac:dyDescent="0.45">
      <c r="E39" t="s">
        <v>251</v>
      </c>
      <c r="G39" t="s">
        <v>246</v>
      </c>
      <c r="I39" t="s">
        <v>155</v>
      </c>
      <c r="J39" t="s">
        <v>243</v>
      </c>
      <c r="K39">
        <v>0</v>
      </c>
      <c r="L39" t="s">
        <v>157</v>
      </c>
      <c r="N39" t="s">
        <v>177</v>
      </c>
      <c r="O39" t="s">
        <v>243</v>
      </c>
      <c r="P39">
        <v>2.1259558711553983E-4</v>
      </c>
      <c r="Q39" t="s">
        <v>157</v>
      </c>
      <c r="S39" t="s">
        <v>182</v>
      </c>
      <c r="T39" t="s">
        <v>243</v>
      </c>
      <c r="U39">
        <v>2.1259558711553983E-4</v>
      </c>
      <c r="V39" t="s">
        <v>157</v>
      </c>
      <c r="X39">
        <v>1.1415525114155251E-4</v>
      </c>
      <c r="Y39">
        <v>2.9833677249334962E-5</v>
      </c>
      <c r="Z39" t="s">
        <v>243</v>
      </c>
      <c r="AA39" t="s">
        <v>25</v>
      </c>
    </row>
    <row r="40" spans="5:27" x14ac:dyDescent="0.45">
      <c r="E40" t="s">
        <v>252</v>
      </c>
      <c r="G40" t="s">
        <v>246</v>
      </c>
      <c r="I40" t="s">
        <v>155</v>
      </c>
      <c r="J40" t="s">
        <v>271</v>
      </c>
      <c r="K40">
        <v>0</v>
      </c>
      <c r="L40" t="s">
        <v>157</v>
      </c>
      <c r="N40" t="s">
        <v>177</v>
      </c>
      <c r="O40" t="s">
        <v>271</v>
      </c>
      <c r="P40">
        <v>1.4088734439484467E-4</v>
      </c>
      <c r="Q40" t="s">
        <v>157</v>
      </c>
      <c r="S40" t="s">
        <v>182</v>
      </c>
      <c r="T40" t="s">
        <v>271</v>
      </c>
      <c r="U40">
        <v>1.4088734439484467E-4</v>
      </c>
      <c r="V40" t="s">
        <v>157</v>
      </c>
      <c r="X40">
        <v>1.1415525114155251E-4</v>
      </c>
      <c r="Y40">
        <v>2.1546544680075254E-5</v>
      </c>
      <c r="Z40" t="s">
        <v>271</v>
      </c>
      <c r="AA40" t="s">
        <v>25</v>
      </c>
    </row>
    <row r="41" spans="5:27" x14ac:dyDescent="0.45">
      <c r="E41" t="s">
        <v>253</v>
      </c>
      <c r="G41" t="s">
        <v>246</v>
      </c>
      <c r="I41" t="s">
        <v>155</v>
      </c>
      <c r="J41" t="s">
        <v>272</v>
      </c>
      <c r="K41">
        <v>0</v>
      </c>
      <c r="L41" t="s">
        <v>157</v>
      </c>
      <c r="N41" t="s">
        <v>177</v>
      </c>
      <c r="O41" t="s">
        <v>272</v>
      </c>
      <c r="P41">
        <v>9.0216183308243711E-5</v>
      </c>
      <c r="Q41" t="s">
        <v>157</v>
      </c>
      <c r="S41" t="s">
        <v>182</v>
      </c>
      <c r="T41" t="s">
        <v>272</v>
      </c>
      <c r="U41">
        <v>9.0216183308243711E-5</v>
      </c>
      <c r="V41" t="s">
        <v>157</v>
      </c>
      <c r="X41">
        <v>1.1415525114155251E-4</v>
      </c>
      <c r="Y41">
        <v>1.4916838624667481E-5</v>
      </c>
      <c r="Z41" t="s">
        <v>272</v>
      </c>
      <c r="AA41" t="s">
        <v>25</v>
      </c>
    </row>
    <row r="42" spans="5:27" x14ac:dyDescent="0.45">
      <c r="E42" t="s">
        <v>254</v>
      </c>
      <c r="G42" t="s">
        <v>246</v>
      </c>
      <c r="I42" t="s">
        <v>155</v>
      </c>
      <c r="J42" t="s">
        <v>273</v>
      </c>
      <c r="K42">
        <v>0</v>
      </c>
      <c r="L42" t="s">
        <v>157</v>
      </c>
      <c r="N42" t="s">
        <v>177</v>
      </c>
      <c r="O42" t="s">
        <v>273</v>
      </c>
      <c r="P42">
        <v>4.9930064333713085E-5</v>
      </c>
      <c r="Q42" t="s">
        <v>157</v>
      </c>
      <c r="S42" t="s">
        <v>182</v>
      </c>
      <c r="T42" t="s">
        <v>273</v>
      </c>
      <c r="U42">
        <v>4.9930064333713085E-5</v>
      </c>
      <c r="V42" t="s">
        <v>157</v>
      </c>
      <c r="X42">
        <v>1.1415525114155251E-4</v>
      </c>
      <c r="Y42">
        <v>1.6574265138519424E-5</v>
      </c>
      <c r="Z42" t="s">
        <v>273</v>
      </c>
      <c r="AA42" t="s">
        <v>25</v>
      </c>
    </row>
    <row r="43" spans="5:27" x14ac:dyDescent="0.45">
      <c r="E43" t="s">
        <v>255</v>
      </c>
      <c r="G43" t="s">
        <v>246</v>
      </c>
      <c r="I43" t="s">
        <v>155</v>
      </c>
      <c r="J43" t="s">
        <v>274</v>
      </c>
      <c r="K43">
        <v>0</v>
      </c>
      <c r="L43" t="s">
        <v>157</v>
      </c>
      <c r="N43" t="s">
        <v>177</v>
      </c>
      <c r="O43" t="s">
        <v>274</v>
      </c>
      <c r="P43">
        <v>2.6675924663522865E-5</v>
      </c>
      <c r="Q43" t="s">
        <v>157</v>
      </c>
      <c r="S43" t="s">
        <v>182</v>
      </c>
      <c r="T43" t="s">
        <v>274</v>
      </c>
      <c r="U43">
        <v>2.6675924663522865E-5</v>
      </c>
      <c r="V43" t="s">
        <v>157</v>
      </c>
      <c r="X43">
        <v>1.1415525114155251E-4</v>
      </c>
      <c r="Y43">
        <v>1.4585353321897093E-5</v>
      </c>
      <c r="Z43" t="s">
        <v>274</v>
      </c>
      <c r="AA43" t="s">
        <v>25</v>
      </c>
    </row>
    <row r="44" spans="5:27" x14ac:dyDescent="0.45">
      <c r="E44" t="s">
        <v>256</v>
      </c>
      <c r="G44" t="s">
        <v>246</v>
      </c>
      <c r="I44" t="s">
        <v>155</v>
      </c>
      <c r="J44" t="s">
        <v>275</v>
      </c>
      <c r="K44">
        <v>0</v>
      </c>
      <c r="L44" t="s">
        <v>157</v>
      </c>
      <c r="N44" t="s">
        <v>177</v>
      </c>
      <c r="O44" t="s">
        <v>275</v>
      </c>
      <c r="P44">
        <v>1.8627326795186716E-5</v>
      </c>
      <c r="Q44" t="s">
        <v>157</v>
      </c>
      <c r="S44" t="s">
        <v>182</v>
      </c>
      <c r="T44" t="s">
        <v>275</v>
      </c>
      <c r="U44">
        <v>1.8627326795186716E-5</v>
      </c>
      <c r="V44" t="s">
        <v>157</v>
      </c>
      <c r="X44">
        <v>1.1415525114155251E-4</v>
      </c>
      <c r="Y44">
        <v>2.1215059377304864E-5</v>
      </c>
      <c r="Z44" t="s">
        <v>275</v>
      </c>
      <c r="AA44" t="s">
        <v>25</v>
      </c>
    </row>
    <row r="45" spans="5:27" x14ac:dyDescent="0.45">
      <c r="E45" t="s">
        <v>257</v>
      </c>
      <c r="G45" t="s">
        <v>246</v>
      </c>
      <c r="I45" t="s">
        <v>155</v>
      </c>
      <c r="J45" t="s">
        <v>276</v>
      </c>
      <c r="K45">
        <v>0</v>
      </c>
      <c r="L45" t="s">
        <v>157</v>
      </c>
      <c r="N45" t="s">
        <v>177</v>
      </c>
      <c r="O45" t="s">
        <v>276</v>
      </c>
      <c r="P45">
        <v>2.9169542629165445E-5</v>
      </c>
      <c r="Q45" t="s">
        <v>157</v>
      </c>
      <c r="S45" t="s">
        <v>182</v>
      </c>
      <c r="T45" t="s">
        <v>276</v>
      </c>
      <c r="U45">
        <v>2.9169542629165445E-5</v>
      </c>
      <c r="V45" t="s">
        <v>157</v>
      </c>
      <c r="X45">
        <v>1.1415525114155251E-4</v>
      </c>
      <c r="Y45">
        <v>5.7678442682047593E-5</v>
      </c>
      <c r="Z45" t="s">
        <v>276</v>
      </c>
      <c r="AA45" t="s">
        <v>25</v>
      </c>
    </row>
    <row r="46" spans="5:27" x14ac:dyDescent="0.45">
      <c r="E46" t="s">
        <v>258</v>
      </c>
      <c r="G46" t="s">
        <v>246</v>
      </c>
      <c r="I46" t="s">
        <v>155</v>
      </c>
      <c r="J46" t="s">
        <v>277</v>
      </c>
      <c r="K46">
        <v>0</v>
      </c>
      <c r="L46" t="s">
        <v>157</v>
      </c>
      <c r="N46" t="s">
        <v>177</v>
      </c>
      <c r="O46" t="s">
        <v>277</v>
      </c>
      <c r="P46">
        <v>5.2095292972073768E-5</v>
      </c>
      <c r="Q46" t="s">
        <v>157</v>
      </c>
      <c r="S46" t="s">
        <v>182</v>
      </c>
      <c r="T46" t="s">
        <v>277</v>
      </c>
      <c r="U46">
        <v>5.2095292972073768E-5</v>
      </c>
      <c r="V46" t="s">
        <v>157</v>
      </c>
      <c r="X46">
        <v>1.1415525114155251E-4</v>
      </c>
      <c r="Y46">
        <v>1.6905750441289813E-4</v>
      </c>
      <c r="Z46" t="s">
        <v>277</v>
      </c>
      <c r="AA46" t="s">
        <v>25</v>
      </c>
    </row>
    <row r="47" spans="5:27" x14ac:dyDescent="0.45">
      <c r="E47" t="s">
        <v>259</v>
      </c>
      <c r="G47" t="s">
        <v>246</v>
      </c>
      <c r="I47" t="s">
        <v>155</v>
      </c>
      <c r="J47" t="s">
        <v>278</v>
      </c>
      <c r="K47">
        <v>1.3014058409973209E-4</v>
      </c>
      <c r="L47" t="s">
        <v>157</v>
      </c>
      <c r="N47" t="s">
        <v>177</v>
      </c>
      <c r="O47" t="s">
        <v>278</v>
      </c>
      <c r="P47">
        <v>6.496342408280294E-5</v>
      </c>
      <c r="Q47" t="s">
        <v>157</v>
      </c>
      <c r="S47" t="s">
        <v>182</v>
      </c>
      <c r="T47" t="s">
        <v>278</v>
      </c>
      <c r="U47">
        <v>6.496342408280294E-5</v>
      </c>
      <c r="V47" t="s">
        <v>157</v>
      </c>
      <c r="X47">
        <v>1.1415525114155251E-4</v>
      </c>
      <c r="Y47">
        <v>1.9060404909297337E-4</v>
      </c>
      <c r="Z47" t="s">
        <v>278</v>
      </c>
      <c r="AA47" t="s">
        <v>25</v>
      </c>
    </row>
    <row r="48" spans="5:27" x14ac:dyDescent="0.45">
      <c r="E48" t="s">
        <v>260</v>
      </c>
      <c r="G48" t="s">
        <v>246</v>
      </c>
      <c r="I48" t="s">
        <v>155</v>
      </c>
      <c r="J48" t="s">
        <v>279</v>
      </c>
      <c r="K48">
        <v>2.2179308501296693E-4</v>
      </c>
      <c r="L48" t="s">
        <v>157</v>
      </c>
      <c r="N48" t="s">
        <v>177</v>
      </c>
      <c r="O48" t="s">
        <v>279</v>
      </c>
      <c r="P48">
        <v>4.9122398310843631E-6</v>
      </c>
      <c r="Q48" t="s">
        <v>157</v>
      </c>
      <c r="S48" t="s">
        <v>182</v>
      </c>
      <c r="T48" t="s">
        <v>279</v>
      </c>
      <c r="U48">
        <v>4.9122398310843631E-6</v>
      </c>
      <c r="V48" t="s">
        <v>157</v>
      </c>
      <c r="X48">
        <v>1.1415525114155251E-4</v>
      </c>
      <c r="Y48">
        <v>1.4585353321897094E-4</v>
      </c>
      <c r="Z48" t="s">
        <v>279</v>
      </c>
      <c r="AA48" t="s">
        <v>25</v>
      </c>
    </row>
    <row r="49" spans="5:27" x14ac:dyDescent="0.45">
      <c r="E49" t="s">
        <v>261</v>
      </c>
      <c r="G49" t="s">
        <v>246</v>
      </c>
      <c r="I49" t="s">
        <v>155</v>
      </c>
      <c r="J49" t="s">
        <v>280</v>
      </c>
      <c r="K49">
        <v>2.9619259908333451E-4</v>
      </c>
      <c r="L49" t="s">
        <v>157</v>
      </c>
      <c r="N49" t="s">
        <v>177</v>
      </c>
      <c r="O49" t="s">
        <v>280</v>
      </c>
      <c r="P49">
        <v>9.3019617843469527E-5</v>
      </c>
      <c r="Q49" t="s">
        <v>157</v>
      </c>
      <c r="S49" t="s">
        <v>182</v>
      </c>
      <c r="T49" t="s">
        <v>280</v>
      </c>
      <c r="U49">
        <v>9.3019617843469527E-5</v>
      </c>
      <c r="V49" t="s">
        <v>157</v>
      </c>
      <c r="X49">
        <v>1.1415525114155251E-4</v>
      </c>
      <c r="Y49">
        <v>1.4452759200788939E-4</v>
      </c>
      <c r="Z49" t="s">
        <v>280</v>
      </c>
      <c r="AA49" t="s">
        <v>25</v>
      </c>
    </row>
    <row r="50" spans="5:27" x14ac:dyDescent="0.45">
      <c r="E50" t="s">
        <v>262</v>
      </c>
      <c r="G50" t="s">
        <v>246</v>
      </c>
      <c r="I50" t="s">
        <v>155</v>
      </c>
      <c r="J50" t="s">
        <v>281</v>
      </c>
      <c r="K50">
        <v>3.2387734511371894E-4</v>
      </c>
      <c r="L50" t="s">
        <v>157</v>
      </c>
      <c r="N50" t="s">
        <v>177</v>
      </c>
      <c r="O50" t="s">
        <v>281</v>
      </c>
      <c r="P50">
        <v>1.4070917927003953E-4</v>
      </c>
      <c r="Q50" t="s">
        <v>157</v>
      </c>
      <c r="S50" t="s">
        <v>182</v>
      </c>
      <c r="T50" t="s">
        <v>281</v>
      </c>
      <c r="U50">
        <v>1.4070917927003953E-4</v>
      </c>
      <c r="V50" t="s">
        <v>157</v>
      </c>
      <c r="X50">
        <v>1.1415525114155251E-4</v>
      </c>
      <c r="Y50">
        <v>1.408812536774151E-4</v>
      </c>
      <c r="Z50" t="s">
        <v>281</v>
      </c>
      <c r="AA50" t="s">
        <v>25</v>
      </c>
    </row>
    <row r="51" spans="5:27" x14ac:dyDescent="0.45">
      <c r="E51" t="s">
        <v>263</v>
      </c>
      <c r="G51" t="s">
        <v>246</v>
      </c>
      <c r="I51" t="s">
        <v>155</v>
      </c>
      <c r="J51" t="s">
        <v>282</v>
      </c>
      <c r="K51">
        <v>3.8797024414311589E-4</v>
      </c>
      <c r="L51" t="s">
        <v>157</v>
      </c>
      <c r="N51" t="s">
        <v>177</v>
      </c>
      <c r="O51" t="s">
        <v>282</v>
      </c>
      <c r="P51">
        <v>1.1313052720483138E-4</v>
      </c>
      <c r="Q51" t="s">
        <v>157</v>
      </c>
      <c r="S51" t="s">
        <v>182</v>
      </c>
      <c r="T51" t="s">
        <v>282</v>
      </c>
      <c r="U51">
        <v>1.1313052720483138E-4</v>
      </c>
      <c r="V51" t="s">
        <v>157</v>
      </c>
      <c r="X51">
        <v>1.1415525114155251E-4</v>
      </c>
      <c r="Y51">
        <v>1.4054976837464471E-4</v>
      </c>
      <c r="Z51" t="s">
        <v>282</v>
      </c>
      <c r="AA51" t="s">
        <v>25</v>
      </c>
    </row>
    <row r="52" spans="5:27" x14ac:dyDescent="0.45">
      <c r="E52" t="s">
        <v>264</v>
      </c>
      <c r="G52" t="s">
        <v>246</v>
      </c>
      <c r="I52" t="s">
        <v>155</v>
      </c>
      <c r="J52" t="s">
        <v>283</v>
      </c>
      <c r="K52">
        <v>3.87243345163238E-4</v>
      </c>
      <c r="L52" t="s">
        <v>157</v>
      </c>
      <c r="N52" t="s">
        <v>177</v>
      </c>
      <c r="O52" t="s">
        <v>283</v>
      </c>
      <c r="P52">
        <v>9.1489672144616662E-5</v>
      </c>
      <c r="Q52" t="s">
        <v>157</v>
      </c>
      <c r="S52" t="s">
        <v>182</v>
      </c>
      <c r="T52" t="s">
        <v>283</v>
      </c>
      <c r="U52">
        <v>9.1489672144616662E-5</v>
      </c>
      <c r="V52" t="s">
        <v>157</v>
      </c>
      <c r="X52">
        <v>1.1415525114155251E-4</v>
      </c>
      <c r="Y52">
        <v>1.4253868019126702E-4</v>
      </c>
      <c r="Z52" t="s">
        <v>283</v>
      </c>
      <c r="AA52" t="s">
        <v>25</v>
      </c>
    </row>
    <row r="53" spans="5:27" x14ac:dyDescent="0.45">
      <c r="E53" t="s">
        <v>265</v>
      </c>
      <c r="G53" t="s">
        <v>246</v>
      </c>
      <c r="I53" t="s">
        <v>155</v>
      </c>
      <c r="J53" t="s">
        <v>284</v>
      </c>
      <c r="K53">
        <v>3.7935185837461709E-4</v>
      </c>
      <c r="L53" t="s">
        <v>157</v>
      </c>
      <c r="N53" t="s">
        <v>177</v>
      </c>
      <c r="O53" t="s">
        <v>284</v>
      </c>
      <c r="P53">
        <v>7.379401596640881E-5</v>
      </c>
      <c r="Q53" t="s">
        <v>157</v>
      </c>
      <c r="S53" t="s">
        <v>182</v>
      </c>
      <c r="T53" t="s">
        <v>284</v>
      </c>
      <c r="U53">
        <v>7.379401596640881E-5</v>
      </c>
      <c r="V53" t="s">
        <v>157</v>
      </c>
      <c r="X53">
        <v>1.1415525114155251E-4</v>
      </c>
      <c r="Y53">
        <v>1.4883690094390442E-4</v>
      </c>
      <c r="Z53" t="s">
        <v>284</v>
      </c>
      <c r="AA53" t="s">
        <v>25</v>
      </c>
    </row>
    <row r="54" spans="5:27" x14ac:dyDescent="0.45">
      <c r="E54" t="s">
        <v>266</v>
      </c>
      <c r="G54" t="s">
        <v>246</v>
      </c>
      <c r="I54" t="s">
        <v>155</v>
      </c>
      <c r="J54" t="s">
        <v>285</v>
      </c>
      <c r="K54">
        <v>3.7502176169735435E-4</v>
      </c>
      <c r="L54" t="s">
        <v>157</v>
      </c>
      <c r="N54" t="s">
        <v>177</v>
      </c>
      <c r="O54" t="s">
        <v>285</v>
      </c>
      <c r="P54">
        <v>5.8227261764289826E-5</v>
      </c>
      <c r="Q54" t="s">
        <v>157</v>
      </c>
      <c r="S54" t="s">
        <v>182</v>
      </c>
      <c r="T54" t="s">
        <v>285</v>
      </c>
      <c r="U54">
        <v>5.8227261764289826E-5</v>
      </c>
      <c r="V54" t="s">
        <v>157</v>
      </c>
      <c r="X54">
        <v>1.1415525114155251E-4</v>
      </c>
      <c r="Y54">
        <v>1.5049432745775637E-4</v>
      </c>
      <c r="Z54" t="s">
        <v>285</v>
      </c>
      <c r="AA54" t="s">
        <v>25</v>
      </c>
    </row>
    <row r="55" spans="5:27" x14ac:dyDescent="0.45">
      <c r="E55" t="s">
        <v>267</v>
      </c>
      <c r="G55" t="s">
        <v>246</v>
      </c>
      <c r="I55" t="s">
        <v>155</v>
      </c>
      <c r="J55" t="s">
        <v>286</v>
      </c>
      <c r="K55">
        <v>3.6803823031839999E-4</v>
      </c>
      <c r="L55" t="s">
        <v>157</v>
      </c>
      <c r="N55" t="s">
        <v>177</v>
      </c>
      <c r="O55" t="s">
        <v>286</v>
      </c>
      <c r="P55">
        <v>6.0337520970339671E-5</v>
      </c>
      <c r="Q55" t="s">
        <v>157</v>
      </c>
      <c r="S55" t="s">
        <v>182</v>
      </c>
      <c r="T55" t="s">
        <v>286</v>
      </c>
      <c r="U55">
        <v>6.0337520970339671E-5</v>
      </c>
      <c r="V55" t="s">
        <v>157</v>
      </c>
      <c r="X55">
        <v>1.1415525114155251E-4</v>
      </c>
      <c r="Y55">
        <v>1.7237235744060203E-4</v>
      </c>
      <c r="Z55" t="s">
        <v>286</v>
      </c>
      <c r="AA55" t="s">
        <v>25</v>
      </c>
    </row>
    <row r="56" spans="5:27" x14ac:dyDescent="0.45">
      <c r="E56" t="s">
        <v>268</v>
      </c>
      <c r="G56" t="s">
        <v>246</v>
      </c>
      <c r="I56" t="s">
        <v>155</v>
      </c>
      <c r="J56" t="s">
        <v>287</v>
      </c>
      <c r="K56">
        <v>3.2307386939053244E-4</v>
      </c>
      <c r="L56" t="s">
        <v>157</v>
      </c>
      <c r="N56" t="s">
        <v>177</v>
      </c>
      <c r="O56" t="s">
        <v>287</v>
      </c>
      <c r="P56">
        <v>5.4295132268993184E-5</v>
      </c>
      <c r="Q56" t="s">
        <v>157</v>
      </c>
      <c r="S56" t="s">
        <v>182</v>
      </c>
      <c r="T56" t="s">
        <v>287</v>
      </c>
      <c r="U56">
        <v>5.4295132268993184E-5</v>
      </c>
      <c r="V56" t="s">
        <v>157</v>
      </c>
      <c r="X56">
        <v>1.1415525114155251E-4</v>
      </c>
      <c r="Y56">
        <v>2.2209515285616027E-4</v>
      </c>
      <c r="Z56" t="s">
        <v>287</v>
      </c>
      <c r="AA56" t="s">
        <v>25</v>
      </c>
    </row>
    <row r="57" spans="5:27" x14ac:dyDescent="0.45">
      <c r="E57" t="s">
        <v>269</v>
      </c>
      <c r="G57" t="s">
        <v>246</v>
      </c>
      <c r="I57" t="s">
        <v>155</v>
      </c>
      <c r="J57" t="s">
        <v>288</v>
      </c>
      <c r="K57">
        <v>2.6309405240214898E-4</v>
      </c>
      <c r="L57" t="s">
        <v>157</v>
      </c>
      <c r="N57" t="s">
        <v>177</v>
      </c>
      <c r="O57" t="s">
        <v>288</v>
      </c>
      <c r="P57">
        <v>5.3763425294472864E-5</v>
      </c>
      <c r="Q57" t="s">
        <v>157</v>
      </c>
      <c r="S57" t="s">
        <v>182</v>
      </c>
      <c r="T57" t="s">
        <v>288</v>
      </c>
      <c r="U57">
        <v>5.3763425294472864E-5</v>
      </c>
      <c r="V57" t="s">
        <v>157</v>
      </c>
      <c r="X57">
        <v>1.1415525114155251E-4</v>
      </c>
      <c r="Y57">
        <v>2.2209515285616027E-4</v>
      </c>
      <c r="Z57" t="s">
        <v>288</v>
      </c>
      <c r="AA57" t="s">
        <v>25</v>
      </c>
    </row>
    <row r="58" spans="5:27" x14ac:dyDescent="0.45">
      <c r="E58" t="s">
        <v>270</v>
      </c>
      <c r="G58" t="s">
        <v>246</v>
      </c>
      <c r="I58" t="s">
        <v>155</v>
      </c>
      <c r="J58" t="s">
        <v>289</v>
      </c>
      <c r="K58">
        <v>1.19334204883163E-4</v>
      </c>
      <c r="L58" t="s">
        <v>157</v>
      </c>
      <c r="N58" t="s">
        <v>177</v>
      </c>
      <c r="O58" t="s">
        <v>289</v>
      </c>
      <c r="P58">
        <v>8.0738957697401104E-5</v>
      </c>
      <c r="Q58" t="s">
        <v>157</v>
      </c>
      <c r="S58" t="s">
        <v>182</v>
      </c>
      <c r="T58" t="s">
        <v>289</v>
      </c>
      <c r="U58">
        <v>8.0738957697401104E-5</v>
      </c>
      <c r="V58" t="s">
        <v>157</v>
      </c>
      <c r="X58">
        <v>1.1415525114155251E-4</v>
      </c>
      <c r="Y58">
        <v>1.7237235744060203E-4</v>
      </c>
      <c r="Z58" t="s">
        <v>289</v>
      </c>
      <c r="AA58" t="s">
        <v>25</v>
      </c>
    </row>
    <row r="59" spans="5:27" x14ac:dyDescent="0.45">
      <c r="E59" t="s">
        <v>150</v>
      </c>
      <c r="G59" t="s">
        <v>149</v>
      </c>
      <c r="I59" t="s">
        <v>155</v>
      </c>
      <c r="J59" t="s">
        <v>290</v>
      </c>
      <c r="K59">
        <v>0</v>
      </c>
      <c r="L59" t="s">
        <v>157</v>
      </c>
      <c r="N59" t="s">
        <v>177</v>
      </c>
      <c r="O59" t="s">
        <v>290</v>
      </c>
      <c r="P59">
        <v>1.491594038823506E-4</v>
      </c>
      <c r="Q59" t="s">
        <v>157</v>
      </c>
      <c r="S59" t="s">
        <v>182</v>
      </c>
      <c r="T59" t="s">
        <v>290</v>
      </c>
      <c r="U59">
        <v>1.491594038823506E-4</v>
      </c>
      <c r="V59" t="s">
        <v>157</v>
      </c>
      <c r="X59">
        <v>1.1415525114155251E-4</v>
      </c>
      <c r="Y59">
        <v>1.5579809230208258E-4</v>
      </c>
      <c r="Z59" t="s">
        <v>290</v>
      </c>
      <c r="AA59" t="s">
        <v>25</v>
      </c>
    </row>
    <row r="60" spans="5:27" x14ac:dyDescent="0.45">
      <c r="E60" t="s">
        <v>151</v>
      </c>
      <c r="G60" t="s">
        <v>149</v>
      </c>
      <c r="I60" t="s">
        <v>155</v>
      </c>
      <c r="J60" t="s">
        <v>291</v>
      </c>
      <c r="K60">
        <v>0</v>
      </c>
      <c r="L60" t="s">
        <v>157</v>
      </c>
      <c r="N60" t="s">
        <v>177</v>
      </c>
      <c r="O60" t="s">
        <v>291</v>
      </c>
      <c r="P60">
        <v>2.6866424315071999E-4</v>
      </c>
      <c r="Q60" t="s">
        <v>157</v>
      </c>
      <c r="S60" t="s">
        <v>182</v>
      </c>
      <c r="T60" t="s">
        <v>291</v>
      </c>
      <c r="U60">
        <v>2.6866424315071999E-4</v>
      </c>
      <c r="V60" t="s">
        <v>157</v>
      </c>
      <c r="X60">
        <v>1.1415525114155251E-4</v>
      </c>
      <c r="Y60">
        <v>1.093901499142282E-4</v>
      </c>
      <c r="Z60" t="s">
        <v>291</v>
      </c>
      <c r="AA60" t="s">
        <v>25</v>
      </c>
    </row>
    <row r="61" spans="5:27" x14ac:dyDescent="0.45">
      <c r="E61" t="s">
        <v>152</v>
      </c>
      <c r="G61" t="s">
        <v>149</v>
      </c>
      <c r="I61" t="s">
        <v>155</v>
      </c>
      <c r="J61" t="s">
        <v>292</v>
      </c>
      <c r="K61">
        <v>0</v>
      </c>
      <c r="L61" t="s">
        <v>157</v>
      </c>
      <c r="N61" t="s">
        <v>177</v>
      </c>
      <c r="O61" t="s">
        <v>292</v>
      </c>
      <c r="P61">
        <v>3.3658075628589947E-4</v>
      </c>
      <c r="Q61" t="s">
        <v>157</v>
      </c>
      <c r="S61" t="s">
        <v>182</v>
      </c>
      <c r="T61" t="s">
        <v>292</v>
      </c>
      <c r="U61">
        <v>3.3658075628589947E-4</v>
      </c>
      <c r="V61" t="s">
        <v>157</v>
      </c>
      <c r="X61">
        <v>1.1415525114155251E-4</v>
      </c>
      <c r="Y61">
        <v>7.9556472664893237E-5</v>
      </c>
      <c r="Z61" t="s">
        <v>292</v>
      </c>
      <c r="AA61" t="s">
        <v>25</v>
      </c>
    </row>
    <row r="62" spans="5:27" x14ac:dyDescent="0.45">
      <c r="E62" t="s">
        <v>153</v>
      </c>
      <c r="G62" t="s">
        <v>149</v>
      </c>
      <c r="I62" t="s">
        <v>155</v>
      </c>
      <c r="J62" t="s">
        <v>293</v>
      </c>
      <c r="K62">
        <v>0</v>
      </c>
      <c r="L62" t="s">
        <v>157</v>
      </c>
      <c r="N62" t="s">
        <v>177</v>
      </c>
      <c r="O62" t="s">
        <v>293</v>
      </c>
      <c r="P62">
        <v>3.4480247621655936E-4</v>
      </c>
      <c r="Q62" t="s">
        <v>157</v>
      </c>
      <c r="S62" t="s">
        <v>182</v>
      </c>
      <c r="T62" t="s">
        <v>293</v>
      </c>
      <c r="U62">
        <v>3.4480247621655936E-4</v>
      </c>
      <c r="V62" t="s">
        <v>157</v>
      </c>
      <c r="X62">
        <v>1.1415525114155251E-4</v>
      </c>
      <c r="Y62">
        <v>5.6352501470966035E-5</v>
      </c>
      <c r="Z62" t="s">
        <v>293</v>
      </c>
      <c r="AA62" t="s">
        <v>25</v>
      </c>
    </row>
    <row r="63" spans="5:27" x14ac:dyDescent="0.45">
      <c r="E63" t="s">
        <v>192</v>
      </c>
      <c r="G63" t="s">
        <v>149</v>
      </c>
      <c r="I63" t="s">
        <v>155</v>
      </c>
      <c r="J63" t="s">
        <v>294</v>
      </c>
      <c r="K63">
        <v>0</v>
      </c>
      <c r="L63" t="s">
        <v>157</v>
      </c>
      <c r="N63" t="s">
        <v>177</v>
      </c>
      <c r="O63" t="s">
        <v>294</v>
      </c>
      <c r="P63">
        <v>2.9857083836010834E-4</v>
      </c>
      <c r="Q63" t="s">
        <v>157</v>
      </c>
      <c r="S63" t="s">
        <v>182</v>
      </c>
      <c r="T63" t="s">
        <v>294</v>
      </c>
      <c r="U63">
        <v>2.9857083836010834E-4</v>
      </c>
      <c r="V63" t="s">
        <v>157</v>
      </c>
      <c r="X63">
        <v>1.1415525114155251E-4</v>
      </c>
      <c r="Y63">
        <v>2.9833677249334962E-5</v>
      </c>
      <c r="Z63" t="s">
        <v>294</v>
      </c>
      <c r="AA63" t="s">
        <v>25</v>
      </c>
    </row>
    <row r="64" spans="5:27" x14ac:dyDescent="0.45">
      <c r="I64" t="s">
        <v>161</v>
      </c>
      <c r="J64" t="s">
        <v>156</v>
      </c>
      <c r="K64">
        <v>0.99334191303627839</v>
      </c>
      <c r="L64" t="s">
        <v>157</v>
      </c>
      <c r="N64" t="s">
        <v>178</v>
      </c>
      <c r="O64" t="s">
        <v>156</v>
      </c>
      <c r="P64">
        <v>0.84930024611008337</v>
      </c>
      <c r="Q64" t="s">
        <v>157</v>
      </c>
      <c r="S64" t="s">
        <v>183</v>
      </c>
      <c r="T64" t="s">
        <v>156</v>
      </c>
      <c r="U64">
        <v>0.84930024611008337</v>
      </c>
      <c r="V64" t="s">
        <v>157</v>
      </c>
    </row>
    <row r="65" spans="9:22" x14ac:dyDescent="0.45">
      <c r="I65" t="s">
        <v>161</v>
      </c>
      <c r="J65" t="s">
        <v>158</v>
      </c>
      <c r="K65">
        <v>0</v>
      </c>
      <c r="L65" t="s">
        <v>157</v>
      </c>
      <c r="N65" t="s">
        <v>178</v>
      </c>
      <c r="O65" t="s">
        <v>158</v>
      </c>
      <c r="P65">
        <v>4.0086560511849015E-2</v>
      </c>
      <c r="Q65" t="s">
        <v>157</v>
      </c>
      <c r="S65" t="s">
        <v>183</v>
      </c>
      <c r="T65" t="s">
        <v>158</v>
      </c>
      <c r="U65">
        <v>4.0086560511849015E-2</v>
      </c>
      <c r="V65" t="s">
        <v>157</v>
      </c>
    </row>
    <row r="66" spans="9:22" x14ac:dyDescent="0.45">
      <c r="I66" t="s">
        <v>161</v>
      </c>
      <c r="J66" t="s">
        <v>159</v>
      </c>
      <c r="K66">
        <v>0</v>
      </c>
      <c r="L66" t="s">
        <v>157</v>
      </c>
      <c r="N66" t="s">
        <v>178</v>
      </c>
      <c r="O66" t="s">
        <v>159</v>
      </c>
      <c r="P66">
        <v>3.9956553582942145E-2</v>
      </c>
      <c r="Q66" t="s">
        <v>157</v>
      </c>
      <c r="S66" t="s">
        <v>183</v>
      </c>
      <c r="T66" t="s">
        <v>159</v>
      </c>
      <c r="U66">
        <v>3.9956553582942145E-2</v>
      </c>
      <c r="V66" t="s">
        <v>157</v>
      </c>
    </row>
    <row r="67" spans="9:22" x14ac:dyDescent="0.45">
      <c r="I67" t="s">
        <v>161</v>
      </c>
      <c r="J67" t="s">
        <v>160</v>
      </c>
      <c r="K67">
        <v>0</v>
      </c>
      <c r="L67" t="s">
        <v>157</v>
      </c>
      <c r="N67" t="s">
        <v>178</v>
      </c>
      <c r="O67" t="s">
        <v>160</v>
      </c>
      <c r="P67">
        <v>3.5886049259719902E-2</v>
      </c>
      <c r="Q67" t="s">
        <v>157</v>
      </c>
      <c r="S67" t="s">
        <v>183</v>
      </c>
      <c r="T67" t="s">
        <v>160</v>
      </c>
      <c r="U67">
        <v>3.5886049259719902E-2</v>
      </c>
      <c r="V67" t="s">
        <v>157</v>
      </c>
    </row>
    <row r="68" spans="9:22" x14ac:dyDescent="0.45">
      <c r="I68" t="s">
        <v>161</v>
      </c>
      <c r="J68" t="s">
        <v>193</v>
      </c>
      <c r="K68">
        <v>0</v>
      </c>
      <c r="L68" t="s">
        <v>157</v>
      </c>
      <c r="N68" t="s">
        <v>178</v>
      </c>
      <c r="O68" t="s">
        <v>193</v>
      </c>
      <c r="P68">
        <v>3.0748656566787592E-2</v>
      </c>
      <c r="Q68" t="s">
        <v>157</v>
      </c>
      <c r="S68" t="s">
        <v>183</v>
      </c>
      <c r="T68" t="s">
        <v>193</v>
      </c>
      <c r="U68">
        <v>3.0748656566787592E-2</v>
      </c>
      <c r="V68" t="s">
        <v>157</v>
      </c>
    </row>
    <row r="69" spans="9:22" x14ac:dyDescent="0.45">
      <c r="I69" t="s">
        <v>161</v>
      </c>
      <c r="J69" t="s">
        <v>220</v>
      </c>
      <c r="K69">
        <v>0</v>
      </c>
      <c r="L69" t="s">
        <v>157</v>
      </c>
      <c r="N69" t="s">
        <v>178</v>
      </c>
      <c r="O69" t="s">
        <v>220</v>
      </c>
      <c r="P69">
        <v>2.2732548452083193E-5</v>
      </c>
      <c r="Q69" t="s">
        <v>157</v>
      </c>
      <c r="S69" t="s">
        <v>183</v>
      </c>
      <c r="T69" t="s">
        <v>220</v>
      </c>
      <c r="U69">
        <v>2.2732548452083193E-5</v>
      </c>
      <c r="V69" t="s">
        <v>157</v>
      </c>
    </row>
    <row r="70" spans="9:22" x14ac:dyDescent="0.45">
      <c r="I70" t="s">
        <v>161</v>
      </c>
      <c r="J70" t="s">
        <v>221</v>
      </c>
      <c r="K70">
        <v>0</v>
      </c>
      <c r="L70" t="s">
        <v>157</v>
      </c>
      <c r="N70" t="s">
        <v>178</v>
      </c>
      <c r="O70" t="s">
        <v>221</v>
      </c>
      <c r="P70">
        <v>2.9160169062172083E-6</v>
      </c>
      <c r="Q70" t="s">
        <v>157</v>
      </c>
      <c r="S70" t="s">
        <v>183</v>
      </c>
      <c r="T70" t="s">
        <v>221</v>
      </c>
      <c r="U70">
        <v>2.9160169062172083E-6</v>
      </c>
      <c r="V70" t="s">
        <v>157</v>
      </c>
    </row>
    <row r="71" spans="9:22" x14ac:dyDescent="0.45">
      <c r="I71" t="s">
        <v>161</v>
      </c>
      <c r="J71" t="s">
        <v>222</v>
      </c>
      <c r="K71">
        <v>0</v>
      </c>
      <c r="L71" t="s">
        <v>157</v>
      </c>
      <c r="N71" t="s">
        <v>178</v>
      </c>
      <c r="O71" t="s">
        <v>222</v>
      </c>
      <c r="P71">
        <v>3.7282910607167097E-5</v>
      </c>
      <c r="Q71" t="s">
        <v>157</v>
      </c>
      <c r="S71" t="s">
        <v>183</v>
      </c>
      <c r="T71" t="s">
        <v>222</v>
      </c>
      <c r="U71">
        <v>3.7282910607167097E-5</v>
      </c>
      <c r="V71" t="s">
        <v>157</v>
      </c>
    </row>
    <row r="72" spans="9:22" x14ac:dyDescent="0.45">
      <c r="I72" t="s">
        <v>161</v>
      </c>
      <c r="J72" t="s">
        <v>223</v>
      </c>
      <c r="K72">
        <v>0</v>
      </c>
      <c r="L72" t="s">
        <v>157</v>
      </c>
      <c r="N72" t="s">
        <v>178</v>
      </c>
      <c r="O72" t="s">
        <v>223</v>
      </c>
      <c r="P72">
        <v>1.6515007599055076E-5</v>
      </c>
      <c r="Q72" t="s">
        <v>157</v>
      </c>
      <c r="S72" t="s">
        <v>183</v>
      </c>
      <c r="T72" t="s">
        <v>223</v>
      </c>
      <c r="U72">
        <v>1.6515007599055076E-5</v>
      </c>
      <c r="V72" t="s">
        <v>157</v>
      </c>
    </row>
    <row r="73" spans="9:22" x14ac:dyDescent="0.45">
      <c r="I73" t="s">
        <v>161</v>
      </c>
      <c r="J73" t="s">
        <v>224</v>
      </c>
      <c r="K73">
        <v>0</v>
      </c>
      <c r="L73" t="s">
        <v>157</v>
      </c>
      <c r="N73" t="s">
        <v>178</v>
      </c>
      <c r="O73" t="s">
        <v>224</v>
      </c>
      <c r="P73">
        <v>5.3309599654457026E-6</v>
      </c>
      <c r="Q73" t="s">
        <v>157</v>
      </c>
      <c r="S73" t="s">
        <v>183</v>
      </c>
      <c r="T73" t="s">
        <v>224</v>
      </c>
      <c r="U73">
        <v>5.3309599654457026E-6</v>
      </c>
      <c r="V73" t="s">
        <v>157</v>
      </c>
    </row>
    <row r="74" spans="9:22" x14ac:dyDescent="0.45">
      <c r="I74" t="s">
        <v>161</v>
      </c>
      <c r="J74" t="s">
        <v>225</v>
      </c>
      <c r="K74">
        <v>0</v>
      </c>
      <c r="L74" t="s">
        <v>157</v>
      </c>
      <c r="N74" t="s">
        <v>178</v>
      </c>
      <c r="O74" t="s">
        <v>225</v>
      </c>
      <c r="P74">
        <v>4.9861381592941089E-6</v>
      </c>
      <c r="Q74" t="s">
        <v>157</v>
      </c>
      <c r="S74" t="s">
        <v>183</v>
      </c>
      <c r="T74" t="s">
        <v>225</v>
      </c>
      <c r="U74">
        <v>4.9861381592941089E-6</v>
      </c>
      <c r="V74" t="s">
        <v>157</v>
      </c>
    </row>
    <row r="75" spans="9:22" x14ac:dyDescent="0.45">
      <c r="I75" t="s">
        <v>161</v>
      </c>
      <c r="J75" t="s">
        <v>226</v>
      </c>
      <c r="K75">
        <v>0</v>
      </c>
      <c r="L75" t="s">
        <v>157</v>
      </c>
      <c r="N75" t="s">
        <v>178</v>
      </c>
      <c r="O75" t="s">
        <v>226</v>
      </c>
      <c r="P75">
        <v>5.3202848271301473E-6</v>
      </c>
      <c r="Q75" t="s">
        <v>157</v>
      </c>
      <c r="S75" t="s">
        <v>183</v>
      </c>
      <c r="T75" t="s">
        <v>226</v>
      </c>
      <c r="U75">
        <v>5.3202848271301473E-6</v>
      </c>
      <c r="V75" t="s">
        <v>157</v>
      </c>
    </row>
    <row r="76" spans="9:22" x14ac:dyDescent="0.45">
      <c r="I76" t="s">
        <v>161</v>
      </c>
      <c r="J76" t="s">
        <v>227</v>
      </c>
      <c r="K76">
        <v>6.2119983257031181E-5</v>
      </c>
      <c r="L76" t="s">
        <v>157</v>
      </c>
      <c r="N76" t="s">
        <v>178</v>
      </c>
      <c r="O76" t="s">
        <v>227</v>
      </c>
      <c r="P76">
        <v>1.6958867644419886E-5</v>
      </c>
      <c r="Q76" t="s">
        <v>157</v>
      </c>
      <c r="S76" t="s">
        <v>183</v>
      </c>
      <c r="T76" t="s">
        <v>227</v>
      </c>
      <c r="U76">
        <v>1.6958867644419886E-5</v>
      </c>
      <c r="V76" t="s">
        <v>157</v>
      </c>
    </row>
    <row r="77" spans="9:22" x14ac:dyDescent="0.45">
      <c r="I77" t="s">
        <v>161</v>
      </c>
      <c r="J77" t="s">
        <v>228</v>
      </c>
      <c r="K77">
        <v>1.5894193454561403E-4</v>
      </c>
      <c r="L77" t="s">
        <v>157</v>
      </c>
      <c r="N77" t="s">
        <v>178</v>
      </c>
      <c r="O77" t="s">
        <v>228</v>
      </c>
      <c r="P77">
        <v>8.0988464358574494E-7</v>
      </c>
      <c r="Q77" t="s">
        <v>157</v>
      </c>
      <c r="S77" t="s">
        <v>183</v>
      </c>
      <c r="T77" t="s">
        <v>228</v>
      </c>
      <c r="U77">
        <v>8.0988464358574494E-7</v>
      </c>
      <c r="V77" t="s">
        <v>157</v>
      </c>
    </row>
    <row r="78" spans="9:22" x14ac:dyDescent="0.45">
      <c r="I78" t="s">
        <v>161</v>
      </c>
      <c r="J78" t="s">
        <v>229</v>
      </c>
      <c r="K78">
        <v>2.8599099486084796E-4</v>
      </c>
      <c r="L78" t="s">
        <v>157</v>
      </c>
      <c r="N78" t="s">
        <v>178</v>
      </c>
      <c r="O78" t="s">
        <v>229</v>
      </c>
      <c r="P78">
        <v>3.9018588713480714E-5</v>
      </c>
      <c r="Q78" t="s">
        <v>157</v>
      </c>
      <c r="S78" t="s">
        <v>183</v>
      </c>
      <c r="T78" t="s">
        <v>229</v>
      </c>
      <c r="U78">
        <v>3.9018588713480714E-5</v>
      </c>
      <c r="V78" t="s">
        <v>157</v>
      </c>
    </row>
    <row r="79" spans="9:22" x14ac:dyDescent="0.45">
      <c r="I79" t="s">
        <v>161</v>
      </c>
      <c r="J79" t="s">
        <v>230</v>
      </c>
      <c r="K79">
        <v>3.266129642861661E-4</v>
      </c>
      <c r="L79" t="s">
        <v>157</v>
      </c>
      <c r="N79" t="s">
        <v>178</v>
      </c>
      <c r="O79" t="s">
        <v>230</v>
      </c>
      <c r="P79">
        <v>8.7396465760692846E-5</v>
      </c>
      <c r="Q79" t="s">
        <v>157</v>
      </c>
      <c r="S79" t="s">
        <v>183</v>
      </c>
      <c r="T79" t="s">
        <v>230</v>
      </c>
      <c r="U79">
        <v>8.7396465760692846E-5</v>
      </c>
      <c r="V79" t="s">
        <v>157</v>
      </c>
    </row>
    <row r="80" spans="9:22" x14ac:dyDescent="0.45">
      <c r="I80" t="s">
        <v>161</v>
      </c>
      <c r="J80" t="s">
        <v>231</v>
      </c>
      <c r="K80">
        <v>3.1550883078505559E-4</v>
      </c>
      <c r="L80" t="s">
        <v>157</v>
      </c>
      <c r="N80" t="s">
        <v>178</v>
      </c>
      <c r="O80" t="s">
        <v>231</v>
      </c>
      <c r="P80">
        <v>9.8140887791862221E-5</v>
      </c>
      <c r="Q80" t="s">
        <v>157</v>
      </c>
      <c r="S80" t="s">
        <v>183</v>
      </c>
      <c r="T80" t="s">
        <v>231</v>
      </c>
      <c r="U80">
        <v>9.8140887791862221E-5</v>
      </c>
      <c r="V80" t="s">
        <v>157</v>
      </c>
    </row>
    <row r="81" spans="9:22" x14ac:dyDescent="0.45">
      <c r="I81" t="s">
        <v>161</v>
      </c>
      <c r="J81" t="s">
        <v>232</v>
      </c>
      <c r="K81">
        <v>3.3712190977713808E-4</v>
      </c>
      <c r="L81" t="s">
        <v>157</v>
      </c>
      <c r="N81" t="s">
        <v>178</v>
      </c>
      <c r="O81" t="s">
        <v>232</v>
      </c>
      <c r="P81">
        <v>8.7303497945313469E-5</v>
      </c>
      <c r="Q81" t="s">
        <v>157</v>
      </c>
      <c r="S81" t="s">
        <v>183</v>
      </c>
      <c r="T81" t="s">
        <v>232</v>
      </c>
      <c r="U81">
        <v>8.7303497945313469E-5</v>
      </c>
      <c r="V81" t="s">
        <v>157</v>
      </c>
    </row>
    <row r="82" spans="9:22" x14ac:dyDescent="0.45">
      <c r="I82" t="s">
        <v>161</v>
      </c>
      <c r="J82" t="s">
        <v>233</v>
      </c>
      <c r="K82">
        <v>2.8590703254641718E-4</v>
      </c>
      <c r="L82" t="s">
        <v>157</v>
      </c>
      <c r="N82" t="s">
        <v>178</v>
      </c>
      <c r="O82" t="s">
        <v>233</v>
      </c>
      <c r="P82">
        <v>8.2545510830791936E-5</v>
      </c>
      <c r="Q82" t="s">
        <v>157</v>
      </c>
      <c r="S82" t="s">
        <v>183</v>
      </c>
      <c r="T82" t="s">
        <v>233</v>
      </c>
      <c r="U82">
        <v>8.2545510830791936E-5</v>
      </c>
      <c r="V82" t="s">
        <v>157</v>
      </c>
    </row>
    <row r="83" spans="9:22" x14ac:dyDescent="0.45">
      <c r="I83" t="s">
        <v>161</v>
      </c>
      <c r="J83" t="s">
        <v>234</v>
      </c>
      <c r="K83">
        <v>3.1160652256195906E-4</v>
      </c>
      <c r="L83" t="s">
        <v>157</v>
      </c>
      <c r="N83" t="s">
        <v>178</v>
      </c>
      <c r="O83" t="s">
        <v>234</v>
      </c>
      <c r="P83">
        <v>8.762402026804393E-5</v>
      </c>
      <c r="Q83" t="s">
        <v>157</v>
      </c>
      <c r="S83" t="s">
        <v>183</v>
      </c>
      <c r="T83" t="s">
        <v>234</v>
      </c>
      <c r="U83">
        <v>8.762402026804393E-5</v>
      </c>
      <c r="V83" t="s">
        <v>157</v>
      </c>
    </row>
    <row r="84" spans="9:22" x14ac:dyDescent="0.45">
      <c r="I84" t="s">
        <v>161</v>
      </c>
      <c r="J84" t="s">
        <v>235</v>
      </c>
      <c r="K84">
        <v>2.9479049714174489E-4</v>
      </c>
      <c r="L84" t="s">
        <v>157</v>
      </c>
      <c r="N84" t="s">
        <v>178</v>
      </c>
      <c r="O84" t="s">
        <v>235</v>
      </c>
      <c r="P84">
        <v>9.8969046957348838E-5</v>
      </c>
      <c r="Q84" t="s">
        <v>157</v>
      </c>
      <c r="S84" t="s">
        <v>183</v>
      </c>
      <c r="T84" t="s">
        <v>235</v>
      </c>
      <c r="U84">
        <v>9.8969046957348838E-5</v>
      </c>
      <c r="V84" t="s">
        <v>157</v>
      </c>
    </row>
    <row r="85" spans="9:22" x14ac:dyDescent="0.45">
      <c r="I85" t="s">
        <v>161</v>
      </c>
      <c r="J85" t="s">
        <v>236</v>
      </c>
      <c r="K85">
        <v>3.2997985534134299E-4</v>
      </c>
      <c r="L85" t="s">
        <v>157</v>
      </c>
      <c r="N85" t="s">
        <v>178</v>
      </c>
      <c r="O85" t="s">
        <v>236</v>
      </c>
      <c r="P85">
        <v>1.1476878485862534E-4</v>
      </c>
      <c r="Q85" t="s">
        <v>157</v>
      </c>
      <c r="S85" t="s">
        <v>183</v>
      </c>
      <c r="T85" t="s">
        <v>236</v>
      </c>
      <c r="U85">
        <v>1.1476878485862534E-4</v>
      </c>
      <c r="V85" t="s">
        <v>157</v>
      </c>
    </row>
    <row r="86" spans="9:22" x14ac:dyDescent="0.45">
      <c r="I86" t="s">
        <v>161</v>
      </c>
      <c r="J86" t="s">
        <v>237</v>
      </c>
      <c r="K86">
        <v>2.7016293097042131E-4</v>
      </c>
      <c r="L86" t="s">
        <v>157</v>
      </c>
      <c r="N86" t="s">
        <v>178</v>
      </c>
      <c r="O86" t="s">
        <v>237</v>
      </c>
      <c r="P86">
        <v>1.3165677724283746E-4</v>
      </c>
      <c r="Q86" t="s">
        <v>157</v>
      </c>
      <c r="S86" t="s">
        <v>183</v>
      </c>
      <c r="T86" t="s">
        <v>237</v>
      </c>
      <c r="U86">
        <v>1.3165677724283746E-4</v>
      </c>
      <c r="V86" t="s">
        <v>157</v>
      </c>
    </row>
    <row r="87" spans="9:22" x14ac:dyDescent="0.45">
      <c r="I87" t="s">
        <v>161</v>
      </c>
      <c r="J87" t="s">
        <v>238</v>
      </c>
      <c r="K87">
        <v>1.7226107054768602E-4</v>
      </c>
      <c r="L87" t="s">
        <v>157</v>
      </c>
      <c r="N87" t="s">
        <v>178</v>
      </c>
      <c r="O87" t="s">
        <v>238</v>
      </c>
      <c r="P87">
        <v>1.6730609370920919E-4</v>
      </c>
      <c r="Q87" t="s">
        <v>157</v>
      </c>
      <c r="S87" t="s">
        <v>183</v>
      </c>
      <c r="T87" t="s">
        <v>238</v>
      </c>
      <c r="U87">
        <v>1.6730609370920919E-4</v>
      </c>
      <c r="V87" t="s">
        <v>157</v>
      </c>
    </row>
    <row r="88" spans="9:22" x14ac:dyDescent="0.45">
      <c r="I88" t="s">
        <v>161</v>
      </c>
      <c r="J88" t="s">
        <v>239</v>
      </c>
      <c r="K88">
        <v>0</v>
      </c>
      <c r="L88" t="s">
        <v>157</v>
      </c>
      <c r="N88" t="s">
        <v>178</v>
      </c>
      <c r="O88" t="s">
        <v>239</v>
      </c>
      <c r="P88">
        <v>1.971379880294438E-4</v>
      </c>
      <c r="Q88" t="s">
        <v>157</v>
      </c>
      <c r="S88" t="s">
        <v>183</v>
      </c>
      <c r="T88" t="s">
        <v>239</v>
      </c>
      <c r="U88">
        <v>1.971379880294438E-4</v>
      </c>
      <c r="V88" t="s">
        <v>157</v>
      </c>
    </row>
    <row r="89" spans="9:22" x14ac:dyDescent="0.45">
      <c r="I89" t="s">
        <v>161</v>
      </c>
      <c r="J89" t="s">
        <v>240</v>
      </c>
      <c r="K89">
        <v>0</v>
      </c>
      <c r="L89" t="s">
        <v>157</v>
      </c>
      <c r="N89" t="s">
        <v>178</v>
      </c>
      <c r="O89" t="s">
        <v>240</v>
      </c>
      <c r="P89">
        <v>2.0771704231461986E-4</v>
      </c>
      <c r="Q89" t="s">
        <v>157</v>
      </c>
      <c r="S89" t="s">
        <v>183</v>
      </c>
      <c r="T89" t="s">
        <v>240</v>
      </c>
      <c r="U89">
        <v>2.0771704231461986E-4</v>
      </c>
      <c r="V89" t="s">
        <v>157</v>
      </c>
    </row>
    <row r="90" spans="9:22" x14ac:dyDescent="0.45">
      <c r="I90" t="s">
        <v>161</v>
      </c>
      <c r="J90" t="s">
        <v>241</v>
      </c>
      <c r="K90">
        <v>0</v>
      </c>
      <c r="L90" t="s">
        <v>157</v>
      </c>
      <c r="N90" t="s">
        <v>178</v>
      </c>
      <c r="O90" t="s">
        <v>241</v>
      </c>
      <c r="P90">
        <v>1.9781365241159062E-4</v>
      </c>
      <c r="Q90" t="s">
        <v>157</v>
      </c>
      <c r="S90" t="s">
        <v>183</v>
      </c>
      <c r="T90" t="s">
        <v>241</v>
      </c>
      <c r="U90">
        <v>1.9781365241159062E-4</v>
      </c>
      <c r="V90" t="s">
        <v>157</v>
      </c>
    </row>
    <row r="91" spans="9:22" x14ac:dyDescent="0.45">
      <c r="I91" t="s">
        <v>161</v>
      </c>
      <c r="J91" t="s">
        <v>242</v>
      </c>
      <c r="K91">
        <v>0</v>
      </c>
      <c r="L91" t="s">
        <v>157</v>
      </c>
      <c r="N91" t="s">
        <v>178</v>
      </c>
      <c r="O91" t="s">
        <v>242</v>
      </c>
      <c r="P91">
        <v>1.6283774994686981E-4</v>
      </c>
      <c r="Q91" t="s">
        <v>157</v>
      </c>
      <c r="S91" t="s">
        <v>183</v>
      </c>
      <c r="T91" t="s">
        <v>242</v>
      </c>
      <c r="U91">
        <v>1.6283774994686981E-4</v>
      </c>
      <c r="V91" t="s">
        <v>157</v>
      </c>
    </row>
    <row r="92" spans="9:22" x14ac:dyDescent="0.45">
      <c r="I92" t="s">
        <v>161</v>
      </c>
      <c r="J92" t="s">
        <v>243</v>
      </c>
      <c r="K92">
        <v>0</v>
      </c>
      <c r="L92" t="s">
        <v>157</v>
      </c>
      <c r="N92" t="s">
        <v>178</v>
      </c>
      <c r="O92" t="s">
        <v>243</v>
      </c>
      <c r="P92">
        <v>1.2185127364708361E-4</v>
      </c>
      <c r="Q92" t="s">
        <v>157</v>
      </c>
      <c r="S92" t="s">
        <v>183</v>
      </c>
      <c r="T92" t="s">
        <v>243</v>
      </c>
      <c r="U92">
        <v>1.2185127364708361E-4</v>
      </c>
      <c r="V92" t="s">
        <v>157</v>
      </c>
    </row>
    <row r="93" spans="9:22" x14ac:dyDescent="0.45">
      <c r="I93" t="s">
        <v>161</v>
      </c>
      <c r="J93" t="s">
        <v>271</v>
      </c>
      <c r="K93">
        <v>0</v>
      </c>
      <c r="L93" t="s">
        <v>157</v>
      </c>
      <c r="N93" t="s">
        <v>178</v>
      </c>
      <c r="O93" t="s">
        <v>271</v>
      </c>
      <c r="P93">
        <v>8.8987466947077867E-5</v>
      </c>
      <c r="Q93" t="s">
        <v>157</v>
      </c>
      <c r="S93" t="s">
        <v>183</v>
      </c>
      <c r="T93" t="s">
        <v>271</v>
      </c>
      <c r="U93">
        <v>8.8987466947077867E-5</v>
      </c>
      <c r="V93" t="s">
        <v>157</v>
      </c>
    </row>
    <row r="94" spans="9:22" x14ac:dyDescent="0.45">
      <c r="I94" t="s">
        <v>161</v>
      </c>
      <c r="J94" t="s">
        <v>272</v>
      </c>
      <c r="K94">
        <v>0</v>
      </c>
      <c r="L94" t="s">
        <v>157</v>
      </c>
      <c r="N94" t="s">
        <v>178</v>
      </c>
      <c r="O94" t="s">
        <v>272</v>
      </c>
      <c r="P94">
        <v>4.5822735917267611E-5</v>
      </c>
      <c r="Q94" t="s">
        <v>157</v>
      </c>
      <c r="S94" t="s">
        <v>183</v>
      </c>
      <c r="T94" t="s">
        <v>272</v>
      </c>
      <c r="U94">
        <v>4.5822735917267611E-5</v>
      </c>
      <c r="V94" t="s">
        <v>157</v>
      </c>
    </row>
    <row r="95" spans="9:22" x14ac:dyDescent="0.45">
      <c r="I95" t="s">
        <v>161</v>
      </c>
      <c r="J95" t="s">
        <v>273</v>
      </c>
      <c r="K95">
        <v>0</v>
      </c>
      <c r="L95" t="s">
        <v>157</v>
      </c>
      <c r="N95" t="s">
        <v>178</v>
      </c>
      <c r="O95" t="s">
        <v>273</v>
      </c>
      <c r="P95">
        <v>1.2572676172694541E-5</v>
      </c>
      <c r="Q95" t="s">
        <v>157</v>
      </c>
      <c r="S95" t="s">
        <v>183</v>
      </c>
      <c r="T95" t="s">
        <v>273</v>
      </c>
      <c r="U95">
        <v>1.2572676172694541E-5</v>
      </c>
      <c r="V95" t="s">
        <v>157</v>
      </c>
    </row>
    <row r="96" spans="9:22" x14ac:dyDescent="0.45">
      <c r="I96" t="s">
        <v>161</v>
      </c>
      <c r="J96" t="s">
        <v>274</v>
      </c>
      <c r="K96">
        <v>0</v>
      </c>
      <c r="L96" t="s">
        <v>157</v>
      </c>
      <c r="N96" t="s">
        <v>178</v>
      </c>
      <c r="O96" t="s">
        <v>274</v>
      </c>
      <c r="P96">
        <v>6.5386606769614051E-6</v>
      </c>
      <c r="Q96" t="s">
        <v>157</v>
      </c>
      <c r="S96" t="s">
        <v>183</v>
      </c>
      <c r="T96" t="s">
        <v>274</v>
      </c>
      <c r="U96">
        <v>6.5386606769614051E-6</v>
      </c>
      <c r="V96" t="s">
        <v>157</v>
      </c>
    </row>
    <row r="97" spans="9:22" x14ac:dyDescent="0.45">
      <c r="I97" t="s">
        <v>161</v>
      </c>
      <c r="J97" t="s">
        <v>275</v>
      </c>
      <c r="K97">
        <v>0</v>
      </c>
      <c r="L97" t="s">
        <v>157</v>
      </c>
      <c r="N97" t="s">
        <v>178</v>
      </c>
      <c r="O97" t="s">
        <v>275</v>
      </c>
      <c r="P97">
        <v>4.7283275809362355E-6</v>
      </c>
      <c r="Q97" t="s">
        <v>157</v>
      </c>
      <c r="S97" t="s">
        <v>183</v>
      </c>
      <c r="T97" t="s">
        <v>275</v>
      </c>
      <c r="U97">
        <v>4.7283275809362355E-6</v>
      </c>
      <c r="V97" t="s">
        <v>157</v>
      </c>
    </row>
    <row r="98" spans="9:22" x14ac:dyDescent="0.45">
      <c r="I98" t="s">
        <v>161</v>
      </c>
      <c r="J98" t="s">
        <v>276</v>
      </c>
      <c r="K98">
        <v>0</v>
      </c>
      <c r="L98" t="s">
        <v>157</v>
      </c>
      <c r="N98" t="s">
        <v>178</v>
      </c>
      <c r="O98" t="s">
        <v>276</v>
      </c>
      <c r="P98">
        <v>7.9535332799797574E-6</v>
      </c>
      <c r="Q98" t="s">
        <v>157</v>
      </c>
      <c r="S98" t="s">
        <v>183</v>
      </c>
      <c r="T98" t="s">
        <v>276</v>
      </c>
      <c r="U98">
        <v>7.9535332799797574E-6</v>
      </c>
      <c r="V98" t="s">
        <v>157</v>
      </c>
    </row>
    <row r="99" spans="9:22" x14ac:dyDescent="0.45">
      <c r="I99" t="s">
        <v>161</v>
      </c>
      <c r="J99" t="s">
        <v>277</v>
      </c>
      <c r="K99">
        <v>0</v>
      </c>
      <c r="L99" t="s">
        <v>157</v>
      </c>
      <c r="N99" t="s">
        <v>178</v>
      </c>
      <c r="O99" t="s">
        <v>277</v>
      </c>
      <c r="P99">
        <v>4.5656401434112471E-5</v>
      </c>
      <c r="Q99" t="s">
        <v>157</v>
      </c>
      <c r="S99" t="s">
        <v>183</v>
      </c>
      <c r="T99" t="s">
        <v>277</v>
      </c>
      <c r="U99">
        <v>4.5656401434112471E-5</v>
      </c>
      <c r="V99" t="s">
        <v>157</v>
      </c>
    </row>
    <row r="100" spans="9:22" x14ac:dyDescent="0.45">
      <c r="I100" t="s">
        <v>161</v>
      </c>
      <c r="J100" t="s">
        <v>278</v>
      </c>
      <c r="K100">
        <v>1.4619556042109335E-4</v>
      </c>
      <c r="L100" t="s">
        <v>157</v>
      </c>
      <c r="N100" t="s">
        <v>178</v>
      </c>
      <c r="O100" t="s">
        <v>278</v>
      </c>
      <c r="P100">
        <v>6.8434105637198806E-5</v>
      </c>
      <c r="Q100" t="s">
        <v>157</v>
      </c>
      <c r="S100" t="s">
        <v>183</v>
      </c>
      <c r="T100" t="s">
        <v>278</v>
      </c>
      <c r="U100">
        <v>6.8434105637198806E-5</v>
      </c>
      <c r="V100" t="s">
        <v>157</v>
      </c>
    </row>
    <row r="101" spans="9:22" x14ac:dyDescent="0.45">
      <c r="I101" t="s">
        <v>161</v>
      </c>
      <c r="J101" t="s">
        <v>279</v>
      </c>
      <c r="K101">
        <v>2.4764011346950759E-4</v>
      </c>
      <c r="L101" t="s">
        <v>157</v>
      </c>
      <c r="N101" t="s">
        <v>178</v>
      </c>
      <c r="O101" t="s">
        <v>279</v>
      </c>
      <c r="P101">
        <v>1.033821199937717E-5</v>
      </c>
      <c r="Q101" t="s">
        <v>157</v>
      </c>
      <c r="S101" t="s">
        <v>183</v>
      </c>
      <c r="T101" t="s">
        <v>279</v>
      </c>
      <c r="U101">
        <v>1.033821199937717E-5</v>
      </c>
      <c r="V101" t="s">
        <v>157</v>
      </c>
    </row>
    <row r="102" spans="9:22" x14ac:dyDescent="0.45">
      <c r="I102" t="s">
        <v>161</v>
      </c>
      <c r="J102" t="s">
        <v>280</v>
      </c>
      <c r="K102">
        <v>3.3439143439822021E-4</v>
      </c>
      <c r="L102" t="s">
        <v>157</v>
      </c>
      <c r="N102" t="s">
        <v>178</v>
      </c>
      <c r="O102" t="s">
        <v>280</v>
      </c>
      <c r="P102">
        <v>9.9736231707947529E-5</v>
      </c>
      <c r="Q102" t="s">
        <v>157</v>
      </c>
      <c r="S102" t="s">
        <v>183</v>
      </c>
      <c r="T102" t="s">
        <v>280</v>
      </c>
      <c r="U102">
        <v>9.9736231707947529E-5</v>
      </c>
      <c r="V102" t="s">
        <v>157</v>
      </c>
    </row>
    <row r="103" spans="9:22" x14ac:dyDescent="0.45">
      <c r="I103" t="s">
        <v>161</v>
      </c>
      <c r="J103" t="s">
        <v>281</v>
      </c>
      <c r="K103">
        <v>3.550632876909143E-4</v>
      </c>
      <c r="L103" t="s">
        <v>157</v>
      </c>
      <c r="N103" t="s">
        <v>178</v>
      </c>
      <c r="O103" t="s">
        <v>281</v>
      </c>
      <c r="P103">
        <v>1.5376757853934471E-4</v>
      </c>
      <c r="Q103" t="s">
        <v>157</v>
      </c>
      <c r="S103" t="s">
        <v>183</v>
      </c>
      <c r="T103" t="s">
        <v>281</v>
      </c>
      <c r="U103">
        <v>1.5376757853934471E-4</v>
      </c>
      <c r="V103" t="s">
        <v>157</v>
      </c>
    </row>
    <row r="104" spans="9:22" x14ac:dyDescent="0.45">
      <c r="I104" t="s">
        <v>161</v>
      </c>
      <c r="J104" t="s">
        <v>282</v>
      </c>
      <c r="K104">
        <v>3.8323273792075332E-4</v>
      </c>
      <c r="L104" t="s">
        <v>157</v>
      </c>
      <c r="N104" t="s">
        <v>178</v>
      </c>
      <c r="O104" t="s">
        <v>282</v>
      </c>
      <c r="P104">
        <v>1.3936672113410307E-4</v>
      </c>
      <c r="Q104" t="s">
        <v>157</v>
      </c>
      <c r="S104" t="s">
        <v>183</v>
      </c>
      <c r="T104" t="s">
        <v>282</v>
      </c>
      <c r="U104">
        <v>1.3936672113410307E-4</v>
      </c>
      <c r="V104" t="s">
        <v>157</v>
      </c>
    </row>
    <row r="105" spans="9:22" x14ac:dyDescent="0.45">
      <c r="I105" t="s">
        <v>161</v>
      </c>
      <c r="J105" t="s">
        <v>283</v>
      </c>
      <c r="K105">
        <v>3.7742178226377943E-4</v>
      </c>
      <c r="L105" t="s">
        <v>157</v>
      </c>
      <c r="N105" t="s">
        <v>178</v>
      </c>
      <c r="O105" t="s">
        <v>283</v>
      </c>
      <c r="P105">
        <v>1.0890473495198356E-4</v>
      </c>
      <c r="Q105" t="s">
        <v>157</v>
      </c>
      <c r="S105" t="s">
        <v>183</v>
      </c>
      <c r="T105" t="s">
        <v>283</v>
      </c>
      <c r="U105">
        <v>1.0890473495198356E-4</v>
      </c>
      <c r="V105" t="s">
        <v>157</v>
      </c>
    </row>
    <row r="106" spans="9:22" x14ac:dyDescent="0.45">
      <c r="I106" t="s">
        <v>161</v>
      </c>
      <c r="J106" t="s">
        <v>284</v>
      </c>
      <c r="K106">
        <v>3.4573404487710669E-4</v>
      </c>
      <c r="L106" t="s">
        <v>157</v>
      </c>
      <c r="N106" t="s">
        <v>178</v>
      </c>
      <c r="O106" t="s">
        <v>284</v>
      </c>
      <c r="P106">
        <v>9.2972471797821775E-5</v>
      </c>
      <c r="Q106" t="s">
        <v>157</v>
      </c>
      <c r="S106" t="s">
        <v>183</v>
      </c>
      <c r="T106" t="s">
        <v>284</v>
      </c>
      <c r="U106">
        <v>9.2972471797821775E-5</v>
      </c>
      <c r="V106" t="s">
        <v>157</v>
      </c>
    </row>
    <row r="107" spans="9:22" x14ac:dyDescent="0.45">
      <c r="I107" t="s">
        <v>161</v>
      </c>
      <c r="J107" t="s">
        <v>285</v>
      </c>
      <c r="K107">
        <v>3.4237735646888348E-4</v>
      </c>
      <c r="L107" t="s">
        <v>157</v>
      </c>
      <c r="N107" t="s">
        <v>178</v>
      </c>
      <c r="O107" t="s">
        <v>285</v>
      </c>
      <c r="P107">
        <v>7.3651940572514612E-5</v>
      </c>
      <c r="Q107" t="s">
        <v>157</v>
      </c>
      <c r="S107" t="s">
        <v>183</v>
      </c>
      <c r="T107" t="s">
        <v>285</v>
      </c>
      <c r="U107">
        <v>7.3651940572514612E-5</v>
      </c>
      <c r="V107" t="s">
        <v>157</v>
      </c>
    </row>
    <row r="108" spans="9:22" x14ac:dyDescent="0.45">
      <c r="I108" t="s">
        <v>161</v>
      </c>
      <c r="J108" t="s">
        <v>286</v>
      </c>
      <c r="K108">
        <v>3.415270157470438E-4</v>
      </c>
      <c r="L108" t="s">
        <v>157</v>
      </c>
      <c r="N108" t="s">
        <v>178</v>
      </c>
      <c r="O108" t="s">
        <v>286</v>
      </c>
      <c r="P108">
        <v>5.7065296438112471E-5</v>
      </c>
      <c r="Q108" t="s">
        <v>157</v>
      </c>
      <c r="S108" t="s">
        <v>183</v>
      </c>
      <c r="T108" t="s">
        <v>286</v>
      </c>
      <c r="U108">
        <v>5.7065296438112471E-5</v>
      </c>
      <c r="V108" t="s">
        <v>157</v>
      </c>
    </row>
    <row r="109" spans="9:22" x14ac:dyDescent="0.45">
      <c r="I109" t="s">
        <v>161</v>
      </c>
      <c r="J109" t="s">
        <v>287</v>
      </c>
      <c r="K109">
        <v>2.8341515199222607E-4</v>
      </c>
      <c r="L109" t="s">
        <v>157</v>
      </c>
      <c r="N109" t="s">
        <v>178</v>
      </c>
      <c r="O109" t="s">
        <v>287</v>
      </c>
      <c r="P109">
        <v>4.7169578570146953E-5</v>
      </c>
      <c r="Q109" t="s">
        <v>157</v>
      </c>
      <c r="S109" t="s">
        <v>183</v>
      </c>
      <c r="T109" t="s">
        <v>287</v>
      </c>
      <c r="U109">
        <v>4.7169578570146953E-5</v>
      </c>
      <c r="V109" t="s">
        <v>157</v>
      </c>
    </row>
    <row r="110" spans="9:22" x14ac:dyDescent="0.45">
      <c r="I110" t="s">
        <v>161</v>
      </c>
      <c r="J110" t="s">
        <v>288</v>
      </c>
      <c r="K110">
        <v>2.2075266733517963E-4</v>
      </c>
      <c r="L110" t="s">
        <v>157</v>
      </c>
      <c r="N110" t="s">
        <v>178</v>
      </c>
      <c r="O110" t="s">
        <v>288</v>
      </c>
      <c r="P110">
        <v>6.4808900309543476E-5</v>
      </c>
      <c r="Q110" t="s">
        <v>157</v>
      </c>
      <c r="S110" t="s">
        <v>183</v>
      </c>
      <c r="T110" t="s">
        <v>288</v>
      </c>
      <c r="U110">
        <v>6.4808900309543476E-5</v>
      </c>
      <c r="V110" t="s">
        <v>157</v>
      </c>
    </row>
    <row r="111" spans="9:22" x14ac:dyDescent="0.45">
      <c r="I111" t="s">
        <v>161</v>
      </c>
      <c r="J111" t="s">
        <v>289</v>
      </c>
      <c r="K111">
        <v>1.2933128451652842E-4</v>
      </c>
      <c r="L111" t="s">
        <v>157</v>
      </c>
      <c r="N111" t="s">
        <v>178</v>
      </c>
      <c r="O111" t="s">
        <v>289</v>
      </c>
      <c r="P111">
        <v>8.6815190681136694E-5</v>
      </c>
      <c r="Q111" t="s">
        <v>157</v>
      </c>
      <c r="S111" t="s">
        <v>183</v>
      </c>
      <c r="T111" t="s">
        <v>289</v>
      </c>
      <c r="U111">
        <v>8.6815190681136694E-5</v>
      </c>
      <c r="V111" t="s">
        <v>157</v>
      </c>
    </row>
    <row r="112" spans="9:22" x14ac:dyDescent="0.45">
      <c r="I112" t="s">
        <v>161</v>
      </c>
      <c r="J112" t="s">
        <v>290</v>
      </c>
      <c r="K112">
        <v>0</v>
      </c>
      <c r="L112" t="s">
        <v>157</v>
      </c>
      <c r="N112" t="s">
        <v>178</v>
      </c>
      <c r="O112" t="s">
        <v>290</v>
      </c>
      <c r="P112">
        <v>1.2442886479022838E-4</v>
      </c>
      <c r="Q112" t="s">
        <v>157</v>
      </c>
      <c r="S112" t="s">
        <v>183</v>
      </c>
      <c r="T112" t="s">
        <v>290</v>
      </c>
      <c r="U112">
        <v>1.2442886479022838E-4</v>
      </c>
      <c r="V112" t="s">
        <v>157</v>
      </c>
    </row>
    <row r="113" spans="9:22" x14ac:dyDescent="0.45">
      <c r="I113" t="s">
        <v>161</v>
      </c>
      <c r="J113" t="s">
        <v>291</v>
      </c>
      <c r="K113">
        <v>0</v>
      </c>
      <c r="L113" t="s">
        <v>157</v>
      </c>
      <c r="N113" t="s">
        <v>178</v>
      </c>
      <c r="O113" t="s">
        <v>291</v>
      </c>
      <c r="P113">
        <v>1.5921954943742605E-4</v>
      </c>
      <c r="Q113" t="s">
        <v>157</v>
      </c>
      <c r="S113" t="s">
        <v>183</v>
      </c>
      <c r="T113" t="s">
        <v>291</v>
      </c>
      <c r="U113">
        <v>1.5921954943742605E-4</v>
      </c>
      <c r="V113" t="s">
        <v>157</v>
      </c>
    </row>
    <row r="114" spans="9:22" x14ac:dyDescent="0.45">
      <c r="I114" t="s">
        <v>161</v>
      </c>
      <c r="J114" t="s">
        <v>292</v>
      </c>
      <c r="K114">
        <v>0</v>
      </c>
      <c r="L114" t="s">
        <v>157</v>
      </c>
      <c r="N114" t="s">
        <v>178</v>
      </c>
      <c r="O114" t="s">
        <v>292</v>
      </c>
      <c r="P114">
        <v>1.8329294789026595E-4</v>
      </c>
      <c r="Q114" t="s">
        <v>157</v>
      </c>
      <c r="S114" t="s">
        <v>183</v>
      </c>
      <c r="T114" t="s">
        <v>292</v>
      </c>
      <c r="U114">
        <v>1.8329294789026595E-4</v>
      </c>
      <c r="V114" t="s">
        <v>157</v>
      </c>
    </row>
    <row r="115" spans="9:22" x14ac:dyDescent="0.45">
      <c r="I115" t="s">
        <v>161</v>
      </c>
      <c r="J115" t="s">
        <v>293</v>
      </c>
      <c r="K115">
        <v>0</v>
      </c>
      <c r="L115" t="s">
        <v>157</v>
      </c>
      <c r="N115" t="s">
        <v>178</v>
      </c>
      <c r="O115" t="s">
        <v>293</v>
      </c>
      <c r="P115">
        <v>1.836701106626989E-4</v>
      </c>
      <c r="Q115" t="s">
        <v>157</v>
      </c>
      <c r="S115" t="s">
        <v>183</v>
      </c>
      <c r="T115" t="s">
        <v>293</v>
      </c>
      <c r="U115">
        <v>1.836701106626989E-4</v>
      </c>
      <c r="V115" t="s">
        <v>157</v>
      </c>
    </row>
    <row r="116" spans="9:22" x14ac:dyDescent="0.45">
      <c r="I116" t="s">
        <v>161</v>
      </c>
      <c r="J116" t="s">
        <v>294</v>
      </c>
      <c r="K116">
        <v>0</v>
      </c>
      <c r="L116" t="s">
        <v>157</v>
      </c>
      <c r="N116" t="s">
        <v>178</v>
      </c>
      <c r="O116" t="s">
        <v>294</v>
      </c>
      <c r="P116">
        <v>1.610917322506817E-4</v>
      </c>
      <c r="Q116" t="s">
        <v>157</v>
      </c>
      <c r="S116" t="s">
        <v>183</v>
      </c>
      <c r="T116" t="s">
        <v>294</v>
      </c>
      <c r="U116">
        <v>1.610917322506817E-4</v>
      </c>
      <c r="V116" t="s">
        <v>157</v>
      </c>
    </row>
    <row r="117" spans="9:22" x14ac:dyDescent="0.45">
      <c r="I117" t="s">
        <v>162</v>
      </c>
      <c r="J117" t="s">
        <v>156</v>
      </c>
      <c r="K117">
        <v>0.99333939994389087</v>
      </c>
      <c r="L117" t="s">
        <v>157</v>
      </c>
      <c r="N117" t="s">
        <v>179</v>
      </c>
      <c r="O117" t="s">
        <v>156</v>
      </c>
      <c r="P117">
        <v>0.80238761297789307</v>
      </c>
      <c r="Q117" t="s">
        <v>157</v>
      </c>
      <c r="S117" t="s">
        <v>184</v>
      </c>
      <c r="T117" t="s">
        <v>156</v>
      </c>
      <c r="U117">
        <v>0.80238761297789307</v>
      </c>
      <c r="V117" t="s">
        <v>157</v>
      </c>
    </row>
    <row r="118" spans="9:22" x14ac:dyDescent="0.45">
      <c r="I118" t="s">
        <v>162</v>
      </c>
      <c r="J118" t="s">
        <v>158</v>
      </c>
      <c r="K118">
        <v>0</v>
      </c>
      <c r="L118" t="s">
        <v>157</v>
      </c>
      <c r="N118" t="s">
        <v>179</v>
      </c>
      <c r="O118" t="s">
        <v>158</v>
      </c>
      <c r="P118">
        <v>5.7979425406719791E-2</v>
      </c>
      <c r="Q118" t="s">
        <v>157</v>
      </c>
      <c r="S118" t="s">
        <v>184</v>
      </c>
      <c r="T118" t="s">
        <v>158</v>
      </c>
      <c r="U118">
        <v>5.7979425406719791E-2</v>
      </c>
      <c r="V118" t="s">
        <v>157</v>
      </c>
    </row>
    <row r="119" spans="9:22" x14ac:dyDescent="0.45">
      <c r="I119" t="s">
        <v>162</v>
      </c>
      <c r="J119" t="s">
        <v>159</v>
      </c>
      <c r="K119">
        <v>0</v>
      </c>
      <c r="L119" t="s">
        <v>157</v>
      </c>
      <c r="N119" t="s">
        <v>179</v>
      </c>
      <c r="O119" t="s">
        <v>159</v>
      </c>
      <c r="P119">
        <v>5.2834861501062425E-2</v>
      </c>
      <c r="Q119" t="s">
        <v>157</v>
      </c>
      <c r="S119" t="s">
        <v>184</v>
      </c>
      <c r="T119" t="s">
        <v>159</v>
      </c>
      <c r="U119">
        <v>5.2834861501062425E-2</v>
      </c>
      <c r="V119" t="s">
        <v>157</v>
      </c>
    </row>
    <row r="120" spans="9:22" x14ac:dyDescent="0.45">
      <c r="I120" t="s">
        <v>162</v>
      </c>
      <c r="J120" t="s">
        <v>160</v>
      </c>
      <c r="K120">
        <v>0</v>
      </c>
      <c r="L120" t="s">
        <v>157</v>
      </c>
      <c r="N120" t="s">
        <v>179</v>
      </c>
      <c r="O120" t="s">
        <v>160</v>
      </c>
      <c r="P120">
        <v>4.4067988193225119E-2</v>
      </c>
      <c r="Q120" t="s">
        <v>157</v>
      </c>
      <c r="S120" t="s">
        <v>184</v>
      </c>
      <c r="T120" t="s">
        <v>160</v>
      </c>
      <c r="U120">
        <v>4.4067988193225119E-2</v>
      </c>
      <c r="V120" t="s">
        <v>157</v>
      </c>
    </row>
    <row r="121" spans="9:22" x14ac:dyDescent="0.45">
      <c r="I121" t="s">
        <v>162</v>
      </c>
      <c r="J121" t="s">
        <v>193</v>
      </c>
      <c r="K121">
        <v>0</v>
      </c>
      <c r="L121" t="s">
        <v>157</v>
      </c>
      <c r="N121" t="s">
        <v>179</v>
      </c>
      <c r="O121" t="s">
        <v>193</v>
      </c>
      <c r="P121">
        <v>3.5825218578561788E-2</v>
      </c>
      <c r="Q121" t="s">
        <v>157</v>
      </c>
      <c r="S121" t="s">
        <v>184</v>
      </c>
      <c r="T121" t="s">
        <v>193</v>
      </c>
      <c r="U121">
        <v>3.5825218578561788E-2</v>
      </c>
      <c r="V121" t="s">
        <v>157</v>
      </c>
    </row>
    <row r="122" spans="9:22" x14ac:dyDescent="0.45">
      <c r="I122" t="s">
        <v>162</v>
      </c>
      <c r="J122" t="s">
        <v>220</v>
      </c>
      <c r="K122">
        <v>0</v>
      </c>
      <c r="L122" t="s">
        <v>157</v>
      </c>
      <c r="N122" t="s">
        <v>179</v>
      </c>
      <c r="O122" t="s">
        <v>220</v>
      </c>
      <c r="P122">
        <v>2.1955313571267455E-5</v>
      </c>
      <c r="Q122" t="s">
        <v>157</v>
      </c>
      <c r="S122" t="s">
        <v>184</v>
      </c>
      <c r="T122" t="s">
        <v>220</v>
      </c>
      <c r="U122">
        <v>2.1955313571267455E-5</v>
      </c>
      <c r="V122" t="s">
        <v>157</v>
      </c>
    </row>
    <row r="123" spans="9:22" x14ac:dyDescent="0.45">
      <c r="I123" t="s">
        <v>162</v>
      </c>
      <c r="J123" t="s">
        <v>221</v>
      </c>
      <c r="K123">
        <v>0</v>
      </c>
      <c r="L123" t="s">
        <v>157</v>
      </c>
      <c r="N123" t="s">
        <v>179</v>
      </c>
      <c r="O123" t="s">
        <v>221</v>
      </c>
      <c r="P123">
        <v>7.6647510669104944E-5</v>
      </c>
      <c r="Q123" t="s">
        <v>157</v>
      </c>
      <c r="S123" t="s">
        <v>184</v>
      </c>
      <c r="T123" t="s">
        <v>221</v>
      </c>
      <c r="U123">
        <v>7.6647510669104944E-5</v>
      </c>
      <c r="V123" t="s">
        <v>157</v>
      </c>
    </row>
    <row r="124" spans="9:22" x14ac:dyDescent="0.45">
      <c r="I124" t="s">
        <v>162</v>
      </c>
      <c r="J124" t="s">
        <v>222</v>
      </c>
      <c r="K124">
        <v>0</v>
      </c>
      <c r="L124" t="s">
        <v>157</v>
      </c>
      <c r="N124" t="s">
        <v>179</v>
      </c>
      <c r="O124" t="s">
        <v>222</v>
      </c>
      <c r="P124">
        <v>1.3937405361818253E-6</v>
      </c>
      <c r="Q124" t="s">
        <v>157</v>
      </c>
      <c r="S124" t="s">
        <v>184</v>
      </c>
      <c r="T124" t="s">
        <v>222</v>
      </c>
      <c r="U124">
        <v>1.3937405361818253E-6</v>
      </c>
      <c r="V124" t="s">
        <v>157</v>
      </c>
    </row>
    <row r="125" spans="9:22" x14ac:dyDescent="0.45">
      <c r="I125" t="s">
        <v>162</v>
      </c>
      <c r="J125" t="s">
        <v>223</v>
      </c>
      <c r="K125">
        <v>0</v>
      </c>
      <c r="L125" t="s">
        <v>157</v>
      </c>
      <c r="N125" t="s">
        <v>179</v>
      </c>
      <c r="O125" t="s">
        <v>223</v>
      </c>
      <c r="P125">
        <v>5.4388838257306631E-6</v>
      </c>
      <c r="Q125" t="s">
        <v>157</v>
      </c>
      <c r="S125" t="s">
        <v>184</v>
      </c>
      <c r="T125" t="s">
        <v>223</v>
      </c>
      <c r="U125">
        <v>5.4388838257306631E-6</v>
      </c>
      <c r="V125" t="s">
        <v>157</v>
      </c>
    </row>
    <row r="126" spans="9:22" x14ac:dyDescent="0.45">
      <c r="I126" t="s">
        <v>162</v>
      </c>
      <c r="J126" t="s">
        <v>224</v>
      </c>
      <c r="K126">
        <v>0</v>
      </c>
      <c r="L126" t="s">
        <v>157</v>
      </c>
      <c r="N126" t="s">
        <v>179</v>
      </c>
      <c r="O126" t="s">
        <v>224</v>
      </c>
      <c r="P126">
        <v>6.4024296418853198E-7</v>
      </c>
      <c r="Q126" t="s">
        <v>157</v>
      </c>
      <c r="S126" t="s">
        <v>184</v>
      </c>
      <c r="T126" t="s">
        <v>224</v>
      </c>
      <c r="U126">
        <v>6.4024296418853198E-7</v>
      </c>
      <c r="V126" t="s">
        <v>157</v>
      </c>
    </row>
    <row r="127" spans="9:22" x14ac:dyDescent="0.45">
      <c r="I127" t="s">
        <v>162</v>
      </c>
      <c r="J127" t="s">
        <v>225</v>
      </c>
      <c r="K127">
        <v>0</v>
      </c>
      <c r="L127" t="s">
        <v>157</v>
      </c>
      <c r="N127" t="s">
        <v>179</v>
      </c>
      <c r="O127" t="s">
        <v>225</v>
      </c>
      <c r="P127">
        <v>5.913327879039419E-7</v>
      </c>
      <c r="Q127" t="s">
        <v>157</v>
      </c>
      <c r="S127" t="s">
        <v>184</v>
      </c>
      <c r="T127" t="s">
        <v>225</v>
      </c>
      <c r="U127">
        <v>5.913327879039419E-7</v>
      </c>
      <c r="V127" t="s">
        <v>157</v>
      </c>
    </row>
    <row r="128" spans="9:22" x14ac:dyDescent="0.45">
      <c r="I128" t="s">
        <v>162</v>
      </c>
      <c r="J128" t="s">
        <v>226</v>
      </c>
      <c r="K128">
        <v>0</v>
      </c>
      <c r="L128" t="s">
        <v>157</v>
      </c>
      <c r="N128" t="s">
        <v>179</v>
      </c>
      <c r="O128" t="s">
        <v>226</v>
      </c>
      <c r="P128">
        <v>4.0827198564375419E-7</v>
      </c>
      <c r="Q128" t="s">
        <v>157</v>
      </c>
      <c r="S128" t="s">
        <v>184</v>
      </c>
      <c r="T128" t="s">
        <v>226</v>
      </c>
      <c r="U128">
        <v>4.0827198564375419E-7</v>
      </c>
      <c r="V128" t="s">
        <v>157</v>
      </c>
    </row>
    <row r="129" spans="9:22" x14ac:dyDescent="0.45">
      <c r="I129" t="s">
        <v>162</v>
      </c>
      <c r="J129" t="s">
        <v>227</v>
      </c>
      <c r="K129">
        <v>1.4796647392918019E-4</v>
      </c>
      <c r="L129" t="s">
        <v>157</v>
      </c>
      <c r="N129" t="s">
        <v>179</v>
      </c>
      <c r="O129" t="s">
        <v>227</v>
      </c>
      <c r="P129">
        <v>2.8581462816553363E-7</v>
      </c>
      <c r="Q129" t="s">
        <v>157</v>
      </c>
      <c r="S129" t="s">
        <v>184</v>
      </c>
      <c r="T129" t="s">
        <v>227</v>
      </c>
      <c r="U129">
        <v>2.8581462816553363E-7</v>
      </c>
      <c r="V129" t="s">
        <v>157</v>
      </c>
    </row>
    <row r="130" spans="9:22" x14ac:dyDescent="0.45">
      <c r="I130" t="s">
        <v>162</v>
      </c>
      <c r="J130" t="s">
        <v>228</v>
      </c>
      <c r="K130">
        <v>2.4232636681076222E-4</v>
      </c>
      <c r="L130" t="s">
        <v>157</v>
      </c>
      <c r="N130" t="s">
        <v>179</v>
      </c>
      <c r="O130" t="s">
        <v>228</v>
      </c>
      <c r="P130">
        <v>0</v>
      </c>
      <c r="Q130" t="s">
        <v>157</v>
      </c>
      <c r="S130" t="s">
        <v>184</v>
      </c>
      <c r="T130" t="s">
        <v>228</v>
      </c>
      <c r="U130">
        <v>0</v>
      </c>
      <c r="V130" t="s">
        <v>157</v>
      </c>
    </row>
    <row r="131" spans="9:22" x14ac:dyDescent="0.45">
      <c r="I131" t="s">
        <v>162</v>
      </c>
      <c r="J131" t="s">
        <v>229</v>
      </c>
      <c r="K131">
        <v>3.0825401415529948E-4</v>
      </c>
      <c r="L131" t="s">
        <v>157</v>
      </c>
      <c r="N131" t="s">
        <v>179</v>
      </c>
      <c r="O131" t="s">
        <v>229</v>
      </c>
      <c r="P131">
        <v>1.1034823197820367E-6</v>
      </c>
      <c r="Q131" t="s">
        <v>157</v>
      </c>
      <c r="S131" t="s">
        <v>184</v>
      </c>
      <c r="T131" t="s">
        <v>229</v>
      </c>
      <c r="U131">
        <v>1.1034823197820367E-6</v>
      </c>
      <c r="V131" t="s">
        <v>157</v>
      </c>
    </row>
    <row r="132" spans="9:22" x14ac:dyDescent="0.45">
      <c r="I132" t="s">
        <v>162</v>
      </c>
      <c r="J132" t="s">
        <v>230</v>
      </c>
      <c r="K132">
        <v>3.7825904588256867E-4</v>
      </c>
      <c r="L132" t="s">
        <v>157</v>
      </c>
      <c r="N132" t="s">
        <v>179</v>
      </c>
      <c r="O132" t="s">
        <v>230</v>
      </c>
      <c r="P132">
        <v>9.8849424422231113E-5</v>
      </c>
      <c r="Q132" t="s">
        <v>157</v>
      </c>
      <c r="S132" t="s">
        <v>184</v>
      </c>
      <c r="T132" t="s">
        <v>230</v>
      </c>
      <c r="U132">
        <v>9.8849424422231113E-5</v>
      </c>
      <c r="V132" t="s">
        <v>157</v>
      </c>
    </row>
    <row r="133" spans="9:22" x14ac:dyDescent="0.45">
      <c r="I133" t="s">
        <v>162</v>
      </c>
      <c r="J133" t="s">
        <v>231</v>
      </c>
      <c r="K133">
        <v>3.6482573332384061E-4</v>
      </c>
      <c r="L133" t="s">
        <v>157</v>
      </c>
      <c r="N133" t="s">
        <v>179</v>
      </c>
      <c r="O133" t="s">
        <v>231</v>
      </c>
      <c r="P133">
        <v>1.3630370714357923E-4</v>
      </c>
      <c r="Q133" t="s">
        <v>157</v>
      </c>
      <c r="S133" t="s">
        <v>184</v>
      </c>
      <c r="T133" t="s">
        <v>231</v>
      </c>
      <c r="U133">
        <v>1.3630370714357923E-4</v>
      </c>
      <c r="V133" t="s">
        <v>157</v>
      </c>
    </row>
    <row r="134" spans="9:22" x14ac:dyDescent="0.45">
      <c r="I134" t="s">
        <v>162</v>
      </c>
      <c r="J134" t="s">
        <v>232</v>
      </c>
      <c r="K134">
        <v>3.6157615323267607E-4</v>
      </c>
      <c r="L134" t="s">
        <v>157</v>
      </c>
      <c r="N134" t="s">
        <v>179</v>
      </c>
      <c r="O134" t="s">
        <v>232</v>
      </c>
      <c r="P134">
        <v>1.4635157617200515E-4</v>
      </c>
      <c r="Q134" t="s">
        <v>157</v>
      </c>
      <c r="S134" t="s">
        <v>184</v>
      </c>
      <c r="T134" t="s">
        <v>232</v>
      </c>
      <c r="U134">
        <v>1.4635157617200515E-4</v>
      </c>
      <c r="V134" t="s">
        <v>157</v>
      </c>
    </row>
    <row r="135" spans="9:22" x14ac:dyDescent="0.45">
      <c r="I135" t="s">
        <v>162</v>
      </c>
      <c r="J135" t="s">
        <v>233</v>
      </c>
      <c r="K135">
        <v>3.0449362472160244E-4</v>
      </c>
      <c r="L135" t="s">
        <v>157</v>
      </c>
      <c r="N135" t="s">
        <v>179</v>
      </c>
      <c r="O135" t="s">
        <v>233</v>
      </c>
      <c r="P135">
        <v>1.4347699372525063E-4</v>
      </c>
      <c r="Q135" t="s">
        <v>157</v>
      </c>
      <c r="S135" t="s">
        <v>184</v>
      </c>
      <c r="T135" t="s">
        <v>233</v>
      </c>
      <c r="U135">
        <v>1.4347699372525063E-4</v>
      </c>
      <c r="V135" t="s">
        <v>157</v>
      </c>
    </row>
    <row r="136" spans="9:22" x14ac:dyDescent="0.45">
      <c r="I136" t="s">
        <v>162</v>
      </c>
      <c r="J136" t="s">
        <v>234</v>
      </c>
      <c r="K136">
        <v>2.8613278181860121E-4</v>
      </c>
      <c r="L136" t="s">
        <v>157</v>
      </c>
      <c r="N136" t="s">
        <v>179</v>
      </c>
      <c r="O136" t="s">
        <v>234</v>
      </c>
      <c r="P136">
        <v>1.4328099638233642E-4</v>
      </c>
      <c r="Q136" t="s">
        <v>157</v>
      </c>
      <c r="S136" t="s">
        <v>184</v>
      </c>
      <c r="T136" t="s">
        <v>234</v>
      </c>
      <c r="U136">
        <v>1.4328099638233642E-4</v>
      </c>
      <c r="V136" t="s">
        <v>157</v>
      </c>
    </row>
    <row r="137" spans="9:22" x14ac:dyDescent="0.45">
      <c r="I137" t="s">
        <v>162</v>
      </c>
      <c r="J137" t="s">
        <v>235</v>
      </c>
      <c r="K137">
        <v>2.4738022394659256E-4</v>
      </c>
      <c r="L137" t="s">
        <v>157</v>
      </c>
      <c r="N137" t="s">
        <v>179</v>
      </c>
      <c r="O137" t="s">
        <v>235</v>
      </c>
      <c r="P137">
        <v>1.5658156692126182E-4</v>
      </c>
      <c r="Q137" t="s">
        <v>157</v>
      </c>
      <c r="S137" t="s">
        <v>184</v>
      </c>
      <c r="T137" t="s">
        <v>235</v>
      </c>
      <c r="U137">
        <v>1.5658156692126182E-4</v>
      </c>
      <c r="V137" t="s">
        <v>157</v>
      </c>
    </row>
    <row r="138" spans="9:22" x14ac:dyDescent="0.45">
      <c r="I138" t="s">
        <v>162</v>
      </c>
      <c r="J138" t="s">
        <v>236</v>
      </c>
      <c r="K138">
        <v>2.6747078523866214E-4</v>
      </c>
      <c r="L138" t="s">
        <v>157</v>
      </c>
      <c r="N138" t="s">
        <v>179</v>
      </c>
      <c r="O138" t="s">
        <v>236</v>
      </c>
      <c r="P138">
        <v>1.663580671739269E-4</v>
      </c>
      <c r="Q138" t="s">
        <v>157</v>
      </c>
      <c r="S138" t="s">
        <v>184</v>
      </c>
      <c r="T138" t="s">
        <v>236</v>
      </c>
      <c r="U138">
        <v>1.663580671739269E-4</v>
      </c>
      <c r="V138" t="s">
        <v>157</v>
      </c>
    </row>
    <row r="139" spans="9:22" x14ac:dyDescent="0.45">
      <c r="I139" t="s">
        <v>162</v>
      </c>
      <c r="J139" t="s">
        <v>237</v>
      </c>
      <c r="K139">
        <v>1.8753598340741405E-4</v>
      </c>
      <c r="L139" t="s">
        <v>157</v>
      </c>
      <c r="N139" t="s">
        <v>179</v>
      </c>
      <c r="O139" t="s">
        <v>237</v>
      </c>
      <c r="P139">
        <v>2.0267492571378386E-4</v>
      </c>
      <c r="Q139" t="s">
        <v>157</v>
      </c>
      <c r="S139" t="s">
        <v>184</v>
      </c>
      <c r="T139" t="s">
        <v>237</v>
      </c>
      <c r="U139">
        <v>2.0267492571378386E-4</v>
      </c>
      <c r="V139" t="s">
        <v>157</v>
      </c>
    </row>
    <row r="140" spans="9:22" x14ac:dyDescent="0.45">
      <c r="I140" t="s">
        <v>162</v>
      </c>
      <c r="J140" t="s">
        <v>238</v>
      </c>
      <c r="K140">
        <v>1.3052275753716491E-4</v>
      </c>
      <c r="L140" t="s">
        <v>157</v>
      </c>
      <c r="N140" t="s">
        <v>179</v>
      </c>
      <c r="O140" t="s">
        <v>238</v>
      </c>
      <c r="P140">
        <v>2.9263308736942451E-4</v>
      </c>
      <c r="Q140" t="s">
        <v>157</v>
      </c>
      <c r="S140" t="s">
        <v>184</v>
      </c>
      <c r="T140" t="s">
        <v>238</v>
      </c>
      <c r="U140">
        <v>2.9263308736942451E-4</v>
      </c>
      <c r="V140" t="s">
        <v>157</v>
      </c>
    </row>
    <row r="141" spans="9:22" x14ac:dyDescent="0.45">
      <c r="I141" t="s">
        <v>162</v>
      </c>
      <c r="J141" t="s">
        <v>239</v>
      </c>
      <c r="K141">
        <v>0</v>
      </c>
      <c r="L141" t="s">
        <v>157</v>
      </c>
      <c r="N141" t="s">
        <v>179</v>
      </c>
      <c r="O141" t="s">
        <v>239</v>
      </c>
      <c r="P141">
        <v>3.6462284697596397E-4</v>
      </c>
      <c r="Q141" t="s">
        <v>157</v>
      </c>
      <c r="S141" t="s">
        <v>184</v>
      </c>
      <c r="T141" t="s">
        <v>239</v>
      </c>
      <c r="U141">
        <v>3.6462284697596397E-4</v>
      </c>
      <c r="V141" t="s">
        <v>157</v>
      </c>
    </row>
    <row r="142" spans="9:22" x14ac:dyDescent="0.45">
      <c r="I142" t="s">
        <v>162</v>
      </c>
      <c r="J142" t="s">
        <v>240</v>
      </c>
      <c r="K142">
        <v>0</v>
      </c>
      <c r="L142" t="s">
        <v>157</v>
      </c>
      <c r="N142" t="s">
        <v>179</v>
      </c>
      <c r="O142" t="s">
        <v>240</v>
      </c>
      <c r="P142">
        <v>3.8470067642441396E-4</v>
      </c>
      <c r="Q142" t="s">
        <v>157</v>
      </c>
      <c r="S142" t="s">
        <v>184</v>
      </c>
      <c r="T142" t="s">
        <v>240</v>
      </c>
      <c r="U142">
        <v>3.8470067642441396E-4</v>
      </c>
      <c r="V142" t="s">
        <v>157</v>
      </c>
    </row>
    <row r="143" spans="9:22" x14ac:dyDescent="0.45">
      <c r="I143" t="s">
        <v>162</v>
      </c>
      <c r="J143" t="s">
        <v>241</v>
      </c>
      <c r="K143">
        <v>0</v>
      </c>
      <c r="L143" t="s">
        <v>157</v>
      </c>
      <c r="N143" t="s">
        <v>179</v>
      </c>
      <c r="O143" t="s">
        <v>241</v>
      </c>
      <c r="P143">
        <v>3.6018655599363608E-4</v>
      </c>
      <c r="Q143" t="s">
        <v>157</v>
      </c>
      <c r="S143" t="s">
        <v>184</v>
      </c>
      <c r="T143" t="s">
        <v>241</v>
      </c>
      <c r="U143">
        <v>3.6018655599363608E-4</v>
      </c>
      <c r="V143" t="s">
        <v>157</v>
      </c>
    </row>
    <row r="144" spans="9:22" x14ac:dyDescent="0.45">
      <c r="I144" t="s">
        <v>162</v>
      </c>
      <c r="J144" t="s">
        <v>242</v>
      </c>
      <c r="K144">
        <v>0</v>
      </c>
      <c r="L144" t="s">
        <v>157</v>
      </c>
      <c r="N144" t="s">
        <v>179</v>
      </c>
      <c r="O144" t="s">
        <v>242</v>
      </c>
      <c r="P144">
        <v>2.9516622675395527E-4</v>
      </c>
      <c r="Q144" t="s">
        <v>157</v>
      </c>
      <c r="S144" t="s">
        <v>184</v>
      </c>
      <c r="T144" t="s">
        <v>242</v>
      </c>
      <c r="U144">
        <v>2.9516622675395527E-4</v>
      </c>
      <c r="V144" t="s">
        <v>157</v>
      </c>
    </row>
    <row r="145" spans="9:22" x14ac:dyDescent="0.45">
      <c r="I145" t="s">
        <v>162</v>
      </c>
      <c r="J145" t="s">
        <v>243</v>
      </c>
      <c r="K145">
        <v>0</v>
      </c>
      <c r="L145" t="s">
        <v>157</v>
      </c>
      <c r="N145" t="s">
        <v>179</v>
      </c>
      <c r="O145" t="s">
        <v>243</v>
      </c>
      <c r="P145">
        <v>2.2618211670663625E-4</v>
      </c>
      <c r="Q145" t="s">
        <v>157</v>
      </c>
      <c r="S145" t="s">
        <v>184</v>
      </c>
      <c r="T145" t="s">
        <v>243</v>
      </c>
      <c r="U145">
        <v>2.2618211670663625E-4</v>
      </c>
      <c r="V145" t="s">
        <v>157</v>
      </c>
    </row>
    <row r="146" spans="9:22" x14ac:dyDescent="0.45">
      <c r="I146" t="s">
        <v>162</v>
      </c>
      <c r="J146" t="s">
        <v>271</v>
      </c>
      <c r="K146">
        <v>0</v>
      </c>
      <c r="L146" t="s">
        <v>157</v>
      </c>
      <c r="N146" t="s">
        <v>179</v>
      </c>
      <c r="O146" t="s">
        <v>271</v>
      </c>
      <c r="P146">
        <v>1.4874924246996923E-4</v>
      </c>
      <c r="Q146" t="s">
        <v>157</v>
      </c>
      <c r="S146" t="s">
        <v>184</v>
      </c>
      <c r="T146" t="s">
        <v>271</v>
      </c>
      <c r="U146">
        <v>1.4874924246996923E-4</v>
      </c>
      <c r="V146" t="s">
        <v>157</v>
      </c>
    </row>
    <row r="147" spans="9:22" x14ac:dyDescent="0.45">
      <c r="I147" t="s">
        <v>162</v>
      </c>
      <c r="J147" t="s">
        <v>272</v>
      </c>
      <c r="K147">
        <v>0</v>
      </c>
      <c r="L147" t="s">
        <v>157</v>
      </c>
      <c r="N147" t="s">
        <v>179</v>
      </c>
      <c r="O147" t="s">
        <v>272</v>
      </c>
      <c r="P147">
        <v>9.9206353305906719E-5</v>
      </c>
      <c r="Q147" t="s">
        <v>157</v>
      </c>
      <c r="S147" t="s">
        <v>184</v>
      </c>
      <c r="T147" t="s">
        <v>272</v>
      </c>
      <c r="U147">
        <v>9.9206353305906719E-5</v>
      </c>
      <c r="V147" t="s">
        <v>157</v>
      </c>
    </row>
    <row r="148" spans="9:22" x14ac:dyDescent="0.45">
      <c r="I148" t="s">
        <v>162</v>
      </c>
      <c r="J148" t="s">
        <v>273</v>
      </c>
      <c r="K148">
        <v>0</v>
      </c>
      <c r="L148" t="s">
        <v>157</v>
      </c>
      <c r="N148" t="s">
        <v>179</v>
      </c>
      <c r="O148" t="s">
        <v>273</v>
      </c>
      <c r="P148">
        <v>6.3696263964733163E-5</v>
      </c>
      <c r="Q148" t="s">
        <v>157</v>
      </c>
      <c r="S148" t="s">
        <v>184</v>
      </c>
      <c r="T148" t="s">
        <v>273</v>
      </c>
      <c r="U148">
        <v>6.3696263964733163E-5</v>
      </c>
      <c r="V148" t="s">
        <v>157</v>
      </c>
    </row>
    <row r="149" spans="9:22" x14ac:dyDescent="0.45">
      <c r="I149" t="s">
        <v>162</v>
      </c>
      <c r="J149" t="s">
        <v>274</v>
      </c>
      <c r="K149">
        <v>0</v>
      </c>
      <c r="L149" t="s">
        <v>157</v>
      </c>
      <c r="N149" t="s">
        <v>179</v>
      </c>
      <c r="O149" t="s">
        <v>274</v>
      </c>
      <c r="P149">
        <v>5.0036538067610832E-5</v>
      </c>
      <c r="Q149" t="s">
        <v>157</v>
      </c>
      <c r="S149" t="s">
        <v>184</v>
      </c>
      <c r="T149" t="s">
        <v>274</v>
      </c>
      <c r="U149">
        <v>5.0036538067610832E-5</v>
      </c>
      <c r="V149" t="s">
        <v>157</v>
      </c>
    </row>
    <row r="150" spans="9:22" x14ac:dyDescent="0.45">
      <c r="I150" t="s">
        <v>162</v>
      </c>
      <c r="J150" t="s">
        <v>275</v>
      </c>
      <c r="K150">
        <v>0</v>
      </c>
      <c r="L150" t="s">
        <v>157</v>
      </c>
      <c r="N150" t="s">
        <v>179</v>
      </c>
      <c r="O150" t="s">
        <v>275</v>
      </c>
      <c r="P150">
        <v>4.3535966478097818E-5</v>
      </c>
      <c r="Q150" t="s">
        <v>157</v>
      </c>
      <c r="S150" t="s">
        <v>184</v>
      </c>
      <c r="T150" t="s">
        <v>275</v>
      </c>
      <c r="U150">
        <v>4.3535966478097818E-5</v>
      </c>
      <c r="V150" t="s">
        <v>157</v>
      </c>
    </row>
    <row r="151" spans="9:22" x14ac:dyDescent="0.45">
      <c r="I151" t="s">
        <v>162</v>
      </c>
      <c r="J151" t="s">
        <v>276</v>
      </c>
      <c r="K151">
        <v>0</v>
      </c>
      <c r="L151" t="s">
        <v>157</v>
      </c>
      <c r="N151" t="s">
        <v>179</v>
      </c>
      <c r="O151" t="s">
        <v>276</v>
      </c>
      <c r="P151">
        <v>4.9914071082001095E-5</v>
      </c>
      <c r="Q151" t="s">
        <v>157</v>
      </c>
      <c r="S151" t="s">
        <v>184</v>
      </c>
      <c r="T151" t="s">
        <v>276</v>
      </c>
      <c r="U151">
        <v>4.9914071082001095E-5</v>
      </c>
      <c r="V151" t="s">
        <v>157</v>
      </c>
    </row>
    <row r="152" spans="9:22" x14ac:dyDescent="0.45">
      <c r="I152" t="s">
        <v>162</v>
      </c>
      <c r="J152" t="s">
        <v>277</v>
      </c>
      <c r="K152">
        <v>0</v>
      </c>
      <c r="L152" t="s">
        <v>157</v>
      </c>
      <c r="N152" t="s">
        <v>179</v>
      </c>
      <c r="O152" t="s">
        <v>277</v>
      </c>
      <c r="P152">
        <v>5.3555344106152845E-5</v>
      </c>
      <c r="Q152" t="s">
        <v>157</v>
      </c>
      <c r="S152" t="s">
        <v>184</v>
      </c>
      <c r="T152" t="s">
        <v>277</v>
      </c>
      <c r="U152">
        <v>5.3555344106152845E-5</v>
      </c>
      <c r="V152" t="s">
        <v>157</v>
      </c>
    </row>
    <row r="153" spans="9:22" x14ac:dyDescent="0.45">
      <c r="I153" t="s">
        <v>162</v>
      </c>
      <c r="J153" t="s">
        <v>278</v>
      </c>
      <c r="K153">
        <v>1.409008327789374E-4</v>
      </c>
      <c r="L153" t="s">
        <v>157</v>
      </c>
      <c r="N153" t="s">
        <v>179</v>
      </c>
      <c r="O153" t="s">
        <v>278</v>
      </c>
      <c r="P153">
        <v>5.2365834597204034E-5</v>
      </c>
      <c r="Q153" t="s">
        <v>157</v>
      </c>
      <c r="S153" t="s">
        <v>184</v>
      </c>
      <c r="T153" t="s">
        <v>278</v>
      </c>
      <c r="U153">
        <v>5.2365834597204034E-5</v>
      </c>
      <c r="V153" t="s">
        <v>157</v>
      </c>
    </row>
    <row r="154" spans="9:22" x14ac:dyDescent="0.45">
      <c r="I154" t="s">
        <v>162</v>
      </c>
      <c r="J154" t="s">
        <v>279</v>
      </c>
      <c r="K154">
        <v>2.3302764445491295E-4</v>
      </c>
      <c r="L154" t="s">
        <v>157</v>
      </c>
      <c r="N154" t="s">
        <v>179</v>
      </c>
      <c r="O154" t="s">
        <v>279</v>
      </c>
      <c r="P154">
        <v>1.0622891445998397E-5</v>
      </c>
      <c r="Q154" t="s">
        <v>157</v>
      </c>
      <c r="S154" t="s">
        <v>184</v>
      </c>
      <c r="T154" t="s">
        <v>279</v>
      </c>
      <c r="U154">
        <v>1.0622891445998397E-5</v>
      </c>
      <c r="V154" t="s">
        <v>157</v>
      </c>
    </row>
    <row r="155" spans="9:22" x14ac:dyDescent="0.45">
      <c r="I155" t="s">
        <v>162</v>
      </c>
      <c r="J155" t="s">
        <v>280</v>
      </c>
      <c r="K155">
        <v>3.4526107687016407E-4</v>
      </c>
      <c r="L155" t="s">
        <v>157</v>
      </c>
      <c r="N155" t="s">
        <v>179</v>
      </c>
      <c r="O155" t="s">
        <v>280</v>
      </c>
      <c r="P155">
        <v>1.3201348150813715E-4</v>
      </c>
      <c r="Q155" t="s">
        <v>157</v>
      </c>
      <c r="S155" t="s">
        <v>184</v>
      </c>
      <c r="T155" t="s">
        <v>280</v>
      </c>
      <c r="U155">
        <v>1.3201348150813715E-4</v>
      </c>
      <c r="V155" t="s">
        <v>157</v>
      </c>
    </row>
    <row r="156" spans="9:22" x14ac:dyDescent="0.45">
      <c r="I156" t="s">
        <v>162</v>
      </c>
      <c r="J156" t="s">
        <v>281</v>
      </c>
      <c r="K156">
        <v>3.7757772198907116E-4</v>
      </c>
      <c r="L156" t="s">
        <v>157</v>
      </c>
      <c r="N156" t="s">
        <v>179</v>
      </c>
      <c r="O156" t="s">
        <v>281</v>
      </c>
      <c r="P156">
        <v>1.9799429678528534E-4</v>
      </c>
      <c r="Q156" t="s">
        <v>157</v>
      </c>
      <c r="S156" t="s">
        <v>184</v>
      </c>
      <c r="T156" t="s">
        <v>281</v>
      </c>
      <c r="U156">
        <v>1.9799429678528534E-4</v>
      </c>
      <c r="V156" t="s">
        <v>157</v>
      </c>
    </row>
    <row r="157" spans="9:22" x14ac:dyDescent="0.45">
      <c r="I157" t="s">
        <v>162</v>
      </c>
      <c r="J157" t="s">
        <v>282</v>
      </c>
      <c r="K157">
        <v>3.7466839462016585E-4</v>
      </c>
      <c r="L157" t="s">
        <v>157</v>
      </c>
      <c r="N157" t="s">
        <v>179</v>
      </c>
      <c r="O157" t="s">
        <v>282</v>
      </c>
      <c r="P157">
        <v>1.7633408444092842E-4</v>
      </c>
      <c r="Q157" t="s">
        <v>157</v>
      </c>
      <c r="S157" t="s">
        <v>184</v>
      </c>
      <c r="T157" t="s">
        <v>282</v>
      </c>
      <c r="U157">
        <v>1.7633408444092842E-4</v>
      </c>
      <c r="V157" t="s">
        <v>157</v>
      </c>
    </row>
    <row r="158" spans="9:22" x14ac:dyDescent="0.45">
      <c r="I158" t="s">
        <v>162</v>
      </c>
      <c r="J158" t="s">
        <v>283</v>
      </c>
      <c r="K158">
        <v>3.6841728599017328E-4</v>
      </c>
      <c r="L158" t="s">
        <v>157</v>
      </c>
      <c r="N158" t="s">
        <v>179</v>
      </c>
      <c r="O158" t="s">
        <v>283</v>
      </c>
      <c r="P158">
        <v>1.4580626341246405E-4</v>
      </c>
      <c r="Q158" t="s">
        <v>157</v>
      </c>
      <c r="S158" t="s">
        <v>184</v>
      </c>
      <c r="T158" t="s">
        <v>283</v>
      </c>
      <c r="U158">
        <v>1.4580626341246405E-4</v>
      </c>
      <c r="V158" t="s">
        <v>157</v>
      </c>
    </row>
    <row r="159" spans="9:22" x14ac:dyDescent="0.45">
      <c r="I159" t="s">
        <v>162</v>
      </c>
      <c r="J159" t="s">
        <v>284</v>
      </c>
      <c r="K159">
        <v>3.5291060477032465E-4</v>
      </c>
      <c r="L159" t="s">
        <v>157</v>
      </c>
      <c r="N159" t="s">
        <v>179</v>
      </c>
      <c r="O159" t="s">
        <v>284</v>
      </c>
      <c r="P159">
        <v>1.2716513366503268E-4</v>
      </c>
      <c r="Q159" t="s">
        <v>157</v>
      </c>
      <c r="S159" t="s">
        <v>184</v>
      </c>
      <c r="T159" t="s">
        <v>284</v>
      </c>
      <c r="U159">
        <v>1.2716513366503268E-4</v>
      </c>
      <c r="V159" t="s">
        <v>157</v>
      </c>
    </row>
    <row r="160" spans="9:22" x14ac:dyDescent="0.45">
      <c r="I160" t="s">
        <v>162</v>
      </c>
      <c r="J160" t="s">
        <v>285</v>
      </c>
      <c r="K160">
        <v>3.0404630045277435E-4</v>
      </c>
      <c r="L160" t="s">
        <v>157</v>
      </c>
      <c r="N160" t="s">
        <v>179</v>
      </c>
      <c r="O160" t="s">
        <v>285</v>
      </c>
      <c r="P160">
        <v>1.0236597114687648E-4</v>
      </c>
      <c r="Q160" t="s">
        <v>157</v>
      </c>
      <c r="S160" t="s">
        <v>184</v>
      </c>
      <c r="T160" t="s">
        <v>285</v>
      </c>
      <c r="U160">
        <v>1.0236597114687648E-4</v>
      </c>
      <c r="V160" t="s">
        <v>157</v>
      </c>
    </row>
    <row r="161" spans="9:22" x14ac:dyDescent="0.45">
      <c r="I161" t="s">
        <v>162</v>
      </c>
      <c r="J161" t="s">
        <v>286</v>
      </c>
      <c r="K161">
        <v>3.1701497031362438E-4</v>
      </c>
      <c r="L161" t="s">
        <v>157</v>
      </c>
      <c r="N161" t="s">
        <v>179</v>
      </c>
      <c r="O161" t="s">
        <v>286</v>
      </c>
      <c r="P161">
        <v>1.0369412480361589E-4</v>
      </c>
      <c r="Q161" t="s">
        <v>157</v>
      </c>
      <c r="S161" t="s">
        <v>184</v>
      </c>
      <c r="T161" t="s">
        <v>286</v>
      </c>
      <c r="U161">
        <v>1.0369412480361589E-4</v>
      </c>
      <c r="V161" t="s">
        <v>157</v>
      </c>
    </row>
    <row r="162" spans="9:22" x14ac:dyDescent="0.45">
      <c r="I162" t="s">
        <v>162</v>
      </c>
      <c r="J162" t="s">
        <v>287</v>
      </c>
      <c r="K162">
        <v>2.7053007519088314E-4</v>
      </c>
      <c r="L162" t="s">
        <v>157</v>
      </c>
      <c r="N162" t="s">
        <v>179</v>
      </c>
      <c r="O162" t="s">
        <v>287</v>
      </c>
      <c r="P162">
        <v>1.1454236515378346E-4</v>
      </c>
      <c r="Q162" t="s">
        <v>157</v>
      </c>
      <c r="S162" t="s">
        <v>184</v>
      </c>
      <c r="T162" t="s">
        <v>287</v>
      </c>
      <c r="U162">
        <v>1.1454236515378346E-4</v>
      </c>
      <c r="V162" t="s">
        <v>157</v>
      </c>
    </row>
    <row r="163" spans="9:22" x14ac:dyDescent="0.45">
      <c r="I163" t="s">
        <v>162</v>
      </c>
      <c r="J163" t="s">
        <v>288</v>
      </c>
      <c r="K163">
        <v>2.0360086121503374E-4</v>
      </c>
      <c r="L163" t="s">
        <v>157</v>
      </c>
      <c r="N163" t="s">
        <v>179</v>
      </c>
      <c r="O163" t="s">
        <v>288</v>
      </c>
      <c r="P163">
        <v>1.5941941953341609E-4</v>
      </c>
      <c r="Q163" t="s">
        <v>157</v>
      </c>
      <c r="S163" t="s">
        <v>184</v>
      </c>
      <c r="T163" t="s">
        <v>288</v>
      </c>
      <c r="U163">
        <v>1.5941941953341609E-4</v>
      </c>
      <c r="V163" t="s">
        <v>157</v>
      </c>
    </row>
    <row r="164" spans="9:22" x14ac:dyDescent="0.45">
      <c r="I164" t="s">
        <v>162</v>
      </c>
      <c r="J164" t="s">
        <v>289</v>
      </c>
      <c r="K164">
        <v>1.4590034345999295E-4</v>
      </c>
      <c r="L164" t="s">
        <v>157</v>
      </c>
      <c r="N164" t="s">
        <v>179</v>
      </c>
      <c r="O164" t="s">
        <v>289</v>
      </c>
      <c r="P164">
        <v>2.0677672419411439E-4</v>
      </c>
      <c r="Q164" t="s">
        <v>157</v>
      </c>
      <c r="S164" t="s">
        <v>184</v>
      </c>
      <c r="T164" t="s">
        <v>289</v>
      </c>
      <c r="U164">
        <v>2.0677672419411439E-4</v>
      </c>
      <c r="V164" t="s">
        <v>157</v>
      </c>
    </row>
    <row r="165" spans="9:22" x14ac:dyDescent="0.45">
      <c r="I165" t="s">
        <v>162</v>
      </c>
      <c r="J165" t="s">
        <v>290</v>
      </c>
      <c r="K165">
        <v>0</v>
      </c>
      <c r="L165" t="s">
        <v>157</v>
      </c>
      <c r="N165" t="s">
        <v>179</v>
      </c>
      <c r="O165" t="s">
        <v>290</v>
      </c>
      <c r="P165">
        <v>3.0490328712263755E-4</v>
      </c>
      <c r="Q165" t="s">
        <v>157</v>
      </c>
      <c r="S165" t="s">
        <v>184</v>
      </c>
      <c r="T165" t="s">
        <v>290</v>
      </c>
      <c r="U165">
        <v>3.0490328712263755E-4</v>
      </c>
      <c r="V165" t="s">
        <v>157</v>
      </c>
    </row>
    <row r="166" spans="9:22" x14ac:dyDescent="0.45">
      <c r="I166" t="s">
        <v>162</v>
      </c>
      <c r="J166" t="s">
        <v>291</v>
      </c>
      <c r="K166">
        <v>0</v>
      </c>
      <c r="L166" t="s">
        <v>157</v>
      </c>
      <c r="N166" t="s">
        <v>179</v>
      </c>
      <c r="O166" t="s">
        <v>291</v>
      </c>
      <c r="P166">
        <v>3.6790286760717965E-4</v>
      </c>
      <c r="Q166" t="s">
        <v>157</v>
      </c>
      <c r="S166" t="s">
        <v>184</v>
      </c>
      <c r="T166" t="s">
        <v>291</v>
      </c>
      <c r="U166">
        <v>3.6790286760717965E-4</v>
      </c>
      <c r="V166" t="s">
        <v>157</v>
      </c>
    </row>
    <row r="167" spans="9:22" x14ac:dyDescent="0.45">
      <c r="I167" t="s">
        <v>162</v>
      </c>
      <c r="J167" t="s">
        <v>292</v>
      </c>
      <c r="K167">
        <v>0</v>
      </c>
      <c r="L167" t="s">
        <v>157</v>
      </c>
      <c r="N167" t="s">
        <v>179</v>
      </c>
      <c r="O167" t="s">
        <v>292</v>
      </c>
      <c r="P167">
        <v>3.7169869971459584E-4</v>
      </c>
      <c r="Q167" t="s">
        <v>157</v>
      </c>
      <c r="S167" t="s">
        <v>184</v>
      </c>
      <c r="T167" t="s">
        <v>292</v>
      </c>
      <c r="U167">
        <v>3.7169869971459584E-4</v>
      </c>
      <c r="V167" t="s">
        <v>157</v>
      </c>
    </row>
    <row r="168" spans="9:22" x14ac:dyDescent="0.45">
      <c r="I168" t="s">
        <v>162</v>
      </c>
      <c r="J168" t="s">
        <v>293</v>
      </c>
      <c r="K168">
        <v>0</v>
      </c>
      <c r="L168" t="s">
        <v>157</v>
      </c>
      <c r="N168" t="s">
        <v>179</v>
      </c>
      <c r="O168" t="s">
        <v>293</v>
      </c>
      <c r="P168">
        <v>3.3270282156551455E-4</v>
      </c>
      <c r="Q168" t="s">
        <v>157</v>
      </c>
      <c r="S168" t="s">
        <v>184</v>
      </c>
      <c r="T168" t="s">
        <v>293</v>
      </c>
      <c r="U168">
        <v>3.3270282156551455E-4</v>
      </c>
      <c r="V168" t="s">
        <v>157</v>
      </c>
    </row>
    <row r="169" spans="9:22" x14ac:dyDescent="0.45">
      <c r="I169" t="s">
        <v>162</v>
      </c>
      <c r="J169" t="s">
        <v>294</v>
      </c>
      <c r="K169">
        <v>0</v>
      </c>
      <c r="L169" t="s">
        <v>157</v>
      </c>
      <c r="N169" t="s">
        <v>179</v>
      </c>
      <c r="O169" t="s">
        <v>294</v>
      </c>
      <c r="P169">
        <v>2.640579352002297E-4</v>
      </c>
      <c r="Q169" t="s">
        <v>157</v>
      </c>
      <c r="S169" t="s">
        <v>184</v>
      </c>
      <c r="T169" t="s">
        <v>294</v>
      </c>
      <c r="U169">
        <v>2.640579352002297E-4</v>
      </c>
      <c r="V169" t="s">
        <v>157</v>
      </c>
    </row>
    <row r="170" spans="9:22" x14ac:dyDescent="0.45">
      <c r="I170" t="s">
        <v>163</v>
      </c>
      <c r="J170" t="s">
        <v>156</v>
      </c>
      <c r="K170">
        <v>0.99367116082283358</v>
      </c>
      <c r="L170" t="s">
        <v>157</v>
      </c>
      <c r="N170" t="s">
        <v>180</v>
      </c>
      <c r="O170" t="s">
        <v>156</v>
      </c>
      <c r="P170">
        <v>0.84450835401879243</v>
      </c>
      <c r="Q170" t="s">
        <v>157</v>
      </c>
      <c r="S170" t="s">
        <v>185</v>
      </c>
      <c r="T170" t="s">
        <v>156</v>
      </c>
      <c r="U170">
        <v>0.84450835401879243</v>
      </c>
      <c r="V170" t="s">
        <v>157</v>
      </c>
    </row>
    <row r="171" spans="9:22" x14ac:dyDescent="0.45">
      <c r="I171" t="s">
        <v>163</v>
      </c>
      <c r="J171" t="s">
        <v>158</v>
      </c>
      <c r="K171">
        <v>0</v>
      </c>
      <c r="L171" t="s">
        <v>157</v>
      </c>
      <c r="N171" t="s">
        <v>180</v>
      </c>
      <c r="O171" t="s">
        <v>158</v>
      </c>
      <c r="P171">
        <v>4.5892922607319801E-2</v>
      </c>
      <c r="Q171" t="s">
        <v>157</v>
      </c>
      <c r="S171" t="s">
        <v>185</v>
      </c>
      <c r="T171" t="s">
        <v>158</v>
      </c>
      <c r="U171">
        <v>4.5892922607319801E-2</v>
      </c>
      <c r="V171" t="s">
        <v>157</v>
      </c>
    </row>
    <row r="172" spans="9:22" x14ac:dyDescent="0.45">
      <c r="I172" t="s">
        <v>163</v>
      </c>
      <c r="J172" t="s">
        <v>159</v>
      </c>
      <c r="K172">
        <v>0</v>
      </c>
      <c r="L172" t="s">
        <v>157</v>
      </c>
      <c r="N172" t="s">
        <v>180</v>
      </c>
      <c r="O172" t="s">
        <v>159</v>
      </c>
      <c r="P172">
        <v>4.1333768015540756E-2</v>
      </c>
      <c r="Q172" t="s">
        <v>157</v>
      </c>
      <c r="S172" t="s">
        <v>185</v>
      </c>
      <c r="T172" t="s">
        <v>159</v>
      </c>
      <c r="U172">
        <v>4.1333768015540756E-2</v>
      </c>
      <c r="V172" t="s">
        <v>157</v>
      </c>
    </row>
    <row r="173" spans="9:22" x14ac:dyDescent="0.45">
      <c r="I173" t="s">
        <v>163</v>
      </c>
      <c r="J173" t="s">
        <v>160</v>
      </c>
      <c r="K173">
        <v>0</v>
      </c>
      <c r="L173" t="s">
        <v>157</v>
      </c>
      <c r="N173" t="s">
        <v>180</v>
      </c>
      <c r="O173" t="s">
        <v>160</v>
      </c>
      <c r="P173">
        <v>3.4420639500419729E-2</v>
      </c>
      <c r="Q173" t="s">
        <v>157</v>
      </c>
      <c r="S173" t="s">
        <v>185</v>
      </c>
      <c r="T173" t="s">
        <v>160</v>
      </c>
      <c r="U173">
        <v>3.4420639500419729E-2</v>
      </c>
      <c r="V173" t="s">
        <v>157</v>
      </c>
    </row>
    <row r="174" spans="9:22" x14ac:dyDescent="0.45">
      <c r="I174" t="s">
        <v>163</v>
      </c>
      <c r="J174" t="s">
        <v>193</v>
      </c>
      <c r="K174">
        <v>0</v>
      </c>
      <c r="L174" t="s">
        <v>157</v>
      </c>
      <c r="N174" t="s">
        <v>180</v>
      </c>
      <c r="O174" t="s">
        <v>193</v>
      </c>
      <c r="P174">
        <v>2.9001660811925789E-2</v>
      </c>
      <c r="Q174" t="s">
        <v>157</v>
      </c>
      <c r="S174" t="s">
        <v>185</v>
      </c>
      <c r="T174" t="s">
        <v>193</v>
      </c>
      <c r="U174">
        <v>2.9001660811925789E-2</v>
      </c>
      <c r="V174" t="s">
        <v>157</v>
      </c>
    </row>
    <row r="175" spans="9:22" x14ac:dyDescent="0.45">
      <c r="I175" t="s">
        <v>163</v>
      </c>
      <c r="J175" t="s">
        <v>220</v>
      </c>
      <c r="K175">
        <v>0</v>
      </c>
      <c r="L175" t="s">
        <v>157</v>
      </c>
      <c r="N175" t="s">
        <v>180</v>
      </c>
      <c r="O175" t="s">
        <v>220</v>
      </c>
      <c r="P175">
        <v>1.2213588100952471E-6</v>
      </c>
      <c r="Q175" t="s">
        <v>157</v>
      </c>
      <c r="S175" t="s">
        <v>185</v>
      </c>
      <c r="T175" t="s">
        <v>220</v>
      </c>
      <c r="U175">
        <v>1.2213588100952471E-6</v>
      </c>
      <c r="V175" t="s">
        <v>157</v>
      </c>
    </row>
    <row r="176" spans="9:22" x14ac:dyDescent="0.45">
      <c r="I176" t="s">
        <v>163</v>
      </c>
      <c r="J176" t="s">
        <v>221</v>
      </c>
      <c r="K176">
        <v>0</v>
      </c>
      <c r="L176" t="s">
        <v>157</v>
      </c>
      <c r="N176" t="s">
        <v>180</v>
      </c>
      <c r="O176" t="s">
        <v>221</v>
      </c>
      <c r="P176">
        <v>4.5287440662986002E-6</v>
      </c>
      <c r="Q176" t="s">
        <v>157</v>
      </c>
      <c r="S176" t="s">
        <v>185</v>
      </c>
      <c r="T176" t="s">
        <v>221</v>
      </c>
      <c r="U176">
        <v>4.5287440662986002E-6</v>
      </c>
      <c r="V176" t="s">
        <v>157</v>
      </c>
    </row>
    <row r="177" spans="9:22" x14ac:dyDescent="0.45">
      <c r="I177" t="s">
        <v>163</v>
      </c>
      <c r="J177" t="s">
        <v>222</v>
      </c>
      <c r="K177">
        <v>0</v>
      </c>
      <c r="L177" t="s">
        <v>157</v>
      </c>
      <c r="N177" t="s">
        <v>180</v>
      </c>
      <c r="O177" t="s">
        <v>222</v>
      </c>
      <c r="P177">
        <v>1.0113293756071696E-6</v>
      </c>
      <c r="Q177" t="s">
        <v>157</v>
      </c>
      <c r="S177" t="s">
        <v>185</v>
      </c>
      <c r="T177" t="s">
        <v>222</v>
      </c>
      <c r="U177">
        <v>1.0113293756071696E-6</v>
      </c>
      <c r="V177" t="s">
        <v>157</v>
      </c>
    </row>
    <row r="178" spans="9:22" x14ac:dyDescent="0.45">
      <c r="I178" t="s">
        <v>163</v>
      </c>
      <c r="J178" t="s">
        <v>223</v>
      </c>
      <c r="K178">
        <v>0</v>
      </c>
      <c r="L178" t="s">
        <v>157</v>
      </c>
      <c r="N178" t="s">
        <v>180</v>
      </c>
      <c r="O178" t="s">
        <v>223</v>
      </c>
      <c r="P178">
        <v>5.4327845171734587E-7</v>
      </c>
      <c r="Q178" t="s">
        <v>157</v>
      </c>
      <c r="S178" t="s">
        <v>185</v>
      </c>
      <c r="T178" t="s">
        <v>223</v>
      </c>
      <c r="U178">
        <v>5.4327845171734587E-7</v>
      </c>
      <c r="V178" t="s">
        <v>157</v>
      </c>
    </row>
    <row r="179" spans="9:22" x14ac:dyDescent="0.45">
      <c r="I179" t="s">
        <v>163</v>
      </c>
      <c r="J179" t="s">
        <v>224</v>
      </c>
      <c r="K179">
        <v>0</v>
      </c>
      <c r="L179" t="s">
        <v>157</v>
      </c>
      <c r="N179" t="s">
        <v>180</v>
      </c>
      <c r="O179" t="s">
        <v>224</v>
      </c>
      <c r="P179">
        <v>3.6070069302700348E-7</v>
      </c>
      <c r="Q179" t="s">
        <v>157</v>
      </c>
      <c r="S179" t="s">
        <v>185</v>
      </c>
      <c r="T179" t="s">
        <v>224</v>
      </c>
      <c r="U179">
        <v>3.6070069302700348E-7</v>
      </c>
      <c r="V179" t="s">
        <v>157</v>
      </c>
    </row>
    <row r="180" spans="9:22" x14ac:dyDescent="0.45">
      <c r="I180" t="s">
        <v>163</v>
      </c>
      <c r="J180" t="s">
        <v>225</v>
      </c>
      <c r="K180">
        <v>0</v>
      </c>
      <c r="L180" t="s">
        <v>157</v>
      </c>
      <c r="N180" t="s">
        <v>180</v>
      </c>
      <c r="O180" t="s">
        <v>225</v>
      </c>
      <c r="P180">
        <v>4.0307635673614929E-7</v>
      </c>
      <c r="Q180" t="s">
        <v>157</v>
      </c>
      <c r="S180" t="s">
        <v>185</v>
      </c>
      <c r="T180" t="s">
        <v>225</v>
      </c>
      <c r="U180">
        <v>4.0307635673614929E-7</v>
      </c>
      <c r="V180" t="s">
        <v>157</v>
      </c>
    </row>
    <row r="181" spans="9:22" x14ac:dyDescent="0.45">
      <c r="I181" t="s">
        <v>163</v>
      </c>
      <c r="J181" t="s">
        <v>226</v>
      </c>
      <c r="K181">
        <v>0</v>
      </c>
      <c r="L181" t="s">
        <v>157</v>
      </c>
      <c r="N181" t="s">
        <v>180</v>
      </c>
      <c r="O181" t="s">
        <v>226</v>
      </c>
      <c r="P181">
        <v>4.1935256388421064E-7</v>
      </c>
      <c r="Q181" t="s">
        <v>157</v>
      </c>
      <c r="S181" t="s">
        <v>185</v>
      </c>
      <c r="T181" t="s">
        <v>226</v>
      </c>
      <c r="U181">
        <v>4.1935256388421064E-7</v>
      </c>
      <c r="V181" t="s">
        <v>157</v>
      </c>
    </row>
    <row r="182" spans="9:22" x14ac:dyDescent="0.45">
      <c r="I182" t="s">
        <v>163</v>
      </c>
      <c r="J182" t="s">
        <v>227</v>
      </c>
      <c r="K182">
        <v>1.5035918421435951E-4</v>
      </c>
      <c r="L182" t="s">
        <v>157</v>
      </c>
      <c r="N182" t="s">
        <v>180</v>
      </c>
      <c r="O182" t="s">
        <v>227</v>
      </c>
      <c r="P182">
        <v>4.4635159587132044E-7</v>
      </c>
      <c r="Q182" t="s">
        <v>157</v>
      </c>
      <c r="S182" t="s">
        <v>185</v>
      </c>
      <c r="T182" t="s">
        <v>227</v>
      </c>
      <c r="U182">
        <v>4.4635159587132044E-7</v>
      </c>
      <c r="V182" t="s">
        <v>157</v>
      </c>
    </row>
    <row r="183" spans="9:22" x14ac:dyDescent="0.45">
      <c r="I183" t="s">
        <v>163</v>
      </c>
      <c r="J183" t="s">
        <v>228</v>
      </c>
      <c r="K183">
        <v>2.1080753790832035E-4</v>
      </c>
      <c r="L183" t="s">
        <v>157</v>
      </c>
      <c r="N183" t="s">
        <v>180</v>
      </c>
      <c r="O183" t="s">
        <v>228</v>
      </c>
      <c r="P183">
        <v>0</v>
      </c>
      <c r="Q183" t="s">
        <v>157</v>
      </c>
      <c r="S183" t="s">
        <v>185</v>
      </c>
      <c r="T183" t="s">
        <v>228</v>
      </c>
      <c r="U183">
        <v>0</v>
      </c>
      <c r="V183" t="s">
        <v>157</v>
      </c>
    </row>
    <row r="184" spans="9:22" x14ac:dyDescent="0.45">
      <c r="I184" t="s">
        <v>163</v>
      </c>
      <c r="J184" t="s">
        <v>229</v>
      </c>
      <c r="K184">
        <v>2.8564670673972303E-4</v>
      </c>
      <c r="L184" t="s">
        <v>157</v>
      </c>
      <c r="N184" t="s">
        <v>180</v>
      </c>
      <c r="O184" t="s">
        <v>229</v>
      </c>
      <c r="P184">
        <v>2.2501465032877417E-5</v>
      </c>
      <c r="Q184" t="s">
        <v>157</v>
      </c>
      <c r="S184" t="s">
        <v>185</v>
      </c>
      <c r="T184" t="s">
        <v>229</v>
      </c>
      <c r="U184">
        <v>2.2501465032877417E-5</v>
      </c>
      <c r="V184" t="s">
        <v>157</v>
      </c>
    </row>
    <row r="185" spans="9:22" x14ac:dyDescent="0.45">
      <c r="I185" t="s">
        <v>163</v>
      </c>
      <c r="J185" t="s">
        <v>230</v>
      </c>
      <c r="K185">
        <v>3.6848985938340222E-4</v>
      </c>
      <c r="L185" t="s">
        <v>157</v>
      </c>
      <c r="N185" t="s">
        <v>180</v>
      </c>
      <c r="O185" t="s">
        <v>230</v>
      </c>
      <c r="P185">
        <v>1.1962059318555601E-4</v>
      </c>
      <c r="Q185" t="s">
        <v>157</v>
      </c>
      <c r="S185" t="s">
        <v>185</v>
      </c>
      <c r="T185" t="s">
        <v>230</v>
      </c>
      <c r="U185">
        <v>1.1962059318555601E-4</v>
      </c>
      <c r="V185" t="s">
        <v>157</v>
      </c>
    </row>
    <row r="186" spans="9:22" x14ac:dyDescent="0.45">
      <c r="I186" t="s">
        <v>163</v>
      </c>
      <c r="J186" t="s">
        <v>231</v>
      </c>
      <c r="K186">
        <v>3.6628891358459251E-4</v>
      </c>
      <c r="L186" t="s">
        <v>157</v>
      </c>
      <c r="N186" t="s">
        <v>180</v>
      </c>
      <c r="O186" t="s">
        <v>231</v>
      </c>
      <c r="P186">
        <v>1.290801866642496E-4</v>
      </c>
      <c r="Q186" t="s">
        <v>157</v>
      </c>
      <c r="S186" t="s">
        <v>185</v>
      </c>
      <c r="T186" t="s">
        <v>231</v>
      </c>
      <c r="U186">
        <v>1.290801866642496E-4</v>
      </c>
      <c r="V186" t="s">
        <v>157</v>
      </c>
    </row>
    <row r="187" spans="9:22" x14ac:dyDescent="0.45">
      <c r="I187" t="s">
        <v>163</v>
      </c>
      <c r="J187" t="s">
        <v>232</v>
      </c>
      <c r="K187">
        <v>3.2460772866230322E-4</v>
      </c>
      <c r="L187" t="s">
        <v>157</v>
      </c>
      <c r="N187" t="s">
        <v>180</v>
      </c>
      <c r="O187" t="s">
        <v>232</v>
      </c>
      <c r="P187">
        <v>1.2874205734718469E-4</v>
      </c>
      <c r="Q187" t="s">
        <v>157</v>
      </c>
      <c r="S187" t="s">
        <v>185</v>
      </c>
      <c r="T187" t="s">
        <v>232</v>
      </c>
      <c r="U187">
        <v>1.2874205734718469E-4</v>
      </c>
      <c r="V187" t="s">
        <v>157</v>
      </c>
    </row>
    <row r="188" spans="9:22" x14ac:dyDescent="0.45">
      <c r="I188" t="s">
        <v>163</v>
      </c>
      <c r="J188" t="s">
        <v>233</v>
      </c>
      <c r="K188">
        <v>3.1671625398642226E-4</v>
      </c>
      <c r="L188" t="s">
        <v>157</v>
      </c>
      <c r="N188" t="s">
        <v>180</v>
      </c>
      <c r="O188" t="s">
        <v>233</v>
      </c>
      <c r="P188">
        <v>1.2834983817864692E-4</v>
      </c>
      <c r="Q188" t="s">
        <v>157</v>
      </c>
      <c r="S188" t="s">
        <v>185</v>
      </c>
      <c r="T188" t="s">
        <v>233</v>
      </c>
      <c r="U188">
        <v>1.2834983817864692E-4</v>
      </c>
      <c r="V188" t="s">
        <v>157</v>
      </c>
    </row>
    <row r="189" spans="9:22" x14ac:dyDescent="0.45">
      <c r="I189" t="s">
        <v>163</v>
      </c>
      <c r="J189" t="s">
        <v>234</v>
      </c>
      <c r="K189">
        <v>2.5422188351667416E-4</v>
      </c>
      <c r="L189" t="s">
        <v>157</v>
      </c>
      <c r="N189" t="s">
        <v>180</v>
      </c>
      <c r="O189" t="s">
        <v>234</v>
      </c>
      <c r="P189">
        <v>1.3036016408506126E-4</v>
      </c>
      <c r="Q189" t="s">
        <v>157</v>
      </c>
      <c r="S189" t="s">
        <v>185</v>
      </c>
      <c r="T189" t="s">
        <v>234</v>
      </c>
      <c r="U189">
        <v>1.3036016408506126E-4</v>
      </c>
      <c r="V189" t="s">
        <v>157</v>
      </c>
    </row>
    <row r="190" spans="9:22" x14ac:dyDescent="0.45">
      <c r="I190" t="s">
        <v>163</v>
      </c>
      <c r="J190" t="s">
        <v>235</v>
      </c>
      <c r="K190">
        <v>2.4100600318822135E-4</v>
      </c>
      <c r="L190" t="s">
        <v>157</v>
      </c>
      <c r="N190" t="s">
        <v>180</v>
      </c>
      <c r="O190" t="s">
        <v>235</v>
      </c>
      <c r="P190">
        <v>1.3991795947173897E-4</v>
      </c>
      <c r="Q190" t="s">
        <v>157</v>
      </c>
      <c r="S190" t="s">
        <v>185</v>
      </c>
      <c r="T190" t="s">
        <v>235</v>
      </c>
      <c r="U190">
        <v>1.3991795947173897E-4</v>
      </c>
      <c r="V190" t="s">
        <v>157</v>
      </c>
    </row>
    <row r="191" spans="9:22" x14ac:dyDescent="0.45">
      <c r="I191" t="s">
        <v>163</v>
      </c>
      <c r="J191" t="s">
        <v>236</v>
      </c>
      <c r="K191">
        <v>1.6762557965947132E-4</v>
      </c>
      <c r="L191" t="s">
        <v>157</v>
      </c>
      <c r="N191" t="s">
        <v>180</v>
      </c>
      <c r="O191" t="s">
        <v>236</v>
      </c>
      <c r="P191">
        <v>1.3999543869198353E-4</v>
      </c>
      <c r="Q191" t="s">
        <v>157</v>
      </c>
      <c r="S191" t="s">
        <v>185</v>
      </c>
      <c r="T191" t="s">
        <v>236</v>
      </c>
      <c r="U191">
        <v>1.3999543869198353E-4</v>
      </c>
      <c r="V191" t="s">
        <v>157</v>
      </c>
    </row>
    <row r="192" spans="9:22" x14ac:dyDescent="0.45">
      <c r="I192" t="s">
        <v>163</v>
      </c>
      <c r="J192" t="s">
        <v>237</v>
      </c>
      <c r="K192">
        <v>1.8313862750428341E-4</v>
      </c>
      <c r="L192" t="s">
        <v>157</v>
      </c>
      <c r="N192" t="s">
        <v>180</v>
      </c>
      <c r="O192" t="s">
        <v>237</v>
      </c>
      <c r="P192">
        <v>1.446481019109295E-4</v>
      </c>
      <c r="Q192" t="s">
        <v>157</v>
      </c>
      <c r="S192" t="s">
        <v>185</v>
      </c>
      <c r="T192" t="s">
        <v>237</v>
      </c>
      <c r="U192">
        <v>1.446481019109295E-4</v>
      </c>
      <c r="V192" t="s">
        <v>157</v>
      </c>
    </row>
    <row r="193" spans="9:22" x14ac:dyDescent="0.45">
      <c r="I193" t="s">
        <v>163</v>
      </c>
      <c r="J193" t="s">
        <v>238</v>
      </c>
      <c r="K193">
        <v>1.4219616349203399E-4</v>
      </c>
      <c r="L193" t="s">
        <v>157</v>
      </c>
      <c r="N193" t="s">
        <v>180</v>
      </c>
      <c r="O193" t="s">
        <v>238</v>
      </c>
      <c r="P193">
        <v>1.7040198883886323E-4</v>
      </c>
      <c r="Q193" t="s">
        <v>157</v>
      </c>
      <c r="S193" t="s">
        <v>185</v>
      </c>
      <c r="T193" t="s">
        <v>238</v>
      </c>
      <c r="U193">
        <v>1.7040198883886323E-4</v>
      </c>
      <c r="V193" t="s">
        <v>157</v>
      </c>
    </row>
    <row r="194" spans="9:22" x14ac:dyDescent="0.45">
      <c r="I194" t="s">
        <v>163</v>
      </c>
      <c r="J194" t="s">
        <v>239</v>
      </c>
      <c r="K194">
        <v>0</v>
      </c>
      <c r="L194" t="s">
        <v>157</v>
      </c>
      <c r="N194" t="s">
        <v>180</v>
      </c>
      <c r="O194" t="s">
        <v>239</v>
      </c>
      <c r="P194">
        <v>2.0666836877984812E-4</v>
      </c>
      <c r="Q194" t="s">
        <v>157</v>
      </c>
      <c r="S194" t="s">
        <v>185</v>
      </c>
      <c r="T194" t="s">
        <v>239</v>
      </c>
      <c r="U194">
        <v>2.0666836877984812E-4</v>
      </c>
      <c r="V194" t="s">
        <v>157</v>
      </c>
    </row>
    <row r="195" spans="9:22" x14ac:dyDescent="0.45">
      <c r="I195" t="s">
        <v>163</v>
      </c>
      <c r="J195" t="s">
        <v>240</v>
      </c>
      <c r="K195">
        <v>0</v>
      </c>
      <c r="L195" t="s">
        <v>157</v>
      </c>
      <c r="N195" t="s">
        <v>180</v>
      </c>
      <c r="O195" t="s">
        <v>240</v>
      </c>
      <c r="P195">
        <v>2.2793000594079223E-4</v>
      </c>
      <c r="Q195" t="s">
        <v>157</v>
      </c>
      <c r="S195" t="s">
        <v>185</v>
      </c>
      <c r="T195" t="s">
        <v>240</v>
      </c>
      <c r="U195">
        <v>2.2793000594079223E-4</v>
      </c>
      <c r="V195" t="s">
        <v>157</v>
      </c>
    </row>
    <row r="196" spans="9:22" x14ac:dyDescent="0.45">
      <c r="I196" t="s">
        <v>163</v>
      </c>
      <c r="J196" t="s">
        <v>241</v>
      </c>
      <c r="K196">
        <v>0</v>
      </c>
      <c r="L196" t="s">
        <v>157</v>
      </c>
      <c r="N196" t="s">
        <v>180</v>
      </c>
      <c r="O196" t="s">
        <v>241</v>
      </c>
      <c r="P196">
        <v>2.2338946450870941E-4</v>
      </c>
      <c r="Q196" t="s">
        <v>157</v>
      </c>
      <c r="S196" t="s">
        <v>185</v>
      </c>
      <c r="T196" t="s">
        <v>241</v>
      </c>
      <c r="U196">
        <v>2.2338946450870941E-4</v>
      </c>
      <c r="V196" t="s">
        <v>157</v>
      </c>
    </row>
    <row r="197" spans="9:22" x14ac:dyDescent="0.45">
      <c r="I197" t="s">
        <v>163</v>
      </c>
      <c r="J197" t="s">
        <v>242</v>
      </c>
      <c r="K197">
        <v>0</v>
      </c>
      <c r="L197" t="s">
        <v>157</v>
      </c>
      <c r="N197" t="s">
        <v>180</v>
      </c>
      <c r="O197" t="s">
        <v>242</v>
      </c>
      <c r="P197">
        <v>1.7228408127474473E-4</v>
      </c>
      <c r="Q197" t="s">
        <v>157</v>
      </c>
      <c r="S197" t="s">
        <v>185</v>
      </c>
      <c r="T197" t="s">
        <v>242</v>
      </c>
      <c r="U197">
        <v>1.7228408127474473E-4</v>
      </c>
      <c r="V197" t="s">
        <v>157</v>
      </c>
    </row>
    <row r="198" spans="9:22" x14ac:dyDescent="0.45">
      <c r="I198" t="s">
        <v>163</v>
      </c>
      <c r="J198" t="s">
        <v>243</v>
      </c>
      <c r="K198">
        <v>0</v>
      </c>
      <c r="L198" t="s">
        <v>157</v>
      </c>
      <c r="N198" t="s">
        <v>180</v>
      </c>
      <c r="O198" t="s">
        <v>243</v>
      </c>
      <c r="P198">
        <v>1.1604543761571597E-4</v>
      </c>
      <c r="Q198" t="s">
        <v>157</v>
      </c>
      <c r="S198" t="s">
        <v>185</v>
      </c>
      <c r="T198" t="s">
        <v>243</v>
      </c>
      <c r="U198">
        <v>1.1604543761571597E-4</v>
      </c>
      <c r="V198" t="s">
        <v>157</v>
      </c>
    </row>
    <row r="199" spans="9:22" x14ac:dyDescent="0.45">
      <c r="I199" t="s">
        <v>163</v>
      </c>
      <c r="J199" t="s">
        <v>271</v>
      </c>
      <c r="K199">
        <v>0</v>
      </c>
      <c r="L199" t="s">
        <v>157</v>
      </c>
      <c r="N199" t="s">
        <v>180</v>
      </c>
      <c r="O199" t="s">
        <v>271</v>
      </c>
      <c r="P199">
        <v>6.2001243777268477E-5</v>
      </c>
      <c r="Q199" t="s">
        <v>157</v>
      </c>
      <c r="S199" t="s">
        <v>185</v>
      </c>
      <c r="T199" t="s">
        <v>271</v>
      </c>
      <c r="U199">
        <v>6.2001243777268477E-5</v>
      </c>
      <c r="V199" t="s">
        <v>157</v>
      </c>
    </row>
    <row r="200" spans="9:22" x14ac:dyDescent="0.45">
      <c r="I200" t="s">
        <v>163</v>
      </c>
      <c r="J200" t="s">
        <v>272</v>
      </c>
      <c r="K200">
        <v>0</v>
      </c>
      <c r="L200" t="s">
        <v>157</v>
      </c>
      <c r="N200" t="s">
        <v>180</v>
      </c>
      <c r="O200" t="s">
        <v>272</v>
      </c>
      <c r="P200">
        <v>3.9653408818160424E-5</v>
      </c>
      <c r="Q200" t="s">
        <v>157</v>
      </c>
      <c r="S200" t="s">
        <v>185</v>
      </c>
      <c r="T200" t="s">
        <v>272</v>
      </c>
      <c r="U200">
        <v>3.9653408818160424E-5</v>
      </c>
      <c r="V200" t="s">
        <v>157</v>
      </c>
    </row>
    <row r="201" spans="9:22" x14ac:dyDescent="0.45">
      <c r="I201" t="s">
        <v>163</v>
      </c>
      <c r="J201" t="s">
        <v>273</v>
      </c>
      <c r="K201">
        <v>0</v>
      </c>
      <c r="L201" t="s">
        <v>157</v>
      </c>
      <c r="N201" t="s">
        <v>180</v>
      </c>
      <c r="O201" t="s">
        <v>273</v>
      </c>
      <c r="P201">
        <v>2.2926113588405826E-5</v>
      </c>
      <c r="Q201" t="s">
        <v>157</v>
      </c>
      <c r="S201" t="s">
        <v>185</v>
      </c>
      <c r="T201" t="s">
        <v>273</v>
      </c>
      <c r="U201">
        <v>2.2926113588405826E-5</v>
      </c>
      <c r="V201" t="s">
        <v>157</v>
      </c>
    </row>
    <row r="202" spans="9:22" x14ac:dyDescent="0.45">
      <c r="I202" t="s">
        <v>163</v>
      </c>
      <c r="J202" t="s">
        <v>274</v>
      </c>
      <c r="K202">
        <v>0</v>
      </c>
      <c r="L202" t="s">
        <v>157</v>
      </c>
      <c r="N202" t="s">
        <v>180</v>
      </c>
      <c r="O202" t="s">
        <v>274</v>
      </c>
      <c r="P202">
        <v>1.3931460909729841E-5</v>
      </c>
      <c r="Q202" t="s">
        <v>157</v>
      </c>
      <c r="S202" t="s">
        <v>185</v>
      </c>
      <c r="T202" t="s">
        <v>274</v>
      </c>
      <c r="U202">
        <v>1.3931460909729841E-5</v>
      </c>
      <c r="V202" t="s">
        <v>157</v>
      </c>
    </row>
    <row r="203" spans="9:22" x14ac:dyDescent="0.45">
      <c r="I203" t="s">
        <v>163</v>
      </c>
      <c r="J203" t="s">
        <v>275</v>
      </c>
      <c r="K203">
        <v>0</v>
      </c>
      <c r="L203" t="s">
        <v>157</v>
      </c>
      <c r="N203" t="s">
        <v>180</v>
      </c>
      <c r="O203" t="s">
        <v>275</v>
      </c>
      <c r="P203">
        <v>1.0908413590303167E-5</v>
      </c>
      <c r="Q203" t="s">
        <v>157</v>
      </c>
      <c r="S203" t="s">
        <v>185</v>
      </c>
      <c r="T203" t="s">
        <v>275</v>
      </c>
      <c r="U203">
        <v>1.0908413590303167E-5</v>
      </c>
      <c r="V203" t="s">
        <v>157</v>
      </c>
    </row>
    <row r="204" spans="9:22" x14ac:dyDescent="0.45">
      <c r="I204" t="s">
        <v>163</v>
      </c>
      <c r="J204" t="s">
        <v>276</v>
      </c>
      <c r="K204">
        <v>0</v>
      </c>
      <c r="L204" t="s">
        <v>157</v>
      </c>
      <c r="N204" t="s">
        <v>180</v>
      </c>
      <c r="O204" t="s">
        <v>276</v>
      </c>
      <c r="P204">
        <v>1.6544767165312836E-5</v>
      </c>
      <c r="Q204" t="s">
        <v>157</v>
      </c>
      <c r="S204" t="s">
        <v>185</v>
      </c>
      <c r="T204" t="s">
        <v>276</v>
      </c>
      <c r="U204">
        <v>1.6544767165312836E-5</v>
      </c>
      <c r="V204" t="s">
        <v>157</v>
      </c>
    </row>
    <row r="205" spans="9:22" x14ac:dyDescent="0.45">
      <c r="I205" t="s">
        <v>163</v>
      </c>
      <c r="J205" t="s">
        <v>277</v>
      </c>
      <c r="K205">
        <v>0</v>
      </c>
      <c r="L205" t="s">
        <v>157</v>
      </c>
      <c r="N205" t="s">
        <v>180</v>
      </c>
      <c r="O205" t="s">
        <v>277</v>
      </c>
      <c r="P205">
        <v>2.7021444961268732E-5</v>
      </c>
      <c r="Q205" t="s">
        <v>157</v>
      </c>
      <c r="S205" t="s">
        <v>185</v>
      </c>
      <c r="T205" t="s">
        <v>277</v>
      </c>
      <c r="U205">
        <v>2.7021444961268732E-5</v>
      </c>
      <c r="V205" t="s">
        <v>157</v>
      </c>
    </row>
    <row r="206" spans="9:22" x14ac:dyDescent="0.45">
      <c r="I206" t="s">
        <v>163</v>
      </c>
      <c r="J206" t="s">
        <v>278</v>
      </c>
      <c r="K206">
        <v>1.3938359048195476E-4</v>
      </c>
      <c r="L206" t="s">
        <v>157</v>
      </c>
      <c r="N206" t="s">
        <v>180</v>
      </c>
      <c r="O206" t="s">
        <v>278</v>
      </c>
      <c r="P206">
        <v>3.3528318973853659E-5</v>
      </c>
      <c r="Q206" t="s">
        <v>157</v>
      </c>
      <c r="S206" t="s">
        <v>185</v>
      </c>
      <c r="T206" t="s">
        <v>278</v>
      </c>
      <c r="U206">
        <v>3.3528318973853659E-5</v>
      </c>
      <c r="V206" t="s">
        <v>157</v>
      </c>
    </row>
    <row r="207" spans="9:22" x14ac:dyDescent="0.45">
      <c r="I207" t="s">
        <v>163</v>
      </c>
      <c r="J207" t="s">
        <v>279</v>
      </c>
      <c r="K207">
        <v>2.4691651852046611E-4</v>
      </c>
      <c r="L207" t="s">
        <v>157</v>
      </c>
      <c r="N207" t="s">
        <v>180</v>
      </c>
      <c r="O207" t="s">
        <v>279</v>
      </c>
      <c r="P207">
        <v>3.6791501611249613E-6</v>
      </c>
      <c r="Q207" t="s">
        <v>157</v>
      </c>
      <c r="S207" t="s">
        <v>185</v>
      </c>
      <c r="T207" t="s">
        <v>279</v>
      </c>
      <c r="U207">
        <v>3.6791501611249613E-6</v>
      </c>
      <c r="V207" t="s">
        <v>157</v>
      </c>
    </row>
    <row r="208" spans="9:22" x14ac:dyDescent="0.45">
      <c r="I208" t="s">
        <v>163</v>
      </c>
      <c r="J208" t="s">
        <v>280</v>
      </c>
      <c r="K208">
        <v>3.266136185024866E-4</v>
      </c>
      <c r="L208" t="s">
        <v>157</v>
      </c>
      <c r="N208" t="s">
        <v>180</v>
      </c>
      <c r="O208" t="s">
        <v>280</v>
      </c>
      <c r="P208">
        <v>1.493868656495896E-4</v>
      </c>
      <c r="Q208" t="s">
        <v>157</v>
      </c>
      <c r="S208" t="s">
        <v>185</v>
      </c>
      <c r="T208" t="s">
        <v>280</v>
      </c>
      <c r="U208">
        <v>1.493868656495896E-4</v>
      </c>
      <c r="V208" t="s">
        <v>157</v>
      </c>
    </row>
    <row r="209" spans="9:22" x14ac:dyDescent="0.45">
      <c r="I209" t="s">
        <v>163</v>
      </c>
      <c r="J209" t="s">
        <v>281</v>
      </c>
      <c r="K209">
        <v>3.29135315747702E-4</v>
      </c>
      <c r="L209" t="s">
        <v>157</v>
      </c>
      <c r="N209" t="s">
        <v>180</v>
      </c>
      <c r="O209" t="s">
        <v>281</v>
      </c>
      <c r="P209">
        <v>2.2043047603592135E-4</v>
      </c>
      <c r="Q209" t="s">
        <v>157</v>
      </c>
      <c r="S209" t="s">
        <v>185</v>
      </c>
      <c r="T209" t="s">
        <v>281</v>
      </c>
      <c r="U209">
        <v>2.2043047603592135E-4</v>
      </c>
      <c r="V209" t="s">
        <v>157</v>
      </c>
    </row>
    <row r="210" spans="9:22" x14ac:dyDescent="0.45">
      <c r="I210" t="s">
        <v>163</v>
      </c>
      <c r="J210" t="s">
        <v>282</v>
      </c>
      <c r="K210">
        <v>3.4757466751343013E-4</v>
      </c>
      <c r="L210" t="s">
        <v>157</v>
      </c>
      <c r="N210" t="s">
        <v>180</v>
      </c>
      <c r="O210" t="s">
        <v>282</v>
      </c>
      <c r="P210">
        <v>2.0071471202792604E-4</v>
      </c>
      <c r="Q210" t="s">
        <v>157</v>
      </c>
      <c r="S210" t="s">
        <v>185</v>
      </c>
      <c r="T210" t="s">
        <v>282</v>
      </c>
      <c r="U210">
        <v>2.0071471202792604E-4</v>
      </c>
      <c r="V210" t="s">
        <v>157</v>
      </c>
    </row>
    <row r="211" spans="9:22" x14ac:dyDescent="0.45">
      <c r="I211" t="s">
        <v>163</v>
      </c>
      <c r="J211" t="s">
        <v>283</v>
      </c>
      <c r="K211">
        <v>3.2318126176957202E-4</v>
      </c>
      <c r="L211" t="s">
        <v>157</v>
      </c>
      <c r="N211" t="s">
        <v>180</v>
      </c>
      <c r="O211" t="s">
        <v>283</v>
      </c>
      <c r="P211">
        <v>1.4016063971594053E-4</v>
      </c>
      <c r="Q211" t="s">
        <v>157</v>
      </c>
      <c r="S211" t="s">
        <v>185</v>
      </c>
      <c r="T211" t="s">
        <v>283</v>
      </c>
      <c r="U211">
        <v>1.4016063971594053E-4</v>
      </c>
      <c r="V211" t="s">
        <v>157</v>
      </c>
    </row>
    <row r="212" spans="9:22" x14ac:dyDescent="0.45">
      <c r="I212" t="s">
        <v>163</v>
      </c>
      <c r="J212" t="s">
        <v>284</v>
      </c>
      <c r="K212">
        <v>3.0629798572433378E-4</v>
      </c>
      <c r="L212" t="s">
        <v>157</v>
      </c>
      <c r="N212" t="s">
        <v>180</v>
      </c>
      <c r="O212" t="s">
        <v>284</v>
      </c>
      <c r="P212">
        <v>1.1302117864108539E-4</v>
      </c>
      <c r="Q212" t="s">
        <v>157</v>
      </c>
      <c r="S212" t="s">
        <v>185</v>
      </c>
      <c r="T212" t="s">
        <v>284</v>
      </c>
      <c r="U212">
        <v>1.1302117864108539E-4</v>
      </c>
      <c r="V212" t="s">
        <v>157</v>
      </c>
    </row>
    <row r="213" spans="9:22" x14ac:dyDescent="0.45">
      <c r="I213" t="s">
        <v>163</v>
      </c>
      <c r="J213" t="s">
        <v>285</v>
      </c>
      <c r="K213">
        <v>2.9526304618474264E-4</v>
      </c>
      <c r="L213" t="s">
        <v>157</v>
      </c>
      <c r="N213" t="s">
        <v>180</v>
      </c>
      <c r="O213" t="s">
        <v>285</v>
      </c>
      <c r="P213">
        <v>9.046459663615596E-5</v>
      </c>
      <c r="Q213" t="s">
        <v>157</v>
      </c>
      <c r="S213" t="s">
        <v>185</v>
      </c>
      <c r="T213" t="s">
        <v>285</v>
      </c>
      <c r="U213">
        <v>9.046459663615596E-5</v>
      </c>
      <c r="V213" t="s">
        <v>157</v>
      </c>
    </row>
    <row r="214" spans="9:22" x14ac:dyDescent="0.45">
      <c r="I214" t="s">
        <v>163</v>
      </c>
      <c r="J214" t="s">
        <v>286</v>
      </c>
      <c r="K214">
        <v>3.1635267056238041E-4</v>
      </c>
      <c r="L214" t="s">
        <v>157</v>
      </c>
      <c r="N214" t="s">
        <v>180</v>
      </c>
      <c r="O214" t="s">
        <v>286</v>
      </c>
      <c r="P214">
        <v>8.396335897096833E-5</v>
      </c>
      <c r="Q214" t="s">
        <v>157</v>
      </c>
      <c r="S214" t="s">
        <v>185</v>
      </c>
      <c r="T214" t="s">
        <v>286</v>
      </c>
      <c r="U214">
        <v>8.396335897096833E-5</v>
      </c>
      <c r="V214" t="s">
        <v>157</v>
      </c>
    </row>
    <row r="215" spans="9:22" x14ac:dyDescent="0.45">
      <c r="I215" t="s">
        <v>163</v>
      </c>
      <c r="J215" t="s">
        <v>287</v>
      </c>
      <c r="K215">
        <v>3.054424090046618E-4</v>
      </c>
      <c r="L215" t="s">
        <v>157</v>
      </c>
      <c r="N215" t="s">
        <v>180</v>
      </c>
      <c r="O215" t="s">
        <v>287</v>
      </c>
      <c r="P215">
        <v>7.7559176737353953E-5</v>
      </c>
      <c r="Q215" t="s">
        <v>157</v>
      </c>
      <c r="S215" t="s">
        <v>185</v>
      </c>
      <c r="T215" t="s">
        <v>287</v>
      </c>
      <c r="U215">
        <v>7.7559176737353953E-5</v>
      </c>
      <c r="V215" t="s">
        <v>157</v>
      </c>
    </row>
    <row r="216" spans="9:22" x14ac:dyDescent="0.45">
      <c r="I216" t="s">
        <v>163</v>
      </c>
      <c r="J216" t="s">
        <v>288</v>
      </c>
      <c r="K216">
        <v>2.4124287442874441E-4</v>
      </c>
      <c r="L216" t="s">
        <v>157</v>
      </c>
      <c r="N216" t="s">
        <v>180</v>
      </c>
      <c r="O216" t="s">
        <v>288</v>
      </c>
      <c r="P216">
        <v>9.4008700118554072E-5</v>
      </c>
      <c r="Q216" t="s">
        <v>157</v>
      </c>
      <c r="S216" t="s">
        <v>185</v>
      </c>
      <c r="T216" t="s">
        <v>288</v>
      </c>
      <c r="U216">
        <v>9.4008700118554072E-5</v>
      </c>
      <c r="V216" t="s">
        <v>157</v>
      </c>
    </row>
    <row r="217" spans="9:22" x14ac:dyDescent="0.45">
      <c r="I217" t="s">
        <v>163</v>
      </c>
      <c r="J217" t="s">
        <v>289</v>
      </c>
      <c r="K217">
        <v>1.4033077688883295E-4</v>
      </c>
      <c r="L217" t="s">
        <v>157</v>
      </c>
      <c r="N217" t="s">
        <v>180</v>
      </c>
      <c r="O217" t="s">
        <v>289</v>
      </c>
      <c r="P217">
        <v>1.3711584682528231E-4</v>
      </c>
      <c r="Q217" t="s">
        <v>157</v>
      </c>
      <c r="S217" t="s">
        <v>185</v>
      </c>
      <c r="T217" t="s">
        <v>289</v>
      </c>
      <c r="U217">
        <v>1.3711584682528231E-4</v>
      </c>
      <c r="V217" t="s">
        <v>157</v>
      </c>
    </row>
    <row r="218" spans="9:22" x14ac:dyDescent="0.45">
      <c r="I218" t="s">
        <v>163</v>
      </c>
      <c r="J218" t="s">
        <v>290</v>
      </c>
      <c r="K218">
        <v>0</v>
      </c>
      <c r="L218" t="s">
        <v>157</v>
      </c>
      <c r="N218" t="s">
        <v>180</v>
      </c>
      <c r="O218" t="s">
        <v>290</v>
      </c>
      <c r="P218">
        <v>2.05283472812335E-4</v>
      </c>
      <c r="Q218" t="s">
        <v>157</v>
      </c>
      <c r="S218" t="s">
        <v>185</v>
      </c>
      <c r="T218" t="s">
        <v>290</v>
      </c>
      <c r="U218">
        <v>2.05283472812335E-4</v>
      </c>
      <c r="V218" t="s">
        <v>157</v>
      </c>
    </row>
    <row r="219" spans="9:22" x14ac:dyDescent="0.45">
      <c r="I219" t="s">
        <v>163</v>
      </c>
      <c r="J219" t="s">
        <v>291</v>
      </c>
      <c r="K219">
        <v>0</v>
      </c>
      <c r="L219" t="s">
        <v>157</v>
      </c>
      <c r="N219" t="s">
        <v>180</v>
      </c>
      <c r="O219" t="s">
        <v>291</v>
      </c>
      <c r="P219">
        <v>2.6869632237912097E-4</v>
      </c>
      <c r="Q219" t="s">
        <v>157</v>
      </c>
      <c r="S219" t="s">
        <v>185</v>
      </c>
      <c r="T219" t="s">
        <v>291</v>
      </c>
      <c r="U219">
        <v>2.6869632237912097E-4</v>
      </c>
      <c r="V219" t="s">
        <v>157</v>
      </c>
    </row>
    <row r="220" spans="9:22" x14ac:dyDescent="0.45">
      <c r="I220" t="s">
        <v>163</v>
      </c>
      <c r="J220" t="s">
        <v>292</v>
      </c>
      <c r="K220">
        <v>0</v>
      </c>
      <c r="L220" t="s">
        <v>157</v>
      </c>
      <c r="N220" t="s">
        <v>180</v>
      </c>
      <c r="O220" t="s">
        <v>292</v>
      </c>
      <c r="P220">
        <v>2.5287028213690697E-4</v>
      </c>
      <c r="Q220" t="s">
        <v>157</v>
      </c>
      <c r="S220" t="s">
        <v>185</v>
      </c>
      <c r="T220" t="s">
        <v>292</v>
      </c>
      <c r="U220">
        <v>2.5287028213690697E-4</v>
      </c>
      <c r="V220" t="s">
        <v>157</v>
      </c>
    </row>
    <row r="221" spans="9:22" x14ac:dyDescent="0.45">
      <c r="I221" t="s">
        <v>163</v>
      </c>
      <c r="J221" t="s">
        <v>293</v>
      </c>
      <c r="K221">
        <v>0</v>
      </c>
      <c r="L221" t="s">
        <v>157</v>
      </c>
      <c r="N221" t="s">
        <v>180</v>
      </c>
      <c r="O221" t="s">
        <v>293</v>
      </c>
      <c r="P221">
        <v>2.0972059001396438E-4</v>
      </c>
      <c r="Q221" t="s">
        <v>157</v>
      </c>
      <c r="S221" t="s">
        <v>185</v>
      </c>
      <c r="T221" t="s">
        <v>293</v>
      </c>
      <c r="U221">
        <v>2.0972059001396438E-4</v>
      </c>
      <c r="V221" t="s">
        <v>157</v>
      </c>
    </row>
    <row r="222" spans="9:22" x14ac:dyDescent="0.45">
      <c r="I222" t="s">
        <v>163</v>
      </c>
      <c r="J222" t="s">
        <v>294</v>
      </c>
      <c r="K222">
        <v>0</v>
      </c>
      <c r="L222" t="s">
        <v>157</v>
      </c>
      <c r="N222" t="s">
        <v>180</v>
      </c>
      <c r="O222" t="s">
        <v>294</v>
      </c>
      <c r="P222">
        <v>1.6019516191105457E-4</v>
      </c>
      <c r="Q222" t="s">
        <v>157</v>
      </c>
      <c r="S222" t="s">
        <v>185</v>
      </c>
      <c r="T222" t="s">
        <v>294</v>
      </c>
      <c r="U222">
        <v>1.6019516191105457E-4</v>
      </c>
      <c r="V222" t="s">
        <v>157</v>
      </c>
    </row>
    <row r="223" spans="9:22" x14ac:dyDescent="0.45">
      <c r="I223" t="s">
        <v>164</v>
      </c>
      <c r="J223" t="s">
        <v>156</v>
      </c>
      <c r="K223">
        <v>0.99357873580899347</v>
      </c>
      <c r="L223" t="s">
        <v>157</v>
      </c>
      <c r="N223" t="s">
        <v>181</v>
      </c>
      <c r="O223" t="s">
        <v>156</v>
      </c>
      <c r="P223">
        <v>0.87119560688250963</v>
      </c>
      <c r="Q223" t="s">
        <v>157</v>
      </c>
      <c r="S223" t="s">
        <v>186</v>
      </c>
      <c r="T223" t="s">
        <v>156</v>
      </c>
      <c r="U223">
        <v>0.87119560688250963</v>
      </c>
      <c r="V223" t="s">
        <v>157</v>
      </c>
    </row>
    <row r="224" spans="9:22" x14ac:dyDescent="0.45">
      <c r="I224" t="s">
        <v>164</v>
      </c>
      <c r="J224" t="s">
        <v>158</v>
      </c>
      <c r="K224">
        <v>0</v>
      </c>
      <c r="L224" t="s">
        <v>157</v>
      </c>
      <c r="N224" t="s">
        <v>181</v>
      </c>
      <c r="O224" t="s">
        <v>158</v>
      </c>
      <c r="P224">
        <v>4.0345203136034832E-2</v>
      </c>
      <c r="Q224" t="s">
        <v>157</v>
      </c>
      <c r="S224" t="s">
        <v>186</v>
      </c>
      <c r="T224" t="s">
        <v>158</v>
      </c>
      <c r="U224">
        <v>4.0345203136034832E-2</v>
      </c>
      <c r="V224" t="s">
        <v>157</v>
      </c>
    </row>
    <row r="225" spans="9:22" x14ac:dyDescent="0.45">
      <c r="I225" t="s">
        <v>164</v>
      </c>
      <c r="J225" t="s">
        <v>159</v>
      </c>
      <c r="K225">
        <v>0</v>
      </c>
      <c r="L225" t="s">
        <v>157</v>
      </c>
      <c r="N225" t="s">
        <v>181</v>
      </c>
      <c r="O225" t="s">
        <v>159</v>
      </c>
      <c r="P225">
        <v>3.2538009281011707E-2</v>
      </c>
      <c r="Q225" t="s">
        <v>157</v>
      </c>
      <c r="S225" t="s">
        <v>186</v>
      </c>
      <c r="T225" t="s">
        <v>159</v>
      </c>
      <c r="U225">
        <v>3.2538009281011707E-2</v>
      </c>
      <c r="V225" t="s">
        <v>157</v>
      </c>
    </row>
    <row r="226" spans="9:22" x14ac:dyDescent="0.45">
      <c r="I226" t="s">
        <v>164</v>
      </c>
      <c r="J226" t="s">
        <v>160</v>
      </c>
      <c r="K226">
        <v>0</v>
      </c>
      <c r="L226" t="s">
        <v>157</v>
      </c>
      <c r="N226" t="s">
        <v>181</v>
      </c>
      <c r="O226" t="s">
        <v>160</v>
      </c>
      <c r="P226">
        <v>2.7194075079576174E-2</v>
      </c>
      <c r="Q226" t="s">
        <v>157</v>
      </c>
      <c r="S226" t="s">
        <v>186</v>
      </c>
      <c r="T226" t="s">
        <v>160</v>
      </c>
      <c r="U226">
        <v>2.7194075079576174E-2</v>
      </c>
      <c r="V226" t="s">
        <v>157</v>
      </c>
    </row>
    <row r="227" spans="9:22" x14ac:dyDescent="0.45">
      <c r="I227" t="s">
        <v>164</v>
      </c>
      <c r="J227" t="s">
        <v>193</v>
      </c>
      <c r="K227">
        <v>0</v>
      </c>
      <c r="L227" t="s">
        <v>157</v>
      </c>
      <c r="N227" t="s">
        <v>181</v>
      </c>
      <c r="O227" t="s">
        <v>193</v>
      </c>
      <c r="P227">
        <v>2.4585882558547555E-2</v>
      </c>
      <c r="Q227" t="s">
        <v>157</v>
      </c>
      <c r="S227" t="s">
        <v>186</v>
      </c>
      <c r="T227" t="s">
        <v>193</v>
      </c>
      <c r="U227">
        <v>2.4585882558547555E-2</v>
      </c>
      <c r="V227" t="s">
        <v>157</v>
      </c>
    </row>
    <row r="228" spans="9:22" x14ac:dyDescent="0.45">
      <c r="I228" t="s">
        <v>164</v>
      </c>
      <c r="J228" t="s">
        <v>220</v>
      </c>
      <c r="K228">
        <v>0</v>
      </c>
      <c r="L228" t="s">
        <v>157</v>
      </c>
      <c r="N228" t="s">
        <v>181</v>
      </c>
      <c r="O228" t="s">
        <v>220</v>
      </c>
      <c r="P228">
        <v>1.922580719233433E-7</v>
      </c>
      <c r="Q228" t="s">
        <v>157</v>
      </c>
      <c r="S228" t="s">
        <v>186</v>
      </c>
      <c r="T228" t="s">
        <v>220</v>
      </c>
      <c r="U228">
        <v>1.922580719233433E-7</v>
      </c>
      <c r="V228" t="s">
        <v>157</v>
      </c>
    </row>
    <row r="229" spans="9:22" x14ac:dyDescent="0.45">
      <c r="I229" t="s">
        <v>164</v>
      </c>
      <c r="J229" t="s">
        <v>221</v>
      </c>
      <c r="K229">
        <v>0</v>
      </c>
      <c r="L229" t="s">
        <v>157</v>
      </c>
      <c r="N229" t="s">
        <v>181</v>
      </c>
      <c r="O229" t="s">
        <v>221</v>
      </c>
      <c r="P229">
        <v>3.5366286438117006E-6</v>
      </c>
      <c r="Q229" t="s">
        <v>157</v>
      </c>
      <c r="S229" t="s">
        <v>186</v>
      </c>
      <c r="T229" t="s">
        <v>221</v>
      </c>
      <c r="U229">
        <v>3.5366286438117006E-6</v>
      </c>
      <c r="V229" t="s">
        <v>157</v>
      </c>
    </row>
    <row r="230" spans="9:22" x14ac:dyDescent="0.45">
      <c r="I230" t="s">
        <v>164</v>
      </c>
      <c r="J230" t="s">
        <v>222</v>
      </c>
      <c r="K230">
        <v>0</v>
      </c>
      <c r="L230" t="s">
        <v>157</v>
      </c>
      <c r="N230" t="s">
        <v>181</v>
      </c>
      <c r="O230" t="s">
        <v>222</v>
      </c>
      <c r="P230">
        <v>3.9522573354741352E-7</v>
      </c>
      <c r="Q230" t="s">
        <v>157</v>
      </c>
      <c r="S230" t="s">
        <v>186</v>
      </c>
      <c r="T230" t="s">
        <v>222</v>
      </c>
      <c r="U230">
        <v>3.9522573354741352E-7</v>
      </c>
      <c r="V230" t="s">
        <v>157</v>
      </c>
    </row>
    <row r="231" spans="9:22" x14ac:dyDescent="0.45">
      <c r="I231" t="s">
        <v>164</v>
      </c>
      <c r="J231" t="s">
        <v>223</v>
      </c>
      <c r="K231">
        <v>0</v>
      </c>
      <c r="L231" t="s">
        <v>157</v>
      </c>
      <c r="N231" t="s">
        <v>181</v>
      </c>
      <c r="O231" t="s">
        <v>223</v>
      </c>
      <c r="P231">
        <v>0</v>
      </c>
      <c r="Q231" t="s">
        <v>157</v>
      </c>
      <c r="S231" t="s">
        <v>186</v>
      </c>
      <c r="T231" t="s">
        <v>223</v>
      </c>
      <c r="U231">
        <v>0</v>
      </c>
      <c r="V231" t="s">
        <v>157</v>
      </c>
    </row>
    <row r="232" spans="9:22" x14ac:dyDescent="0.45">
      <c r="I232" t="s">
        <v>164</v>
      </c>
      <c r="J232" t="s">
        <v>224</v>
      </c>
      <c r="K232">
        <v>0</v>
      </c>
      <c r="L232" t="s">
        <v>157</v>
      </c>
      <c r="N232" t="s">
        <v>181</v>
      </c>
      <c r="O232" t="s">
        <v>224</v>
      </c>
      <c r="P232">
        <v>2.5835349409250227E-10</v>
      </c>
      <c r="Q232" t="s">
        <v>157</v>
      </c>
      <c r="S232" t="s">
        <v>186</v>
      </c>
      <c r="T232" t="s">
        <v>224</v>
      </c>
      <c r="U232">
        <v>2.5835349409250227E-10</v>
      </c>
      <c r="V232" t="s">
        <v>157</v>
      </c>
    </row>
    <row r="233" spans="9:22" x14ac:dyDescent="0.45">
      <c r="I233" t="s">
        <v>164</v>
      </c>
      <c r="J233" t="s">
        <v>225</v>
      </c>
      <c r="K233">
        <v>0</v>
      </c>
      <c r="L233" t="s">
        <v>157</v>
      </c>
      <c r="N233" t="s">
        <v>181</v>
      </c>
      <c r="O233" t="s">
        <v>225</v>
      </c>
      <c r="P233">
        <v>6.5225564120572476E-9</v>
      </c>
      <c r="Q233" t="s">
        <v>157</v>
      </c>
      <c r="S233" t="s">
        <v>186</v>
      </c>
      <c r="T233" t="s">
        <v>225</v>
      </c>
      <c r="U233">
        <v>6.5225564120572476E-9</v>
      </c>
      <c r="V233" t="s">
        <v>157</v>
      </c>
    </row>
    <row r="234" spans="9:22" x14ac:dyDescent="0.45">
      <c r="I234" t="s">
        <v>164</v>
      </c>
      <c r="J234" t="s">
        <v>226</v>
      </c>
      <c r="K234">
        <v>0</v>
      </c>
      <c r="L234" t="s">
        <v>157</v>
      </c>
      <c r="N234" t="s">
        <v>181</v>
      </c>
      <c r="O234" t="s">
        <v>226</v>
      </c>
      <c r="P234">
        <v>5.5368530001912926E-9</v>
      </c>
      <c r="Q234" t="s">
        <v>157</v>
      </c>
      <c r="S234" t="s">
        <v>186</v>
      </c>
      <c r="T234" t="s">
        <v>226</v>
      </c>
      <c r="U234">
        <v>5.5368530001912926E-9</v>
      </c>
      <c r="V234" t="s">
        <v>157</v>
      </c>
    </row>
    <row r="235" spans="9:22" x14ac:dyDescent="0.45">
      <c r="I235" t="s">
        <v>164</v>
      </c>
      <c r="J235" t="s">
        <v>227</v>
      </c>
      <c r="K235">
        <v>1.2292490223595644E-4</v>
      </c>
      <c r="L235" t="s">
        <v>157</v>
      </c>
      <c r="N235" t="s">
        <v>181</v>
      </c>
      <c r="O235" t="s">
        <v>227</v>
      </c>
      <c r="P235">
        <v>1.2306530716237775E-8</v>
      </c>
      <c r="Q235" t="s">
        <v>157</v>
      </c>
      <c r="S235" t="s">
        <v>186</v>
      </c>
      <c r="T235" t="s">
        <v>227</v>
      </c>
      <c r="U235">
        <v>1.2306530716237775E-8</v>
      </c>
      <c r="V235" t="s">
        <v>157</v>
      </c>
    </row>
    <row r="236" spans="9:22" x14ac:dyDescent="0.45">
      <c r="I236" t="s">
        <v>164</v>
      </c>
      <c r="J236" t="s">
        <v>228</v>
      </c>
      <c r="K236">
        <v>2.1601743261876591E-4</v>
      </c>
      <c r="L236" t="s">
        <v>157</v>
      </c>
      <c r="N236" t="s">
        <v>181</v>
      </c>
      <c r="O236" t="s">
        <v>228</v>
      </c>
      <c r="P236">
        <v>0</v>
      </c>
      <c r="Q236" t="s">
        <v>157</v>
      </c>
      <c r="S236" t="s">
        <v>186</v>
      </c>
      <c r="T236" t="s">
        <v>228</v>
      </c>
      <c r="U236">
        <v>0</v>
      </c>
      <c r="V236" t="s">
        <v>157</v>
      </c>
    </row>
    <row r="237" spans="9:22" x14ac:dyDescent="0.45">
      <c r="I237" t="s">
        <v>164</v>
      </c>
      <c r="J237" t="s">
        <v>229</v>
      </c>
      <c r="K237">
        <v>2.8860142323703991E-4</v>
      </c>
      <c r="L237" t="s">
        <v>157</v>
      </c>
      <c r="N237" t="s">
        <v>181</v>
      </c>
      <c r="O237" t="s">
        <v>229</v>
      </c>
      <c r="P237">
        <v>3.0589062120408381E-5</v>
      </c>
      <c r="Q237" t="s">
        <v>157</v>
      </c>
      <c r="S237" t="s">
        <v>186</v>
      </c>
      <c r="T237" t="s">
        <v>229</v>
      </c>
      <c r="U237">
        <v>3.0589062120408381E-5</v>
      </c>
      <c r="V237" t="s">
        <v>157</v>
      </c>
    </row>
    <row r="238" spans="9:22" x14ac:dyDescent="0.45">
      <c r="I238" t="s">
        <v>164</v>
      </c>
      <c r="J238" t="s">
        <v>230</v>
      </c>
      <c r="K238">
        <v>3.6417775549353804E-4</v>
      </c>
      <c r="L238" t="s">
        <v>157</v>
      </c>
      <c r="N238" t="s">
        <v>181</v>
      </c>
      <c r="O238" t="s">
        <v>230</v>
      </c>
      <c r="P238">
        <v>1.3914474546844618E-4</v>
      </c>
      <c r="Q238" t="s">
        <v>157</v>
      </c>
      <c r="S238" t="s">
        <v>186</v>
      </c>
      <c r="T238" t="s">
        <v>230</v>
      </c>
      <c r="U238">
        <v>1.3914474546844618E-4</v>
      </c>
      <c r="V238" t="s">
        <v>157</v>
      </c>
    </row>
    <row r="239" spans="9:22" x14ac:dyDescent="0.45">
      <c r="I239" t="s">
        <v>164</v>
      </c>
      <c r="J239" t="s">
        <v>231</v>
      </c>
      <c r="K239">
        <v>3.6976933980965713E-4</v>
      </c>
      <c r="L239" t="s">
        <v>157</v>
      </c>
      <c r="N239" t="s">
        <v>181</v>
      </c>
      <c r="O239" t="s">
        <v>231</v>
      </c>
      <c r="P239">
        <v>1.6868725220788459E-4</v>
      </c>
      <c r="Q239" t="s">
        <v>157</v>
      </c>
      <c r="S239" t="s">
        <v>186</v>
      </c>
      <c r="T239" t="s">
        <v>231</v>
      </c>
      <c r="U239">
        <v>1.6868725220788459E-4</v>
      </c>
      <c r="V239" t="s">
        <v>157</v>
      </c>
    </row>
    <row r="240" spans="9:22" x14ac:dyDescent="0.45">
      <c r="I240" t="s">
        <v>164</v>
      </c>
      <c r="J240" t="s">
        <v>232</v>
      </c>
      <c r="K240">
        <v>3.1366584738050591E-4</v>
      </c>
      <c r="L240" t="s">
        <v>157</v>
      </c>
      <c r="N240" t="s">
        <v>181</v>
      </c>
      <c r="O240" t="s">
        <v>232</v>
      </c>
      <c r="P240">
        <v>1.6596377361055581E-4</v>
      </c>
      <c r="Q240" t="s">
        <v>157</v>
      </c>
      <c r="S240" t="s">
        <v>186</v>
      </c>
      <c r="T240" t="s">
        <v>232</v>
      </c>
      <c r="U240">
        <v>1.6596377361055581E-4</v>
      </c>
      <c r="V240" t="s">
        <v>157</v>
      </c>
    </row>
    <row r="241" spans="9:22" x14ac:dyDescent="0.45">
      <c r="I241" t="s">
        <v>164</v>
      </c>
      <c r="J241" t="s">
        <v>233</v>
      </c>
      <c r="K241">
        <v>2.5073566976523603E-4</v>
      </c>
      <c r="L241" t="s">
        <v>157</v>
      </c>
      <c r="N241" t="s">
        <v>181</v>
      </c>
      <c r="O241" t="s">
        <v>233</v>
      </c>
      <c r="P241">
        <v>1.6548906819443542E-4</v>
      </c>
      <c r="Q241" t="s">
        <v>157</v>
      </c>
      <c r="S241" t="s">
        <v>186</v>
      </c>
      <c r="T241" t="s">
        <v>233</v>
      </c>
      <c r="U241">
        <v>1.6548906819443542E-4</v>
      </c>
      <c r="V241" t="s">
        <v>157</v>
      </c>
    </row>
    <row r="242" spans="9:22" x14ac:dyDescent="0.45">
      <c r="I242" t="s">
        <v>164</v>
      </c>
      <c r="J242" t="s">
        <v>234</v>
      </c>
      <c r="K242">
        <v>2.4855350589248246E-4</v>
      </c>
      <c r="L242" t="s">
        <v>157</v>
      </c>
      <c r="N242" t="s">
        <v>181</v>
      </c>
      <c r="O242" t="s">
        <v>234</v>
      </c>
      <c r="P242">
        <v>1.7131890628872237E-4</v>
      </c>
      <c r="Q242" t="s">
        <v>157</v>
      </c>
      <c r="S242" t="s">
        <v>186</v>
      </c>
      <c r="T242" t="s">
        <v>234</v>
      </c>
      <c r="U242">
        <v>1.7131890628872237E-4</v>
      </c>
      <c r="V242" t="s">
        <v>157</v>
      </c>
    </row>
    <row r="243" spans="9:22" x14ac:dyDescent="0.45">
      <c r="I243" t="s">
        <v>164</v>
      </c>
      <c r="J243" t="s">
        <v>235</v>
      </c>
      <c r="K243">
        <v>2.3183247278778945E-4</v>
      </c>
      <c r="L243" t="s">
        <v>157</v>
      </c>
      <c r="N243" t="s">
        <v>181</v>
      </c>
      <c r="O243" t="s">
        <v>235</v>
      </c>
      <c r="P243">
        <v>1.8298835772067137E-4</v>
      </c>
      <c r="Q243" t="s">
        <v>157</v>
      </c>
      <c r="S243" t="s">
        <v>186</v>
      </c>
      <c r="T243" t="s">
        <v>235</v>
      </c>
      <c r="U243">
        <v>1.8298835772067137E-4</v>
      </c>
      <c r="V243" t="s">
        <v>157</v>
      </c>
    </row>
    <row r="244" spans="9:22" x14ac:dyDescent="0.45">
      <c r="I244" t="s">
        <v>164</v>
      </c>
      <c r="J244" t="s">
        <v>236</v>
      </c>
      <c r="K244">
        <v>2.8506495710968585E-4</v>
      </c>
      <c r="L244" t="s">
        <v>157</v>
      </c>
      <c r="N244" t="s">
        <v>181</v>
      </c>
      <c r="O244" t="s">
        <v>236</v>
      </c>
      <c r="P244">
        <v>1.7125196533638714E-4</v>
      </c>
      <c r="Q244" t="s">
        <v>157</v>
      </c>
      <c r="S244" t="s">
        <v>186</v>
      </c>
      <c r="T244" t="s">
        <v>236</v>
      </c>
      <c r="U244">
        <v>1.7125196533638714E-4</v>
      </c>
      <c r="V244" t="s">
        <v>157</v>
      </c>
    </row>
    <row r="245" spans="9:22" x14ac:dyDescent="0.45">
      <c r="I245" t="s">
        <v>164</v>
      </c>
      <c r="J245" t="s">
        <v>237</v>
      </c>
      <c r="K245">
        <v>2.4702600423824324E-4</v>
      </c>
      <c r="L245" t="s">
        <v>157</v>
      </c>
      <c r="N245" t="s">
        <v>181</v>
      </c>
      <c r="O245" t="s">
        <v>237</v>
      </c>
      <c r="P245">
        <v>1.5237345673416614E-4</v>
      </c>
      <c r="Q245" t="s">
        <v>157</v>
      </c>
      <c r="S245" t="s">
        <v>186</v>
      </c>
      <c r="T245" t="s">
        <v>237</v>
      </c>
      <c r="U245">
        <v>1.5237345673416614E-4</v>
      </c>
      <c r="V245" t="s">
        <v>157</v>
      </c>
    </row>
    <row r="246" spans="9:22" x14ac:dyDescent="0.45">
      <c r="I246" t="s">
        <v>164</v>
      </c>
      <c r="J246" t="s">
        <v>238</v>
      </c>
      <c r="K246">
        <v>1.5543882280560177E-4</v>
      </c>
      <c r="L246" t="s">
        <v>157</v>
      </c>
      <c r="N246" t="s">
        <v>181</v>
      </c>
      <c r="O246" t="s">
        <v>238</v>
      </c>
      <c r="P246">
        <v>1.306951047706315E-4</v>
      </c>
      <c r="Q246" t="s">
        <v>157</v>
      </c>
      <c r="S246" t="s">
        <v>186</v>
      </c>
      <c r="T246" t="s">
        <v>238</v>
      </c>
      <c r="U246">
        <v>1.306951047706315E-4</v>
      </c>
      <c r="V246" t="s">
        <v>157</v>
      </c>
    </row>
    <row r="247" spans="9:22" x14ac:dyDescent="0.45">
      <c r="I247" t="s">
        <v>164</v>
      </c>
      <c r="J247" t="s">
        <v>239</v>
      </c>
      <c r="K247">
        <v>0</v>
      </c>
      <c r="L247" t="s">
        <v>157</v>
      </c>
      <c r="N247" t="s">
        <v>181</v>
      </c>
      <c r="O247" t="s">
        <v>239</v>
      </c>
      <c r="P247">
        <v>1.2068081485211618E-4</v>
      </c>
      <c r="Q247" t="s">
        <v>157</v>
      </c>
      <c r="S247" t="s">
        <v>186</v>
      </c>
      <c r="T247" t="s">
        <v>239</v>
      </c>
      <c r="U247">
        <v>1.2068081485211618E-4</v>
      </c>
      <c r="V247" t="s">
        <v>157</v>
      </c>
    </row>
    <row r="248" spans="9:22" x14ac:dyDescent="0.45">
      <c r="I248" t="s">
        <v>164</v>
      </c>
      <c r="J248" t="s">
        <v>240</v>
      </c>
      <c r="K248">
        <v>0</v>
      </c>
      <c r="L248" t="s">
        <v>157</v>
      </c>
      <c r="N248" t="s">
        <v>181</v>
      </c>
      <c r="O248" t="s">
        <v>240</v>
      </c>
      <c r="P248">
        <v>1.0632624461792642E-4</v>
      </c>
      <c r="Q248" t="s">
        <v>157</v>
      </c>
      <c r="S248" t="s">
        <v>186</v>
      </c>
      <c r="T248" t="s">
        <v>240</v>
      </c>
      <c r="U248">
        <v>1.0632624461792642E-4</v>
      </c>
      <c r="V248" t="s">
        <v>157</v>
      </c>
    </row>
    <row r="249" spans="9:22" x14ac:dyDescent="0.45">
      <c r="I249" t="s">
        <v>164</v>
      </c>
      <c r="J249" t="s">
        <v>241</v>
      </c>
      <c r="K249">
        <v>0</v>
      </c>
      <c r="L249" t="s">
        <v>157</v>
      </c>
      <c r="N249" t="s">
        <v>181</v>
      </c>
      <c r="O249" t="s">
        <v>241</v>
      </c>
      <c r="P249">
        <v>8.2302406031965766E-5</v>
      </c>
      <c r="Q249" t="s">
        <v>157</v>
      </c>
      <c r="S249" t="s">
        <v>186</v>
      </c>
      <c r="T249" t="s">
        <v>241</v>
      </c>
      <c r="U249">
        <v>8.2302406031965766E-5</v>
      </c>
      <c r="V249" t="s">
        <v>157</v>
      </c>
    </row>
    <row r="250" spans="9:22" x14ac:dyDescent="0.45">
      <c r="I250" t="s">
        <v>164</v>
      </c>
      <c r="J250" t="s">
        <v>242</v>
      </c>
      <c r="K250">
        <v>0</v>
      </c>
      <c r="L250" t="s">
        <v>157</v>
      </c>
      <c r="N250" t="s">
        <v>181</v>
      </c>
      <c r="O250" t="s">
        <v>242</v>
      </c>
      <c r="P250">
        <v>5.7739325372084179E-5</v>
      </c>
      <c r="Q250" t="s">
        <v>157</v>
      </c>
      <c r="S250" t="s">
        <v>186</v>
      </c>
      <c r="T250" t="s">
        <v>242</v>
      </c>
      <c r="U250">
        <v>5.7739325372084179E-5</v>
      </c>
      <c r="V250" t="s">
        <v>157</v>
      </c>
    </row>
    <row r="251" spans="9:22" x14ac:dyDescent="0.45">
      <c r="I251" t="s">
        <v>164</v>
      </c>
      <c r="J251" t="s">
        <v>243</v>
      </c>
      <c r="K251">
        <v>0</v>
      </c>
      <c r="L251" t="s">
        <v>157</v>
      </c>
      <c r="N251" t="s">
        <v>181</v>
      </c>
      <c r="O251" t="s">
        <v>243</v>
      </c>
      <c r="P251">
        <v>2.7544625896190466E-5</v>
      </c>
      <c r="Q251" t="s">
        <v>157</v>
      </c>
      <c r="S251" t="s">
        <v>186</v>
      </c>
      <c r="T251" t="s">
        <v>243</v>
      </c>
      <c r="U251">
        <v>2.7544625896190466E-5</v>
      </c>
      <c r="V251" t="s">
        <v>157</v>
      </c>
    </row>
    <row r="252" spans="9:22" x14ac:dyDescent="0.45">
      <c r="I252" t="s">
        <v>164</v>
      </c>
      <c r="J252" t="s">
        <v>271</v>
      </c>
      <c r="K252">
        <v>0</v>
      </c>
      <c r="L252" t="s">
        <v>157</v>
      </c>
      <c r="N252" t="s">
        <v>181</v>
      </c>
      <c r="O252" t="s">
        <v>271</v>
      </c>
      <c r="P252">
        <v>4.434133049291489E-6</v>
      </c>
      <c r="Q252" t="s">
        <v>157</v>
      </c>
      <c r="S252" t="s">
        <v>186</v>
      </c>
      <c r="T252" t="s">
        <v>271</v>
      </c>
      <c r="U252">
        <v>4.434133049291489E-6</v>
      </c>
      <c r="V252" t="s">
        <v>157</v>
      </c>
    </row>
    <row r="253" spans="9:22" x14ac:dyDescent="0.45">
      <c r="I253" t="s">
        <v>164</v>
      </c>
      <c r="J253" t="s">
        <v>272</v>
      </c>
      <c r="K253">
        <v>0</v>
      </c>
      <c r="L253" t="s">
        <v>157</v>
      </c>
      <c r="N253" t="s">
        <v>181</v>
      </c>
      <c r="O253" t="s">
        <v>272</v>
      </c>
      <c r="P253">
        <v>2.7293547809332325E-6</v>
      </c>
      <c r="Q253" t="s">
        <v>157</v>
      </c>
      <c r="S253" t="s">
        <v>186</v>
      </c>
      <c r="T253" t="s">
        <v>272</v>
      </c>
      <c r="U253">
        <v>2.7293547809332325E-6</v>
      </c>
      <c r="V253" t="s">
        <v>157</v>
      </c>
    </row>
    <row r="254" spans="9:22" x14ac:dyDescent="0.45">
      <c r="I254" t="s">
        <v>164</v>
      </c>
      <c r="J254" t="s">
        <v>273</v>
      </c>
      <c r="K254">
        <v>0</v>
      </c>
      <c r="L254" t="s">
        <v>157</v>
      </c>
      <c r="N254" t="s">
        <v>181</v>
      </c>
      <c r="O254" t="s">
        <v>273</v>
      </c>
      <c r="P254">
        <v>1.9714792556120138E-6</v>
      </c>
      <c r="Q254" t="s">
        <v>157</v>
      </c>
      <c r="S254" t="s">
        <v>186</v>
      </c>
      <c r="T254" t="s">
        <v>273</v>
      </c>
      <c r="U254">
        <v>1.9714792556120138E-6</v>
      </c>
      <c r="V254" t="s">
        <v>157</v>
      </c>
    </row>
    <row r="255" spans="9:22" x14ac:dyDescent="0.45">
      <c r="I255" t="s">
        <v>164</v>
      </c>
      <c r="J255" t="s">
        <v>274</v>
      </c>
      <c r="K255">
        <v>0</v>
      </c>
      <c r="L255" t="s">
        <v>157</v>
      </c>
      <c r="N255" t="s">
        <v>181</v>
      </c>
      <c r="O255" t="s">
        <v>274</v>
      </c>
      <c r="P255">
        <v>1.8393981476341539E-6</v>
      </c>
      <c r="Q255" t="s">
        <v>157</v>
      </c>
      <c r="S255" t="s">
        <v>186</v>
      </c>
      <c r="T255" t="s">
        <v>274</v>
      </c>
      <c r="U255">
        <v>1.8393981476341539E-6</v>
      </c>
      <c r="V255" t="s">
        <v>157</v>
      </c>
    </row>
    <row r="256" spans="9:22" x14ac:dyDescent="0.45">
      <c r="I256" t="s">
        <v>164</v>
      </c>
      <c r="J256" t="s">
        <v>275</v>
      </c>
      <c r="K256">
        <v>0</v>
      </c>
      <c r="L256" t="s">
        <v>157</v>
      </c>
      <c r="N256" t="s">
        <v>181</v>
      </c>
      <c r="O256" t="s">
        <v>275</v>
      </c>
      <c r="P256">
        <v>1.8512667410318215E-6</v>
      </c>
      <c r="Q256" t="s">
        <v>157</v>
      </c>
      <c r="S256" t="s">
        <v>186</v>
      </c>
      <c r="T256" t="s">
        <v>275</v>
      </c>
      <c r="U256">
        <v>1.8512667410318215E-6</v>
      </c>
      <c r="V256" t="s">
        <v>157</v>
      </c>
    </row>
    <row r="257" spans="9:22" x14ac:dyDescent="0.45">
      <c r="I257" t="s">
        <v>164</v>
      </c>
      <c r="J257" t="s">
        <v>276</v>
      </c>
      <c r="K257">
        <v>0</v>
      </c>
      <c r="L257" t="s">
        <v>157</v>
      </c>
      <c r="N257" t="s">
        <v>181</v>
      </c>
      <c r="O257" t="s">
        <v>276</v>
      </c>
      <c r="P257">
        <v>2.3558185056944959E-6</v>
      </c>
      <c r="Q257" t="s">
        <v>157</v>
      </c>
      <c r="S257" t="s">
        <v>186</v>
      </c>
      <c r="T257" t="s">
        <v>276</v>
      </c>
      <c r="U257">
        <v>2.3558185056944959E-6</v>
      </c>
      <c r="V257" t="s">
        <v>157</v>
      </c>
    </row>
    <row r="258" spans="9:22" x14ac:dyDescent="0.45">
      <c r="I258" t="s">
        <v>164</v>
      </c>
      <c r="J258" t="s">
        <v>277</v>
      </c>
      <c r="K258">
        <v>0</v>
      </c>
      <c r="L258" t="s">
        <v>157</v>
      </c>
      <c r="N258" t="s">
        <v>181</v>
      </c>
      <c r="O258" t="s">
        <v>277</v>
      </c>
      <c r="P258">
        <v>2.9592963937470544E-6</v>
      </c>
      <c r="Q258" t="s">
        <v>157</v>
      </c>
      <c r="S258" t="s">
        <v>186</v>
      </c>
      <c r="T258" t="s">
        <v>277</v>
      </c>
      <c r="U258">
        <v>2.9592963937470544E-6</v>
      </c>
      <c r="V258" t="s">
        <v>157</v>
      </c>
    </row>
    <row r="259" spans="9:22" x14ac:dyDescent="0.45">
      <c r="I259" t="s">
        <v>164</v>
      </c>
      <c r="J259" t="s">
        <v>278</v>
      </c>
      <c r="K259">
        <v>1.4962777331808206E-4</v>
      </c>
      <c r="L259" t="s">
        <v>157</v>
      </c>
      <c r="N259" t="s">
        <v>181</v>
      </c>
      <c r="O259" t="s">
        <v>278</v>
      </c>
      <c r="P259">
        <v>4.3342810038269523E-6</v>
      </c>
      <c r="Q259" t="s">
        <v>157</v>
      </c>
      <c r="S259" t="s">
        <v>186</v>
      </c>
      <c r="T259" t="s">
        <v>278</v>
      </c>
      <c r="U259">
        <v>4.3342810038269523E-6</v>
      </c>
      <c r="V259" t="s">
        <v>157</v>
      </c>
    </row>
    <row r="260" spans="9:22" x14ac:dyDescent="0.45">
      <c r="I260" t="s">
        <v>164</v>
      </c>
      <c r="J260" t="s">
        <v>279</v>
      </c>
      <c r="K260">
        <v>2.5788236720209926E-4</v>
      </c>
      <c r="L260" t="s">
        <v>157</v>
      </c>
      <c r="N260" t="s">
        <v>181</v>
      </c>
      <c r="O260" t="s">
        <v>279</v>
      </c>
      <c r="P260">
        <v>1.3860608883234071E-6</v>
      </c>
      <c r="Q260" t="s">
        <v>157</v>
      </c>
      <c r="S260" t="s">
        <v>186</v>
      </c>
      <c r="T260" t="s">
        <v>279</v>
      </c>
      <c r="U260">
        <v>1.3860608883234071E-6</v>
      </c>
      <c r="V260" t="s">
        <v>157</v>
      </c>
    </row>
    <row r="261" spans="9:22" x14ac:dyDescent="0.45">
      <c r="I261" t="s">
        <v>164</v>
      </c>
      <c r="J261" t="s">
        <v>280</v>
      </c>
      <c r="K261">
        <v>3.2419059004698656E-4</v>
      </c>
      <c r="L261" t="s">
        <v>157</v>
      </c>
      <c r="N261" t="s">
        <v>181</v>
      </c>
      <c r="O261" t="s">
        <v>280</v>
      </c>
      <c r="P261">
        <v>1.3924914051474609E-4</v>
      </c>
      <c r="Q261" t="s">
        <v>157</v>
      </c>
      <c r="S261" t="s">
        <v>186</v>
      </c>
      <c r="T261" t="s">
        <v>280</v>
      </c>
      <c r="U261">
        <v>1.3924914051474609E-4</v>
      </c>
      <c r="V261" t="s">
        <v>157</v>
      </c>
    </row>
    <row r="262" spans="9:22" x14ac:dyDescent="0.45">
      <c r="I262" t="s">
        <v>164</v>
      </c>
      <c r="J262" t="s">
        <v>281</v>
      </c>
      <c r="K262">
        <v>3.6539746050684538E-4</v>
      </c>
      <c r="L262" t="s">
        <v>157</v>
      </c>
      <c r="N262" t="s">
        <v>181</v>
      </c>
      <c r="O262" t="s">
        <v>281</v>
      </c>
      <c r="P262">
        <v>2.3942790873801619E-4</v>
      </c>
      <c r="Q262" t="s">
        <v>157</v>
      </c>
      <c r="S262" t="s">
        <v>186</v>
      </c>
      <c r="T262" t="s">
        <v>281</v>
      </c>
      <c r="U262">
        <v>2.3942790873801619E-4</v>
      </c>
      <c r="V262" t="s">
        <v>157</v>
      </c>
    </row>
    <row r="263" spans="9:22" x14ac:dyDescent="0.45">
      <c r="I263" t="s">
        <v>164</v>
      </c>
      <c r="J263" t="s">
        <v>282</v>
      </c>
      <c r="K263">
        <v>3.6818029400831928E-4</v>
      </c>
      <c r="L263" t="s">
        <v>157</v>
      </c>
      <c r="N263" t="s">
        <v>181</v>
      </c>
      <c r="O263" t="s">
        <v>282</v>
      </c>
      <c r="P263">
        <v>2.5871894907863823E-4</v>
      </c>
      <c r="Q263" t="s">
        <v>157</v>
      </c>
      <c r="S263" t="s">
        <v>186</v>
      </c>
      <c r="T263" t="s">
        <v>282</v>
      </c>
      <c r="U263">
        <v>2.5871894907863823E-4</v>
      </c>
      <c r="V263" t="s">
        <v>157</v>
      </c>
    </row>
    <row r="264" spans="9:22" x14ac:dyDescent="0.45">
      <c r="I264" t="s">
        <v>164</v>
      </c>
      <c r="J264" t="s">
        <v>283</v>
      </c>
      <c r="K264">
        <v>3.3075279045417132E-4</v>
      </c>
      <c r="L264" t="s">
        <v>157</v>
      </c>
      <c r="N264" t="s">
        <v>181</v>
      </c>
      <c r="O264" t="s">
        <v>283</v>
      </c>
      <c r="P264">
        <v>1.8562717804392217E-4</v>
      </c>
      <c r="Q264" t="s">
        <v>157</v>
      </c>
      <c r="S264" t="s">
        <v>186</v>
      </c>
      <c r="T264" t="s">
        <v>283</v>
      </c>
      <c r="U264">
        <v>1.8562717804392217E-4</v>
      </c>
      <c r="V264" t="s">
        <v>157</v>
      </c>
    </row>
    <row r="265" spans="9:22" x14ac:dyDescent="0.45">
      <c r="I265" t="s">
        <v>164</v>
      </c>
      <c r="J265" t="s">
        <v>284</v>
      </c>
      <c r="K265">
        <v>3.1055785755306072E-4</v>
      </c>
      <c r="L265" t="s">
        <v>157</v>
      </c>
      <c r="N265" t="s">
        <v>181</v>
      </c>
      <c r="O265" t="s">
        <v>284</v>
      </c>
      <c r="P265">
        <v>1.5176080201371279E-4</v>
      </c>
      <c r="Q265" t="s">
        <v>157</v>
      </c>
      <c r="S265" t="s">
        <v>186</v>
      </c>
      <c r="T265" t="s">
        <v>284</v>
      </c>
      <c r="U265">
        <v>1.5176080201371279E-4</v>
      </c>
      <c r="V265" t="s">
        <v>157</v>
      </c>
    </row>
    <row r="266" spans="9:22" x14ac:dyDescent="0.45">
      <c r="I266" t="s">
        <v>164</v>
      </c>
      <c r="J266" t="s">
        <v>285</v>
      </c>
      <c r="K266">
        <v>3.0334680376906722E-4</v>
      </c>
      <c r="L266" t="s">
        <v>157</v>
      </c>
      <c r="N266" t="s">
        <v>181</v>
      </c>
      <c r="O266" t="s">
        <v>285</v>
      </c>
      <c r="P266">
        <v>1.2263582813391667E-4</v>
      </c>
      <c r="Q266" t="s">
        <v>157</v>
      </c>
      <c r="S266" t="s">
        <v>186</v>
      </c>
      <c r="T266" t="s">
        <v>285</v>
      </c>
      <c r="U266">
        <v>1.2263582813391667E-4</v>
      </c>
      <c r="V266" t="s">
        <v>157</v>
      </c>
    </row>
    <row r="267" spans="9:22" x14ac:dyDescent="0.45">
      <c r="I267" t="s">
        <v>164</v>
      </c>
      <c r="J267" t="s">
        <v>286</v>
      </c>
      <c r="K267">
        <v>3.2088593392144704E-4</v>
      </c>
      <c r="L267" t="s">
        <v>157</v>
      </c>
      <c r="N267" t="s">
        <v>181</v>
      </c>
      <c r="O267" t="s">
        <v>286</v>
      </c>
      <c r="P267">
        <v>1.116806459481892E-4</v>
      </c>
      <c r="Q267" t="s">
        <v>157</v>
      </c>
      <c r="S267" t="s">
        <v>186</v>
      </c>
      <c r="T267" t="s">
        <v>286</v>
      </c>
      <c r="U267">
        <v>1.116806459481892E-4</v>
      </c>
      <c r="V267" t="s">
        <v>157</v>
      </c>
    </row>
    <row r="268" spans="9:22" x14ac:dyDescent="0.45">
      <c r="I268" t="s">
        <v>164</v>
      </c>
      <c r="J268" t="s">
        <v>287</v>
      </c>
      <c r="K268">
        <v>2.6180953621965261E-4</v>
      </c>
      <c r="L268" t="s">
        <v>157</v>
      </c>
      <c r="N268" t="s">
        <v>181</v>
      </c>
      <c r="O268" t="s">
        <v>287</v>
      </c>
      <c r="P268">
        <v>1.0864403850648621E-4</v>
      </c>
      <c r="Q268" t="s">
        <v>157</v>
      </c>
      <c r="S268" t="s">
        <v>186</v>
      </c>
      <c r="T268" t="s">
        <v>287</v>
      </c>
      <c r="U268">
        <v>1.0864403850648621E-4</v>
      </c>
      <c r="V268" t="s">
        <v>157</v>
      </c>
    </row>
    <row r="269" spans="9:22" x14ac:dyDescent="0.45">
      <c r="I269" t="s">
        <v>164</v>
      </c>
      <c r="J269" t="s">
        <v>288</v>
      </c>
      <c r="K269">
        <v>2.020882294440139E-4</v>
      </c>
      <c r="L269" t="s">
        <v>157</v>
      </c>
      <c r="N269" t="s">
        <v>181</v>
      </c>
      <c r="O269" t="s">
        <v>288</v>
      </c>
      <c r="P269">
        <v>1.4122711321389438E-4</v>
      </c>
      <c r="Q269" t="s">
        <v>157</v>
      </c>
      <c r="S269" t="s">
        <v>186</v>
      </c>
      <c r="T269" t="s">
        <v>288</v>
      </c>
      <c r="U269">
        <v>1.4122711321389438E-4</v>
      </c>
      <c r="V269" t="s">
        <v>157</v>
      </c>
    </row>
    <row r="270" spans="9:22" x14ac:dyDescent="0.45">
      <c r="I270" t="s">
        <v>164</v>
      </c>
      <c r="J270" t="s">
        <v>289</v>
      </c>
      <c r="K270">
        <v>1.3273642118768789E-4</v>
      </c>
      <c r="L270" t="s">
        <v>157</v>
      </c>
      <c r="N270" t="s">
        <v>181</v>
      </c>
      <c r="O270" t="s">
        <v>289</v>
      </c>
      <c r="P270">
        <v>1.8251991971375683E-4</v>
      </c>
      <c r="Q270" t="s">
        <v>157</v>
      </c>
      <c r="S270" t="s">
        <v>186</v>
      </c>
      <c r="T270" t="s">
        <v>289</v>
      </c>
      <c r="U270">
        <v>1.8251991971375683E-4</v>
      </c>
      <c r="V270" t="s">
        <v>157</v>
      </c>
    </row>
    <row r="271" spans="9:22" x14ac:dyDescent="0.45">
      <c r="I271" t="s">
        <v>164</v>
      </c>
      <c r="J271" t="s">
        <v>290</v>
      </c>
      <c r="K271">
        <v>0</v>
      </c>
      <c r="L271" t="s">
        <v>157</v>
      </c>
      <c r="N271" t="s">
        <v>181</v>
      </c>
      <c r="O271" t="s">
        <v>290</v>
      </c>
      <c r="P271">
        <v>1.9726205226303363E-4</v>
      </c>
      <c r="Q271" t="s">
        <v>157</v>
      </c>
      <c r="S271" t="s">
        <v>186</v>
      </c>
      <c r="T271" t="s">
        <v>290</v>
      </c>
      <c r="U271">
        <v>1.9726205226303363E-4</v>
      </c>
      <c r="V271" t="s">
        <v>157</v>
      </c>
    </row>
    <row r="272" spans="9:22" x14ac:dyDescent="0.45">
      <c r="I272" t="s">
        <v>164</v>
      </c>
      <c r="J272" t="s">
        <v>291</v>
      </c>
      <c r="K272">
        <v>0</v>
      </c>
      <c r="L272" t="s">
        <v>157</v>
      </c>
      <c r="N272" t="s">
        <v>181</v>
      </c>
      <c r="O272" t="s">
        <v>291</v>
      </c>
      <c r="P272">
        <v>1.8059234512070148E-4</v>
      </c>
      <c r="Q272" t="s">
        <v>157</v>
      </c>
      <c r="S272" t="s">
        <v>186</v>
      </c>
      <c r="T272" t="s">
        <v>291</v>
      </c>
      <c r="U272">
        <v>1.8059234512070148E-4</v>
      </c>
      <c r="V272" t="s">
        <v>157</v>
      </c>
    </row>
    <row r="273" spans="9:22" x14ac:dyDescent="0.45">
      <c r="I273" t="s">
        <v>164</v>
      </c>
      <c r="J273" t="s">
        <v>292</v>
      </c>
      <c r="K273">
        <v>0</v>
      </c>
      <c r="L273" t="s">
        <v>157</v>
      </c>
      <c r="N273" t="s">
        <v>181</v>
      </c>
      <c r="O273" t="s">
        <v>292</v>
      </c>
      <c r="P273">
        <v>1.1130074134005509E-4</v>
      </c>
      <c r="Q273" t="s">
        <v>157</v>
      </c>
      <c r="S273" t="s">
        <v>186</v>
      </c>
      <c r="T273" t="s">
        <v>292</v>
      </c>
      <c r="U273">
        <v>1.1130074134005509E-4</v>
      </c>
      <c r="V273" t="s">
        <v>157</v>
      </c>
    </row>
    <row r="274" spans="9:22" x14ac:dyDescent="0.45">
      <c r="I274" t="s">
        <v>164</v>
      </c>
      <c r="J274" t="s">
        <v>293</v>
      </c>
      <c r="K274">
        <v>0</v>
      </c>
      <c r="L274" t="s">
        <v>157</v>
      </c>
      <c r="N274" t="s">
        <v>181</v>
      </c>
      <c r="O274" t="s">
        <v>293</v>
      </c>
      <c r="P274">
        <v>6.9922777859723992E-5</v>
      </c>
      <c r="Q274" t="s">
        <v>157</v>
      </c>
      <c r="S274" t="s">
        <v>186</v>
      </c>
      <c r="T274" t="s">
        <v>293</v>
      </c>
      <c r="U274">
        <v>6.9922777859723992E-5</v>
      </c>
      <c r="V274" t="s">
        <v>157</v>
      </c>
    </row>
    <row r="275" spans="9:22" x14ac:dyDescent="0.45">
      <c r="I275" t="s">
        <v>164</v>
      </c>
      <c r="J275" t="s">
        <v>294</v>
      </c>
      <c r="K275">
        <v>0</v>
      </c>
      <c r="L275" t="s">
        <v>157</v>
      </c>
      <c r="N275" t="s">
        <v>181</v>
      </c>
      <c r="O275" t="s">
        <v>294</v>
      </c>
      <c r="P275">
        <v>3.9548687098243639E-5</v>
      </c>
      <c r="Q275" t="s">
        <v>157</v>
      </c>
      <c r="S275" t="s">
        <v>186</v>
      </c>
      <c r="T275" t="s">
        <v>294</v>
      </c>
      <c r="U275">
        <v>3.9548687098243639E-5</v>
      </c>
      <c r="V275" t="s">
        <v>157</v>
      </c>
    </row>
    <row r="276" spans="9:22" x14ac:dyDescent="0.45">
      <c r="I276" t="s">
        <v>165</v>
      </c>
      <c r="J276" t="s">
        <v>156</v>
      </c>
      <c r="K276">
        <v>0.99359900611142216</v>
      </c>
      <c r="L276" t="s">
        <v>157</v>
      </c>
    </row>
    <row r="277" spans="9:22" x14ac:dyDescent="0.45">
      <c r="I277" t="s">
        <v>165</v>
      </c>
      <c r="J277" t="s">
        <v>158</v>
      </c>
      <c r="K277">
        <v>0</v>
      </c>
      <c r="L277" t="s">
        <v>157</v>
      </c>
    </row>
    <row r="278" spans="9:22" x14ac:dyDescent="0.45">
      <c r="I278" t="s">
        <v>165</v>
      </c>
      <c r="J278" t="s">
        <v>159</v>
      </c>
      <c r="K278">
        <v>0</v>
      </c>
      <c r="L278" t="s">
        <v>157</v>
      </c>
    </row>
    <row r="279" spans="9:22" x14ac:dyDescent="0.45">
      <c r="I279" t="s">
        <v>165</v>
      </c>
      <c r="J279" t="s">
        <v>160</v>
      </c>
      <c r="K279">
        <v>0</v>
      </c>
      <c r="L279" t="s">
        <v>157</v>
      </c>
    </row>
    <row r="280" spans="9:22" x14ac:dyDescent="0.45">
      <c r="I280" t="s">
        <v>165</v>
      </c>
      <c r="J280" t="s">
        <v>193</v>
      </c>
      <c r="K280">
        <v>0</v>
      </c>
      <c r="L280" t="s">
        <v>157</v>
      </c>
    </row>
    <row r="281" spans="9:22" x14ac:dyDescent="0.45">
      <c r="I281" t="s">
        <v>165</v>
      </c>
      <c r="J281" t="s">
        <v>220</v>
      </c>
      <c r="K281">
        <v>0</v>
      </c>
      <c r="L281" t="s">
        <v>157</v>
      </c>
    </row>
    <row r="282" spans="9:22" x14ac:dyDescent="0.45">
      <c r="I282" t="s">
        <v>165</v>
      </c>
      <c r="J282" t="s">
        <v>221</v>
      </c>
      <c r="K282">
        <v>0</v>
      </c>
      <c r="L282" t="s">
        <v>157</v>
      </c>
    </row>
    <row r="283" spans="9:22" x14ac:dyDescent="0.45">
      <c r="I283" t="s">
        <v>165</v>
      </c>
      <c r="J283" t="s">
        <v>222</v>
      </c>
      <c r="K283">
        <v>0</v>
      </c>
      <c r="L283" t="s">
        <v>157</v>
      </c>
    </row>
    <row r="284" spans="9:22" x14ac:dyDescent="0.45">
      <c r="I284" t="s">
        <v>165</v>
      </c>
      <c r="J284" t="s">
        <v>223</v>
      </c>
      <c r="K284">
        <v>0</v>
      </c>
      <c r="L284" t="s">
        <v>157</v>
      </c>
    </row>
    <row r="285" spans="9:22" x14ac:dyDescent="0.45">
      <c r="I285" t="s">
        <v>165</v>
      </c>
      <c r="J285" t="s">
        <v>224</v>
      </c>
      <c r="K285">
        <v>0</v>
      </c>
      <c r="L285" t="s">
        <v>157</v>
      </c>
    </row>
    <row r="286" spans="9:22" x14ac:dyDescent="0.45">
      <c r="I286" t="s">
        <v>165</v>
      </c>
      <c r="J286" t="s">
        <v>225</v>
      </c>
      <c r="K286">
        <v>0</v>
      </c>
      <c r="L286" t="s">
        <v>157</v>
      </c>
    </row>
    <row r="287" spans="9:22" x14ac:dyDescent="0.45">
      <c r="I287" t="s">
        <v>165</v>
      </c>
      <c r="J287" t="s">
        <v>226</v>
      </c>
      <c r="K287">
        <v>0</v>
      </c>
      <c r="L287" t="s">
        <v>157</v>
      </c>
    </row>
    <row r="288" spans="9:22" x14ac:dyDescent="0.45">
      <c r="I288" t="s">
        <v>165</v>
      </c>
      <c r="J288" t="s">
        <v>227</v>
      </c>
      <c r="K288">
        <v>1.6397626739942222E-4</v>
      </c>
      <c r="L288" t="s">
        <v>157</v>
      </c>
    </row>
    <row r="289" spans="9:12" x14ac:dyDescent="0.45">
      <c r="I289" t="s">
        <v>165</v>
      </c>
      <c r="J289" t="s">
        <v>228</v>
      </c>
      <c r="K289">
        <v>2.7996311220804189E-4</v>
      </c>
      <c r="L289" t="s">
        <v>157</v>
      </c>
    </row>
    <row r="290" spans="9:12" x14ac:dyDescent="0.45">
      <c r="I290" t="s">
        <v>165</v>
      </c>
      <c r="J290" t="s">
        <v>229</v>
      </c>
      <c r="K290">
        <v>2.8944719343398131E-4</v>
      </c>
      <c r="L290" t="s">
        <v>157</v>
      </c>
    </row>
    <row r="291" spans="9:12" x14ac:dyDescent="0.45">
      <c r="I291" t="s">
        <v>165</v>
      </c>
      <c r="J291" t="s">
        <v>230</v>
      </c>
      <c r="K291">
        <v>3.3123289798889937E-4</v>
      </c>
      <c r="L291" t="s">
        <v>157</v>
      </c>
    </row>
    <row r="292" spans="9:12" x14ac:dyDescent="0.45">
      <c r="I292" t="s">
        <v>165</v>
      </c>
      <c r="J292" t="s">
        <v>231</v>
      </c>
      <c r="K292">
        <v>3.2432360138393669E-4</v>
      </c>
      <c r="L292" t="s">
        <v>157</v>
      </c>
    </row>
    <row r="293" spans="9:12" x14ac:dyDescent="0.45">
      <c r="I293" t="s">
        <v>165</v>
      </c>
      <c r="J293" t="s">
        <v>232</v>
      </c>
      <c r="K293">
        <v>3.0625601566092685E-4</v>
      </c>
      <c r="L293" t="s">
        <v>157</v>
      </c>
    </row>
    <row r="294" spans="9:12" x14ac:dyDescent="0.45">
      <c r="I294" t="s">
        <v>165</v>
      </c>
      <c r="J294" t="s">
        <v>233</v>
      </c>
      <c r="K294">
        <v>3.0633397260601726E-4</v>
      </c>
      <c r="L294" t="s">
        <v>157</v>
      </c>
    </row>
    <row r="295" spans="9:12" x14ac:dyDescent="0.45">
      <c r="I295" t="s">
        <v>165</v>
      </c>
      <c r="J295" t="s">
        <v>234</v>
      </c>
      <c r="K295">
        <v>2.969983176457557E-4</v>
      </c>
      <c r="L295" t="s">
        <v>157</v>
      </c>
    </row>
    <row r="296" spans="9:12" x14ac:dyDescent="0.45">
      <c r="I296" t="s">
        <v>165</v>
      </c>
      <c r="J296" t="s">
        <v>235</v>
      </c>
      <c r="K296">
        <v>2.9762898340425026E-4</v>
      </c>
      <c r="L296" t="s">
        <v>157</v>
      </c>
    </row>
    <row r="297" spans="9:12" x14ac:dyDescent="0.45">
      <c r="I297" t="s">
        <v>165</v>
      </c>
      <c r="J297" t="s">
        <v>236</v>
      </c>
      <c r="K297">
        <v>2.358020850066872E-4</v>
      </c>
      <c r="L297" t="s">
        <v>157</v>
      </c>
    </row>
    <row r="298" spans="9:12" x14ac:dyDescent="0.45">
      <c r="I298" t="s">
        <v>165</v>
      </c>
      <c r="J298" t="s">
        <v>237</v>
      </c>
      <c r="K298">
        <v>1.9175517576773877E-4</v>
      </c>
      <c r="L298" t="s">
        <v>157</v>
      </c>
    </row>
    <row r="299" spans="9:12" x14ac:dyDescent="0.45">
      <c r="I299" t="s">
        <v>165</v>
      </c>
      <c r="J299" t="s">
        <v>238</v>
      </c>
      <c r="K299">
        <v>1.2466314765907001E-4</v>
      </c>
      <c r="L299" t="s">
        <v>157</v>
      </c>
    </row>
    <row r="300" spans="9:12" x14ac:dyDescent="0.45">
      <c r="I300" t="s">
        <v>165</v>
      </c>
      <c r="J300" t="s">
        <v>239</v>
      </c>
      <c r="K300">
        <v>0</v>
      </c>
      <c r="L300" t="s">
        <v>157</v>
      </c>
    </row>
    <row r="301" spans="9:12" x14ac:dyDescent="0.45">
      <c r="I301" t="s">
        <v>165</v>
      </c>
      <c r="J301" t="s">
        <v>240</v>
      </c>
      <c r="K301">
        <v>0</v>
      </c>
      <c r="L301" t="s">
        <v>157</v>
      </c>
    </row>
    <row r="302" spans="9:12" x14ac:dyDescent="0.45">
      <c r="I302" t="s">
        <v>165</v>
      </c>
      <c r="J302" t="s">
        <v>241</v>
      </c>
      <c r="K302">
        <v>0</v>
      </c>
      <c r="L302" t="s">
        <v>157</v>
      </c>
    </row>
    <row r="303" spans="9:12" x14ac:dyDescent="0.45">
      <c r="I303" t="s">
        <v>165</v>
      </c>
      <c r="J303" t="s">
        <v>242</v>
      </c>
      <c r="K303">
        <v>0</v>
      </c>
      <c r="L303" t="s">
        <v>157</v>
      </c>
    </row>
    <row r="304" spans="9:12" x14ac:dyDescent="0.45">
      <c r="I304" t="s">
        <v>165</v>
      </c>
      <c r="J304" t="s">
        <v>243</v>
      </c>
      <c r="K304">
        <v>0</v>
      </c>
      <c r="L304" t="s">
        <v>157</v>
      </c>
    </row>
    <row r="305" spans="9:12" x14ac:dyDescent="0.45">
      <c r="I305" t="s">
        <v>165</v>
      </c>
      <c r="J305" t="s">
        <v>271</v>
      </c>
      <c r="K305">
        <v>0</v>
      </c>
      <c r="L305" t="s">
        <v>157</v>
      </c>
    </row>
    <row r="306" spans="9:12" x14ac:dyDescent="0.45">
      <c r="I306" t="s">
        <v>165</v>
      </c>
      <c r="J306" t="s">
        <v>272</v>
      </c>
      <c r="K306">
        <v>0</v>
      </c>
      <c r="L306" t="s">
        <v>157</v>
      </c>
    </row>
    <row r="307" spans="9:12" x14ac:dyDescent="0.45">
      <c r="I307" t="s">
        <v>165</v>
      </c>
      <c r="J307" t="s">
        <v>273</v>
      </c>
      <c r="K307">
        <v>0</v>
      </c>
      <c r="L307" t="s">
        <v>157</v>
      </c>
    </row>
    <row r="308" spans="9:12" x14ac:dyDescent="0.45">
      <c r="I308" t="s">
        <v>165</v>
      </c>
      <c r="J308" t="s">
        <v>274</v>
      </c>
      <c r="K308">
        <v>0</v>
      </c>
      <c r="L308" t="s">
        <v>157</v>
      </c>
    </row>
    <row r="309" spans="9:12" x14ac:dyDescent="0.45">
      <c r="I309" t="s">
        <v>165</v>
      </c>
      <c r="J309" t="s">
        <v>275</v>
      </c>
      <c r="K309">
        <v>0</v>
      </c>
      <c r="L309" t="s">
        <v>157</v>
      </c>
    </row>
    <row r="310" spans="9:12" x14ac:dyDescent="0.45">
      <c r="I310" t="s">
        <v>165</v>
      </c>
      <c r="J310" t="s">
        <v>276</v>
      </c>
      <c r="K310">
        <v>0</v>
      </c>
      <c r="L310" t="s">
        <v>157</v>
      </c>
    </row>
    <row r="311" spans="9:12" x14ac:dyDescent="0.45">
      <c r="I311" t="s">
        <v>165</v>
      </c>
      <c r="J311" t="s">
        <v>277</v>
      </c>
      <c r="K311">
        <v>0</v>
      </c>
      <c r="L311" t="s">
        <v>157</v>
      </c>
    </row>
    <row r="312" spans="9:12" x14ac:dyDescent="0.45">
      <c r="I312" t="s">
        <v>165</v>
      </c>
      <c r="J312" t="s">
        <v>278</v>
      </c>
      <c r="K312">
        <v>1.8809613150541713E-4</v>
      </c>
      <c r="L312" t="s">
        <v>157</v>
      </c>
    </row>
    <row r="313" spans="9:12" x14ac:dyDescent="0.45">
      <c r="I313" t="s">
        <v>165</v>
      </c>
      <c r="J313" t="s">
        <v>279</v>
      </c>
      <c r="K313">
        <v>2.840089751703642E-4</v>
      </c>
      <c r="L313" t="s">
        <v>157</v>
      </c>
    </row>
    <row r="314" spans="9:12" x14ac:dyDescent="0.45">
      <c r="I314" t="s">
        <v>165</v>
      </c>
      <c r="J314" t="s">
        <v>280</v>
      </c>
      <c r="K314">
        <v>3.3205501585068496E-4</v>
      </c>
      <c r="L314" t="s">
        <v>157</v>
      </c>
    </row>
    <row r="315" spans="9:12" x14ac:dyDescent="0.45">
      <c r="I315" t="s">
        <v>165</v>
      </c>
      <c r="J315" t="s">
        <v>281</v>
      </c>
      <c r="K315">
        <v>3.4873991348592604E-4</v>
      </c>
      <c r="L315" t="s">
        <v>157</v>
      </c>
    </row>
    <row r="316" spans="9:12" x14ac:dyDescent="0.45">
      <c r="I316" t="s">
        <v>165</v>
      </c>
      <c r="J316" t="s">
        <v>282</v>
      </c>
      <c r="K316">
        <v>3.352891523200645E-4</v>
      </c>
      <c r="L316" t="s">
        <v>157</v>
      </c>
    </row>
    <row r="317" spans="9:12" x14ac:dyDescent="0.45">
      <c r="I317" t="s">
        <v>165</v>
      </c>
      <c r="J317" t="s">
        <v>283</v>
      </c>
      <c r="K317">
        <v>3.1454122405104068E-4</v>
      </c>
      <c r="L317" t="s">
        <v>157</v>
      </c>
    </row>
    <row r="318" spans="9:12" x14ac:dyDescent="0.45">
      <c r="I318" t="s">
        <v>165</v>
      </c>
      <c r="J318" t="s">
        <v>284</v>
      </c>
      <c r="K318">
        <v>3.241955588995505E-4</v>
      </c>
      <c r="L318" t="s">
        <v>157</v>
      </c>
    </row>
    <row r="319" spans="9:12" x14ac:dyDescent="0.45">
      <c r="I319" t="s">
        <v>165</v>
      </c>
      <c r="J319" t="s">
        <v>285</v>
      </c>
      <c r="K319">
        <v>2.7622480150082588E-4</v>
      </c>
      <c r="L319" t="s">
        <v>157</v>
      </c>
    </row>
    <row r="320" spans="9:12" x14ac:dyDescent="0.45">
      <c r="I320" t="s">
        <v>165</v>
      </c>
      <c r="J320" t="s">
        <v>286</v>
      </c>
      <c r="K320">
        <v>2.7192794718615469E-4</v>
      </c>
      <c r="L320" t="s">
        <v>157</v>
      </c>
    </row>
    <row r="321" spans="9:12" x14ac:dyDescent="0.45">
      <c r="I321" t="s">
        <v>165</v>
      </c>
      <c r="J321" t="s">
        <v>287</v>
      </c>
      <c r="K321">
        <v>2.5133531489881979E-4</v>
      </c>
      <c r="L321" t="s">
        <v>157</v>
      </c>
    </row>
    <row r="322" spans="9:12" x14ac:dyDescent="0.45">
      <c r="I322" t="s">
        <v>165</v>
      </c>
      <c r="J322" t="s">
        <v>288</v>
      </c>
      <c r="K322">
        <v>1.9571995411499048E-4</v>
      </c>
      <c r="L322" t="s">
        <v>157</v>
      </c>
    </row>
    <row r="323" spans="9:12" x14ac:dyDescent="0.45">
      <c r="I323" t="s">
        <v>165</v>
      </c>
      <c r="J323" t="s">
        <v>289</v>
      </c>
      <c r="K323">
        <v>1.3047912943039139E-4</v>
      </c>
      <c r="L323" t="s">
        <v>157</v>
      </c>
    </row>
    <row r="324" spans="9:12" x14ac:dyDescent="0.45">
      <c r="I324" t="s">
        <v>165</v>
      </c>
      <c r="J324" t="s">
        <v>290</v>
      </c>
      <c r="K324">
        <v>0</v>
      </c>
      <c r="L324" t="s">
        <v>157</v>
      </c>
    </row>
    <row r="325" spans="9:12" x14ac:dyDescent="0.45">
      <c r="I325" t="s">
        <v>165</v>
      </c>
      <c r="J325" t="s">
        <v>291</v>
      </c>
      <c r="K325">
        <v>0</v>
      </c>
      <c r="L325" t="s">
        <v>157</v>
      </c>
    </row>
    <row r="326" spans="9:12" x14ac:dyDescent="0.45">
      <c r="I326" t="s">
        <v>165</v>
      </c>
      <c r="J326" t="s">
        <v>292</v>
      </c>
      <c r="K326">
        <v>0</v>
      </c>
      <c r="L326" t="s">
        <v>157</v>
      </c>
    </row>
    <row r="327" spans="9:12" x14ac:dyDescent="0.45">
      <c r="I327" t="s">
        <v>165</v>
      </c>
      <c r="J327" t="s">
        <v>293</v>
      </c>
      <c r="K327">
        <v>0</v>
      </c>
      <c r="L327" t="s">
        <v>157</v>
      </c>
    </row>
    <row r="328" spans="9:12" x14ac:dyDescent="0.45">
      <c r="I328" t="s">
        <v>165</v>
      </c>
      <c r="J328" t="s">
        <v>294</v>
      </c>
      <c r="K328">
        <v>0</v>
      </c>
      <c r="L328" t="s">
        <v>157</v>
      </c>
    </row>
    <row r="329" spans="9:12" x14ac:dyDescent="0.45">
      <c r="I329" t="s">
        <v>166</v>
      </c>
      <c r="J329" t="s">
        <v>156</v>
      </c>
      <c r="K329">
        <v>0.99346459225734618</v>
      </c>
      <c r="L329" t="s">
        <v>157</v>
      </c>
    </row>
    <row r="330" spans="9:12" x14ac:dyDescent="0.45">
      <c r="I330" t="s">
        <v>166</v>
      </c>
      <c r="J330" t="s">
        <v>158</v>
      </c>
      <c r="K330">
        <v>0</v>
      </c>
      <c r="L330" t="s">
        <v>157</v>
      </c>
    </row>
    <row r="331" spans="9:12" x14ac:dyDescent="0.45">
      <c r="I331" t="s">
        <v>166</v>
      </c>
      <c r="J331" t="s">
        <v>159</v>
      </c>
      <c r="K331">
        <v>0</v>
      </c>
      <c r="L331" t="s">
        <v>157</v>
      </c>
    </row>
    <row r="332" spans="9:12" x14ac:dyDescent="0.45">
      <c r="I332" t="s">
        <v>166</v>
      </c>
      <c r="J332" t="s">
        <v>160</v>
      </c>
      <c r="K332">
        <v>0</v>
      </c>
      <c r="L332" t="s">
        <v>157</v>
      </c>
    </row>
    <row r="333" spans="9:12" x14ac:dyDescent="0.45">
      <c r="I333" t="s">
        <v>166</v>
      </c>
      <c r="J333" t="s">
        <v>193</v>
      </c>
      <c r="K333">
        <v>0</v>
      </c>
      <c r="L333" t="s">
        <v>157</v>
      </c>
    </row>
    <row r="334" spans="9:12" x14ac:dyDescent="0.45">
      <c r="I334" t="s">
        <v>166</v>
      </c>
      <c r="J334" t="s">
        <v>220</v>
      </c>
      <c r="K334">
        <v>0</v>
      </c>
      <c r="L334" t="s">
        <v>157</v>
      </c>
    </row>
    <row r="335" spans="9:12" x14ac:dyDescent="0.45">
      <c r="I335" t="s">
        <v>166</v>
      </c>
      <c r="J335" t="s">
        <v>221</v>
      </c>
      <c r="K335">
        <v>0</v>
      </c>
      <c r="L335" t="s">
        <v>157</v>
      </c>
    </row>
    <row r="336" spans="9:12" x14ac:dyDescent="0.45">
      <c r="I336" t="s">
        <v>166</v>
      </c>
      <c r="J336" t="s">
        <v>222</v>
      </c>
      <c r="K336">
        <v>0</v>
      </c>
      <c r="L336" t="s">
        <v>157</v>
      </c>
    </row>
    <row r="337" spans="9:12" x14ac:dyDescent="0.45">
      <c r="I337" t="s">
        <v>166</v>
      </c>
      <c r="J337" t="s">
        <v>223</v>
      </c>
      <c r="K337">
        <v>0</v>
      </c>
      <c r="L337" t="s">
        <v>157</v>
      </c>
    </row>
    <row r="338" spans="9:12" x14ac:dyDescent="0.45">
      <c r="I338" t="s">
        <v>166</v>
      </c>
      <c r="J338" t="s">
        <v>224</v>
      </c>
      <c r="K338">
        <v>0</v>
      </c>
      <c r="L338" t="s">
        <v>157</v>
      </c>
    </row>
    <row r="339" spans="9:12" x14ac:dyDescent="0.45">
      <c r="I339" t="s">
        <v>166</v>
      </c>
      <c r="J339" t="s">
        <v>225</v>
      </c>
      <c r="K339">
        <v>0</v>
      </c>
      <c r="L339" t="s">
        <v>157</v>
      </c>
    </row>
    <row r="340" spans="9:12" x14ac:dyDescent="0.45">
      <c r="I340" t="s">
        <v>166</v>
      </c>
      <c r="J340" t="s">
        <v>226</v>
      </c>
      <c r="K340">
        <v>0</v>
      </c>
      <c r="L340" t="s">
        <v>157</v>
      </c>
    </row>
    <row r="341" spans="9:12" x14ac:dyDescent="0.45">
      <c r="I341" t="s">
        <v>166</v>
      </c>
      <c r="J341" t="s">
        <v>227</v>
      </c>
      <c r="K341">
        <v>1.734958851152124E-4</v>
      </c>
      <c r="L341" t="s">
        <v>157</v>
      </c>
    </row>
    <row r="342" spans="9:12" x14ac:dyDescent="0.45">
      <c r="I342" t="s">
        <v>166</v>
      </c>
      <c r="J342" t="s">
        <v>228</v>
      </c>
      <c r="K342">
        <v>3.044934944749429E-4</v>
      </c>
      <c r="L342" t="s">
        <v>157</v>
      </c>
    </row>
    <row r="343" spans="9:12" x14ac:dyDescent="0.45">
      <c r="I343" t="s">
        <v>166</v>
      </c>
      <c r="J343" t="s">
        <v>229</v>
      </c>
      <c r="K343">
        <v>2.7026939999134659E-4</v>
      </c>
      <c r="L343" t="s">
        <v>157</v>
      </c>
    </row>
    <row r="344" spans="9:12" x14ac:dyDescent="0.45">
      <c r="I344" t="s">
        <v>166</v>
      </c>
      <c r="J344" t="s">
        <v>230</v>
      </c>
      <c r="K344">
        <v>3.8582204994016558E-4</v>
      </c>
      <c r="L344" t="s">
        <v>157</v>
      </c>
    </row>
    <row r="345" spans="9:12" x14ac:dyDescent="0.45">
      <c r="I345" t="s">
        <v>166</v>
      </c>
      <c r="J345" t="s">
        <v>231</v>
      </c>
      <c r="K345">
        <v>3.8091932441813641E-4</v>
      </c>
      <c r="L345" t="s">
        <v>157</v>
      </c>
    </row>
    <row r="346" spans="9:12" x14ac:dyDescent="0.45">
      <c r="I346" t="s">
        <v>166</v>
      </c>
      <c r="J346" t="s">
        <v>232</v>
      </c>
      <c r="K346">
        <v>3.2137745652478827E-4</v>
      </c>
      <c r="L346" t="s">
        <v>157</v>
      </c>
    </row>
    <row r="347" spans="9:12" x14ac:dyDescent="0.45">
      <c r="I347" t="s">
        <v>166</v>
      </c>
      <c r="J347" t="s">
        <v>233</v>
      </c>
      <c r="K347">
        <v>2.5439086882844567E-4</v>
      </c>
      <c r="L347" t="s">
        <v>157</v>
      </c>
    </row>
    <row r="348" spans="9:12" x14ac:dyDescent="0.45">
      <c r="I348" t="s">
        <v>166</v>
      </c>
      <c r="J348" t="s">
        <v>234</v>
      </c>
      <c r="K348">
        <v>2.6207255981459775E-4</v>
      </c>
      <c r="L348" t="s">
        <v>157</v>
      </c>
    </row>
    <row r="349" spans="9:12" x14ac:dyDescent="0.45">
      <c r="I349" t="s">
        <v>166</v>
      </c>
      <c r="J349" t="s">
        <v>235</v>
      </c>
      <c r="K349">
        <v>2.7050818172847296E-4</v>
      </c>
      <c r="L349" t="s">
        <v>157</v>
      </c>
    </row>
    <row r="350" spans="9:12" x14ac:dyDescent="0.45">
      <c r="I350" t="s">
        <v>166</v>
      </c>
      <c r="J350" t="s">
        <v>236</v>
      </c>
      <c r="K350">
        <v>2.0977637604693581E-4</v>
      </c>
      <c r="L350" t="s">
        <v>157</v>
      </c>
    </row>
    <row r="351" spans="9:12" x14ac:dyDescent="0.45">
      <c r="I351" t="s">
        <v>166</v>
      </c>
      <c r="J351" t="s">
        <v>237</v>
      </c>
      <c r="K351">
        <v>1.6675773698063948E-4</v>
      </c>
      <c r="L351" t="s">
        <v>157</v>
      </c>
    </row>
    <row r="352" spans="9:12" x14ac:dyDescent="0.45">
      <c r="I352" t="s">
        <v>166</v>
      </c>
      <c r="J352" t="s">
        <v>238</v>
      </c>
      <c r="K352">
        <v>1.0755831928517014E-4</v>
      </c>
      <c r="L352" t="s">
        <v>157</v>
      </c>
    </row>
    <row r="353" spans="9:12" x14ac:dyDescent="0.45">
      <c r="I353" t="s">
        <v>166</v>
      </c>
      <c r="J353" t="s">
        <v>239</v>
      </c>
      <c r="K353">
        <v>0</v>
      </c>
      <c r="L353" t="s">
        <v>157</v>
      </c>
    </row>
    <row r="354" spans="9:12" x14ac:dyDescent="0.45">
      <c r="I354" t="s">
        <v>166</v>
      </c>
      <c r="J354" t="s">
        <v>240</v>
      </c>
      <c r="K354">
        <v>0</v>
      </c>
      <c r="L354" t="s">
        <v>157</v>
      </c>
    </row>
    <row r="355" spans="9:12" x14ac:dyDescent="0.45">
      <c r="I355" t="s">
        <v>166</v>
      </c>
      <c r="J355" t="s">
        <v>241</v>
      </c>
      <c r="K355">
        <v>0</v>
      </c>
      <c r="L355" t="s">
        <v>157</v>
      </c>
    </row>
    <row r="356" spans="9:12" x14ac:dyDescent="0.45">
      <c r="I356" t="s">
        <v>166</v>
      </c>
      <c r="J356" t="s">
        <v>242</v>
      </c>
      <c r="K356">
        <v>0</v>
      </c>
      <c r="L356" t="s">
        <v>157</v>
      </c>
    </row>
    <row r="357" spans="9:12" x14ac:dyDescent="0.45">
      <c r="I357" t="s">
        <v>166</v>
      </c>
      <c r="J357" t="s">
        <v>243</v>
      </c>
      <c r="K357">
        <v>0</v>
      </c>
      <c r="L357" t="s">
        <v>157</v>
      </c>
    </row>
    <row r="358" spans="9:12" x14ac:dyDescent="0.45">
      <c r="I358" t="s">
        <v>166</v>
      </c>
      <c r="J358" t="s">
        <v>271</v>
      </c>
      <c r="K358">
        <v>0</v>
      </c>
      <c r="L358" t="s">
        <v>157</v>
      </c>
    </row>
    <row r="359" spans="9:12" x14ac:dyDescent="0.45">
      <c r="I359" t="s">
        <v>166</v>
      </c>
      <c r="J359" t="s">
        <v>272</v>
      </c>
      <c r="K359">
        <v>0</v>
      </c>
      <c r="L359" t="s">
        <v>157</v>
      </c>
    </row>
    <row r="360" spans="9:12" x14ac:dyDescent="0.45">
      <c r="I360" t="s">
        <v>166</v>
      </c>
      <c r="J360" t="s">
        <v>273</v>
      </c>
      <c r="K360">
        <v>0</v>
      </c>
      <c r="L360" t="s">
        <v>157</v>
      </c>
    </row>
    <row r="361" spans="9:12" x14ac:dyDescent="0.45">
      <c r="I361" t="s">
        <v>166</v>
      </c>
      <c r="J361" t="s">
        <v>274</v>
      </c>
      <c r="K361">
        <v>0</v>
      </c>
      <c r="L361" t="s">
        <v>157</v>
      </c>
    </row>
    <row r="362" spans="9:12" x14ac:dyDescent="0.45">
      <c r="I362" t="s">
        <v>166</v>
      </c>
      <c r="J362" t="s">
        <v>275</v>
      </c>
      <c r="K362">
        <v>0</v>
      </c>
      <c r="L362" t="s">
        <v>157</v>
      </c>
    </row>
    <row r="363" spans="9:12" x14ac:dyDescent="0.45">
      <c r="I363" t="s">
        <v>166</v>
      </c>
      <c r="J363" t="s">
        <v>276</v>
      </c>
      <c r="K363">
        <v>0</v>
      </c>
      <c r="L363" t="s">
        <v>157</v>
      </c>
    </row>
    <row r="364" spans="9:12" x14ac:dyDescent="0.45">
      <c r="I364" t="s">
        <v>166</v>
      </c>
      <c r="J364" t="s">
        <v>277</v>
      </c>
      <c r="K364">
        <v>0</v>
      </c>
      <c r="L364" t="s">
        <v>157</v>
      </c>
    </row>
    <row r="365" spans="9:12" x14ac:dyDescent="0.45">
      <c r="I365" t="s">
        <v>166</v>
      </c>
      <c r="J365" t="s">
        <v>278</v>
      </c>
      <c r="K365">
        <v>2.2122331967964099E-4</v>
      </c>
      <c r="L365" t="s">
        <v>157</v>
      </c>
    </row>
    <row r="366" spans="9:12" x14ac:dyDescent="0.45">
      <c r="I366" t="s">
        <v>166</v>
      </c>
      <c r="J366" t="s">
        <v>279</v>
      </c>
      <c r="K366">
        <v>3.3496059526239534E-4</v>
      </c>
      <c r="L366" t="s">
        <v>157</v>
      </c>
    </row>
    <row r="367" spans="9:12" x14ac:dyDescent="0.45">
      <c r="I367" t="s">
        <v>166</v>
      </c>
      <c r="J367" t="s">
        <v>280</v>
      </c>
      <c r="K367">
        <v>3.6575895535804651E-4</v>
      </c>
      <c r="L367" t="s">
        <v>157</v>
      </c>
    </row>
    <row r="368" spans="9:12" x14ac:dyDescent="0.45">
      <c r="I368" t="s">
        <v>166</v>
      </c>
      <c r="J368" t="s">
        <v>281</v>
      </c>
      <c r="K368">
        <v>3.7408669639767182E-4</v>
      </c>
      <c r="L368" t="s">
        <v>157</v>
      </c>
    </row>
    <row r="369" spans="9:12" x14ac:dyDescent="0.45">
      <c r="I369" t="s">
        <v>166</v>
      </c>
      <c r="J369" t="s">
        <v>282</v>
      </c>
      <c r="K369">
        <v>3.687797110254827E-4</v>
      </c>
      <c r="L369" t="s">
        <v>157</v>
      </c>
    </row>
    <row r="370" spans="9:12" x14ac:dyDescent="0.45">
      <c r="I370" t="s">
        <v>166</v>
      </c>
      <c r="J370" t="s">
        <v>283</v>
      </c>
      <c r="K370">
        <v>3.3403012657740603E-4</v>
      </c>
      <c r="L370" t="s">
        <v>157</v>
      </c>
    </row>
    <row r="371" spans="9:12" x14ac:dyDescent="0.45">
      <c r="I371" t="s">
        <v>166</v>
      </c>
      <c r="J371" t="s">
        <v>284</v>
      </c>
      <c r="K371">
        <v>3.4914860398843416E-4</v>
      </c>
      <c r="L371" t="s">
        <v>157</v>
      </c>
    </row>
    <row r="372" spans="9:12" x14ac:dyDescent="0.45">
      <c r="I372" t="s">
        <v>166</v>
      </c>
      <c r="J372" t="s">
        <v>285</v>
      </c>
      <c r="K372">
        <v>2.8208679999984206E-4</v>
      </c>
      <c r="L372" t="s">
        <v>157</v>
      </c>
    </row>
    <row r="373" spans="9:12" x14ac:dyDescent="0.45">
      <c r="I373" t="s">
        <v>166</v>
      </c>
      <c r="J373" t="s">
        <v>286</v>
      </c>
      <c r="K373">
        <v>2.5601867882177868E-4</v>
      </c>
      <c r="L373" t="s">
        <v>157</v>
      </c>
    </row>
    <row r="374" spans="9:12" x14ac:dyDescent="0.45">
      <c r="I374" t="s">
        <v>166</v>
      </c>
      <c r="J374" t="s">
        <v>287</v>
      </c>
      <c r="K374">
        <v>2.31039544216701E-4</v>
      </c>
      <c r="L374" t="s">
        <v>157</v>
      </c>
    </row>
    <row r="375" spans="9:12" x14ac:dyDescent="0.45">
      <c r="I375" t="s">
        <v>166</v>
      </c>
      <c r="J375" t="s">
        <v>288</v>
      </c>
      <c r="K375">
        <v>1.9346489279696699E-4</v>
      </c>
      <c r="L375" t="s">
        <v>157</v>
      </c>
    </row>
    <row r="376" spans="9:12" x14ac:dyDescent="0.45">
      <c r="I376" t="s">
        <v>166</v>
      </c>
      <c r="J376" t="s">
        <v>289</v>
      </c>
      <c r="K376">
        <v>1.1736816538243236E-4</v>
      </c>
      <c r="L376" t="s">
        <v>157</v>
      </c>
    </row>
    <row r="377" spans="9:12" x14ac:dyDescent="0.45">
      <c r="I377" t="s">
        <v>166</v>
      </c>
      <c r="J377" t="s">
        <v>290</v>
      </c>
      <c r="K377">
        <v>0</v>
      </c>
      <c r="L377" t="s">
        <v>157</v>
      </c>
    </row>
    <row r="378" spans="9:12" x14ac:dyDescent="0.45">
      <c r="I378" t="s">
        <v>166</v>
      </c>
      <c r="J378" t="s">
        <v>291</v>
      </c>
      <c r="K378">
        <v>0</v>
      </c>
      <c r="L378" t="s">
        <v>157</v>
      </c>
    </row>
    <row r="379" spans="9:12" x14ac:dyDescent="0.45">
      <c r="I379" t="s">
        <v>166</v>
      </c>
      <c r="J379" t="s">
        <v>292</v>
      </c>
      <c r="K379">
        <v>0</v>
      </c>
      <c r="L379" t="s">
        <v>157</v>
      </c>
    </row>
    <row r="380" spans="9:12" x14ac:dyDescent="0.45">
      <c r="I380" t="s">
        <v>166</v>
      </c>
      <c r="J380" t="s">
        <v>293</v>
      </c>
      <c r="K380">
        <v>0</v>
      </c>
      <c r="L380" t="s">
        <v>157</v>
      </c>
    </row>
    <row r="381" spans="9:12" x14ac:dyDescent="0.45">
      <c r="I381" t="s">
        <v>166</v>
      </c>
      <c r="J381" t="s">
        <v>294</v>
      </c>
      <c r="K381">
        <v>0</v>
      </c>
      <c r="L381" t="s">
        <v>157</v>
      </c>
    </row>
    <row r="382" spans="9:12" x14ac:dyDescent="0.45">
      <c r="I382" t="s">
        <v>167</v>
      </c>
      <c r="J382" t="s">
        <v>156</v>
      </c>
      <c r="K382">
        <v>0.99320468521349936</v>
      </c>
      <c r="L382" t="s">
        <v>157</v>
      </c>
    </row>
    <row r="383" spans="9:12" x14ac:dyDescent="0.45">
      <c r="I383" t="s">
        <v>167</v>
      </c>
      <c r="J383" t="s">
        <v>158</v>
      </c>
      <c r="K383">
        <v>0</v>
      </c>
      <c r="L383" t="s">
        <v>157</v>
      </c>
    </row>
    <row r="384" spans="9:12" x14ac:dyDescent="0.45">
      <c r="I384" t="s">
        <v>167</v>
      </c>
      <c r="J384" t="s">
        <v>159</v>
      </c>
      <c r="K384">
        <v>0</v>
      </c>
      <c r="L384" t="s">
        <v>157</v>
      </c>
    </row>
    <row r="385" spans="9:12" x14ac:dyDescent="0.45">
      <c r="I385" t="s">
        <v>167</v>
      </c>
      <c r="J385" t="s">
        <v>160</v>
      </c>
      <c r="K385">
        <v>0</v>
      </c>
      <c r="L385" t="s">
        <v>157</v>
      </c>
    </row>
    <row r="386" spans="9:12" x14ac:dyDescent="0.45">
      <c r="I386" t="s">
        <v>167</v>
      </c>
      <c r="J386" t="s">
        <v>193</v>
      </c>
      <c r="K386">
        <v>0</v>
      </c>
      <c r="L386" t="s">
        <v>157</v>
      </c>
    </row>
    <row r="387" spans="9:12" x14ac:dyDescent="0.45">
      <c r="I387" t="s">
        <v>167</v>
      </c>
      <c r="J387" t="s">
        <v>220</v>
      </c>
      <c r="K387">
        <v>0</v>
      </c>
      <c r="L387" t="s">
        <v>157</v>
      </c>
    </row>
    <row r="388" spans="9:12" x14ac:dyDescent="0.45">
      <c r="I388" t="s">
        <v>167</v>
      </c>
      <c r="J388" t="s">
        <v>221</v>
      </c>
      <c r="K388">
        <v>0</v>
      </c>
      <c r="L388" t="s">
        <v>157</v>
      </c>
    </row>
    <row r="389" spans="9:12" x14ac:dyDescent="0.45">
      <c r="I389" t="s">
        <v>167</v>
      </c>
      <c r="J389" t="s">
        <v>222</v>
      </c>
      <c r="K389">
        <v>0</v>
      </c>
      <c r="L389" t="s">
        <v>157</v>
      </c>
    </row>
    <row r="390" spans="9:12" x14ac:dyDescent="0.45">
      <c r="I390" t="s">
        <v>167</v>
      </c>
      <c r="J390" t="s">
        <v>223</v>
      </c>
      <c r="K390">
        <v>0</v>
      </c>
      <c r="L390" t="s">
        <v>157</v>
      </c>
    </row>
    <row r="391" spans="9:12" x14ac:dyDescent="0.45">
      <c r="I391" t="s">
        <v>167</v>
      </c>
      <c r="J391" t="s">
        <v>224</v>
      </c>
      <c r="K391">
        <v>0</v>
      </c>
      <c r="L391" t="s">
        <v>157</v>
      </c>
    </row>
    <row r="392" spans="9:12" x14ac:dyDescent="0.45">
      <c r="I392" t="s">
        <v>167</v>
      </c>
      <c r="J392" t="s">
        <v>225</v>
      </c>
      <c r="K392">
        <v>0</v>
      </c>
      <c r="L392" t="s">
        <v>157</v>
      </c>
    </row>
    <row r="393" spans="9:12" x14ac:dyDescent="0.45">
      <c r="I393" t="s">
        <v>167</v>
      </c>
      <c r="J393" t="s">
        <v>226</v>
      </c>
      <c r="K393">
        <v>0</v>
      </c>
      <c r="L393" t="s">
        <v>157</v>
      </c>
    </row>
    <row r="394" spans="9:12" x14ac:dyDescent="0.45">
      <c r="I394" t="s">
        <v>167</v>
      </c>
      <c r="J394" t="s">
        <v>227</v>
      </c>
      <c r="K394">
        <v>1.301415897832407E-4</v>
      </c>
      <c r="L394" t="s">
        <v>157</v>
      </c>
    </row>
    <row r="395" spans="9:12" x14ac:dyDescent="0.45">
      <c r="I395" t="s">
        <v>167</v>
      </c>
      <c r="J395" t="s">
        <v>228</v>
      </c>
      <c r="K395">
        <v>2.7602847430652059E-4</v>
      </c>
      <c r="L395" t="s">
        <v>157</v>
      </c>
    </row>
    <row r="396" spans="9:12" x14ac:dyDescent="0.45">
      <c r="I396" t="s">
        <v>167</v>
      </c>
      <c r="J396" t="s">
        <v>229</v>
      </c>
      <c r="K396">
        <v>2.9379685662664085E-4</v>
      </c>
      <c r="L396" t="s">
        <v>157</v>
      </c>
    </row>
    <row r="397" spans="9:12" x14ac:dyDescent="0.45">
      <c r="I397" t="s">
        <v>167</v>
      </c>
      <c r="J397" t="s">
        <v>230</v>
      </c>
      <c r="K397">
        <v>3.8067530808365263E-4</v>
      </c>
      <c r="L397" t="s">
        <v>157</v>
      </c>
    </row>
    <row r="398" spans="9:12" x14ac:dyDescent="0.45">
      <c r="I398" t="s">
        <v>167</v>
      </c>
      <c r="J398" t="s">
        <v>231</v>
      </c>
      <c r="K398">
        <v>3.6360630090634654E-4</v>
      </c>
      <c r="L398" t="s">
        <v>157</v>
      </c>
    </row>
    <row r="399" spans="9:12" x14ac:dyDescent="0.45">
      <c r="I399" t="s">
        <v>167</v>
      </c>
      <c r="J399" t="s">
        <v>232</v>
      </c>
      <c r="K399">
        <v>3.5578816392580512E-4</v>
      </c>
      <c r="L399" t="s">
        <v>157</v>
      </c>
    </row>
    <row r="400" spans="9:12" x14ac:dyDescent="0.45">
      <c r="I400" t="s">
        <v>167</v>
      </c>
      <c r="J400" t="s">
        <v>233</v>
      </c>
      <c r="K400">
        <v>3.2582682945689123E-4</v>
      </c>
      <c r="L400" t="s">
        <v>157</v>
      </c>
    </row>
    <row r="401" spans="9:12" x14ac:dyDescent="0.45">
      <c r="I401" t="s">
        <v>167</v>
      </c>
      <c r="J401" t="s">
        <v>234</v>
      </c>
      <c r="K401">
        <v>3.069058265438195E-4</v>
      </c>
      <c r="L401" t="s">
        <v>157</v>
      </c>
    </row>
    <row r="402" spans="9:12" x14ac:dyDescent="0.45">
      <c r="I402" t="s">
        <v>167</v>
      </c>
      <c r="J402" t="s">
        <v>235</v>
      </c>
      <c r="K402">
        <v>2.8481049549806367E-4</v>
      </c>
      <c r="L402" t="s">
        <v>157</v>
      </c>
    </row>
    <row r="403" spans="9:12" x14ac:dyDescent="0.45">
      <c r="I403" t="s">
        <v>167</v>
      </c>
      <c r="J403" t="s">
        <v>236</v>
      </c>
      <c r="K403">
        <v>2.2946812995057079E-4</v>
      </c>
      <c r="L403" t="s">
        <v>157</v>
      </c>
    </row>
    <row r="404" spans="9:12" x14ac:dyDescent="0.45">
      <c r="I404" t="s">
        <v>167</v>
      </c>
      <c r="J404" t="s">
        <v>237</v>
      </c>
      <c r="K404">
        <v>1.9908281107046771E-4</v>
      </c>
      <c r="L404" t="s">
        <v>157</v>
      </c>
    </row>
    <row r="405" spans="9:12" x14ac:dyDescent="0.45">
      <c r="I405" t="s">
        <v>167</v>
      </c>
      <c r="J405" t="s">
        <v>238</v>
      </c>
      <c r="K405">
        <v>1.372593152311023E-4</v>
      </c>
      <c r="L405" t="s">
        <v>157</v>
      </c>
    </row>
    <row r="406" spans="9:12" x14ac:dyDescent="0.45">
      <c r="I406" t="s">
        <v>167</v>
      </c>
      <c r="J406" t="s">
        <v>239</v>
      </c>
      <c r="K406">
        <v>0</v>
      </c>
      <c r="L406" t="s">
        <v>157</v>
      </c>
    </row>
    <row r="407" spans="9:12" x14ac:dyDescent="0.45">
      <c r="I407" t="s">
        <v>167</v>
      </c>
      <c r="J407" t="s">
        <v>240</v>
      </c>
      <c r="K407">
        <v>0</v>
      </c>
      <c r="L407" t="s">
        <v>157</v>
      </c>
    </row>
    <row r="408" spans="9:12" x14ac:dyDescent="0.45">
      <c r="I408" t="s">
        <v>167</v>
      </c>
      <c r="J408" t="s">
        <v>241</v>
      </c>
      <c r="K408">
        <v>0</v>
      </c>
      <c r="L408" t="s">
        <v>157</v>
      </c>
    </row>
    <row r="409" spans="9:12" x14ac:dyDescent="0.45">
      <c r="I409" t="s">
        <v>167</v>
      </c>
      <c r="J409" t="s">
        <v>242</v>
      </c>
      <c r="K409">
        <v>0</v>
      </c>
      <c r="L409" t="s">
        <v>157</v>
      </c>
    </row>
    <row r="410" spans="9:12" x14ac:dyDescent="0.45">
      <c r="I410" t="s">
        <v>167</v>
      </c>
      <c r="J410" t="s">
        <v>243</v>
      </c>
      <c r="K410">
        <v>0</v>
      </c>
      <c r="L410" t="s">
        <v>157</v>
      </c>
    </row>
    <row r="411" spans="9:12" x14ac:dyDescent="0.45">
      <c r="I411" t="s">
        <v>167</v>
      </c>
      <c r="J411" t="s">
        <v>271</v>
      </c>
      <c r="K411">
        <v>0</v>
      </c>
      <c r="L411" t="s">
        <v>157</v>
      </c>
    </row>
    <row r="412" spans="9:12" x14ac:dyDescent="0.45">
      <c r="I412" t="s">
        <v>167</v>
      </c>
      <c r="J412" t="s">
        <v>272</v>
      </c>
      <c r="K412">
        <v>0</v>
      </c>
      <c r="L412" t="s">
        <v>157</v>
      </c>
    </row>
    <row r="413" spans="9:12" x14ac:dyDescent="0.45">
      <c r="I413" t="s">
        <v>167</v>
      </c>
      <c r="J413" t="s">
        <v>273</v>
      </c>
      <c r="K413">
        <v>0</v>
      </c>
      <c r="L413" t="s">
        <v>157</v>
      </c>
    </row>
    <row r="414" spans="9:12" x14ac:dyDescent="0.45">
      <c r="I414" t="s">
        <v>167</v>
      </c>
      <c r="J414" t="s">
        <v>274</v>
      </c>
      <c r="K414">
        <v>0</v>
      </c>
      <c r="L414" t="s">
        <v>157</v>
      </c>
    </row>
    <row r="415" spans="9:12" x14ac:dyDescent="0.45">
      <c r="I415" t="s">
        <v>167</v>
      </c>
      <c r="J415" t="s">
        <v>275</v>
      </c>
      <c r="K415">
        <v>0</v>
      </c>
      <c r="L415" t="s">
        <v>157</v>
      </c>
    </row>
    <row r="416" spans="9:12" x14ac:dyDescent="0.45">
      <c r="I416" t="s">
        <v>167</v>
      </c>
      <c r="J416" t="s">
        <v>276</v>
      </c>
      <c r="K416">
        <v>0</v>
      </c>
      <c r="L416" t="s">
        <v>157</v>
      </c>
    </row>
    <row r="417" spans="9:12" x14ac:dyDescent="0.45">
      <c r="I417" t="s">
        <v>167</v>
      </c>
      <c r="J417" t="s">
        <v>277</v>
      </c>
      <c r="K417">
        <v>0</v>
      </c>
      <c r="L417" t="s">
        <v>157</v>
      </c>
    </row>
    <row r="418" spans="9:12" x14ac:dyDescent="0.45">
      <c r="I418" t="s">
        <v>167</v>
      </c>
      <c r="J418" t="s">
        <v>278</v>
      </c>
      <c r="K418">
        <v>1.7261983524189612E-4</v>
      </c>
      <c r="L418" t="s">
        <v>157</v>
      </c>
    </row>
    <row r="419" spans="9:12" x14ac:dyDescent="0.45">
      <c r="I419" t="s">
        <v>167</v>
      </c>
      <c r="J419" t="s">
        <v>279</v>
      </c>
      <c r="K419">
        <v>2.6740558806804854E-4</v>
      </c>
      <c r="L419" t="s">
        <v>157</v>
      </c>
    </row>
    <row r="420" spans="9:12" x14ac:dyDescent="0.45">
      <c r="I420" t="s">
        <v>167</v>
      </c>
      <c r="J420" t="s">
        <v>280</v>
      </c>
      <c r="K420">
        <v>3.3988078040747072E-4</v>
      </c>
      <c r="L420" t="s">
        <v>157</v>
      </c>
    </row>
    <row r="421" spans="9:12" x14ac:dyDescent="0.45">
      <c r="I421" t="s">
        <v>167</v>
      </c>
      <c r="J421" t="s">
        <v>281</v>
      </c>
      <c r="K421">
        <v>3.6103347474228788E-4</v>
      </c>
      <c r="L421" t="s">
        <v>157</v>
      </c>
    </row>
    <row r="422" spans="9:12" x14ac:dyDescent="0.45">
      <c r="I422" t="s">
        <v>167</v>
      </c>
      <c r="J422" t="s">
        <v>282</v>
      </c>
      <c r="K422">
        <v>3.7910157060979614E-4</v>
      </c>
      <c r="L422" t="s">
        <v>157</v>
      </c>
    </row>
    <row r="423" spans="9:12" x14ac:dyDescent="0.45">
      <c r="I423" t="s">
        <v>167</v>
      </c>
      <c r="J423" t="s">
        <v>283</v>
      </c>
      <c r="K423">
        <v>3.5581715432901823E-4</v>
      </c>
      <c r="L423" t="s">
        <v>157</v>
      </c>
    </row>
    <row r="424" spans="9:12" x14ac:dyDescent="0.45">
      <c r="I424" t="s">
        <v>167</v>
      </c>
      <c r="J424" t="s">
        <v>284</v>
      </c>
      <c r="K424">
        <v>3.5751009768981973E-4</v>
      </c>
      <c r="L424" t="s">
        <v>157</v>
      </c>
    </row>
    <row r="425" spans="9:12" x14ac:dyDescent="0.45">
      <c r="I425" t="s">
        <v>167</v>
      </c>
      <c r="J425" t="s">
        <v>285</v>
      </c>
      <c r="K425">
        <v>3.4019822329936126E-4</v>
      </c>
      <c r="L425" t="s">
        <v>157</v>
      </c>
    </row>
    <row r="426" spans="9:12" x14ac:dyDescent="0.45">
      <c r="I426" t="s">
        <v>167</v>
      </c>
      <c r="J426" t="s">
        <v>286</v>
      </c>
      <c r="K426">
        <v>3.0262426058101942E-4</v>
      </c>
      <c r="L426" t="s">
        <v>157</v>
      </c>
    </row>
    <row r="427" spans="9:12" x14ac:dyDescent="0.45">
      <c r="I427" t="s">
        <v>167</v>
      </c>
      <c r="J427" t="s">
        <v>287</v>
      </c>
      <c r="K427">
        <v>2.7071722706878843E-4</v>
      </c>
      <c r="L427" t="s">
        <v>157</v>
      </c>
    </row>
    <row r="428" spans="9:12" x14ac:dyDescent="0.45">
      <c r="I428" t="s">
        <v>167</v>
      </c>
      <c r="J428" t="s">
        <v>288</v>
      </c>
      <c r="K428">
        <v>2.3322331837522238E-4</v>
      </c>
      <c r="L428" t="s">
        <v>157</v>
      </c>
    </row>
    <row r="429" spans="9:12" x14ac:dyDescent="0.45">
      <c r="I429" t="s">
        <v>167</v>
      </c>
      <c r="J429" t="s">
        <v>289</v>
      </c>
      <c r="K429">
        <v>1.3179315470492612E-4</v>
      </c>
      <c r="L429" t="s">
        <v>157</v>
      </c>
    </row>
    <row r="430" spans="9:12" x14ac:dyDescent="0.45">
      <c r="I430" t="s">
        <v>167</v>
      </c>
      <c r="J430" t="s">
        <v>290</v>
      </c>
      <c r="K430">
        <v>0</v>
      </c>
      <c r="L430" t="s">
        <v>157</v>
      </c>
    </row>
    <row r="431" spans="9:12" x14ac:dyDescent="0.45">
      <c r="I431" t="s">
        <v>167</v>
      </c>
      <c r="J431" t="s">
        <v>291</v>
      </c>
      <c r="K431">
        <v>0</v>
      </c>
      <c r="L431" t="s">
        <v>157</v>
      </c>
    </row>
    <row r="432" spans="9:12" x14ac:dyDescent="0.45">
      <c r="I432" t="s">
        <v>167</v>
      </c>
      <c r="J432" t="s">
        <v>292</v>
      </c>
      <c r="K432">
        <v>0</v>
      </c>
      <c r="L432" t="s">
        <v>157</v>
      </c>
    </row>
    <row r="433" spans="9:12" x14ac:dyDescent="0.45">
      <c r="I433" t="s">
        <v>167</v>
      </c>
      <c r="J433" t="s">
        <v>293</v>
      </c>
      <c r="K433">
        <v>0</v>
      </c>
      <c r="L433" t="s">
        <v>157</v>
      </c>
    </row>
    <row r="434" spans="9:12" x14ac:dyDescent="0.45">
      <c r="I434" t="s">
        <v>167</v>
      </c>
      <c r="J434" t="s">
        <v>294</v>
      </c>
      <c r="K434">
        <v>0</v>
      </c>
      <c r="L434" t="s">
        <v>157</v>
      </c>
    </row>
    <row r="435" spans="9:12" x14ac:dyDescent="0.45">
      <c r="I435" t="s">
        <v>168</v>
      </c>
      <c r="J435" t="s">
        <v>156</v>
      </c>
      <c r="K435">
        <v>0.99372234524021152</v>
      </c>
      <c r="L435" t="s">
        <v>157</v>
      </c>
    </row>
    <row r="436" spans="9:12" x14ac:dyDescent="0.45">
      <c r="I436" t="s">
        <v>168</v>
      </c>
      <c r="J436" t="s">
        <v>158</v>
      </c>
      <c r="K436">
        <v>0</v>
      </c>
      <c r="L436" t="s">
        <v>157</v>
      </c>
    </row>
    <row r="437" spans="9:12" x14ac:dyDescent="0.45">
      <c r="I437" t="s">
        <v>168</v>
      </c>
      <c r="J437" t="s">
        <v>159</v>
      </c>
      <c r="K437">
        <v>0</v>
      </c>
      <c r="L437" t="s">
        <v>157</v>
      </c>
    </row>
    <row r="438" spans="9:12" x14ac:dyDescent="0.45">
      <c r="I438" t="s">
        <v>168</v>
      </c>
      <c r="J438" t="s">
        <v>160</v>
      </c>
      <c r="K438">
        <v>0</v>
      </c>
      <c r="L438" t="s">
        <v>157</v>
      </c>
    </row>
    <row r="439" spans="9:12" x14ac:dyDescent="0.45">
      <c r="I439" t="s">
        <v>168</v>
      </c>
      <c r="J439" t="s">
        <v>193</v>
      </c>
      <c r="K439">
        <v>0</v>
      </c>
      <c r="L439" t="s">
        <v>157</v>
      </c>
    </row>
    <row r="440" spans="9:12" x14ac:dyDescent="0.45">
      <c r="I440" t="s">
        <v>168</v>
      </c>
      <c r="J440" t="s">
        <v>220</v>
      </c>
      <c r="K440">
        <v>0</v>
      </c>
      <c r="L440" t="s">
        <v>157</v>
      </c>
    </row>
    <row r="441" spans="9:12" x14ac:dyDescent="0.45">
      <c r="I441" t="s">
        <v>168</v>
      </c>
      <c r="J441" t="s">
        <v>221</v>
      </c>
      <c r="K441">
        <v>0</v>
      </c>
      <c r="L441" t="s">
        <v>157</v>
      </c>
    </row>
    <row r="442" spans="9:12" x14ac:dyDescent="0.45">
      <c r="I442" t="s">
        <v>168</v>
      </c>
      <c r="J442" t="s">
        <v>222</v>
      </c>
      <c r="K442">
        <v>0</v>
      </c>
      <c r="L442" t="s">
        <v>157</v>
      </c>
    </row>
    <row r="443" spans="9:12" x14ac:dyDescent="0.45">
      <c r="I443" t="s">
        <v>168</v>
      </c>
      <c r="J443" t="s">
        <v>223</v>
      </c>
      <c r="K443">
        <v>0</v>
      </c>
      <c r="L443" t="s">
        <v>157</v>
      </c>
    </row>
    <row r="444" spans="9:12" x14ac:dyDescent="0.45">
      <c r="I444" t="s">
        <v>168</v>
      </c>
      <c r="J444" t="s">
        <v>224</v>
      </c>
      <c r="K444">
        <v>0</v>
      </c>
      <c r="L444" t="s">
        <v>157</v>
      </c>
    </row>
    <row r="445" spans="9:12" x14ac:dyDescent="0.45">
      <c r="I445" t="s">
        <v>168</v>
      </c>
      <c r="J445" t="s">
        <v>225</v>
      </c>
      <c r="K445">
        <v>0</v>
      </c>
      <c r="L445" t="s">
        <v>157</v>
      </c>
    </row>
    <row r="446" spans="9:12" x14ac:dyDescent="0.45">
      <c r="I446" t="s">
        <v>168</v>
      </c>
      <c r="J446" t="s">
        <v>226</v>
      </c>
      <c r="K446">
        <v>0</v>
      </c>
      <c r="L446" t="s">
        <v>157</v>
      </c>
    </row>
    <row r="447" spans="9:12" x14ac:dyDescent="0.45">
      <c r="I447" t="s">
        <v>168</v>
      </c>
      <c r="J447" t="s">
        <v>227</v>
      </c>
      <c r="K447">
        <v>1.6639630879575901E-4</v>
      </c>
      <c r="L447" t="s">
        <v>157</v>
      </c>
    </row>
    <row r="448" spans="9:12" x14ac:dyDescent="0.45">
      <c r="I448" t="s">
        <v>168</v>
      </c>
      <c r="J448" t="s">
        <v>228</v>
      </c>
      <c r="K448">
        <v>2.7680581150269932E-4</v>
      </c>
      <c r="L448" t="s">
        <v>157</v>
      </c>
    </row>
    <row r="449" spans="9:12" x14ac:dyDescent="0.45">
      <c r="I449" t="s">
        <v>168</v>
      </c>
      <c r="J449" t="s">
        <v>229</v>
      </c>
      <c r="K449">
        <v>3.2338008857583868E-4</v>
      </c>
      <c r="L449" t="s">
        <v>157</v>
      </c>
    </row>
    <row r="450" spans="9:12" x14ac:dyDescent="0.45">
      <c r="I450" t="s">
        <v>168</v>
      </c>
      <c r="J450" t="s">
        <v>230</v>
      </c>
      <c r="K450">
        <v>3.1091470715849238E-4</v>
      </c>
      <c r="L450" t="s">
        <v>157</v>
      </c>
    </row>
    <row r="451" spans="9:12" x14ac:dyDescent="0.45">
      <c r="I451" t="s">
        <v>168</v>
      </c>
      <c r="J451" t="s">
        <v>231</v>
      </c>
      <c r="K451">
        <v>3.0930936227935936E-4</v>
      </c>
      <c r="L451" t="s">
        <v>157</v>
      </c>
    </row>
    <row r="452" spans="9:12" x14ac:dyDescent="0.45">
      <c r="I452" t="s">
        <v>168</v>
      </c>
      <c r="J452" t="s">
        <v>232</v>
      </c>
      <c r="K452">
        <v>3.0299583918537578E-4</v>
      </c>
      <c r="L452" t="s">
        <v>157</v>
      </c>
    </row>
    <row r="453" spans="9:12" x14ac:dyDescent="0.45">
      <c r="I453" t="s">
        <v>168</v>
      </c>
      <c r="J453" t="s">
        <v>233</v>
      </c>
      <c r="K453">
        <v>2.9691162198461894E-4</v>
      </c>
      <c r="L453" t="s">
        <v>157</v>
      </c>
    </row>
    <row r="454" spans="9:12" x14ac:dyDescent="0.45">
      <c r="I454" t="s">
        <v>168</v>
      </c>
      <c r="J454" t="s">
        <v>234</v>
      </c>
      <c r="K454">
        <v>2.8809153050780243E-4</v>
      </c>
      <c r="L454" t="s">
        <v>157</v>
      </c>
    </row>
    <row r="455" spans="9:12" x14ac:dyDescent="0.45">
      <c r="I455" t="s">
        <v>168</v>
      </c>
      <c r="J455" t="s">
        <v>235</v>
      </c>
      <c r="K455">
        <v>2.9305569749116641E-4</v>
      </c>
      <c r="L455" t="s">
        <v>157</v>
      </c>
    </row>
    <row r="456" spans="9:12" x14ac:dyDescent="0.45">
      <c r="I456" t="s">
        <v>168</v>
      </c>
      <c r="J456" t="s">
        <v>236</v>
      </c>
      <c r="K456">
        <v>2.3913888346344784E-4</v>
      </c>
      <c r="L456" t="s">
        <v>157</v>
      </c>
    </row>
    <row r="457" spans="9:12" x14ac:dyDescent="0.45">
      <c r="I457" t="s">
        <v>168</v>
      </c>
      <c r="J457" t="s">
        <v>237</v>
      </c>
      <c r="K457">
        <v>1.7059985174435765E-4</v>
      </c>
      <c r="L457" t="s">
        <v>157</v>
      </c>
    </row>
    <row r="458" spans="9:12" x14ac:dyDescent="0.45">
      <c r="I458" t="s">
        <v>168</v>
      </c>
      <c r="J458" t="s">
        <v>238</v>
      </c>
      <c r="K458">
        <v>1.1878746825305593E-4</v>
      </c>
      <c r="L458" t="s">
        <v>157</v>
      </c>
    </row>
    <row r="459" spans="9:12" x14ac:dyDescent="0.45">
      <c r="I459" t="s">
        <v>168</v>
      </c>
      <c r="J459" t="s">
        <v>239</v>
      </c>
      <c r="K459">
        <v>0</v>
      </c>
      <c r="L459" t="s">
        <v>157</v>
      </c>
    </row>
    <row r="460" spans="9:12" x14ac:dyDescent="0.45">
      <c r="I460" t="s">
        <v>168</v>
      </c>
      <c r="J460" t="s">
        <v>240</v>
      </c>
      <c r="K460">
        <v>0</v>
      </c>
      <c r="L460" t="s">
        <v>157</v>
      </c>
    </row>
    <row r="461" spans="9:12" x14ac:dyDescent="0.45">
      <c r="I461" t="s">
        <v>168</v>
      </c>
      <c r="J461" t="s">
        <v>241</v>
      </c>
      <c r="K461">
        <v>0</v>
      </c>
      <c r="L461" t="s">
        <v>157</v>
      </c>
    </row>
    <row r="462" spans="9:12" x14ac:dyDescent="0.45">
      <c r="I462" t="s">
        <v>168</v>
      </c>
      <c r="J462" t="s">
        <v>242</v>
      </c>
      <c r="K462">
        <v>0</v>
      </c>
      <c r="L462" t="s">
        <v>157</v>
      </c>
    </row>
    <row r="463" spans="9:12" x14ac:dyDescent="0.45">
      <c r="I463" t="s">
        <v>168</v>
      </c>
      <c r="J463" t="s">
        <v>243</v>
      </c>
      <c r="K463">
        <v>0</v>
      </c>
      <c r="L463" t="s">
        <v>157</v>
      </c>
    </row>
    <row r="464" spans="9:12" x14ac:dyDescent="0.45">
      <c r="I464" t="s">
        <v>168</v>
      </c>
      <c r="J464" t="s">
        <v>271</v>
      </c>
      <c r="K464">
        <v>0</v>
      </c>
      <c r="L464" t="s">
        <v>157</v>
      </c>
    </row>
    <row r="465" spans="9:12" x14ac:dyDescent="0.45">
      <c r="I465" t="s">
        <v>168</v>
      </c>
      <c r="J465" t="s">
        <v>272</v>
      </c>
      <c r="K465">
        <v>0</v>
      </c>
      <c r="L465" t="s">
        <v>157</v>
      </c>
    </row>
    <row r="466" spans="9:12" x14ac:dyDescent="0.45">
      <c r="I466" t="s">
        <v>168</v>
      </c>
      <c r="J466" t="s">
        <v>273</v>
      </c>
      <c r="K466">
        <v>0</v>
      </c>
      <c r="L466" t="s">
        <v>157</v>
      </c>
    </row>
    <row r="467" spans="9:12" x14ac:dyDescent="0.45">
      <c r="I467" t="s">
        <v>168</v>
      </c>
      <c r="J467" t="s">
        <v>274</v>
      </c>
      <c r="K467">
        <v>0</v>
      </c>
      <c r="L467" t="s">
        <v>157</v>
      </c>
    </row>
    <row r="468" spans="9:12" x14ac:dyDescent="0.45">
      <c r="I468" t="s">
        <v>168</v>
      </c>
      <c r="J468" t="s">
        <v>275</v>
      </c>
      <c r="K468">
        <v>0</v>
      </c>
      <c r="L468" t="s">
        <v>157</v>
      </c>
    </row>
    <row r="469" spans="9:12" x14ac:dyDescent="0.45">
      <c r="I469" t="s">
        <v>168</v>
      </c>
      <c r="J469" t="s">
        <v>276</v>
      </c>
      <c r="K469">
        <v>0</v>
      </c>
      <c r="L469" t="s">
        <v>157</v>
      </c>
    </row>
    <row r="470" spans="9:12" x14ac:dyDescent="0.45">
      <c r="I470" t="s">
        <v>168</v>
      </c>
      <c r="J470" t="s">
        <v>277</v>
      </c>
      <c r="K470">
        <v>0</v>
      </c>
      <c r="L470" t="s">
        <v>157</v>
      </c>
    </row>
    <row r="471" spans="9:12" x14ac:dyDescent="0.45">
      <c r="I471" t="s">
        <v>168</v>
      </c>
      <c r="J471" t="s">
        <v>278</v>
      </c>
      <c r="K471">
        <v>1.8004300382832249E-4</v>
      </c>
      <c r="L471" t="s">
        <v>157</v>
      </c>
    </row>
    <row r="472" spans="9:12" x14ac:dyDescent="0.45">
      <c r="I472" t="s">
        <v>168</v>
      </c>
      <c r="J472" t="s">
        <v>279</v>
      </c>
      <c r="K472">
        <v>2.7837724723646341E-4</v>
      </c>
      <c r="L472" t="s">
        <v>157</v>
      </c>
    </row>
    <row r="473" spans="9:12" x14ac:dyDescent="0.45">
      <c r="I473" t="s">
        <v>168</v>
      </c>
      <c r="J473" t="s">
        <v>280</v>
      </c>
      <c r="K473">
        <v>3.2583500630422755E-4</v>
      </c>
      <c r="L473" t="s">
        <v>157</v>
      </c>
    </row>
    <row r="474" spans="9:12" x14ac:dyDescent="0.45">
      <c r="I474" t="s">
        <v>168</v>
      </c>
      <c r="J474" t="s">
        <v>281</v>
      </c>
      <c r="K474">
        <v>3.3903407917598342E-4</v>
      </c>
      <c r="L474" t="s">
        <v>157</v>
      </c>
    </row>
    <row r="475" spans="9:12" x14ac:dyDescent="0.45">
      <c r="I475" t="s">
        <v>168</v>
      </c>
      <c r="J475" t="s">
        <v>282</v>
      </c>
      <c r="K475">
        <v>3.0019619936088476E-4</v>
      </c>
      <c r="L475" t="s">
        <v>157</v>
      </c>
    </row>
    <row r="476" spans="9:12" x14ac:dyDescent="0.45">
      <c r="I476" t="s">
        <v>168</v>
      </c>
      <c r="J476" t="s">
        <v>283</v>
      </c>
      <c r="K476">
        <v>2.9338736676544737E-4</v>
      </c>
      <c r="L476" t="s">
        <v>157</v>
      </c>
    </row>
    <row r="477" spans="9:12" x14ac:dyDescent="0.45">
      <c r="I477" t="s">
        <v>168</v>
      </c>
      <c r="J477" t="s">
        <v>284</v>
      </c>
      <c r="K477">
        <v>3.0033066931547828E-4</v>
      </c>
      <c r="L477" t="s">
        <v>157</v>
      </c>
    </row>
    <row r="478" spans="9:12" x14ac:dyDescent="0.45">
      <c r="I478" t="s">
        <v>168</v>
      </c>
      <c r="J478" t="s">
        <v>285</v>
      </c>
      <c r="K478">
        <v>3.0167918910878235E-4</v>
      </c>
      <c r="L478" t="s">
        <v>157</v>
      </c>
    </row>
    <row r="479" spans="9:12" x14ac:dyDescent="0.45">
      <c r="I479" t="s">
        <v>168</v>
      </c>
      <c r="J479" t="s">
        <v>286</v>
      </c>
      <c r="K479">
        <v>2.6992885510672258E-4</v>
      </c>
      <c r="L479" t="s">
        <v>157</v>
      </c>
    </row>
    <row r="480" spans="9:12" x14ac:dyDescent="0.45">
      <c r="I480" t="s">
        <v>168</v>
      </c>
      <c r="J480" t="s">
        <v>287</v>
      </c>
      <c r="K480">
        <v>2.6017379730475633E-4</v>
      </c>
      <c r="L480" t="s">
        <v>157</v>
      </c>
    </row>
    <row r="481" spans="9:12" x14ac:dyDescent="0.45">
      <c r="I481" t="s">
        <v>168</v>
      </c>
      <c r="J481" t="s">
        <v>288</v>
      </c>
      <c r="K481">
        <v>2.0944245045137071E-4</v>
      </c>
      <c r="L481" t="s">
        <v>157</v>
      </c>
    </row>
    <row r="482" spans="9:12" x14ac:dyDescent="0.45">
      <c r="I482" t="s">
        <v>168</v>
      </c>
      <c r="J482" t="s">
        <v>289</v>
      </c>
      <c r="K482">
        <v>1.2283972488679268E-4</v>
      </c>
      <c r="L482" t="s">
        <v>157</v>
      </c>
    </row>
    <row r="483" spans="9:12" x14ac:dyDescent="0.45">
      <c r="I483" t="s">
        <v>168</v>
      </c>
      <c r="J483" t="s">
        <v>290</v>
      </c>
      <c r="K483">
        <v>0</v>
      </c>
      <c r="L483" t="s">
        <v>157</v>
      </c>
    </row>
    <row r="484" spans="9:12" x14ac:dyDescent="0.45">
      <c r="I484" t="s">
        <v>168</v>
      </c>
      <c r="J484" t="s">
        <v>291</v>
      </c>
      <c r="K484">
        <v>0</v>
      </c>
      <c r="L484" t="s">
        <v>157</v>
      </c>
    </row>
    <row r="485" spans="9:12" x14ac:dyDescent="0.45">
      <c r="I485" t="s">
        <v>168</v>
      </c>
      <c r="J485" t="s">
        <v>292</v>
      </c>
      <c r="K485">
        <v>0</v>
      </c>
      <c r="L485" t="s">
        <v>157</v>
      </c>
    </row>
    <row r="486" spans="9:12" x14ac:dyDescent="0.45">
      <c r="I486" t="s">
        <v>168</v>
      </c>
      <c r="J486" t="s">
        <v>293</v>
      </c>
      <c r="K486">
        <v>0</v>
      </c>
      <c r="L486" t="s">
        <v>157</v>
      </c>
    </row>
    <row r="487" spans="9:12" x14ac:dyDescent="0.45">
      <c r="I487" t="s">
        <v>168</v>
      </c>
      <c r="J487" t="s">
        <v>294</v>
      </c>
      <c r="K487">
        <v>0</v>
      </c>
      <c r="L487" t="s">
        <v>157</v>
      </c>
    </row>
    <row r="488" spans="9:12" x14ac:dyDescent="0.45">
      <c r="I488" t="s">
        <v>169</v>
      </c>
      <c r="J488" t="s">
        <v>156</v>
      </c>
      <c r="K488">
        <v>0.99359408314750552</v>
      </c>
      <c r="L488" t="s">
        <v>157</v>
      </c>
    </row>
    <row r="489" spans="9:12" x14ac:dyDescent="0.45">
      <c r="I489" t="s">
        <v>169</v>
      </c>
      <c r="J489" t="s">
        <v>158</v>
      </c>
      <c r="K489">
        <v>0</v>
      </c>
      <c r="L489" t="s">
        <v>157</v>
      </c>
    </row>
    <row r="490" spans="9:12" x14ac:dyDescent="0.45">
      <c r="I490" t="s">
        <v>169</v>
      </c>
      <c r="J490" t="s">
        <v>159</v>
      </c>
      <c r="K490">
        <v>0</v>
      </c>
      <c r="L490" t="s">
        <v>157</v>
      </c>
    </row>
    <row r="491" spans="9:12" x14ac:dyDescent="0.45">
      <c r="I491" t="s">
        <v>169</v>
      </c>
      <c r="J491" t="s">
        <v>160</v>
      </c>
      <c r="K491">
        <v>0</v>
      </c>
      <c r="L491" t="s">
        <v>157</v>
      </c>
    </row>
    <row r="492" spans="9:12" x14ac:dyDescent="0.45">
      <c r="I492" t="s">
        <v>169</v>
      </c>
      <c r="J492" t="s">
        <v>193</v>
      </c>
      <c r="K492">
        <v>0</v>
      </c>
      <c r="L492" t="s">
        <v>157</v>
      </c>
    </row>
    <row r="493" spans="9:12" x14ac:dyDescent="0.45">
      <c r="I493" t="s">
        <v>169</v>
      </c>
      <c r="J493" t="s">
        <v>220</v>
      </c>
      <c r="K493">
        <v>0</v>
      </c>
      <c r="L493" t="s">
        <v>157</v>
      </c>
    </row>
    <row r="494" spans="9:12" x14ac:dyDescent="0.45">
      <c r="I494" t="s">
        <v>169</v>
      </c>
      <c r="J494" t="s">
        <v>221</v>
      </c>
      <c r="K494">
        <v>0</v>
      </c>
      <c r="L494" t="s">
        <v>157</v>
      </c>
    </row>
    <row r="495" spans="9:12" x14ac:dyDescent="0.45">
      <c r="I495" t="s">
        <v>169</v>
      </c>
      <c r="J495" t="s">
        <v>222</v>
      </c>
      <c r="K495">
        <v>0</v>
      </c>
      <c r="L495" t="s">
        <v>157</v>
      </c>
    </row>
    <row r="496" spans="9:12" x14ac:dyDescent="0.45">
      <c r="I496" t="s">
        <v>169</v>
      </c>
      <c r="J496" t="s">
        <v>223</v>
      </c>
      <c r="K496">
        <v>0</v>
      </c>
      <c r="L496" t="s">
        <v>157</v>
      </c>
    </row>
    <row r="497" spans="9:12" x14ac:dyDescent="0.45">
      <c r="I497" t="s">
        <v>169</v>
      </c>
      <c r="J497" t="s">
        <v>224</v>
      </c>
      <c r="K497">
        <v>0</v>
      </c>
      <c r="L497" t="s">
        <v>157</v>
      </c>
    </row>
    <row r="498" spans="9:12" x14ac:dyDescent="0.45">
      <c r="I498" t="s">
        <v>169</v>
      </c>
      <c r="J498" t="s">
        <v>225</v>
      </c>
      <c r="K498">
        <v>0</v>
      </c>
      <c r="L498" t="s">
        <v>157</v>
      </c>
    </row>
    <row r="499" spans="9:12" x14ac:dyDescent="0.45">
      <c r="I499" t="s">
        <v>169</v>
      </c>
      <c r="J499" t="s">
        <v>226</v>
      </c>
      <c r="K499">
        <v>0</v>
      </c>
      <c r="L499" t="s">
        <v>157</v>
      </c>
    </row>
    <row r="500" spans="9:12" x14ac:dyDescent="0.45">
      <c r="I500" t="s">
        <v>169</v>
      </c>
      <c r="J500" t="s">
        <v>227</v>
      </c>
      <c r="K500">
        <v>1.6140169369607512E-4</v>
      </c>
      <c r="L500" t="s">
        <v>157</v>
      </c>
    </row>
    <row r="501" spans="9:12" x14ac:dyDescent="0.45">
      <c r="I501" t="s">
        <v>169</v>
      </c>
      <c r="J501" t="s">
        <v>228</v>
      </c>
      <c r="K501">
        <v>2.7840238180498473E-4</v>
      </c>
      <c r="L501" t="s">
        <v>157</v>
      </c>
    </row>
    <row r="502" spans="9:12" x14ac:dyDescent="0.45">
      <c r="I502" t="s">
        <v>169</v>
      </c>
      <c r="J502" t="s">
        <v>229</v>
      </c>
      <c r="K502">
        <v>3.2410990049599233E-4</v>
      </c>
      <c r="L502" t="s">
        <v>157</v>
      </c>
    </row>
    <row r="503" spans="9:12" x14ac:dyDescent="0.45">
      <c r="I503" t="s">
        <v>169</v>
      </c>
      <c r="J503" t="s">
        <v>230</v>
      </c>
      <c r="K503">
        <v>3.3269367638410769E-4</v>
      </c>
      <c r="L503" t="s">
        <v>157</v>
      </c>
    </row>
    <row r="504" spans="9:12" x14ac:dyDescent="0.45">
      <c r="I504" t="s">
        <v>169</v>
      </c>
      <c r="J504" t="s">
        <v>231</v>
      </c>
      <c r="K504">
        <v>3.1447303965890112E-4</v>
      </c>
      <c r="L504" t="s">
        <v>157</v>
      </c>
    </row>
    <row r="505" spans="9:12" x14ac:dyDescent="0.45">
      <c r="I505" t="s">
        <v>169</v>
      </c>
      <c r="J505" t="s">
        <v>232</v>
      </c>
      <c r="K505">
        <v>3.0963080553440917E-4</v>
      </c>
      <c r="L505" t="s">
        <v>157</v>
      </c>
    </row>
    <row r="506" spans="9:12" x14ac:dyDescent="0.45">
      <c r="I506" t="s">
        <v>169</v>
      </c>
      <c r="J506" t="s">
        <v>233</v>
      </c>
      <c r="K506">
        <v>2.9902954807021782E-4</v>
      </c>
      <c r="L506" t="s">
        <v>157</v>
      </c>
    </row>
    <row r="507" spans="9:12" x14ac:dyDescent="0.45">
      <c r="I507" t="s">
        <v>169</v>
      </c>
      <c r="J507" t="s">
        <v>234</v>
      </c>
      <c r="K507">
        <v>3.0796518164962953E-4</v>
      </c>
      <c r="L507" t="s">
        <v>157</v>
      </c>
    </row>
    <row r="508" spans="9:12" x14ac:dyDescent="0.45">
      <c r="I508" t="s">
        <v>169</v>
      </c>
      <c r="J508" t="s">
        <v>235</v>
      </c>
      <c r="K508">
        <v>3.0374578282343266E-4</v>
      </c>
      <c r="L508" t="s">
        <v>157</v>
      </c>
    </row>
    <row r="509" spans="9:12" x14ac:dyDescent="0.45">
      <c r="I509" t="s">
        <v>169</v>
      </c>
      <c r="J509" t="s">
        <v>236</v>
      </c>
      <c r="K509">
        <v>2.5181479929568644E-4</v>
      </c>
      <c r="L509" t="s">
        <v>157</v>
      </c>
    </row>
    <row r="510" spans="9:12" x14ac:dyDescent="0.45">
      <c r="I510" t="s">
        <v>169</v>
      </c>
      <c r="J510" t="s">
        <v>237</v>
      </c>
      <c r="K510">
        <v>1.8292657219218071E-4</v>
      </c>
      <c r="L510" t="s">
        <v>157</v>
      </c>
    </row>
    <row r="511" spans="9:12" x14ac:dyDescent="0.45">
      <c r="I511" t="s">
        <v>169</v>
      </c>
      <c r="J511" t="s">
        <v>238</v>
      </c>
      <c r="K511">
        <v>1.0051859275628213E-4</v>
      </c>
      <c r="L511" t="s">
        <v>157</v>
      </c>
    </row>
    <row r="512" spans="9:12" x14ac:dyDescent="0.45">
      <c r="I512" t="s">
        <v>169</v>
      </c>
      <c r="J512" t="s">
        <v>239</v>
      </c>
      <c r="K512">
        <v>0</v>
      </c>
      <c r="L512" t="s">
        <v>157</v>
      </c>
    </row>
    <row r="513" spans="9:12" x14ac:dyDescent="0.45">
      <c r="I513" t="s">
        <v>169</v>
      </c>
      <c r="J513" t="s">
        <v>240</v>
      </c>
      <c r="K513">
        <v>0</v>
      </c>
      <c r="L513" t="s">
        <v>157</v>
      </c>
    </row>
    <row r="514" spans="9:12" x14ac:dyDescent="0.45">
      <c r="I514" t="s">
        <v>169</v>
      </c>
      <c r="J514" t="s">
        <v>241</v>
      </c>
      <c r="K514">
        <v>0</v>
      </c>
      <c r="L514" t="s">
        <v>157</v>
      </c>
    </row>
    <row r="515" spans="9:12" x14ac:dyDescent="0.45">
      <c r="I515" t="s">
        <v>169</v>
      </c>
      <c r="J515" t="s">
        <v>242</v>
      </c>
      <c r="K515">
        <v>0</v>
      </c>
      <c r="L515" t="s">
        <v>157</v>
      </c>
    </row>
    <row r="516" spans="9:12" x14ac:dyDescent="0.45">
      <c r="I516" t="s">
        <v>169</v>
      </c>
      <c r="J516" t="s">
        <v>243</v>
      </c>
      <c r="K516">
        <v>0</v>
      </c>
      <c r="L516" t="s">
        <v>157</v>
      </c>
    </row>
    <row r="517" spans="9:12" x14ac:dyDescent="0.45">
      <c r="I517" t="s">
        <v>169</v>
      </c>
      <c r="J517" t="s">
        <v>271</v>
      </c>
      <c r="K517">
        <v>0</v>
      </c>
      <c r="L517" t="s">
        <v>157</v>
      </c>
    </row>
    <row r="518" spans="9:12" x14ac:dyDescent="0.45">
      <c r="I518" t="s">
        <v>169</v>
      </c>
      <c r="J518" t="s">
        <v>272</v>
      </c>
      <c r="K518">
        <v>0</v>
      </c>
      <c r="L518" t="s">
        <v>157</v>
      </c>
    </row>
    <row r="519" spans="9:12" x14ac:dyDescent="0.45">
      <c r="I519" t="s">
        <v>169</v>
      </c>
      <c r="J519" t="s">
        <v>273</v>
      </c>
      <c r="K519">
        <v>0</v>
      </c>
      <c r="L519" t="s">
        <v>157</v>
      </c>
    </row>
    <row r="520" spans="9:12" x14ac:dyDescent="0.45">
      <c r="I520" t="s">
        <v>169</v>
      </c>
      <c r="J520" t="s">
        <v>274</v>
      </c>
      <c r="K520">
        <v>0</v>
      </c>
      <c r="L520" t="s">
        <v>157</v>
      </c>
    </row>
    <row r="521" spans="9:12" x14ac:dyDescent="0.45">
      <c r="I521" t="s">
        <v>169</v>
      </c>
      <c r="J521" t="s">
        <v>275</v>
      </c>
      <c r="K521">
        <v>0</v>
      </c>
      <c r="L521" t="s">
        <v>157</v>
      </c>
    </row>
    <row r="522" spans="9:12" x14ac:dyDescent="0.45">
      <c r="I522" t="s">
        <v>169</v>
      </c>
      <c r="J522" t="s">
        <v>276</v>
      </c>
      <c r="K522">
        <v>0</v>
      </c>
      <c r="L522" t="s">
        <v>157</v>
      </c>
    </row>
    <row r="523" spans="9:12" x14ac:dyDescent="0.45">
      <c r="I523" t="s">
        <v>169</v>
      </c>
      <c r="J523" t="s">
        <v>277</v>
      </c>
      <c r="K523">
        <v>0</v>
      </c>
      <c r="L523" t="s">
        <v>157</v>
      </c>
    </row>
    <row r="524" spans="9:12" x14ac:dyDescent="0.45">
      <c r="I524" t="s">
        <v>169</v>
      </c>
      <c r="J524" t="s">
        <v>278</v>
      </c>
      <c r="K524">
        <v>1.7500153800915563E-4</v>
      </c>
      <c r="L524" t="s">
        <v>157</v>
      </c>
    </row>
    <row r="525" spans="9:12" x14ac:dyDescent="0.45">
      <c r="I525" t="s">
        <v>169</v>
      </c>
      <c r="J525" t="s">
        <v>279</v>
      </c>
      <c r="K525">
        <v>2.7997581730879401E-4</v>
      </c>
      <c r="L525" t="s">
        <v>157</v>
      </c>
    </row>
    <row r="526" spans="9:12" x14ac:dyDescent="0.45">
      <c r="I526" t="s">
        <v>169</v>
      </c>
      <c r="J526" t="s">
        <v>280</v>
      </c>
      <c r="K526">
        <v>3.3446875678284151E-4</v>
      </c>
      <c r="L526" t="s">
        <v>157</v>
      </c>
    </row>
    <row r="527" spans="9:12" x14ac:dyDescent="0.45">
      <c r="I527" t="s">
        <v>169</v>
      </c>
      <c r="J527" t="s">
        <v>281</v>
      </c>
      <c r="K527">
        <v>3.509410088913433E-4</v>
      </c>
      <c r="L527" t="s">
        <v>157</v>
      </c>
    </row>
    <row r="528" spans="9:12" x14ac:dyDescent="0.45">
      <c r="I528" t="s">
        <v>169</v>
      </c>
      <c r="J528" t="s">
        <v>282</v>
      </c>
      <c r="K528">
        <v>3.1812837273061773E-4</v>
      </c>
      <c r="L528" t="s">
        <v>157</v>
      </c>
    </row>
    <row r="529" spans="9:12" x14ac:dyDescent="0.45">
      <c r="I529" t="s">
        <v>169</v>
      </c>
      <c r="J529" t="s">
        <v>283</v>
      </c>
      <c r="K529">
        <v>3.0914922458158775E-4</v>
      </c>
      <c r="L529" t="s">
        <v>157</v>
      </c>
    </row>
    <row r="530" spans="9:12" x14ac:dyDescent="0.45">
      <c r="I530" t="s">
        <v>169</v>
      </c>
      <c r="J530" t="s">
        <v>284</v>
      </c>
      <c r="K530">
        <v>3.3556692765421747E-4</v>
      </c>
      <c r="L530" t="s">
        <v>157</v>
      </c>
    </row>
    <row r="531" spans="9:12" x14ac:dyDescent="0.45">
      <c r="I531" t="s">
        <v>169</v>
      </c>
      <c r="J531" t="s">
        <v>285</v>
      </c>
      <c r="K531">
        <v>2.8329146556553493E-4</v>
      </c>
      <c r="L531" t="s">
        <v>157</v>
      </c>
    </row>
    <row r="532" spans="9:12" x14ac:dyDescent="0.45">
      <c r="I532" t="s">
        <v>169</v>
      </c>
      <c r="J532" t="s">
        <v>286</v>
      </c>
      <c r="K532">
        <v>2.8395387198328938E-4</v>
      </c>
      <c r="L532" t="s">
        <v>157</v>
      </c>
    </row>
    <row r="533" spans="9:12" x14ac:dyDescent="0.45">
      <c r="I533" t="s">
        <v>169</v>
      </c>
      <c r="J533" t="s">
        <v>287</v>
      </c>
      <c r="K533">
        <v>2.5342013473000219E-4</v>
      </c>
      <c r="L533" t="s">
        <v>157</v>
      </c>
    </row>
    <row r="534" spans="9:12" x14ac:dyDescent="0.45">
      <c r="I534" t="s">
        <v>169</v>
      </c>
      <c r="J534" t="s">
        <v>288</v>
      </c>
      <c r="K534">
        <v>1.9455883808419758E-4</v>
      </c>
      <c r="L534" t="s">
        <v>157</v>
      </c>
    </row>
    <row r="535" spans="9:12" x14ac:dyDescent="0.45">
      <c r="I535" t="s">
        <v>169</v>
      </c>
      <c r="J535" t="s">
        <v>289</v>
      </c>
      <c r="K535">
        <v>1.2074892180946864E-4</v>
      </c>
      <c r="L535" t="s">
        <v>157</v>
      </c>
    </row>
    <row r="536" spans="9:12" x14ac:dyDescent="0.45">
      <c r="I536" t="s">
        <v>169</v>
      </c>
      <c r="J536" t="s">
        <v>290</v>
      </c>
      <c r="K536">
        <v>0</v>
      </c>
      <c r="L536" t="s">
        <v>157</v>
      </c>
    </row>
    <row r="537" spans="9:12" x14ac:dyDescent="0.45">
      <c r="I537" t="s">
        <v>169</v>
      </c>
      <c r="J537" t="s">
        <v>291</v>
      </c>
      <c r="K537">
        <v>0</v>
      </c>
      <c r="L537" t="s">
        <v>157</v>
      </c>
    </row>
    <row r="538" spans="9:12" x14ac:dyDescent="0.45">
      <c r="I538" t="s">
        <v>169</v>
      </c>
      <c r="J538" t="s">
        <v>292</v>
      </c>
      <c r="K538">
        <v>0</v>
      </c>
      <c r="L538" t="s">
        <v>157</v>
      </c>
    </row>
    <row r="539" spans="9:12" x14ac:dyDescent="0.45">
      <c r="I539" t="s">
        <v>169</v>
      </c>
      <c r="J539" t="s">
        <v>293</v>
      </c>
      <c r="K539">
        <v>0</v>
      </c>
      <c r="L539" t="s">
        <v>157</v>
      </c>
    </row>
    <row r="540" spans="9:12" x14ac:dyDescent="0.45">
      <c r="I540" t="s">
        <v>169</v>
      </c>
      <c r="J540" t="s">
        <v>294</v>
      </c>
      <c r="K540">
        <v>0</v>
      </c>
      <c r="L540" t="s">
        <v>157</v>
      </c>
    </row>
    <row r="541" spans="9:12" x14ac:dyDescent="0.45">
      <c r="I541" t="s">
        <v>170</v>
      </c>
      <c r="J541" t="s">
        <v>156</v>
      </c>
      <c r="K541">
        <v>0.99326165151666956</v>
      </c>
      <c r="L541" t="s">
        <v>157</v>
      </c>
    </row>
    <row r="542" spans="9:12" x14ac:dyDescent="0.45">
      <c r="I542" t="s">
        <v>170</v>
      </c>
      <c r="J542" t="s">
        <v>158</v>
      </c>
      <c r="K542">
        <v>0</v>
      </c>
      <c r="L542" t="s">
        <v>157</v>
      </c>
    </row>
    <row r="543" spans="9:12" x14ac:dyDescent="0.45">
      <c r="I543" t="s">
        <v>170</v>
      </c>
      <c r="J543" t="s">
        <v>159</v>
      </c>
      <c r="K543">
        <v>0</v>
      </c>
      <c r="L543" t="s">
        <v>157</v>
      </c>
    </row>
    <row r="544" spans="9:12" x14ac:dyDescent="0.45">
      <c r="I544" t="s">
        <v>170</v>
      </c>
      <c r="J544" t="s">
        <v>160</v>
      </c>
      <c r="K544">
        <v>0</v>
      </c>
      <c r="L544" t="s">
        <v>157</v>
      </c>
    </row>
    <row r="545" spans="9:12" x14ac:dyDescent="0.45">
      <c r="I545" t="s">
        <v>170</v>
      </c>
      <c r="J545" t="s">
        <v>193</v>
      </c>
      <c r="K545">
        <v>0</v>
      </c>
      <c r="L545" t="s">
        <v>157</v>
      </c>
    </row>
    <row r="546" spans="9:12" x14ac:dyDescent="0.45">
      <c r="I546" t="s">
        <v>170</v>
      </c>
      <c r="J546" t="s">
        <v>220</v>
      </c>
      <c r="K546">
        <v>0</v>
      </c>
      <c r="L546" t="s">
        <v>157</v>
      </c>
    </row>
    <row r="547" spans="9:12" x14ac:dyDescent="0.45">
      <c r="I547" t="s">
        <v>170</v>
      </c>
      <c r="J547" t="s">
        <v>221</v>
      </c>
      <c r="K547">
        <v>0</v>
      </c>
      <c r="L547" t="s">
        <v>157</v>
      </c>
    </row>
    <row r="548" spans="9:12" x14ac:dyDescent="0.45">
      <c r="I548" t="s">
        <v>170</v>
      </c>
      <c r="J548" t="s">
        <v>222</v>
      </c>
      <c r="K548">
        <v>0</v>
      </c>
      <c r="L548" t="s">
        <v>157</v>
      </c>
    </row>
    <row r="549" spans="9:12" x14ac:dyDescent="0.45">
      <c r="I549" t="s">
        <v>170</v>
      </c>
      <c r="J549" t="s">
        <v>223</v>
      </c>
      <c r="K549">
        <v>0</v>
      </c>
      <c r="L549" t="s">
        <v>157</v>
      </c>
    </row>
    <row r="550" spans="9:12" x14ac:dyDescent="0.45">
      <c r="I550" t="s">
        <v>170</v>
      </c>
      <c r="J550" t="s">
        <v>224</v>
      </c>
      <c r="K550">
        <v>0</v>
      </c>
      <c r="L550" t="s">
        <v>157</v>
      </c>
    </row>
    <row r="551" spans="9:12" x14ac:dyDescent="0.45">
      <c r="I551" t="s">
        <v>170</v>
      </c>
      <c r="J551" t="s">
        <v>225</v>
      </c>
      <c r="K551">
        <v>0</v>
      </c>
      <c r="L551" t="s">
        <v>157</v>
      </c>
    </row>
    <row r="552" spans="9:12" x14ac:dyDescent="0.45">
      <c r="I552" t="s">
        <v>170</v>
      </c>
      <c r="J552" t="s">
        <v>226</v>
      </c>
      <c r="K552">
        <v>0</v>
      </c>
      <c r="L552" t="s">
        <v>157</v>
      </c>
    </row>
    <row r="553" spans="9:12" x14ac:dyDescent="0.45">
      <c r="I553" t="s">
        <v>170</v>
      </c>
      <c r="J553" t="s">
        <v>227</v>
      </c>
      <c r="K553">
        <v>1.4456122768385549E-4</v>
      </c>
      <c r="L553" t="s">
        <v>157</v>
      </c>
    </row>
    <row r="554" spans="9:12" x14ac:dyDescent="0.45">
      <c r="I554" t="s">
        <v>170</v>
      </c>
      <c r="J554" t="s">
        <v>228</v>
      </c>
      <c r="K554">
        <v>2.6666800664235313E-4</v>
      </c>
      <c r="L554" t="s">
        <v>157</v>
      </c>
    </row>
    <row r="555" spans="9:12" x14ac:dyDescent="0.45">
      <c r="I555" t="s">
        <v>170</v>
      </c>
      <c r="J555" t="s">
        <v>229</v>
      </c>
      <c r="K555">
        <v>3.2711203789907316E-4</v>
      </c>
      <c r="L555" t="s">
        <v>157</v>
      </c>
    </row>
    <row r="556" spans="9:12" x14ac:dyDescent="0.45">
      <c r="I556" t="s">
        <v>170</v>
      </c>
      <c r="J556" t="s">
        <v>230</v>
      </c>
      <c r="K556">
        <v>3.4622082609115805E-4</v>
      </c>
      <c r="L556" t="s">
        <v>157</v>
      </c>
    </row>
    <row r="557" spans="9:12" x14ac:dyDescent="0.45">
      <c r="I557" t="s">
        <v>170</v>
      </c>
      <c r="J557" t="s">
        <v>231</v>
      </c>
      <c r="K557">
        <v>3.5612788102412087E-4</v>
      </c>
      <c r="L557" t="s">
        <v>157</v>
      </c>
    </row>
    <row r="558" spans="9:12" x14ac:dyDescent="0.45">
      <c r="I558" t="s">
        <v>170</v>
      </c>
      <c r="J558" t="s">
        <v>232</v>
      </c>
      <c r="K558">
        <v>3.1294071726094952E-4</v>
      </c>
      <c r="L558" t="s">
        <v>157</v>
      </c>
    </row>
    <row r="559" spans="9:12" x14ac:dyDescent="0.45">
      <c r="I559" t="s">
        <v>170</v>
      </c>
      <c r="J559" t="s">
        <v>233</v>
      </c>
      <c r="K559">
        <v>3.078338596384464E-4</v>
      </c>
      <c r="L559" t="s">
        <v>157</v>
      </c>
    </row>
    <row r="560" spans="9:12" x14ac:dyDescent="0.45">
      <c r="I560" t="s">
        <v>170</v>
      </c>
      <c r="J560" t="s">
        <v>234</v>
      </c>
      <c r="K560">
        <v>3.1626868728963181E-4</v>
      </c>
      <c r="L560" t="s">
        <v>157</v>
      </c>
    </row>
    <row r="561" spans="9:12" x14ac:dyDescent="0.45">
      <c r="I561" t="s">
        <v>170</v>
      </c>
      <c r="J561" t="s">
        <v>235</v>
      </c>
      <c r="K561">
        <v>3.0061782356848325E-4</v>
      </c>
      <c r="L561" t="s">
        <v>157</v>
      </c>
    </row>
    <row r="562" spans="9:12" x14ac:dyDescent="0.45">
      <c r="I562" t="s">
        <v>170</v>
      </c>
      <c r="J562" t="s">
        <v>236</v>
      </c>
      <c r="K562">
        <v>2.3643004325173535E-4</v>
      </c>
      <c r="L562" t="s">
        <v>157</v>
      </c>
    </row>
    <row r="563" spans="9:12" x14ac:dyDescent="0.45">
      <c r="I563" t="s">
        <v>170</v>
      </c>
      <c r="J563" t="s">
        <v>237</v>
      </c>
      <c r="K563">
        <v>1.871484837875954E-4</v>
      </c>
      <c r="L563" t="s">
        <v>157</v>
      </c>
    </row>
    <row r="564" spans="9:12" x14ac:dyDescent="0.45">
      <c r="I564" t="s">
        <v>170</v>
      </c>
      <c r="J564" t="s">
        <v>238</v>
      </c>
      <c r="K564">
        <v>1.1622975758985149E-4</v>
      </c>
      <c r="L564" t="s">
        <v>157</v>
      </c>
    </row>
    <row r="565" spans="9:12" x14ac:dyDescent="0.45">
      <c r="I565" t="s">
        <v>170</v>
      </c>
      <c r="J565" t="s">
        <v>239</v>
      </c>
      <c r="K565">
        <v>0</v>
      </c>
      <c r="L565" t="s">
        <v>157</v>
      </c>
    </row>
    <row r="566" spans="9:12" x14ac:dyDescent="0.45">
      <c r="I566" t="s">
        <v>170</v>
      </c>
      <c r="J566" t="s">
        <v>240</v>
      </c>
      <c r="K566">
        <v>0</v>
      </c>
      <c r="L566" t="s">
        <v>157</v>
      </c>
    </row>
    <row r="567" spans="9:12" x14ac:dyDescent="0.45">
      <c r="I567" t="s">
        <v>170</v>
      </c>
      <c r="J567" t="s">
        <v>241</v>
      </c>
      <c r="K567">
        <v>0</v>
      </c>
      <c r="L567" t="s">
        <v>157</v>
      </c>
    </row>
    <row r="568" spans="9:12" x14ac:dyDescent="0.45">
      <c r="I568" t="s">
        <v>170</v>
      </c>
      <c r="J568" t="s">
        <v>242</v>
      </c>
      <c r="K568">
        <v>0</v>
      </c>
      <c r="L568" t="s">
        <v>157</v>
      </c>
    </row>
    <row r="569" spans="9:12" x14ac:dyDescent="0.45">
      <c r="I569" t="s">
        <v>170</v>
      </c>
      <c r="J569" t="s">
        <v>243</v>
      </c>
      <c r="K569">
        <v>0</v>
      </c>
      <c r="L569" t="s">
        <v>157</v>
      </c>
    </row>
    <row r="570" spans="9:12" x14ac:dyDescent="0.45">
      <c r="I570" t="s">
        <v>170</v>
      </c>
      <c r="J570" t="s">
        <v>271</v>
      </c>
      <c r="K570">
        <v>0</v>
      </c>
      <c r="L570" t="s">
        <v>157</v>
      </c>
    </row>
    <row r="571" spans="9:12" x14ac:dyDescent="0.45">
      <c r="I571" t="s">
        <v>170</v>
      </c>
      <c r="J571" t="s">
        <v>272</v>
      </c>
      <c r="K571">
        <v>0</v>
      </c>
      <c r="L571" t="s">
        <v>157</v>
      </c>
    </row>
    <row r="572" spans="9:12" x14ac:dyDescent="0.45">
      <c r="I572" t="s">
        <v>170</v>
      </c>
      <c r="J572" t="s">
        <v>273</v>
      </c>
      <c r="K572">
        <v>0</v>
      </c>
      <c r="L572" t="s">
        <v>157</v>
      </c>
    </row>
    <row r="573" spans="9:12" x14ac:dyDescent="0.45">
      <c r="I573" t="s">
        <v>170</v>
      </c>
      <c r="J573" t="s">
        <v>274</v>
      </c>
      <c r="K573">
        <v>0</v>
      </c>
      <c r="L573" t="s">
        <v>157</v>
      </c>
    </row>
    <row r="574" spans="9:12" x14ac:dyDescent="0.45">
      <c r="I574" t="s">
        <v>170</v>
      </c>
      <c r="J574" t="s">
        <v>275</v>
      </c>
      <c r="K574">
        <v>0</v>
      </c>
      <c r="L574" t="s">
        <v>157</v>
      </c>
    </row>
    <row r="575" spans="9:12" x14ac:dyDescent="0.45">
      <c r="I575" t="s">
        <v>170</v>
      </c>
      <c r="J575" t="s">
        <v>276</v>
      </c>
      <c r="K575">
        <v>0</v>
      </c>
      <c r="L575" t="s">
        <v>157</v>
      </c>
    </row>
    <row r="576" spans="9:12" x14ac:dyDescent="0.45">
      <c r="I576" t="s">
        <v>170</v>
      </c>
      <c r="J576" t="s">
        <v>277</v>
      </c>
      <c r="K576">
        <v>0</v>
      </c>
      <c r="L576" t="s">
        <v>157</v>
      </c>
    </row>
    <row r="577" spans="9:12" x14ac:dyDescent="0.45">
      <c r="I577" t="s">
        <v>170</v>
      </c>
      <c r="J577" t="s">
        <v>278</v>
      </c>
      <c r="K577">
        <v>1.5928996462005033E-4</v>
      </c>
      <c r="L577" t="s">
        <v>157</v>
      </c>
    </row>
    <row r="578" spans="9:12" x14ac:dyDescent="0.45">
      <c r="I578" t="s">
        <v>170</v>
      </c>
      <c r="J578" t="s">
        <v>279</v>
      </c>
      <c r="K578">
        <v>2.6513483403170247E-4</v>
      </c>
      <c r="L578" t="s">
        <v>157</v>
      </c>
    </row>
    <row r="579" spans="9:12" x14ac:dyDescent="0.45">
      <c r="I579" t="s">
        <v>170</v>
      </c>
      <c r="J579" t="s">
        <v>280</v>
      </c>
      <c r="K579">
        <v>3.4149968763053567E-4</v>
      </c>
      <c r="L579" t="s">
        <v>157</v>
      </c>
    </row>
    <row r="580" spans="9:12" x14ac:dyDescent="0.45">
      <c r="I580" t="s">
        <v>170</v>
      </c>
      <c r="J580" t="s">
        <v>281</v>
      </c>
      <c r="K580">
        <v>3.6834648140144001E-4</v>
      </c>
      <c r="L580" t="s">
        <v>157</v>
      </c>
    </row>
    <row r="581" spans="9:12" x14ac:dyDescent="0.45">
      <c r="I581" t="s">
        <v>170</v>
      </c>
      <c r="J581" t="s">
        <v>282</v>
      </c>
      <c r="K581">
        <v>3.7191611285137383E-4</v>
      </c>
      <c r="L581" t="s">
        <v>157</v>
      </c>
    </row>
    <row r="582" spans="9:12" x14ac:dyDescent="0.45">
      <c r="I582" t="s">
        <v>170</v>
      </c>
      <c r="J582" t="s">
        <v>283</v>
      </c>
      <c r="K582">
        <v>3.6535277196480468E-4</v>
      </c>
      <c r="L582" t="s">
        <v>157</v>
      </c>
    </row>
    <row r="583" spans="9:12" x14ac:dyDescent="0.45">
      <c r="I583" t="s">
        <v>170</v>
      </c>
      <c r="J583" t="s">
        <v>284</v>
      </c>
      <c r="K583">
        <v>3.5796659088868876E-4</v>
      </c>
      <c r="L583" t="s">
        <v>157</v>
      </c>
    </row>
    <row r="584" spans="9:12" x14ac:dyDescent="0.45">
      <c r="I584" t="s">
        <v>170</v>
      </c>
      <c r="J584" t="s">
        <v>285</v>
      </c>
      <c r="K584">
        <v>3.444332427641444E-4</v>
      </c>
      <c r="L584" t="s">
        <v>157</v>
      </c>
    </row>
    <row r="585" spans="9:12" x14ac:dyDescent="0.45">
      <c r="I585" t="s">
        <v>170</v>
      </c>
      <c r="J585" t="s">
        <v>286</v>
      </c>
      <c r="K585">
        <v>2.6658469847481596E-4</v>
      </c>
      <c r="L585" t="s">
        <v>157</v>
      </c>
    </row>
    <row r="586" spans="9:12" x14ac:dyDescent="0.45">
      <c r="I586" t="s">
        <v>170</v>
      </c>
      <c r="J586" t="s">
        <v>287</v>
      </c>
      <c r="K586">
        <v>2.6265310549878246E-4</v>
      </c>
      <c r="L586" t="s">
        <v>157</v>
      </c>
    </row>
    <row r="587" spans="9:12" x14ac:dyDescent="0.45">
      <c r="I587" t="s">
        <v>170</v>
      </c>
      <c r="J587" t="s">
        <v>288</v>
      </c>
      <c r="K587">
        <v>2.5995286896592979E-4</v>
      </c>
      <c r="L587" t="s">
        <v>157</v>
      </c>
    </row>
    <row r="588" spans="9:12" x14ac:dyDescent="0.45">
      <c r="I588" t="s">
        <v>170</v>
      </c>
      <c r="J588" t="s">
        <v>289</v>
      </c>
      <c r="K588">
        <v>1.5705877250806353E-4</v>
      </c>
      <c r="L588" t="s">
        <v>157</v>
      </c>
    </row>
    <row r="589" spans="9:12" x14ac:dyDescent="0.45">
      <c r="I589" t="s">
        <v>170</v>
      </c>
      <c r="J589" t="s">
        <v>290</v>
      </c>
      <c r="K589">
        <v>0</v>
      </c>
      <c r="L589" t="s">
        <v>157</v>
      </c>
    </row>
    <row r="590" spans="9:12" x14ac:dyDescent="0.45">
      <c r="I590" t="s">
        <v>170</v>
      </c>
      <c r="J590" t="s">
        <v>291</v>
      </c>
      <c r="K590">
        <v>0</v>
      </c>
      <c r="L590" t="s">
        <v>157</v>
      </c>
    </row>
    <row r="591" spans="9:12" x14ac:dyDescent="0.45">
      <c r="I591" t="s">
        <v>170</v>
      </c>
      <c r="J591" t="s">
        <v>292</v>
      </c>
      <c r="K591">
        <v>0</v>
      </c>
      <c r="L591" t="s">
        <v>157</v>
      </c>
    </row>
    <row r="592" spans="9:12" x14ac:dyDescent="0.45">
      <c r="I592" t="s">
        <v>170</v>
      </c>
      <c r="J592" t="s">
        <v>293</v>
      </c>
      <c r="K592">
        <v>0</v>
      </c>
      <c r="L592" t="s">
        <v>157</v>
      </c>
    </row>
    <row r="593" spans="9:12" x14ac:dyDescent="0.45">
      <c r="I593" t="s">
        <v>170</v>
      </c>
      <c r="J593" t="s">
        <v>294</v>
      </c>
      <c r="K593">
        <v>0</v>
      </c>
      <c r="L593" t="s">
        <v>157</v>
      </c>
    </row>
    <row r="594" spans="9:12" x14ac:dyDescent="0.45">
      <c r="I594" t="s">
        <v>171</v>
      </c>
      <c r="J594" t="s">
        <v>156</v>
      </c>
      <c r="K594">
        <v>0.99338409947146766</v>
      </c>
      <c r="L594" t="s">
        <v>157</v>
      </c>
    </row>
    <row r="595" spans="9:12" x14ac:dyDescent="0.45">
      <c r="I595" t="s">
        <v>171</v>
      </c>
      <c r="J595" t="s">
        <v>158</v>
      </c>
      <c r="K595">
        <v>0</v>
      </c>
      <c r="L595" t="s">
        <v>157</v>
      </c>
    </row>
    <row r="596" spans="9:12" x14ac:dyDescent="0.45">
      <c r="I596" t="s">
        <v>171</v>
      </c>
      <c r="J596" t="s">
        <v>159</v>
      </c>
      <c r="K596">
        <v>0</v>
      </c>
      <c r="L596" t="s">
        <v>157</v>
      </c>
    </row>
    <row r="597" spans="9:12" x14ac:dyDescent="0.45">
      <c r="I597" t="s">
        <v>171</v>
      </c>
      <c r="J597" t="s">
        <v>160</v>
      </c>
      <c r="K597">
        <v>0</v>
      </c>
      <c r="L597" t="s">
        <v>157</v>
      </c>
    </row>
    <row r="598" spans="9:12" x14ac:dyDescent="0.45">
      <c r="I598" t="s">
        <v>171</v>
      </c>
      <c r="J598" t="s">
        <v>193</v>
      </c>
      <c r="K598">
        <v>0</v>
      </c>
      <c r="L598" t="s">
        <v>157</v>
      </c>
    </row>
    <row r="599" spans="9:12" x14ac:dyDescent="0.45">
      <c r="I599" t="s">
        <v>171</v>
      </c>
      <c r="J599" t="s">
        <v>220</v>
      </c>
      <c r="K599">
        <v>0</v>
      </c>
      <c r="L599" t="s">
        <v>157</v>
      </c>
    </row>
    <row r="600" spans="9:12" x14ac:dyDescent="0.45">
      <c r="I600" t="s">
        <v>171</v>
      </c>
      <c r="J600" t="s">
        <v>221</v>
      </c>
      <c r="K600">
        <v>0</v>
      </c>
      <c r="L600" t="s">
        <v>157</v>
      </c>
    </row>
    <row r="601" spans="9:12" x14ac:dyDescent="0.45">
      <c r="I601" t="s">
        <v>171</v>
      </c>
      <c r="J601" t="s">
        <v>222</v>
      </c>
      <c r="K601">
        <v>0</v>
      </c>
      <c r="L601" t="s">
        <v>157</v>
      </c>
    </row>
    <row r="602" spans="9:12" x14ac:dyDescent="0.45">
      <c r="I602" t="s">
        <v>171</v>
      </c>
      <c r="J602" t="s">
        <v>223</v>
      </c>
      <c r="K602">
        <v>0</v>
      </c>
      <c r="L602" t="s">
        <v>157</v>
      </c>
    </row>
    <row r="603" spans="9:12" x14ac:dyDescent="0.45">
      <c r="I603" t="s">
        <v>171</v>
      </c>
      <c r="J603" t="s">
        <v>224</v>
      </c>
      <c r="K603">
        <v>0</v>
      </c>
      <c r="L603" t="s">
        <v>157</v>
      </c>
    </row>
    <row r="604" spans="9:12" x14ac:dyDescent="0.45">
      <c r="I604" t="s">
        <v>171</v>
      </c>
      <c r="J604" t="s">
        <v>225</v>
      </c>
      <c r="K604">
        <v>0</v>
      </c>
      <c r="L604" t="s">
        <v>157</v>
      </c>
    </row>
    <row r="605" spans="9:12" x14ac:dyDescent="0.45">
      <c r="I605" t="s">
        <v>171</v>
      </c>
      <c r="J605" t="s">
        <v>226</v>
      </c>
      <c r="K605">
        <v>0</v>
      </c>
      <c r="L605" t="s">
        <v>157</v>
      </c>
    </row>
    <row r="606" spans="9:12" x14ac:dyDescent="0.45">
      <c r="I606" t="s">
        <v>171</v>
      </c>
      <c r="J606" t="s">
        <v>227</v>
      </c>
      <c r="K606">
        <v>1.3793389360080384E-4</v>
      </c>
      <c r="L606" t="s">
        <v>157</v>
      </c>
    </row>
    <row r="607" spans="9:12" x14ac:dyDescent="0.45">
      <c r="I607" t="s">
        <v>171</v>
      </c>
      <c r="J607" t="s">
        <v>228</v>
      </c>
      <c r="K607">
        <v>2.6287650666471799E-4</v>
      </c>
      <c r="L607" t="s">
        <v>157</v>
      </c>
    </row>
    <row r="608" spans="9:12" x14ac:dyDescent="0.45">
      <c r="I608" t="s">
        <v>171</v>
      </c>
      <c r="J608" t="s">
        <v>229</v>
      </c>
      <c r="K608">
        <v>3.2102286945333714E-4</v>
      </c>
      <c r="L608" t="s">
        <v>157</v>
      </c>
    </row>
    <row r="609" spans="9:12" x14ac:dyDescent="0.45">
      <c r="I609" t="s">
        <v>171</v>
      </c>
      <c r="J609" t="s">
        <v>230</v>
      </c>
      <c r="K609">
        <v>3.4767272070264013E-4</v>
      </c>
      <c r="L609" t="s">
        <v>157</v>
      </c>
    </row>
    <row r="610" spans="9:12" x14ac:dyDescent="0.45">
      <c r="I610" t="s">
        <v>171</v>
      </c>
      <c r="J610" t="s">
        <v>231</v>
      </c>
      <c r="K610">
        <v>3.2454352243440997E-4</v>
      </c>
      <c r="L610" t="s">
        <v>157</v>
      </c>
    </row>
    <row r="611" spans="9:12" x14ac:dyDescent="0.45">
      <c r="I611" t="s">
        <v>171</v>
      </c>
      <c r="J611" t="s">
        <v>232</v>
      </c>
      <c r="K611">
        <v>3.2446738440454324E-4</v>
      </c>
      <c r="L611" t="s">
        <v>157</v>
      </c>
    </row>
    <row r="612" spans="9:12" x14ac:dyDescent="0.45">
      <c r="I612" t="s">
        <v>171</v>
      </c>
      <c r="J612" t="s">
        <v>233</v>
      </c>
      <c r="K612">
        <v>3.0312281930909075E-4</v>
      </c>
      <c r="L612" t="s">
        <v>157</v>
      </c>
    </row>
    <row r="613" spans="9:12" x14ac:dyDescent="0.45">
      <c r="I613" t="s">
        <v>171</v>
      </c>
      <c r="J613" t="s">
        <v>234</v>
      </c>
      <c r="K613">
        <v>3.0928706711190874E-4</v>
      </c>
      <c r="L613" t="s">
        <v>157</v>
      </c>
    </row>
    <row r="614" spans="9:12" x14ac:dyDescent="0.45">
      <c r="I614" t="s">
        <v>171</v>
      </c>
      <c r="J614" t="s">
        <v>235</v>
      </c>
      <c r="K614">
        <v>3.1284926290186182E-4</v>
      </c>
      <c r="L614" t="s">
        <v>157</v>
      </c>
    </row>
    <row r="615" spans="9:12" x14ac:dyDescent="0.45">
      <c r="I615" t="s">
        <v>171</v>
      </c>
      <c r="J615" t="s">
        <v>236</v>
      </c>
      <c r="K615">
        <v>2.6856652899143109E-4</v>
      </c>
      <c r="L615" t="s">
        <v>157</v>
      </c>
    </row>
    <row r="616" spans="9:12" x14ac:dyDescent="0.45">
      <c r="I616" t="s">
        <v>171</v>
      </c>
      <c r="J616" t="s">
        <v>237</v>
      </c>
      <c r="K616">
        <v>2.0968817817123141E-4</v>
      </c>
      <c r="L616" t="s">
        <v>157</v>
      </c>
    </row>
    <row r="617" spans="9:12" x14ac:dyDescent="0.45">
      <c r="I617" t="s">
        <v>171</v>
      </c>
      <c r="J617" t="s">
        <v>238</v>
      </c>
      <c r="K617">
        <v>1.1335845356367266E-4</v>
      </c>
      <c r="L617" t="s">
        <v>157</v>
      </c>
    </row>
    <row r="618" spans="9:12" x14ac:dyDescent="0.45">
      <c r="I618" t="s">
        <v>171</v>
      </c>
      <c r="J618" t="s">
        <v>239</v>
      </c>
      <c r="K618">
        <v>0</v>
      </c>
      <c r="L618" t="s">
        <v>157</v>
      </c>
    </row>
    <row r="619" spans="9:12" x14ac:dyDescent="0.45">
      <c r="I619" t="s">
        <v>171</v>
      </c>
      <c r="J619" t="s">
        <v>240</v>
      </c>
      <c r="K619">
        <v>0</v>
      </c>
      <c r="L619" t="s">
        <v>157</v>
      </c>
    </row>
    <row r="620" spans="9:12" x14ac:dyDescent="0.45">
      <c r="I620" t="s">
        <v>171</v>
      </c>
      <c r="J620" t="s">
        <v>241</v>
      </c>
      <c r="K620">
        <v>0</v>
      </c>
      <c r="L620" t="s">
        <v>157</v>
      </c>
    </row>
    <row r="621" spans="9:12" x14ac:dyDescent="0.45">
      <c r="I621" t="s">
        <v>171</v>
      </c>
      <c r="J621" t="s">
        <v>242</v>
      </c>
      <c r="K621">
        <v>0</v>
      </c>
      <c r="L621" t="s">
        <v>157</v>
      </c>
    </row>
    <row r="622" spans="9:12" x14ac:dyDescent="0.45">
      <c r="I622" t="s">
        <v>171</v>
      </c>
      <c r="J622" t="s">
        <v>243</v>
      </c>
      <c r="K622">
        <v>0</v>
      </c>
      <c r="L622" t="s">
        <v>157</v>
      </c>
    </row>
    <row r="623" spans="9:12" x14ac:dyDescent="0.45">
      <c r="I623" t="s">
        <v>171</v>
      </c>
      <c r="J623" t="s">
        <v>271</v>
      </c>
      <c r="K623">
        <v>0</v>
      </c>
      <c r="L623" t="s">
        <v>157</v>
      </c>
    </row>
    <row r="624" spans="9:12" x14ac:dyDescent="0.45">
      <c r="I624" t="s">
        <v>171</v>
      </c>
      <c r="J624" t="s">
        <v>272</v>
      </c>
      <c r="K624">
        <v>0</v>
      </c>
      <c r="L624" t="s">
        <v>157</v>
      </c>
    </row>
    <row r="625" spans="9:12" x14ac:dyDescent="0.45">
      <c r="I625" t="s">
        <v>171</v>
      </c>
      <c r="J625" t="s">
        <v>273</v>
      </c>
      <c r="K625">
        <v>0</v>
      </c>
      <c r="L625" t="s">
        <v>157</v>
      </c>
    </row>
    <row r="626" spans="9:12" x14ac:dyDescent="0.45">
      <c r="I626" t="s">
        <v>171</v>
      </c>
      <c r="J626" t="s">
        <v>274</v>
      </c>
      <c r="K626">
        <v>0</v>
      </c>
      <c r="L626" t="s">
        <v>157</v>
      </c>
    </row>
    <row r="627" spans="9:12" x14ac:dyDescent="0.45">
      <c r="I627" t="s">
        <v>171</v>
      </c>
      <c r="J627" t="s">
        <v>275</v>
      </c>
      <c r="K627">
        <v>0</v>
      </c>
      <c r="L627" t="s">
        <v>157</v>
      </c>
    </row>
    <row r="628" spans="9:12" x14ac:dyDescent="0.45">
      <c r="I628" t="s">
        <v>171</v>
      </c>
      <c r="J628" t="s">
        <v>276</v>
      </c>
      <c r="K628">
        <v>0</v>
      </c>
      <c r="L628" t="s">
        <v>157</v>
      </c>
    </row>
    <row r="629" spans="9:12" x14ac:dyDescent="0.45">
      <c r="I629" t="s">
        <v>171</v>
      </c>
      <c r="J629" t="s">
        <v>277</v>
      </c>
      <c r="K629">
        <v>0</v>
      </c>
      <c r="L629" t="s">
        <v>157</v>
      </c>
    </row>
    <row r="630" spans="9:12" x14ac:dyDescent="0.45">
      <c r="I630" t="s">
        <v>171</v>
      </c>
      <c r="J630" t="s">
        <v>278</v>
      </c>
      <c r="K630">
        <v>1.5728406056788959E-4</v>
      </c>
      <c r="L630" t="s">
        <v>157</v>
      </c>
    </row>
    <row r="631" spans="9:12" x14ac:dyDescent="0.45">
      <c r="I631" t="s">
        <v>171</v>
      </c>
      <c r="J631" t="s">
        <v>279</v>
      </c>
      <c r="K631">
        <v>2.5991684398586601E-4</v>
      </c>
      <c r="L631" t="s">
        <v>157</v>
      </c>
    </row>
    <row r="632" spans="9:12" x14ac:dyDescent="0.45">
      <c r="I632" t="s">
        <v>171</v>
      </c>
      <c r="J632" t="s">
        <v>280</v>
      </c>
      <c r="K632">
        <v>3.3050854366515849E-4</v>
      </c>
      <c r="L632" t="s">
        <v>157</v>
      </c>
    </row>
    <row r="633" spans="9:12" x14ac:dyDescent="0.45">
      <c r="I633" t="s">
        <v>171</v>
      </c>
      <c r="J633" t="s">
        <v>281</v>
      </c>
      <c r="K633">
        <v>3.5692237001919727E-4</v>
      </c>
      <c r="L633" t="s">
        <v>157</v>
      </c>
    </row>
    <row r="634" spans="9:12" x14ac:dyDescent="0.45">
      <c r="I634" t="s">
        <v>171</v>
      </c>
      <c r="J634" t="s">
        <v>282</v>
      </c>
      <c r="K634">
        <v>3.4371642729155716E-4</v>
      </c>
      <c r="L634" t="s">
        <v>157</v>
      </c>
    </row>
    <row r="635" spans="9:12" x14ac:dyDescent="0.45">
      <c r="I635" t="s">
        <v>171</v>
      </c>
      <c r="J635" t="s">
        <v>283</v>
      </c>
      <c r="K635">
        <v>3.2406270314655272E-4</v>
      </c>
      <c r="L635" t="s">
        <v>157</v>
      </c>
    </row>
    <row r="636" spans="9:12" x14ac:dyDescent="0.45">
      <c r="I636" t="s">
        <v>171</v>
      </c>
      <c r="J636" t="s">
        <v>284</v>
      </c>
      <c r="K636">
        <v>3.3924916903746183E-4</v>
      </c>
      <c r="L636" t="s">
        <v>157</v>
      </c>
    </row>
    <row r="637" spans="9:12" x14ac:dyDescent="0.45">
      <c r="I637" t="s">
        <v>171</v>
      </c>
      <c r="J637" t="s">
        <v>285</v>
      </c>
      <c r="K637">
        <v>3.1044807150489825E-4</v>
      </c>
      <c r="L637" t="s">
        <v>157</v>
      </c>
    </row>
    <row r="638" spans="9:12" x14ac:dyDescent="0.45">
      <c r="I638" t="s">
        <v>171</v>
      </c>
      <c r="J638" t="s">
        <v>286</v>
      </c>
      <c r="K638">
        <v>2.9526793843531176E-4</v>
      </c>
      <c r="L638" t="s">
        <v>157</v>
      </c>
    </row>
    <row r="639" spans="9:12" x14ac:dyDescent="0.45">
      <c r="I639" t="s">
        <v>171</v>
      </c>
      <c r="J639" t="s">
        <v>287</v>
      </c>
      <c r="K639">
        <v>2.9083323868417068E-4</v>
      </c>
      <c r="L639" t="s">
        <v>157</v>
      </c>
    </row>
    <row r="640" spans="9:12" x14ac:dyDescent="0.45">
      <c r="I640" t="s">
        <v>171</v>
      </c>
      <c r="J640" t="s">
        <v>288</v>
      </c>
      <c r="K640">
        <v>2.3273923690201605E-4</v>
      </c>
      <c r="L640" t="s">
        <v>157</v>
      </c>
    </row>
    <row r="641" spans="9:12" x14ac:dyDescent="0.45">
      <c r="I641" t="s">
        <v>171</v>
      </c>
      <c r="J641" t="s">
        <v>289</v>
      </c>
      <c r="K641">
        <v>1.3956271798316479E-4</v>
      </c>
      <c r="L641" t="s">
        <v>157</v>
      </c>
    </row>
    <row r="642" spans="9:12" x14ac:dyDescent="0.45">
      <c r="I642" t="s">
        <v>171</v>
      </c>
      <c r="J642" t="s">
        <v>290</v>
      </c>
      <c r="K642">
        <v>0</v>
      </c>
      <c r="L642" t="s">
        <v>157</v>
      </c>
    </row>
    <row r="643" spans="9:12" x14ac:dyDescent="0.45">
      <c r="I643" t="s">
        <v>171</v>
      </c>
      <c r="J643" t="s">
        <v>291</v>
      </c>
      <c r="K643">
        <v>0</v>
      </c>
      <c r="L643" t="s">
        <v>157</v>
      </c>
    </row>
    <row r="644" spans="9:12" x14ac:dyDescent="0.45">
      <c r="I644" t="s">
        <v>171</v>
      </c>
      <c r="J644" t="s">
        <v>292</v>
      </c>
      <c r="K644">
        <v>0</v>
      </c>
      <c r="L644" t="s">
        <v>157</v>
      </c>
    </row>
    <row r="645" spans="9:12" x14ac:dyDescent="0.45">
      <c r="I645" t="s">
        <v>171</v>
      </c>
      <c r="J645" t="s">
        <v>293</v>
      </c>
      <c r="K645">
        <v>0</v>
      </c>
      <c r="L645" t="s">
        <v>157</v>
      </c>
    </row>
    <row r="646" spans="9:12" x14ac:dyDescent="0.45">
      <c r="I646" t="s">
        <v>171</v>
      </c>
      <c r="J646" t="s">
        <v>294</v>
      </c>
      <c r="K646">
        <v>0</v>
      </c>
      <c r="L646" t="s">
        <v>157</v>
      </c>
    </row>
    <row r="647" spans="9:12" x14ac:dyDescent="0.45">
      <c r="I647" t="s">
        <v>172</v>
      </c>
      <c r="J647" t="s">
        <v>156</v>
      </c>
      <c r="K647">
        <v>0.99345996540713088</v>
      </c>
      <c r="L647" t="s">
        <v>157</v>
      </c>
    </row>
    <row r="648" spans="9:12" x14ac:dyDescent="0.45">
      <c r="I648" t="s">
        <v>172</v>
      </c>
      <c r="J648" t="s">
        <v>158</v>
      </c>
      <c r="K648">
        <v>0</v>
      </c>
      <c r="L648" t="s">
        <v>157</v>
      </c>
    </row>
    <row r="649" spans="9:12" x14ac:dyDescent="0.45">
      <c r="I649" t="s">
        <v>172</v>
      </c>
      <c r="J649" t="s">
        <v>159</v>
      </c>
      <c r="K649">
        <v>0</v>
      </c>
      <c r="L649" t="s">
        <v>157</v>
      </c>
    </row>
    <row r="650" spans="9:12" x14ac:dyDescent="0.45">
      <c r="I650" t="s">
        <v>172</v>
      </c>
      <c r="J650" t="s">
        <v>160</v>
      </c>
      <c r="K650">
        <v>0</v>
      </c>
      <c r="L650" t="s">
        <v>157</v>
      </c>
    </row>
    <row r="651" spans="9:12" x14ac:dyDescent="0.45">
      <c r="I651" t="s">
        <v>172</v>
      </c>
      <c r="J651" t="s">
        <v>193</v>
      </c>
      <c r="K651">
        <v>0</v>
      </c>
      <c r="L651" t="s">
        <v>157</v>
      </c>
    </row>
    <row r="652" spans="9:12" x14ac:dyDescent="0.45">
      <c r="I652" t="s">
        <v>172</v>
      </c>
      <c r="J652" t="s">
        <v>220</v>
      </c>
      <c r="K652">
        <v>0</v>
      </c>
      <c r="L652" t="s">
        <v>157</v>
      </c>
    </row>
    <row r="653" spans="9:12" x14ac:dyDescent="0.45">
      <c r="I653" t="s">
        <v>172</v>
      </c>
      <c r="J653" t="s">
        <v>221</v>
      </c>
      <c r="K653">
        <v>0</v>
      </c>
      <c r="L653" t="s">
        <v>157</v>
      </c>
    </row>
    <row r="654" spans="9:12" x14ac:dyDescent="0.45">
      <c r="I654" t="s">
        <v>172</v>
      </c>
      <c r="J654" t="s">
        <v>222</v>
      </c>
      <c r="K654">
        <v>0</v>
      </c>
      <c r="L654" t="s">
        <v>157</v>
      </c>
    </row>
    <row r="655" spans="9:12" x14ac:dyDescent="0.45">
      <c r="I655" t="s">
        <v>172</v>
      </c>
      <c r="J655" t="s">
        <v>223</v>
      </c>
      <c r="K655">
        <v>0</v>
      </c>
      <c r="L655" t="s">
        <v>157</v>
      </c>
    </row>
    <row r="656" spans="9:12" x14ac:dyDescent="0.45">
      <c r="I656" t="s">
        <v>172</v>
      </c>
      <c r="J656" t="s">
        <v>224</v>
      </c>
      <c r="K656">
        <v>0</v>
      </c>
      <c r="L656" t="s">
        <v>157</v>
      </c>
    </row>
    <row r="657" spans="9:12" x14ac:dyDescent="0.45">
      <c r="I657" t="s">
        <v>172</v>
      </c>
      <c r="J657" t="s">
        <v>225</v>
      </c>
      <c r="K657">
        <v>0</v>
      </c>
      <c r="L657" t="s">
        <v>157</v>
      </c>
    </row>
    <row r="658" spans="9:12" x14ac:dyDescent="0.45">
      <c r="I658" t="s">
        <v>172</v>
      </c>
      <c r="J658" t="s">
        <v>226</v>
      </c>
      <c r="K658">
        <v>0</v>
      </c>
      <c r="L658" t="s">
        <v>157</v>
      </c>
    </row>
    <row r="659" spans="9:12" x14ac:dyDescent="0.45">
      <c r="I659" t="s">
        <v>172</v>
      </c>
      <c r="J659" t="s">
        <v>227</v>
      </c>
      <c r="K659">
        <v>1.3396793320715012E-4</v>
      </c>
      <c r="L659" t="s">
        <v>157</v>
      </c>
    </row>
    <row r="660" spans="9:12" x14ac:dyDescent="0.45">
      <c r="I660" t="s">
        <v>172</v>
      </c>
      <c r="J660" t="s">
        <v>228</v>
      </c>
      <c r="K660">
        <v>2.671406268003914E-4</v>
      </c>
      <c r="L660" t="s">
        <v>157</v>
      </c>
    </row>
    <row r="661" spans="9:12" x14ac:dyDescent="0.45">
      <c r="I661" t="s">
        <v>172</v>
      </c>
      <c r="J661" t="s">
        <v>229</v>
      </c>
      <c r="K661">
        <v>2.9699828754969193E-4</v>
      </c>
      <c r="L661" t="s">
        <v>157</v>
      </c>
    </row>
    <row r="662" spans="9:12" x14ac:dyDescent="0.45">
      <c r="I662" t="s">
        <v>172</v>
      </c>
      <c r="J662" t="s">
        <v>230</v>
      </c>
      <c r="K662">
        <v>3.5282727417737536E-4</v>
      </c>
      <c r="L662" t="s">
        <v>157</v>
      </c>
    </row>
    <row r="663" spans="9:12" x14ac:dyDescent="0.45">
      <c r="I663" t="s">
        <v>172</v>
      </c>
      <c r="J663" t="s">
        <v>231</v>
      </c>
      <c r="K663">
        <v>3.2182544816209839E-4</v>
      </c>
      <c r="L663" t="s">
        <v>157</v>
      </c>
    </row>
    <row r="664" spans="9:12" x14ac:dyDescent="0.45">
      <c r="I664" t="s">
        <v>172</v>
      </c>
      <c r="J664" t="s">
        <v>232</v>
      </c>
      <c r="K664">
        <v>3.2550624603836192E-4</v>
      </c>
      <c r="L664" t="s">
        <v>157</v>
      </c>
    </row>
    <row r="665" spans="9:12" x14ac:dyDescent="0.45">
      <c r="I665" t="s">
        <v>172</v>
      </c>
      <c r="J665" t="s">
        <v>233</v>
      </c>
      <c r="K665">
        <v>3.0690454615952482E-4</v>
      </c>
      <c r="L665" t="s">
        <v>157</v>
      </c>
    </row>
    <row r="666" spans="9:12" x14ac:dyDescent="0.45">
      <c r="I666" t="s">
        <v>172</v>
      </c>
      <c r="J666" t="s">
        <v>234</v>
      </c>
      <c r="K666">
        <v>2.9526001934267795E-4</v>
      </c>
      <c r="L666" t="s">
        <v>157</v>
      </c>
    </row>
    <row r="667" spans="9:12" x14ac:dyDescent="0.45">
      <c r="I667" t="s">
        <v>172</v>
      </c>
      <c r="J667" t="s">
        <v>235</v>
      </c>
      <c r="K667">
        <v>3.1568723435732195E-4</v>
      </c>
      <c r="L667" t="s">
        <v>157</v>
      </c>
    </row>
    <row r="668" spans="9:12" x14ac:dyDescent="0.45">
      <c r="I668" t="s">
        <v>172</v>
      </c>
      <c r="J668" t="s">
        <v>236</v>
      </c>
      <c r="K668">
        <v>2.6276143920446671E-4</v>
      </c>
      <c r="L668" t="s">
        <v>157</v>
      </c>
    </row>
    <row r="669" spans="9:12" x14ac:dyDescent="0.45">
      <c r="I669" t="s">
        <v>172</v>
      </c>
      <c r="J669" t="s">
        <v>237</v>
      </c>
      <c r="K669">
        <v>2.2640014697354385E-4</v>
      </c>
      <c r="L669" t="s">
        <v>157</v>
      </c>
    </row>
    <row r="670" spans="9:12" x14ac:dyDescent="0.45">
      <c r="I670" t="s">
        <v>172</v>
      </c>
      <c r="J670" t="s">
        <v>238</v>
      </c>
      <c r="K670">
        <v>1.4478471813236023E-4</v>
      </c>
      <c r="L670" t="s">
        <v>157</v>
      </c>
    </row>
    <row r="671" spans="9:12" x14ac:dyDescent="0.45">
      <c r="I671" t="s">
        <v>172</v>
      </c>
      <c r="J671" t="s">
        <v>239</v>
      </c>
      <c r="K671">
        <v>0</v>
      </c>
      <c r="L671" t="s">
        <v>157</v>
      </c>
    </row>
    <row r="672" spans="9:12" x14ac:dyDescent="0.45">
      <c r="I672" t="s">
        <v>172</v>
      </c>
      <c r="J672" t="s">
        <v>240</v>
      </c>
      <c r="K672">
        <v>0</v>
      </c>
      <c r="L672" t="s">
        <v>157</v>
      </c>
    </row>
    <row r="673" spans="9:12" x14ac:dyDescent="0.45">
      <c r="I673" t="s">
        <v>172</v>
      </c>
      <c r="J673" t="s">
        <v>241</v>
      </c>
      <c r="K673">
        <v>0</v>
      </c>
      <c r="L673" t="s">
        <v>157</v>
      </c>
    </row>
    <row r="674" spans="9:12" x14ac:dyDescent="0.45">
      <c r="I674" t="s">
        <v>172</v>
      </c>
      <c r="J674" t="s">
        <v>242</v>
      </c>
      <c r="K674">
        <v>0</v>
      </c>
      <c r="L674" t="s">
        <v>157</v>
      </c>
    </row>
    <row r="675" spans="9:12" x14ac:dyDescent="0.45">
      <c r="I675" t="s">
        <v>172</v>
      </c>
      <c r="J675" t="s">
        <v>243</v>
      </c>
      <c r="K675">
        <v>0</v>
      </c>
      <c r="L675" t="s">
        <v>157</v>
      </c>
    </row>
    <row r="676" spans="9:12" x14ac:dyDescent="0.45">
      <c r="I676" t="s">
        <v>172</v>
      </c>
      <c r="J676" t="s">
        <v>271</v>
      </c>
      <c r="K676">
        <v>0</v>
      </c>
      <c r="L676" t="s">
        <v>157</v>
      </c>
    </row>
    <row r="677" spans="9:12" x14ac:dyDescent="0.45">
      <c r="I677" t="s">
        <v>172</v>
      </c>
      <c r="J677" t="s">
        <v>272</v>
      </c>
      <c r="K677">
        <v>0</v>
      </c>
      <c r="L677" t="s">
        <v>157</v>
      </c>
    </row>
    <row r="678" spans="9:12" x14ac:dyDescent="0.45">
      <c r="I678" t="s">
        <v>172</v>
      </c>
      <c r="J678" t="s">
        <v>273</v>
      </c>
      <c r="K678">
        <v>0</v>
      </c>
      <c r="L678" t="s">
        <v>157</v>
      </c>
    </row>
    <row r="679" spans="9:12" x14ac:dyDescent="0.45">
      <c r="I679" t="s">
        <v>172</v>
      </c>
      <c r="J679" t="s">
        <v>274</v>
      </c>
      <c r="K679">
        <v>0</v>
      </c>
      <c r="L679" t="s">
        <v>157</v>
      </c>
    </row>
    <row r="680" spans="9:12" x14ac:dyDescent="0.45">
      <c r="I680" t="s">
        <v>172</v>
      </c>
      <c r="J680" t="s">
        <v>275</v>
      </c>
      <c r="K680">
        <v>0</v>
      </c>
      <c r="L680" t="s">
        <v>157</v>
      </c>
    </row>
    <row r="681" spans="9:12" x14ac:dyDescent="0.45">
      <c r="I681" t="s">
        <v>172</v>
      </c>
      <c r="J681" t="s">
        <v>276</v>
      </c>
      <c r="K681">
        <v>0</v>
      </c>
      <c r="L681" t="s">
        <v>157</v>
      </c>
    </row>
    <row r="682" spans="9:12" x14ac:dyDescent="0.45">
      <c r="I682" t="s">
        <v>172</v>
      </c>
      <c r="J682" t="s">
        <v>277</v>
      </c>
      <c r="K682">
        <v>0</v>
      </c>
      <c r="L682" t="s">
        <v>157</v>
      </c>
    </row>
    <row r="683" spans="9:12" x14ac:dyDescent="0.45">
      <c r="I683" t="s">
        <v>172</v>
      </c>
      <c r="J683" t="s">
        <v>278</v>
      </c>
      <c r="K683">
        <v>1.5855782038933747E-4</v>
      </c>
      <c r="L683" t="s">
        <v>157</v>
      </c>
    </row>
    <row r="684" spans="9:12" x14ac:dyDescent="0.45">
      <c r="I684" t="s">
        <v>172</v>
      </c>
      <c r="J684" t="s">
        <v>279</v>
      </c>
      <c r="K684">
        <v>2.5272397271710467E-4</v>
      </c>
      <c r="L684" t="s">
        <v>157</v>
      </c>
    </row>
    <row r="685" spans="9:12" x14ac:dyDescent="0.45">
      <c r="I685" t="s">
        <v>172</v>
      </c>
      <c r="J685" t="s">
        <v>280</v>
      </c>
      <c r="K685">
        <v>3.280800748790227E-4</v>
      </c>
      <c r="L685" t="s">
        <v>157</v>
      </c>
    </row>
    <row r="686" spans="9:12" x14ac:dyDescent="0.45">
      <c r="I686" t="s">
        <v>172</v>
      </c>
      <c r="J686" t="s">
        <v>281</v>
      </c>
      <c r="K686">
        <v>3.5134181444622842E-4</v>
      </c>
      <c r="L686" t="s">
        <v>157</v>
      </c>
    </row>
    <row r="687" spans="9:12" x14ac:dyDescent="0.45">
      <c r="I687" t="s">
        <v>172</v>
      </c>
      <c r="J687" t="s">
        <v>282</v>
      </c>
      <c r="K687">
        <v>3.3394868326792697E-4</v>
      </c>
      <c r="L687" t="s">
        <v>157</v>
      </c>
    </row>
    <row r="688" spans="9:12" x14ac:dyDescent="0.45">
      <c r="I688" t="s">
        <v>172</v>
      </c>
      <c r="J688" t="s">
        <v>283</v>
      </c>
      <c r="K688">
        <v>3.2545718308933506E-4</v>
      </c>
      <c r="L688" t="s">
        <v>157</v>
      </c>
    </row>
    <row r="689" spans="9:12" x14ac:dyDescent="0.45">
      <c r="I689" t="s">
        <v>172</v>
      </c>
      <c r="J689" t="s">
        <v>284</v>
      </c>
      <c r="K689">
        <v>3.3780023066293745E-4</v>
      </c>
      <c r="L689" t="s">
        <v>157</v>
      </c>
    </row>
    <row r="690" spans="9:12" x14ac:dyDescent="0.45">
      <c r="I690" t="s">
        <v>172</v>
      </c>
      <c r="J690" t="s">
        <v>285</v>
      </c>
      <c r="K690">
        <v>3.0741349521996679E-4</v>
      </c>
      <c r="L690" t="s">
        <v>157</v>
      </c>
    </row>
    <row r="691" spans="9:12" x14ac:dyDescent="0.45">
      <c r="I691" t="s">
        <v>172</v>
      </c>
      <c r="J691" t="s">
        <v>286</v>
      </c>
      <c r="K691">
        <v>2.8543963553558018E-4</v>
      </c>
      <c r="L691" t="s">
        <v>157</v>
      </c>
    </row>
    <row r="692" spans="9:12" x14ac:dyDescent="0.45">
      <c r="I692" t="s">
        <v>172</v>
      </c>
      <c r="J692" t="s">
        <v>287</v>
      </c>
      <c r="K692">
        <v>2.7061367988550505E-4</v>
      </c>
      <c r="L692" t="s">
        <v>157</v>
      </c>
    </row>
    <row r="693" spans="9:12" x14ac:dyDescent="0.45">
      <c r="I693" t="s">
        <v>172</v>
      </c>
      <c r="J693" t="s">
        <v>288</v>
      </c>
      <c r="K693">
        <v>2.0498850633192156E-4</v>
      </c>
      <c r="L693" t="s">
        <v>157</v>
      </c>
    </row>
    <row r="694" spans="9:12" x14ac:dyDescent="0.45">
      <c r="I694" t="s">
        <v>172</v>
      </c>
      <c r="J694" t="s">
        <v>289</v>
      </c>
      <c r="K694">
        <v>1.3360557633845403E-4</v>
      </c>
      <c r="L694" t="s">
        <v>157</v>
      </c>
    </row>
    <row r="695" spans="9:12" x14ac:dyDescent="0.45">
      <c r="I695" t="s">
        <v>172</v>
      </c>
      <c r="J695" t="s">
        <v>290</v>
      </c>
      <c r="K695">
        <v>0</v>
      </c>
      <c r="L695" t="s">
        <v>157</v>
      </c>
    </row>
    <row r="696" spans="9:12" x14ac:dyDescent="0.45">
      <c r="I696" t="s">
        <v>172</v>
      </c>
      <c r="J696" t="s">
        <v>291</v>
      </c>
      <c r="K696">
        <v>0</v>
      </c>
      <c r="L696" t="s">
        <v>157</v>
      </c>
    </row>
    <row r="697" spans="9:12" x14ac:dyDescent="0.45">
      <c r="I697" t="s">
        <v>172</v>
      </c>
      <c r="J697" t="s">
        <v>292</v>
      </c>
      <c r="K697">
        <v>0</v>
      </c>
      <c r="L697" t="s">
        <v>157</v>
      </c>
    </row>
    <row r="698" spans="9:12" x14ac:dyDescent="0.45">
      <c r="I698" t="s">
        <v>172</v>
      </c>
      <c r="J698" t="s">
        <v>293</v>
      </c>
      <c r="K698">
        <v>0</v>
      </c>
      <c r="L698" t="s">
        <v>157</v>
      </c>
    </row>
    <row r="699" spans="9:12" x14ac:dyDescent="0.45">
      <c r="I699" t="s">
        <v>172</v>
      </c>
      <c r="J699" t="s">
        <v>294</v>
      </c>
      <c r="K699">
        <v>0</v>
      </c>
      <c r="L699" t="s">
        <v>157</v>
      </c>
    </row>
    <row r="700" spans="9:12" x14ac:dyDescent="0.45">
      <c r="I700" t="s">
        <v>173</v>
      </c>
      <c r="J700" t="s">
        <v>156</v>
      </c>
      <c r="K700">
        <v>0.99340940683744527</v>
      </c>
      <c r="L700" t="s">
        <v>157</v>
      </c>
    </row>
    <row r="701" spans="9:12" x14ac:dyDescent="0.45">
      <c r="I701" t="s">
        <v>173</v>
      </c>
      <c r="J701" t="s">
        <v>158</v>
      </c>
      <c r="K701">
        <v>0</v>
      </c>
      <c r="L701" t="s">
        <v>157</v>
      </c>
    </row>
    <row r="702" spans="9:12" x14ac:dyDescent="0.45">
      <c r="I702" t="s">
        <v>173</v>
      </c>
      <c r="J702" t="s">
        <v>159</v>
      </c>
      <c r="K702">
        <v>0</v>
      </c>
      <c r="L702" t="s">
        <v>157</v>
      </c>
    </row>
    <row r="703" spans="9:12" x14ac:dyDescent="0.45">
      <c r="I703" t="s">
        <v>173</v>
      </c>
      <c r="J703" t="s">
        <v>160</v>
      </c>
      <c r="K703">
        <v>0</v>
      </c>
      <c r="L703" t="s">
        <v>157</v>
      </c>
    </row>
    <row r="704" spans="9:12" x14ac:dyDescent="0.45">
      <c r="I704" t="s">
        <v>173</v>
      </c>
      <c r="J704" t="s">
        <v>193</v>
      </c>
      <c r="K704">
        <v>0</v>
      </c>
      <c r="L704" t="s">
        <v>157</v>
      </c>
    </row>
    <row r="705" spans="9:12" x14ac:dyDescent="0.45">
      <c r="I705" t="s">
        <v>173</v>
      </c>
      <c r="J705" t="s">
        <v>220</v>
      </c>
      <c r="K705">
        <v>0</v>
      </c>
      <c r="L705" t="s">
        <v>157</v>
      </c>
    </row>
    <row r="706" spans="9:12" x14ac:dyDescent="0.45">
      <c r="I706" t="s">
        <v>173</v>
      </c>
      <c r="J706" t="s">
        <v>221</v>
      </c>
      <c r="K706">
        <v>0</v>
      </c>
      <c r="L706" t="s">
        <v>157</v>
      </c>
    </row>
    <row r="707" spans="9:12" x14ac:dyDescent="0.45">
      <c r="I707" t="s">
        <v>173</v>
      </c>
      <c r="J707" t="s">
        <v>222</v>
      </c>
      <c r="K707">
        <v>0</v>
      </c>
      <c r="L707" t="s">
        <v>157</v>
      </c>
    </row>
    <row r="708" spans="9:12" x14ac:dyDescent="0.45">
      <c r="I708" t="s">
        <v>173</v>
      </c>
      <c r="J708" t="s">
        <v>223</v>
      </c>
      <c r="K708">
        <v>0</v>
      </c>
      <c r="L708" t="s">
        <v>157</v>
      </c>
    </row>
    <row r="709" spans="9:12" x14ac:dyDescent="0.45">
      <c r="I709" t="s">
        <v>173</v>
      </c>
      <c r="J709" t="s">
        <v>224</v>
      </c>
      <c r="K709">
        <v>0</v>
      </c>
      <c r="L709" t="s">
        <v>157</v>
      </c>
    </row>
    <row r="710" spans="9:12" x14ac:dyDescent="0.45">
      <c r="I710" t="s">
        <v>173</v>
      </c>
      <c r="J710" t="s">
        <v>225</v>
      </c>
      <c r="K710">
        <v>0</v>
      </c>
      <c r="L710" t="s">
        <v>157</v>
      </c>
    </row>
    <row r="711" spans="9:12" x14ac:dyDescent="0.45">
      <c r="I711" t="s">
        <v>173</v>
      </c>
      <c r="J711" t="s">
        <v>226</v>
      </c>
      <c r="K711">
        <v>0</v>
      </c>
      <c r="L711" t="s">
        <v>157</v>
      </c>
    </row>
    <row r="712" spans="9:12" x14ac:dyDescent="0.45">
      <c r="I712" t="s">
        <v>173</v>
      </c>
      <c r="J712" t="s">
        <v>227</v>
      </c>
      <c r="K712">
        <v>1.1935657673576815E-4</v>
      </c>
      <c r="L712" t="s">
        <v>157</v>
      </c>
    </row>
    <row r="713" spans="9:12" x14ac:dyDescent="0.45">
      <c r="I713" t="s">
        <v>173</v>
      </c>
      <c r="J713" t="s">
        <v>228</v>
      </c>
      <c r="K713">
        <v>2.4369549620937967E-4</v>
      </c>
      <c r="L713" t="s">
        <v>157</v>
      </c>
    </row>
    <row r="714" spans="9:12" x14ac:dyDescent="0.45">
      <c r="I714" t="s">
        <v>173</v>
      </c>
      <c r="J714" t="s">
        <v>229</v>
      </c>
      <c r="K714">
        <v>3.1898422597647269E-4</v>
      </c>
      <c r="L714" t="s">
        <v>157</v>
      </c>
    </row>
    <row r="715" spans="9:12" x14ac:dyDescent="0.45">
      <c r="I715" t="s">
        <v>173</v>
      </c>
      <c r="J715" t="s">
        <v>230</v>
      </c>
      <c r="K715">
        <v>3.412603058197613E-4</v>
      </c>
      <c r="L715" t="s">
        <v>157</v>
      </c>
    </row>
    <row r="716" spans="9:12" x14ac:dyDescent="0.45">
      <c r="I716" t="s">
        <v>173</v>
      </c>
      <c r="J716" t="s">
        <v>231</v>
      </c>
      <c r="K716">
        <v>3.5990455853463827E-4</v>
      </c>
      <c r="L716" t="s">
        <v>157</v>
      </c>
    </row>
    <row r="717" spans="9:12" x14ac:dyDescent="0.45">
      <c r="I717" t="s">
        <v>173</v>
      </c>
      <c r="J717" t="s">
        <v>232</v>
      </c>
      <c r="K717">
        <v>3.3251748332787631E-4</v>
      </c>
      <c r="L717" t="s">
        <v>157</v>
      </c>
    </row>
    <row r="718" spans="9:12" x14ac:dyDescent="0.45">
      <c r="I718" t="s">
        <v>173</v>
      </c>
      <c r="J718" t="s">
        <v>233</v>
      </c>
      <c r="K718">
        <v>3.1987951071301216E-4</v>
      </c>
      <c r="L718" t="s">
        <v>157</v>
      </c>
    </row>
    <row r="719" spans="9:12" x14ac:dyDescent="0.45">
      <c r="I719" t="s">
        <v>173</v>
      </c>
      <c r="J719" t="s">
        <v>234</v>
      </c>
      <c r="K719">
        <v>3.1537090763743226E-4</v>
      </c>
      <c r="L719" t="s">
        <v>157</v>
      </c>
    </row>
    <row r="720" spans="9:12" x14ac:dyDescent="0.45">
      <c r="I720" t="s">
        <v>173</v>
      </c>
      <c r="J720" t="s">
        <v>235</v>
      </c>
      <c r="K720">
        <v>2.8522940668044167E-4</v>
      </c>
      <c r="L720" t="s">
        <v>157</v>
      </c>
    </row>
    <row r="721" spans="9:12" x14ac:dyDescent="0.45">
      <c r="I721" t="s">
        <v>173</v>
      </c>
      <c r="J721" t="s">
        <v>236</v>
      </c>
      <c r="K721">
        <v>2.3893182614073295E-4</v>
      </c>
      <c r="L721" t="s">
        <v>157</v>
      </c>
    </row>
    <row r="722" spans="9:12" x14ac:dyDescent="0.45">
      <c r="I722" t="s">
        <v>173</v>
      </c>
      <c r="J722" t="s">
        <v>237</v>
      </c>
      <c r="K722">
        <v>2.2579230333538659E-4</v>
      </c>
      <c r="L722" t="s">
        <v>157</v>
      </c>
    </row>
    <row r="723" spans="9:12" x14ac:dyDescent="0.45">
      <c r="I723" t="s">
        <v>173</v>
      </c>
      <c r="J723" t="s">
        <v>238</v>
      </c>
      <c r="K723">
        <v>1.449489665360487E-4</v>
      </c>
      <c r="L723" t="s">
        <v>157</v>
      </c>
    </row>
    <row r="724" spans="9:12" x14ac:dyDescent="0.45">
      <c r="I724" t="s">
        <v>173</v>
      </c>
      <c r="J724" t="s">
        <v>239</v>
      </c>
      <c r="K724">
        <v>0</v>
      </c>
      <c r="L724" t="s">
        <v>157</v>
      </c>
    </row>
    <row r="725" spans="9:12" x14ac:dyDescent="0.45">
      <c r="I725" t="s">
        <v>173</v>
      </c>
      <c r="J725" t="s">
        <v>240</v>
      </c>
      <c r="K725">
        <v>0</v>
      </c>
      <c r="L725" t="s">
        <v>157</v>
      </c>
    </row>
    <row r="726" spans="9:12" x14ac:dyDescent="0.45">
      <c r="I726" t="s">
        <v>173</v>
      </c>
      <c r="J726" t="s">
        <v>241</v>
      </c>
      <c r="K726">
        <v>0</v>
      </c>
      <c r="L726" t="s">
        <v>157</v>
      </c>
    </row>
    <row r="727" spans="9:12" x14ac:dyDescent="0.45">
      <c r="I727" t="s">
        <v>173</v>
      </c>
      <c r="J727" t="s">
        <v>242</v>
      </c>
      <c r="K727">
        <v>0</v>
      </c>
      <c r="L727" t="s">
        <v>157</v>
      </c>
    </row>
    <row r="728" spans="9:12" x14ac:dyDescent="0.45">
      <c r="I728" t="s">
        <v>173</v>
      </c>
      <c r="J728" t="s">
        <v>243</v>
      </c>
      <c r="K728">
        <v>0</v>
      </c>
      <c r="L728" t="s">
        <v>157</v>
      </c>
    </row>
    <row r="729" spans="9:12" x14ac:dyDescent="0.45">
      <c r="I729" t="s">
        <v>173</v>
      </c>
      <c r="J729" t="s">
        <v>271</v>
      </c>
      <c r="K729">
        <v>0</v>
      </c>
      <c r="L729" t="s">
        <v>157</v>
      </c>
    </row>
    <row r="730" spans="9:12" x14ac:dyDescent="0.45">
      <c r="I730" t="s">
        <v>173</v>
      </c>
      <c r="J730" t="s">
        <v>272</v>
      </c>
      <c r="K730">
        <v>0</v>
      </c>
      <c r="L730" t="s">
        <v>157</v>
      </c>
    </row>
    <row r="731" spans="9:12" x14ac:dyDescent="0.45">
      <c r="I731" t="s">
        <v>173</v>
      </c>
      <c r="J731" t="s">
        <v>273</v>
      </c>
      <c r="K731">
        <v>0</v>
      </c>
      <c r="L731" t="s">
        <v>157</v>
      </c>
    </row>
    <row r="732" spans="9:12" x14ac:dyDescent="0.45">
      <c r="I732" t="s">
        <v>173</v>
      </c>
      <c r="J732" t="s">
        <v>274</v>
      </c>
      <c r="K732">
        <v>0</v>
      </c>
      <c r="L732" t="s">
        <v>157</v>
      </c>
    </row>
    <row r="733" spans="9:12" x14ac:dyDescent="0.45">
      <c r="I733" t="s">
        <v>173</v>
      </c>
      <c r="J733" t="s">
        <v>275</v>
      </c>
      <c r="K733">
        <v>0</v>
      </c>
      <c r="L733" t="s">
        <v>157</v>
      </c>
    </row>
    <row r="734" spans="9:12" x14ac:dyDescent="0.45">
      <c r="I734" t="s">
        <v>173</v>
      </c>
      <c r="J734" t="s">
        <v>276</v>
      </c>
      <c r="K734">
        <v>0</v>
      </c>
      <c r="L734" t="s">
        <v>157</v>
      </c>
    </row>
    <row r="735" spans="9:12" x14ac:dyDescent="0.45">
      <c r="I735" t="s">
        <v>173</v>
      </c>
      <c r="J735" t="s">
        <v>277</v>
      </c>
      <c r="K735">
        <v>0</v>
      </c>
      <c r="L735" t="s">
        <v>157</v>
      </c>
    </row>
    <row r="736" spans="9:12" x14ac:dyDescent="0.45">
      <c r="I736" t="s">
        <v>173</v>
      </c>
      <c r="J736" t="s">
        <v>278</v>
      </c>
      <c r="K736">
        <v>1.4855781867610489E-4</v>
      </c>
      <c r="L736" t="s">
        <v>157</v>
      </c>
    </row>
    <row r="737" spans="9:12" x14ac:dyDescent="0.45">
      <c r="I737" t="s">
        <v>173</v>
      </c>
      <c r="J737" t="s">
        <v>279</v>
      </c>
      <c r="K737">
        <v>2.4493973271457175E-4</v>
      </c>
      <c r="L737" t="s">
        <v>157</v>
      </c>
    </row>
    <row r="738" spans="9:12" x14ac:dyDescent="0.45">
      <c r="I738" t="s">
        <v>173</v>
      </c>
      <c r="J738" t="s">
        <v>280</v>
      </c>
      <c r="K738">
        <v>3.26268873787835E-4</v>
      </c>
      <c r="L738" t="s">
        <v>157</v>
      </c>
    </row>
    <row r="739" spans="9:12" x14ac:dyDescent="0.45">
      <c r="I739" t="s">
        <v>173</v>
      </c>
      <c r="J739" t="s">
        <v>281</v>
      </c>
      <c r="K739">
        <v>3.5985206173404731E-4</v>
      </c>
      <c r="L739" t="s">
        <v>157</v>
      </c>
    </row>
    <row r="740" spans="9:12" x14ac:dyDescent="0.45">
      <c r="I740" t="s">
        <v>173</v>
      </c>
      <c r="J740" t="s">
        <v>282</v>
      </c>
      <c r="K740">
        <v>3.5624037799872332E-4</v>
      </c>
      <c r="L740" t="s">
        <v>157</v>
      </c>
    </row>
    <row r="741" spans="9:12" x14ac:dyDescent="0.45">
      <c r="I741" t="s">
        <v>173</v>
      </c>
      <c r="J741" t="s">
        <v>283</v>
      </c>
      <c r="K741">
        <v>3.5200395574831169E-4</v>
      </c>
      <c r="L741" t="s">
        <v>157</v>
      </c>
    </row>
    <row r="742" spans="9:12" x14ac:dyDescent="0.45">
      <c r="I742" t="s">
        <v>173</v>
      </c>
      <c r="J742" t="s">
        <v>284</v>
      </c>
      <c r="K742">
        <v>3.2871918873787266E-4</v>
      </c>
      <c r="L742" t="s">
        <v>157</v>
      </c>
    </row>
    <row r="743" spans="9:12" x14ac:dyDescent="0.45">
      <c r="I743" t="s">
        <v>173</v>
      </c>
      <c r="J743" t="s">
        <v>285</v>
      </c>
      <c r="K743">
        <v>3.0784290606664062E-4</v>
      </c>
      <c r="L743" t="s">
        <v>157</v>
      </c>
    </row>
    <row r="744" spans="9:12" x14ac:dyDescent="0.45">
      <c r="I744" t="s">
        <v>173</v>
      </c>
      <c r="J744" t="s">
        <v>286</v>
      </c>
      <c r="K744">
        <v>2.8939940251888679E-4</v>
      </c>
      <c r="L744" t="s">
        <v>157</v>
      </c>
    </row>
    <row r="745" spans="9:12" x14ac:dyDescent="0.45">
      <c r="I745" t="s">
        <v>173</v>
      </c>
      <c r="J745" t="s">
        <v>287</v>
      </c>
      <c r="K745">
        <v>2.6669923722215714E-4</v>
      </c>
      <c r="L745" t="s">
        <v>157</v>
      </c>
    </row>
    <row r="746" spans="9:12" x14ac:dyDescent="0.45">
      <c r="I746" t="s">
        <v>173</v>
      </c>
      <c r="J746" t="s">
        <v>288</v>
      </c>
      <c r="K746">
        <v>2.2496516871900688E-4</v>
      </c>
      <c r="L746" t="s">
        <v>157</v>
      </c>
    </row>
    <row r="747" spans="9:12" x14ac:dyDescent="0.45">
      <c r="I747" t="s">
        <v>173</v>
      </c>
      <c r="J747" t="s">
        <v>289</v>
      </c>
      <c r="K747">
        <v>1.3923287098378879E-4</v>
      </c>
      <c r="L747" t="s">
        <v>157</v>
      </c>
    </row>
    <row r="748" spans="9:12" x14ac:dyDescent="0.45">
      <c r="I748" t="s">
        <v>173</v>
      </c>
      <c r="J748" t="s">
        <v>290</v>
      </c>
      <c r="K748">
        <v>0</v>
      </c>
      <c r="L748" t="s">
        <v>157</v>
      </c>
    </row>
    <row r="749" spans="9:12" x14ac:dyDescent="0.45">
      <c r="I749" t="s">
        <v>173</v>
      </c>
      <c r="J749" t="s">
        <v>291</v>
      </c>
      <c r="K749">
        <v>0</v>
      </c>
      <c r="L749" t="s">
        <v>157</v>
      </c>
    </row>
    <row r="750" spans="9:12" x14ac:dyDescent="0.45">
      <c r="I750" t="s">
        <v>173</v>
      </c>
      <c r="J750" t="s">
        <v>292</v>
      </c>
      <c r="K750">
        <v>0</v>
      </c>
      <c r="L750" t="s">
        <v>157</v>
      </c>
    </row>
    <row r="751" spans="9:12" x14ac:dyDescent="0.45">
      <c r="I751" t="s">
        <v>173</v>
      </c>
      <c r="J751" t="s">
        <v>293</v>
      </c>
      <c r="K751">
        <v>0</v>
      </c>
      <c r="L751" t="s">
        <v>157</v>
      </c>
    </row>
    <row r="752" spans="9:12" x14ac:dyDescent="0.45">
      <c r="I752" t="s">
        <v>173</v>
      </c>
      <c r="J752" t="s">
        <v>294</v>
      </c>
      <c r="K752">
        <v>0</v>
      </c>
      <c r="L752" t="s">
        <v>157</v>
      </c>
    </row>
    <row r="753" spans="9:12" x14ac:dyDescent="0.45">
      <c r="I753" t="s">
        <v>174</v>
      </c>
      <c r="J753" t="s">
        <v>156</v>
      </c>
      <c r="K753">
        <v>0.9934604341911617</v>
      </c>
      <c r="L753" t="s">
        <v>157</v>
      </c>
    </row>
    <row r="754" spans="9:12" x14ac:dyDescent="0.45">
      <c r="I754" t="s">
        <v>174</v>
      </c>
      <c r="J754" t="s">
        <v>158</v>
      </c>
      <c r="K754">
        <v>0</v>
      </c>
      <c r="L754" t="s">
        <v>157</v>
      </c>
    </row>
    <row r="755" spans="9:12" x14ac:dyDescent="0.45">
      <c r="I755" t="s">
        <v>174</v>
      </c>
      <c r="J755" t="s">
        <v>159</v>
      </c>
      <c r="K755">
        <v>0</v>
      </c>
      <c r="L755" t="s">
        <v>157</v>
      </c>
    </row>
    <row r="756" spans="9:12" x14ac:dyDescent="0.45">
      <c r="I756" t="s">
        <v>174</v>
      </c>
      <c r="J756" t="s">
        <v>160</v>
      </c>
      <c r="K756">
        <v>0</v>
      </c>
      <c r="L756" t="s">
        <v>157</v>
      </c>
    </row>
    <row r="757" spans="9:12" x14ac:dyDescent="0.45">
      <c r="I757" t="s">
        <v>174</v>
      </c>
      <c r="J757" t="s">
        <v>193</v>
      </c>
      <c r="K757">
        <v>0</v>
      </c>
      <c r="L757" t="s">
        <v>157</v>
      </c>
    </row>
    <row r="758" spans="9:12" x14ac:dyDescent="0.45">
      <c r="I758" t="s">
        <v>174</v>
      </c>
      <c r="J758" t="s">
        <v>220</v>
      </c>
      <c r="K758">
        <v>0</v>
      </c>
      <c r="L758" t="s">
        <v>157</v>
      </c>
    </row>
    <row r="759" spans="9:12" x14ac:dyDescent="0.45">
      <c r="I759" t="s">
        <v>174</v>
      </c>
      <c r="J759" t="s">
        <v>221</v>
      </c>
      <c r="K759">
        <v>0</v>
      </c>
      <c r="L759" t="s">
        <v>157</v>
      </c>
    </row>
    <row r="760" spans="9:12" x14ac:dyDescent="0.45">
      <c r="I760" t="s">
        <v>174</v>
      </c>
      <c r="J760" t="s">
        <v>222</v>
      </c>
      <c r="K760">
        <v>0</v>
      </c>
      <c r="L760" t="s">
        <v>157</v>
      </c>
    </row>
    <row r="761" spans="9:12" x14ac:dyDescent="0.45">
      <c r="I761" t="s">
        <v>174</v>
      </c>
      <c r="J761" t="s">
        <v>223</v>
      </c>
      <c r="K761">
        <v>0</v>
      </c>
      <c r="L761" t="s">
        <v>157</v>
      </c>
    </row>
    <row r="762" spans="9:12" x14ac:dyDescent="0.45">
      <c r="I762" t="s">
        <v>174</v>
      </c>
      <c r="J762" t="s">
        <v>224</v>
      </c>
      <c r="K762">
        <v>0</v>
      </c>
      <c r="L762" t="s">
        <v>157</v>
      </c>
    </row>
    <row r="763" spans="9:12" x14ac:dyDescent="0.45">
      <c r="I763" t="s">
        <v>174</v>
      </c>
      <c r="J763" t="s">
        <v>225</v>
      </c>
      <c r="K763">
        <v>0</v>
      </c>
      <c r="L763" t="s">
        <v>157</v>
      </c>
    </row>
    <row r="764" spans="9:12" x14ac:dyDescent="0.45">
      <c r="I764" t="s">
        <v>174</v>
      </c>
      <c r="J764" t="s">
        <v>226</v>
      </c>
      <c r="K764">
        <v>0</v>
      </c>
      <c r="L764" t="s">
        <v>157</v>
      </c>
    </row>
    <row r="765" spans="9:12" x14ac:dyDescent="0.45">
      <c r="I765" t="s">
        <v>174</v>
      </c>
      <c r="J765" t="s">
        <v>227</v>
      </c>
      <c r="K765">
        <v>1.4041675905708913E-4</v>
      </c>
      <c r="L765" t="s">
        <v>157</v>
      </c>
    </row>
    <row r="766" spans="9:12" x14ac:dyDescent="0.45">
      <c r="I766" t="s">
        <v>174</v>
      </c>
      <c r="J766" t="s">
        <v>228</v>
      </c>
      <c r="K766">
        <v>2.5723436751578561E-4</v>
      </c>
      <c r="L766" t="s">
        <v>157</v>
      </c>
    </row>
    <row r="767" spans="9:12" x14ac:dyDescent="0.45">
      <c r="I767" t="s">
        <v>174</v>
      </c>
      <c r="J767" t="s">
        <v>229</v>
      </c>
      <c r="K767">
        <v>2.5782719059414542E-4</v>
      </c>
      <c r="L767" t="s">
        <v>157</v>
      </c>
    </row>
    <row r="768" spans="9:12" x14ac:dyDescent="0.45">
      <c r="I768" t="s">
        <v>174</v>
      </c>
      <c r="J768" t="s">
        <v>230</v>
      </c>
      <c r="K768">
        <v>3.1031976806689674E-4</v>
      </c>
      <c r="L768" t="s">
        <v>157</v>
      </c>
    </row>
    <row r="769" spans="9:12" x14ac:dyDescent="0.45">
      <c r="I769" t="s">
        <v>174</v>
      </c>
      <c r="J769" t="s">
        <v>231</v>
      </c>
      <c r="K769">
        <v>3.5618402298494132E-4</v>
      </c>
      <c r="L769" t="s">
        <v>157</v>
      </c>
    </row>
    <row r="770" spans="9:12" x14ac:dyDescent="0.45">
      <c r="I770" t="s">
        <v>174</v>
      </c>
      <c r="J770" t="s">
        <v>232</v>
      </c>
      <c r="K770">
        <v>3.5134875036623619E-4</v>
      </c>
      <c r="L770" t="s">
        <v>157</v>
      </c>
    </row>
    <row r="771" spans="9:12" x14ac:dyDescent="0.45">
      <c r="I771" t="s">
        <v>174</v>
      </c>
      <c r="J771" t="s">
        <v>233</v>
      </c>
      <c r="K771">
        <v>3.3609875576852665E-4</v>
      </c>
      <c r="L771" t="s">
        <v>157</v>
      </c>
    </row>
    <row r="772" spans="9:12" x14ac:dyDescent="0.45">
      <c r="I772" t="s">
        <v>174</v>
      </c>
      <c r="J772" t="s">
        <v>234</v>
      </c>
      <c r="K772">
        <v>3.497921017331863E-4</v>
      </c>
      <c r="L772" t="s">
        <v>157</v>
      </c>
    </row>
    <row r="773" spans="9:12" x14ac:dyDescent="0.45">
      <c r="I773" t="s">
        <v>174</v>
      </c>
      <c r="J773" t="s">
        <v>235</v>
      </c>
      <c r="K773">
        <v>3.3045275893897141E-4</v>
      </c>
      <c r="L773" t="s">
        <v>157</v>
      </c>
    </row>
    <row r="774" spans="9:12" x14ac:dyDescent="0.45">
      <c r="I774" t="s">
        <v>174</v>
      </c>
      <c r="J774" t="s">
        <v>236</v>
      </c>
      <c r="K774">
        <v>2.4006911418822372E-4</v>
      </c>
      <c r="L774" t="s">
        <v>157</v>
      </c>
    </row>
    <row r="775" spans="9:12" x14ac:dyDescent="0.45">
      <c r="I775" t="s">
        <v>174</v>
      </c>
      <c r="J775" t="s">
        <v>237</v>
      </c>
      <c r="K775">
        <v>2.2424493952822723E-4</v>
      </c>
      <c r="L775" t="s">
        <v>157</v>
      </c>
    </row>
    <row r="776" spans="9:12" x14ac:dyDescent="0.45">
      <c r="I776" t="s">
        <v>174</v>
      </c>
      <c r="J776" t="s">
        <v>238</v>
      </c>
      <c r="K776">
        <v>1.3646829090360873E-4</v>
      </c>
      <c r="L776" t="s">
        <v>157</v>
      </c>
    </row>
    <row r="777" spans="9:12" x14ac:dyDescent="0.45">
      <c r="I777" t="s">
        <v>174</v>
      </c>
      <c r="J777" t="s">
        <v>239</v>
      </c>
      <c r="K777">
        <v>0</v>
      </c>
      <c r="L777" t="s">
        <v>157</v>
      </c>
    </row>
    <row r="778" spans="9:12" x14ac:dyDescent="0.45">
      <c r="I778" t="s">
        <v>174</v>
      </c>
      <c r="J778" t="s">
        <v>240</v>
      </c>
      <c r="K778">
        <v>0</v>
      </c>
      <c r="L778" t="s">
        <v>157</v>
      </c>
    </row>
    <row r="779" spans="9:12" x14ac:dyDescent="0.45">
      <c r="I779" t="s">
        <v>174</v>
      </c>
      <c r="J779" t="s">
        <v>241</v>
      </c>
      <c r="K779">
        <v>0</v>
      </c>
      <c r="L779" t="s">
        <v>157</v>
      </c>
    </row>
    <row r="780" spans="9:12" x14ac:dyDescent="0.45">
      <c r="I780" t="s">
        <v>174</v>
      </c>
      <c r="J780" t="s">
        <v>242</v>
      </c>
      <c r="K780">
        <v>0</v>
      </c>
      <c r="L780" t="s">
        <v>157</v>
      </c>
    </row>
    <row r="781" spans="9:12" x14ac:dyDescent="0.45">
      <c r="I781" t="s">
        <v>174</v>
      </c>
      <c r="J781" t="s">
        <v>243</v>
      </c>
      <c r="K781">
        <v>0</v>
      </c>
      <c r="L781" t="s">
        <v>157</v>
      </c>
    </row>
    <row r="782" spans="9:12" x14ac:dyDescent="0.45">
      <c r="I782" t="s">
        <v>174</v>
      </c>
      <c r="J782" t="s">
        <v>271</v>
      </c>
      <c r="K782">
        <v>0</v>
      </c>
      <c r="L782" t="s">
        <v>157</v>
      </c>
    </row>
    <row r="783" spans="9:12" x14ac:dyDescent="0.45">
      <c r="I783" t="s">
        <v>174</v>
      </c>
      <c r="J783" t="s">
        <v>272</v>
      </c>
      <c r="K783">
        <v>0</v>
      </c>
      <c r="L783" t="s">
        <v>157</v>
      </c>
    </row>
    <row r="784" spans="9:12" x14ac:dyDescent="0.45">
      <c r="I784" t="s">
        <v>174</v>
      </c>
      <c r="J784" t="s">
        <v>273</v>
      </c>
      <c r="K784">
        <v>0</v>
      </c>
      <c r="L784" t="s">
        <v>157</v>
      </c>
    </row>
    <row r="785" spans="9:12" x14ac:dyDescent="0.45">
      <c r="I785" t="s">
        <v>174</v>
      </c>
      <c r="J785" t="s">
        <v>274</v>
      </c>
      <c r="K785">
        <v>0</v>
      </c>
      <c r="L785" t="s">
        <v>157</v>
      </c>
    </row>
    <row r="786" spans="9:12" x14ac:dyDescent="0.45">
      <c r="I786" t="s">
        <v>174</v>
      </c>
      <c r="J786" t="s">
        <v>275</v>
      </c>
      <c r="K786">
        <v>0</v>
      </c>
      <c r="L786" t="s">
        <v>157</v>
      </c>
    </row>
    <row r="787" spans="9:12" x14ac:dyDescent="0.45">
      <c r="I787" t="s">
        <v>174</v>
      </c>
      <c r="J787" t="s">
        <v>276</v>
      </c>
      <c r="K787">
        <v>0</v>
      </c>
      <c r="L787" t="s">
        <v>157</v>
      </c>
    </row>
    <row r="788" spans="9:12" x14ac:dyDescent="0.45">
      <c r="I788" t="s">
        <v>174</v>
      </c>
      <c r="J788" t="s">
        <v>277</v>
      </c>
      <c r="K788">
        <v>0</v>
      </c>
      <c r="L788" t="s">
        <v>157</v>
      </c>
    </row>
    <row r="789" spans="9:12" x14ac:dyDescent="0.45">
      <c r="I789" t="s">
        <v>174</v>
      </c>
      <c r="J789" t="s">
        <v>278</v>
      </c>
      <c r="K789">
        <v>1.6698990359347412E-4</v>
      </c>
      <c r="L789" t="s">
        <v>157</v>
      </c>
    </row>
    <row r="790" spans="9:12" x14ac:dyDescent="0.45">
      <c r="I790" t="s">
        <v>174</v>
      </c>
      <c r="J790" t="s">
        <v>279</v>
      </c>
      <c r="K790">
        <v>2.5353728259608924E-4</v>
      </c>
      <c r="L790" t="s">
        <v>157</v>
      </c>
    </row>
    <row r="791" spans="9:12" x14ac:dyDescent="0.45">
      <c r="I791" t="s">
        <v>174</v>
      </c>
      <c r="J791" t="s">
        <v>280</v>
      </c>
      <c r="K791">
        <v>2.8610722918667595E-4</v>
      </c>
      <c r="L791" t="s">
        <v>157</v>
      </c>
    </row>
    <row r="792" spans="9:12" x14ac:dyDescent="0.45">
      <c r="I792" t="s">
        <v>174</v>
      </c>
      <c r="J792" t="s">
        <v>281</v>
      </c>
      <c r="K792">
        <v>2.9248514769302165E-4</v>
      </c>
      <c r="L792" t="s">
        <v>157</v>
      </c>
    </row>
    <row r="793" spans="9:12" x14ac:dyDescent="0.45">
      <c r="I793" t="s">
        <v>174</v>
      </c>
      <c r="J793" t="s">
        <v>282</v>
      </c>
      <c r="K793">
        <v>3.4829361537417301E-4</v>
      </c>
      <c r="L793" t="s">
        <v>157</v>
      </c>
    </row>
    <row r="794" spans="9:12" x14ac:dyDescent="0.45">
      <c r="I794" t="s">
        <v>174</v>
      </c>
      <c r="J794" t="s">
        <v>283</v>
      </c>
      <c r="K794">
        <v>3.5006846454831945E-4</v>
      </c>
      <c r="L794" t="s">
        <v>157</v>
      </c>
    </row>
    <row r="795" spans="9:12" x14ac:dyDescent="0.45">
      <c r="I795" t="s">
        <v>174</v>
      </c>
      <c r="J795" t="s">
        <v>284</v>
      </c>
      <c r="K795">
        <v>3.4600766327189656E-4</v>
      </c>
      <c r="L795" t="s">
        <v>157</v>
      </c>
    </row>
    <row r="796" spans="9:12" x14ac:dyDescent="0.45">
      <c r="I796" t="s">
        <v>174</v>
      </c>
      <c r="J796" t="s">
        <v>285</v>
      </c>
      <c r="K796">
        <v>3.4519915261269383E-4</v>
      </c>
      <c r="L796" t="s">
        <v>157</v>
      </c>
    </row>
    <row r="797" spans="9:12" x14ac:dyDescent="0.45">
      <c r="I797" t="s">
        <v>174</v>
      </c>
      <c r="J797" t="s">
        <v>286</v>
      </c>
      <c r="K797">
        <v>3.155744455839777E-4</v>
      </c>
      <c r="L797" t="s">
        <v>157</v>
      </c>
    </row>
    <row r="798" spans="9:12" x14ac:dyDescent="0.45">
      <c r="I798" t="s">
        <v>174</v>
      </c>
      <c r="J798" t="s">
        <v>287</v>
      </c>
      <c r="K798">
        <v>2.7163163701383848E-4</v>
      </c>
      <c r="L798" t="s">
        <v>157</v>
      </c>
    </row>
    <row r="799" spans="9:12" x14ac:dyDescent="0.45">
      <c r="I799" t="s">
        <v>174</v>
      </c>
      <c r="J799" t="s">
        <v>288</v>
      </c>
      <c r="K799">
        <v>1.9723421171574773E-4</v>
      </c>
      <c r="L799" t="s">
        <v>157</v>
      </c>
    </row>
    <row r="800" spans="9:12" x14ac:dyDescent="0.45">
      <c r="I800" t="s">
        <v>174</v>
      </c>
      <c r="J800" t="s">
        <v>289</v>
      </c>
      <c r="K800">
        <v>7.5980236003644864E-5</v>
      </c>
      <c r="L800" t="s">
        <v>157</v>
      </c>
    </row>
    <row r="801" spans="9:12" x14ac:dyDescent="0.45">
      <c r="I801" t="s">
        <v>174</v>
      </c>
      <c r="J801" t="s">
        <v>290</v>
      </c>
      <c r="K801">
        <v>0</v>
      </c>
      <c r="L801" t="s">
        <v>157</v>
      </c>
    </row>
    <row r="802" spans="9:12" x14ac:dyDescent="0.45">
      <c r="I802" t="s">
        <v>174</v>
      </c>
      <c r="J802" t="s">
        <v>291</v>
      </c>
      <c r="K802">
        <v>0</v>
      </c>
      <c r="L802" t="s">
        <v>157</v>
      </c>
    </row>
    <row r="803" spans="9:12" x14ac:dyDescent="0.45">
      <c r="I803" t="s">
        <v>174</v>
      </c>
      <c r="J803" t="s">
        <v>292</v>
      </c>
      <c r="K803">
        <v>0</v>
      </c>
      <c r="L803" t="s">
        <v>157</v>
      </c>
    </row>
    <row r="804" spans="9:12" x14ac:dyDescent="0.45">
      <c r="I804" t="s">
        <v>174</v>
      </c>
      <c r="J804" t="s">
        <v>293</v>
      </c>
      <c r="K804">
        <v>0</v>
      </c>
      <c r="L804" t="s">
        <v>157</v>
      </c>
    </row>
    <row r="805" spans="9:12" x14ac:dyDescent="0.45">
      <c r="I805" t="s">
        <v>174</v>
      </c>
      <c r="J805" t="s">
        <v>294</v>
      </c>
      <c r="K805">
        <v>0</v>
      </c>
      <c r="L805" t="s">
        <v>157</v>
      </c>
    </row>
    <row r="806" spans="9:12" x14ac:dyDescent="0.45">
      <c r="I806" t="s">
        <v>175</v>
      </c>
      <c r="J806" t="s">
        <v>156</v>
      </c>
      <c r="K806">
        <v>0.99343397218805962</v>
      </c>
      <c r="L806" t="s">
        <v>157</v>
      </c>
    </row>
    <row r="807" spans="9:12" x14ac:dyDescent="0.45">
      <c r="I807" t="s">
        <v>175</v>
      </c>
      <c r="J807" t="s">
        <v>158</v>
      </c>
      <c r="K807">
        <v>0</v>
      </c>
      <c r="L807" t="s">
        <v>157</v>
      </c>
    </row>
    <row r="808" spans="9:12" x14ac:dyDescent="0.45">
      <c r="I808" t="s">
        <v>175</v>
      </c>
      <c r="J808" t="s">
        <v>159</v>
      </c>
      <c r="K808">
        <v>0</v>
      </c>
      <c r="L808" t="s">
        <v>157</v>
      </c>
    </row>
    <row r="809" spans="9:12" x14ac:dyDescent="0.45">
      <c r="I809" t="s">
        <v>175</v>
      </c>
      <c r="J809" t="s">
        <v>160</v>
      </c>
      <c r="K809">
        <v>0</v>
      </c>
      <c r="L809" t="s">
        <v>157</v>
      </c>
    </row>
    <row r="810" spans="9:12" x14ac:dyDescent="0.45">
      <c r="I810" t="s">
        <v>175</v>
      </c>
      <c r="J810" t="s">
        <v>193</v>
      </c>
      <c r="K810">
        <v>0</v>
      </c>
      <c r="L810" t="s">
        <v>157</v>
      </c>
    </row>
    <row r="811" spans="9:12" x14ac:dyDescent="0.45">
      <c r="I811" t="s">
        <v>175</v>
      </c>
      <c r="J811" t="s">
        <v>220</v>
      </c>
      <c r="K811">
        <v>0</v>
      </c>
      <c r="L811" t="s">
        <v>157</v>
      </c>
    </row>
    <row r="812" spans="9:12" x14ac:dyDescent="0.45">
      <c r="I812" t="s">
        <v>175</v>
      </c>
      <c r="J812" t="s">
        <v>221</v>
      </c>
      <c r="K812">
        <v>0</v>
      </c>
      <c r="L812" t="s">
        <v>157</v>
      </c>
    </row>
    <row r="813" spans="9:12" x14ac:dyDescent="0.45">
      <c r="I813" t="s">
        <v>175</v>
      </c>
      <c r="J813" t="s">
        <v>222</v>
      </c>
      <c r="K813">
        <v>0</v>
      </c>
      <c r="L813" t="s">
        <v>157</v>
      </c>
    </row>
    <row r="814" spans="9:12" x14ac:dyDescent="0.45">
      <c r="I814" t="s">
        <v>175</v>
      </c>
      <c r="J814" t="s">
        <v>223</v>
      </c>
      <c r="K814">
        <v>0</v>
      </c>
      <c r="L814" t="s">
        <v>157</v>
      </c>
    </row>
    <row r="815" spans="9:12" x14ac:dyDescent="0.45">
      <c r="I815" t="s">
        <v>175</v>
      </c>
      <c r="J815" t="s">
        <v>224</v>
      </c>
      <c r="K815">
        <v>0</v>
      </c>
      <c r="L815" t="s">
        <v>157</v>
      </c>
    </row>
    <row r="816" spans="9:12" x14ac:dyDescent="0.45">
      <c r="I816" t="s">
        <v>175</v>
      </c>
      <c r="J816" t="s">
        <v>225</v>
      </c>
      <c r="K816">
        <v>0</v>
      </c>
      <c r="L816" t="s">
        <v>157</v>
      </c>
    </row>
    <row r="817" spans="9:12" x14ac:dyDescent="0.45">
      <c r="I817" t="s">
        <v>175</v>
      </c>
      <c r="J817" t="s">
        <v>226</v>
      </c>
      <c r="K817">
        <v>0</v>
      </c>
      <c r="L817" t="s">
        <v>157</v>
      </c>
    </row>
    <row r="818" spans="9:12" x14ac:dyDescent="0.45">
      <c r="I818" t="s">
        <v>175</v>
      </c>
      <c r="J818" t="s">
        <v>227</v>
      </c>
      <c r="K818">
        <v>1.4164611284399266E-4</v>
      </c>
      <c r="L818" t="s">
        <v>157</v>
      </c>
    </row>
    <row r="819" spans="9:12" x14ac:dyDescent="0.45">
      <c r="I819" t="s">
        <v>175</v>
      </c>
      <c r="J819" t="s">
        <v>228</v>
      </c>
      <c r="K819">
        <v>2.6119786347552975E-4</v>
      </c>
      <c r="L819" t="s">
        <v>157</v>
      </c>
    </row>
    <row r="820" spans="9:12" x14ac:dyDescent="0.45">
      <c r="I820" t="s">
        <v>175</v>
      </c>
      <c r="J820" t="s">
        <v>229</v>
      </c>
      <c r="K820">
        <v>3.3675482070844964E-4</v>
      </c>
      <c r="L820" t="s">
        <v>157</v>
      </c>
    </row>
    <row r="821" spans="9:12" x14ac:dyDescent="0.45">
      <c r="I821" t="s">
        <v>175</v>
      </c>
      <c r="J821" t="s">
        <v>230</v>
      </c>
      <c r="K821">
        <v>3.516133988215806E-4</v>
      </c>
      <c r="L821" t="s">
        <v>157</v>
      </c>
    </row>
    <row r="822" spans="9:12" x14ac:dyDescent="0.45">
      <c r="I822" t="s">
        <v>175</v>
      </c>
      <c r="J822" t="s">
        <v>231</v>
      </c>
      <c r="K822">
        <v>3.575553239518789E-4</v>
      </c>
      <c r="L822" t="s">
        <v>157</v>
      </c>
    </row>
    <row r="823" spans="9:12" x14ac:dyDescent="0.45">
      <c r="I823" t="s">
        <v>175</v>
      </c>
      <c r="J823" t="s">
        <v>232</v>
      </c>
      <c r="K823">
        <v>3.2189141970439882E-4</v>
      </c>
      <c r="L823" t="s">
        <v>157</v>
      </c>
    </row>
    <row r="824" spans="9:12" x14ac:dyDescent="0.45">
      <c r="I824" t="s">
        <v>175</v>
      </c>
      <c r="J824" t="s">
        <v>233</v>
      </c>
      <c r="K824">
        <v>2.9573312852590027E-4</v>
      </c>
      <c r="L824" t="s">
        <v>157</v>
      </c>
    </row>
    <row r="825" spans="9:12" x14ac:dyDescent="0.45">
      <c r="I825" t="s">
        <v>175</v>
      </c>
      <c r="J825" t="s">
        <v>234</v>
      </c>
      <c r="K825">
        <v>2.802768362371631E-4</v>
      </c>
      <c r="L825" t="s">
        <v>157</v>
      </c>
    </row>
    <row r="826" spans="9:12" x14ac:dyDescent="0.45">
      <c r="I826" t="s">
        <v>175</v>
      </c>
      <c r="J826" t="s">
        <v>235</v>
      </c>
      <c r="K826">
        <v>2.2620919900122598E-4</v>
      </c>
      <c r="L826" t="s">
        <v>157</v>
      </c>
    </row>
    <row r="827" spans="9:12" x14ac:dyDescent="0.45">
      <c r="I827" t="s">
        <v>175</v>
      </c>
      <c r="J827" t="s">
        <v>236</v>
      </c>
      <c r="K827">
        <v>2.2354712949369977E-4</v>
      </c>
      <c r="L827" t="s">
        <v>157</v>
      </c>
    </row>
    <row r="828" spans="9:12" x14ac:dyDescent="0.45">
      <c r="I828" t="s">
        <v>175</v>
      </c>
      <c r="J828" t="s">
        <v>237</v>
      </c>
      <c r="K828">
        <v>2.2236589437382817E-4</v>
      </c>
      <c r="L828" t="s">
        <v>157</v>
      </c>
    </row>
    <row r="829" spans="9:12" x14ac:dyDescent="0.45">
      <c r="I829" t="s">
        <v>175</v>
      </c>
      <c r="J829" t="s">
        <v>238</v>
      </c>
      <c r="K829">
        <v>1.5073446576727005E-4</v>
      </c>
      <c r="L829" t="s">
        <v>157</v>
      </c>
    </row>
    <row r="830" spans="9:12" x14ac:dyDescent="0.45">
      <c r="I830" t="s">
        <v>175</v>
      </c>
      <c r="J830" t="s">
        <v>239</v>
      </c>
      <c r="K830">
        <v>0</v>
      </c>
      <c r="L830" t="s">
        <v>157</v>
      </c>
    </row>
    <row r="831" spans="9:12" x14ac:dyDescent="0.45">
      <c r="I831" t="s">
        <v>175</v>
      </c>
      <c r="J831" t="s">
        <v>240</v>
      </c>
      <c r="K831">
        <v>0</v>
      </c>
      <c r="L831" t="s">
        <v>157</v>
      </c>
    </row>
    <row r="832" spans="9:12" x14ac:dyDescent="0.45">
      <c r="I832" t="s">
        <v>175</v>
      </c>
      <c r="J832" t="s">
        <v>241</v>
      </c>
      <c r="K832">
        <v>0</v>
      </c>
      <c r="L832" t="s">
        <v>157</v>
      </c>
    </row>
    <row r="833" spans="9:12" x14ac:dyDescent="0.45">
      <c r="I833" t="s">
        <v>175</v>
      </c>
      <c r="J833" t="s">
        <v>242</v>
      </c>
      <c r="K833">
        <v>0</v>
      </c>
      <c r="L833" t="s">
        <v>157</v>
      </c>
    </row>
    <row r="834" spans="9:12" x14ac:dyDescent="0.45">
      <c r="I834" t="s">
        <v>175</v>
      </c>
      <c r="J834" t="s">
        <v>243</v>
      </c>
      <c r="K834">
        <v>0</v>
      </c>
      <c r="L834" t="s">
        <v>157</v>
      </c>
    </row>
    <row r="835" spans="9:12" x14ac:dyDescent="0.45">
      <c r="I835" t="s">
        <v>175</v>
      </c>
      <c r="J835" t="s">
        <v>271</v>
      </c>
      <c r="K835">
        <v>0</v>
      </c>
      <c r="L835" t="s">
        <v>157</v>
      </c>
    </row>
    <row r="836" spans="9:12" x14ac:dyDescent="0.45">
      <c r="I836" t="s">
        <v>175</v>
      </c>
      <c r="J836" t="s">
        <v>272</v>
      </c>
      <c r="K836">
        <v>0</v>
      </c>
      <c r="L836" t="s">
        <v>157</v>
      </c>
    </row>
    <row r="837" spans="9:12" x14ac:dyDescent="0.45">
      <c r="I837" t="s">
        <v>175</v>
      </c>
      <c r="J837" t="s">
        <v>273</v>
      </c>
      <c r="K837">
        <v>0</v>
      </c>
      <c r="L837" t="s">
        <v>157</v>
      </c>
    </row>
    <row r="838" spans="9:12" x14ac:dyDescent="0.45">
      <c r="I838" t="s">
        <v>175</v>
      </c>
      <c r="J838" t="s">
        <v>274</v>
      </c>
      <c r="K838">
        <v>0</v>
      </c>
      <c r="L838" t="s">
        <v>157</v>
      </c>
    </row>
    <row r="839" spans="9:12" x14ac:dyDescent="0.45">
      <c r="I839" t="s">
        <v>175</v>
      </c>
      <c r="J839" t="s">
        <v>275</v>
      </c>
      <c r="K839">
        <v>0</v>
      </c>
      <c r="L839" t="s">
        <v>157</v>
      </c>
    </row>
    <row r="840" spans="9:12" x14ac:dyDescent="0.45">
      <c r="I840" t="s">
        <v>175</v>
      </c>
      <c r="J840" t="s">
        <v>276</v>
      </c>
      <c r="K840">
        <v>0</v>
      </c>
      <c r="L840" t="s">
        <v>157</v>
      </c>
    </row>
    <row r="841" spans="9:12" x14ac:dyDescent="0.45">
      <c r="I841" t="s">
        <v>175</v>
      </c>
      <c r="J841" t="s">
        <v>277</v>
      </c>
      <c r="K841">
        <v>0</v>
      </c>
      <c r="L841" t="s">
        <v>157</v>
      </c>
    </row>
    <row r="842" spans="9:12" x14ac:dyDescent="0.45">
      <c r="I842" t="s">
        <v>175</v>
      </c>
      <c r="J842" t="s">
        <v>278</v>
      </c>
      <c r="K842">
        <v>1.4203580231163506E-4</v>
      </c>
      <c r="L842" t="s">
        <v>157</v>
      </c>
    </row>
    <row r="843" spans="9:12" x14ac:dyDescent="0.45">
      <c r="I843" t="s">
        <v>175</v>
      </c>
      <c r="J843" t="s">
        <v>279</v>
      </c>
      <c r="K843">
        <v>2.2975097482144205E-4</v>
      </c>
      <c r="L843" t="s">
        <v>157</v>
      </c>
    </row>
    <row r="844" spans="9:12" x14ac:dyDescent="0.45">
      <c r="I844" t="s">
        <v>175</v>
      </c>
      <c r="J844" t="s">
        <v>280</v>
      </c>
      <c r="K844">
        <v>3.6253422077509018E-4</v>
      </c>
      <c r="L844" t="s">
        <v>157</v>
      </c>
    </row>
    <row r="845" spans="9:12" x14ac:dyDescent="0.45">
      <c r="I845" t="s">
        <v>175</v>
      </c>
      <c r="J845" t="s">
        <v>281</v>
      </c>
      <c r="K845">
        <v>3.8389102925287353E-4</v>
      </c>
      <c r="L845" t="s">
        <v>157</v>
      </c>
    </row>
    <row r="846" spans="9:12" x14ac:dyDescent="0.45">
      <c r="I846" t="s">
        <v>175</v>
      </c>
      <c r="J846" t="s">
        <v>282</v>
      </c>
      <c r="K846">
        <v>3.887311681666487E-4</v>
      </c>
      <c r="L846" t="s">
        <v>157</v>
      </c>
    </row>
    <row r="847" spans="9:12" x14ac:dyDescent="0.45">
      <c r="I847" t="s">
        <v>175</v>
      </c>
      <c r="J847" t="s">
        <v>283</v>
      </c>
      <c r="K847">
        <v>3.7767581967291581E-4</v>
      </c>
      <c r="L847" t="s">
        <v>157</v>
      </c>
    </row>
    <row r="848" spans="9:12" x14ac:dyDescent="0.45">
      <c r="I848" t="s">
        <v>175</v>
      </c>
      <c r="J848" t="s">
        <v>284</v>
      </c>
      <c r="K848">
        <v>3.2326649481730015E-4</v>
      </c>
      <c r="L848" t="s">
        <v>157</v>
      </c>
    </row>
    <row r="849" spans="9:12" x14ac:dyDescent="0.45">
      <c r="I849" t="s">
        <v>175</v>
      </c>
      <c r="J849" t="s">
        <v>285</v>
      </c>
      <c r="K849">
        <v>3.0750546187731609E-4</v>
      </c>
      <c r="L849" t="s">
        <v>157</v>
      </c>
    </row>
    <row r="850" spans="9:12" x14ac:dyDescent="0.45">
      <c r="I850" t="s">
        <v>175</v>
      </c>
      <c r="J850" t="s">
        <v>286</v>
      </c>
      <c r="K850">
        <v>2.9408892664543299E-4</v>
      </c>
      <c r="L850" t="s">
        <v>157</v>
      </c>
    </row>
    <row r="851" spans="9:12" x14ac:dyDescent="0.45">
      <c r="I851" t="s">
        <v>175</v>
      </c>
      <c r="J851" t="s">
        <v>287</v>
      </c>
      <c r="K851">
        <v>2.3886053789943837E-4</v>
      </c>
      <c r="L851" t="s">
        <v>157</v>
      </c>
    </row>
    <row r="852" spans="9:12" x14ac:dyDescent="0.45">
      <c r="I852" t="s">
        <v>175</v>
      </c>
      <c r="J852" t="s">
        <v>288</v>
      </c>
      <c r="K852">
        <v>2.0884845230293599E-4</v>
      </c>
      <c r="L852" t="s">
        <v>157</v>
      </c>
    </row>
    <row r="853" spans="9:12" x14ac:dyDescent="0.45">
      <c r="I853" t="s">
        <v>175</v>
      </c>
      <c r="J853" t="s">
        <v>289</v>
      </c>
      <c r="K853">
        <v>1.3931333049231473E-4</v>
      </c>
      <c r="L853" t="s">
        <v>157</v>
      </c>
    </row>
    <row r="854" spans="9:12" x14ac:dyDescent="0.45">
      <c r="I854" t="s">
        <v>175</v>
      </c>
      <c r="J854" t="s">
        <v>290</v>
      </c>
      <c r="K854">
        <v>0</v>
      </c>
      <c r="L854" t="s">
        <v>157</v>
      </c>
    </row>
    <row r="855" spans="9:12" x14ac:dyDescent="0.45">
      <c r="I855" t="s">
        <v>175</v>
      </c>
      <c r="J855" t="s">
        <v>291</v>
      </c>
      <c r="K855">
        <v>0</v>
      </c>
      <c r="L855" t="s">
        <v>157</v>
      </c>
    </row>
    <row r="856" spans="9:12" x14ac:dyDescent="0.45">
      <c r="I856" t="s">
        <v>175</v>
      </c>
      <c r="J856" t="s">
        <v>292</v>
      </c>
      <c r="K856">
        <v>0</v>
      </c>
      <c r="L856" t="s">
        <v>157</v>
      </c>
    </row>
    <row r="857" spans="9:12" x14ac:dyDescent="0.45">
      <c r="I857" t="s">
        <v>175</v>
      </c>
      <c r="J857" t="s">
        <v>293</v>
      </c>
      <c r="K857">
        <v>0</v>
      </c>
      <c r="L857" t="s">
        <v>157</v>
      </c>
    </row>
    <row r="858" spans="9:12" x14ac:dyDescent="0.45">
      <c r="I858" t="s">
        <v>175</v>
      </c>
      <c r="J858" t="s">
        <v>294</v>
      </c>
      <c r="K858">
        <v>0</v>
      </c>
      <c r="L858" t="s">
        <v>157</v>
      </c>
    </row>
    <row r="859" spans="9:12" x14ac:dyDescent="0.45">
      <c r="I859" t="s">
        <v>176</v>
      </c>
      <c r="J859" t="s">
        <v>156</v>
      </c>
      <c r="K859">
        <v>0.99344946219818575</v>
      </c>
      <c r="L859" t="s">
        <v>157</v>
      </c>
    </row>
    <row r="860" spans="9:12" x14ac:dyDescent="0.45">
      <c r="I860" t="s">
        <v>176</v>
      </c>
      <c r="J860" t="s">
        <v>158</v>
      </c>
      <c r="K860">
        <v>0</v>
      </c>
      <c r="L860" t="s">
        <v>157</v>
      </c>
    </row>
    <row r="861" spans="9:12" x14ac:dyDescent="0.45">
      <c r="I861" t="s">
        <v>176</v>
      </c>
      <c r="J861" t="s">
        <v>159</v>
      </c>
      <c r="K861">
        <v>0</v>
      </c>
      <c r="L861" t="s">
        <v>157</v>
      </c>
    </row>
    <row r="862" spans="9:12" x14ac:dyDescent="0.45">
      <c r="I862" t="s">
        <v>176</v>
      </c>
      <c r="J862" t="s">
        <v>160</v>
      </c>
      <c r="K862">
        <v>0</v>
      </c>
      <c r="L862" t="s">
        <v>157</v>
      </c>
    </row>
    <row r="863" spans="9:12" x14ac:dyDescent="0.45">
      <c r="I863" t="s">
        <v>176</v>
      </c>
      <c r="J863" t="s">
        <v>193</v>
      </c>
      <c r="K863">
        <v>0</v>
      </c>
      <c r="L863" t="s">
        <v>157</v>
      </c>
    </row>
    <row r="864" spans="9:12" x14ac:dyDescent="0.45">
      <c r="I864" t="s">
        <v>176</v>
      </c>
      <c r="J864" t="s">
        <v>220</v>
      </c>
      <c r="K864">
        <v>0</v>
      </c>
      <c r="L864" t="s">
        <v>157</v>
      </c>
    </row>
    <row r="865" spans="9:12" x14ac:dyDescent="0.45">
      <c r="I865" t="s">
        <v>176</v>
      </c>
      <c r="J865" t="s">
        <v>221</v>
      </c>
      <c r="K865">
        <v>0</v>
      </c>
      <c r="L865" t="s">
        <v>157</v>
      </c>
    </row>
    <row r="866" spans="9:12" x14ac:dyDescent="0.45">
      <c r="I866" t="s">
        <v>176</v>
      </c>
      <c r="J866" t="s">
        <v>222</v>
      </c>
      <c r="K866">
        <v>0</v>
      </c>
      <c r="L866" t="s">
        <v>157</v>
      </c>
    </row>
    <row r="867" spans="9:12" x14ac:dyDescent="0.45">
      <c r="I867" t="s">
        <v>176</v>
      </c>
      <c r="J867" t="s">
        <v>223</v>
      </c>
      <c r="K867">
        <v>0</v>
      </c>
      <c r="L867" t="s">
        <v>157</v>
      </c>
    </row>
    <row r="868" spans="9:12" x14ac:dyDescent="0.45">
      <c r="I868" t="s">
        <v>176</v>
      </c>
      <c r="J868" t="s">
        <v>224</v>
      </c>
      <c r="K868">
        <v>0</v>
      </c>
      <c r="L868" t="s">
        <v>157</v>
      </c>
    </row>
    <row r="869" spans="9:12" x14ac:dyDescent="0.45">
      <c r="I869" t="s">
        <v>176</v>
      </c>
      <c r="J869" t="s">
        <v>225</v>
      </c>
      <c r="K869">
        <v>0</v>
      </c>
      <c r="L869" t="s">
        <v>157</v>
      </c>
    </row>
    <row r="870" spans="9:12" x14ac:dyDescent="0.45">
      <c r="I870" t="s">
        <v>176</v>
      </c>
      <c r="J870" t="s">
        <v>226</v>
      </c>
      <c r="K870">
        <v>0</v>
      </c>
      <c r="L870" t="s">
        <v>157</v>
      </c>
    </row>
    <row r="871" spans="9:12" x14ac:dyDescent="0.45">
      <c r="I871" t="s">
        <v>176</v>
      </c>
      <c r="J871" t="s">
        <v>227</v>
      </c>
      <c r="K871">
        <v>1.4321524949722066E-4</v>
      </c>
      <c r="L871" t="s">
        <v>157</v>
      </c>
    </row>
    <row r="872" spans="9:12" x14ac:dyDescent="0.45">
      <c r="I872" t="s">
        <v>176</v>
      </c>
      <c r="J872" t="s">
        <v>228</v>
      </c>
      <c r="K872">
        <v>2.9668756288089675E-4</v>
      </c>
      <c r="L872" t="s">
        <v>157</v>
      </c>
    </row>
    <row r="873" spans="9:12" x14ac:dyDescent="0.45">
      <c r="I873" t="s">
        <v>176</v>
      </c>
      <c r="J873" t="s">
        <v>229</v>
      </c>
      <c r="K873">
        <v>3.377884252832285E-4</v>
      </c>
      <c r="L873" t="s">
        <v>157</v>
      </c>
    </row>
    <row r="874" spans="9:12" x14ac:dyDescent="0.45">
      <c r="I874" t="s">
        <v>176</v>
      </c>
      <c r="J874" t="s">
        <v>230</v>
      </c>
      <c r="K874">
        <v>3.430843380640517E-4</v>
      </c>
      <c r="L874" t="s">
        <v>157</v>
      </c>
    </row>
    <row r="875" spans="9:12" x14ac:dyDescent="0.45">
      <c r="I875" t="s">
        <v>176</v>
      </c>
      <c r="J875" t="s">
        <v>231</v>
      </c>
      <c r="K875">
        <v>3.3983729767382749E-4</v>
      </c>
      <c r="L875" t="s">
        <v>157</v>
      </c>
    </row>
    <row r="876" spans="9:12" x14ac:dyDescent="0.45">
      <c r="I876" t="s">
        <v>176</v>
      </c>
      <c r="J876" t="s">
        <v>232</v>
      </c>
      <c r="K876">
        <v>3.2325599880768635E-4</v>
      </c>
      <c r="L876" t="s">
        <v>157</v>
      </c>
    </row>
    <row r="877" spans="9:12" x14ac:dyDescent="0.45">
      <c r="I877" t="s">
        <v>176</v>
      </c>
      <c r="J877" t="s">
        <v>233</v>
      </c>
      <c r="K877">
        <v>2.8901846585120726E-4</v>
      </c>
      <c r="L877" t="s">
        <v>157</v>
      </c>
    </row>
    <row r="878" spans="9:12" x14ac:dyDescent="0.45">
      <c r="I878" t="s">
        <v>176</v>
      </c>
      <c r="J878" t="s">
        <v>234</v>
      </c>
      <c r="K878">
        <v>2.8787313138112724E-4</v>
      </c>
      <c r="L878" t="s">
        <v>157</v>
      </c>
    </row>
    <row r="879" spans="9:12" x14ac:dyDescent="0.45">
      <c r="I879" t="s">
        <v>176</v>
      </c>
      <c r="J879" t="s">
        <v>235</v>
      </c>
      <c r="K879">
        <v>2.9360669721339386E-4</v>
      </c>
      <c r="L879" t="s">
        <v>157</v>
      </c>
    </row>
    <row r="880" spans="9:12" x14ac:dyDescent="0.45">
      <c r="I880" t="s">
        <v>176</v>
      </c>
      <c r="J880" t="s">
        <v>236</v>
      </c>
      <c r="K880">
        <v>2.1947505903704715E-4</v>
      </c>
      <c r="L880" t="s">
        <v>157</v>
      </c>
    </row>
    <row r="881" spans="9:12" x14ac:dyDescent="0.45">
      <c r="I881" t="s">
        <v>176</v>
      </c>
      <c r="J881" t="s">
        <v>237</v>
      </c>
      <c r="K881">
        <v>2.5203584372165467E-4</v>
      </c>
      <c r="L881" t="s">
        <v>157</v>
      </c>
    </row>
    <row r="882" spans="9:12" x14ac:dyDescent="0.45">
      <c r="I882" t="s">
        <v>176</v>
      </c>
      <c r="J882" t="s">
        <v>238</v>
      </c>
      <c r="K882">
        <v>1.5965541332459282E-4</v>
      </c>
      <c r="L882" t="s">
        <v>157</v>
      </c>
    </row>
    <row r="883" spans="9:12" x14ac:dyDescent="0.45">
      <c r="I883" t="s">
        <v>176</v>
      </c>
      <c r="J883" t="s">
        <v>239</v>
      </c>
      <c r="K883">
        <v>0</v>
      </c>
      <c r="L883" t="s">
        <v>157</v>
      </c>
    </row>
    <row r="884" spans="9:12" x14ac:dyDescent="0.45">
      <c r="I884" t="s">
        <v>176</v>
      </c>
      <c r="J884" t="s">
        <v>240</v>
      </c>
      <c r="K884">
        <v>0</v>
      </c>
      <c r="L884" t="s">
        <v>157</v>
      </c>
    </row>
    <row r="885" spans="9:12" x14ac:dyDescent="0.45">
      <c r="I885" t="s">
        <v>176</v>
      </c>
      <c r="J885" t="s">
        <v>241</v>
      </c>
      <c r="K885">
        <v>0</v>
      </c>
      <c r="L885" t="s">
        <v>157</v>
      </c>
    </row>
    <row r="886" spans="9:12" x14ac:dyDescent="0.45">
      <c r="I886" t="s">
        <v>176</v>
      </c>
      <c r="J886" t="s">
        <v>242</v>
      </c>
      <c r="K886">
        <v>0</v>
      </c>
      <c r="L886" t="s">
        <v>157</v>
      </c>
    </row>
    <row r="887" spans="9:12" x14ac:dyDescent="0.45">
      <c r="I887" t="s">
        <v>176</v>
      </c>
      <c r="J887" t="s">
        <v>243</v>
      </c>
      <c r="K887">
        <v>0</v>
      </c>
      <c r="L887" t="s">
        <v>157</v>
      </c>
    </row>
    <row r="888" spans="9:12" x14ac:dyDescent="0.45">
      <c r="I888" t="s">
        <v>176</v>
      </c>
      <c r="J888" t="s">
        <v>271</v>
      </c>
      <c r="K888">
        <v>0</v>
      </c>
      <c r="L888" t="s">
        <v>157</v>
      </c>
    </row>
    <row r="889" spans="9:12" x14ac:dyDescent="0.45">
      <c r="I889" t="s">
        <v>176</v>
      </c>
      <c r="J889" t="s">
        <v>272</v>
      </c>
      <c r="K889">
        <v>0</v>
      </c>
      <c r="L889" t="s">
        <v>157</v>
      </c>
    </row>
    <row r="890" spans="9:12" x14ac:dyDescent="0.45">
      <c r="I890" t="s">
        <v>176</v>
      </c>
      <c r="J890" t="s">
        <v>273</v>
      </c>
      <c r="K890">
        <v>0</v>
      </c>
      <c r="L890" t="s">
        <v>157</v>
      </c>
    </row>
    <row r="891" spans="9:12" x14ac:dyDescent="0.45">
      <c r="I891" t="s">
        <v>176</v>
      </c>
      <c r="J891" t="s">
        <v>274</v>
      </c>
      <c r="K891">
        <v>0</v>
      </c>
      <c r="L891" t="s">
        <v>157</v>
      </c>
    </row>
    <row r="892" spans="9:12" x14ac:dyDescent="0.45">
      <c r="I892" t="s">
        <v>176</v>
      </c>
      <c r="J892" t="s">
        <v>275</v>
      </c>
      <c r="K892">
        <v>0</v>
      </c>
      <c r="L892" t="s">
        <v>157</v>
      </c>
    </row>
    <row r="893" spans="9:12" x14ac:dyDescent="0.45">
      <c r="I893" t="s">
        <v>176</v>
      </c>
      <c r="J893" t="s">
        <v>276</v>
      </c>
      <c r="K893">
        <v>0</v>
      </c>
      <c r="L893" t="s">
        <v>157</v>
      </c>
    </row>
    <row r="894" spans="9:12" x14ac:dyDescent="0.45">
      <c r="I894" t="s">
        <v>176</v>
      </c>
      <c r="J894" t="s">
        <v>277</v>
      </c>
      <c r="K894">
        <v>0</v>
      </c>
      <c r="L894" t="s">
        <v>157</v>
      </c>
    </row>
    <row r="895" spans="9:12" x14ac:dyDescent="0.45">
      <c r="I895" t="s">
        <v>176</v>
      </c>
      <c r="J895" t="s">
        <v>278</v>
      </c>
      <c r="K895">
        <v>6.5000622162228293E-5</v>
      </c>
      <c r="L895" t="s">
        <v>157</v>
      </c>
    </row>
    <row r="896" spans="9:12" x14ac:dyDescent="0.45">
      <c r="I896" t="s">
        <v>176</v>
      </c>
      <c r="J896" t="s">
        <v>279</v>
      </c>
      <c r="K896">
        <v>1.3257742487342289E-4</v>
      </c>
      <c r="L896" t="s">
        <v>157</v>
      </c>
    </row>
    <row r="897" spans="9:12" x14ac:dyDescent="0.45">
      <c r="I897" t="s">
        <v>176</v>
      </c>
      <c r="J897" t="s">
        <v>280</v>
      </c>
      <c r="K897">
        <v>3.092188063654359E-4</v>
      </c>
      <c r="L897" t="s">
        <v>157</v>
      </c>
    </row>
    <row r="898" spans="9:12" x14ac:dyDescent="0.45">
      <c r="I898" t="s">
        <v>176</v>
      </c>
      <c r="J898" t="s">
        <v>281</v>
      </c>
      <c r="K898">
        <v>3.5431647059029143E-4</v>
      </c>
      <c r="L898" t="s">
        <v>157</v>
      </c>
    </row>
    <row r="899" spans="9:12" x14ac:dyDescent="0.45">
      <c r="I899" t="s">
        <v>176</v>
      </c>
      <c r="J899" t="s">
        <v>282</v>
      </c>
      <c r="K899">
        <v>3.9157319520743928E-4</v>
      </c>
      <c r="L899" t="s">
        <v>157</v>
      </c>
    </row>
    <row r="900" spans="9:12" x14ac:dyDescent="0.45">
      <c r="I900" t="s">
        <v>176</v>
      </c>
      <c r="J900" t="s">
        <v>283</v>
      </c>
      <c r="K900">
        <v>3.8955152830574672E-4</v>
      </c>
      <c r="L900" t="s">
        <v>157</v>
      </c>
    </row>
    <row r="901" spans="9:12" x14ac:dyDescent="0.45">
      <c r="I901" t="s">
        <v>176</v>
      </c>
      <c r="J901" t="s">
        <v>284</v>
      </c>
      <c r="K901">
        <v>3.5976302826760595E-4</v>
      </c>
      <c r="L901" t="s">
        <v>157</v>
      </c>
    </row>
    <row r="902" spans="9:12" x14ac:dyDescent="0.45">
      <c r="I902" t="s">
        <v>176</v>
      </c>
      <c r="J902" t="s">
        <v>285</v>
      </c>
      <c r="K902">
        <v>3.2451935989471901E-4</v>
      </c>
      <c r="L902" t="s">
        <v>157</v>
      </c>
    </row>
    <row r="903" spans="9:12" x14ac:dyDescent="0.45">
      <c r="I903" t="s">
        <v>176</v>
      </c>
      <c r="J903" t="s">
        <v>286</v>
      </c>
      <c r="K903">
        <v>3.0331071070353063E-4</v>
      </c>
      <c r="L903" t="s">
        <v>157</v>
      </c>
    </row>
    <row r="904" spans="9:12" x14ac:dyDescent="0.45">
      <c r="I904" t="s">
        <v>176</v>
      </c>
      <c r="J904" t="s">
        <v>287</v>
      </c>
      <c r="K904">
        <v>2.5571577966690336E-4</v>
      </c>
      <c r="L904" t="s">
        <v>157</v>
      </c>
    </row>
    <row r="905" spans="9:12" x14ac:dyDescent="0.45">
      <c r="I905" t="s">
        <v>176</v>
      </c>
      <c r="J905" t="s">
        <v>288</v>
      </c>
      <c r="K905">
        <v>2.3816140459287634E-4</v>
      </c>
      <c r="L905" t="s">
        <v>157</v>
      </c>
    </row>
    <row r="906" spans="9:12" x14ac:dyDescent="0.45">
      <c r="I906" t="s">
        <v>176</v>
      </c>
      <c r="J906" t="s">
        <v>289</v>
      </c>
      <c r="K906">
        <v>1.4129598844993992E-4</v>
      </c>
      <c r="L906" t="s">
        <v>157</v>
      </c>
    </row>
    <row r="907" spans="9:12" x14ac:dyDescent="0.45">
      <c r="I907" t="s">
        <v>176</v>
      </c>
      <c r="J907" t="s">
        <v>290</v>
      </c>
      <c r="K907">
        <v>0</v>
      </c>
      <c r="L907" t="s">
        <v>157</v>
      </c>
    </row>
    <row r="908" spans="9:12" x14ac:dyDescent="0.45">
      <c r="I908" t="s">
        <v>176</v>
      </c>
      <c r="J908" t="s">
        <v>291</v>
      </c>
      <c r="K908">
        <v>0</v>
      </c>
      <c r="L908" t="s">
        <v>157</v>
      </c>
    </row>
    <row r="909" spans="9:12" x14ac:dyDescent="0.45">
      <c r="I909" t="s">
        <v>176</v>
      </c>
      <c r="J909" t="s">
        <v>292</v>
      </c>
      <c r="K909">
        <v>0</v>
      </c>
      <c r="L909" t="s">
        <v>157</v>
      </c>
    </row>
    <row r="910" spans="9:12" x14ac:dyDescent="0.45">
      <c r="I910" t="s">
        <v>176</v>
      </c>
      <c r="J910" t="s">
        <v>293</v>
      </c>
      <c r="K910">
        <v>0</v>
      </c>
      <c r="L910" t="s">
        <v>157</v>
      </c>
    </row>
    <row r="911" spans="9:12" x14ac:dyDescent="0.45">
      <c r="I911" t="s">
        <v>176</v>
      </c>
      <c r="J911" t="s">
        <v>294</v>
      </c>
      <c r="K911">
        <v>0</v>
      </c>
      <c r="L911" t="s">
        <v>157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43A98-554F-49D2-96F9-336F301B3105}">
  <dimension ref="A9:AA27"/>
  <sheetViews>
    <sheetView workbookViewId="0"/>
  </sheetViews>
  <sheetFormatPr defaultRowHeight="14.25" x14ac:dyDescent="0.45"/>
  <sheetData>
    <row r="9" spans="1:27" x14ac:dyDescent="0.45">
      <c r="C9" t="str">
        <f>IF(A11="x","DeActivated","~TimeSlices")</f>
        <v>~TimeSlices</v>
      </c>
      <c r="I9" t="str">
        <f>IF(A11="x","DeActivated","~TFM_DINS-AT")</f>
        <v>~TFM_DINS-AT</v>
      </c>
      <c r="N9" t="str">
        <f>IF(A11="x","DeActivated","~TFM_DINS-AT")</f>
        <v>~TFM_DINS-AT</v>
      </c>
      <c r="S9" t="str">
        <f>IF(A11="x","DeActivated","~TFM_DINS-AT")</f>
        <v>~TFM_DINS-AT</v>
      </c>
      <c r="X9" t="str">
        <f>IF(A11="x","DeActivated","~TFM_DINS-AT")</f>
        <v>~TFM_DINS-AT</v>
      </c>
    </row>
    <row r="10" spans="1:27" x14ac:dyDescent="0.45">
      <c r="A10" t="s">
        <v>103</v>
      </c>
      <c r="C10" t="s">
        <v>143</v>
      </c>
      <c r="D10" t="s">
        <v>144</v>
      </c>
      <c r="E10" t="s">
        <v>145</v>
      </c>
      <c r="F10" t="s">
        <v>146</v>
      </c>
      <c r="G10" t="s">
        <v>147</v>
      </c>
      <c r="I10" t="s">
        <v>13</v>
      </c>
      <c r="J10" t="s">
        <v>115</v>
      </c>
      <c r="K10" t="s">
        <v>154</v>
      </c>
      <c r="L10" t="s">
        <v>30</v>
      </c>
      <c r="N10" t="s">
        <v>13</v>
      </c>
      <c r="O10" t="s">
        <v>115</v>
      </c>
      <c r="P10" t="s">
        <v>154</v>
      </c>
      <c r="Q10" t="s">
        <v>30</v>
      </c>
      <c r="S10" t="s">
        <v>13</v>
      </c>
      <c r="T10" t="s">
        <v>115</v>
      </c>
      <c r="U10" t="s">
        <v>154</v>
      </c>
      <c r="V10" t="s">
        <v>30</v>
      </c>
      <c r="X10" t="s">
        <v>187</v>
      </c>
      <c r="Y10" t="s">
        <v>154</v>
      </c>
      <c r="Z10" t="s">
        <v>115</v>
      </c>
      <c r="AA10" t="s">
        <v>13</v>
      </c>
    </row>
    <row r="11" spans="1:27" x14ac:dyDescent="0.45">
      <c r="A11" t="str">
        <f>IFERROR(IF(Veda!D5=A10,"ok","x"),"")</f>
        <v>ok</v>
      </c>
      <c r="C11" t="s">
        <v>297</v>
      </c>
      <c r="D11" t="s">
        <v>149</v>
      </c>
      <c r="E11" t="s">
        <v>298</v>
      </c>
      <c r="F11" t="s">
        <v>297</v>
      </c>
      <c r="G11" t="s">
        <v>149</v>
      </c>
      <c r="I11" t="s">
        <v>155</v>
      </c>
      <c r="J11" t="s">
        <v>299</v>
      </c>
      <c r="K11">
        <v>0.99999999999999711</v>
      </c>
      <c r="L11" t="s">
        <v>157</v>
      </c>
      <c r="N11" t="s">
        <v>177</v>
      </c>
      <c r="O11" t="s">
        <v>299</v>
      </c>
      <c r="P11">
        <v>0.99999999999999678</v>
      </c>
      <c r="Q11" t="s">
        <v>157</v>
      </c>
      <c r="S11" t="s">
        <v>182</v>
      </c>
      <c r="T11" t="s">
        <v>299</v>
      </c>
      <c r="U11">
        <v>0.99999999999999678</v>
      </c>
      <c r="V11" t="s">
        <v>157</v>
      </c>
      <c r="X11">
        <v>1</v>
      </c>
      <c r="Y11">
        <v>1.0000000000000002</v>
      </c>
      <c r="Z11" t="s">
        <v>299</v>
      </c>
      <c r="AA11" t="s">
        <v>25</v>
      </c>
    </row>
    <row r="12" spans="1:27" x14ac:dyDescent="0.45">
      <c r="I12" t="s">
        <v>161</v>
      </c>
      <c r="J12" t="s">
        <v>299</v>
      </c>
      <c r="K12">
        <v>1.0000000000000011</v>
      </c>
      <c r="L12" t="s">
        <v>157</v>
      </c>
      <c r="N12" t="s">
        <v>178</v>
      </c>
      <c r="O12" t="s">
        <v>299</v>
      </c>
      <c r="P12">
        <v>0.99999999999999378</v>
      </c>
      <c r="Q12" t="s">
        <v>157</v>
      </c>
      <c r="S12" t="s">
        <v>183</v>
      </c>
      <c r="T12" t="s">
        <v>299</v>
      </c>
      <c r="U12">
        <v>0.99999999999999378</v>
      </c>
      <c r="V12" t="s">
        <v>157</v>
      </c>
    </row>
    <row r="13" spans="1:27" x14ac:dyDescent="0.45">
      <c r="I13" t="s">
        <v>162</v>
      </c>
      <c r="J13" t="s">
        <v>299</v>
      </c>
      <c r="K13">
        <v>1.0000000000000013</v>
      </c>
      <c r="L13" t="s">
        <v>157</v>
      </c>
      <c r="N13" t="s">
        <v>179</v>
      </c>
      <c r="O13" t="s">
        <v>299</v>
      </c>
      <c r="P13">
        <v>1</v>
      </c>
      <c r="Q13" t="s">
        <v>157</v>
      </c>
      <c r="S13" t="s">
        <v>184</v>
      </c>
      <c r="T13" t="s">
        <v>299</v>
      </c>
      <c r="U13">
        <v>1</v>
      </c>
      <c r="V13" t="s">
        <v>157</v>
      </c>
    </row>
    <row r="14" spans="1:27" x14ac:dyDescent="0.45">
      <c r="I14" t="s">
        <v>163</v>
      </c>
      <c r="J14" t="s">
        <v>299</v>
      </c>
      <c r="K14">
        <v>1.0000000000000027</v>
      </c>
      <c r="L14" t="s">
        <v>157</v>
      </c>
      <c r="N14" t="s">
        <v>180</v>
      </c>
      <c r="O14" t="s">
        <v>299</v>
      </c>
      <c r="P14">
        <v>0.99999999999999623</v>
      </c>
      <c r="Q14" t="s">
        <v>157</v>
      </c>
      <c r="S14" t="s">
        <v>185</v>
      </c>
      <c r="T14" t="s">
        <v>299</v>
      </c>
      <c r="U14">
        <v>0.99999999999999623</v>
      </c>
      <c r="V14" t="s">
        <v>157</v>
      </c>
    </row>
    <row r="15" spans="1:27" x14ac:dyDescent="0.45">
      <c r="I15" t="s">
        <v>164</v>
      </c>
      <c r="J15" t="s">
        <v>299</v>
      </c>
      <c r="K15">
        <v>0.99999999999999944</v>
      </c>
      <c r="L15" t="s">
        <v>157</v>
      </c>
      <c r="N15" t="s">
        <v>181</v>
      </c>
      <c r="O15" t="s">
        <v>299</v>
      </c>
      <c r="P15">
        <v>0.99999999999999845</v>
      </c>
      <c r="Q15" t="s">
        <v>157</v>
      </c>
      <c r="S15" t="s">
        <v>186</v>
      </c>
      <c r="T15" t="s">
        <v>299</v>
      </c>
      <c r="U15">
        <v>0.99999999999999845</v>
      </c>
      <c r="V15" t="s">
        <v>157</v>
      </c>
    </row>
    <row r="16" spans="1:27" x14ac:dyDescent="0.45">
      <c r="I16" t="s">
        <v>165</v>
      </c>
      <c r="J16" t="s">
        <v>299</v>
      </c>
      <c r="K16">
        <v>1.0000000000000011</v>
      </c>
      <c r="L16" t="s">
        <v>157</v>
      </c>
    </row>
    <row r="17" spans="9:12" x14ac:dyDescent="0.45">
      <c r="I17" t="s">
        <v>166</v>
      </c>
      <c r="J17" t="s">
        <v>299</v>
      </c>
      <c r="K17">
        <v>1.0000000000000018</v>
      </c>
      <c r="L17" t="s">
        <v>157</v>
      </c>
    </row>
    <row r="18" spans="9:12" x14ac:dyDescent="0.45">
      <c r="I18" t="s">
        <v>167</v>
      </c>
      <c r="J18" t="s">
        <v>299</v>
      </c>
      <c r="K18">
        <v>1.0000000000000002</v>
      </c>
      <c r="L18" t="s">
        <v>157</v>
      </c>
    </row>
    <row r="19" spans="9:12" x14ac:dyDescent="0.45">
      <c r="I19" t="s">
        <v>168</v>
      </c>
      <c r="J19" t="s">
        <v>299</v>
      </c>
      <c r="K19">
        <v>0.99999999999999878</v>
      </c>
      <c r="L19" t="s">
        <v>157</v>
      </c>
    </row>
    <row r="20" spans="9:12" x14ac:dyDescent="0.45">
      <c r="I20" t="s">
        <v>169</v>
      </c>
      <c r="J20" t="s">
        <v>299</v>
      </c>
      <c r="K20">
        <v>0.99999999999999856</v>
      </c>
      <c r="L20" t="s">
        <v>157</v>
      </c>
    </row>
    <row r="21" spans="9:12" x14ac:dyDescent="0.45">
      <c r="I21" t="s">
        <v>170</v>
      </c>
      <c r="J21" t="s">
        <v>299</v>
      </c>
      <c r="K21">
        <v>0.99999999999999711</v>
      </c>
      <c r="L21" t="s">
        <v>157</v>
      </c>
    </row>
    <row r="22" spans="9:12" x14ac:dyDescent="0.45">
      <c r="I22" t="s">
        <v>171</v>
      </c>
      <c r="J22" t="s">
        <v>299</v>
      </c>
      <c r="K22">
        <v>1.0000000000000007</v>
      </c>
      <c r="L22" t="s">
        <v>157</v>
      </c>
    </row>
    <row r="23" spans="9:12" x14ac:dyDescent="0.45">
      <c r="I23" t="s">
        <v>172</v>
      </c>
      <c r="J23" t="s">
        <v>299</v>
      </c>
      <c r="K23">
        <v>0.99999999999999911</v>
      </c>
      <c r="L23" t="s">
        <v>157</v>
      </c>
    </row>
    <row r="24" spans="9:12" x14ac:dyDescent="0.45">
      <c r="I24" t="s">
        <v>173</v>
      </c>
      <c r="J24" t="s">
        <v>299</v>
      </c>
      <c r="K24">
        <v>1.0000000000000002</v>
      </c>
      <c r="L24" t="s">
        <v>157</v>
      </c>
    </row>
    <row r="25" spans="9:12" x14ac:dyDescent="0.45">
      <c r="I25" t="s">
        <v>174</v>
      </c>
      <c r="J25" t="s">
        <v>299</v>
      </c>
      <c r="K25">
        <v>1.0000000000000011</v>
      </c>
      <c r="L25" t="s">
        <v>157</v>
      </c>
    </row>
    <row r="26" spans="9:12" x14ac:dyDescent="0.45">
      <c r="I26" t="s">
        <v>175</v>
      </c>
      <c r="J26" t="s">
        <v>299</v>
      </c>
      <c r="K26">
        <v>0.99999999999999989</v>
      </c>
      <c r="L26" t="s">
        <v>157</v>
      </c>
    </row>
    <row r="27" spans="9:12" x14ac:dyDescent="0.45">
      <c r="I27" t="s">
        <v>176</v>
      </c>
      <c r="J27" t="s">
        <v>299</v>
      </c>
      <c r="K27">
        <v>1.0000000000000018</v>
      </c>
      <c r="L27" t="s">
        <v>157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BB307-423E-4066-BBDD-1AB4EE9EE383}">
  <dimension ref="A9:AA214"/>
  <sheetViews>
    <sheetView tabSelected="1" workbookViewId="0"/>
  </sheetViews>
  <sheetFormatPr defaultRowHeight="14.25" x14ac:dyDescent="0.45"/>
  <sheetData>
    <row r="9" spans="1:27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</row>
    <row r="10" spans="1:27" x14ac:dyDescent="0.45">
      <c r="A10" t="s">
        <v>120</v>
      </c>
      <c r="C10" t="s">
        <v>143</v>
      </c>
      <c r="D10" t="s">
        <v>144</v>
      </c>
      <c r="E10" t="s">
        <v>145</v>
      </c>
      <c r="F10" t="s">
        <v>146</v>
      </c>
      <c r="G10" t="s">
        <v>147</v>
      </c>
      <c r="I10" t="s">
        <v>13</v>
      </c>
      <c r="J10" t="s">
        <v>115</v>
      </c>
      <c r="K10" t="s">
        <v>154</v>
      </c>
      <c r="L10" t="s">
        <v>30</v>
      </c>
      <c r="N10" t="s">
        <v>13</v>
      </c>
      <c r="O10" t="s">
        <v>115</v>
      </c>
      <c r="P10" t="s">
        <v>154</v>
      </c>
      <c r="Q10" t="s">
        <v>30</v>
      </c>
      <c r="S10" t="s">
        <v>13</v>
      </c>
      <c r="T10" t="s">
        <v>115</v>
      </c>
      <c r="U10" t="s">
        <v>154</v>
      </c>
      <c r="V10" t="s">
        <v>30</v>
      </c>
      <c r="X10" t="s">
        <v>187</v>
      </c>
      <c r="Y10" t="s">
        <v>154</v>
      </c>
      <c r="Z10" t="s">
        <v>115</v>
      </c>
      <c r="AA10" t="s">
        <v>13</v>
      </c>
    </row>
    <row r="11" spans="1:27" x14ac:dyDescent="0.45">
      <c r="A11" t="str">
        <f>IFERROR(IF(Veda!D5=A10,"ok","x"),"")</f>
        <v>x</v>
      </c>
      <c r="C11" t="s">
        <v>300</v>
      </c>
      <c r="D11" t="s">
        <v>149</v>
      </c>
      <c r="E11" t="s">
        <v>189</v>
      </c>
      <c r="F11" t="s">
        <v>301</v>
      </c>
      <c r="G11" t="s">
        <v>149</v>
      </c>
      <c r="I11" t="s">
        <v>155</v>
      </c>
      <c r="J11" t="s">
        <v>306</v>
      </c>
      <c r="K11">
        <v>0.23022636489135553</v>
      </c>
      <c r="L11" t="s">
        <v>157</v>
      </c>
      <c r="N11" t="s">
        <v>177</v>
      </c>
      <c r="O11" t="s">
        <v>306</v>
      </c>
      <c r="P11">
        <v>0.14938821529188742</v>
      </c>
      <c r="Q11" t="s">
        <v>157</v>
      </c>
      <c r="S11" t="s">
        <v>182</v>
      </c>
      <c r="T11" t="s">
        <v>306</v>
      </c>
      <c r="U11">
        <v>0.14938821529188742</v>
      </c>
      <c r="V11" t="s">
        <v>157</v>
      </c>
      <c r="X11">
        <v>0.11426940639269406</v>
      </c>
      <c r="Y11">
        <v>0.16087081189037786</v>
      </c>
      <c r="Z11" t="s">
        <v>306</v>
      </c>
      <c r="AA11" t="s">
        <v>25</v>
      </c>
    </row>
    <row r="12" spans="1:27" x14ac:dyDescent="0.45">
      <c r="C12" t="s">
        <v>302</v>
      </c>
      <c r="E12" t="s">
        <v>190</v>
      </c>
      <c r="G12" t="s">
        <v>149</v>
      </c>
      <c r="I12" t="s">
        <v>155</v>
      </c>
      <c r="J12" t="s">
        <v>307</v>
      </c>
      <c r="K12">
        <v>0</v>
      </c>
      <c r="L12" t="s">
        <v>157</v>
      </c>
      <c r="N12" t="s">
        <v>177</v>
      </c>
      <c r="O12" t="s">
        <v>307</v>
      </c>
      <c r="P12">
        <v>9.9049376555822494E-2</v>
      </c>
      <c r="Q12" t="s">
        <v>157</v>
      </c>
      <c r="S12" t="s">
        <v>182</v>
      </c>
      <c r="T12" t="s">
        <v>307</v>
      </c>
      <c r="U12">
        <v>9.9049376555822494E-2</v>
      </c>
      <c r="V12" t="s">
        <v>157</v>
      </c>
      <c r="X12">
        <v>0.11426940639269406</v>
      </c>
      <c r="Y12">
        <v>5.2547713165767528E-2</v>
      </c>
      <c r="Z12" t="s">
        <v>307</v>
      </c>
      <c r="AA12" t="s">
        <v>25</v>
      </c>
    </row>
    <row r="13" spans="1:27" x14ac:dyDescent="0.45">
      <c r="C13" t="s">
        <v>303</v>
      </c>
      <c r="E13" t="s">
        <v>304</v>
      </c>
      <c r="G13" t="s">
        <v>149</v>
      </c>
      <c r="I13" t="s">
        <v>155</v>
      </c>
      <c r="J13" t="s">
        <v>308</v>
      </c>
      <c r="K13">
        <v>2.8197022297253592E-2</v>
      </c>
      <c r="L13" t="s">
        <v>157</v>
      </c>
      <c r="N13" t="s">
        <v>177</v>
      </c>
      <c r="O13" t="s">
        <v>308</v>
      </c>
      <c r="P13">
        <v>1.5082775415698569E-2</v>
      </c>
      <c r="Q13" t="s">
        <v>157</v>
      </c>
      <c r="S13" t="s">
        <v>182</v>
      </c>
      <c r="T13" t="s">
        <v>308</v>
      </c>
      <c r="U13">
        <v>1.5082775415698569E-2</v>
      </c>
      <c r="V13" t="s">
        <v>157</v>
      </c>
      <c r="X13">
        <v>2.0776255707762557E-2</v>
      </c>
      <c r="Y13">
        <v>3.5896543437005365E-2</v>
      </c>
      <c r="Z13" t="s">
        <v>308</v>
      </c>
      <c r="AA13" t="s">
        <v>25</v>
      </c>
    </row>
    <row r="14" spans="1:27" x14ac:dyDescent="0.45">
      <c r="C14" t="s">
        <v>305</v>
      </c>
      <c r="I14" t="s">
        <v>155</v>
      </c>
      <c r="J14" t="s">
        <v>309</v>
      </c>
      <c r="K14">
        <v>0.1943635960970107</v>
      </c>
      <c r="L14" t="s">
        <v>157</v>
      </c>
      <c r="N14" t="s">
        <v>177</v>
      </c>
      <c r="O14" t="s">
        <v>309</v>
      </c>
      <c r="P14">
        <v>8.483674549018394E-2</v>
      </c>
      <c r="Q14" t="s">
        <v>157</v>
      </c>
      <c r="S14" t="s">
        <v>182</v>
      </c>
      <c r="T14" t="s">
        <v>309</v>
      </c>
      <c r="U14">
        <v>8.483674549018394E-2</v>
      </c>
      <c r="V14" t="s">
        <v>157</v>
      </c>
      <c r="X14">
        <v>0.11552511415525114</v>
      </c>
      <c r="Y14">
        <v>0.16263862301005233</v>
      </c>
      <c r="Z14" t="s">
        <v>309</v>
      </c>
      <c r="AA14" t="s">
        <v>25</v>
      </c>
    </row>
    <row r="15" spans="1:27" x14ac:dyDescent="0.45">
      <c r="I15" t="s">
        <v>155</v>
      </c>
      <c r="J15" t="s">
        <v>310</v>
      </c>
      <c r="K15">
        <v>0</v>
      </c>
      <c r="L15" t="s">
        <v>157</v>
      </c>
      <c r="N15" t="s">
        <v>177</v>
      </c>
      <c r="O15" t="s">
        <v>310</v>
      </c>
      <c r="P15">
        <v>9.3223343500107539E-2</v>
      </c>
      <c r="Q15" t="s">
        <v>157</v>
      </c>
      <c r="S15" t="s">
        <v>182</v>
      </c>
      <c r="T15" t="s">
        <v>310</v>
      </c>
      <c r="U15">
        <v>9.3223343500107539E-2</v>
      </c>
      <c r="V15" t="s">
        <v>157</v>
      </c>
      <c r="X15">
        <v>0.11552511415525114</v>
      </c>
      <c r="Y15">
        <v>5.3125160563193538E-2</v>
      </c>
      <c r="Z15" t="s">
        <v>310</v>
      </c>
      <c r="AA15" t="s">
        <v>25</v>
      </c>
    </row>
    <row r="16" spans="1:27" x14ac:dyDescent="0.45">
      <c r="I16" t="s">
        <v>155</v>
      </c>
      <c r="J16" t="s">
        <v>311</v>
      </c>
      <c r="K16">
        <v>2.8521864555555901E-2</v>
      </c>
      <c r="L16" t="s">
        <v>157</v>
      </c>
      <c r="N16" t="s">
        <v>177</v>
      </c>
      <c r="O16" t="s">
        <v>311</v>
      </c>
      <c r="P16">
        <v>1.391771152124012E-2</v>
      </c>
      <c r="Q16" t="s">
        <v>157</v>
      </c>
      <c r="S16" t="s">
        <v>182</v>
      </c>
      <c r="T16" t="s">
        <v>311</v>
      </c>
      <c r="U16">
        <v>1.391771152124012E-2</v>
      </c>
      <c r="V16" t="s">
        <v>157</v>
      </c>
      <c r="X16">
        <v>2.1004566210045664E-2</v>
      </c>
      <c r="Y16">
        <v>3.6291010947302131E-2</v>
      </c>
      <c r="Z16" t="s">
        <v>311</v>
      </c>
      <c r="AA16" t="s">
        <v>25</v>
      </c>
    </row>
    <row r="17" spans="9:27" x14ac:dyDescent="0.45">
      <c r="I17" t="s">
        <v>155</v>
      </c>
      <c r="J17" t="s">
        <v>312</v>
      </c>
      <c r="K17">
        <v>0.21686115728761515</v>
      </c>
      <c r="L17" t="s">
        <v>157</v>
      </c>
      <c r="N17" t="s">
        <v>177</v>
      </c>
      <c r="O17" t="s">
        <v>312</v>
      </c>
      <c r="P17">
        <v>1.6472588058883637E-2</v>
      </c>
      <c r="Q17" t="s">
        <v>157</v>
      </c>
      <c r="S17" t="s">
        <v>182</v>
      </c>
      <c r="T17" t="s">
        <v>312</v>
      </c>
      <c r="U17">
        <v>1.6472588058883637E-2</v>
      </c>
      <c r="V17" t="s">
        <v>157</v>
      </c>
      <c r="X17">
        <v>0.11552511415525114</v>
      </c>
      <c r="Y17">
        <v>0.16263862301005233</v>
      </c>
      <c r="Z17" t="s">
        <v>312</v>
      </c>
      <c r="AA17" t="s">
        <v>25</v>
      </c>
    </row>
    <row r="18" spans="9:27" x14ac:dyDescent="0.45">
      <c r="I18" t="s">
        <v>155</v>
      </c>
      <c r="J18" t="s">
        <v>313</v>
      </c>
      <c r="K18">
        <v>0</v>
      </c>
      <c r="L18" t="s">
        <v>157</v>
      </c>
      <c r="N18" t="s">
        <v>177</v>
      </c>
      <c r="O18" t="s">
        <v>313</v>
      </c>
      <c r="P18">
        <v>2.3146016409350195E-2</v>
      </c>
      <c r="Q18" t="s">
        <v>157</v>
      </c>
      <c r="S18" t="s">
        <v>182</v>
      </c>
      <c r="T18" t="s">
        <v>313</v>
      </c>
      <c r="U18">
        <v>2.3146016409350195E-2</v>
      </c>
      <c r="V18" t="s">
        <v>157</v>
      </c>
      <c r="X18">
        <v>0.11552511415525114</v>
      </c>
      <c r="Y18">
        <v>5.3125160563193538E-2</v>
      </c>
      <c r="Z18" t="s">
        <v>313</v>
      </c>
      <c r="AA18" t="s">
        <v>25</v>
      </c>
    </row>
    <row r="19" spans="9:27" x14ac:dyDescent="0.45">
      <c r="I19" t="s">
        <v>155</v>
      </c>
      <c r="J19" t="s">
        <v>314</v>
      </c>
      <c r="K19">
        <v>2.6087924816506219E-2</v>
      </c>
      <c r="L19" t="s">
        <v>157</v>
      </c>
      <c r="N19" t="s">
        <v>177</v>
      </c>
      <c r="O19" t="s">
        <v>314</v>
      </c>
      <c r="P19">
        <v>2.6577968521432028E-3</v>
      </c>
      <c r="Q19" t="s">
        <v>157</v>
      </c>
      <c r="S19" t="s">
        <v>182</v>
      </c>
      <c r="T19" t="s">
        <v>314</v>
      </c>
      <c r="U19">
        <v>2.6577968521432028E-3</v>
      </c>
      <c r="V19" t="s">
        <v>157</v>
      </c>
      <c r="X19">
        <v>2.1004566210045664E-2</v>
      </c>
      <c r="Y19">
        <v>3.6291010947302131E-2</v>
      </c>
      <c r="Z19" t="s">
        <v>314</v>
      </c>
      <c r="AA19" t="s">
        <v>25</v>
      </c>
    </row>
    <row r="20" spans="9:27" x14ac:dyDescent="0.45">
      <c r="I20" t="s">
        <v>155</v>
      </c>
      <c r="J20" t="s">
        <v>315</v>
      </c>
      <c r="K20">
        <v>0.24072197925617744</v>
      </c>
      <c r="L20" t="s">
        <v>157</v>
      </c>
      <c r="N20" t="s">
        <v>177</v>
      </c>
      <c r="O20" t="s">
        <v>315</v>
      </c>
      <c r="P20">
        <v>0.23642407197293674</v>
      </c>
      <c r="Q20" t="s">
        <v>157</v>
      </c>
      <c r="S20" t="s">
        <v>182</v>
      </c>
      <c r="T20" t="s">
        <v>315</v>
      </c>
      <c r="U20">
        <v>0.23642407197293674</v>
      </c>
      <c r="V20" t="s">
        <v>157</v>
      </c>
      <c r="X20">
        <v>0.11301369863013698</v>
      </c>
      <c r="Y20">
        <v>0.15910300077070333</v>
      </c>
      <c r="Z20" t="s">
        <v>315</v>
      </c>
      <c r="AA20" t="s">
        <v>25</v>
      </c>
    </row>
    <row r="21" spans="9:27" x14ac:dyDescent="0.45">
      <c r="I21" t="s">
        <v>155</v>
      </c>
      <c r="J21" t="s">
        <v>316</v>
      </c>
      <c r="K21">
        <v>0</v>
      </c>
      <c r="L21" t="s">
        <v>157</v>
      </c>
      <c r="N21" t="s">
        <v>177</v>
      </c>
      <c r="O21" t="s">
        <v>316</v>
      </c>
      <c r="P21">
        <v>0.23030287292980028</v>
      </c>
      <c r="Q21" t="s">
        <v>157</v>
      </c>
      <c r="S21" t="s">
        <v>182</v>
      </c>
      <c r="T21" t="s">
        <v>316</v>
      </c>
      <c r="U21">
        <v>0.23030287292980028</v>
      </c>
      <c r="V21" t="s">
        <v>157</v>
      </c>
      <c r="X21">
        <v>0.11301369863013698</v>
      </c>
      <c r="Y21">
        <v>5.197026576834151E-2</v>
      </c>
      <c r="Z21" t="s">
        <v>316</v>
      </c>
      <c r="AA21" t="s">
        <v>25</v>
      </c>
    </row>
    <row r="22" spans="9:27" x14ac:dyDescent="0.45">
      <c r="I22" t="s">
        <v>155</v>
      </c>
      <c r="J22" t="s">
        <v>317</v>
      </c>
      <c r="K22">
        <v>3.5020090798522585E-2</v>
      </c>
      <c r="L22" t="s">
        <v>157</v>
      </c>
      <c r="N22" t="s">
        <v>177</v>
      </c>
      <c r="O22" t="s">
        <v>317</v>
      </c>
      <c r="P22">
        <v>3.5498486001942657E-2</v>
      </c>
      <c r="Q22" t="s">
        <v>157</v>
      </c>
      <c r="S22" t="s">
        <v>182</v>
      </c>
      <c r="T22" t="s">
        <v>317</v>
      </c>
      <c r="U22">
        <v>3.5498486001942657E-2</v>
      </c>
      <c r="V22" t="s">
        <v>157</v>
      </c>
      <c r="X22">
        <v>2.0547945205479451E-2</v>
      </c>
      <c r="Y22">
        <v>3.5502075926708607E-2</v>
      </c>
      <c r="Z22" t="s">
        <v>317</v>
      </c>
      <c r="AA22" t="s">
        <v>25</v>
      </c>
    </row>
    <row r="23" spans="9:27" x14ac:dyDescent="0.45">
      <c r="I23" t="s">
        <v>161</v>
      </c>
      <c r="J23" t="s">
        <v>306</v>
      </c>
      <c r="K23">
        <v>0.23205866966236699</v>
      </c>
      <c r="L23" t="s">
        <v>157</v>
      </c>
      <c r="N23" t="s">
        <v>178</v>
      </c>
      <c r="O23" t="s">
        <v>306</v>
      </c>
      <c r="P23">
        <v>0.17355609554376453</v>
      </c>
      <c r="Q23" t="s">
        <v>157</v>
      </c>
      <c r="S23" t="s">
        <v>183</v>
      </c>
      <c r="T23" t="s">
        <v>306</v>
      </c>
      <c r="U23">
        <v>0.17355609554376453</v>
      </c>
      <c r="V23" t="s">
        <v>157</v>
      </c>
    </row>
    <row r="24" spans="9:27" x14ac:dyDescent="0.45">
      <c r="I24" t="s">
        <v>161</v>
      </c>
      <c r="J24" t="s">
        <v>307</v>
      </c>
      <c r="K24">
        <v>0</v>
      </c>
      <c r="L24" t="s">
        <v>157</v>
      </c>
      <c r="N24" t="s">
        <v>178</v>
      </c>
      <c r="O24" t="s">
        <v>307</v>
      </c>
      <c r="P24">
        <v>9.4153582201426014E-2</v>
      </c>
      <c r="Q24" t="s">
        <v>157</v>
      </c>
      <c r="S24" t="s">
        <v>183</v>
      </c>
      <c r="T24" t="s">
        <v>307</v>
      </c>
      <c r="U24">
        <v>9.4153582201426014E-2</v>
      </c>
      <c r="V24" t="s">
        <v>157</v>
      </c>
    </row>
    <row r="25" spans="9:27" x14ac:dyDescent="0.45">
      <c r="I25" t="s">
        <v>161</v>
      </c>
      <c r="J25" t="s">
        <v>308</v>
      </c>
      <c r="K25">
        <v>2.881298864215532E-2</v>
      </c>
      <c r="L25" t="s">
        <v>157</v>
      </c>
      <c r="N25" t="s">
        <v>178</v>
      </c>
      <c r="O25" t="s">
        <v>308</v>
      </c>
      <c r="P25">
        <v>1.32433843190206E-2</v>
      </c>
      <c r="Q25" t="s">
        <v>157</v>
      </c>
      <c r="S25" t="s">
        <v>183</v>
      </c>
      <c r="T25" t="s">
        <v>308</v>
      </c>
      <c r="U25">
        <v>1.32433843190206E-2</v>
      </c>
      <c r="V25" t="s">
        <v>157</v>
      </c>
    </row>
    <row r="26" spans="9:27" x14ac:dyDescent="0.45">
      <c r="I26" t="s">
        <v>161</v>
      </c>
      <c r="J26" t="s">
        <v>309</v>
      </c>
      <c r="K26">
        <v>0.1932818944734887</v>
      </c>
      <c r="L26" t="s">
        <v>157</v>
      </c>
      <c r="N26" t="s">
        <v>178</v>
      </c>
      <c r="O26" t="s">
        <v>309</v>
      </c>
      <c r="P26">
        <v>0.10728502142334283</v>
      </c>
      <c r="Q26" t="s">
        <v>157</v>
      </c>
      <c r="S26" t="s">
        <v>183</v>
      </c>
      <c r="T26" t="s">
        <v>309</v>
      </c>
      <c r="U26">
        <v>0.10728502142334283</v>
      </c>
      <c r="V26" t="s">
        <v>157</v>
      </c>
    </row>
    <row r="27" spans="9:27" x14ac:dyDescent="0.45">
      <c r="I27" t="s">
        <v>161</v>
      </c>
      <c r="J27" t="s">
        <v>310</v>
      </c>
      <c r="K27">
        <v>0</v>
      </c>
      <c r="L27" t="s">
        <v>157</v>
      </c>
      <c r="N27" t="s">
        <v>178</v>
      </c>
      <c r="O27" t="s">
        <v>310</v>
      </c>
      <c r="P27">
        <v>8.9156448550044565E-2</v>
      </c>
      <c r="Q27" t="s">
        <v>157</v>
      </c>
      <c r="S27" t="s">
        <v>183</v>
      </c>
      <c r="T27" t="s">
        <v>310</v>
      </c>
      <c r="U27">
        <v>8.9156448550044565E-2</v>
      </c>
      <c r="V27" t="s">
        <v>157</v>
      </c>
    </row>
    <row r="28" spans="9:27" x14ac:dyDescent="0.45">
      <c r="I28" t="s">
        <v>161</v>
      </c>
      <c r="J28" t="s">
        <v>311</v>
      </c>
      <c r="K28">
        <v>2.9088243846067414E-2</v>
      </c>
      <c r="L28" t="s">
        <v>157</v>
      </c>
      <c r="N28" t="s">
        <v>178</v>
      </c>
      <c r="O28" t="s">
        <v>311</v>
      </c>
      <c r="P28">
        <v>1.2850942578490525E-2</v>
      </c>
      <c r="Q28" t="s">
        <v>157</v>
      </c>
      <c r="S28" t="s">
        <v>183</v>
      </c>
      <c r="T28" t="s">
        <v>311</v>
      </c>
      <c r="U28">
        <v>1.2850942578490525E-2</v>
      </c>
      <c r="V28" t="s">
        <v>157</v>
      </c>
    </row>
    <row r="29" spans="9:27" x14ac:dyDescent="0.45">
      <c r="I29" t="s">
        <v>161</v>
      </c>
      <c r="J29" t="s">
        <v>312</v>
      </c>
      <c r="K29">
        <v>0.2171109436122359</v>
      </c>
      <c r="L29" t="s">
        <v>157</v>
      </c>
      <c r="N29" t="s">
        <v>178</v>
      </c>
      <c r="O29" t="s">
        <v>312</v>
      </c>
      <c r="P29">
        <v>1.8137469620519518E-2</v>
      </c>
      <c r="Q29" t="s">
        <v>157</v>
      </c>
      <c r="S29" t="s">
        <v>183</v>
      </c>
      <c r="T29" t="s">
        <v>312</v>
      </c>
      <c r="U29">
        <v>1.8137469620519518E-2</v>
      </c>
      <c r="V29" t="s">
        <v>157</v>
      </c>
    </row>
    <row r="30" spans="9:27" x14ac:dyDescent="0.45">
      <c r="I30" t="s">
        <v>161</v>
      </c>
      <c r="J30" t="s">
        <v>313</v>
      </c>
      <c r="K30">
        <v>0</v>
      </c>
      <c r="L30" t="s">
        <v>157</v>
      </c>
      <c r="N30" t="s">
        <v>178</v>
      </c>
      <c r="O30" t="s">
        <v>313</v>
      </c>
      <c r="P30">
        <v>1.9713012727945838E-2</v>
      </c>
      <c r="Q30" t="s">
        <v>157</v>
      </c>
      <c r="S30" t="s">
        <v>183</v>
      </c>
      <c r="T30" t="s">
        <v>313</v>
      </c>
      <c r="U30">
        <v>1.9713012727945838E-2</v>
      </c>
      <c r="V30" t="s">
        <v>157</v>
      </c>
    </row>
    <row r="31" spans="9:27" x14ac:dyDescent="0.45">
      <c r="I31" t="s">
        <v>161</v>
      </c>
      <c r="J31" t="s">
        <v>314</v>
      </c>
      <c r="K31">
        <v>2.6652648890672266E-2</v>
      </c>
      <c r="L31" t="s">
        <v>157</v>
      </c>
      <c r="N31" t="s">
        <v>178</v>
      </c>
      <c r="O31" t="s">
        <v>314</v>
      </c>
      <c r="P31">
        <v>1.8477597123553822E-3</v>
      </c>
      <c r="Q31" t="s">
        <v>157</v>
      </c>
      <c r="S31" t="s">
        <v>183</v>
      </c>
      <c r="T31" t="s">
        <v>314</v>
      </c>
      <c r="U31">
        <v>1.8477597123553822E-3</v>
      </c>
      <c r="V31" t="s">
        <v>157</v>
      </c>
    </row>
    <row r="32" spans="9:27" x14ac:dyDescent="0.45">
      <c r="I32" t="s">
        <v>161</v>
      </c>
      <c r="J32" t="s">
        <v>315</v>
      </c>
      <c r="K32">
        <v>0.2389322232024953</v>
      </c>
      <c r="L32" t="s">
        <v>157</v>
      </c>
      <c r="N32" t="s">
        <v>178</v>
      </c>
      <c r="O32" t="s">
        <v>315</v>
      </c>
      <c r="P32">
        <v>0.25989220448019063</v>
      </c>
      <c r="Q32" t="s">
        <v>157</v>
      </c>
      <c r="S32" t="s">
        <v>183</v>
      </c>
      <c r="T32" t="s">
        <v>315</v>
      </c>
      <c r="U32">
        <v>0.25989220448019063</v>
      </c>
      <c r="V32" t="s">
        <v>157</v>
      </c>
    </row>
    <row r="33" spans="9:22" x14ac:dyDescent="0.45">
      <c r="I33" t="s">
        <v>161</v>
      </c>
      <c r="J33" t="s">
        <v>316</v>
      </c>
      <c r="K33">
        <v>0</v>
      </c>
      <c r="L33" t="s">
        <v>157</v>
      </c>
      <c r="N33" t="s">
        <v>178</v>
      </c>
      <c r="O33" t="s">
        <v>316</v>
      </c>
      <c r="P33">
        <v>0.17825891995388665</v>
      </c>
      <c r="Q33" t="s">
        <v>157</v>
      </c>
      <c r="S33" t="s">
        <v>183</v>
      </c>
      <c r="T33" t="s">
        <v>316</v>
      </c>
      <c r="U33">
        <v>0.17825891995388665</v>
      </c>
      <c r="V33" t="s">
        <v>157</v>
      </c>
    </row>
    <row r="34" spans="9:22" x14ac:dyDescent="0.45">
      <c r="I34" t="s">
        <v>161</v>
      </c>
      <c r="J34" t="s">
        <v>317</v>
      </c>
      <c r="K34">
        <v>3.4062387670519133E-2</v>
      </c>
      <c r="L34" t="s">
        <v>157</v>
      </c>
      <c r="N34" t="s">
        <v>178</v>
      </c>
      <c r="O34" t="s">
        <v>317</v>
      </c>
      <c r="P34">
        <v>3.1905158889006704E-2</v>
      </c>
      <c r="Q34" t="s">
        <v>157</v>
      </c>
      <c r="S34" t="s">
        <v>183</v>
      </c>
      <c r="T34" t="s">
        <v>317</v>
      </c>
      <c r="U34">
        <v>3.1905158889006704E-2</v>
      </c>
      <c r="V34" t="s">
        <v>157</v>
      </c>
    </row>
    <row r="35" spans="9:22" x14ac:dyDescent="0.45">
      <c r="I35" t="s">
        <v>162</v>
      </c>
      <c r="J35" t="s">
        <v>306</v>
      </c>
      <c r="K35">
        <v>0.23854836368849838</v>
      </c>
      <c r="L35" t="s">
        <v>157</v>
      </c>
      <c r="N35" t="s">
        <v>179</v>
      </c>
      <c r="O35" t="s">
        <v>306</v>
      </c>
      <c r="P35">
        <v>0.15091771590433689</v>
      </c>
      <c r="Q35" t="s">
        <v>157</v>
      </c>
      <c r="S35" t="s">
        <v>184</v>
      </c>
      <c r="T35" t="s">
        <v>306</v>
      </c>
      <c r="U35">
        <v>0.15091771590433689</v>
      </c>
      <c r="V35" t="s">
        <v>157</v>
      </c>
    </row>
    <row r="36" spans="9:22" x14ac:dyDescent="0.45">
      <c r="I36" t="s">
        <v>162</v>
      </c>
      <c r="J36" t="s">
        <v>307</v>
      </c>
      <c r="K36">
        <v>0</v>
      </c>
      <c r="L36" t="s">
        <v>157</v>
      </c>
      <c r="N36" t="s">
        <v>179</v>
      </c>
      <c r="O36" t="s">
        <v>307</v>
      </c>
      <c r="P36">
        <v>9.1002383715847693E-2</v>
      </c>
      <c r="Q36" t="s">
        <v>157</v>
      </c>
      <c r="S36" t="s">
        <v>184</v>
      </c>
      <c r="T36" t="s">
        <v>307</v>
      </c>
      <c r="U36">
        <v>9.1002383715847693E-2</v>
      </c>
      <c r="V36" t="s">
        <v>157</v>
      </c>
    </row>
    <row r="37" spans="9:22" x14ac:dyDescent="0.45">
      <c r="I37" t="s">
        <v>162</v>
      </c>
      <c r="J37" t="s">
        <v>308</v>
      </c>
      <c r="K37">
        <v>1.7111254824627636E-2</v>
      </c>
      <c r="L37" t="s">
        <v>157</v>
      </c>
      <c r="N37" t="s">
        <v>179</v>
      </c>
      <c r="O37" t="s">
        <v>308</v>
      </c>
      <c r="P37">
        <v>1.9337666059200898E-2</v>
      </c>
      <c r="Q37" t="s">
        <v>157</v>
      </c>
      <c r="S37" t="s">
        <v>184</v>
      </c>
      <c r="T37" t="s">
        <v>308</v>
      </c>
      <c r="U37">
        <v>1.9337666059200898E-2</v>
      </c>
      <c r="V37" t="s">
        <v>157</v>
      </c>
    </row>
    <row r="38" spans="9:22" x14ac:dyDescent="0.45">
      <c r="I38" t="s">
        <v>162</v>
      </c>
      <c r="J38" t="s">
        <v>309</v>
      </c>
      <c r="K38">
        <v>0.22143504705507749</v>
      </c>
      <c r="L38" t="s">
        <v>157</v>
      </c>
      <c r="N38" t="s">
        <v>179</v>
      </c>
      <c r="O38" t="s">
        <v>309</v>
      </c>
      <c r="P38">
        <v>7.9756504923384472E-2</v>
      </c>
      <c r="Q38" t="s">
        <v>157</v>
      </c>
      <c r="S38" t="s">
        <v>184</v>
      </c>
      <c r="T38" t="s">
        <v>309</v>
      </c>
      <c r="U38">
        <v>7.9756504923384472E-2</v>
      </c>
      <c r="V38" t="s">
        <v>157</v>
      </c>
    </row>
    <row r="39" spans="9:22" x14ac:dyDescent="0.45">
      <c r="I39" t="s">
        <v>162</v>
      </c>
      <c r="J39" t="s">
        <v>310</v>
      </c>
      <c r="K39">
        <v>0</v>
      </c>
      <c r="L39" t="s">
        <v>157</v>
      </c>
      <c r="N39" t="s">
        <v>179</v>
      </c>
      <c r="O39" t="s">
        <v>310</v>
      </c>
      <c r="P39">
        <v>7.251205889406373E-2</v>
      </c>
      <c r="Q39" t="s">
        <v>157</v>
      </c>
      <c r="S39" t="s">
        <v>184</v>
      </c>
      <c r="T39" t="s">
        <v>310</v>
      </c>
      <c r="U39">
        <v>7.251205889406373E-2</v>
      </c>
      <c r="V39" t="s">
        <v>157</v>
      </c>
    </row>
    <row r="40" spans="9:22" x14ac:dyDescent="0.45">
      <c r="I40" t="s">
        <v>162</v>
      </c>
      <c r="J40" t="s">
        <v>311</v>
      </c>
      <c r="K40">
        <v>2.0455321318582527E-2</v>
      </c>
      <c r="L40" t="s">
        <v>157</v>
      </c>
      <c r="N40" t="s">
        <v>179</v>
      </c>
      <c r="O40" t="s">
        <v>311</v>
      </c>
      <c r="P40">
        <v>1.957689326995472E-2</v>
      </c>
      <c r="Q40" t="s">
        <v>157</v>
      </c>
      <c r="S40" t="s">
        <v>184</v>
      </c>
      <c r="T40" t="s">
        <v>311</v>
      </c>
      <c r="U40">
        <v>1.957689326995472E-2</v>
      </c>
      <c r="V40" t="s">
        <v>157</v>
      </c>
    </row>
    <row r="41" spans="9:22" x14ac:dyDescent="0.45">
      <c r="I41" t="s">
        <v>162</v>
      </c>
      <c r="J41" t="s">
        <v>312</v>
      </c>
      <c r="K41">
        <v>0.20725295605532376</v>
      </c>
      <c r="L41" t="s">
        <v>157</v>
      </c>
      <c r="N41" t="s">
        <v>179</v>
      </c>
      <c r="O41" t="s">
        <v>312</v>
      </c>
      <c r="P41">
        <v>1.3912157057811628E-2</v>
      </c>
      <c r="Q41" t="s">
        <v>157</v>
      </c>
      <c r="S41" t="s">
        <v>184</v>
      </c>
      <c r="T41" t="s">
        <v>312</v>
      </c>
      <c r="U41">
        <v>1.3912157057811628E-2</v>
      </c>
      <c r="V41" t="s">
        <v>157</v>
      </c>
    </row>
    <row r="42" spans="9:22" x14ac:dyDescent="0.45">
      <c r="I42" t="s">
        <v>162</v>
      </c>
      <c r="J42" t="s">
        <v>313</v>
      </c>
      <c r="K42">
        <v>0</v>
      </c>
      <c r="L42" t="s">
        <v>157</v>
      </c>
      <c r="N42" t="s">
        <v>179</v>
      </c>
      <c r="O42" t="s">
        <v>313</v>
      </c>
      <c r="P42">
        <v>1.7753931446816282E-2</v>
      </c>
      <c r="Q42" t="s">
        <v>157</v>
      </c>
      <c r="S42" t="s">
        <v>184</v>
      </c>
      <c r="T42" t="s">
        <v>313</v>
      </c>
      <c r="U42">
        <v>1.7753931446816282E-2</v>
      </c>
      <c r="V42" t="s">
        <v>157</v>
      </c>
    </row>
    <row r="43" spans="9:22" x14ac:dyDescent="0.45">
      <c r="I43" t="s">
        <v>162</v>
      </c>
      <c r="J43" t="s">
        <v>314</v>
      </c>
      <c r="K43">
        <v>1.8577379430742499E-2</v>
      </c>
      <c r="L43" t="s">
        <v>157</v>
      </c>
      <c r="N43" t="s">
        <v>179</v>
      </c>
      <c r="O43" t="s">
        <v>314</v>
      </c>
      <c r="P43">
        <v>2.9794321006999581E-3</v>
      </c>
      <c r="Q43" t="s">
        <v>157</v>
      </c>
      <c r="S43" t="s">
        <v>184</v>
      </c>
      <c r="T43" t="s">
        <v>314</v>
      </c>
      <c r="U43">
        <v>2.9794321006999581E-3</v>
      </c>
      <c r="V43" t="s">
        <v>157</v>
      </c>
    </row>
    <row r="44" spans="9:22" x14ac:dyDescent="0.45">
      <c r="I44" t="s">
        <v>162</v>
      </c>
      <c r="J44" t="s">
        <v>315</v>
      </c>
      <c r="K44">
        <v>0.24959249840365338</v>
      </c>
      <c r="L44" t="s">
        <v>157</v>
      </c>
      <c r="N44" t="s">
        <v>179</v>
      </c>
      <c r="O44" t="s">
        <v>315</v>
      </c>
      <c r="P44">
        <v>0.26589341898507068</v>
      </c>
      <c r="Q44" t="s">
        <v>157</v>
      </c>
      <c r="S44" t="s">
        <v>184</v>
      </c>
      <c r="T44" t="s">
        <v>315</v>
      </c>
      <c r="U44">
        <v>0.26589341898507068</v>
      </c>
      <c r="V44" t="s">
        <v>157</v>
      </c>
    </row>
    <row r="45" spans="9:22" x14ac:dyDescent="0.45">
      <c r="I45" t="s">
        <v>162</v>
      </c>
      <c r="J45" t="s">
        <v>316</v>
      </c>
      <c r="K45">
        <v>0</v>
      </c>
      <c r="L45" t="s">
        <v>157</v>
      </c>
      <c r="N45" t="s">
        <v>179</v>
      </c>
      <c r="O45" t="s">
        <v>316</v>
      </c>
      <c r="P45">
        <v>0.21430051941581091</v>
      </c>
      <c r="Q45" t="s">
        <v>157</v>
      </c>
      <c r="S45" t="s">
        <v>184</v>
      </c>
      <c r="T45" t="s">
        <v>316</v>
      </c>
      <c r="U45">
        <v>0.21430051941581091</v>
      </c>
      <c r="V45" t="s">
        <v>157</v>
      </c>
    </row>
    <row r="46" spans="9:22" x14ac:dyDescent="0.45">
      <c r="I46" t="s">
        <v>162</v>
      </c>
      <c r="J46" t="s">
        <v>317</v>
      </c>
      <c r="K46">
        <v>2.7027179223495623E-2</v>
      </c>
      <c r="L46" t="s">
        <v>157</v>
      </c>
      <c r="N46" t="s">
        <v>179</v>
      </c>
      <c r="O46" t="s">
        <v>317</v>
      </c>
      <c r="P46">
        <v>5.2057318227002165E-2</v>
      </c>
      <c r="Q46" t="s">
        <v>157</v>
      </c>
      <c r="S46" t="s">
        <v>184</v>
      </c>
      <c r="T46" t="s">
        <v>317</v>
      </c>
      <c r="U46">
        <v>5.2057318227002165E-2</v>
      </c>
      <c r="V46" t="s">
        <v>157</v>
      </c>
    </row>
    <row r="47" spans="9:22" x14ac:dyDescent="0.45">
      <c r="I47" t="s">
        <v>163</v>
      </c>
      <c r="J47" t="s">
        <v>306</v>
      </c>
      <c r="K47">
        <v>0.23661980273202088</v>
      </c>
      <c r="L47" t="s">
        <v>157</v>
      </c>
      <c r="N47" t="s">
        <v>180</v>
      </c>
      <c r="O47" t="s">
        <v>306</v>
      </c>
      <c r="P47">
        <v>0.17951476219610352</v>
      </c>
      <c r="Q47" t="s">
        <v>157</v>
      </c>
      <c r="S47" t="s">
        <v>185</v>
      </c>
      <c r="T47" t="s">
        <v>306</v>
      </c>
      <c r="U47">
        <v>0.17951476219610352</v>
      </c>
      <c r="V47" t="s">
        <v>157</v>
      </c>
    </row>
    <row r="48" spans="9:22" x14ac:dyDescent="0.45">
      <c r="I48" t="s">
        <v>163</v>
      </c>
      <c r="J48" t="s">
        <v>307</v>
      </c>
      <c r="K48">
        <v>0</v>
      </c>
      <c r="L48" t="s">
        <v>157</v>
      </c>
      <c r="N48" t="s">
        <v>180</v>
      </c>
      <c r="O48" t="s">
        <v>307</v>
      </c>
      <c r="P48">
        <v>9.6834924250820631E-2</v>
      </c>
      <c r="Q48" t="s">
        <v>157</v>
      </c>
      <c r="S48" t="s">
        <v>185</v>
      </c>
      <c r="T48" t="s">
        <v>307</v>
      </c>
      <c r="U48">
        <v>9.6834924250820631E-2</v>
      </c>
      <c r="V48" t="s">
        <v>157</v>
      </c>
    </row>
    <row r="49" spans="9:22" x14ac:dyDescent="0.45">
      <c r="I49" t="s">
        <v>163</v>
      </c>
      <c r="J49" t="s">
        <v>308</v>
      </c>
      <c r="K49">
        <v>1.9229705508762067E-2</v>
      </c>
      <c r="L49" t="s">
        <v>157</v>
      </c>
      <c r="N49" t="s">
        <v>180</v>
      </c>
      <c r="O49" t="s">
        <v>308</v>
      </c>
      <c r="P49">
        <v>2.1313444157555875E-2</v>
      </c>
      <c r="Q49" t="s">
        <v>157</v>
      </c>
      <c r="S49" t="s">
        <v>185</v>
      </c>
      <c r="T49" t="s">
        <v>308</v>
      </c>
      <c r="U49">
        <v>2.1313444157555875E-2</v>
      </c>
      <c r="V49" t="s">
        <v>157</v>
      </c>
    </row>
    <row r="50" spans="9:22" x14ac:dyDescent="0.45">
      <c r="I50" t="s">
        <v>163</v>
      </c>
      <c r="J50" t="s">
        <v>309</v>
      </c>
      <c r="K50">
        <v>0.21734954124051864</v>
      </c>
      <c r="L50" t="s">
        <v>157</v>
      </c>
      <c r="N50" t="s">
        <v>180</v>
      </c>
      <c r="O50" t="s">
        <v>309</v>
      </c>
      <c r="P50">
        <v>9.927875005200662E-2</v>
      </c>
      <c r="Q50" t="s">
        <v>157</v>
      </c>
      <c r="S50" t="s">
        <v>185</v>
      </c>
      <c r="T50" t="s">
        <v>309</v>
      </c>
      <c r="U50">
        <v>9.927875005200662E-2</v>
      </c>
      <c r="V50" t="s">
        <v>157</v>
      </c>
    </row>
    <row r="51" spans="9:22" x14ac:dyDescent="0.45">
      <c r="I51" t="s">
        <v>163</v>
      </c>
      <c r="J51" t="s">
        <v>310</v>
      </c>
      <c r="K51">
        <v>0</v>
      </c>
      <c r="L51" t="s">
        <v>157</v>
      </c>
      <c r="N51" t="s">
        <v>180</v>
      </c>
      <c r="O51" t="s">
        <v>310</v>
      </c>
      <c r="P51">
        <v>7.4202810859785043E-2</v>
      </c>
      <c r="Q51" t="s">
        <v>157</v>
      </c>
      <c r="S51" t="s">
        <v>185</v>
      </c>
      <c r="T51" t="s">
        <v>310</v>
      </c>
      <c r="U51">
        <v>7.4202810859785043E-2</v>
      </c>
      <c r="V51" t="s">
        <v>157</v>
      </c>
    </row>
    <row r="52" spans="9:22" x14ac:dyDescent="0.45">
      <c r="I52" t="s">
        <v>163</v>
      </c>
      <c r="J52" t="s">
        <v>311</v>
      </c>
      <c r="K52">
        <v>2.1054742450311921E-2</v>
      </c>
      <c r="L52" t="s">
        <v>157</v>
      </c>
      <c r="N52" t="s">
        <v>180</v>
      </c>
      <c r="O52" t="s">
        <v>311</v>
      </c>
      <c r="P52">
        <v>1.8453484300807815E-2</v>
      </c>
      <c r="Q52" t="s">
        <v>157</v>
      </c>
      <c r="S52" t="s">
        <v>185</v>
      </c>
      <c r="T52" t="s">
        <v>311</v>
      </c>
      <c r="U52">
        <v>1.8453484300807815E-2</v>
      </c>
      <c r="V52" t="s">
        <v>157</v>
      </c>
    </row>
    <row r="53" spans="9:22" x14ac:dyDescent="0.45">
      <c r="I53" t="s">
        <v>163</v>
      </c>
      <c r="J53" t="s">
        <v>312</v>
      </c>
      <c r="K53">
        <v>0.21160891127856485</v>
      </c>
      <c r="L53" t="s">
        <v>157</v>
      </c>
      <c r="N53" t="s">
        <v>180</v>
      </c>
      <c r="O53" t="s">
        <v>312</v>
      </c>
      <c r="P53">
        <v>2.1930336281173607E-2</v>
      </c>
      <c r="Q53" t="s">
        <v>157</v>
      </c>
      <c r="S53" t="s">
        <v>185</v>
      </c>
      <c r="T53" t="s">
        <v>312</v>
      </c>
      <c r="U53">
        <v>2.1930336281173607E-2</v>
      </c>
      <c r="V53" t="s">
        <v>157</v>
      </c>
    </row>
    <row r="54" spans="9:22" x14ac:dyDescent="0.45">
      <c r="I54" t="s">
        <v>163</v>
      </c>
      <c r="J54" t="s">
        <v>313</v>
      </c>
      <c r="K54">
        <v>0</v>
      </c>
      <c r="L54" t="s">
        <v>157</v>
      </c>
      <c r="N54" t="s">
        <v>180</v>
      </c>
      <c r="O54" t="s">
        <v>313</v>
      </c>
      <c r="P54">
        <v>1.9909699648087604E-2</v>
      </c>
      <c r="Q54" t="s">
        <v>157</v>
      </c>
      <c r="S54" t="s">
        <v>185</v>
      </c>
      <c r="T54" t="s">
        <v>313</v>
      </c>
      <c r="U54">
        <v>1.9909699648087604E-2</v>
      </c>
      <c r="V54" t="s">
        <v>157</v>
      </c>
    </row>
    <row r="55" spans="9:22" x14ac:dyDescent="0.45">
      <c r="I55" t="s">
        <v>163</v>
      </c>
      <c r="J55" t="s">
        <v>314</v>
      </c>
      <c r="K55">
        <v>1.9781919375438863E-2</v>
      </c>
      <c r="L55" t="s">
        <v>157</v>
      </c>
      <c r="N55" t="s">
        <v>180</v>
      </c>
      <c r="O55" t="s">
        <v>314</v>
      </c>
      <c r="P55">
        <v>2.9926681110061604E-3</v>
      </c>
      <c r="Q55" t="s">
        <v>157</v>
      </c>
      <c r="S55" t="s">
        <v>185</v>
      </c>
      <c r="T55" t="s">
        <v>314</v>
      </c>
      <c r="U55">
        <v>2.9926681110061604E-3</v>
      </c>
      <c r="V55" t="s">
        <v>157</v>
      </c>
    </row>
    <row r="56" spans="9:22" x14ac:dyDescent="0.45">
      <c r="I56" t="s">
        <v>163</v>
      </c>
      <c r="J56" t="s">
        <v>315</v>
      </c>
      <c r="K56">
        <v>0.24862160426574428</v>
      </c>
      <c r="L56" t="s">
        <v>157</v>
      </c>
      <c r="N56" t="s">
        <v>180</v>
      </c>
      <c r="O56" t="s">
        <v>315</v>
      </c>
      <c r="P56">
        <v>0.25946057834577241</v>
      </c>
      <c r="Q56" t="s">
        <v>157</v>
      </c>
      <c r="S56" t="s">
        <v>185</v>
      </c>
      <c r="T56" t="s">
        <v>315</v>
      </c>
      <c r="U56">
        <v>0.25946057834577241</v>
      </c>
      <c r="V56" t="s">
        <v>157</v>
      </c>
    </row>
    <row r="57" spans="9:22" x14ac:dyDescent="0.45">
      <c r="I57" t="s">
        <v>163</v>
      </c>
      <c r="J57" t="s">
        <v>316</v>
      </c>
      <c r="K57">
        <v>0</v>
      </c>
      <c r="L57" t="s">
        <v>157</v>
      </c>
      <c r="N57" t="s">
        <v>180</v>
      </c>
      <c r="O57" t="s">
        <v>316</v>
      </c>
      <c r="P57">
        <v>0.16409553585671391</v>
      </c>
      <c r="Q57" t="s">
        <v>157</v>
      </c>
      <c r="S57" t="s">
        <v>185</v>
      </c>
      <c r="T57" t="s">
        <v>316</v>
      </c>
      <c r="U57">
        <v>0.16409553585671391</v>
      </c>
      <c r="V57" t="s">
        <v>157</v>
      </c>
    </row>
    <row r="58" spans="9:22" x14ac:dyDescent="0.45">
      <c r="I58" t="s">
        <v>163</v>
      </c>
      <c r="J58" t="s">
        <v>317</v>
      </c>
      <c r="K58">
        <v>2.5733773148641174E-2</v>
      </c>
      <c r="L58" t="s">
        <v>157</v>
      </c>
      <c r="N58" t="s">
        <v>180</v>
      </c>
      <c r="O58" t="s">
        <v>317</v>
      </c>
      <c r="P58">
        <v>4.2013005940162974E-2</v>
      </c>
      <c r="Q58" t="s">
        <v>157</v>
      </c>
      <c r="S58" t="s">
        <v>185</v>
      </c>
      <c r="T58" t="s">
        <v>317</v>
      </c>
      <c r="U58">
        <v>4.2013005940162974E-2</v>
      </c>
      <c r="V58" t="s">
        <v>157</v>
      </c>
    </row>
    <row r="59" spans="9:22" x14ac:dyDescent="0.45">
      <c r="I59" t="s">
        <v>164</v>
      </c>
      <c r="J59" t="s">
        <v>306</v>
      </c>
      <c r="K59">
        <v>0.23705565439120332</v>
      </c>
      <c r="L59" t="s">
        <v>157</v>
      </c>
      <c r="N59" t="s">
        <v>181</v>
      </c>
      <c r="O59" t="s">
        <v>306</v>
      </c>
      <c r="P59">
        <v>0.18934375930820163</v>
      </c>
      <c r="Q59" t="s">
        <v>157</v>
      </c>
      <c r="S59" t="s">
        <v>186</v>
      </c>
      <c r="T59" t="s">
        <v>306</v>
      </c>
      <c r="U59">
        <v>0.18934375930820163</v>
      </c>
      <c r="V59" t="s">
        <v>157</v>
      </c>
    </row>
    <row r="60" spans="9:22" x14ac:dyDescent="0.45">
      <c r="I60" t="s">
        <v>164</v>
      </c>
      <c r="J60" t="s">
        <v>307</v>
      </c>
      <c r="K60">
        <v>0</v>
      </c>
      <c r="L60" t="s">
        <v>157</v>
      </c>
      <c r="N60" t="s">
        <v>181</v>
      </c>
      <c r="O60" t="s">
        <v>307</v>
      </c>
      <c r="P60">
        <v>9.4087865642327823E-2</v>
      </c>
      <c r="Q60" t="s">
        <v>157</v>
      </c>
      <c r="S60" t="s">
        <v>186</v>
      </c>
      <c r="T60" t="s">
        <v>307</v>
      </c>
      <c r="U60">
        <v>9.4087865642327823E-2</v>
      </c>
      <c r="V60" t="s">
        <v>157</v>
      </c>
    </row>
    <row r="61" spans="9:22" x14ac:dyDescent="0.45">
      <c r="I61" t="s">
        <v>164</v>
      </c>
      <c r="J61" t="s">
        <v>308</v>
      </c>
      <c r="K61">
        <v>2.3732521368397302E-2</v>
      </c>
      <c r="L61" t="s">
        <v>157</v>
      </c>
      <c r="N61" t="s">
        <v>181</v>
      </c>
      <c r="O61" t="s">
        <v>308</v>
      </c>
      <c r="P61">
        <v>3.0319835330111018E-2</v>
      </c>
      <c r="Q61" t="s">
        <v>157</v>
      </c>
      <c r="S61" t="s">
        <v>186</v>
      </c>
      <c r="T61" t="s">
        <v>308</v>
      </c>
      <c r="U61">
        <v>3.0319835330111018E-2</v>
      </c>
      <c r="V61" t="s">
        <v>157</v>
      </c>
    </row>
    <row r="62" spans="9:22" x14ac:dyDescent="0.45">
      <c r="I62" t="s">
        <v>164</v>
      </c>
      <c r="J62" t="s">
        <v>309</v>
      </c>
      <c r="K62">
        <v>0.21112487610379579</v>
      </c>
      <c r="L62" t="s">
        <v>157</v>
      </c>
      <c r="N62" t="s">
        <v>181</v>
      </c>
      <c r="O62" t="s">
        <v>309</v>
      </c>
      <c r="P62">
        <v>0.1116527885503919</v>
      </c>
      <c r="Q62" t="s">
        <v>157</v>
      </c>
      <c r="S62" t="s">
        <v>186</v>
      </c>
      <c r="T62" t="s">
        <v>309</v>
      </c>
      <c r="U62">
        <v>0.1116527885503919</v>
      </c>
      <c r="V62" t="s">
        <v>157</v>
      </c>
    </row>
    <row r="63" spans="9:22" x14ac:dyDescent="0.45">
      <c r="I63" t="s">
        <v>164</v>
      </c>
      <c r="J63" t="s">
        <v>310</v>
      </c>
      <c r="K63">
        <v>0</v>
      </c>
      <c r="L63" t="s">
        <v>157</v>
      </c>
      <c r="N63" t="s">
        <v>181</v>
      </c>
      <c r="O63" t="s">
        <v>310</v>
      </c>
      <c r="P63">
        <v>6.1062980498761237E-2</v>
      </c>
      <c r="Q63" t="s">
        <v>157</v>
      </c>
      <c r="S63" t="s">
        <v>186</v>
      </c>
      <c r="T63" t="s">
        <v>310</v>
      </c>
      <c r="U63">
        <v>6.1062980498761237E-2</v>
      </c>
      <c r="V63" t="s">
        <v>157</v>
      </c>
    </row>
    <row r="64" spans="9:22" x14ac:dyDescent="0.45">
      <c r="I64" t="s">
        <v>164</v>
      </c>
      <c r="J64" t="s">
        <v>311</v>
      </c>
      <c r="K64">
        <v>2.5796187182952929E-2</v>
      </c>
      <c r="L64" t="s">
        <v>157</v>
      </c>
      <c r="N64" t="s">
        <v>181</v>
      </c>
      <c r="O64" t="s">
        <v>311</v>
      </c>
      <c r="P64">
        <v>2.4241749637207592E-2</v>
      </c>
      <c r="Q64" t="s">
        <v>157</v>
      </c>
      <c r="S64" t="s">
        <v>186</v>
      </c>
      <c r="T64" t="s">
        <v>311</v>
      </c>
      <c r="U64">
        <v>2.4241749637207592E-2</v>
      </c>
      <c r="V64" t="s">
        <v>157</v>
      </c>
    </row>
    <row r="65" spans="9:22" x14ac:dyDescent="0.45">
      <c r="I65" t="s">
        <v>164</v>
      </c>
      <c r="J65" t="s">
        <v>312</v>
      </c>
      <c r="K65">
        <v>0.21185357883638292</v>
      </c>
      <c r="L65" t="s">
        <v>157</v>
      </c>
      <c r="N65" t="s">
        <v>181</v>
      </c>
      <c r="O65" t="s">
        <v>312</v>
      </c>
      <c r="P65">
        <v>2.31463820205122E-2</v>
      </c>
      <c r="Q65" t="s">
        <v>157</v>
      </c>
      <c r="S65" t="s">
        <v>186</v>
      </c>
      <c r="T65" t="s">
        <v>312</v>
      </c>
      <c r="U65">
        <v>2.31463820205122E-2</v>
      </c>
      <c r="V65" t="s">
        <v>157</v>
      </c>
    </row>
    <row r="66" spans="9:22" x14ac:dyDescent="0.45">
      <c r="I66" t="s">
        <v>164</v>
      </c>
      <c r="J66" t="s">
        <v>313</v>
      </c>
      <c r="K66">
        <v>0</v>
      </c>
      <c r="L66" t="s">
        <v>157</v>
      </c>
      <c r="N66" t="s">
        <v>181</v>
      </c>
      <c r="O66" t="s">
        <v>313</v>
      </c>
      <c r="P66">
        <v>2.242118622702239E-2</v>
      </c>
      <c r="Q66" t="s">
        <v>157</v>
      </c>
      <c r="S66" t="s">
        <v>186</v>
      </c>
      <c r="T66" t="s">
        <v>313</v>
      </c>
      <c r="U66">
        <v>2.242118622702239E-2</v>
      </c>
      <c r="V66" t="s">
        <v>157</v>
      </c>
    </row>
    <row r="67" spans="9:22" x14ac:dyDescent="0.45">
      <c r="I67" t="s">
        <v>164</v>
      </c>
      <c r="J67" t="s">
        <v>314</v>
      </c>
      <c r="K67">
        <v>2.1140960977632805E-2</v>
      </c>
      <c r="L67" t="s">
        <v>157</v>
      </c>
      <c r="N67" t="s">
        <v>181</v>
      </c>
      <c r="O67" t="s">
        <v>314</v>
      </c>
      <c r="P67">
        <v>4.9915162454417933E-3</v>
      </c>
      <c r="Q67" t="s">
        <v>157</v>
      </c>
      <c r="S67" t="s">
        <v>186</v>
      </c>
      <c r="T67" t="s">
        <v>314</v>
      </c>
      <c r="U67">
        <v>4.9915162454417933E-3</v>
      </c>
      <c r="V67" t="s">
        <v>157</v>
      </c>
    </row>
    <row r="68" spans="9:22" x14ac:dyDescent="0.45">
      <c r="I68" t="s">
        <v>164</v>
      </c>
      <c r="J68" t="s">
        <v>315</v>
      </c>
      <c r="K68">
        <v>0.24117573718899823</v>
      </c>
      <c r="L68" t="s">
        <v>157</v>
      </c>
      <c r="N68" t="s">
        <v>181</v>
      </c>
      <c r="O68" t="s">
        <v>315</v>
      </c>
      <c r="P68">
        <v>0.27792349558222346</v>
      </c>
      <c r="Q68" t="s">
        <v>157</v>
      </c>
      <c r="S68" t="s">
        <v>186</v>
      </c>
      <c r="T68" t="s">
        <v>315</v>
      </c>
      <c r="U68">
        <v>0.27792349558222346</v>
      </c>
      <c r="V68" t="s">
        <v>157</v>
      </c>
    </row>
    <row r="69" spans="9:22" x14ac:dyDescent="0.45">
      <c r="I69" t="s">
        <v>164</v>
      </c>
      <c r="J69" t="s">
        <v>316</v>
      </c>
      <c r="K69">
        <v>0</v>
      </c>
      <c r="L69" t="s">
        <v>157</v>
      </c>
      <c r="N69" t="s">
        <v>181</v>
      </c>
      <c r="O69" t="s">
        <v>316</v>
      </c>
      <c r="P69">
        <v>0.11123507762940023</v>
      </c>
      <c r="Q69" t="s">
        <v>157</v>
      </c>
      <c r="S69" t="s">
        <v>186</v>
      </c>
      <c r="T69" t="s">
        <v>316</v>
      </c>
      <c r="U69">
        <v>0.11123507762940023</v>
      </c>
      <c r="V69" t="s">
        <v>157</v>
      </c>
    </row>
    <row r="70" spans="9:22" x14ac:dyDescent="0.45">
      <c r="I70" t="s">
        <v>164</v>
      </c>
      <c r="J70" t="s">
        <v>317</v>
      </c>
      <c r="K70">
        <v>2.8120483950636103E-2</v>
      </c>
      <c r="L70" t="s">
        <v>157</v>
      </c>
      <c r="N70" t="s">
        <v>181</v>
      </c>
      <c r="O70" t="s">
        <v>317</v>
      </c>
      <c r="P70">
        <v>4.9573363328397214E-2</v>
      </c>
      <c r="Q70" t="s">
        <v>157</v>
      </c>
      <c r="S70" t="s">
        <v>186</v>
      </c>
      <c r="T70" t="s">
        <v>317</v>
      </c>
      <c r="U70">
        <v>4.9573363328397214E-2</v>
      </c>
      <c r="V70" t="s">
        <v>157</v>
      </c>
    </row>
    <row r="71" spans="9:22" x14ac:dyDescent="0.45">
      <c r="I71" t="s">
        <v>165</v>
      </c>
      <c r="J71" t="s">
        <v>306</v>
      </c>
      <c r="K71">
        <v>0.24697774726649635</v>
      </c>
      <c r="L71" t="s">
        <v>157</v>
      </c>
    </row>
    <row r="72" spans="9:22" x14ac:dyDescent="0.45">
      <c r="I72" t="s">
        <v>165</v>
      </c>
      <c r="J72" t="s">
        <v>307</v>
      </c>
      <c r="K72">
        <v>0</v>
      </c>
      <c r="L72" t="s">
        <v>157</v>
      </c>
    </row>
    <row r="73" spans="9:22" x14ac:dyDescent="0.45">
      <c r="I73" t="s">
        <v>165</v>
      </c>
      <c r="J73" t="s">
        <v>308</v>
      </c>
      <c r="K73">
        <v>1.5484102765691914E-2</v>
      </c>
      <c r="L73" t="s">
        <v>157</v>
      </c>
    </row>
    <row r="74" spans="9:22" x14ac:dyDescent="0.45">
      <c r="I74" t="s">
        <v>165</v>
      </c>
      <c r="J74" t="s">
        <v>309</v>
      </c>
      <c r="K74">
        <v>0.22752674992434663</v>
      </c>
      <c r="L74" t="s">
        <v>157</v>
      </c>
    </row>
    <row r="75" spans="9:22" x14ac:dyDescent="0.45">
      <c r="I75" t="s">
        <v>165</v>
      </c>
      <c r="J75" t="s">
        <v>310</v>
      </c>
      <c r="K75">
        <v>0</v>
      </c>
      <c r="L75" t="s">
        <v>157</v>
      </c>
    </row>
    <row r="76" spans="9:22" x14ac:dyDescent="0.45">
      <c r="I76" t="s">
        <v>165</v>
      </c>
      <c r="J76" t="s">
        <v>311</v>
      </c>
      <c r="K76">
        <v>1.91448440712766E-2</v>
      </c>
      <c r="L76" t="s">
        <v>157</v>
      </c>
    </row>
    <row r="77" spans="9:22" x14ac:dyDescent="0.45">
      <c r="I77" t="s">
        <v>165</v>
      </c>
      <c r="J77" t="s">
        <v>312</v>
      </c>
      <c r="K77">
        <v>0.1975958334168014</v>
      </c>
      <c r="L77" t="s">
        <v>157</v>
      </c>
    </row>
    <row r="78" spans="9:22" x14ac:dyDescent="0.45">
      <c r="I78" t="s">
        <v>165</v>
      </c>
      <c r="J78" t="s">
        <v>313</v>
      </c>
      <c r="K78">
        <v>0</v>
      </c>
      <c r="L78" t="s">
        <v>157</v>
      </c>
    </row>
    <row r="79" spans="9:22" x14ac:dyDescent="0.45">
      <c r="I79" t="s">
        <v>165</v>
      </c>
      <c r="J79" t="s">
        <v>314</v>
      </c>
      <c r="K79">
        <v>1.4899343399461687E-2</v>
      </c>
      <c r="L79" t="s">
        <v>157</v>
      </c>
    </row>
    <row r="80" spans="9:22" x14ac:dyDescent="0.45">
      <c r="I80" t="s">
        <v>165</v>
      </c>
      <c r="J80" t="s">
        <v>315</v>
      </c>
      <c r="K80">
        <v>0.25302549750649633</v>
      </c>
      <c r="L80" t="s">
        <v>157</v>
      </c>
    </row>
    <row r="81" spans="9:12" x14ac:dyDescent="0.45">
      <c r="I81" t="s">
        <v>165</v>
      </c>
      <c r="J81" t="s">
        <v>316</v>
      </c>
      <c r="K81">
        <v>0</v>
      </c>
      <c r="L81" t="s">
        <v>157</v>
      </c>
    </row>
    <row r="82" spans="9:12" x14ac:dyDescent="0.45">
      <c r="I82" t="s">
        <v>165</v>
      </c>
      <c r="J82" t="s">
        <v>317</v>
      </c>
      <c r="K82">
        <v>2.5345881649430271E-2</v>
      </c>
      <c r="L82" t="s">
        <v>157</v>
      </c>
    </row>
    <row r="83" spans="9:12" x14ac:dyDescent="0.45">
      <c r="I83" t="s">
        <v>166</v>
      </c>
      <c r="J83" t="s">
        <v>306</v>
      </c>
      <c r="K83">
        <v>0.24058005336610228</v>
      </c>
      <c r="L83" t="s">
        <v>157</v>
      </c>
    </row>
    <row r="84" spans="9:12" x14ac:dyDescent="0.45">
      <c r="I84" t="s">
        <v>166</v>
      </c>
      <c r="J84" t="s">
        <v>307</v>
      </c>
      <c r="K84">
        <v>0</v>
      </c>
      <c r="L84" t="s">
        <v>157</v>
      </c>
    </row>
    <row r="85" spans="9:12" x14ac:dyDescent="0.45">
      <c r="I85" t="s">
        <v>166</v>
      </c>
      <c r="J85" t="s">
        <v>308</v>
      </c>
      <c r="K85">
        <v>1.1082773879100035E-2</v>
      </c>
      <c r="L85" t="s">
        <v>157</v>
      </c>
    </row>
    <row r="86" spans="9:12" x14ac:dyDescent="0.45">
      <c r="I86" t="s">
        <v>166</v>
      </c>
      <c r="J86" t="s">
        <v>309</v>
      </c>
      <c r="K86">
        <v>0.22396975136798178</v>
      </c>
      <c r="L86" t="s">
        <v>157</v>
      </c>
    </row>
    <row r="87" spans="9:12" x14ac:dyDescent="0.45">
      <c r="I87" t="s">
        <v>166</v>
      </c>
      <c r="J87" t="s">
        <v>310</v>
      </c>
      <c r="K87">
        <v>0</v>
      </c>
      <c r="L87" t="s">
        <v>157</v>
      </c>
    </row>
    <row r="88" spans="9:12" x14ac:dyDescent="0.45">
      <c r="I88" t="s">
        <v>166</v>
      </c>
      <c r="J88" t="s">
        <v>311</v>
      </c>
      <c r="K88">
        <v>1.7559980681558198E-2</v>
      </c>
      <c r="L88" t="s">
        <v>157</v>
      </c>
    </row>
    <row r="89" spans="9:12" x14ac:dyDescent="0.45">
      <c r="I89" t="s">
        <v>166</v>
      </c>
      <c r="J89" t="s">
        <v>312</v>
      </c>
      <c r="K89">
        <v>0.20105720826189918</v>
      </c>
      <c r="L89" t="s">
        <v>157</v>
      </c>
    </row>
    <row r="90" spans="9:12" x14ac:dyDescent="0.45">
      <c r="I90" t="s">
        <v>166</v>
      </c>
      <c r="J90" t="s">
        <v>313</v>
      </c>
      <c r="K90">
        <v>0</v>
      </c>
      <c r="L90" t="s">
        <v>157</v>
      </c>
    </row>
    <row r="91" spans="9:12" x14ac:dyDescent="0.45">
      <c r="I91" t="s">
        <v>166</v>
      </c>
      <c r="J91" t="s">
        <v>314</v>
      </c>
      <c r="K91">
        <v>1.1197156494738621E-2</v>
      </c>
      <c r="L91" t="s">
        <v>157</v>
      </c>
    </row>
    <row r="92" spans="9:12" x14ac:dyDescent="0.45">
      <c r="I92" t="s">
        <v>166</v>
      </c>
      <c r="J92" t="s">
        <v>315</v>
      </c>
      <c r="K92">
        <v>0.26884311773359731</v>
      </c>
      <c r="L92" t="s">
        <v>157</v>
      </c>
    </row>
    <row r="93" spans="9:12" x14ac:dyDescent="0.45">
      <c r="I93" t="s">
        <v>166</v>
      </c>
      <c r="J93" t="s">
        <v>316</v>
      </c>
      <c r="K93">
        <v>0</v>
      </c>
      <c r="L93" t="s">
        <v>157</v>
      </c>
    </row>
    <row r="94" spans="9:12" x14ac:dyDescent="0.45">
      <c r="I94" t="s">
        <v>166</v>
      </c>
      <c r="J94" t="s">
        <v>317</v>
      </c>
      <c r="K94">
        <v>2.5709958215024368E-2</v>
      </c>
      <c r="L94" t="s">
        <v>157</v>
      </c>
    </row>
    <row r="95" spans="9:12" x14ac:dyDescent="0.45">
      <c r="I95" t="s">
        <v>167</v>
      </c>
      <c r="J95" t="s">
        <v>306</v>
      </c>
      <c r="K95">
        <v>0.24261461598578807</v>
      </c>
      <c r="L95" t="s">
        <v>157</v>
      </c>
    </row>
    <row r="96" spans="9:12" x14ac:dyDescent="0.45">
      <c r="I96" t="s">
        <v>167</v>
      </c>
      <c r="J96" t="s">
        <v>307</v>
      </c>
      <c r="K96">
        <v>0</v>
      </c>
      <c r="L96" t="s">
        <v>157</v>
      </c>
    </row>
    <row r="97" spans="9:12" x14ac:dyDescent="0.45">
      <c r="I97" t="s">
        <v>167</v>
      </c>
      <c r="J97" t="s">
        <v>308</v>
      </c>
      <c r="K97">
        <v>1.3695827711396687E-2</v>
      </c>
      <c r="L97" t="s">
        <v>157</v>
      </c>
    </row>
    <row r="98" spans="9:12" x14ac:dyDescent="0.45">
      <c r="I98" t="s">
        <v>167</v>
      </c>
      <c r="J98" t="s">
        <v>309</v>
      </c>
      <c r="K98">
        <v>0.21668468497133847</v>
      </c>
      <c r="L98" t="s">
        <v>157</v>
      </c>
    </row>
    <row r="99" spans="9:12" x14ac:dyDescent="0.45">
      <c r="I99" t="s">
        <v>167</v>
      </c>
      <c r="J99" t="s">
        <v>310</v>
      </c>
      <c r="K99">
        <v>0</v>
      </c>
      <c r="L99" t="s">
        <v>157</v>
      </c>
    </row>
    <row r="100" spans="9:12" x14ac:dyDescent="0.45">
      <c r="I100" t="s">
        <v>167</v>
      </c>
      <c r="J100" t="s">
        <v>311</v>
      </c>
      <c r="K100">
        <v>1.7695987742698996E-2</v>
      </c>
      <c r="L100" t="s">
        <v>157</v>
      </c>
    </row>
    <row r="101" spans="9:12" x14ac:dyDescent="0.45">
      <c r="I101" t="s">
        <v>167</v>
      </c>
      <c r="J101" t="s">
        <v>312</v>
      </c>
      <c r="K101">
        <v>0.20852356630098354</v>
      </c>
      <c r="L101" t="s">
        <v>157</v>
      </c>
    </row>
    <row r="102" spans="9:12" x14ac:dyDescent="0.45">
      <c r="I102" t="s">
        <v>167</v>
      </c>
      <c r="J102" t="s">
        <v>313</v>
      </c>
      <c r="K102">
        <v>0</v>
      </c>
      <c r="L102" t="s">
        <v>157</v>
      </c>
    </row>
    <row r="103" spans="9:12" x14ac:dyDescent="0.45">
      <c r="I103" t="s">
        <v>167</v>
      </c>
      <c r="J103" t="s">
        <v>314</v>
      </c>
      <c r="K103">
        <v>1.5550816852910945E-2</v>
      </c>
      <c r="L103" t="s">
        <v>157</v>
      </c>
    </row>
    <row r="104" spans="9:12" x14ac:dyDescent="0.45">
      <c r="I104" t="s">
        <v>167</v>
      </c>
      <c r="J104" t="s">
        <v>315</v>
      </c>
      <c r="K104">
        <v>0.2581745323321965</v>
      </c>
      <c r="L104" t="s">
        <v>157</v>
      </c>
    </row>
    <row r="105" spans="9:12" x14ac:dyDescent="0.45">
      <c r="I105" t="s">
        <v>167</v>
      </c>
      <c r="J105" t="s">
        <v>316</v>
      </c>
      <c r="K105">
        <v>0</v>
      </c>
      <c r="L105" t="s">
        <v>157</v>
      </c>
    </row>
    <row r="106" spans="9:12" x14ac:dyDescent="0.45">
      <c r="I106" t="s">
        <v>167</v>
      </c>
      <c r="J106" t="s">
        <v>317</v>
      </c>
      <c r="K106">
        <v>2.7059968102686936E-2</v>
      </c>
      <c r="L106" t="s">
        <v>157</v>
      </c>
    </row>
    <row r="107" spans="9:12" x14ac:dyDescent="0.45">
      <c r="I107" t="s">
        <v>168</v>
      </c>
      <c r="J107" t="s">
        <v>306</v>
      </c>
      <c r="K107">
        <v>0.24608543155320739</v>
      </c>
      <c r="L107" t="s">
        <v>157</v>
      </c>
    </row>
    <row r="108" spans="9:12" x14ac:dyDescent="0.45">
      <c r="I108" t="s">
        <v>168</v>
      </c>
      <c r="J108" t="s">
        <v>307</v>
      </c>
      <c r="K108">
        <v>0</v>
      </c>
      <c r="L108" t="s">
        <v>157</v>
      </c>
    </row>
    <row r="109" spans="9:12" x14ac:dyDescent="0.45">
      <c r="I109" t="s">
        <v>168</v>
      </c>
      <c r="J109" t="s">
        <v>308</v>
      </c>
      <c r="K109">
        <v>1.7576591728014696E-2</v>
      </c>
      <c r="L109" t="s">
        <v>157</v>
      </c>
    </row>
    <row r="110" spans="9:12" x14ac:dyDescent="0.45">
      <c r="I110" t="s">
        <v>168</v>
      </c>
      <c r="J110" t="s">
        <v>309</v>
      </c>
      <c r="K110">
        <v>0.22505986308256859</v>
      </c>
      <c r="L110" t="s">
        <v>157</v>
      </c>
    </row>
    <row r="111" spans="9:12" x14ac:dyDescent="0.45">
      <c r="I111" t="s">
        <v>168</v>
      </c>
      <c r="J111" t="s">
        <v>310</v>
      </c>
      <c r="K111">
        <v>0</v>
      </c>
      <c r="L111" t="s">
        <v>157</v>
      </c>
    </row>
    <row r="112" spans="9:12" x14ac:dyDescent="0.45">
      <c r="I112" t="s">
        <v>168</v>
      </c>
      <c r="J112" t="s">
        <v>311</v>
      </c>
      <c r="K112">
        <v>2.1586282525062964E-2</v>
      </c>
      <c r="L112" t="s">
        <v>157</v>
      </c>
    </row>
    <row r="113" spans="9:12" x14ac:dyDescent="0.45">
      <c r="I113" t="s">
        <v>168</v>
      </c>
      <c r="J113" t="s">
        <v>312</v>
      </c>
      <c r="K113">
        <v>0.19755950570092584</v>
      </c>
      <c r="L113" t="s">
        <v>157</v>
      </c>
    </row>
    <row r="114" spans="9:12" x14ac:dyDescent="0.45">
      <c r="I114" t="s">
        <v>168</v>
      </c>
      <c r="J114" t="s">
        <v>313</v>
      </c>
      <c r="K114">
        <v>0</v>
      </c>
      <c r="L114" t="s">
        <v>157</v>
      </c>
    </row>
    <row r="115" spans="9:12" x14ac:dyDescent="0.45">
      <c r="I115" t="s">
        <v>168</v>
      </c>
      <c r="J115" t="s">
        <v>314</v>
      </c>
      <c r="K115">
        <v>1.6480675613958481E-2</v>
      </c>
      <c r="L115" t="s">
        <v>157</v>
      </c>
    </row>
    <row r="116" spans="9:12" x14ac:dyDescent="0.45">
      <c r="I116" t="s">
        <v>168</v>
      </c>
      <c r="J116" t="s">
        <v>315</v>
      </c>
      <c r="K116">
        <v>0.24987239097354863</v>
      </c>
      <c r="L116" t="s">
        <v>157</v>
      </c>
    </row>
    <row r="117" spans="9:12" x14ac:dyDescent="0.45">
      <c r="I117" t="s">
        <v>168</v>
      </c>
      <c r="J117" t="s">
        <v>316</v>
      </c>
      <c r="K117">
        <v>0</v>
      </c>
      <c r="L117" t="s">
        <v>157</v>
      </c>
    </row>
    <row r="118" spans="9:12" x14ac:dyDescent="0.45">
      <c r="I118" t="s">
        <v>168</v>
      </c>
      <c r="J118" t="s">
        <v>317</v>
      </c>
      <c r="K118">
        <v>2.5779258822712155E-2</v>
      </c>
      <c r="L118" t="s">
        <v>157</v>
      </c>
    </row>
    <row r="119" spans="9:12" x14ac:dyDescent="0.45">
      <c r="I119" t="s">
        <v>169</v>
      </c>
      <c r="J119" t="s">
        <v>306</v>
      </c>
      <c r="K119">
        <v>0.24683640714278202</v>
      </c>
      <c r="L119" t="s">
        <v>157</v>
      </c>
    </row>
    <row r="120" spans="9:12" x14ac:dyDescent="0.45">
      <c r="I120" t="s">
        <v>169</v>
      </c>
      <c r="J120" t="s">
        <v>307</v>
      </c>
      <c r="K120">
        <v>0</v>
      </c>
      <c r="L120" t="s">
        <v>157</v>
      </c>
    </row>
    <row r="121" spans="9:12" x14ac:dyDescent="0.45">
      <c r="I121" t="s">
        <v>169</v>
      </c>
      <c r="J121" t="s">
        <v>308</v>
      </c>
      <c r="K121">
        <v>1.6438230138420599E-2</v>
      </c>
      <c r="L121" t="s">
        <v>157</v>
      </c>
    </row>
    <row r="122" spans="9:12" x14ac:dyDescent="0.45">
      <c r="I122" t="s">
        <v>169</v>
      </c>
      <c r="J122" t="s">
        <v>309</v>
      </c>
      <c r="K122">
        <v>0.22609527064946752</v>
      </c>
      <c r="L122" t="s">
        <v>157</v>
      </c>
    </row>
    <row r="123" spans="9:12" x14ac:dyDescent="0.45">
      <c r="I123" t="s">
        <v>169</v>
      </c>
      <c r="J123" t="s">
        <v>310</v>
      </c>
      <c r="K123">
        <v>0</v>
      </c>
      <c r="L123" t="s">
        <v>157</v>
      </c>
    </row>
    <row r="124" spans="9:12" x14ac:dyDescent="0.45">
      <c r="I124" t="s">
        <v>169</v>
      </c>
      <c r="J124" t="s">
        <v>311</v>
      </c>
      <c r="K124">
        <v>1.8781340240826356E-2</v>
      </c>
      <c r="L124" t="s">
        <v>157</v>
      </c>
    </row>
    <row r="125" spans="9:12" x14ac:dyDescent="0.45">
      <c r="I125" t="s">
        <v>169</v>
      </c>
      <c r="J125" t="s">
        <v>312</v>
      </c>
      <c r="K125">
        <v>0.20059716562822447</v>
      </c>
      <c r="L125" t="s">
        <v>157</v>
      </c>
    </row>
    <row r="126" spans="9:12" x14ac:dyDescent="0.45">
      <c r="I126" t="s">
        <v>169</v>
      </c>
      <c r="J126" t="s">
        <v>313</v>
      </c>
      <c r="K126">
        <v>0</v>
      </c>
      <c r="L126" t="s">
        <v>157</v>
      </c>
    </row>
    <row r="127" spans="9:12" x14ac:dyDescent="0.45">
      <c r="I127" t="s">
        <v>169</v>
      </c>
      <c r="J127" t="s">
        <v>314</v>
      </c>
      <c r="K127">
        <v>1.6680997027471112E-2</v>
      </c>
      <c r="L127" t="s">
        <v>157</v>
      </c>
    </row>
    <row r="128" spans="9:12" x14ac:dyDescent="0.45">
      <c r="I128" t="s">
        <v>169</v>
      </c>
      <c r="J128" t="s">
        <v>315</v>
      </c>
      <c r="K128">
        <v>0.24953247592199848</v>
      </c>
      <c r="L128" t="s">
        <v>157</v>
      </c>
    </row>
    <row r="129" spans="9:12" x14ac:dyDescent="0.45">
      <c r="I129" t="s">
        <v>169</v>
      </c>
      <c r="J129" t="s">
        <v>316</v>
      </c>
      <c r="K129">
        <v>0</v>
      </c>
      <c r="L129" t="s">
        <v>157</v>
      </c>
    </row>
    <row r="130" spans="9:12" x14ac:dyDescent="0.45">
      <c r="I130" t="s">
        <v>169</v>
      </c>
      <c r="J130" t="s">
        <v>317</v>
      </c>
      <c r="K130">
        <v>2.5038113250807938E-2</v>
      </c>
      <c r="L130" t="s">
        <v>157</v>
      </c>
    </row>
    <row r="131" spans="9:12" x14ac:dyDescent="0.45">
      <c r="I131" t="s">
        <v>170</v>
      </c>
      <c r="J131" t="s">
        <v>306</v>
      </c>
      <c r="K131">
        <v>0.23684935452669412</v>
      </c>
      <c r="L131" t="s">
        <v>157</v>
      </c>
    </row>
    <row r="132" spans="9:12" x14ac:dyDescent="0.45">
      <c r="I132" t="s">
        <v>170</v>
      </c>
      <c r="J132" t="s">
        <v>307</v>
      </c>
      <c r="K132">
        <v>0</v>
      </c>
      <c r="L132" t="s">
        <v>157</v>
      </c>
    </row>
    <row r="133" spans="9:12" x14ac:dyDescent="0.45">
      <c r="I133" t="s">
        <v>170</v>
      </c>
      <c r="J133" t="s">
        <v>308</v>
      </c>
      <c r="K133">
        <v>1.8487853886258551E-2</v>
      </c>
      <c r="L133" t="s">
        <v>157</v>
      </c>
    </row>
    <row r="134" spans="9:12" x14ac:dyDescent="0.45">
      <c r="I134" t="s">
        <v>170</v>
      </c>
      <c r="J134" t="s">
        <v>309</v>
      </c>
      <c r="K134">
        <v>0.22850067826694168</v>
      </c>
      <c r="L134" t="s">
        <v>157</v>
      </c>
    </row>
    <row r="135" spans="9:12" x14ac:dyDescent="0.45">
      <c r="I135" t="s">
        <v>170</v>
      </c>
      <c r="J135" t="s">
        <v>310</v>
      </c>
      <c r="K135">
        <v>0</v>
      </c>
      <c r="L135" t="s">
        <v>157</v>
      </c>
    </row>
    <row r="136" spans="9:12" x14ac:dyDescent="0.45">
      <c r="I136" t="s">
        <v>170</v>
      </c>
      <c r="J136" t="s">
        <v>311</v>
      </c>
      <c r="K136">
        <v>2.146839731301118E-2</v>
      </c>
      <c r="L136" t="s">
        <v>157</v>
      </c>
    </row>
    <row r="137" spans="9:12" x14ac:dyDescent="0.45">
      <c r="I137" t="s">
        <v>170</v>
      </c>
      <c r="J137" t="s">
        <v>312</v>
      </c>
      <c r="K137">
        <v>0.19648541670140796</v>
      </c>
      <c r="L137" t="s">
        <v>157</v>
      </c>
    </row>
    <row r="138" spans="9:12" x14ac:dyDescent="0.45">
      <c r="I138" t="s">
        <v>170</v>
      </c>
      <c r="J138" t="s">
        <v>313</v>
      </c>
      <c r="K138">
        <v>0</v>
      </c>
      <c r="L138" t="s">
        <v>157</v>
      </c>
    </row>
    <row r="139" spans="9:12" x14ac:dyDescent="0.45">
      <c r="I139" t="s">
        <v>170</v>
      </c>
      <c r="J139" t="s">
        <v>314</v>
      </c>
      <c r="K139">
        <v>1.8391706238202101E-2</v>
      </c>
      <c r="L139" t="s">
        <v>157</v>
      </c>
    </row>
    <row r="140" spans="9:12" x14ac:dyDescent="0.45">
      <c r="I140" t="s">
        <v>170</v>
      </c>
      <c r="J140" t="s">
        <v>315</v>
      </c>
      <c r="K140">
        <v>0.25263695606893749</v>
      </c>
      <c r="L140" t="s">
        <v>157</v>
      </c>
    </row>
    <row r="141" spans="9:12" x14ac:dyDescent="0.45">
      <c r="I141" t="s">
        <v>170</v>
      </c>
      <c r="J141" t="s">
        <v>316</v>
      </c>
      <c r="K141">
        <v>0</v>
      </c>
      <c r="L141" t="s">
        <v>157</v>
      </c>
    </row>
    <row r="142" spans="9:12" x14ac:dyDescent="0.45">
      <c r="I142" t="s">
        <v>170</v>
      </c>
      <c r="J142" t="s">
        <v>317</v>
      </c>
      <c r="K142">
        <v>2.717963699854406E-2</v>
      </c>
      <c r="L142" t="s">
        <v>157</v>
      </c>
    </row>
    <row r="143" spans="9:12" x14ac:dyDescent="0.45">
      <c r="I143" t="s">
        <v>171</v>
      </c>
      <c r="J143" t="s">
        <v>306</v>
      </c>
      <c r="K143">
        <v>0.24108927347074352</v>
      </c>
      <c r="L143" t="s">
        <v>157</v>
      </c>
    </row>
    <row r="144" spans="9:12" x14ac:dyDescent="0.45">
      <c r="I144" t="s">
        <v>171</v>
      </c>
      <c r="J144" t="s">
        <v>307</v>
      </c>
      <c r="K144">
        <v>0</v>
      </c>
      <c r="L144" t="s">
        <v>157</v>
      </c>
    </row>
    <row r="145" spans="9:12" x14ac:dyDescent="0.45">
      <c r="I145" t="s">
        <v>171</v>
      </c>
      <c r="J145" t="s">
        <v>308</v>
      </c>
      <c r="K145">
        <v>1.7881980242052176E-2</v>
      </c>
      <c r="L145" t="s">
        <v>157</v>
      </c>
    </row>
    <row r="146" spans="9:12" x14ac:dyDescent="0.45">
      <c r="I146" t="s">
        <v>171</v>
      </c>
      <c r="J146" t="s">
        <v>309</v>
      </c>
      <c r="K146">
        <v>0.22882542147475279</v>
      </c>
      <c r="L146" t="s">
        <v>157</v>
      </c>
    </row>
    <row r="147" spans="9:12" x14ac:dyDescent="0.45">
      <c r="I147" t="s">
        <v>171</v>
      </c>
      <c r="J147" t="s">
        <v>310</v>
      </c>
      <c r="K147">
        <v>0</v>
      </c>
      <c r="L147" t="s">
        <v>157</v>
      </c>
    </row>
    <row r="148" spans="9:12" x14ac:dyDescent="0.45">
      <c r="I148" t="s">
        <v>171</v>
      </c>
      <c r="J148" t="s">
        <v>311</v>
      </c>
      <c r="K148">
        <v>1.9587184795741709E-2</v>
      </c>
      <c r="L148" t="s">
        <v>157</v>
      </c>
    </row>
    <row r="149" spans="9:12" x14ac:dyDescent="0.45">
      <c r="I149" t="s">
        <v>171</v>
      </c>
      <c r="J149" t="s">
        <v>312</v>
      </c>
      <c r="K149">
        <v>0.20137753775945275</v>
      </c>
      <c r="L149" t="s">
        <v>157</v>
      </c>
    </row>
    <row r="150" spans="9:12" x14ac:dyDescent="0.45">
      <c r="I150" t="s">
        <v>171</v>
      </c>
      <c r="J150" t="s">
        <v>313</v>
      </c>
      <c r="K150">
        <v>0</v>
      </c>
      <c r="L150" t="s">
        <v>157</v>
      </c>
    </row>
    <row r="151" spans="9:12" x14ac:dyDescent="0.45">
      <c r="I151" t="s">
        <v>171</v>
      </c>
      <c r="J151" t="s">
        <v>314</v>
      </c>
      <c r="K151">
        <v>1.7180440540154957E-2</v>
      </c>
      <c r="L151" t="s">
        <v>157</v>
      </c>
    </row>
    <row r="152" spans="9:12" x14ac:dyDescent="0.45">
      <c r="I152" t="s">
        <v>171</v>
      </c>
      <c r="J152" t="s">
        <v>315</v>
      </c>
      <c r="K152">
        <v>0.24804524319912261</v>
      </c>
      <c r="L152" t="s">
        <v>157</v>
      </c>
    </row>
    <row r="153" spans="9:12" x14ac:dyDescent="0.45">
      <c r="I153" t="s">
        <v>171</v>
      </c>
      <c r="J153" t="s">
        <v>316</v>
      </c>
      <c r="K153">
        <v>0</v>
      </c>
      <c r="L153" t="s">
        <v>157</v>
      </c>
    </row>
    <row r="154" spans="9:12" x14ac:dyDescent="0.45">
      <c r="I154" t="s">
        <v>171</v>
      </c>
      <c r="J154" t="s">
        <v>317</v>
      </c>
      <c r="K154">
        <v>2.6012918517980047E-2</v>
      </c>
      <c r="L154" t="s">
        <v>157</v>
      </c>
    </row>
    <row r="155" spans="9:12" x14ac:dyDescent="0.45">
      <c r="I155" t="s">
        <v>172</v>
      </c>
      <c r="J155" t="s">
        <v>306</v>
      </c>
      <c r="K155">
        <v>0.24152403545087364</v>
      </c>
      <c r="L155" t="s">
        <v>157</v>
      </c>
    </row>
    <row r="156" spans="9:12" x14ac:dyDescent="0.45">
      <c r="I156" t="s">
        <v>172</v>
      </c>
      <c r="J156" t="s">
        <v>307</v>
      </c>
      <c r="K156">
        <v>0</v>
      </c>
      <c r="L156" t="s">
        <v>157</v>
      </c>
    </row>
    <row r="157" spans="9:12" x14ac:dyDescent="0.45">
      <c r="I157" t="s">
        <v>172</v>
      </c>
      <c r="J157" t="s">
        <v>308</v>
      </c>
      <c r="K157">
        <v>1.9299226221555343E-2</v>
      </c>
      <c r="L157" t="s">
        <v>157</v>
      </c>
    </row>
    <row r="158" spans="9:12" x14ac:dyDescent="0.45">
      <c r="I158" t="s">
        <v>172</v>
      </c>
      <c r="J158" t="s">
        <v>309</v>
      </c>
      <c r="K158">
        <v>0.22037145859310595</v>
      </c>
      <c r="L158" t="s">
        <v>157</v>
      </c>
    </row>
    <row r="159" spans="9:12" x14ac:dyDescent="0.45">
      <c r="I159" t="s">
        <v>172</v>
      </c>
      <c r="J159" t="s">
        <v>310</v>
      </c>
      <c r="K159">
        <v>0</v>
      </c>
      <c r="L159" t="s">
        <v>157</v>
      </c>
    </row>
    <row r="160" spans="9:12" x14ac:dyDescent="0.45">
      <c r="I160" t="s">
        <v>172</v>
      </c>
      <c r="J160" t="s">
        <v>311</v>
      </c>
      <c r="K160">
        <v>2.1558256154280767E-2</v>
      </c>
      <c r="L160" t="s">
        <v>157</v>
      </c>
    </row>
    <row r="161" spans="9:12" x14ac:dyDescent="0.45">
      <c r="I161" t="s">
        <v>172</v>
      </c>
      <c r="J161" t="s">
        <v>312</v>
      </c>
      <c r="K161">
        <v>0.19964553129619228</v>
      </c>
      <c r="L161" t="s">
        <v>157</v>
      </c>
    </row>
    <row r="162" spans="9:12" x14ac:dyDescent="0.45">
      <c r="I162" t="s">
        <v>172</v>
      </c>
      <c r="J162" t="s">
        <v>313</v>
      </c>
      <c r="K162">
        <v>0</v>
      </c>
      <c r="L162" t="s">
        <v>157</v>
      </c>
    </row>
    <row r="163" spans="9:12" x14ac:dyDescent="0.45">
      <c r="I163" t="s">
        <v>172</v>
      </c>
      <c r="J163" t="s">
        <v>314</v>
      </c>
      <c r="K163">
        <v>1.848503485095792E-2</v>
      </c>
      <c r="L163" t="s">
        <v>157</v>
      </c>
    </row>
    <row r="164" spans="9:12" x14ac:dyDescent="0.45">
      <c r="I164" t="s">
        <v>172</v>
      </c>
      <c r="J164" t="s">
        <v>315</v>
      </c>
      <c r="K164">
        <v>0.25147473907528323</v>
      </c>
      <c r="L164" t="s">
        <v>157</v>
      </c>
    </row>
    <row r="165" spans="9:12" x14ac:dyDescent="0.45">
      <c r="I165" t="s">
        <v>172</v>
      </c>
      <c r="J165" t="s">
        <v>316</v>
      </c>
      <c r="K165">
        <v>0</v>
      </c>
      <c r="L165" t="s">
        <v>157</v>
      </c>
    </row>
    <row r="166" spans="9:12" x14ac:dyDescent="0.45">
      <c r="I166" t="s">
        <v>172</v>
      </c>
      <c r="J166" t="s">
        <v>317</v>
      </c>
      <c r="K166">
        <v>2.7641718357750016E-2</v>
      </c>
      <c r="L166" t="s">
        <v>157</v>
      </c>
    </row>
    <row r="167" spans="9:12" x14ac:dyDescent="0.45">
      <c r="I167" t="s">
        <v>173</v>
      </c>
      <c r="J167" t="s">
        <v>306</v>
      </c>
      <c r="K167">
        <v>0.23170033252849698</v>
      </c>
      <c r="L167" t="s">
        <v>157</v>
      </c>
    </row>
    <row r="168" spans="9:12" x14ac:dyDescent="0.45">
      <c r="I168" t="s">
        <v>173</v>
      </c>
      <c r="J168" t="s">
        <v>307</v>
      </c>
      <c r="K168">
        <v>0</v>
      </c>
      <c r="L168" t="s">
        <v>157</v>
      </c>
    </row>
    <row r="169" spans="9:12" x14ac:dyDescent="0.45">
      <c r="I169" t="s">
        <v>173</v>
      </c>
      <c r="J169" t="s">
        <v>308</v>
      </c>
      <c r="K169">
        <v>1.8800559511276609E-2</v>
      </c>
      <c r="L169" t="s">
        <v>157</v>
      </c>
    </row>
    <row r="170" spans="9:12" x14ac:dyDescent="0.45">
      <c r="I170" t="s">
        <v>173</v>
      </c>
      <c r="J170" t="s">
        <v>309</v>
      </c>
      <c r="K170">
        <v>0.22219372240619478</v>
      </c>
      <c r="L170" t="s">
        <v>157</v>
      </c>
    </row>
    <row r="171" spans="9:12" x14ac:dyDescent="0.45">
      <c r="I171" t="s">
        <v>173</v>
      </c>
      <c r="J171" t="s">
        <v>310</v>
      </c>
      <c r="K171">
        <v>0</v>
      </c>
      <c r="L171" t="s">
        <v>157</v>
      </c>
    </row>
    <row r="172" spans="9:12" x14ac:dyDescent="0.45">
      <c r="I172" t="s">
        <v>173</v>
      </c>
      <c r="J172" t="s">
        <v>311</v>
      </c>
      <c r="K172">
        <v>2.1812469138972983E-2</v>
      </c>
      <c r="L172" t="s">
        <v>157</v>
      </c>
    </row>
    <row r="173" spans="9:12" x14ac:dyDescent="0.45">
      <c r="I173" t="s">
        <v>173</v>
      </c>
      <c r="J173" t="s">
        <v>312</v>
      </c>
      <c r="K173">
        <v>0.20329297746564412</v>
      </c>
      <c r="L173" t="s">
        <v>157</v>
      </c>
    </row>
    <row r="174" spans="9:12" x14ac:dyDescent="0.45">
      <c r="I174" t="s">
        <v>173</v>
      </c>
      <c r="J174" t="s">
        <v>313</v>
      </c>
      <c r="K174">
        <v>0</v>
      </c>
      <c r="L174" t="s">
        <v>157</v>
      </c>
    </row>
    <row r="175" spans="9:12" x14ac:dyDescent="0.45">
      <c r="I175" t="s">
        <v>173</v>
      </c>
      <c r="J175" t="s">
        <v>314</v>
      </c>
      <c r="K175">
        <v>1.9861278351462026E-2</v>
      </c>
      <c r="L175" t="s">
        <v>157</v>
      </c>
    </row>
    <row r="176" spans="9:12" x14ac:dyDescent="0.45">
      <c r="I176" t="s">
        <v>173</v>
      </c>
      <c r="J176" t="s">
        <v>315</v>
      </c>
      <c r="K176">
        <v>0.25355186539519309</v>
      </c>
      <c r="L176" t="s">
        <v>157</v>
      </c>
    </row>
    <row r="177" spans="9:12" x14ac:dyDescent="0.45">
      <c r="I177" t="s">
        <v>173</v>
      </c>
      <c r="J177" t="s">
        <v>316</v>
      </c>
      <c r="K177">
        <v>0</v>
      </c>
      <c r="L177" t="s">
        <v>157</v>
      </c>
    </row>
    <row r="178" spans="9:12" x14ac:dyDescent="0.45">
      <c r="I178" t="s">
        <v>173</v>
      </c>
      <c r="J178" t="s">
        <v>317</v>
      </c>
      <c r="K178">
        <v>2.8786795202759584E-2</v>
      </c>
      <c r="L178" t="s">
        <v>157</v>
      </c>
    </row>
    <row r="179" spans="9:12" x14ac:dyDescent="0.45">
      <c r="I179" t="s">
        <v>174</v>
      </c>
      <c r="J179" t="s">
        <v>306</v>
      </c>
      <c r="K179">
        <v>0.23651354195776284</v>
      </c>
      <c r="L179" t="s">
        <v>157</v>
      </c>
    </row>
    <row r="180" spans="9:12" x14ac:dyDescent="0.45">
      <c r="I180" t="s">
        <v>174</v>
      </c>
      <c r="J180" t="s">
        <v>307</v>
      </c>
      <c r="K180">
        <v>0</v>
      </c>
      <c r="L180" t="s">
        <v>157</v>
      </c>
    </row>
    <row r="181" spans="9:12" x14ac:dyDescent="0.45">
      <c r="I181" t="s">
        <v>174</v>
      </c>
      <c r="J181" t="s">
        <v>308</v>
      </c>
      <c r="K181">
        <v>1.8099233810598421E-2</v>
      </c>
      <c r="L181" t="s">
        <v>157</v>
      </c>
    </row>
    <row r="182" spans="9:12" x14ac:dyDescent="0.45">
      <c r="I182" t="s">
        <v>174</v>
      </c>
      <c r="J182" t="s">
        <v>309</v>
      </c>
      <c r="K182">
        <v>0.21108925068102138</v>
      </c>
      <c r="L182" t="s">
        <v>157</v>
      </c>
    </row>
    <row r="183" spans="9:12" x14ac:dyDescent="0.45">
      <c r="I183" t="s">
        <v>174</v>
      </c>
      <c r="J183" t="s">
        <v>310</v>
      </c>
      <c r="K183">
        <v>0</v>
      </c>
      <c r="L183" t="s">
        <v>157</v>
      </c>
    </row>
    <row r="184" spans="9:12" x14ac:dyDescent="0.45">
      <c r="I184" t="s">
        <v>174</v>
      </c>
      <c r="J184" t="s">
        <v>311</v>
      </c>
      <c r="K184">
        <v>2.2004519809006723E-2</v>
      </c>
      <c r="L184" t="s">
        <v>157</v>
      </c>
    </row>
    <row r="185" spans="9:12" x14ac:dyDescent="0.45">
      <c r="I185" t="s">
        <v>174</v>
      </c>
      <c r="J185" t="s">
        <v>312</v>
      </c>
      <c r="K185">
        <v>0.21479097925459151</v>
      </c>
      <c r="L185" t="s">
        <v>157</v>
      </c>
    </row>
    <row r="186" spans="9:12" x14ac:dyDescent="0.45">
      <c r="I186" t="s">
        <v>174</v>
      </c>
      <c r="J186" t="s">
        <v>313</v>
      </c>
      <c r="K186">
        <v>0</v>
      </c>
      <c r="L186" t="s">
        <v>157</v>
      </c>
    </row>
    <row r="187" spans="9:12" x14ac:dyDescent="0.45">
      <c r="I187" t="s">
        <v>174</v>
      </c>
      <c r="J187" t="s">
        <v>314</v>
      </c>
      <c r="K187">
        <v>2.0838279677958347E-2</v>
      </c>
      <c r="L187" t="s">
        <v>157</v>
      </c>
    </row>
    <row r="188" spans="9:12" x14ac:dyDescent="0.45">
      <c r="I188" t="s">
        <v>174</v>
      </c>
      <c r="J188" t="s">
        <v>315</v>
      </c>
      <c r="K188">
        <v>0.24748795486409447</v>
      </c>
      <c r="L188" t="s">
        <v>157</v>
      </c>
    </row>
    <row r="189" spans="9:12" x14ac:dyDescent="0.45">
      <c r="I189" t="s">
        <v>174</v>
      </c>
      <c r="J189" t="s">
        <v>316</v>
      </c>
      <c r="K189">
        <v>0</v>
      </c>
      <c r="L189" t="s">
        <v>157</v>
      </c>
    </row>
    <row r="190" spans="9:12" x14ac:dyDescent="0.45">
      <c r="I190" t="s">
        <v>174</v>
      </c>
      <c r="J190" t="s">
        <v>317</v>
      </c>
      <c r="K190">
        <v>2.9176239944967375E-2</v>
      </c>
      <c r="L190" t="s">
        <v>157</v>
      </c>
    </row>
    <row r="191" spans="9:12" x14ac:dyDescent="0.45">
      <c r="I191" t="s">
        <v>175</v>
      </c>
      <c r="J191" t="s">
        <v>306</v>
      </c>
      <c r="K191">
        <v>0.2400114105941672</v>
      </c>
      <c r="L191" t="s">
        <v>157</v>
      </c>
    </row>
    <row r="192" spans="9:12" x14ac:dyDescent="0.45">
      <c r="I192" t="s">
        <v>175</v>
      </c>
      <c r="J192" t="s">
        <v>307</v>
      </c>
      <c r="K192">
        <v>0</v>
      </c>
      <c r="L192" t="s">
        <v>157</v>
      </c>
    </row>
    <row r="193" spans="9:12" x14ac:dyDescent="0.45">
      <c r="I193" t="s">
        <v>175</v>
      </c>
      <c r="J193" t="s">
        <v>308</v>
      </c>
      <c r="K193">
        <v>2.0898287700174843E-2</v>
      </c>
      <c r="L193" t="s">
        <v>157</v>
      </c>
    </row>
    <row r="194" spans="9:12" x14ac:dyDescent="0.45">
      <c r="I194" t="s">
        <v>175</v>
      </c>
      <c r="J194" t="s">
        <v>309</v>
      </c>
      <c r="K194">
        <v>0.21300321880948114</v>
      </c>
      <c r="L194" t="s">
        <v>157</v>
      </c>
    </row>
    <row r="195" spans="9:12" x14ac:dyDescent="0.45">
      <c r="I195" t="s">
        <v>175</v>
      </c>
      <c r="J195" t="s">
        <v>310</v>
      </c>
      <c r="K195">
        <v>0</v>
      </c>
      <c r="L195" t="s">
        <v>157</v>
      </c>
    </row>
    <row r="196" spans="9:12" x14ac:dyDescent="0.45">
      <c r="I196" t="s">
        <v>175</v>
      </c>
      <c r="J196" t="s">
        <v>311</v>
      </c>
      <c r="K196">
        <v>2.3083355515178552E-2</v>
      </c>
      <c r="L196" t="s">
        <v>157</v>
      </c>
    </row>
    <row r="197" spans="9:12" x14ac:dyDescent="0.45">
      <c r="I197" t="s">
        <v>175</v>
      </c>
      <c r="J197" t="s">
        <v>312</v>
      </c>
      <c r="K197">
        <v>0.20566690787974401</v>
      </c>
      <c r="L197" t="s">
        <v>157</v>
      </c>
    </row>
    <row r="198" spans="9:12" x14ac:dyDescent="0.45">
      <c r="I198" t="s">
        <v>175</v>
      </c>
      <c r="J198" t="s">
        <v>313</v>
      </c>
      <c r="K198">
        <v>0</v>
      </c>
      <c r="L198" t="s">
        <v>157</v>
      </c>
    </row>
    <row r="199" spans="9:12" x14ac:dyDescent="0.45">
      <c r="I199" t="s">
        <v>175</v>
      </c>
      <c r="J199" t="s">
        <v>314</v>
      </c>
      <c r="K199">
        <v>1.845916082059228E-2</v>
      </c>
      <c r="L199" t="s">
        <v>157</v>
      </c>
    </row>
    <row r="200" spans="9:12" x14ac:dyDescent="0.45">
      <c r="I200" t="s">
        <v>175</v>
      </c>
      <c r="J200" t="s">
        <v>315</v>
      </c>
      <c r="K200">
        <v>0.24968782144761442</v>
      </c>
      <c r="L200" t="s">
        <v>157</v>
      </c>
    </row>
    <row r="201" spans="9:12" x14ac:dyDescent="0.45">
      <c r="I201" t="s">
        <v>175</v>
      </c>
      <c r="J201" t="s">
        <v>316</v>
      </c>
      <c r="K201">
        <v>0</v>
      </c>
      <c r="L201" t="s">
        <v>157</v>
      </c>
    </row>
    <row r="202" spans="9:12" x14ac:dyDescent="0.45">
      <c r="I202" t="s">
        <v>175</v>
      </c>
      <c r="J202" t="s">
        <v>317</v>
      </c>
      <c r="K202">
        <v>2.918983723304748E-2</v>
      </c>
      <c r="L202" t="s">
        <v>157</v>
      </c>
    </row>
    <row r="203" spans="9:12" x14ac:dyDescent="0.45">
      <c r="I203" t="s">
        <v>176</v>
      </c>
      <c r="J203" t="s">
        <v>306</v>
      </c>
      <c r="K203">
        <v>0.23665107534297433</v>
      </c>
      <c r="L203" t="s">
        <v>157</v>
      </c>
    </row>
    <row r="204" spans="9:12" x14ac:dyDescent="0.45">
      <c r="I204" t="s">
        <v>176</v>
      </c>
      <c r="J204" t="s">
        <v>307</v>
      </c>
      <c r="K204">
        <v>0</v>
      </c>
      <c r="L204" t="s">
        <v>157</v>
      </c>
    </row>
    <row r="205" spans="9:12" x14ac:dyDescent="0.45">
      <c r="I205" t="s">
        <v>176</v>
      </c>
      <c r="J205" t="s">
        <v>308</v>
      </c>
      <c r="K205">
        <v>1.9624265400643267E-2</v>
      </c>
      <c r="L205" t="s">
        <v>157</v>
      </c>
    </row>
    <row r="206" spans="9:12" x14ac:dyDescent="0.45">
      <c r="I206" t="s">
        <v>176</v>
      </c>
      <c r="J206" t="s">
        <v>309</v>
      </c>
      <c r="K206">
        <v>0.20809284202489817</v>
      </c>
      <c r="L206" t="s">
        <v>157</v>
      </c>
    </row>
    <row r="207" spans="9:12" x14ac:dyDescent="0.45">
      <c r="I207" t="s">
        <v>176</v>
      </c>
      <c r="J207" t="s">
        <v>310</v>
      </c>
      <c r="K207">
        <v>0</v>
      </c>
      <c r="L207" t="s">
        <v>157</v>
      </c>
    </row>
    <row r="208" spans="9:12" x14ac:dyDescent="0.45">
      <c r="I208" t="s">
        <v>176</v>
      </c>
      <c r="J208" t="s">
        <v>311</v>
      </c>
      <c r="K208">
        <v>2.1602950796865365E-2</v>
      </c>
      <c r="L208" t="s">
        <v>157</v>
      </c>
    </row>
    <row r="209" spans="9:12" x14ac:dyDescent="0.45">
      <c r="I209" t="s">
        <v>176</v>
      </c>
      <c r="J209" t="s">
        <v>312</v>
      </c>
      <c r="K209">
        <v>0.20970711029717423</v>
      </c>
      <c r="L209" t="s">
        <v>157</v>
      </c>
    </row>
    <row r="210" spans="9:12" x14ac:dyDescent="0.45">
      <c r="I210" t="s">
        <v>176</v>
      </c>
      <c r="J210" t="s">
        <v>313</v>
      </c>
      <c r="K210">
        <v>0</v>
      </c>
      <c r="L210" t="s">
        <v>157</v>
      </c>
    </row>
    <row r="211" spans="9:12" x14ac:dyDescent="0.45">
      <c r="I211" t="s">
        <v>176</v>
      </c>
      <c r="J211" t="s">
        <v>314</v>
      </c>
      <c r="K211">
        <v>1.9030849157107878E-2</v>
      </c>
      <c r="L211" t="s">
        <v>157</v>
      </c>
    </row>
    <row r="212" spans="9:12" x14ac:dyDescent="0.45">
      <c r="I212" t="s">
        <v>176</v>
      </c>
      <c r="J212" t="s">
        <v>315</v>
      </c>
      <c r="K212">
        <v>0.25422425209542426</v>
      </c>
      <c r="L212" t="s">
        <v>157</v>
      </c>
    </row>
    <row r="213" spans="9:12" x14ac:dyDescent="0.45">
      <c r="I213" t="s">
        <v>176</v>
      </c>
      <c r="J213" t="s">
        <v>316</v>
      </c>
      <c r="K213">
        <v>0</v>
      </c>
      <c r="L213" t="s">
        <v>157</v>
      </c>
    </row>
    <row r="214" spans="9:12" x14ac:dyDescent="0.45">
      <c r="I214" t="s">
        <v>176</v>
      </c>
      <c r="J214" t="s">
        <v>317</v>
      </c>
      <c r="K214">
        <v>3.106665488491428E-2</v>
      </c>
      <c r="L214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Veda</vt:lpstr>
      <vt:lpstr>fuel_prices</vt:lpstr>
      <vt:lpstr>iea_data</vt:lpstr>
      <vt:lpstr>ar6_r10</vt:lpstr>
      <vt:lpstr>ev_charging_uc</vt:lpstr>
      <vt:lpstr>ts_012</vt:lpstr>
      <vt:lpstr>ts_030</vt:lpstr>
      <vt:lpstr>ts_048</vt:lpstr>
      <vt:lpstr>s1_d</vt:lpstr>
      <vt:lpstr>s1v1_d</vt:lpstr>
      <vt:lpstr>ts_annual</vt:lpstr>
      <vt:lpstr>ts_12t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2025-12-22T13:42:06Z</dcterms:modified>
</cp:coreProperties>
</file>