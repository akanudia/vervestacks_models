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UGA_grids_kan\"/>
    </mc:Choice>
  </mc:AlternateContent>
  <xr:revisionPtr revIDLastSave="0" documentId="8_{F65A617E-77A7-4C64-8A16-4407585105D8}" xr6:coauthVersionLast="47" xr6:coauthVersionMax="47" xr10:uidLastSave="{00000000-0000-0000-0000-000000000000}"/>
  <bookViews>
    <workbookView xWindow="-98" yWindow="-98" windowWidth="28996" windowHeight="17475" firstSheet="8" activeTab="8" xr2:uid="{00000000-000D-0000-FFFF-FFFF00000000}"/>
  </bookViews>
  <sheets>
    <sheet name="ScenMap" sheetId="56" r:id="rId1"/>
    <sheet name="TS_Defs" sheetId="27" r:id="rId2"/>
    <sheet name="TS_ratios" sheetId="68" r:id="rId3"/>
    <sheet name="Sankey" sheetId="69" r:id="rId4"/>
    <sheet name="PSet_MAP" sheetId="57" r:id="rId5"/>
    <sheet name="CSET_MAP" sheetId="66" r:id="rId6"/>
    <sheet name="CName_MAP" sheetId="58" r:id="rId7"/>
    <sheet name="timeslice map" sheetId="64" r:id="rId8"/>
    <sheet name="geolocation" sheetId="71" r:id="rId9"/>
    <sheet name="process_map_geo" sheetId="70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1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5" i="65" l="1"/>
  <c r="C74" i="65"/>
  <c r="C73" i="65"/>
  <c r="C72" i="65"/>
  <c r="C71" i="65"/>
  <c r="C70" i="65"/>
  <c r="C69" i="65"/>
  <c r="C68" i="65"/>
  <c r="C67" i="65"/>
  <c r="J65" i="56"/>
  <c r="H65" i="56" s="1"/>
  <c r="C65" i="56" s="1"/>
  <c r="I65" i="56"/>
  <c r="B65" i="56"/>
  <c r="J64" i="56"/>
  <c r="H64" i="56" s="1"/>
  <c r="C64" i="56" s="1"/>
  <c r="I64" i="56"/>
  <c r="B64" i="56"/>
  <c r="J63" i="56"/>
  <c r="H63" i="56" s="1"/>
  <c r="C63" i="56" s="1"/>
  <c r="I63" i="56"/>
  <c r="B63" i="56"/>
  <c r="J62" i="56"/>
  <c r="I62" i="56"/>
  <c r="B62" i="56"/>
  <c r="J61" i="56"/>
  <c r="H61" i="56" s="1"/>
  <c r="C61" i="56" s="1"/>
  <c r="I61" i="56"/>
  <c r="B61" i="56"/>
  <c r="B7" i="56"/>
  <c r="B8" i="56"/>
  <c r="B9" i="56"/>
  <c r="B10" i="56"/>
  <c r="B11" i="56"/>
  <c r="B12" i="56"/>
  <c r="B13" i="56"/>
  <c r="B14" i="56"/>
  <c r="B15" i="56"/>
  <c r="B16" i="56"/>
  <c r="B17" i="56"/>
  <c r="B18" i="56"/>
  <c r="B19" i="56"/>
  <c r="B20" i="56"/>
  <c r="B21" i="56"/>
  <c r="B22" i="56"/>
  <c r="B23" i="56"/>
  <c r="B24" i="56"/>
  <c r="B25" i="56"/>
  <c r="B26" i="56"/>
  <c r="B27" i="56"/>
  <c r="B28" i="56"/>
  <c r="B29" i="56"/>
  <c r="B30" i="56"/>
  <c r="B31" i="56"/>
  <c r="B32" i="56"/>
  <c r="B33" i="56"/>
  <c r="B34" i="56"/>
  <c r="B35" i="56"/>
  <c r="B36" i="56"/>
  <c r="B37" i="56"/>
  <c r="B38" i="56"/>
  <c r="B39" i="56"/>
  <c r="B40" i="56"/>
  <c r="B41" i="56"/>
  <c r="B42" i="56"/>
  <c r="B43" i="56"/>
  <c r="B44" i="56"/>
  <c r="B45" i="56"/>
  <c r="B46" i="56"/>
  <c r="B47" i="56"/>
  <c r="B48" i="56"/>
  <c r="B49" i="56"/>
  <c r="B50" i="56"/>
  <c r="B51" i="56"/>
  <c r="B52" i="56"/>
  <c r="B53" i="56"/>
  <c r="B54" i="56"/>
  <c r="B55" i="56"/>
  <c r="B56" i="56"/>
  <c r="B57" i="56"/>
  <c r="B58" i="56"/>
  <c r="B59" i="56"/>
  <c r="B60" i="56"/>
  <c r="B6" i="56"/>
  <c r="I7" i="56"/>
  <c r="J7" i="56"/>
  <c r="I8" i="56"/>
  <c r="J8" i="56"/>
  <c r="I9" i="56"/>
  <c r="J9" i="56"/>
  <c r="I10" i="56"/>
  <c r="J10" i="56"/>
  <c r="I11" i="56"/>
  <c r="J11" i="56"/>
  <c r="I12" i="56"/>
  <c r="J12" i="56"/>
  <c r="I13" i="56"/>
  <c r="J13" i="56"/>
  <c r="I14" i="56"/>
  <c r="J14" i="56"/>
  <c r="H14" i="56" s="1"/>
  <c r="I15" i="56"/>
  <c r="J15" i="56"/>
  <c r="I16" i="56"/>
  <c r="J16" i="56"/>
  <c r="I17" i="56"/>
  <c r="J17" i="56"/>
  <c r="I18" i="56"/>
  <c r="J18" i="56"/>
  <c r="I19" i="56"/>
  <c r="J19" i="56"/>
  <c r="I20" i="56"/>
  <c r="J20" i="56"/>
  <c r="I21" i="56"/>
  <c r="J21" i="56"/>
  <c r="I22" i="56"/>
  <c r="J22" i="56"/>
  <c r="I23" i="56"/>
  <c r="J23" i="56"/>
  <c r="I24" i="56"/>
  <c r="J24" i="56"/>
  <c r="I25" i="56"/>
  <c r="J25" i="56"/>
  <c r="I26" i="56"/>
  <c r="J26" i="56"/>
  <c r="I27" i="56"/>
  <c r="J27" i="56"/>
  <c r="I28" i="56"/>
  <c r="J28" i="56"/>
  <c r="I29" i="56"/>
  <c r="J29" i="56"/>
  <c r="I30" i="56"/>
  <c r="J30" i="56"/>
  <c r="I31" i="56"/>
  <c r="J31" i="56"/>
  <c r="I32" i="56"/>
  <c r="J32" i="56"/>
  <c r="I33" i="56"/>
  <c r="J33" i="56"/>
  <c r="I34" i="56"/>
  <c r="J34" i="56"/>
  <c r="I35" i="56"/>
  <c r="J35" i="56"/>
  <c r="I36" i="56"/>
  <c r="J36" i="56"/>
  <c r="I37" i="56"/>
  <c r="J37" i="56"/>
  <c r="I38" i="56"/>
  <c r="J38" i="56"/>
  <c r="I39" i="56"/>
  <c r="J39" i="56"/>
  <c r="I40" i="56"/>
  <c r="J40" i="56"/>
  <c r="I41" i="56"/>
  <c r="J41" i="56"/>
  <c r="I42" i="56"/>
  <c r="J42" i="56"/>
  <c r="I43" i="56"/>
  <c r="J43" i="56"/>
  <c r="I44" i="56"/>
  <c r="J44" i="56"/>
  <c r="I45" i="56"/>
  <c r="J45" i="56"/>
  <c r="H45" i="56" s="1"/>
  <c r="I46" i="56"/>
  <c r="J46" i="56"/>
  <c r="I47" i="56"/>
  <c r="J47" i="56"/>
  <c r="I48" i="56"/>
  <c r="J48" i="56"/>
  <c r="I49" i="56"/>
  <c r="J49" i="56"/>
  <c r="I50" i="56"/>
  <c r="J50" i="56"/>
  <c r="I51" i="56"/>
  <c r="J51" i="56"/>
  <c r="I52" i="56"/>
  <c r="J52" i="56"/>
  <c r="I53" i="56"/>
  <c r="J53" i="56"/>
  <c r="I54" i="56"/>
  <c r="J54" i="56"/>
  <c r="I55" i="56"/>
  <c r="J55" i="56"/>
  <c r="I56" i="56"/>
  <c r="J56" i="56"/>
  <c r="I57" i="56"/>
  <c r="J57" i="56"/>
  <c r="I58" i="56"/>
  <c r="J58" i="56"/>
  <c r="H58" i="56" s="1"/>
  <c r="I59" i="56"/>
  <c r="J59" i="56"/>
  <c r="I60" i="56"/>
  <c r="J60" i="56"/>
  <c r="J6" i="56"/>
  <c r="I6" i="56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H13" i="56" l="1"/>
  <c r="H15" i="56"/>
  <c r="H22" i="56"/>
  <c r="H18" i="56"/>
  <c r="H17" i="56"/>
  <c r="H23" i="56"/>
  <c r="H34" i="56"/>
  <c r="H28" i="56"/>
  <c r="H44" i="56"/>
  <c r="H33" i="56"/>
  <c r="H12" i="56"/>
  <c r="H11" i="56"/>
  <c r="H42" i="56"/>
  <c r="H21" i="56"/>
  <c r="H10" i="56"/>
  <c r="H52" i="56"/>
  <c r="H19" i="56"/>
  <c r="H8" i="56"/>
  <c r="H59" i="56"/>
  <c r="H36" i="56"/>
  <c r="H24" i="56"/>
  <c r="H35" i="56"/>
  <c r="H55" i="56"/>
  <c r="H48" i="56"/>
  <c r="H16" i="56"/>
  <c r="H46" i="56"/>
  <c r="H56" i="56"/>
  <c r="H53" i="56"/>
  <c r="H38" i="56"/>
  <c r="H7" i="56"/>
  <c r="H27" i="56"/>
  <c r="H47" i="56"/>
  <c r="H37" i="56"/>
  <c r="H26" i="56"/>
  <c r="H57" i="56"/>
  <c r="H25" i="56"/>
  <c r="H54" i="56"/>
  <c r="H43" i="56"/>
  <c r="H32" i="56"/>
  <c r="H31" i="56"/>
  <c r="H51" i="56"/>
  <c r="H41" i="56"/>
  <c r="H30" i="56"/>
  <c r="H20" i="56"/>
  <c r="H62" i="56"/>
  <c r="C62" i="56" s="1"/>
  <c r="H50" i="56"/>
  <c r="H40" i="56"/>
  <c r="H9" i="56"/>
  <c r="H60" i="56"/>
  <c r="H29" i="56"/>
  <c r="H49" i="56"/>
  <c r="H39" i="56"/>
  <c r="H6" i="56"/>
  <c r="B4" i="58"/>
  <c r="B5" i="58"/>
  <c r="B6" i="58"/>
  <c r="B7" i="58"/>
  <c r="B8" i="58"/>
  <c r="B9" i="58"/>
  <c r="B10" i="58"/>
  <c r="B11" i="58"/>
  <c r="B3" i="58"/>
  <c r="C60" i="56" l="1"/>
  <c r="C58" i="56"/>
  <c r="C59" i="56" l="1"/>
  <c r="C57" i="56"/>
  <c r="C46" i="56"/>
  <c r="C41" i="56"/>
  <c r="C42" i="56"/>
  <c r="C52" i="56"/>
  <c r="C47" i="56"/>
  <c r="C43" i="56"/>
  <c r="C48" i="56"/>
  <c r="C44" i="56"/>
  <c r="C49" i="56"/>
  <c r="C45" i="56"/>
  <c r="C50" i="56"/>
  <c r="C6" i="65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C56" i="56" l="1"/>
  <c r="C53" i="56"/>
  <c r="C54" i="56"/>
  <c r="C55" i="56"/>
  <c r="C51" i="56"/>
  <c r="G6" i="69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C9" i="56" l="1"/>
  <c r="C10" i="56"/>
  <c r="C11" i="56"/>
  <c r="C12" i="56"/>
  <c r="C7" i="56"/>
  <c r="C6" i="56"/>
  <c r="C8" i="56"/>
  <c r="C15" i="56"/>
  <c r="C19" i="56"/>
  <c r="C26" i="56"/>
  <c r="J5" i="56"/>
  <c r="D4" i="59"/>
  <c r="D3" i="59"/>
  <c r="C18" i="56" l="1"/>
  <c r="C25" i="56"/>
  <c r="C23" i="56"/>
  <c r="C21" i="56"/>
  <c r="C20" i="56"/>
  <c r="C29" i="56"/>
  <c r="C36" i="56"/>
  <c r="C24" i="56"/>
  <c r="C22" i="56"/>
  <c r="C17" i="56"/>
  <c r="C16" i="56"/>
  <c r="C14" i="56"/>
  <c r="C13" i="56"/>
  <c r="I5" i="56"/>
  <c r="C38" i="56" l="1"/>
  <c r="C31" i="56"/>
  <c r="C34" i="56"/>
  <c r="C27" i="56"/>
  <c r="C30" i="56"/>
  <c r="C37" i="56"/>
  <c r="C40" i="56"/>
  <c r="C33" i="56"/>
  <c r="C35" i="56"/>
  <c r="C28" i="56"/>
  <c r="C39" i="56"/>
  <c r="C32" i="5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<sst xmlns="http://schemas.openxmlformats.org/spreadsheetml/2006/main" count="4913" uniqueCount="685">
  <si>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</si>
  <si>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</si>
  <si>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</si>
  <si>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</si>
  <si>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</si>
  <si>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</si>
  <si>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</si>
  <si>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</si>
  <si>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</si>
  <si>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</si>
  <si>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</si>
  <si>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</si>
  <si>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</si>
  <si>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</si>
  <si>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</si>
  <si>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</si>
  <si>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</si>
  <si>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</si>
  <si>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</si>
  <si>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</si>
  <si>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</si>
  <si>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</si>
  <si>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</si>
  <si>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</si>
  <si>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</si>
  <si>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</si>
  <si>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</si>
  <si>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</si>
  <si>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</si>
  <si>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</si>
  <si>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</si>
  <si>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</si>
  <si>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</si>
  <si>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</si>
  <si>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</si>
  <si>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C</t>
  </si>
  <si>
    <t>Year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</si>
  <si>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</si>
  <si>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</si>
  <si>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</si>
  <si>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</si>
  <si>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</si>
  <si>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</si>
  <si>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</si>
  <si>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</si>
  <si>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</si>
  <si>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</si>
  <si>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</si>
  <si>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</si>
  <si>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</si>
  <si>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</si>
  <si>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</si>
  <si>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</si>
  <si>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</si>
  <si>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</si>
  <si>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</si>
  <si>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</si>
  <si>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</si>
  <si>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</si>
  <si>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</si>
  <si>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</si>
  <si>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</si>
  <si>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</si>
  <si>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</si>
  <si>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</si>
  <si>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</si>
  <si>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</si>
  <si>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</si>
  <si>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</si>
  <si>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</si>
  <si>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</si>
  <si>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</si>
  <si>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</si>
  <si>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</si>
  <si>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</si>
  <si>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</si>
  <si>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</si>
  <si>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</si>
  <si>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</si>
  <si>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</si>
  <si>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</si>
  <si>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</si>
  <si>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</si>
  <si>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</si>
  <si>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</si>
  <si>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</si>
  <si>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</si>
  <si>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</si>
  <si>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</si>
  <si>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</si>
  <si>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</si>
  <si>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</si>
  <si>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</si>
  <si>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</si>
  <si>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</si>
  <si>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</si>
  <si>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</si>
  <si>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</si>
  <si>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</si>
  <si>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</si>
  <si>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</si>
  <si>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</si>
  <si>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</si>
  <si>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</si>
  <si>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</si>
  <si>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</si>
  <si>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</si>
  <si>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</si>
  <si>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</si>
  <si>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</si>
  <si>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</si>
  <si>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</si>
  <si>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</si>
  <si>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</si>
  <si>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</si>
  <si>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</si>
  <si>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</si>
  <si>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</si>
  <si>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</si>
  <si>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</si>
  <si>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</si>
  <si>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</si>
  <si>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</si>
  <si>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</si>
  <si>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</si>
  <si>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</si>
  <si>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</si>
  <si>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</si>
  <si>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</si>
  <si>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</si>
  <si>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</si>
  <si>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</si>
  <si>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</si>
  <si>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</si>
  <si>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</si>
  <si>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</si>
  <si>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</si>
  <si>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</si>
  <si>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</si>
  <si>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</si>
  <si>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</si>
  <si>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</si>
  <si>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</si>
  <si>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</si>
  <si>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</si>
  <si>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</si>
  <si>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</si>
  <si>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</si>
  <si>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</si>
  <si>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</si>
  <si>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</si>
  <si>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</si>
  <si>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</si>
  <si>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</si>
  <si>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</si>
  <si>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</si>
  <si>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</si>
  <si>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</si>
  <si>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</si>
  <si>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</si>
  <si>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</si>
  <si>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</si>
  <si>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</si>
  <si>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</si>
  <si>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</si>
  <si>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</si>
  <si>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</si>
  <si>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</si>
  <si>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</si>
  <si>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</si>
  <si>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</si>
  <si>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</si>
  <si>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</si>
  <si>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</si>
  <si>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</si>
  <si>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</si>
  <si>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</si>
  <si>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</si>
  <si>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</si>
  <si>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</si>
  <si>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</si>
  <si>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</si>
  <si>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</si>
  <si>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</si>
  <si>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</si>
  <si>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</si>
  <si>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</si>
  <si>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</si>
  <si>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</si>
  <si>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</si>
  <si>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</si>
  <si>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</si>
  <si>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</si>
  <si>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</si>
  <si>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</si>
  <si>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</si>
  <si>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</si>
  <si>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</si>
  <si>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</si>
  <si>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</si>
  <si>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</si>
  <si>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</si>
  <si>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</si>
  <si>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</si>
  <si>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</si>
  <si>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</si>
  <si>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</si>
  <si>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</si>
  <si>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</si>
  <si>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</si>
  <si>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</si>
  <si>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</si>
  <si>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</si>
  <si>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s5p5v5_d</t>
  </si>
  <si>
    <t>ts_annual</t>
  </si>
  <si>
    <t>d9d</t>
  </si>
  <si>
    <t>c15d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</si>
  <si>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</si>
  <si>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</si>
  <si>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</si>
  <si>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</si>
  <si>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</si>
  <si>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</si>
  <si>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</si>
  <si>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</si>
  <si>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</si>
  <si>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</si>
  <si>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</si>
  <si>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</si>
  <si>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</si>
  <si>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</si>
  <si>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</si>
  <si>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</si>
  <si>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</si>
  <si>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</si>
  <si>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</si>
  <si>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</si>
  <si>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</si>
  <si>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</si>
  <si>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</si>
  <si>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</si>
  <si>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</si>
  <si>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</si>
  <si>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</si>
  <si>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</si>
  <si>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</si>
  <si>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</si>
  <si>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</si>
  <si>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</si>
  <si>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</si>
  <si>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</si>
  <si>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</si>
  <si>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</si>
  <si>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</si>
  <si>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</si>
  <si>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</si>
  <si>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</si>
  <si>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</si>
  <si>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</si>
  <si>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</si>
  <si>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</si>
  <si>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</si>
  <si>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climate</t>
  </si>
  <si>
    <t>e 1.5 deg no OS.kAnn</t>
  </si>
  <si>
    <t>d 1.5 deg OS.kAnn</t>
  </si>
  <si>
    <t>c 2 deg (67%).kAnn</t>
  </si>
  <si>
    <t>b 2 deg (50%).kAnn</t>
  </si>
  <si>
    <t>a 3 deg.kAnn</t>
  </si>
  <si>
    <t>e 1.5 deg no OS.k12</t>
  </si>
  <si>
    <t>ts_12t</t>
  </si>
  <si>
    <t>d 1.5 deg OS.k12</t>
  </si>
  <si>
    <t>c 2 deg (67%).k12</t>
  </si>
  <si>
    <t>b 2 deg (50%).k12</t>
  </si>
  <si>
    <t>a 3 deg.k12</t>
  </si>
  <si>
    <t>e 1.5 deg no OS.j12</t>
  </si>
  <si>
    <t>ts_012</t>
  </si>
  <si>
    <t>d 1.5 deg OS.j12</t>
  </si>
  <si>
    <t>c 2 deg (67%).j12</t>
  </si>
  <si>
    <t>b 2 deg (50%).j12</t>
  </si>
  <si>
    <t>a 3 deg.j12</t>
  </si>
  <si>
    <t>e 1.5 deg no OS.i24</t>
  </si>
  <si>
    <t>d 1.5 deg OS.i24</t>
  </si>
  <si>
    <t>c 2 deg (67%).i24</t>
  </si>
  <si>
    <t>b 2 deg (50%).i24</t>
  </si>
  <si>
    <t>a 3 deg.i24</t>
  </si>
  <si>
    <t>e 1.5 deg no OS.h48</t>
  </si>
  <si>
    <t>ts_048</t>
  </si>
  <si>
    <t>d 1.5 deg OS.h48</t>
  </si>
  <si>
    <t>c 2 deg (67%).h48</t>
  </si>
  <si>
    <t>b 2 deg (50%).h48</t>
  </si>
  <si>
    <t>a 3 deg.h48</t>
  </si>
  <si>
    <t>e 1.5 deg no OS.g64</t>
  </si>
  <si>
    <t>d 1.5 deg OS.g64</t>
  </si>
  <si>
    <t>c 2 deg (67%).g64</t>
  </si>
  <si>
    <t>b 2 deg (50%).g64</t>
  </si>
  <si>
    <t>a 3 deg.g64</t>
  </si>
  <si>
    <t>e 1.5 deg no OS.f96p10</t>
  </si>
  <si>
    <t>d 1.5 deg OS.f96p10</t>
  </si>
  <si>
    <t>c 2 deg (67%).f96p10</t>
  </si>
  <si>
    <t>b 2 deg (50%).f96p10</t>
  </si>
  <si>
    <t>a 3 deg.f96p10</t>
  </si>
  <si>
    <t>e 1.5 deg no OS.f96p90</t>
  </si>
  <si>
    <t>d 1.5 deg OS.f96p90</t>
  </si>
  <si>
    <t>c 2 deg (67%).f96p90</t>
  </si>
  <si>
    <t>b 2 deg (50%).f96p90</t>
  </si>
  <si>
    <t>a 3 deg.f96p90</t>
  </si>
  <si>
    <t>e 1.5 deg no OS.e3d</t>
  </si>
  <si>
    <t>d 1.5 deg OS.e3d</t>
  </si>
  <si>
    <t>c 2 deg (67%).e3d</t>
  </si>
  <si>
    <t>b 2 deg (50%).e3d</t>
  </si>
  <si>
    <t>a 3 deg.e3d</t>
  </si>
  <si>
    <t>e 1.5 deg no OS.d9d</t>
  </si>
  <si>
    <t>d 1.5 deg OS.d9d</t>
  </si>
  <si>
    <t>c 2 deg (67%).d9d</t>
  </si>
  <si>
    <t>b 2 deg (50%).d9d</t>
  </si>
  <si>
    <t>a 3 deg.d9d</t>
  </si>
  <si>
    <t>e 1.5 deg no OS.c15d</t>
  </si>
  <si>
    <t>d 1.5 deg OS.c15d</t>
  </si>
  <si>
    <t>c 2 deg (67%).c15d</t>
  </si>
  <si>
    <t>b 2 deg (50%).c15d</t>
  </si>
  <si>
    <t>a 3 deg.c15d</t>
  </si>
  <si>
    <t>kAnn</t>
  </si>
  <si>
    <t>k12</t>
  </si>
  <si>
    <t>j12</t>
  </si>
  <si>
    <t>h48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</si>
  <si>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</si>
  <si>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</si>
  <si>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</si>
  <si>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</si>
  <si>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</si>
  <si>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</si>
  <si>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</si>
  <si>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</si>
  <si>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</si>
  <si>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</si>
  <si>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</si>
  <si>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</si>
  <si>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</si>
  <si>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</si>
  <si>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</si>
  <si>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</si>
  <si>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</si>
  <si>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</si>
  <si>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</si>
  <si>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</si>
  <si>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</si>
  <si>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</si>
  <si>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</si>
  <si>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</si>
  <si>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</si>
  <si>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</si>
  <si>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</si>
  <si>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</si>
  <si>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</si>
  <si>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</si>
  <si>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</si>
  <si>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</si>
  <si>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</si>
  <si>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</si>
  <si>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</si>
  <si>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</si>
  <si>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</si>
  <si>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</si>
  <si>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</si>
  <si>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</si>
  <si>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</si>
  <si>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</si>
  <si>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</si>
  <si>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</si>
  <si>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</si>
  <si>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</si>
  <si>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</si>
  <si>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</si>
  <si>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</si>
  <si>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</si>
  <si>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</si>
  <si>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</si>
  <si>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</si>
  <si>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</si>
  <si>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</si>
  <si>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</si>
  <si>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</si>
  <si>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</si>
  <si>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</si>
  <si>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</si>
  <si>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</si>
  <si>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</si>
  <si>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</si>
  <si>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</si>
  <si>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</si>
  <si>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</si>
  <si>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</si>
  <si>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</si>
  <si>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</si>
  <si>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</si>
  <si>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</si>
  <si>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</si>
  <si>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</si>
  <si>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</si>
  <si>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</si>
  <si>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</si>
  <si>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</si>
  <si>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</si>
  <si>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</si>
  <si>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</si>
  <si>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</si>
  <si>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</si>
  <si>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</si>
  <si>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</si>
  <si>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</si>
  <si>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</si>
  <si>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</si>
  <si>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</si>
  <si>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</si>
  <si>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</si>
  <si>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</si>
  <si>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</si>
  <si>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</si>
  <si>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</si>
  <si>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</si>
  <si>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</si>
  <si>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</si>
  <si>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</si>
  <si>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</si>
  <si>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</si>
  <si>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</si>
  <si>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</si>
  <si>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</si>
  <si>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</si>
  <si>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</si>
  <si>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</si>
  <si>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</si>
  <si>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e 1.5 deg no OS.f96p50</t>
  </si>
  <si>
    <t>d 1.5 deg OS.f96p50</t>
  </si>
  <si>
    <t>c 2 deg (67%).f96p50</t>
  </si>
  <si>
    <t>b 2 deg (50%).f96p50</t>
  </si>
  <si>
    <t>a 3 deg.f96p50</t>
  </si>
  <si>
    <t>s1v1_d</t>
  </si>
  <si>
    <t>ts_030</t>
  </si>
  <si>
    <t>ts_048P10</t>
  </si>
  <si>
    <t>ts_048P90</t>
  </si>
  <si>
    <t>s1_d</t>
  </si>
  <si>
    <t>ts_096</t>
  </si>
  <si>
    <t>i30</t>
  </si>
  <si>
    <t>h48P10</t>
  </si>
  <si>
    <t>h48P90</t>
  </si>
  <si>
    <t>g1d72</t>
  </si>
  <si>
    <t>f2d96</t>
  </si>
  <si>
    <t>e96</t>
  </si>
  <si>
    <t>*ccs*</t>
  </si>
  <si>
    <t>*ccs-rf*</t>
  </si>
  <si>
    <t>val</t>
  </si>
  <si>
    <t>varbl</t>
  </si>
  <si>
    <t>model</t>
  </si>
  <si>
    <t>region</t>
  </si>
  <si>
    <t>History</t>
  </si>
  <si>
    <t>EMBER</t>
  </si>
  <si>
    <t>UGA</t>
  </si>
  <si>
    <t>IRENA</t>
  </si>
  <si>
    <t>Export</t>
  </si>
  <si>
    <t>Import</t>
  </si>
  <si>
    <t>grid_node</t>
  </si>
  <si>
    <t>p_w125886601</t>
  </si>
  <si>
    <t>p_w161678232</t>
  </si>
  <si>
    <t>p_w171028597</t>
  </si>
  <si>
    <t>p_w171030053</t>
  </si>
  <si>
    <t>p_w180827526</t>
  </si>
  <si>
    <t>p_w212063751</t>
  </si>
  <si>
    <t>p_w584663046</t>
  </si>
  <si>
    <t>p_w254584802</t>
  </si>
  <si>
    <t>p_w256934921</t>
  </si>
  <si>
    <t>p_w579581653</t>
  </si>
  <si>
    <t>p_w584663033</t>
  </si>
  <si>
    <t>p_w600689855</t>
  </si>
  <si>
    <t>p_w668711204</t>
  </si>
  <si>
    <t>p_w696770566</t>
  </si>
  <si>
    <t>p_w696954754</t>
  </si>
  <si>
    <t>p_w846731380</t>
  </si>
  <si>
    <t>p_w1006639185</t>
  </si>
  <si>
    <t>p_r17309135</t>
  </si>
  <si>
    <t>p_UG10</t>
  </si>
  <si>
    <t>p_UG12</t>
  </si>
  <si>
    <t>p_UG6</t>
  </si>
  <si>
    <t>p_UG13</t>
  </si>
  <si>
    <t>p_UG1</t>
  </si>
  <si>
    <t>p_UG4</t>
  </si>
  <si>
    <t>p_UG14</t>
  </si>
  <si>
    <t>p_UG3</t>
  </si>
  <si>
    <t>p_UG9</t>
  </si>
  <si>
    <t>p_UG11</t>
  </si>
  <si>
    <t>p_UG5</t>
  </si>
  <si>
    <t>p_UG7</t>
  </si>
  <si>
    <t>p_UG8</t>
  </si>
  <si>
    <t>p_UG2</t>
  </si>
  <si>
    <t>rez_spv_001</t>
  </si>
  <si>
    <t>rez_spv_002</t>
  </si>
  <si>
    <t>rez_spv_003</t>
  </si>
  <si>
    <t>rez_spv_004</t>
  </si>
  <si>
    <t>rez_spv_005</t>
  </si>
  <si>
    <t>rez_spv_006</t>
  </si>
  <si>
    <t>rez_spv_007</t>
  </si>
  <si>
    <t>rez_spv_008</t>
  </si>
  <si>
    <t>rez_spv_009</t>
  </si>
  <si>
    <t>rez_spv_010</t>
  </si>
  <si>
    <t>rez_spv_011</t>
  </si>
  <si>
    <t>rez_spv_012</t>
  </si>
  <si>
    <t>rez_spv_013</t>
  </si>
  <si>
    <t>rez_spv_014</t>
  </si>
  <si>
    <t>rez_spv_015</t>
  </si>
  <si>
    <t>rez_spv_016</t>
  </si>
  <si>
    <t>rez_spv_017</t>
  </si>
  <si>
    <t>rez_won_001</t>
  </si>
  <si>
    <t>rez_won_002</t>
  </si>
  <si>
    <t>rez_won_003</t>
  </si>
  <si>
    <t>rez_won_004</t>
  </si>
  <si>
    <t>rez_won_005</t>
  </si>
  <si>
    <t>admin_1</t>
  </si>
  <si>
    <t>Kampala</t>
  </si>
  <si>
    <t>Mukono</t>
  </si>
  <si>
    <t>Buikwe</t>
  </si>
  <si>
    <t>Lira</t>
  </si>
  <si>
    <t>Lwengo</t>
  </si>
  <si>
    <t>Mbarara</t>
  </si>
  <si>
    <t>Kamwenge</t>
  </si>
  <si>
    <t>Gomba</t>
  </si>
  <si>
    <t>Soroti</t>
  </si>
  <si>
    <t>Wakiso</t>
  </si>
  <si>
    <t>Tororo</t>
  </si>
  <si>
    <t>Mubende</t>
  </si>
  <si>
    <t>Hoima</t>
  </si>
  <si>
    <t>Ntungamo</t>
  </si>
  <si>
    <t>Kiryandongo</t>
  </si>
  <si>
    <t>Nwoya</t>
  </si>
  <si>
    <t>Kasese</t>
  </si>
  <si>
    <t>Jinja</t>
  </si>
  <si>
    <t>Kagera</t>
  </si>
  <si>
    <t>Kayunga</t>
  </si>
  <si>
    <t>Kabarole</t>
  </si>
  <si>
    <t>Kigali City</t>
  </si>
  <si>
    <t>Western</t>
  </si>
  <si>
    <t>Luuka</t>
  </si>
  <si>
    <t>Kalangala</t>
  </si>
  <si>
    <t>Rakai</t>
  </si>
  <si>
    <t>Kyenjojo</t>
  </si>
  <si>
    <t>Mitooma</t>
  </si>
  <si>
    <t>Katakwi</t>
  </si>
  <si>
    <t>Sironko</t>
  </si>
  <si>
    <t>Kotido</t>
  </si>
  <si>
    <t>Pader</t>
  </si>
  <si>
    <t>Arua</t>
  </si>
  <si>
    <t>Adjumani</t>
  </si>
  <si>
    <t>Apac</t>
  </si>
  <si>
    <t>Masindi</t>
  </si>
  <si>
    <t>Namayingo</t>
  </si>
  <si>
    <t>Luweero</t>
  </si>
  <si>
    <t>Kaabong</t>
  </si>
  <si>
    <t>Napak</t>
  </si>
  <si>
    <t>Moroto</t>
  </si>
  <si>
    <t>Rift Valley</t>
  </si>
  <si>
    <t>region_com</t>
  </si>
  <si>
    <t>e_w125886601-132</t>
  </si>
  <si>
    <t>e_w161678232-132</t>
  </si>
  <si>
    <t>e_w171028597-220</t>
  </si>
  <si>
    <t>e_w171028597-132</t>
  </si>
  <si>
    <t>e_w171030053-132</t>
  </si>
  <si>
    <t>e_w180827526-132</t>
  </si>
  <si>
    <t>e_w212063751-220</t>
  </si>
  <si>
    <t>e_w212063751-132</t>
  </si>
  <si>
    <t>e_w584663046-132</t>
  </si>
  <si>
    <t>e_w254584802-132</t>
  </si>
  <si>
    <t>e_w256934921-132</t>
  </si>
  <si>
    <t>e_w579581653-132</t>
  </si>
  <si>
    <t>e_w584663033-400</t>
  </si>
  <si>
    <t>e_w584663033-220</t>
  </si>
  <si>
    <t>e_w584663046-220</t>
  </si>
  <si>
    <t>e_w600689855-220</t>
  </si>
  <si>
    <t>e_w600689855-132</t>
  </si>
  <si>
    <t>e_w668711204-132</t>
  </si>
  <si>
    <t>e_w696770566-220</t>
  </si>
  <si>
    <t>e_w696954754-220</t>
  </si>
  <si>
    <t>e_w846731380-400</t>
  </si>
  <si>
    <t>e_w846731380-132</t>
  </si>
  <si>
    <t>e_w1006639185-400</t>
  </si>
  <si>
    <t>e_r17309135-220</t>
  </si>
  <si>
    <t>e_r17309135-132</t>
  </si>
  <si>
    <t>e_UG10-132</t>
  </si>
  <si>
    <t>e_UG12-132</t>
  </si>
  <si>
    <t>e_UG6-132</t>
  </si>
  <si>
    <t>e_UG13-132</t>
  </si>
  <si>
    <t>e_UG1-132</t>
  </si>
  <si>
    <t>e_UG4-220</t>
  </si>
  <si>
    <t>e_UG14-220</t>
  </si>
  <si>
    <t>e_UG3-220</t>
  </si>
  <si>
    <t>e_UG9-132</t>
  </si>
  <si>
    <t>e_UG11-132</t>
  </si>
  <si>
    <t>e_UG5-132</t>
  </si>
  <si>
    <t>e_UG7-132</t>
  </si>
  <si>
    <t>e_UG8-132</t>
  </si>
  <si>
    <t>e_UG2-220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</si>
  <si>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</si>
  <si>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</si>
  <si>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</si>
  <si>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</si>
  <si>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</si>
  <si>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</si>
  <si>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</si>
  <si>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</si>
  <si>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</si>
  <si>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</si>
  <si>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</si>
  <si>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</si>
  <si>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</si>
  <si>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</si>
  <si>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</si>
  <si>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</si>
  <si>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</si>
  <si>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elc_won_001</t>
  </si>
  <si>
    <t>elc_won_002</t>
  </si>
  <si>
    <t>elc_won_003</t>
  </si>
  <si>
    <t>elc_won_004</t>
  </si>
  <si>
    <t>elc_won_005</t>
  </si>
  <si>
    <t>~geolocation</t>
  </si>
  <si>
    <t>lat</t>
  </si>
  <si>
    <t>lng</t>
  </si>
  <si>
    <t>UGA-e_w125886601-132</t>
  </si>
  <si>
    <t>UGA-e_w161678232-132</t>
  </si>
  <si>
    <t>UGA-e_w171028597-220</t>
  </si>
  <si>
    <t>UGA-e_w171028597-132</t>
  </si>
  <si>
    <t>UGA-e_w171030053-132</t>
  </si>
  <si>
    <t>UGA-e_w180827526-132</t>
  </si>
  <si>
    <t>UGA-e_w212063751-220</t>
  </si>
  <si>
    <t>UGA-e_w212063751-132</t>
  </si>
  <si>
    <t>UGA-e_w584663046-132</t>
  </si>
  <si>
    <t>UGA-e_w254584802-132</t>
  </si>
  <si>
    <t>UGA-e_w256934921-132</t>
  </si>
  <si>
    <t>UGA-e_w579581653-132</t>
  </si>
  <si>
    <t>UGA-e_w584663033-400</t>
  </si>
  <si>
    <t>UGA-e_w584663033-220</t>
  </si>
  <si>
    <t>UGA-e_w584663046-220</t>
  </si>
  <si>
    <t>UGA-e_w600689855-220</t>
  </si>
  <si>
    <t>UGA-e_w600689855-132</t>
  </si>
  <si>
    <t>UGA-e_w668711204-132</t>
  </si>
  <si>
    <t>UGA-e_w696770566-220</t>
  </si>
  <si>
    <t>UGA-e_w696954754-220</t>
  </si>
  <si>
    <t>UGA-e_w846731380-400</t>
  </si>
  <si>
    <t>UGA-e_w846731380-132</t>
  </si>
  <si>
    <t>UGA-e_w1006639185-400</t>
  </si>
  <si>
    <t>UGA-e_r17309135-220</t>
  </si>
  <si>
    <t>UGA-e_r17309135-132</t>
  </si>
  <si>
    <t>UGA-e_UG10-132</t>
  </si>
  <si>
    <t>UGA-e_UG12-132</t>
  </si>
  <si>
    <t>UGA-e_UG6-132</t>
  </si>
  <si>
    <t>UGA-e_UG13-132</t>
  </si>
  <si>
    <t>UGA-e_UG1-132</t>
  </si>
  <si>
    <t>UGA-e_UG4-220</t>
  </si>
  <si>
    <t>UGA-e_UG14-220</t>
  </si>
  <si>
    <t>UGA-e_UG3-220</t>
  </si>
  <si>
    <t>UGA-e_UG9-132</t>
  </si>
  <si>
    <t>UGA-e_UG11-132</t>
  </si>
  <si>
    <t>UGA-e_UG5-132</t>
  </si>
  <si>
    <t>UGA-e_UG7-132</t>
  </si>
  <si>
    <t>UGA-e_UG8-132</t>
  </si>
  <si>
    <t>UGA-e_UG2-220</t>
  </si>
  <si>
    <t>UGA-elc_spv_001</t>
  </si>
  <si>
    <t>UGA-elc_spv_002</t>
  </si>
  <si>
    <t>UGA-elc_spv_003</t>
  </si>
  <si>
    <t>UGA-elc_spv_004</t>
  </si>
  <si>
    <t>UGA-elc_spv_005</t>
  </si>
  <si>
    <t>UGA-elc_spv_006</t>
  </si>
  <si>
    <t>UGA-elc_spv_007</t>
  </si>
  <si>
    <t>UGA-elc_spv_008</t>
  </si>
  <si>
    <t>UGA-elc_spv_009</t>
  </si>
  <si>
    <t>UGA-elc_spv_010</t>
  </si>
  <si>
    <t>UGA-elc_spv_011</t>
  </si>
  <si>
    <t>UGA-elc_spv_012</t>
  </si>
  <si>
    <t>UGA-elc_spv_013</t>
  </si>
  <si>
    <t>UGA-elc_spv_014</t>
  </si>
  <si>
    <t>UGA-elc_spv_015</t>
  </si>
  <si>
    <t>UGA-elc_spv_016</t>
  </si>
  <si>
    <t>UGA-elc_spv_017</t>
  </si>
  <si>
    <t>UGA-elc_won_001</t>
  </si>
  <si>
    <t>UGA-elc_won_002</t>
  </si>
  <si>
    <t>UGA-elc_won_003</t>
  </si>
  <si>
    <t>UGA-elc_won_004</t>
  </si>
  <si>
    <t>UGA-elc_won_005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</si>
</sst>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1:X65"/>
  <sheetViews>
    <sheetView zoomScaleNormal="100" workbookViewId="0">
      <selection activeCell="B1" sqref="B1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1" spans="2:24">
      <c r="I1" t="s">
        <v>35</v>
      </c>
    </row>
    <row r="2" spans="2:24">
      <c r="I2" t="s">
        <v>227</v>
      </c>
      <c r="J2" t="s">
        <v>117</v>
      </c>
    </row>
    <row r="4" spans="2:24">
      <c r="B4" t="s">
        <v>57</v>
      </c>
      <c r="H4" t="s">
        <v>58</v>
      </c>
    </row>
    <row r="5" spans="2:24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sg_ar6_r10</v>
      </c>
      <c r="J5" t="str">
        <f>"sg_"&amp;J2</f>
        <v>sg_timeslice</v>
      </c>
      <c r="N5" t="s">
        <v>259</v>
      </c>
      <c r="O5" t="s">
        <v>260</v>
      </c>
      <c r="P5" t="s">
        <v>261</v>
      </c>
      <c r="Q5" t="s">
        <v>117</v>
      </c>
      <c r="R5" t="s">
        <v>262</v>
      </c>
    </row>
    <row r="6" spans="2:24">
      <c r="B6" t="str">
        <f>"vs~"&amp;TEXT(P6,"0000")</f>
        <v>vs~0001</v>
      </c>
      <c r="C6" t="str">
        <f>H6</f>
        <v>e 1.5 deg no OS.kAnn</v>
      </c>
      <c r="H6" t="str">
        <f>_xlfn.TEXTJOIN(".",TRUE,I6:J6)</f>
        <v>e 1.5 deg no OS.kAnn</v>
      </c>
      <c r="I6" t="str">
        <f>VLOOKUP(R6,$W$6:$X$12,2,FALSE)</f>
        <v>e 1.5 deg no OS</v>
      </c>
      <c r="J6" t="str">
        <f>VLOOKUP(Q6,$T$6:$U$20,2,FALSE)</f>
        <v>kAnn</v>
      </c>
      <c r="L6" t="s">
        <v>217</v>
      </c>
      <c r="N6">
        <v>5</v>
      </c>
      <c r="O6" t="s">
        <v>263</v>
      </c>
      <c r="P6">
        <v>1</v>
      </c>
      <c r="Q6" t="s">
        <v>214</v>
      </c>
      <c r="R6" t="s">
        <v>248</v>
      </c>
      <c r="T6" t="s">
        <v>214</v>
      </c>
      <c r="U6" t="s">
        <v>321</v>
      </c>
      <c r="W6" t="s">
        <v>248</v>
      </c>
      <c r="X6" t="s">
        <v>225</v>
      </c>
    </row>
    <row r="7" spans="2:24">
      <c r="B7" t="str">
        <f t="shared" ref="B7:B60" si="0">"vs~"&amp;TEXT(P7,"0000")</f>
        <v>vs~0002</v>
      </c>
      <c r="C7" t="str">
        <f t="shared" ref="C7:C26" si="1">H7</f>
        <v>d 1.5 deg OS.kAnn</v>
      </c>
      <c r="H7" t="str">
        <f t="shared" ref="H7:H60" si="2">_xlfn.TEXTJOIN(".",TRUE,I7:J7)</f>
        <v>d 1.5 deg OS.kAnn</v>
      </c>
      <c r="I7" t="str">
        <f t="shared" ref="I7:I60" si="3">VLOOKUP(R7,$W$6:$X$12,2,FALSE)</f>
        <v>d 1.5 deg OS</v>
      </c>
      <c r="J7" t="str">
        <f t="shared" ref="J7:J60" si="4">VLOOKUP(Q7,$T$6:$U$20,2,FALSE)</f>
        <v>kAnn</v>
      </c>
      <c r="L7" t="s">
        <v>218</v>
      </c>
      <c r="N7">
        <v>5</v>
      </c>
      <c r="O7" t="s">
        <v>264</v>
      </c>
      <c r="P7">
        <v>2</v>
      </c>
      <c r="Q7" t="s">
        <v>214</v>
      </c>
      <c r="R7" t="s">
        <v>249</v>
      </c>
      <c r="T7" t="s">
        <v>269</v>
      </c>
      <c r="U7" t="s">
        <v>322</v>
      </c>
      <c r="W7" t="s">
        <v>249</v>
      </c>
      <c r="X7" t="s">
        <v>224</v>
      </c>
    </row>
    <row r="8" spans="2:24">
      <c r="B8" t="str">
        <f t="shared" si="0"/>
        <v>vs~0003</v>
      </c>
      <c r="C8" t="str">
        <f t="shared" si="1"/>
        <v>c 2 deg (67%).kAnn</v>
      </c>
      <c r="H8" t="str">
        <f t="shared" si="2"/>
        <v>c 2 deg (67%).kAnn</v>
      </c>
      <c r="I8" t="str">
        <f t="shared" si="3"/>
        <v>c 2 deg (67%)</v>
      </c>
      <c r="J8" t="str">
        <f t="shared" si="4"/>
        <v>kAnn</v>
      </c>
      <c r="L8" t="s">
        <v>219</v>
      </c>
      <c r="N8">
        <v>5</v>
      </c>
      <c r="O8" t="s">
        <v>265</v>
      </c>
      <c r="P8">
        <v>3</v>
      </c>
      <c r="Q8" t="s">
        <v>214</v>
      </c>
      <c r="R8" t="s">
        <v>250</v>
      </c>
      <c r="T8" t="s">
        <v>275</v>
      </c>
      <c r="U8" t="s">
        <v>323</v>
      </c>
      <c r="W8" t="s">
        <v>250</v>
      </c>
      <c r="X8" t="s">
        <v>223</v>
      </c>
    </row>
    <row r="9" spans="2:24">
      <c r="B9" t="str">
        <f t="shared" si="0"/>
        <v>vs~0004</v>
      </c>
      <c r="C9" t="str">
        <f t="shared" si="1"/>
        <v>b 2 deg (50%).kAnn</v>
      </c>
      <c r="H9" t="str">
        <f t="shared" si="2"/>
        <v>b 2 deg (50%).kAnn</v>
      </c>
      <c r="I9" t="str">
        <f t="shared" si="3"/>
        <v>b 2 deg (50%)</v>
      </c>
      <c r="J9" t="str">
        <f t="shared" si="4"/>
        <v>kAnn</v>
      </c>
      <c r="L9" t="s">
        <v>220</v>
      </c>
      <c r="N9">
        <v>5</v>
      </c>
      <c r="O9" t="s">
        <v>266</v>
      </c>
      <c r="P9">
        <v>4</v>
      </c>
      <c r="Q9" t="s">
        <v>214</v>
      </c>
      <c r="R9" t="s">
        <v>251</v>
      </c>
      <c r="T9" t="s">
        <v>438</v>
      </c>
      <c r="U9" t="s">
        <v>443</v>
      </c>
      <c r="W9" t="s">
        <v>251</v>
      </c>
      <c r="X9" t="s">
        <v>222</v>
      </c>
    </row>
    <row r="10" spans="2:24">
      <c r="B10" t="str">
        <f t="shared" si="0"/>
        <v>vs~0005</v>
      </c>
      <c r="C10" t="str">
        <f t="shared" si="1"/>
        <v>a 3 deg.kAnn</v>
      </c>
      <c r="H10" t="str">
        <f t="shared" si="2"/>
        <v>a 3 deg.kAnn</v>
      </c>
      <c r="I10" t="str">
        <f t="shared" si="3"/>
        <v>a 3 deg</v>
      </c>
      <c r="J10" t="str">
        <f t="shared" si="4"/>
        <v>kAnn</v>
      </c>
      <c r="L10" t="s">
        <v>221</v>
      </c>
      <c r="N10">
        <v>5</v>
      </c>
      <c r="O10" t="s">
        <v>267</v>
      </c>
      <c r="P10">
        <v>5</v>
      </c>
      <c r="Q10" t="s">
        <v>214</v>
      </c>
      <c r="R10" t="s">
        <v>252</v>
      </c>
      <c r="T10" t="s">
        <v>286</v>
      </c>
      <c r="U10" t="s">
        <v>324</v>
      </c>
      <c r="W10" t="s">
        <v>252</v>
      </c>
      <c r="X10" t="s">
        <v>226</v>
      </c>
    </row>
    <row r="11" spans="2:24">
      <c r="B11" t="str">
        <f t="shared" si="0"/>
        <v>vs~0006</v>
      </c>
      <c r="C11" t="str">
        <f t="shared" si="1"/>
        <v>e 1.5 deg no OS.k12</v>
      </c>
      <c r="H11" t="str">
        <f t="shared" si="2"/>
        <v>e 1.5 deg no OS.k12</v>
      </c>
      <c r="I11" t="str">
        <f t="shared" si="3"/>
        <v>e 1.5 deg no OS</v>
      </c>
      <c r="J11" t="str">
        <f t="shared" si="4"/>
        <v>k12</v>
      </c>
      <c r="N11">
        <v>5</v>
      </c>
      <c r="O11" t="s">
        <v>268</v>
      </c>
      <c r="P11">
        <v>6</v>
      </c>
      <c r="Q11" t="s">
        <v>269</v>
      </c>
      <c r="R11" t="s">
        <v>248</v>
      </c>
      <c r="T11" t="s">
        <v>439</v>
      </c>
      <c r="U11" t="s">
        <v>444</v>
      </c>
    </row>
    <row r="12" spans="2:24">
      <c r="B12" t="str">
        <f t="shared" si="0"/>
        <v>vs~0007</v>
      </c>
      <c r="C12" t="str">
        <f t="shared" si="1"/>
        <v>d 1.5 deg OS.k12</v>
      </c>
      <c r="H12" t="str">
        <f t="shared" si="2"/>
        <v>d 1.5 deg OS.k12</v>
      </c>
      <c r="I12" t="str">
        <f t="shared" si="3"/>
        <v>d 1.5 deg OS</v>
      </c>
      <c r="J12" t="str">
        <f t="shared" si="4"/>
        <v>k12</v>
      </c>
      <c r="N12">
        <v>5</v>
      </c>
      <c r="O12" t="s">
        <v>270</v>
      </c>
      <c r="P12">
        <v>7</v>
      </c>
      <c r="Q12" t="s">
        <v>269</v>
      </c>
      <c r="R12" t="s">
        <v>249</v>
      </c>
      <c r="T12" t="s">
        <v>440</v>
      </c>
      <c r="U12" t="s">
        <v>445</v>
      </c>
    </row>
    <row r="13" spans="2:24">
      <c r="B13" t="str">
        <f t="shared" si="0"/>
        <v>vs~0008</v>
      </c>
      <c r="C13" t="str">
        <f t="shared" si="1"/>
        <v>c 2 deg (67%).k12</v>
      </c>
      <c r="H13" t="str">
        <f t="shared" si="2"/>
        <v>c 2 deg (67%).k12</v>
      </c>
      <c r="I13" t="str">
        <f t="shared" si="3"/>
        <v>c 2 deg (67%)</v>
      </c>
      <c r="J13" t="str">
        <f t="shared" si="4"/>
        <v>k12</v>
      </c>
      <c r="N13">
        <v>5</v>
      </c>
      <c r="O13" t="s">
        <v>271</v>
      </c>
      <c r="P13">
        <v>8</v>
      </c>
      <c r="Q13" t="s">
        <v>269</v>
      </c>
      <c r="R13" t="s">
        <v>250</v>
      </c>
      <c r="T13" t="s">
        <v>441</v>
      </c>
      <c r="U13" t="s">
        <v>446</v>
      </c>
    </row>
    <row r="14" spans="2:24">
      <c r="B14" t="str">
        <f t="shared" si="0"/>
        <v>vs~0009</v>
      </c>
      <c r="C14" t="str">
        <f t="shared" si="1"/>
        <v>b 2 deg (50%).k12</v>
      </c>
      <c r="H14" t="str">
        <f t="shared" si="2"/>
        <v>b 2 deg (50%).k12</v>
      </c>
      <c r="I14" t="str">
        <f t="shared" si="3"/>
        <v>b 2 deg (50%)</v>
      </c>
      <c r="J14" t="str">
        <f t="shared" si="4"/>
        <v>k12</v>
      </c>
      <c r="N14">
        <v>5</v>
      </c>
      <c r="O14" t="s">
        <v>272</v>
      </c>
      <c r="P14">
        <v>9</v>
      </c>
      <c r="Q14" t="s">
        <v>269</v>
      </c>
      <c r="R14" t="s">
        <v>251</v>
      </c>
      <c r="T14" t="s">
        <v>437</v>
      </c>
      <c r="U14" t="s">
        <v>447</v>
      </c>
    </row>
    <row r="15" spans="2:24">
      <c r="B15" t="str">
        <f t="shared" si="0"/>
        <v>vs~0010</v>
      </c>
      <c r="C15" t="str">
        <f t="shared" si="1"/>
        <v>a 3 deg.k12</v>
      </c>
      <c r="H15" t="str">
        <f t="shared" si="2"/>
        <v>a 3 deg.k12</v>
      </c>
      <c r="I15" t="str">
        <f t="shared" si="3"/>
        <v>a 3 deg</v>
      </c>
      <c r="J15" t="str">
        <f t="shared" si="4"/>
        <v>k12</v>
      </c>
      <c r="N15">
        <v>5</v>
      </c>
      <c r="O15" t="s">
        <v>273</v>
      </c>
      <c r="P15">
        <v>10</v>
      </c>
      <c r="Q15" t="s">
        <v>269</v>
      </c>
      <c r="R15" t="s">
        <v>252</v>
      </c>
      <c r="T15" t="s">
        <v>442</v>
      </c>
      <c r="U15" t="s">
        <v>448</v>
      </c>
    </row>
    <row r="16" spans="2:24">
      <c r="B16" t="str">
        <f t="shared" si="0"/>
        <v>vs~0011</v>
      </c>
      <c r="C16" t="str">
        <f t="shared" si="1"/>
        <v>e 1.5 deg no OS.j12</v>
      </c>
      <c r="H16" t="str">
        <f t="shared" si="2"/>
        <v>e 1.5 deg no OS.j12</v>
      </c>
      <c r="I16" t="str">
        <f t="shared" si="3"/>
        <v>e 1.5 deg no OS</v>
      </c>
      <c r="J16" t="str">
        <f t="shared" si="4"/>
        <v>j12</v>
      </c>
      <c r="N16">
        <v>5</v>
      </c>
      <c r="O16" t="s">
        <v>274</v>
      </c>
      <c r="P16">
        <v>11</v>
      </c>
      <c r="Q16" t="s">
        <v>275</v>
      </c>
      <c r="R16" t="s">
        <v>248</v>
      </c>
      <c r="T16" t="s">
        <v>212</v>
      </c>
      <c r="U16" t="s">
        <v>215</v>
      </c>
    </row>
    <row r="17" spans="2:21">
      <c r="B17" t="str">
        <f t="shared" si="0"/>
        <v>vs~0012</v>
      </c>
      <c r="C17" t="str">
        <f t="shared" si="1"/>
        <v>d 1.5 deg OS.j12</v>
      </c>
      <c r="H17" t="str">
        <f t="shared" si="2"/>
        <v>d 1.5 deg OS.j12</v>
      </c>
      <c r="I17" t="str">
        <f t="shared" si="3"/>
        <v>d 1.5 deg OS</v>
      </c>
      <c r="J17" t="str">
        <f t="shared" si="4"/>
        <v>j12</v>
      </c>
      <c r="N17">
        <v>5</v>
      </c>
      <c r="O17" t="s">
        <v>276</v>
      </c>
      <c r="P17">
        <v>12</v>
      </c>
      <c r="Q17" t="s">
        <v>275</v>
      </c>
      <c r="R17" t="s">
        <v>249</v>
      </c>
      <c r="T17" t="s">
        <v>213</v>
      </c>
      <c r="U17" t="s">
        <v>216</v>
      </c>
    </row>
    <row r="18" spans="2:21">
      <c r="B18" t="str">
        <f t="shared" si="0"/>
        <v>vs~0013</v>
      </c>
      <c r="C18" t="str">
        <f t="shared" si="1"/>
        <v>c 2 deg (67%).j12</v>
      </c>
      <c r="H18" t="str">
        <f t="shared" si="2"/>
        <v>c 2 deg (67%).j12</v>
      </c>
      <c r="I18" t="str">
        <f t="shared" si="3"/>
        <v>c 2 deg (67%)</v>
      </c>
      <c r="J18" t="str">
        <f t="shared" si="4"/>
        <v>j12</v>
      </c>
      <c r="N18">
        <v>5</v>
      </c>
      <c r="O18" t="s">
        <v>277</v>
      </c>
      <c r="P18">
        <v>13</v>
      </c>
      <c r="Q18" t="s">
        <v>275</v>
      </c>
      <c r="R18" t="s">
        <v>250</v>
      </c>
    </row>
    <row r="19" spans="2:21">
      <c r="B19" t="str">
        <f t="shared" si="0"/>
        <v>vs~0014</v>
      </c>
      <c r="C19" t="str">
        <f t="shared" si="1"/>
        <v>b 2 deg (50%).j12</v>
      </c>
      <c r="H19" t="str">
        <f t="shared" si="2"/>
        <v>b 2 deg (50%).j12</v>
      </c>
      <c r="I19" t="str">
        <f t="shared" si="3"/>
        <v>b 2 deg (50%)</v>
      </c>
      <c r="J19" t="str">
        <f t="shared" si="4"/>
        <v>j12</v>
      </c>
      <c r="N19">
        <v>5</v>
      </c>
      <c r="O19" t="s">
        <v>278</v>
      </c>
      <c r="P19">
        <v>14</v>
      </c>
      <c r="Q19" t="s">
        <v>275</v>
      </c>
      <c r="R19" t="s">
        <v>251</v>
      </c>
    </row>
    <row r="20" spans="2:21">
      <c r="B20" t="str">
        <f t="shared" si="0"/>
        <v>vs~0015</v>
      </c>
      <c r="C20" t="str">
        <f t="shared" si="1"/>
        <v>a 3 deg.j12</v>
      </c>
      <c r="H20" t="str">
        <f t="shared" si="2"/>
        <v>a 3 deg.j12</v>
      </c>
      <c r="I20" t="str">
        <f t="shared" si="3"/>
        <v>a 3 deg</v>
      </c>
      <c r="J20" t="str">
        <f t="shared" si="4"/>
        <v>j12</v>
      </c>
      <c r="N20">
        <v>5</v>
      </c>
      <c r="O20" t="s">
        <v>279</v>
      </c>
      <c r="P20">
        <v>15</v>
      </c>
      <c r="Q20" t="s">
        <v>275</v>
      </c>
      <c r="R20" t="s">
        <v>252</v>
      </c>
    </row>
    <row r="21" spans="2:21">
      <c r="B21" t="str">
        <f t="shared" si="0"/>
        <v>vs~0016</v>
      </c>
      <c r="C21" t="str">
        <f t="shared" si="1"/>
        <v>e 1.5 deg no OS.i30</v>
      </c>
      <c r="H21" t="str">
        <f t="shared" si="2"/>
        <v>e 1.5 deg no OS.i30</v>
      </c>
      <c r="I21" t="str">
        <f t="shared" si="3"/>
        <v>e 1.5 deg no OS</v>
      </c>
      <c r="J21" t="str">
        <f t="shared" si="4"/>
        <v>i30</v>
      </c>
      <c r="N21">
        <v>5</v>
      </c>
      <c r="O21" t="s">
        <v>280</v>
      </c>
      <c r="P21">
        <v>16</v>
      </c>
      <c r="Q21" t="s">
        <v>438</v>
      </c>
      <c r="R21" t="s">
        <v>248</v>
      </c>
    </row>
    <row r="22" spans="2:21">
      <c r="B22" t="str">
        <f t="shared" si="0"/>
        <v>vs~0017</v>
      </c>
      <c r="C22" t="str">
        <f t="shared" si="1"/>
        <v>d 1.5 deg OS.i30</v>
      </c>
      <c r="H22" t="str">
        <f t="shared" si="2"/>
        <v>d 1.5 deg OS.i30</v>
      </c>
      <c r="I22" t="str">
        <f t="shared" si="3"/>
        <v>d 1.5 deg OS</v>
      </c>
      <c r="J22" t="str">
        <f t="shared" si="4"/>
        <v>i30</v>
      </c>
      <c r="N22">
        <v>5</v>
      </c>
      <c r="O22" t="s">
        <v>281</v>
      </c>
      <c r="P22">
        <v>17</v>
      </c>
      <c r="Q22" t="s">
        <v>438</v>
      </c>
      <c r="R22" t="s">
        <v>249</v>
      </c>
    </row>
    <row r="23" spans="2:21">
      <c r="B23" t="str">
        <f t="shared" si="0"/>
        <v>vs~0018</v>
      </c>
      <c r="C23" t="str">
        <f t="shared" si="1"/>
        <v>c 2 deg (67%).i30</v>
      </c>
      <c r="H23" t="str">
        <f t="shared" si="2"/>
        <v>c 2 deg (67%).i30</v>
      </c>
      <c r="I23" t="str">
        <f t="shared" si="3"/>
        <v>c 2 deg (67%)</v>
      </c>
      <c r="J23" t="str">
        <f t="shared" si="4"/>
        <v>i30</v>
      </c>
      <c r="N23">
        <v>5</v>
      </c>
      <c r="O23" t="s">
        <v>282</v>
      </c>
      <c r="P23">
        <v>18</v>
      </c>
      <c r="Q23" t="s">
        <v>438</v>
      </c>
      <c r="R23" t="s">
        <v>250</v>
      </c>
    </row>
    <row r="24" spans="2:21">
      <c r="B24" t="str">
        <f t="shared" si="0"/>
        <v>vs~0019</v>
      </c>
      <c r="C24" t="str">
        <f t="shared" si="1"/>
        <v>b 2 deg (50%).i30</v>
      </c>
      <c r="H24" t="str">
        <f t="shared" si="2"/>
        <v>b 2 deg (50%).i30</v>
      </c>
      <c r="I24" t="str">
        <f t="shared" si="3"/>
        <v>b 2 deg (50%)</v>
      </c>
      <c r="J24" t="str">
        <f t="shared" si="4"/>
        <v>i30</v>
      </c>
      <c r="N24">
        <v>5</v>
      </c>
      <c r="O24" t="s">
        <v>283</v>
      </c>
      <c r="P24">
        <v>19</v>
      </c>
      <c r="Q24" t="s">
        <v>438</v>
      </c>
      <c r="R24" t="s">
        <v>251</v>
      </c>
    </row>
    <row r="25" spans="2:21">
      <c r="B25" t="str">
        <f t="shared" si="0"/>
        <v>vs~0020</v>
      </c>
      <c r="C25" t="str">
        <f t="shared" si="1"/>
        <v>a 3 deg.i30</v>
      </c>
      <c r="H25" t="str">
        <f t="shared" si="2"/>
        <v>a 3 deg.i30</v>
      </c>
      <c r="I25" t="str">
        <f t="shared" si="3"/>
        <v>a 3 deg</v>
      </c>
      <c r="J25" t="str">
        <f t="shared" si="4"/>
        <v>i30</v>
      </c>
      <c r="N25">
        <v>5</v>
      </c>
      <c r="O25" t="s">
        <v>284</v>
      </c>
      <c r="P25">
        <v>20</v>
      </c>
      <c r="Q25" t="s">
        <v>438</v>
      </c>
      <c r="R25" t="s">
        <v>252</v>
      </c>
    </row>
    <row r="26" spans="2:21">
      <c r="B26" t="str">
        <f t="shared" si="0"/>
        <v>vs~0021</v>
      </c>
      <c r="C26" t="str">
        <f t="shared" si="1"/>
        <v>e 1.5 deg no OS.h48</v>
      </c>
      <c r="H26" t="str">
        <f t="shared" si="2"/>
        <v>e 1.5 deg no OS.h48</v>
      </c>
      <c r="I26" t="str">
        <f t="shared" si="3"/>
        <v>e 1.5 deg no OS</v>
      </c>
      <c r="J26" t="str">
        <f t="shared" si="4"/>
        <v>h48</v>
      </c>
      <c r="N26">
        <v>5</v>
      </c>
      <c r="O26" t="s">
        <v>285</v>
      </c>
      <c r="P26">
        <v>21</v>
      </c>
      <c r="Q26" t="s">
        <v>286</v>
      </c>
      <c r="R26" t="s">
        <v>248</v>
      </c>
    </row>
    <row r="27" spans="2:21">
      <c r="B27" t="str">
        <f t="shared" si="0"/>
        <v>vs~0022</v>
      </c>
      <c r="C27" t="str">
        <f t="shared" ref="C27:C40" si="5">H27</f>
        <v>d 1.5 deg OS.h48</v>
      </c>
      <c r="H27" t="str">
        <f t="shared" si="2"/>
        <v>d 1.5 deg OS.h48</v>
      </c>
      <c r="I27" t="str">
        <f t="shared" si="3"/>
        <v>d 1.5 deg OS</v>
      </c>
      <c r="J27" t="str">
        <f t="shared" si="4"/>
        <v>h48</v>
      </c>
      <c r="N27">
        <v>5</v>
      </c>
      <c r="O27" t="s">
        <v>287</v>
      </c>
      <c r="P27">
        <v>22</v>
      </c>
      <c r="Q27" t="s">
        <v>286</v>
      </c>
      <c r="R27" t="s">
        <v>249</v>
      </c>
    </row>
    <row r="28" spans="2:21">
      <c r="B28" t="str">
        <f t="shared" si="0"/>
        <v>vs~0023</v>
      </c>
      <c r="C28" t="str">
        <f t="shared" si="5"/>
        <v>c 2 deg (67%).h48</v>
      </c>
      <c r="H28" t="str">
        <f t="shared" si="2"/>
        <v>c 2 deg (67%).h48</v>
      </c>
      <c r="I28" t="str">
        <f t="shared" si="3"/>
        <v>c 2 deg (67%)</v>
      </c>
      <c r="J28" t="str">
        <f t="shared" si="4"/>
        <v>h48</v>
      </c>
      <c r="N28">
        <v>5</v>
      </c>
      <c r="O28" t="s">
        <v>288</v>
      </c>
      <c r="P28">
        <v>23</v>
      </c>
      <c r="Q28" t="s">
        <v>286</v>
      </c>
      <c r="R28" t="s">
        <v>250</v>
      </c>
    </row>
    <row r="29" spans="2:21">
      <c r="B29" t="str">
        <f t="shared" si="0"/>
        <v>vs~0024</v>
      </c>
      <c r="C29" t="str">
        <f t="shared" si="5"/>
        <v>b 2 deg (50%).h48</v>
      </c>
      <c r="H29" t="str">
        <f t="shared" si="2"/>
        <v>b 2 deg (50%).h48</v>
      </c>
      <c r="I29" t="str">
        <f t="shared" si="3"/>
        <v>b 2 deg (50%)</v>
      </c>
      <c r="J29" t="str">
        <f t="shared" si="4"/>
        <v>h48</v>
      </c>
      <c r="N29">
        <v>5</v>
      </c>
      <c r="O29" t="s">
        <v>289</v>
      </c>
      <c r="P29">
        <v>24</v>
      </c>
      <c r="Q29" t="s">
        <v>286</v>
      </c>
      <c r="R29" t="s">
        <v>251</v>
      </c>
    </row>
    <row r="30" spans="2:21">
      <c r="B30" t="str">
        <f t="shared" si="0"/>
        <v>vs~0025</v>
      </c>
      <c r="C30" t="str">
        <f t="shared" si="5"/>
        <v>a 3 deg.h48</v>
      </c>
      <c r="H30" t="str">
        <f t="shared" si="2"/>
        <v>a 3 deg.h48</v>
      </c>
      <c r="I30" t="str">
        <f t="shared" si="3"/>
        <v>a 3 deg</v>
      </c>
      <c r="J30" t="str">
        <f t="shared" si="4"/>
        <v>h48</v>
      </c>
      <c r="N30">
        <v>5</v>
      </c>
      <c r="O30" t="s">
        <v>290</v>
      </c>
      <c r="P30">
        <v>25</v>
      </c>
      <c r="Q30" t="s">
        <v>286</v>
      </c>
      <c r="R30" t="s">
        <v>252</v>
      </c>
    </row>
    <row r="31" spans="2:21">
      <c r="B31" t="str">
        <f t="shared" si="0"/>
        <v>vs~0026</v>
      </c>
      <c r="C31" t="str">
        <f t="shared" si="5"/>
        <v>e 1.5 deg no OS.h48P10</v>
      </c>
      <c r="H31" t="str">
        <f t="shared" si="2"/>
        <v>e 1.5 deg no OS.h48P10</v>
      </c>
      <c r="I31" t="str">
        <f t="shared" si="3"/>
        <v>e 1.5 deg no OS</v>
      </c>
      <c r="J31" t="str">
        <f t="shared" si="4"/>
        <v>h48P10</v>
      </c>
      <c r="N31">
        <v>5</v>
      </c>
      <c r="O31" t="s">
        <v>291</v>
      </c>
      <c r="P31">
        <v>26</v>
      </c>
      <c r="Q31" t="s">
        <v>439</v>
      </c>
      <c r="R31" t="s">
        <v>248</v>
      </c>
    </row>
    <row r="32" spans="2:21">
      <c r="B32" t="str">
        <f t="shared" si="0"/>
        <v>vs~0027</v>
      </c>
      <c r="C32" t="str">
        <f t="shared" si="5"/>
        <v>d 1.5 deg OS.h48P10</v>
      </c>
      <c r="H32" t="str">
        <f t="shared" si="2"/>
        <v>d 1.5 deg OS.h48P10</v>
      </c>
      <c r="I32" t="str">
        <f t="shared" si="3"/>
        <v>d 1.5 deg OS</v>
      </c>
      <c r="J32" t="str">
        <f t="shared" si="4"/>
        <v>h48P10</v>
      </c>
      <c r="N32">
        <v>5</v>
      </c>
      <c r="O32" t="s">
        <v>292</v>
      </c>
      <c r="P32">
        <v>27</v>
      </c>
      <c r="Q32" t="s">
        <v>439</v>
      </c>
      <c r="R32" t="s">
        <v>249</v>
      </c>
    </row>
    <row r="33" spans="2:18">
      <c r="B33" t="str">
        <f t="shared" si="0"/>
        <v>vs~0028</v>
      </c>
      <c r="C33" t="str">
        <f t="shared" si="5"/>
        <v>c 2 deg (67%).h48P10</v>
      </c>
      <c r="H33" t="str">
        <f t="shared" si="2"/>
        <v>c 2 deg (67%).h48P10</v>
      </c>
      <c r="I33" t="str">
        <f t="shared" si="3"/>
        <v>c 2 deg (67%)</v>
      </c>
      <c r="J33" t="str">
        <f t="shared" si="4"/>
        <v>h48P10</v>
      </c>
      <c r="N33">
        <v>5</v>
      </c>
      <c r="O33" t="s">
        <v>293</v>
      </c>
      <c r="P33">
        <v>28</v>
      </c>
      <c r="Q33" t="s">
        <v>439</v>
      </c>
      <c r="R33" t="s">
        <v>250</v>
      </c>
    </row>
    <row r="34" spans="2:18">
      <c r="B34" t="str">
        <f t="shared" si="0"/>
        <v>vs~0029</v>
      </c>
      <c r="C34" t="str">
        <f t="shared" si="5"/>
        <v>b 2 deg (50%).h48P10</v>
      </c>
      <c r="H34" t="str">
        <f t="shared" si="2"/>
        <v>b 2 deg (50%).h48P10</v>
      </c>
      <c r="I34" t="str">
        <f t="shared" si="3"/>
        <v>b 2 deg (50%)</v>
      </c>
      <c r="J34" t="str">
        <f t="shared" si="4"/>
        <v>h48P10</v>
      </c>
      <c r="N34">
        <v>5</v>
      </c>
      <c r="O34" t="s">
        <v>294</v>
      </c>
      <c r="P34">
        <v>29</v>
      </c>
      <c r="Q34" t="s">
        <v>439</v>
      </c>
      <c r="R34" t="s">
        <v>251</v>
      </c>
    </row>
    <row r="35" spans="2:18">
      <c r="B35" t="str">
        <f t="shared" si="0"/>
        <v>vs~0030</v>
      </c>
      <c r="C35" t="str">
        <f t="shared" si="5"/>
        <v>a 3 deg.h48P10</v>
      </c>
      <c r="H35" t="str">
        <f t="shared" si="2"/>
        <v>a 3 deg.h48P10</v>
      </c>
      <c r="I35" t="str">
        <f t="shared" si="3"/>
        <v>a 3 deg</v>
      </c>
      <c r="J35" t="str">
        <f t="shared" si="4"/>
        <v>h48P10</v>
      </c>
      <c r="N35">
        <v>5</v>
      </c>
      <c r="O35" t="s">
        <v>295</v>
      </c>
      <c r="P35">
        <v>30</v>
      </c>
      <c r="Q35" t="s">
        <v>439</v>
      </c>
      <c r="R35" t="s">
        <v>252</v>
      </c>
    </row>
    <row r="36" spans="2:18">
      <c r="B36" t="str">
        <f t="shared" si="0"/>
        <v>vs~0031</v>
      </c>
      <c r="C36" t="str">
        <f t="shared" si="5"/>
        <v>e 1.5 deg no OS.h48P90</v>
      </c>
      <c r="H36" t="str">
        <f t="shared" si="2"/>
        <v>e 1.5 deg no OS.h48P90</v>
      </c>
      <c r="I36" t="str">
        <f t="shared" si="3"/>
        <v>e 1.5 deg no OS</v>
      </c>
      <c r="J36" t="str">
        <f t="shared" si="4"/>
        <v>h48P90</v>
      </c>
      <c r="N36">
        <v>5</v>
      </c>
      <c r="O36" t="s">
        <v>432</v>
      </c>
      <c r="P36">
        <v>31</v>
      </c>
      <c r="Q36" t="s">
        <v>440</v>
      </c>
      <c r="R36" t="s">
        <v>248</v>
      </c>
    </row>
    <row r="37" spans="2:18">
      <c r="B37" t="str">
        <f t="shared" si="0"/>
        <v>vs~0032</v>
      </c>
      <c r="C37" t="str">
        <f t="shared" si="5"/>
        <v>d 1.5 deg OS.h48P90</v>
      </c>
      <c r="H37" t="str">
        <f t="shared" si="2"/>
        <v>d 1.5 deg OS.h48P90</v>
      </c>
      <c r="I37" t="str">
        <f t="shared" si="3"/>
        <v>d 1.5 deg OS</v>
      </c>
      <c r="J37" t="str">
        <f t="shared" si="4"/>
        <v>h48P90</v>
      </c>
      <c r="N37">
        <v>5</v>
      </c>
      <c r="O37" t="s">
        <v>433</v>
      </c>
      <c r="P37">
        <v>32</v>
      </c>
      <c r="Q37" t="s">
        <v>440</v>
      </c>
      <c r="R37" t="s">
        <v>249</v>
      </c>
    </row>
    <row r="38" spans="2:18">
      <c r="B38" t="str">
        <f t="shared" si="0"/>
        <v>vs~0033</v>
      </c>
      <c r="C38" t="str">
        <f t="shared" si="5"/>
        <v>c 2 deg (67%).h48P90</v>
      </c>
      <c r="H38" t="str">
        <f t="shared" si="2"/>
        <v>c 2 deg (67%).h48P90</v>
      </c>
      <c r="I38" t="str">
        <f t="shared" si="3"/>
        <v>c 2 deg (67%)</v>
      </c>
      <c r="J38" t="str">
        <f t="shared" si="4"/>
        <v>h48P90</v>
      </c>
      <c r="N38">
        <v>5</v>
      </c>
      <c r="O38" t="s">
        <v>434</v>
      </c>
      <c r="P38">
        <v>33</v>
      </c>
      <c r="Q38" t="s">
        <v>440</v>
      </c>
      <c r="R38" t="s">
        <v>250</v>
      </c>
    </row>
    <row r="39" spans="2:18">
      <c r="B39" t="str">
        <f t="shared" si="0"/>
        <v>vs~0034</v>
      </c>
      <c r="C39" t="str">
        <f t="shared" si="5"/>
        <v>b 2 deg (50%).h48P90</v>
      </c>
      <c r="H39" t="str">
        <f t="shared" si="2"/>
        <v>b 2 deg (50%).h48P90</v>
      </c>
      <c r="I39" t="str">
        <f t="shared" si="3"/>
        <v>b 2 deg (50%)</v>
      </c>
      <c r="J39" t="str">
        <f t="shared" si="4"/>
        <v>h48P90</v>
      </c>
      <c r="N39">
        <v>5</v>
      </c>
      <c r="O39" t="s">
        <v>435</v>
      </c>
      <c r="P39">
        <v>34</v>
      </c>
      <c r="Q39" t="s">
        <v>440</v>
      </c>
      <c r="R39" t="s">
        <v>251</v>
      </c>
    </row>
    <row r="40" spans="2:18">
      <c r="B40" t="str">
        <f t="shared" si="0"/>
        <v>vs~0035</v>
      </c>
      <c r="C40" t="str">
        <f t="shared" si="5"/>
        <v>a 3 deg.h48P90</v>
      </c>
      <c r="H40" t="str">
        <f t="shared" si="2"/>
        <v>a 3 deg.h48P90</v>
      </c>
      <c r="I40" t="str">
        <f t="shared" si="3"/>
        <v>a 3 deg</v>
      </c>
      <c r="J40" t="str">
        <f t="shared" si="4"/>
        <v>h48P90</v>
      </c>
      <c r="N40">
        <v>5</v>
      </c>
      <c r="O40" t="s">
        <v>436</v>
      </c>
      <c r="P40">
        <v>35</v>
      </c>
      <c r="Q40" t="s">
        <v>440</v>
      </c>
      <c r="R40" t="s">
        <v>252</v>
      </c>
    </row>
    <row r="41" spans="2:18">
      <c r="B41" t="str">
        <f t="shared" si="0"/>
        <v>vs~0036</v>
      </c>
      <c r="C41" t="str">
        <f t="shared" ref="C41:C55" si="6">H41</f>
        <v>e 1.5 deg no OS.g1d72</v>
      </c>
      <c r="H41" t="str">
        <f t="shared" si="2"/>
        <v>e 1.5 deg no OS.g1d72</v>
      </c>
      <c r="I41" t="str">
        <f t="shared" si="3"/>
        <v>e 1.5 deg no OS</v>
      </c>
      <c r="J41" t="str">
        <f t="shared" si="4"/>
        <v>g1d72</v>
      </c>
      <c r="N41">
        <v>5</v>
      </c>
      <c r="O41" t="s">
        <v>296</v>
      </c>
      <c r="P41">
        <v>36</v>
      </c>
      <c r="Q41" t="s">
        <v>441</v>
      </c>
      <c r="R41" t="s">
        <v>248</v>
      </c>
    </row>
    <row r="42" spans="2:18">
      <c r="B42" t="str">
        <f t="shared" si="0"/>
        <v>vs~0037</v>
      </c>
      <c r="C42" t="str">
        <f t="shared" si="6"/>
        <v>d 1.5 deg OS.g1d72</v>
      </c>
      <c r="H42" t="str">
        <f t="shared" si="2"/>
        <v>d 1.5 deg OS.g1d72</v>
      </c>
      <c r="I42" t="str">
        <f t="shared" si="3"/>
        <v>d 1.5 deg OS</v>
      </c>
      <c r="J42" t="str">
        <f t="shared" si="4"/>
        <v>g1d72</v>
      </c>
      <c r="N42">
        <v>5</v>
      </c>
      <c r="O42" t="s">
        <v>297</v>
      </c>
      <c r="P42">
        <v>37</v>
      </c>
      <c r="Q42" t="s">
        <v>441</v>
      </c>
      <c r="R42" t="s">
        <v>249</v>
      </c>
    </row>
    <row r="43" spans="2:18">
      <c r="B43" t="str">
        <f t="shared" si="0"/>
        <v>vs~0038</v>
      </c>
      <c r="C43" t="str">
        <f t="shared" si="6"/>
        <v>c 2 deg (67%).g1d72</v>
      </c>
      <c r="H43" t="str">
        <f t="shared" si="2"/>
        <v>c 2 deg (67%).g1d72</v>
      </c>
      <c r="I43" t="str">
        <f t="shared" si="3"/>
        <v>c 2 deg (67%)</v>
      </c>
      <c r="J43" t="str">
        <f t="shared" si="4"/>
        <v>g1d72</v>
      </c>
      <c r="N43">
        <v>5</v>
      </c>
      <c r="O43" t="s">
        <v>298</v>
      </c>
      <c r="P43">
        <v>38</v>
      </c>
      <c r="Q43" t="s">
        <v>441</v>
      </c>
      <c r="R43" t="s">
        <v>250</v>
      </c>
    </row>
    <row r="44" spans="2:18">
      <c r="B44" t="str">
        <f t="shared" si="0"/>
        <v>vs~0039</v>
      </c>
      <c r="C44" t="str">
        <f t="shared" si="6"/>
        <v>b 2 deg (50%).g1d72</v>
      </c>
      <c r="H44" t="str">
        <f t="shared" si="2"/>
        <v>b 2 deg (50%).g1d72</v>
      </c>
      <c r="I44" t="str">
        <f t="shared" si="3"/>
        <v>b 2 deg (50%)</v>
      </c>
      <c r="J44" t="str">
        <f t="shared" si="4"/>
        <v>g1d72</v>
      </c>
      <c r="N44">
        <v>5</v>
      </c>
      <c r="O44" t="s">
        <v>299</v>
      </c>
      <c r="P44">
        <v>39</v>
      </c>
      <c r="Q44" t="s">
        <v>441</v>
      </c>
      <c r="R44" t="s">
        <v>251</v>
      </c>
    </row>
    <row r="45" spans="2:18">
      <c r="B45" t="str">
        <f t="shared" si="0"/>
        <v>vs~0040</v>
      </c>
      <c r="C45" t="str">
        <f t="shared" si="6"/>
        <v>a 3 deg.g1d72</v>
      </c>
      <c r="H45" t="str">
        <f t="shared" si="2"/>
        <v>a 3 deg.g1d72</v>
      </c>
      <c r="I45" t="str">
        <f t="shared" si="3"/>
        <v>a 3 deg</v>
      </c>
      <c r="J45" t="str">
        <f t="shared" si="4"/>
        <v>g1d72</v>
      </c>
      <c r="N45">
        <v>5</v>
      </c>
      <c r="O45" t="s">
        <v>300</v>
      </c>
      <c r="P45">
        <v>40</v>
      </c>
      <c r="Q45" t="s">
        <v>441</v>
      </c>
      <c r="R45" t="s">
        <v>252</v>
      </c>
    </row>
    <row r="46" spans="2:18">
      <c r="B46" t="str">
        <f t="shared" si="0"/>
        <v>vs~0041</v>
      </c>
      <c r="C46" t="str">
        <f t="shared" si="6"/>
        <v>e 1.5 deg no OS.f2d96</v>
      </c>
      <c r="H46" t="str">
        <f t="shared" si="2"/>
        <v>e 1.5 deg no OS.f2d96</v>
      </c>
      <c r="I46" t="str">
        <f t="shared" si="3"/>
        <v>e 1.5 deg no OS</v>
      </c>
      <c r="J46" t="str">
        <f t="shared" si="4"/>
        <v>f2d96</v>
      </c>
      <c r="N46">
        <v>5</v>
      </c>
      <c r="O46" t="s">
        <v>301</v>
      </c>
      <c r="P46">
        <v>41</v>
      </c>
      <c r="Q46" t="s">
        <v>437</v>
      </c>
      <c r="R46" t="s">
        <v>248</v>
      </c>
    </row>
    <row r="47" spans="2:18">
      <c r="B47" t="str">
        <f t="shared" si="0"/>
        <v>vs~0042</v>
      </c>
      <c r="C47" t="str">
        <f t="shared" si="6"/>
        <v>d 1.5 deg OS.f2d96</v>
      </c>
      <c r="H47" t="str">
        <f t="shared" si="2"/>
        <v>d 1.5 deg OS.f2d96</v>
      </c>
      <c r="I47" t="str">
        <f t="shared" si="3"/>
        <v>d 1.5 deg OS</v>
      </c>
      <c r="J47" t="str">
        <f t="shared" si="4"/>
        <v>f2d96</v>
      </c>
      <c r="N47">
        <v>5</v>
      </c>
      <c r="O47" t="s">
        <v>302</v>
      </c>
      <c r="P47">
        <v>42</v>
      </c>
      <c r="Q47" t="s">
        <v>437</v>
      </c>
      <c r="R47" t="s">
        <v>249</v>
      </c>
    </row>
    <row r="48" spans="2:18">
      <c r="B48" t="str">
        <f t="shared" si="0"/>
        <v>vs~0043</v>
      </c>
      <c r="C48" t="str">
        <f t="shared" si="6"/>
        <v>c 2 deg (67%).f2d96</v>
      </c>
      <c r="H48" t="str">
        <f t="shared" si="2"/>
        <v>c 2 deg (67%).f2d96</v>
      </c>
      <c r="I48" t="str">
        <f t="shared" si="3"/>
        <v>c 2 deg (67%)</v>
      </c>
      <c r="J48" t="str">
        <f t="shared" si="4"/>
        <v>f2d96</v>
      </c>
      <c r="N48">
        <v>5</v>
      </c>
      <c r="O48" t="s">
        <v>303</v>
      </c>
      <c r="P48">
        <v>43</v>
      </c>
      <c r="Q48" t="s">
        <v>437</v>
      </c>
      <c r="R48" t="s">
        <v>250</v>
      </c>
    </row>
    <row r="49" spans="2:18">
      <c r="B49" t="str">
        <f t="shared" si="0"/>
        <v>vs~0044</v>
      </c>
      <c r="C49" t="str">
        <f t="shared" si="6"/>
        <v>b 2 deg (50%).f2d96</v>
      </c>
      <c r="H49" t="str">
        <f t="shared" si="2"/>
        <v>b 2 deg (50%).f2d96</v>
      </c>
      <c r="I49" t="str">
        <f t="shared" si="3"/>
        <v>b 2 deg (50%)</v>
      </c>
      <c r="J49" t="str">
        <f t="shared" si="4"/>
        <v>f2d96</v>
      </c>
      <c r="N49">
        <v>5</v>
      </c>
      <c r="O49" t="s">
        <v>304</v>
      </c>
      <c r="P49">
        <v>44</v>
      </c>
      <c r="Q49" t="s">
        <v>437</v>
      </c>
      <c r="R49" t="s">
        <v>251</v>
      </c>
    </row>
    <row r="50" spans="2:18">
      <c r="B50" t="str">
        <f t="shared" si="0"/>
        <v>vs~0045</v>
      </c>
      <c r="C50" t="str">
        <f t="shared" si="6"/>
        <v>a 3 deg.f2d96</v>
      </c>
      <c r="H50" t="str">
        <f t="shared" si="2"/>
        <v>a 3 deg.f2d96</v>
      </c>
      <c r="I50" t="str">
        <f t="shared" si="3"/>
        <v>a 3 deg</v>
      </c>
      <c r="J50" t="str">
        <f t="shared" si="4"/>
        <v>f2d96</v>
      </c>
      <c r="N50">
        <v>5</v>
      </c>
      <c r="O50" t="s">
        <v>305</v>
      </c>
      <c r="P50">
        <v>45</v>
      </c>
      <c r="Q50" t="s">
        <v>437</v>
      </c>
      <c r="R50" t="s">
        <v>252</v>
      </c>
    </row>
    <row r="51" spans="2:18">
      <c r="B51" t="str">
        <f t="shared" si="0"/>
        <v>vs~0046</v>
      </c>
      <c r="C51" t="str">
        <f t="shared" si="6"/>
        <v>e 1.5 deg no OS.e96</v>
      </c>
      <c r="H51" t="str">
        <f t="shared" si="2"/>
        <v>e 1.5 deg no OS.e96</v>
      </c>
      <c r="I51" t="str">
        <f t="shared" si="3"/>
        <v>e 1.5 deg no OS</v>
      </c>
      <c r="J51" t="str">
        <f t="shared" si="4"/>
        <v>e96</v>
      </c>
      <c r="N51">
        <v>5</v>
      </c>
      <c r="O51" t="s">
        <v>306</v>
      </c>
      <c r="P51">
        <v>46</v>
      </c>
      <c r="Q51" t="s">
        <v>442</v>
      </c>
      <c r="R51" t="s">
        <v>248</v>
      </c>
    </row>
    <row r="52" spans="2:18">
      <c r="B52" t="str">
        <f t="shared" si="0"/>
        <v>vs~0047</v>
      </c>
      <c r="C52" t="str">
        <f t="shared" si="6"/>
        <v>d 1.5 deg OS.e96</v>
      </c>
      <c r="H52" t="str">
        <f t="shared" si="2"/>
        <v>d 1.5 deg OS.e96</v>
      </c>
      <c r="I52" t="str">
        <f t="shared" si="3"/>
        <v>d 1.5 deg OS</v>
      </c>
      <c r="J52" t="str">
        <f t="shared" si="4"/>
        <v>e96</v>
      </c>
      <c r="N52">
        <v>5</v>
      </c>
      <c r="O52" t="s">
        <v>307</v>
      </c>
      <c r="P52">
        <v>47</v>
      </c>
      <c r="Q52" t="s">
        <v>442</v>
      </c>
      <c r="R52" t="s">
        <v>249</v>
      </c>
    </row>
    <row r="53" spans="2:18">
      <c r="B53" t="str">
        <f t="shared" si="0"/>
        <v>vs~0048</v>
      </c>
      <c r="C53" t="str">
        <f t="shared" si="6"/>
        <v>c 2 deg (67%).e96</v>
      </c>
      <c r="H53" t="str">
        <f t="shared" si="2"/>
        <v>c 2 deg (67%).e96</v>
      </c>
      <c r="I53" t="str">
        <f t="shared" si="3"/>
        <v>c 2 deg (67%)</v>
      </c>
      <c r="J53" t="str">
        <f t="shared" si="4"/>
        <v>e96</v>
      </c>
      <c r="N53">
        <v>5</v>
      </c>
      <c r="O53" t="s">
        <v>308</v>
      </c>
      <c r="P53">
        <v>48</v>
      </c>
      <c r="Q53" t="s">
        <v>442</v>
      </c>
      <c r="R53" t="s">
        <v>250</v>
      </c>
    </row>
    <row r="54" spans="2:18">
      <c r="B54" t="str">
        <f t="shared" si="0"/>
        <v>vs~0049</v>
      </c>
      <c r="C54" t="str">
        <f t="shared" si="6"/>
        <v>b 2 deg (50%).e96</v>
      </c>
      <c r="H54" t="str">
        <f t="shared" si="2"/>
        <v>b 2 deg (50%).e96</v>
      </c>
      <c r="I54" t="str">
        <f t="shared" si="3"/>
        <v>b 2 deg (50%)</v>
      </c>
      <c r="J54" t="str">
        <f t="shared" si="4"/>
        <v>e96</v>
      </c>
      <c r="N54">
        <v>5</v>
      </c>
      <c r="O54" t="s">
        <v>309</v>
      </c>
      <c r="P54">
        <v>49</v>
      </c>
      <c r="Q54" t="s">
        <v>442</v>
      </c>
      <c r="R54" t="s">
        <v>251</v>
      </c>
    </row>
    <row r="55" spans="2:18">
      <c r="B55" t="str">
        <f t="shared" si="0"/>
        <v>vs~0050</v>
      </c>
      <c r="C55" t="str">
        <f t="shared" si="6"/>
        <v>a 3 deg.e96</v>
      </c>
      <c r="H55" t="str">
        <f t="shared" si="2"/>
        <v>a 3 deg.e96</v>
      </c>
      <c r="I55" t="str">
        <f t="shared" si="3"/>
        <v>a 3 deg</v>
      </c>
      <c r="J55" t="str">
        <f t="shared" si="4"/>
        <v>e96</v>
      </c>
      <c r="N55">
        <v>5</v>
      </c>
      <c r="O55" t="s">
        <v>310</v>
      </c>
      <c r="P55">
        <v>50</v>
      </c>
      <c r="Q55" t="s">
        <v>442</v>
      </c>
      <c r="R55" t="s">
        <v>252</v>
      </c>
    </row>
    <row r="56" spans="2:18">
      <c r="B56" t="str">
        <f t="shared" si="0"/>
        <v>vs~0051</v>
      </c>
      <c r="C56" t="str">
        <f t="shared" ref="C56:C60" si="7">H56</f>
        <v>e 1.5 deg no OS.d9d</v>
      </c>
      <c r="H56" t="str">
        <f t="shared" si="2"/>
        <v>e 1.5 deg no OS.d9d</v>
      </c>
      <c r="I56" t="str">
        <f t="shared" si="3"/>
        <v>e 1.5 deg no OS</v>
      </c>
      <c r="J56" t="str">
        <f t="shared" si="4"/>
        <v>d9d</v>
      </c>
      <c r="N56">
        <v>5</v>
      </c>
      <c r="O56" t="s">
        <v>311</v>
      </c>
      <c r="P56">
        <v>51</v>
      </c>
      <c r="Q56" t="s">
        <v>212</v>
      </c>
      <c r="R56" t="s">
        <v>248</v>
      </c>
    </row>
    <row r="57" spans="2:18">
      <c r="B57" t="str">
        <f t="shared" si="0"/>
        <v>vs~0052</v>
      </c>
      <c r="C57" t="str">
        <f t="shared" si="7"/>
        <v>d 1.5 deg OS.d9d</v>
      </c>
      <c r="H57" t="str">
        <f t="shared" si="2"/>
        <v>d 1.5 deg OS.d9d</v>
      </c>
      <c r="I57" t="str">
        <f t="shared" si="3"/>
        <v>d 1.5 deg OS</v>
      </c>
      <c r="J57" t="str">
        <f t="shared" si="4"/>
        <v>d9d</v>
      </c>
      <c r="N57">
        <v>5</v>
      </c>
      <c r="O57" t="s">
        <v>312</v>
      </c>
      <c r="P57">
        <v>52</v>
      </c>
      <c r="Q57" t="s">
        <v>212</v>
      </c>
      <c r="R57" t="s">
        <v>249</v>
      </c>
    </row>
    <row r="58" spans="2:18">
      <c r="B58" t="str">
        <f t="shared" si="0"/>
        <v>vs~0053</v>
      </c>
      <c r="C58" t="str">
        <f t="shared" si="7"/>
        <v>c 2 deg (67%).d9d</v>
      </c>
      <c r="H58" t="str">
        <f t="shared" si="2"/>
        <v>c 2 deg (67%).d9d</v>
      </c>
      <c r="I58" t="str">
        <f t="shared" si="3"/>
        <v>c 2 deg (67%)</v>
      </c>
      <c r="J58" t="str">
        <f t="shared" si="4"/>
        <v>d9d</v>
      </c>
      <c r="N58">
        <v>5</v>
      </c>
      <c r="O58" t="s">
        <v>313</v>
      </c>
      <c r="P58">
        <v>53</v>
      </c>
      <c r="Q58" t="s">
        <v>212</v>
      </c>
      <c r="R58" t="s">
        <v>250</v>
      </c>
    </row>
    <row r="59" spans="2:18">
      <c r="B59" t="str">
        <f t="shared" si="0"/>
        <v>vs~0054</v>
      </c>
      <c r="C59" t="str">
        <f t="shared" si="7"/>
        <v>b 2 deg (50%).d9d</v>
      </c>
      <c r="H59" t="str">
        <f t="shared" si="2"/>
        <v>b 2 deg (50%).d9d</v>
      </c>
      <c r="I59" t="str">
        <f t="shared" si="3"/>
        <v>b 2 deg (50%)</v>
      </c>
      <c r="J59" t="str">
        <f t="shared" si="4"/>
        <v>d9d</v>
      </c>
      <c r="N59">
        <v>5</v>
      </c>
      <c r="O59" t="s">
        <v>314</v>
      </c>
      <c r="P59">
        <v>54</v>
      </c>
      <c r="Q59" t="s">
        <v>212</v>
      </c>
      <c r="R59" t="s">
        <v>251</v>
      </c>
    </row>
    <row r="60" spans="2:18">
      <c r="B60" t="str">
        <f t="shared" si="0"/>
        <v>vs~0055</v>
      </c>
      <c r="C60" t="str">
        <f t="shared" si="7"/>
        <v>a 3 deg.d9d</v>
      </c>
      <c r="H60" t="str">
        <f t="shared" si="2"/>
        <v>a 3 deg.d9d</v>
      </c>
      <c r="I60" t="str">
        <f t="shared" si="3"/>
        <v>a 3 deg</v>
      </c>
      <c r="J60" t="str">
        <f t="shared" si="4"/>
        <v>d9d</v>
      </c>
      <c r="N60">
        <v>5</v>
      </c>
      <c r="O60" t="s">
        <v>315</v>
      </c>
      <c r="P60">
        <v>55</v>
      </c>
      <c r="Q60" t="s">
        <v>212</v>
      </c>
      <c r="R60" t="s">
        <v>252</v>
      </c>
    </row>
    <row r="61" spans="2:18">
      <c r="B61" t="str">
        <f t="shared" ref="B61:B65" si="8">"vs~"&amp;TEXT(P61,"0000")</f>
        <v>vs~0056</v>
      </c>
      <c r="C61" t="str">
        <f t="shared" ref="C61:C65" si="9">H61</f>
        <v>e 1.5 deg no OS.c15d</v>
      </c>
      <c r="H61" t="str">
        <f t="shared" ref="H61:H65" si="10">_xlfn.TEXTJOIN(".",TRUE,I61:J61)</f>
        <v>e 1.5 deg no OS.c15d</v>
      </c>
      <c r="I61" t="str">
        <f t="shared" ref="I61:I65" si="11">VLOOKUP(R61,$W$6:$X$12,2,FALSE)</f>
        <v>e 1.5 deg no OS</v>
      </c>
      <c r="J61" t="str">
        <f t="shared" ref="J61:J65" si="12">VLOOKUP(Q61,$T$6:$U$20,2,FALSE)</f>
        <v>c15d</v>
      </c>
      <c r="N61">
        <v>5</v>
      </c>
      <c r="O61" t="s">
        <v>316</v>
      </c>
      <c r="P61">
        <v>56</v>
      </c>
      <c r="Q61" t="s">
        <v>213</v>
      </c>
      <c r="R61" t="s">
        <v>248</v>
      </c>
    </row>
    <row r="62" spans="2:18">
      <c r="B62" t="str">
        <f t="shared" si="8"/>
        <v>vs~0057</v>
      </c>
      <c r="C62" t="str">
        <f t="shared" si="9"/>
        <v>d 1.5 deg OS.c15d</v>
      </c>
      <c r="H62" t="str">
        <f t="shared" si="10"/>
        <v>d 1.5 deg OS.c15d</v>
      </c>
      <c r="I62" t="str">
        <f t="shared" si="11"/>
        <v>d 1.5 deg OS</v>
      </c>
      <c r="J62" t="str">
        <f t="shared" si="12"/>
        <v>c15d</v>
      </c>
      <c r="N62">
        <v>5</v>
      </c>
      <c r="O62" t="s">
        <v>317</v>
      </c>
      <c r="P62">
        <v>57</v>
      </c>
      <c r="Q62" t="s">
        <v>213</v>
      </c>
      <c r="R62" t="s">
        <v>249</v>
      </c>
    </row>
    <row r="63" spans="2:18">
      <c r="B63" t="str">
        <f t="shared" si="8"/>
        <v>vs~0058</v>
      </c>
      <c r="C63" t="str">
        <f t="shared" si="9"/>
        <v>c 2 deg (67%).c15d</v>
      </c>
      <c r="H63" t="str">
        <f t="shared" si="10"/>
        <v>c 2 deg (67%).c15d</v>
      </c>
      <c r="I63" t="str">
        <f t="shared" si="11"/>
        <v>c 2 deg (67%)</v>
      </c>
      <c r="J63" t="str">
        <f t="shared" si="12"/>
        <v>c15d</v>
      </c>
      <c r="N63">
        <v>5</v>
      </c>
      <c r="O63" t="s">
        <v>318</v>
      </c>
      <c r="P63">
        <v>58</v>
      </c>
      <c r="Q63" t="s">
        <v>213</v>
      </c>
      <c r="R63" t="s">
        <v>250</v>
      </c>
    </row>
    <row r="64" spans="2:18">
      <c r="B64" t="str">
        <f t="shared" si="8"/>
        <v>vs~0059</v>
      </c>
      <c r="C64" t="str">
        <f t="shared" si="9"/>
        <v>b 2 deg (50%).c15d</v>
      </c>
      <c r="H64" t="str">
        <f t="shared" si="10"/>
        <v>b 2 deg (50%).c15d</v>
      </c>
      <c r="I64" t="str">
        <f t="shared" si="11"/>
        <v>b 2 deg (50%)</v>
      </c>
      <c r="J64" t="str">
        <f t="shared" si="12"/>
        <v>c15d</v>
      </c>
      <c r="N64">
        <v>5</v>
      </c>
      <c r="O64" t="s">
        <v>319</v>
      </c>
      <c r="P64">
        <v>59</v>
      </c>
      <c r="Q64" t="s">
        <v>213</v>
      </c>
      <c r="R64" t="s">
        <v>251</v>
      </c>
    </row>
    <row r="65" spans="2:18">
      <c r="B65" t="str">
        <f t="shared" si="8"/>
        <v>vs~0060</v>
      </c>
      <c r="C65" t="str">
        <f t="shared" si="9"/>
        <v>a 3 deg.c15d</v>
      </c>
      <c r="H65" t="str">
        <f t="shared" si="10"/>
        <v>a 3 deg.c15d</v>
      </c>
      <c r="I65" t="str">
        <f t="shared" si="11"/>
        <v>a 3 deg</v>
      </c>
      <c r="J65" t="str">
        <f t="shared" si="12"/>
        <v>c15d</v>
      </c>
      <c r="N65">
        <v>5</v>
      </c>
      <c r="O65" t="s">
        <v>320</v>
      </c>
      <c r="P65">
        <v>60</v>
      </c>
      <c r="Q65" t="s">
        <v>213</v>
      </c>
      <c r="R65" t="s">
        <v>252</v>
      </c>
    </row>
  </sheetData>
  <sortState xmlns:xlrd2="http://schemas.microsoft.com/office/spreadsheetml/2017/richdata2" ref="D59:D68">
    <sortCondition ref="D59:D68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7"/>
  <sheetViews>
    <sheetView zoomScaleNormal="100" workbookViewId="0">
      <pane ySplit="2" topLeftCell="A3" activePane="bottomLeft" state="frozen"/>
      <selection pane="bottomLeft" activeCell="M25" sqref="M25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53</v>
      </c>
      <c r="R2" s="6" t="s">
        <v>54</v>
      </c>
    </row>
    <row r="3" spans="1:21">
      <c r="A3" t="s">
        <v>6</v>
      </c>
      <c r="C3" t="s">
        <v>108</v>
      </c>
      <c r="D3" s="2" t="s">
        <v>139</v>
      </c>
      <c r="K3" t="s">
        <v>7</v>
      </c>
      <c r="N3" t="s">
        <v>65</v>
      </c>
    </row>
    <row r="4" spans="1:21">
      <c r="A4" t="s">
        <v>34</v>
      </c>
      <c r="C4" t="s">
        <v>108</v>
      </c>
      <c r="D4" s="2" t="s">
        <v>139</v>
      </c>
      <c r="K4" t="s">
        <v>7</v>
      </c>
      <c r="N4" t="s">
        <v>74</v>
      </c>
      <c r="T4" s="8" t="s">
        <v>38</v>
      </c>
      <c r="U4" s="8"/>
    </row>
    <row r="5" spans="1:21">
      <c r="A5" t="s">
        <v>4</v>
      </c>
      <c r="C5" t="s">
        <v>109</v>
      </c>
      <c r="D5" s="2" t="s">
        <v>139</v>
      </c>
      <c r="I5" t="s">
        <v>325</v>
      </c>
      <c r="K5" t="s">
        <v>142</v>
      </c>
      <c r="N5" t="s">
        <v>75</v>
      </c>
      <c r="T5" s="3" t="s">
        <v>39</v>
      </c>
      <c r="U5" s="3" t="s">
        <v>47</v>
      </c>
    </row>
    <row r="6" spans="1:21">
      <c r="A6" t="s">
        <v>55</v>
      </c>
      <c r="C6" t="s">
        <v>134</v>
      </c>
      <c r="D6" s="2"/>
      <c r="H6" t="s">
        <v>25</v>
      </c>
      <c r="I6" s="2" t="s">
        <v>92</v>
      </c>
      <c r="K6" t="s">
        <v>375</v>
      </c>
      <c r="N6" t="s">
        <v>37</v>
      </c>
      <c r="Q6" t="s">
        <v>111</v>
      </c>
      <c r="T6" s="3"/>
      <c r="U6" s="3"/>
    </row>
    <row r="7" spans="1:21">
      <c r="A7" t="s">
        <v>4</v>
      </c>
      <c r="I7" s="2" t="s">
        <v>118</v>
      </c>
      <c r="K7" t="s">
        <v>120</v>
      </c>
      <c r="N7" t="s">
        <v>122</v>
      </c>
      <c r="T7" s="3"/>
      <c r="U7" s="3"/>
    </row>
    <row r="8" spans="1:21">
      <c r="A8" t="s">
        <v>4</v>
      </c>
      <c r="I8" s="2" t="s">
        <v>119</v>
      </c>
      <c r="K8" t="s">
        <v>121</v>
      </c>
      <c r="N8" t="s">
        <v>123</v>
      </c>
      <c r="T8" s="3"/>
      <c r="U8" s="3"/>
    </row>
    <row r="9" spans="1:21">
      <c r="A9" t="s">
        <v>368</v>
      </c>
      <c r="C9" t="s">
        <v>108</v>
      </c>
      <c r="D9" s="2" t="s">
        <v>110</v>
      </c>
      <c r="K9" t="s">
        <v>255</v>
      </c>
      <c r="N9" t="s">
        <v>76</v>
      </c>
    </row>
    <row r="10" spans="1:21">
      <c r="A10" t="s">
        <v>371</v>
      </c>
      <c r="C10" t="s">
        <v>108</v>
      </c>
      <c r="D10" s="2" t="s">
        <v>110</v>
      </c>
      <c r="K10" t="s">
        <v>255</v>
      </c>
      <c r="N10" t="s">
        <v>76</v>
      </c>
    </row>
    <row r="11" spans="1:21">
      <c r="A11" t="s">
        <v>369</v>
      </c>
      <c r="C11" t="s">
        <v>108</v>
      </c>
      <c r="D11" s="2" t="s">
        <v>110</v>
      </c>
      <c r="K11" t="s">
        <v>255</v>
      </c>
      <c r="N11" t="s">
        <v>362</v>
      </c>
    </row>
    <row r="12" spans="1:21">
      <c r="A12" t="s">
        <v>372</v>
      </c>
      <c r="C12" t="s">
        <v>108</v>
      </c>
      <c r="D12" s="2" t="s">
        <v>110</v>
      </c>
      <c r="K12" t="s">
        <v>255</v>
      </c>
      <c r="N12" t="s">
        <v>362</v>
      </c>
    </row>
    <row r="13" spans="1:21">
      <c r="A13" t="s">
        <v>370</v>
      </c>
      <c r="C13" t="s">
        <v>108</v>
      </c>
      <c r="D13" s="2" t="s">
        <v>110</v>
      </c>
      <c r="K13" t="s">
        <v>255</v>
      </c>
      <c r="N13" t="s">
        <v>363</v>
      </c>
    </row>
    <row r="14" spans="1:21">
      <c r="A14" t="s">
        <v>367</v>
      </c>
      <c r="C14" t="s">
        <v>365</v>
      </c>
      <c r="D14" s="2"/>
      <c r="I14" t="s">
        <v>366</v>
      </c>
      <c r="K14" t="s">
        <v>255</v>
      </c>
      <c r="N14" t="s">
        <v>364</v>
      </c>
    </row>
    <row r="15" spans="1:21">
      <c r="A15" s="4" t="s">
        <v>28</v>
      </c>
      <c r="B15" s="4" t="s">
        <v>51</v>
      </c>
      <c r="H15" t="s">
        <v>25</v>
      </c>
      <c r="K15" t="s">
        <v>376</v>
      </c>
      <c r="N15" t="s">
        <v>40</v>
      </c>
      <c r="P15" t="s">
        <v>41</v>
      </c>
      <c r="Q15" t="s">
        <v>42</v>
      </c>
    </row>
    <row r="16" spans="1:21">
      <c r="A16" s="4" t="s">
        <v>28</v>
      </c>
      <c r="B16" s="4" t="s">
        <v>51</v>
      </c>
      <c r="I16" t="s">
        <v>130</v>
      </c>
      <c r="K16" t="s">
        <v>131</v>
      </c>
      <c r="N16" t="s">
        <v>132</v>
      </c>
    </row>
    <row r="17" spans="1:17">
      <c r="A17" t="s">
        <v>43</v>
      </c>
      <c r="K17" t="s">
        <v>77</v>
      </c>
      <c r="N17" t="s">
        <v>44</v>
      </c>
      <c r="P17" t="s">
        <v>46</v>
      </c>
      <c r="Q17" t="s">
        <v>45</v>
      </c>
    </row>
    <row r="18" spans="1:17">
      <c r="A18" s="4" t="s">
        <v>52</v>
      </c>
      <c r="B18" s="4" t="s">
        <v>34</v>
      </c>
      <c r="K18" t="s">
        <v>376</v>
      </c>
      <c r="N18" t="s">
        <v>56</v>
      </c>
      <c r="Q18" t="s">
        <v>39</v>
      </c>
    </row>
    <row r="19" spans="1:17">
      <c r="A19" s="4" t="s">
        <v>253</v>
      </c>
      <c r="K19" t="s">
        <v>255</v>
      </c>
      <c r="N19" t="s">
        <v>256</v>
      </c>
      <c r="Q19" t="s">
        <v>45</v>
      </c>
    </row>
    <row r="20" spans="1:17">
      <c r="A20" s="4" t="s">
        <v>254</v>
      </c>
      <c r="K20" t="s">
        <v>255</v>
      </c>
      <c r="N20" t="s">
        <v>257</v>
      </c>
      <c r="Q20" t="s">
        <v>45</v>
      </c>
    </row>
    <row r="21" spans="1:17">
      <c r="A21" t="s">
        <v>6</v>
      </c>
      <c r="C21" t="s">
        <v>326</v>
      </c>
      <c r="D21" t="s">
        <v>327</v>
      </c>
      <c r="K21" t="s">
        <v>7</v>
      </c>
      <c r="N21" t="s">
        <v>328</v>
      </c>
    </row>
    <row r="22" spans="1:17">
      <c r="A22" t="s">
        <v>34</v>
      </c>
      <c r="C22" t="s">
        <v>326</v>
      </c>
      <c r="D22" t="s">
        <v>327</v>
      </c>
      <c r="K22" t="s">
        <v>7</v>
      </c>
      <c r="N22" t="s">
        <v>329</v>
      </c>
    </row>
    <row r="23" spans="1:17">
      <c r="A23" s="4" t="s">
        <v>143</v>
      </c>
      <c r="D23" t="s">
        <v>335</v>
      </c>
      <c r="I23" t="s">
        <v>336</v>
      </c>
      <c r="K23" t="s">
        <v>142</v>
      </c>
      <c r="N23" t="s">
        <v>144</v>
      </c>
    </row>
    <row r="24" spans="1:17">
      <c r="A24" t="s">
        <v>143</v>
      </c>
      <c r="I24" t="s">
        <v>338</v>
      </c>
      <c r="K24" t="s">
        <v>142</v>
      </c>
      <c r="N24" t="s">
        <v>356</v>
      </c>
      <c r="P24" t="s">
        <v>353</v>
      </c>
      <c r="Q24" t="s">
        <v>337</v>
      </c>
    </row>
    <row r="25" spans="1:17">
      <c r="A25" t="s">
        <v>4</v>
      </c>
      <c r="I25" t="s">
        <v>338</v>
      </c>
      <c r="K25" t="s">
        <v>142</v>
      </c>
      <c r="N25" t="s">
        <v>357</v>
      </c>
      <c r="P25" t="s">
        <v>353</v>
      </c>
      <c r="Q25" t="s">
        <v>337</v>
      </c>
    </row>
    <row r="26" spans="1:17">
      <c r="A26" t="s">
        <v>6</v>
      </c>
      <c r="F26" t="s">
        <v>360</v>
      </c>
      <c r="G26" t="s">
        <v>360</v>
      </c>
      <c r="K26" t="s">
        <v>7</v>
      </c>
      <c r="N26" t="s">
        <v>358</v>
      </c>
      <c r="P26" t="s">
        <v>354</v>
      </c>
      <c r="Q26" t="s">
        <v>39</v>
      </c>
    </row>
    <row r="27" spans="1:17">
      <c r="A27" t="s">
        <v>34</v>
      </c>
      <c r="F27" t="s">
        <v>360</v>
      </c>
      <c r="G27" t="s">
        <v>360</v>
      </c>
      <c r="K27" t="s">
        <v>7</v>
      </c>
      <c r="N27" t="s">
        <v>359</v>
      </c>
      <c r="P27" t="s">
        <v>355</v>
      </c>
      <c r="Q27" t="s">
        <v>39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96</v>
      </c>
    </row>
    <row r="2" spans="3:11">
      <c r="C2" t="s">
        <v>97</v>
      </c>
      <c r="D2" t="s">
        <v>98</v>
      </c>
      <c r="E2" s="1" t="s">
        <v>2</v>
      </c>
      <c r="F2" t="s">
        <v>0</v>
      </c>
      <c r="G2" t="s">
        <v>53</v>
      </c>
      <c r="H2" t="s">
        <v>99</v>
      </c>
      <c r="I2" t="s">
        <v>100</v>
      </c>
      <c r="J2" t="s">
        <v>101</v>
      </c>
      <c r="K2" t="s">
        <v>9</v>
      </c>
    </row>
    <row r="3" spans="3:11">
      <c r="C3" t="s">
        <v>75</v>
      </c>
      <c r="D3" t="s">
        <v>65</v>
      </c>
      <c r="E3" s="7" t="s">
        <v>102</v>
      </c>
      <c r="F3" t="s">
        <v>103</v>
      </c>
      <c r="G3" t="s">
        <v>39</v>
      </c>
      <c r="I3" t="s">
        <v>104</v>
      </c>
      <c r="J3" t="s">
        <v>39</v>
      </c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258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53</v>
      </c>
      <c r="Q4" s="6" t="s">
        <v>99</v>
      </c>
      <c r="R4" s="6" t="s">
        <v>140</v>
      </c>
      <c r="S4" s="6" t="s">
        <v>141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142</v>
      </c>
      <c r="M5" t="s">
        <v>174</v>
      </c>
      <c r="S5">
        <v>-1</v>
      </c>
    </row>
    <row r="6" spans="1:19">
      <c r="A6" t="s">
        <v>143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142</v>
      </c>
      <c r="M6" t="s">
        <v>175</v>
      </c>
      <c r="S6">
        <v>-1</v>
      </c>
    </row>
    <row r="10" spans="1:19" ht="17.25" thickBot="1">
      <c r="A10" s="5" t="s">
        <v>228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53</v>
      </c>
      <c r="Q11" s="6" t="s">
        <v>99</v>
      </c>
      <c r="R11" s="6" t="s">
        <v>140</v>
      </c>
      <c r="S11" s="6" t="s">
        <v>141</v>
      </c>
    </row>
    <row r="12" spans="1:19">
      <c r="A12" t="s">
        <v>113</v>
      </c>
      <c r="B12" s="4" t="s">
        <v>242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142</v>
      </c>
      <c r="M13" t="s">
        <v>237</v>
      </c>
      <c r="S13">
        <v>-1</v>
      </c>
    </row>
    <row r="14" spans="1:19">
      <c r="A14" t="s">
        <v>143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142</v>
      </c>
      <c r="M14" t="s">
        <v>238</v>
      </c>
      <c r="S14">
        <v>-1</v>
      </c>
    </row>
    <row r="15" spans="1:19">
      <c r="A15" t="s">
        <v>113</v>
      </c>
      <c r="B15" s="4" t="s">
        <v>239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142</v>
      </c>
      <c r="M16" t="s">
        <v>245</v>
      </c>
      <c r="S16">
        <v>-1</v>
      </c>
    </row>
    <row r="17" spans="1:19">
      <c r="A17" t="s">
        <v>143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142</v>
      </c>
      <c r="M17" t="s">
        <v>246</v>
      </c>
      <c r="S17">
        <v>-1</v>
      </c>
    </row>
    <row r="18" spans="1:19">
      <c r="A18" t="s">
        <v>113</v>
      </c>
      <c r="B18" s="4" t="s">
        <v>240</v>
      </c>
    </row>
    <row r="19" spans="1:19">
      <c r="A19" t="s">
        <v>4</v>
      </c>
      <c r="F19" t="str">
        <f>H19</f>
        <v>hydrogen</v>
      </c>
      <c r="H19" t="s">
        <v>167</v>
      </c>
      <c r="J19" t="s">
        <v>142</v>
      </c>
      <c r="M19" t="s">
        <v>237</v>
      </c>
      <c r="S19">
        <v>-1</v>
      </c>
    </row>
    <row r="20" spans="1:19">
      <c r="A20" t="s">
        <v>143</v>
      </c>
      <c r="F20" t="s">
        <v>167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142</v>
      </c>
      <c r="M20" t="s">
        <v>247</v>
      </c>
      <c r="S20">
        <v>-1</v>
      </c>
    </row>
    <row r="23" spans="1:19">
      <c r="A23" t="s">
        <v>143</v>
      </c>
      <c r="E23" t="s">
        <v>167</v>
      </c>
      <c r="H23" t="s">
        <v>167</v>
      </c>
      <c r="J23" t="s">
        <v>142</v>
      </c>
      <c r="M23" t="s">
        <v>241</v>
      </c>
      <c r="S23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80</v>
      </c>
      <c r="B3" t="str">
        <f>A3</f>
        <v>CCGT</v>
      </c>
    </row>
    <row r="4" spans="1:3">
      <c r="A4" t="s">
        <v>81</v>
      </c>
      <c r="B4" t="str">
        <f t="shared" ref="B4:B47" si="0">A4</f>
        <v>Int Comb</v>
      </c>
    </row>
    <row r="5" spans="1:3">
      <c r="A5" t="s">
        <v>82</v>
      </c>
      <c r="B5" t="str">
        <f t="shared" si="0"/>
        <v>Gas_Oil Steam</v>
      </c>
    </row>
    <row r="6" spans="1:3">
      <c r="A6" t="s">
        <v>83</v>
      </c>
      <c r="B6" t="str">
        <f t="shared" si="0"/>
        <v>OCGT (Peaker)</v>
      </c>
    </row>
    <row r="7" spans="1:3">
      <c r="A7" t="s">
        <v>84</v>
      </c>
      <c r="B7" t="str">
        <f t="shared" si="0"/>
        <v>Subcritical Coal</v>
      </c>
    </row>
    <row r="8" spans="1:3">
      <c r="A8" t="s">
        <v>85</v>
      </c>
      <c r="B8" t="str">
        <f t="shared" si="0"/>
        <v>Supercritical Coal</v>
      </c>
    </row>
    <row r="9" spans="1:3">
      <c r="A9" t="s">
        <v>86</v>
      </c>
      <c r="B9" t="str">
        <f t="shared" si="0"/>
        <v>IGCC</v>
      </c>
    </row>
    <row r="10" spans="1:3">
      <c r="A10" t="s">
        <v>177</v>
      </c>
      <c r="B10" t="str">
        <f t="shared" si="0"/>
        <v>Bio Power</v>
      </c>
    </row>
    <row r="11" spans="1:3">
      <c r="A11" t="s">
        <v>178</v>
      </c>
      <c r="B11" t="str">
        <f t="shared" si="0"/>
        <v>Solar Util</v>
      </c>
    </row>
    <row r="12" spans="1:3">
      <c r="A12" t="s">
        <v>87</v>
      </c>
      <c r="B12" t="s">
        <v>243</v>
      </c>
    </row>
    <row r="13" spans="1:3">
      <c r="A13" t="s">
        <v>88</v>
      </c>
      <c r="B13" t="s">
        <v>244</v>
      </c>
    </row>
    <row r="14" spans="1:3">
      <c r="A14" t="s">
        <v>179</v>
      </c>
      <c r="B14" t="str">
        <f t="shared" si="0"/>
        <v>Geothermal P</v>
      </c>
    </row>
    <row r="15" spans="1:3">
      <c r="A15" t="s">
        <v>183</v>
      </c>
      <c r="B15" t="str">
        <f t="shared" si="0"/>
        <v>Hydro Dam</v>
      </c>
    </row>
    <row r="16" spans="1:3">
      <c r="A16" t="s">
        <v>180</v>
      </c>
      <c r="B16" t="str">
        <f t="shared" si="0"/>
        <v>Hydro RoR</v>
      </c>
    </row>
    <row r="17" spans="1:2">
      <c r="A17" t="s">
        <v>181</v>
      </c>
      <c r="B17" t="str">
        <f t="shared" si="0"/>
        <v>Nuclear P</v>
      </c>
    </row>
    <row r="18" spans="1:2">
      <c r="A18" t="s">
        <v>182</v>
      </c>
      <c r="B18" t="str">
        <f t="shared" si="0"/>
        <v>Nuclear SMR</v>
      </c>
    </row>
    <row r="19" spans="1:2">
      <c r="A19" t="s">
        <v>89</v>
      </c>
      <c r="B19" t="str">
        <f t="shared" si="0"/>
        <v>Hydro pumped stg</v>
      </c>
    </row>
    <row r="20" spans="1:2">
      <c r="A20" t="s">
        <v>90</v>
      </c>
      <c r="B20" t="str">
        <f t="shared" si="0"/>
        <v>Util Batt Stg</v>
      </c>
    </row>
    <row r="21" spans="1:2">
      <c r="A21" t="s">
        <v>91</v>
      </c>
      <c r="B21" t="str">
        <f t="shared" si="0"/>
        <v>EV Batt</v>
      </c>
    </row>
    <row r="22" spans="1:2">
      <c r="A22" t="s">
        <v>144</v>
      </c>
      <c r="B22" t="str">
        <f t="shared" si="0"/>
        <v>Demand</v>
      </c>
    </row>
    <row r="23" spans="1:2">
      <c r="A23" t="s">
        <v>210</v>
      </c>
      <c r="B23" t="str">
        <f t="shared" si="0"/>
        <v>Transformers Dn</v>
      </c>
    </row>
    <row r="24" spans="1:2">
      <c r="A24" t="s">
        <v>211</v>
      </c>
      <c r="B24" t="str">
        <f t="shared" si="0"/>
        <v>Transformers Up</v>
      </c>
    </row>
    <row r="25" spans="1:2">
      <c r="A25" t="s">
        <v>187</v>
      </c>
      <c r="B25" t="str">
        <f t="shared" si="0"/>
        <v>Grid-220V</v>
      </c>
    </row>
    <row r="26" spans="1:2">
      <c r="A26" t="s">
        <v>188</v>
      </c>
      <c r="B26" t="str">
        <f t="shared" si="0"/>
        <v>Grid-400V</v>
      </c>
    </row>
    <row r="27" spans="1:2">
      <c r="A27" t="s">
        <v>189</v>
      </c>
      <c r="B27" t="str">
        <f t="shared" si="0"/>
        <v>Grid-380V</v>
      </c>
    </row>
    <row r="28" spans="1:2">
      <c r="A28" t="s">
        <v>190</v>
      </c>
      <c r="B28" t="str">
        <f t="shared" si="0"/>
        <v>Grid-225V</v>
      </c>
    </row>
    <row r="29" spans="1:2">
      <c r="A29" t="s">
        <v>191</v>
      </c>
      <c r="B29" t="str">
        <f t="shared" si="0"/>
        <v>Grid-330V</v>
      </c>
    </row>
    <row r="30" spans="1:2">
      <c r="A30" t="s">
        <v>192</v>
      </c>
      <c r="B30" t="str">
        <f t="shared" si="0"/>
        <v>Grid-275V</v>
      </c>
    </row>
    <row r="31" spans="1:2">
      <c r="A31" t="s">
        <v>193</v>
      </c>
      <c r="B31" t="str">
        <f t="shared" si="0"/>
        <v>Grid-420V</v>
      </c>
    </row>
    <row r="32" spans="1:2">
      <c r="A32" t="s">
        <v>194</v>
      </c>
      <c r="B32" t="str">
        <f t="shared" si="0"/>
        <v>Grid-300V</v>
      </c>
    </row>
    <row r="33" spans="1:2">
      <c r="A33" t="s">
        <v>195</v>
      </c>
      <c r="B33" t="str">
        <f t="shared" si="0"/>
        <v>Grid-500V</v>
      </c>
    </row>
    <row r="34" spans="1:2">
      <c r="A34" t="s">
        <v>196</v>
      </c>
      <c r="B34" t="str">
        <f t="shared" si="0"/>
        <v>Grid-750V</v>
      </c>
    </row>
    <row r="35" spans="1:2">
      <c r="A35" t="s">
        <v>197</v>
      </c>
      <c r="B35" t="str">
        <f t="shared" si="0"/>
        <v>Grid-450V</v>
      </c>
    </row>
    <row r="36" spans="1:2">
      <c r="A36" t="s">
        <v>198</v>
      </c>
      <c r="B36" t="str">
        <f t="shared" si="0"/>
        <v>Grid-515V</v>
      </c>
    </row>
    <row r="37" spans="1:2">
      <c r="A37" t="s">
        <v>199</v>
      </c>
      <c r="B37" t="str">
        <f t="shared" si="0"/>
        <v>Grid-525V</v>
      </c>
    </row>
    <row r="38" spans="1:2">
      <c r="A38" t="s">
        <v>200</v>
      </c>
      <c r="B38" t="str">
        <f t="shared" si="0"/>
        <v>Grid-320V</v>
      </c>
    </row>
    <row r="39" spans="1:2">
      <c r="A39" t="s">
        <v>201</v>
      </c>
      <c r="B39" t="str">
        <f t="shared" si="0"/>
        <v>Grid-150V</v>
      </c>
    </row>
    <row r="40" spans="1:2">
      <c r="A40" t="s">
        <v>202</v>
      </c>
      <c r="B40" t="str">
        <f t="shared" si="0"/>
        <v>Grid-270V</v>
      </c>
    </row>
    <row r="41" spans="1:2">
      <c r="A41" t="s">
        <v>203</v>
      </c>
      <c r="B41" t="str">
        <f t="shared" si="0"/>
        <v>Grid-350V</v>
      </c>
    </row>
    <row r="42" spans="1:2">
      <c r="A42" t="s">
        <v>204</v>
      </c>
      <c r="B42" t="str">
        <f t="shared" si="0"/>
        <v>Grid-250V</v>
      </c>
    </row>
    <row r="43" spans="1:2">
      <c r="A43" t="s">
        <v>205</v>
      </c>
      <c r="B43" t="str">
        <f t="shared" si="0"/>
        <v>Grid-200V</v>
      </c>
    </row>
    <row r="44" spans="1:2">
      <c r="A44" t="s">
        <v>206</v>
      </c>
      <c r="B44" t="str">
        <f t="shared" si="0"/>
        <v>Grid-236V</v>
      </c>
    </row>
    <row r="45" spans="1:2">
      <c r="A45" t="s">
        <v>207</v>
      </c>
      <c r="B45" t="str">
        <f t="shared" si="0"/>
        <v>Grid-600V</v>
      </c>
    </row>
    <row r="46" spans="1:2">
      <c r="A46" t="s">
        <v>208</v>
      </c>
      <c r="B46" t="str">
        <f t="shared" si="0"/>
        <v>Aggregators</v>
      </c>
    </row>
    <row r="47" spans="1:2">
      <c r="A47" t="s">
        <v>209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66</v>
      </c>
    </row>
    <row r="2" spans="1:3">
      <c r="A2" t="s">
        <v>67</v>
      </c>
      <c r="B2" t="s">
        <v>1</v>
      </c>
      <c r="C2" t="s">
        <v>9</v>
      </c>
    </row>
    <row r="3" spans="1:3">
      <c r="A3" t="s">
        <v>145</v>
      </c>
      <c r="B3" t="str">
        <f>A3</f>
        <v>Elec-220V</v>
      </c>
    </row>
    <row r="4" spans="1:3">
      <c r="A4" t="s">
        <v>146</v>
      </c>
      <c r="B4" t="str">
        <f t="shared" ref="B4:B23" si="0">A4</f>
        <v>Elec-400V</v>
      </c>
    </row>
    <row r="5" spans="1:3">
      <c r="A5" t="s">
        <v>147</v>
      </c>
      <c r="B5" t="str">
        <f t="shared" si="0"/>
        <v>Elec-380V</v>
      </c>
    </row>
    <row r="6" spans="1:3">
      <c r="A6" t="s">
        <v>148</v>
      </c>
      <c r="B6" t="str">
        <f t="shared" si="0"/>
        <v>Elec-225V</v>
      </c>
    </row>
    <row r="7" spans="1:3">
      <c r="A7" t="s">
        <v>149</v>
      </c>
      <c r="B7" t="str">
        <f t="shared" si="0"/>
        <v>Elec-330V</v>
      </c>
    </row>
    <row r="8" spans="1:3">
      <c r="A8" t="s">
        <v>150</v>
      </c>
      <c r="B8" t="str">
        <f t="shared" si="0"/>
        <v>Elec-275V</v>
      </c>
    </row>
    <row r="9" spans="1:3">
      <c r="A9" t="s">
        <v>151</v>
      </c>
      <c r="B9" t="str">
        <f t="shared" si="0"/>
        <v>Elec-420V</v>
      </c>
    </row>
    <row r="10" spans="1:3">
      <c r="A10" t="s">
        <v>152</v>
      </c>
      <c r="B10" t="str">
        <f t="shared" si="0"/>
        <v>Elec-300V</v>
      </c>
    </row>
    <row r="11" spans="1:3">
      <c r="A11" t="s">
        <v>153</v>
      </c>
      <c r="B11" t="str">
        <f t="shared" si="0"/>
        <v>Elec-500V</v>
      </c>
    </row>
    <row r="12" spans="1:3">
      <c r="A12" t="s">
        <v>154</v>
      </c>
      <c r="B12" t="str">
        <f t="shared" si="0"/>
        <v>Elec-750V</v>
      </c>
    </row>
    <row r="13" spans="1:3">
      <c r="A13" t="s">
        <v>155</v>
      </c>
      <c r="B13" t="str">
        <f t="shared" si="0"/>
        <v>Elec-450V</v>
      </c>
    </row>
    <row r="14" spans="1:3">
      <c r="A14" t="s">
        <v>156</v>
      </c>
      <c r="B14" t="str">
        <f t="shared" si="0"/>
        <v>Elec-515V</v>
      </c>
    </row>
    <row r="15" spans="1:3">
      <c r="A15" t="s">
        <v>157</v>
      </c>
      <c r="B15" t="str">
        <f t="shared" si="0"/>
        <v>Elec-525V</v>
      </c>
    </row>
    <row r="16" spans="1:3">
      <c r="A16" t="s">
        <v>158</v>
      </c>
      <c r="B16" t="str">
        <f t="shared" si="0"/>
        <v>Elec-320V</v>
      </c>
    </row>
    <row r="17" spans="1:2">
      <c r="A17" t="s">
        <v>159</v>
      </c>
      <c r="B17" t="str">
        <f t="shared" si="0"/>
        <v>Elec-150V</v>
      </c>
    </row>
    <row r="18" spans="1:2">
      <c r="A18" t="s">
        <v>160</v>
      </c>
      <c r="B18" t="str">
        <f t="shared" si="0"/>
        <v>Elec-270V</v>
      </c>
    </row>
    <row r="19" spans="1:2">
      <c r="A19" t="s">
        <v>161</v>
      </c>
      <c r="B19" t="str">
        <f t="shared" si="0"/>
        <v>Elec-350V</v>
      </c>
    </row>
    <row r="20" spans="1:2">
      <c r="A20" t="s">
        <v>162</v>
      </c>
      <c r="B20" t="str">
        <f t="shared" si="0"/>
        <v>Elec-250V</v>
      </c>
    </row>
    <row r="21" spans="1:2">
      <c r="A21" t="s">
        <v>163</v>
      </c>
      <c r="B21" t="str">
        <f t="shared" si="0"/>
        <v>Elec-200V</v>
      </c>
    </row>
    <row r="22" spans="1:2">
      <c r="A22" t="s">
        <v>164</v>
      </c>
      <c r="B22" t="str">
        <f t="shared" si="0"/>
        <v>Elec-236V</v>
      </c>
    </row>
    <row r="23" spans="1:2">
      <c r="A23" t="s">
        <v>165</v>
      </c>
      <c r="B23" t="str">
        <f t="shared" si="0"/>
        <v>Elec-600V</v>
      </c>
    </row>
    <row r="24" spans="1:2">
      <c r="A24" t="s">
        <v>184</v>
      </c>
      <c r="B24" t="s">
        <v>239</v>
      </c>
    </row>
    <row r="25" spans="1:2">
      <c r="A25" t="s">
        <v>185</v>
      </c>
      <c r="B25" t="s">
        <v>239</v>
      </c>
    </row>
    <row r="26" spans="1:2">
      <c r="A26" t="s">
        <v>167</v>
      </c>
      <c r="B26" t="str">
        <f t="shared" ref="B26" si="1">A26</f>
        <v>hydrogen</v>
      </c>
    </row>
    <row r="27" spans="1:2">
      <c r="A27" t="s">
        <v>169</v>
      </c>
      <c r="B27" t="s">
        <v>239</v>
      </c>
    </row>
    <row r="28" spans="1:2">
      <c r="A28" t="s">
        <v>170</v>
      </c>
      <c r="B28" t="str">
        <f t="shared" ref="B28:B35" si="2">A28</f>
        <v>buildings</v>
      </c>
    </row>
    <row r="29" spans="1:2">
      <c r="A29" t="s">
        <v>171</v>
      </c>
      <c r="B29" t="str">
        <f t="shared" si="2"/>
        <v>industry</v>
      </c>
    </row>
    <row r="30" spans="1:2">
      <c r="A30" t="s">
        <v>172</v>
      </c>
      <c r="B30" t="str">
        <f t="shared" si="2"/>
        <v>transport</v>
      </c>
    </row>
    <row r="31" spans="1:2">
      <c r="A31" t="s">
        <v>173</v>
      </c>
      <c r="B31" t="str">
        <f t="shared" si="2"/>
        <v>EVs</v>
      </c>
    </row>
    <row r="32" spans="1:2">
      <c r="A32" s="7" t="s">
        <v>176</v>
      </c>
      <c r="B32" s="7" t="str">
        <f t="shared" si="2"/>
        <v>fossil</v>
      </c>
    </row>
    <row r="33" spans="1:2">
      <c r="A33" s="7" t="s">
        <v>186</v>
      </c>
      <c r="B33" s="7" t="str">
        <f t="shared" si="2"/>
        <v>renewable</v>
      </c>
    </row>
    <row r="34" spans="1:2">
      <c r="A34" s="7" t="s">
        <v>166</v>
      </c>
      <c r="B34" s="7" t="str">
        <f t="shared" si="2"/>
        <v>bioenergy</v>
      </c>
    </row>
    <row r="35" spans="1:2">
      <c r="A35" s="7" t="s">
        <v>168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166</v>
      </c>
      <c r="B3" t="str">
        <f>A3</f>
        <v>bioenergy</v>
      </c>
    </row>
    <row r="4" spans="1:3">
      <c r="A4" t="s">
        <v>128</v>
      </c>
      <c r="B4" t="str">
        <f t="shared" ref="B4:B11" si="0">A4</f>
        <v>coal</v>
      </c>
    </row>
    <row r="5" spans="1:3">
      <c r="A5" t="s">
        <v>129</v>
      </c>
      <c r="B5" t="str">
        <f t="shared" si="0"/>
        <v>gas</v>
      </c>
    </row>
    <row r="6" spans="1:3">
      <c r="A6" t="s">
        <v>229</v>
      </c>
      <c r="B6" t="str">
        <f t="shared" si="0"/>
        <v>geothermal</v>
      </c>
    </row>
    <row r="7" spans="1:3">
      <c r="A7" t="s">
        <v>230</v>
      </c>
      <c r="B7" t="str">
        <f t="shared" si="0"/>
        <v>hydro</v>
      </c>
    </row>
    <row r="8" spans="1:3">
      <c r="A8" t="s">
        <v>167</v>
      </c>
      <c r="B8" t="str">
        <f t="shared" si="0"/>
        <v>hydrogen</v>
      </c>
    </row>
    <row r="9" spans="1:3">
      <c r="A9" t="s">
        <v>168</v>
      </c>
      <c r="B9" t="str">
        <f t="shared" si="0"/>
        <v>nuclear</v>
      </c>
    </row>
    <row r="10" spans="1:3">
      <c r="A10" t="s">
        <v>231</v>
      </c>
      <c r="B10" t="str">
        <f t="shared" si="0"/>
        <v>oil</v>
      </c>
    </row>
    <row r="11" spans="1:3">
      <c r="A11" t="s">
        <v>232</v>
      </c>
      <c r="B11" t="str">
        <f t="shared" si="0"/>
        <v>solar</v>
      </c>
    </row>
    <row r="12" spans="1:3">
      <c r="A12" t="s">
        <v>233</v>
      </c>
      <c r="B12" t="s">
        <v>235</v>
      </c>
    </row>
    <row r="13" spans="1:3">
      <c r="A13" t="s">
        <v>234</v>
      </c>
      <c r="B13" t="s">
        <v>236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138</v>
      </c>
    </row>
    <row r="2" spans="1:3">
      <c r="A2" t="s">
        <v>48</v>
      </c>
      <c r="B2" t="s">
        <v>49</v>
      </c>
      <c r="C2" t="s">
        <v>50</v>
      </c>
    </row>
    <row r="3" spans="1:3">
      <c r="A3" t="s">
        <v>137</v>
      </c>
      <c r="B3" t="s">
        <v>377</v>
      </c>
      <c r="C3" t="s">
        <v>378</v>
      </c>
    </row>
    <row r="4" spans="1:3">
      <c r="A4" t="s">
        <v>137</v>
      </c>
      <c r="B4" t="s">
        <v>379</v>
      </c>
      <c r="C4" t="s">
        <v>380</v>
      </c>
    </row>
    <row r="5" spans="1:3">
      <c r="A5" t="s">
        <v>137</v>
      </c>
      <c r="B5" t="s">
        <v>381</v>
      </c>
      <c r="C5" t="s">
        <v>382</v>
      </c>
    </row>
    <row r="6" spans="1:3">
      <c r="A6" t="s">
        <v>137</v>
      </c>
      <c r="B6" t="s">
        <v>383</v>
      </c>
      <c r="C6" t="s">
        <v>384</v>
      </c>
    </row>
    <row r="7" spans="1:3">
      <c r="A7" t="s">
        <v>137</v>
      </c>
      <c r="B7" t="s">
        <v>385</v>
      </c>
      <c r="C7" t="s">
        <v>386</v>
      </c>
    </row>
    <row r="8" spans="1:3">
      <c r="A8" t="s">
        <v>137</v>
      </c>
      <c r="B8" t="s">
        <v>387</v>
      </c>
      <c r="C8" t="s">
        <v>388</v>
      </c>
    </row>
    <row r="9" spans="1:3">
      <c r="A9" t="s">
        <v>137</v>
      </c>
      <c r="B9" t="s">
        <v>389</v>
      </c>
      <c r="C9" t="s">
        <v>390</v>
      </c>
    </row>
    <row r="10" spans="1:3">
      <c r="A10" t="s">
        <v>137</v>
      </c>
      <c r="B10" t="s">
        <v>391</v>
      </c>
      <c r="C10" t="s">
        <v>392</v>
      </c>
    </row>
    <row r="11" spans="1:3">
      <c r="A11" t="s">
        <v>137</v>
      </c>
      <c r="B11" t="s">
        <v>393</v>
      </c>
      <c r="C11" t="s">
        <v>394</v>
      </c>
    </row>
    <row r="12" spans="1:3">
      <c r="A12" t="s">
        <v>137</v>
      </c>
      <c r="B12" t="s">
        <v>395</v>
      </c>
      <c r="C12" t="s">
        <v>396</v>
      </c>
    </row>
    <row r="13" spans="1:3">
      <c r="A13" t="s">
        <v>137</v>
      </c>
      <c r="B13" t="s">
        <v>397</v>
      </c>
      <c r="C13" t="s">
        <v>398</v>
      </c>
    </row>
    <row r="14" spans="1:3">
      <c r="A14" t="s">
        <v>137</v>
      </c>
      <c r="B14" t="s">
        <v>399</v>
      </c>
      <c r="C14" t="s">
        <v>400</v>
      </c>
    </row>
    <row r="15" spans="1:3">
      <c r="A15" t="s">
        <v>136</v>
      </c>
      <c r="B15" t="s">
        <v>401</v>
      </c>
      <c r="C15" t="s">
        <v>135</v>
      </c>
    </row>
    <row r="16" spans="1:3">
      <c r="A16" t="s">
        <v>136</v>
      </c>
      <c r="B16" t="s">
        <v>402</v>
      </c>
      <c r="C16" t="s">
        <v>403</v>
      </c>
    </row>
    <row r="17" spans="1:3">
      <c r="A17" t="s">
        <v>136</v>
      </c>
      <c r="B17" t="s">
        <v>404</v>
      </c>
      <c r="C17" t="s">
        <v>405</v>
      </c>
    </row>
    <row r="18" spans="1:3">
      <c r="A18" t="s">
        <v>136</v>
      </c>
      <c r="B18" t="s">
        <v>406</v>
      </c>
      <c r="C18" t="s">
        <v>407</v>
      </c>
    </row>
    <row r="19" spans="1:3">
      <c r="A19" t="s">
        <v>136</v>
      </c>
      <c r="B19" t="s">
        <v>408</v>
      </c>
      <c r="C19" t="s">
        <v>409</v>
      </c>
    </row>
    <row r="20" spans="1:3">
      <c r="A20" t="s">
        <v>136</v>
      </c>
      <c r="B20" t="s">
        <v>410</v>
      </c>
      <c r="C20" t="s">
        <v>411</v>
      </c>
    </row>
    <row r="21" spans="1:3">
      <c r="A21" t="s">
        <v>136</v>
      </c>
      <c r="B21" t="s">
        <v>412</v>
      </c>
      <c r="C21" t="s">
        <v>413</v>
      </c>
    </row>
    <row r="22" spans="1:3">
      <c r="A22" t="s">
        <v>136</v>
      </c>
      <c r="B22" t="s">
        <v>414</v>
      </c>
      <c r="C22" t="s">
        <v>415</v>
      </c>
    </row>
    <row r="23" spans="1:3">
      <c r="A23" t="s">
        <v>136</v>
      </c>
      <c r="B23" t="s">
        <v>416</v>
      </c>
      <c r="C23" t="s">
        <v>417</v>
      </c>
    </row>
    <row r="24" spans="1:3">
      <c r="A24" t="s">
        <v>136</v>
      </c>
      <c r="B24" t="s">
        <v>418</v>
      </c>
      <c r="C24" t="s">
        <v>419</v>
      </c>
    </row>
    <row r="25" spans="1:3">
      <c r="A25" t="s">
        <v>136</v>
      </c>
      <c r="B25" t="s">
        <v>420</v>
      </c>
      <c r="C25" t="s">
        <v>421</v>
      </c>
    </row>
    <row r="26" spans="1:3">
      <c r="A26" t="s">
        <v>136</v>
      </c>
      <c r="B26" t="s">
        <v>422</v>
      </c>
      <c r="C26" t="s">
        <v>423</v>
      </c>
    </row>
    <row r="27" spans="1:3">
      <c r="A27" t="s">
        <v>136</v>
      </c>
      <c r="B27" t="s">
        <v>424</v>
      </c>
      <c r="C27" t="s">
        <v>425</v>
      </c>
    </row>
    <row r="28" spans="1:3">
      <c r="A28" t="s">
        <v>136</v>
      </c>
      <c r="B28" t="s">
        <v>426</v>
      </c>
      <c r="C28" t="s">
        <v>427</v>
      </c>
    </row>
    <row r="29" spans="1:3">
      <c r="A29" t="s">
        <v>136</v>
      </c>
      <c r="B29" t="s">
        <v>428</v>
      </c>
      <c r="C29" t="s">
        <v>429</v>
      </c>
    </row>
    <row r="30" spans="1:3">
      <c r="A30" t="s">
        <v>136</v>
      </c>
      <c r="B30" t="s">
        <v>430</v>
      </c>
      <c r="C30" t="s">
        <v>431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4C5C3-F5D0-4A61-AB13-5F9085448A94}">
  <dimension ref="B9:H71"/>
  <sheetViews>
    <sheetView tabSelected="1" workbookViewId="0"/>
  </sheetViews>
  <sheetFormatPr defaultRowHeight="14.25"/>
  <sheetData>
    <row r="9" spans="2:8">
      <c r="B9" t="s">
        <v>621</v>
      </c>
      <c r="F9" t="s">
        <v>621</v>
      </c>
    </row>
    <row r="10" spans="2:8">
      <c r="B10" t="s">
        <v>454</v>
      </c>
      <c r="C10" t="s">
        <v>622</v>
      </c>
      <c r="D10" t="s">
        <v>623</v>
      </c>
      <c r="F10" t="s">
        <v>454</v>
      </c>
      <c r="G10" t="s">
        <v>622</v>
      </c>
      <c r="H10" t="s">
        <v>623</v>
      </c>
    </row>
    <row r="11" spans="2:8">
      <c r="B11" t="s">
        <v>462</v>
      </c>
      <c r="C11">
        <v>0.34701887447779323</v>
      </c>
      <c r="D11">
        <v>32.575328462635973</v>
      </c>
      <c r="F11" t="s">
        <v>624</v>
      </c>
      <c r="G11">
        <v>0.34701887447779323</v>
      </c>
      <c r="H11">
        <v>32.575328462635973</v>
      </c>
    </row>
    <row r="12" spans="2:8">
      <c r="B12" t="s">
        <v>463</v>
      </c>
      <c r="C12">
        <v>0.38087845582563729</v>
      </c>
      <c r="D12">
        <v>32.67915903575927</v>
      </c>
      <c r="F12" t="s">
        <v>625</v>
      </c>
      <c r="G12">
        <v>0.38087845582563729</v>
      </c>
      <c r="H12">
        <v>32.67915903575927</v>
      </c>
    </row>
    <row r="13" spans="2:8">
      <c r="B13" t="s">
        <v>464</v>
      </c>
      <c r="C13">
        <v>0.50176654481426963</v>
      </c>
      <c r="D13">
        <v>33.13575286849624</v>
      </c>
      <c r="F13" t="s">
        <v>626</v>
      </c>
      <c r="G13">
        <v>0.50176654481426963</v>
      </c>
      <c r="H13">
        <v>33.13575286849624</v>
      </c>
    </row>
    <row r="14" spans="2:8">
      <c r="B14" t="s">
        <v>465</v>
      </c>
      <c r="C14">
        <v>0.44478682100165162</v>
      </c>
      <c r="D14">
        <v>33.18193526350769</v>
      </c>
      <c r="F14" t="s">
        <v>627</v>
      </c>
      <c r="G14">
        <v>0.50161610535482981</v>
      </c>
      <c r="H14">
        <v>33.135558810154862</v>
      </c>
    </row>
    <row r="15" spans="2:8">
      <c r="B15" t="s">
        <v>466</v>
      </c>
      <c r="C15">
        <v>2.2422626695371002</v>
      </c>
      <c r="D15">
        <v>32.885512345390929</v>
      </c>
      <c r="F15" t="s">
        <v>628</v>
      </c>
      <c r="G15">
        <v>0.44478682100165162</v>
      </c>
      <c r="H15">
        <v>33.18193526350769</v>
      </c>
    </row>
    <row r="16" spans="2:8">
      <c r="B16" t="s">
        <v>467</v>
      </c>
      <c r="C16">
        <v>-0.32863276747572367</v>
      </c>
      <c r="D16">
        <v>31.684961845639961</v>
      </c>
      <c r="F16" t="s">
        <v>629</v>
      </c>
      <c r="G16">
        <v>2.2422626695371002</v>
      </c>
      <c r="H16">
        <v>32.885512345390929</v>
      </c>
    </row>
    <row r="17" spans="2:8">
      <c r="B17" t="s">
        <v>468</v>
      </c>
      <c r="C17">
        <v>-0.59735639883228275</v>
      </c>
      <c r="D17">
        <v>30.60521106343727</v>
      </c>
      <c r="F17" t="s">
        <v>630</v>
      </c>
      <c r="G17">
        <v>-0.32863276747572367</v>
      </c>
      <c r="H17">
        <v>31.684961845639961</v>
      </c>
    </row>
    <row r="18" spans="2:8">
      <c r="B18" t="s">
        <v>469</v>
      </c>
      <c r="C18">
        <v>0.35225415685843409</v>
      </c>
      <c r="D18">
        <v>30.426532817431749</v>
      </c>
      <c r="F18" t="s">
        <v>631</v>
      </c>
      <c r="G18">
        <v>-0.32878838438687658</v>
      </c>
      <c r="H18">
        <v>31.684770447597973</v>
      </c>
    </row>
    <row r="19" spans="2:8">
      <c r="B19" t="s">
        <v>470</v>
      </c>
      <c r="C19">
        <v>0.1578395253003532</v>
      </c>
      <c r="D19">
        <v>31.820036249979019</v>
      </c>
      <c r="F19" t="s">
        <v>632</v>
      </c>
      <c r="G19">
        <v>-0.59735639883228275</v>
      </c>
      <c r="H19">
        <v>30.60521106343727</v>
      </c>
    </row>
    <row r="20" spans="2:8">
      <c r="B20" t="s">
        <v>471</v>
      </c>
      <c r="C20">
        <v>1.6773078470728886</v>
      </c>
      <c r="D20">
        <v>33.677099576095152</v>
      </c>
      <c r="F20" t="s">
        <v>633</v>
      </c>
      <c r="G20">
        <v>0.35225415685843409</v>
      </c>
      <c r="H20">
        <v>30.426532817431749</v>
      </c>
    </row>
    <row r="21" spans="2:8">
      <c r="B21" t="s">
        <v>472</v>
      </c>
      <c r="C21">
        <v>0.4146829360134861</v>
      </c>
      <c r="D21">
        <v>32.540771468624271</v>
      </c>
      <c r="F21" t="s">
        <v>634</v>
      </c>
      <c r="G21">
        <v>0.1578395253003532</v>
      </c>
      <c r="H21">
        <v>31.820036249979019</v>
      </c>
    </row>
    <row r="22" spans="2:8">
      <c r="B22" t="s">
        <v>473</v>
      </c>
      <c r="C22">
        <v>0.63832911556654759</v>
      </c>
      <c r="D22">
        <v>34.118579077578786</v>
      </c>
      <c r="F22" t="s">
        <v>635</v>
      </c>
      <c r="G22">
        <v>1.6773078470728886</v>
      </c>
      <c r="H22">
        <v>33.677099576095152</v>
      </c>
    </row>
    <row r="23" spans="2:8">
      <c r="B23" t="s">
        <v>474</v>
      </c>
      <c r="C23">
        <v>0.2293905005647148</v>
      </c>
      <c r="D23">
        <v>31.183714099903881</v>
      </c>
      <c r="F23" t="s">
        <v>636</v>
      </c>
      <c r="G23">
        <v>0.4146829360134861</v>
      </c>
      <c r="H23">
        <v>32.540771468624271</v>
      </c>
    </row>
    <row r="24" spans="2:8">
      <c r="B24" t="s">
        <v>475</v>
      </c>
      <c r="C24">
        <v>1.4783280668096226</v>
      </c>
      <c r="D24">
        <v>31.328925370738308</v>
      </c>
      <c r="F24" t="s">
        <v>637</v>
      </c>
      <c r="G24">
        <v>0.4144565210651337</v>
      </c>
      <c r="H24">
        <v>32.540691947214178</v>
      </c>
    </row>
    <row r="25" spans="2:8">
      <c r="B25" t="s">
        <v>476</v>
      </c>
      <c r="C25">
        <v>-1.0005440051798422</v>
      </c>
      <c r="D25">
        <v>30.450417893869691</v>
      </c>
      <c r="F25" t="s">
        <v>638</v>
      </c>
      <c r="G25">
        <v>-0.59719731858083236</v>
      </c>
      <c r="H25">
        <v>30.605401028227465</v>
      </c>
    </row>
    <row r="26" spans="2:8">
      <c r="B26" t="s">
        <v>477</v>
      </c>
      <c r="C26">
        <v>2.2437064240314002</v>
      </c>
      <c r="D26">
        <v>32.266438469901992</v>
      </c>
      <c r="F26" t="s">
        <v>639</v>
      </c>
      <c r="G26">
        <v>0.63832911556654759</v>
      </c>
      <c r="H26">
        <v>34.118579077578786</v>
      </c>
    </row>
    <row r="27" spans="2:8">
      <c r="B27" t="s">
        <v>478</v>
      </c>
      <c r="C27">
        <v>2.5362922320585155</v>
      </c>
      <c r="D27">
        <v>31.893562214072865</v>
      </c>
      <c r="F27" t="s">
        <v>640</v>
      </c>
      <c r="G27">
        <v>0.63818179732806724</v>
      </c>
      <c r="H27">
        <v>34.118383814483991</v>
      </c>
    </row>
    <row r="28" spans="2:8">
      <c r="B28" t="s">
        <v>479</v>
      </c>
      <c r="C28">
        <v>0.25675999191258292</v>
      </c>
      <c r="D28">
        <v>30.116578910799571</v>
      </c>
      <c r="F28" t="s">
        <v>641</v>
      </c>
      <c r="G28">
        <v>0.2293905005647148</v>
      </c>
      <c r="H28">
        <v>31.183714099903881</v>
      </c>
    </row>
    <row r="29" spans="2:8">
      <c r="B29" t="s">
        <v>480</v>
      </c>
      <c r="C29">
        <v>0.32410267532355619</v>
      </c>
      <c r="D29">
        <v>32.606888975530637</v>
      </c>
      <c r="F29" t="s">
        <v>642</v>
      </c>
      <c r="G29">
        <v>1.4783280668096226</v>
      </c>
      <c r="H29">
        <v>31.328925370738308</v>
      </c>
    </row>
    <row r="30" spans="2:8">
      <c r="B30" t="s">
        <v>481</v>
      </c>
      <c r="C30">
        <v>0.29378011556442568</v>
      </c>
      <c r="D30">
        <v>32.533705481537496</v>
      </c>
      <c r="F30" t="s">
        <v>643</v>
      </c>
      <c r="G30">
        <v>-1.0005440051798422</v>
      </c>
      <c r="H30">
        <v>30.450417893869691</v>
      </c>
    </row>
    <row r="31" spans="2:8">
      <c r="B31" t="s">
        <v>482</v>
      </c>
      <c r="C31">
        <v>0.51450504891657989</v>
      </c>
      <c r="D31">
        <v>33.477074149997321</v>
      </c>
      <c r="F31" t="s">
        <v>644</v>
      </c>
      <c r="G31">
        <v>2.2437064240314002</v>
      </c>
      <c r="H31">
        <v>32.266438469901992</v>
      </c>
    </row>
    <row r="32" spans="2:8">
      <c r="B32" t="s">
        <v>483</v>
      </c>
      <c r="C32">
        <v>-1.2514965972062482</v>
      </c>
      <c r="D32">
        <v>31.413285399999989</v>
      </c>
      <c r="F32" t="s">
        <v>645</v>
      </c>
      <c r="G32">
        <v>2.2435550510409561</v>
      </c>
      <c r="H32">
        <v>32.266242667362754</v>
      </c>
    </row>
    <row r="33" spans="2:8">
      <c r="B33" t="s">
        <v>484</v>
      </c>
      <c r="C33">
        <v>0.77283899827291824</v>
      </c>
      <c r="D33">
        <v>33.038474299999962</v>
      </c>
      <c r="F33" t="s">
        <v>646</v>
      </c>
      <c r="G33">
        <v>2.5362922320585155</v>
      </c>
      <c r="H33">
        <v>31.893562214072865</v>
      </c>
    </row>
    <row r="34" spans="2:8">
      <c r="B34" t="s">
        <v>485</v>
      </c>
      <c r="C34">
        <v>0.60156819873211453</v>
      </c>
      <c r="D34">
        <v>30.305912200017762</v>
      </c>
      <c r="F34" t="s">
        <v>647</v>
      </c>
      <c r="G34">
        <v>0.25675999191258292</v>
      </c>
      <c r="H34">
        <v>30.116578910799571</v>
      </c>
    </row>
    <row r="35" spans="2:8">
      <c r="B35" t="s">
        <v>486</v>
      </c>
      <c r="C35">
        <v>-1.8297064959236635</v>
      </c>
      <c r="D35">
        <v>30.129403999999987</v>
      </c>
      <c r="F35" t="s">
        <v>648</v>
      </c>
      <c r="G35">
        <v>0.25660031895044599</v>
      </c>
      <c r="H35">
        <v>30.116388230018984</v>
      </c>
    </row>
    <row r="36" spans="2:8">
      <c r="B36" t="s">
        <v>487</v>
      </c>
      <c r="C36">
        <v>0.61578579862357463</v>
      </c>
      <c r="D36">
        <v>34.178322000000001</v>
      </c>
      <c r="F36" t="s">
        <v>649</v>
      </c>
      <c r="G36">
        <v>0.32410267532355619</v>
      </c>
      <c r="H36">
        <v>32.606888975530637</v>
      </c>
    </row>
    <row r="37" spans="2:8">
      <c r="B37" t="s">
        <v>488</v>
      </c>
      <c r="C37">
        <v>0.33564434993276199</v>
      </c>
      <c r="D37">
        <v>32.538983300066654</v>
      </c>
      <c r="F37" t="s">
        <v>650</v>
      </c>
      <c r="G37">
        <v>0.29378011556442568</v>
      </c>
      <c r="H37">
        <v>32.533705481537496</v>
      </c>
    </row>
    <row r="38" spans="2:8">
      <c r="B38" t="s">
        <v>489</v>
      </c>
      <c r="C38">
        <v>0.30487589931832199</v>
      </c>
      <c r="D38">
        <v>32.633694099999964</v>
      </c>
      <c r="F38" t="s">
        <v>651</v>
      </c>
      <c r="G38">
        <v>0.51450504891657989</v>
      </c>
      <c r="H38">
        <v>33.477074149997321</v>
      </c>
    </row>
    <row r="39" spans="2:8">
      <c r="B39" t="s">
        <v>490</v>
      </c>
      <c r="C39">
        <v>0.59701674873626631</v>
      </c>
      <c r="D39">
        <v>33.467729699966142</v>
      </c>
      <c r="F39" t="s">
        <v>652</v>
      </c>
      <c r="G39">
        <v>-1.2514965972062482</v>
      </c>
      <c r="H39">
        <v>31.413285399999989</v>
      </c>
    </row>
    <row r="40" spans="2:8">
      <c r="B40" t="s">
        <v>491</v>
      </c>
      <c r="C40">
        <v>0.45107919899151738</v>
      </c>
      <c r="D40">
        <v>34.72980050000001</v>
      </c>
      <c r="F40" t="s">
        <v>653</v>
      </c>
      <c r="G40">
        <v>0.77283899827291824</v>
      </c>
      <c r="H40">
        <v>33.038474299999962</v>
      </c>
    </row>
    <row r="41" spans="2:8">
      <c r="B41" t="s">
        <v>492</v>
      </c>
      <c r="C41">
        <v>0.34268569925507519</v>
      </c>
      <c r="D41">
        <v>32.688289099987799</v>
      </c>
      <c r="F41" t="s">
        <v>654</v>
      </c>
      <c r="G41">
        <v>0.60156819873211453</v>
      </c>
      <c r="H41">
        <v>30.305912200017762</v>
      </c>
    </row>
    <row r="42" spans="2:8">
      <c r="B42" t="s">
        <v>493</v>
      </c>
      <c r="C42">
        <v>0.62637449859990313</v>
      </c>
      <c r="D42">
        <v>34.142171099999992</v>
      </c>
      <c r="F42" t="s">
        <v>655</v>
      </c>
      <c r="G42">
        <v>-1.8297064959236635</v>
      </c>
      <c r="H42">
        <v>30.129403999999987</v>
      </c>
    </row>
    <row r="43" spans="2:8">
      <c r="B43" t="s">
        <v>494</v>
      </c>
      <c r="C43">
        <v>-0.2527606585194791</v>
      </c>
      <c r="D43">
        <v>32.665879556100421</v>
      </c>
      <c r="F43" t="s">
        <v>656</v>
      </c>
      <c r="G43">
        <v>0.61578579862357463</v>
      </c>
      <c r="H43">
        <v>34.178322000000001</v>
      </c>
    </row>
    <row r="44" spans="2:8">
      <c r="B44" t="s">
        <v>495</v>
      </c>
      <c r="C44">
        <v>-0.72047990231882697</v>
      </c>
      <c r="D44">
        <v>31.701486521519261</v>
      </c>
      <c r="F44" t="s">
        <v>657</v>
      </c>
      <c r="G44">
        <v>0.33564434993276199</v>
      </c>
      <c r="H44">
        <v>32.538983300066654</v>
      </c>
    </row>
    <row r="45" spans="2:8">
      <c r="B45" t="s">
        <v>496</v>
      </c>
      <c r="C45">
        <v>0.47426738833038129</v>
      </c>
      <c r="D45">
        <v>30.743183106538403</v>
      </c>
      <c r="F45" t="s">
        <v>658</v>
      </c>
      <c r="G45">
        <v>0.30487589931832199</v>
      </c>
      <c r="H45">
        <v>32.633694099999964</v>
      </c>
    </row>
    <row r="46" spans="2:8">
      <c r="B46" t="s">
        <v>497</v>
      </c>
      <c r="C46">
        <v>-0.65264543034232869</v>
      </c>
      <c r="D46">
        <v>30.122341992038539</v>
      </c>
      <c r="F46" t="s">
        <v>659</v>
      </c>
      <c r="G46">
        <v>0.59701674873626631</v>
      </c>
      <c r="H46">
        <v>33.467729699966142</v>
      </c>
    </row>
    <row r="47" spans="2:8">
      <c r="B47" t="s">
        <v>498</v>
      </c>
      <c r="C47">
        <v>-0.53682236333007349</v>
      </c>
      <c r="D47">
        <v>30.954731930610681</v>
      </c>
      <c r="F47" t="s">
        <v>660</v>
      </c>
      <c r="G47">
        <v>0.45107919899151738</v>
      </c>
      <c r="H47">
        <v>34.72980050000001</v>
      </c>
    </row>
    <row r="48" spans="2:8">
      <c r="B48" t="s">
        <v>499</v>
      </c>
      <c r="C48">
        <v>1.8157120156798761</v>
      </c>
      <c r="D48">
        <v>34.061476348657344</v>
      </c>
      <c r="F48" t="s">
        <v>661</v>
      </c>
      <c r="G48">
        <v>0.34268569925507519</v>
      </c>
      <c r="H48">
        <v>32.688289099987799</v>
      </c>
    </row>
    <row r="49" spans="2:8">
      <c r="B49" t="s">
        <v>500</v>
      </c>
      <c r="C49">
        <v>1.1511699090688656</v>
      </c>
      <c r="D49">
        <v>34.309648404071794</v>
      </c>
      <c r="F49" t="s">
        <v>662</v>
      </c>
      <c r="G49">
        <v>0.62637449859990313</v>
      </c>
      <c r="H49">
        <v>34.142171099999992</v>
      </c>
    </row>
    <row r="50" spans="2:8">
      <c r="B50" t="s">
        <v>501</v>
      </c>
      <c r="C50">
        <v>0.69773459232859314</v>
      </c>
      <c r="D50">
        <v>33.883325696311886</v>
      </c>
      <c r="F50" t="s">
        <v>663</v>
      </c>
      <c r="G50">
        <v>-0.2527606585194791</v>
      </c>
      <c r="H50">
        <v>32.665879556100421</v>
      </c>
    </row>
    <row r="51" spans="2:8">
      <c r="B51" t="s">
        <v>502</v>
      </c>
      <c r="C51">
        <v>3.2032124071646431</v>
      </c>
      <c r="D51">
        <v>33.989861784770625</v>
      </c>
      <c r="F51" t="s">
        <v>664</v>
      </c>
      <c r="G51">
        <v>-0.72047990231882697</v>
      </c>
      <c r="H51">
        <v>31.701486521519261</v>
      </c>
    </row>
    <row r="52" spans="2:8">
      <c r="B52" t="s">
        <v>503</v>
      </c>
      <c r="C52">
        <v>2.724156050949444</v>
      </c>
      <c r="D52">
        <v>32.945405458569354</v>
      </c>
      <c r="F52" t="s">
        <v>665</v>
      </c>
      <c r="G52">
        <v>0.47426738833038129</v>
      </c>
      <c r="H52">
        <v>30.743183106538403</v>
      </c>
    </row>
    <row r="53" spans="2:8">
      <c r="B53" t="s">
        <v>504</v>
      </c>
      <c r="C53">
        <v>2.7500468764510906</v>
      </c>
      <c r="D53">
        <v>30.902963563196231</v>
      </c>
      <c r="F53" t="s">
        <v>666</v>
      </c>
      <c r="G53">
        <v>-0.65264543034232869</v>
      </c>
      <c r="H53">
        <v>30.122341992038539</v>
      </c>
    </row>
    <row r="54" spans="2:8">
      <c r="B54" t="s">
        <v>505</v>
      </c>
      <c r="C54">
        <v>3.2168570405810142</v>
      </c>
      <c r="D54">
        <v>31.569499900551339</v>
      </c>
      <c r="F54" t="s">
        <v>667</v>
      </c>
      <c r="G54">
        <v>-0.53682236333007349</v>
      </c>
      <c r="H54">
        <v>30.954731930610681</v>
      </c>
    </row>
    <row r="55" spans="2:8">
      <c r="B55" t="s">
        <v>506</v>
      </c>
      <c r="C55">
        <v>1.9359621826179931</v>
      </c>
      <c r="D55">
        <v>32.75981543187315</v>
      </c>
      <c r="F55" t="s">
        <v>668</v>
      </c>
      <c r="G55">
        <v>1.8157120156798761</v>
      </c>
      <c r="H55">
        <v>34.061476348657344</v>
      </c>
    </row>
    <row r="56" spans="2:8">
      <c r="B56" t="s">
        <v>507</v>
      </c>
      <c r="C56">
        <v>1.6096138940020019</v>
      </c>
      <c r="D56">
        <v>31.433456277864291</v>
      </c>
      <c r="F56" t="s">
        <v>669</v>
      </c>
      <c r="G56">
        <v>1.1511699090688656</v>
      </c>
      <c r="H56">
        <v>34.309648404071794</v>
      </c>
    </row>
    <row r="57" spans="2:8">
      <c r="B57" t="s">
        <v>508</v>
      </c>
      <c r="C57">
        <v>0.25184954534432769</v>
      </c>
      <c r="D57">
        <v>33.8598376476114</v>
      </c>
      <c r="F57" t="s">
        <v>670</v>
      </c>
      <c r="G57">
        <v>0.69773459232859314</v>
      </c>
      <c r="H57">
        <v>33.883325696311886</v>
      </c>
    </row>
    <row r="58" spans="2:8">
      <c r="B58" t="s">
        <v>509</v>
      </c>
      <c r="C58">
        <v>0.64214453981278419</v>
      </c>
      <c r="D58">
        <v>31.794946041576008</v>
      </c>
      <c r="F58" t="s">
        <v>671</v>
      </c>
      <c r="G58">
        <v>3.2032124071646431</v>
      </c>
      <c r="H58">
        <v>33.989861784770625</v>
      </c>
    </row>
    <row r="59" spans="2:8">
      <c r="B59" t="s">
        <v>510</v>
      </c>
      <c r="C59">
        <v>0.76289461043594153</v>
      </c>
      <c r="D59">
        <v>32.776781615762758</v>
      </c>
      <c r="F59" t="s">
        <v>672</v>
      </c>
      <c r="G59">
        <v>2.724156050949444</v>
      </c>
      <c r="H59">
        <v>32.945405458569354</v>
      </c>
    </row>
    <row r="60" spans="2:8">
      <c r="B60" t="s">
        <v>511</v>
      </c>
      <c r="C60">
        <v>2.9498106365179417</v>
      </c>
      <c r="D60">
        <v>33.8598376476114</v>
      </c>
      <c r="F60" t="s">
        <v>673</v>
      </c>
      <c r="G60">
        <v>2.7500468764510906</v>
      </c>
      <c r="H60">
        <v>30.902963563196231</v>
      </c>
    </row>
    <row r="61" spans="2:8">
      <c r="B61" t="s">
        <v>512</v>
      </c>
      <c r="C61">
        <v>3.3994708183802111</v>
      </c>
      <c r="D61">
        <v>33.8598376476114</v>
      </c>
      <c r="F61" t="s">
        <v>674</v>
      </c>
      <c r="G61">
        <v>3.2168570405810142</v>
      </c>
      <c r="H61">
        <v>31.569499900551339</v>
      </c>
    </row>
    <row r="62" spans="2:8">
      <c r="B62" t="s">
        <v>513</v>
      </c>
      <c r="C62">
        <v>2.5001504546556728</v>
      </c>
      <c r="D62">
        <v>34.309648404071794</v>
      </c>
      <c r="F62" t="s">
        <v>675</v>
      </c>
      <c r="G62">
        <v>1.9359621826179931</v>
      </c>
      <c r="H62">
        <v>32.75981543187315</v>
      </c>
    </row>
    <row r="63" spans="2:8">
      <c r="B63" t="s">
        <v>514</v>
      </c>
      <c r="C63">
        <v>2.9498106365179413</v>
      </c>
      <c r="D63">
        <v>34.309648404071794</v>
      </c>
      <c r="F63" t="s">
        <v>676</v>
      </c>
      <c r="G63">
        <v>1.6096138940020019</v>
      </c>
      <c r="H63">
        <v>31.433456277864291</v>
      </c>
    </row>
    <row r="64" spans="2:8">
      <c r="B64" t="s">
        <v>515</v>
      </c>
      <c r="C64">
        <v>2.9498106365179417</v>
      </c>
      <c r="D64">
        <v>34.759459160532202</v>
      </c>
      <c r="F64" t="s">
        <v>677</v>
      </c>
      <c r="G64">
        <v>0.25184954534432769</v>
      </c>
      <c r="H64">
        <v>33.8598376476114</v>
      </c>
    </row>
    <row r="65" spans="6:8">
      <c r="F65" t="s">
        <v>678</v>
      </c>
      <c r="G65">
        <v>0.64214453981278419</v>
      </c>
      <c r="H65">
        <v>31.794946041576008</v>
      </c>
    </row>
    <row r="66" spans="6:8">
      <c r="F66" t="s">
        <v>679</v>
      </c>
      <c r="G66">
        <v>0.76289461043594153</v>
      </c>
      <c r="H66">
        <v>32.776781615762758</v>
      </c>
    </row>
    <row r="67" spans="6:8">
      <c r="F67" t="s">
        <v>680</v>
      </c>
      <c r="G67">
        <v>2.9498106365179417</v>
      </c>
      <c r="H67">
        <v>33.8598376476114</v>
      </c>
    </row>
    <row r="68" spans="6:8">
      <c r="F68" t="s">
        <v>681</v>
      </c>
      <c r="G68">
        <v>3.3994708183802111</v>
      </c>
      <c r="H68">
        <v>33.8598376476114</v>
      </c>
    </row>
    <row r="69" spans="6:8">
      <c r="F69" t="s">
        <v>682</v>
      </c>
      <c r="G69">
        <v>2.5001504546556728</v>
      </c>
      <c r="H69">
        <v>34.309648404071794</v>
      </c>
    </row>
    <row r="70" spans="6:8">
      <c r="F70" t="s">
        <v>683</v>
      </c>
      <c r="G70">
        <v>2.9498106365179413</v>
      </c>
      <c r="H70">
        <v>34.309648404071794</v>
      </c>
    </row>
    <row r="71" spans="6:8">
      <c r="F71" t="s">
        <v>684</v>
      </c>
      <c r="G71">
        <v>2.9498106365179417</v>
      </c>
      <c r="H71">
        <v>34.759459160532202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54BBE-3569-4EE2-84D4-C66306D36898}">
  <dimension ref="B9:L71"/>
  <sheetViews>
    <sheetView workbookViewId="0"/>
  </sheetViews>
  <sheetFormatPr defaultRowHeight="14.25"/>
  <sheetData>
    <row r="9" spans="2:12">
      <c r="B9" t="s">
        <v>59</v>
      </c>
      <c r="F9" t="s">
        <v>59</v>
      </c>
      <c r="J9" t="s">
        <v>68</v>
      </c>
    </row>
    <row r="10" spans="2:12">
      <c r="B10" t="s">
        <v>48</v>
      </c>
      <c r="C10" t="s">
        <v>50</v>
      </c>
      <c r="D10" t="s">
        <v>60</v>
      </c>
      <c r="F10" t="s">
        <v>60</v>
      </c>
      <c r="G10" t="s">
        <v>48</v>
      </c>
      <c r="H10" t="s">
        <v>50</v>
      </c>
      <c r="J10" t="s">
        <v>48</v>
      </c>
      <c r="K10" t="s">
        <v>49</v>
      </c>
      <c r="L10" t="s">
        <v>50</v>
      </c>
    </row>
    <row r="11" spans="2:12">
      <c r="B11" t="s">
        <v>461</v>
      </c>
      <c r="C11" t="s">
        <v>462</v>
      </c>
      <c r="D11" t="s">
        <v>462</v>
      </c>
      <c r="F11" t="s">
        <v>462</v>
      </c>
      <c r="G11" t="s">
        <v>516</v>
      </c>
      <c r="H11" t="s">
        <v>517</v>
      </c>
      <c r="J11" t="s">
        <v>559</v>
      </c>
      <c r="K11" t="s">
        <v>560</v>
      </c>
      <c r="L11" t="s">
        <v>560</v>
      </c>
    </row>
    <row r="12" spans="2:12">
      <c r="B12" t="s">
        <v>461</v>
      </c>
      <c r="C12" t="s">
        <v>463</v>
      </c>
      <c r="D12" t="s">
        <v>463</v>
      </c>
      <c r="F12" t="s">
        <v>463</v>
      </c>
      <c r="G12" t="s">
        <v>516</v>
      </c>
      <c r="H12" t="s">
        <v>518</v>
      </c>
      <c r="J12" t="s">
        <v>559</v>
      </c>
      <c r="K12" t="s">
        <v>561</v>
      </c>
      <c r="L12" t="s">
        <v>561</v>
      </c>
    </row>
    <row r="13" spans="2:12">
      <c r="B13" t="s">
        <v>461</v>
      </c>
      <c r="C13" t="s">
        <v>464</v>
      </c>
      <c r="D13" t="s">
        <v>464</v>
      </c>
      <c r="F13" t="s">
        <v>464</v>
      </c>
      <c r="G13" t="s">
        <v>516</v>
      </c>
      <c r="H13" t="s">
        <v>519</v>
      </c>
      <c r="J13" t="s">
        <v>559</v>
      </c>
      <c r="K13" t="s">
        <v>562</v>
      </c>
      <c r="L13" t="s">
        <v>562</v>
      </c>
    </row>
    <row r="14" spans="2:12">
      <c r="B14" t="s">
        <v>461</v>
      </c>
      <c r="C14" t="s">
        <v>465</v>
      </c>
      <c r="D14" t="s">
        <v>465</v>
      </c>
      <c r="F14" t="s">
        <v>465</v>
      </c>
      <c r="G14" t="s">
        <v>516</v>
      </c>
      <c r="H14" t="s">
        <v>519</v>
      </c>
      <c r="J14" t="s">
        <v>559</v>
      </c>
      <c r="K14" t="s">
        <v>563</v>
      </c>
      <c r="L14" t="s">
        <v>563</v>
      </c>
    </row>
    <row r="15" spans="2:12">
      <c r="B15" t="s">
        <v>461</v>
      </c>
      <c r="C15" t="s">
        <v>466</v>
      </c>
      <c r="D15" t="s">
        <v>466</v>
      </c>
      <c r="F15" t="s">
        <v>466</v>
      </c>
      <c r="G15" t="s">
        <v>516</v>
      </c>
      <c r="H15" t="s">
        <v>520</v>
      </c>
      <c r="J15" t="s">
        <v>559</v>
      </c>
      <c r="K15" t="s">
        <v>564</v>
      </c>
      <c r="L15" t="s">
        <v>564</v>
      </c>
    </row>
    <row r="16" spans="2:12">
      <c r="B16" t="s">
        <v>461</v>
      </c>
      <c r="C16" t="s">
        <v>467</v>
      </c>
      <c r="D16" t="s">
        <v>467</v>
      </c>
      <c r="F16" t="s">
        <v>467</v>
      </c>
      <c r="G16" t="s">
        <v>516</v>
      </c>
      <c r="H16" t="s">
        <v>521</v>
      </c>
      <c r="J16" t="s">
        <v>559</v>
      </c>
      <c r="K16" t="s">
        <v>565</v>
      </c>
      <c r="L16" t="s">
        <v>565</v>
      </c>
    </row>
    <row r="17" spans="2:12">
      <c r="B17" t="s">
        <v>461</v>
      </c>
      <c r="C17" t="s">
        <v>468</v>
      </c>
      <c r="D17" t="s">
        <v>468</v>
      </c>
      <c r="F17" t="s">
        <v>468</v>
      </c>
      <c r="G17" t="s">
        <v>516</v>
      </c>
      <c r="H17" t="s">
        <v>522</v>
      </c>
      <c r="J17" t="s">
        <v>559</v>
      </c>
      <c r="K17" t="s">
        <v>566</v>
      </c>
      <c r="L17" t="s">
        <v>566</v>
      </c>
    </row>
    <row r="18" spans="2:12">
      <c r="B18" t="s">
        <v>461</v>
      </c>
      <c r="C18" t="s">
        <v>469</v>
      </c>
      <c r="D18" t="s">
        <v>469</v>
      </c>
      <c r="F18" t="s">
        <v>469</v>
      </c>
      <c r="G18" t="s">
        <v>516</v>
      </c>
      <c r="H18" t="s">
        <v>523</v>
      </c>
      <c r="J18" t="s">
        <v>559</v>
      </c>
      <c r="K18" t="s">
        <v>567</v>
      </c>
      <c r="L18" t="s">
        <v>567</v>
      </c>
    </row>
    <row r="19" spans="2:12">
      <c r="B19" t="s">
        <v>461</v>
      </c>
      <c r="C19" t="s">
        <v>470</v>
      </c>
      <c r="D19" t="s">
        <v>470</v>
      </c>
      <c r="F19" t="s">
        <v>470</v>
      </c>
      <c r="G19" t="s">
        <v>516</v>
      </c>
      <c r="H19" t="s">
        <v>524</v>
      </c>
      <c r="J19" t="s">
        <v>559</v>
      </c>
      <c r="K19" t="s">
        <v>568</v>
      </c>
      <c r="L19" t="s">
        <v>568</v>
      </c>
    </row>
    <row r="20" spans="2:12">
      <c r="B20" t="s">
        <v>461</v>
      </c>
      <c r="C20" t="s">
        <v>471</v>
      </c>
      <c r="D20" t="s">
        <v>471</v>
      </c>
      <c r="F20" t="s">
        <v>471</v>
      </c>
      <c r="G20" t="s">
        <v>516</v>
      </c>
      <c r="H20" t="s">
        <v>525</v>
      </c>
      <c r="J20" t="s">
        <v>559</v>
      </c>
      <c r="K20" t="s">
        <v>569</v>
      </c>
      <c r="L20" t="s">
        <v>569</v>
      </c>
    </row>
    <row r="21" spans="2:12">
      <c r="B21" t="s">
        <v>461</v>
      </c>
      <c r="C21" t="s">
        <v>472</v>
      </c>
      <c r="D21" t="s">
        <v>472</v>
      </c>
      <c r="F21" t="s">
        <v>472</v>
      </c>
      <c r="G21" t="s">
        <v>516</v>
      </c>
      <c r="H21" t="s">
        <v>526</v>
      </c>
      <c r="J21" t="s">
        <v>559</v>
      </c>
      <c r="K21" t="s">
        <v>570</v>
      </c>
      <c r="L21" t="s">
        <v>570</v>
      </c>
    </row>
    <row r="22" spans="2:12">
      <c r="B22" t="s">
        <v>461</v>
      </c>
      <c r="C22" t="s">
        <v>473</v>
      </c>
      <c r="D22" t="s">
        <v>473</v>
      </c>
      <c r="F22" t="s">
        <v>473</v>
      </c>
      <c r="G22" t="s">
        <v>516</v>
      </c>
      <c r="H22" t="s">
        <v>527</v>
      </c>
      <c r="J22" t="s">
        <v>559</v>
      </c>
      <c r="K22" t="s">
        <v>571</v>
      </c>
      <c r="L22" t="s">
        <v>571</v>
      </c>
    </row>
    <row r="23" spans="2:12">
      <c r="B23" t="s">
        <v>461</v>
      </c>
      <c r="C23" t="s">
        <v>474</v>
      </c>
      <c r="D23" t="s">
        <v>474</v>
      </c>
      <c r="F23" t="s">
        <v>474</v>
      </c>
      <c r="G23" t="s">
        <v>516</v>
      </c>
      <c r="H23" t="s">
        <v>528</v>
      </c>
      <c r="J23" t="s">
        <v>559</v>
      </c>
      <c r="K23" t="s">
        <v>572</v>
      </c>
      <c r="L23" t="s">
        <v>572</v>
      </c>
    </row>
    <row r="24" spans="2:12">
      <c r="B24" t="s">
        <v>461</v>
      </c>
      <c r="C24" t="s">
        <v>475</v>
      </c>
      <c r="D24" t="s">
        <v>475</v>
      </c>
      <c r="F24" t="s">
        <v>475</v>
      </c>
      <c r="G24" t="s">
        <v>516</v>
      </c>
      <c r="H24" t="s">
        <v>529</v>
      </c>
      <c r="J24" t="s">
        <v>559</v>
      </c>
      <c r="K24" t="s">
        <v>573</v>
      </c>
      <c r="L24" t="s">
        <v>573</v>
      </c>
    </row>
    <row r="25" spans="2:12">
      <c r="B25" t="s">
        <v>461</v>
      </c>
      <c r="C25" t="s">
        <v>476</v>
      </c>
      <c r="D25" t="s">
        <v>476</v>
      </c>
      <c r="F25" t="s">
        <v>476</v>
      </c>
      <c r="G25" t="s">
        <v>516</v>
      </c>
      <c r="H25" t="s">
        <v>530</v>
      </c>
      <c r="J25" t="s">
        <v>559</v>
      </c>
      <c r="K25" t="s">
        <v>574</v>
      </c>
      <c r="L25" t="s">
        <v>574</v>
      </c>
    </row>
    <row r="26" spans="2:12">
      <c r="B26" t="s">
        <v>461</v>
      </c>
      <c r="C26" t="s">
        <v>477</v>
      </c>
      <c r="D26" t="s">
        <v>477</v>
      </c>
      <c r="F26" t="s">
        <v>477</v>
      </c>
      <c r="G26" t="s">
        <v>516</v>
      </c>
      <c r="H26" t="s">
        <v>531</v>
      </c>
      <c r="J26" t="s">
        <v>559</v>
      </c>
      <c r="K26" t="s">
        <v>575</v>
      </c>
      <c r="L26" t="s">
        <v>575</v>
      </c>
    </row>
    <row r="27" spans="2:12">
      <c r="B27" t="s">
        <v>461</v>
      </c>
      <c r="C27" t="s">
        <v>478</v>
      </c>
      <c r="D27" t="s">
        <v>478</v>
      </c>
      <c r="F27" t="s">
        <v>478</v>
      </c>
      <c r="G27" t="s">
        <v>516</v>
      </c>
      <c r="H27" t="s">
        <v>532</v>
      </c>
      <c r="J27" t="s">
        <v>559</v>
      </c>
      <c r="K27" t="s">
        <v>576</v>
      </c>
      <c r="L27" t="s">
        <v>576</v>
      </c>
    </row>
    <row r="28" spans="2:12">
      <c r="B28" t="s">
        <v>461</v>
      </c>
      <c r="C28" t="s">
        <v>479</v>
      </c>
      <c r="D28" t="s">
        <v>479</v>
      </c>
      <c r="F28" t="s">
        <v>479</v>
      </c>
      <c r="G28" t="s">
        <v>516</v>
      </c>
      <c r="H28" t="s">
        <v>533</v>
      </c>
      <c r="J28" t="s">
        <v>559</v>
      </c>
      <c r="K28" t="s">
        <v>577</v>
      </c>
      <c r="L28" t="s">
        <v>577</v>
      </c>
    </row>
    <row r="29" spans="2:12">
      <c r="B29" t="s">
        <v>461</v>
      </c>
      <c r="C29" t="s">
        <v>480</v>
      </c>
      <c r="D29" t="s">
        <v>480</v>
      </c>
      <c r="F29" t="s">
        <v>480</v>
      </c>
      <c r="G29" t="s">
        <v>516</v>
      </c>
      <c r="H29" t="s">
        <v>517</v>
      </c>
      <c r="J29" t="s">
        <v>559</v>
      </c>
      <c r="K29" t="s">
        <v>578</v>
      </c>
      <c r="L29" t="s">
        <v>578</v>
      </c>
    </row>
    <row r="30" spans="2:12">
      <c r="B30" t="s">
        <v>461</v>
      </c>
      <c r="C30" t="s">
        <v>481</v>
      </c>
      <c r="D30" t="s">
        <v>481</v>
      </c>
      <c r="F30" t="s">
        <v>481</v>
      </c>
      <c r="G30" t="s">
        <v>516</v>
      </c>
      <c r="H30" t="s">
        <v>517</v>
      </c>
      <c r="J30" t="s">
        <v>559</v>
      </c>
      <c r="K30" t="s">
        <v>579</v>
      </c>
      <c r="L30" t="s">
        <v>579</v>
      </c>
    </row>
    <row r="31" spans="2:12">
      <c r="B31" t="s">
        <v>461</v>
      </c>
      <c r="C31" t="s">
        <v>482</v>
      </c>
      <c r="D31" t="s">
        <v>482</v>
      </c>
      <c r="F31" t="s">
        <v>482</v>
      </c>
      <c r="G31" t="s">
        <v>516</v>
      </c>
      <c r="H31" t="s">
        <v>534</v>
      </c>
      <c r="J31" t="s">
        <v>559</v>
      </c>
      <c r="K31" t="s">
        <v>580</v>
      </c>
      <c r="L31" t="s">
        <v>580</v>
      </c>
    </row>
    <row r="32" spans="2:12">
      <c r="B32" t="s">
        <v>461</v>
      </c>
      <c r="C32" t="s">
        <v>483</v>
      </c>
      <c r="D32" t="s">
        <v>483</v>
      </c>
      <c r="F32" t="s">
        <v>483</v>
      </c>
      <c r="G32" t="s">
        <v>516</v>
      </c>
      <c r="H32" t="s">
        <v>535</v>
      </c>
      <c r="J32" t="s">
        <v>559</v>
      </c>
      <c r="K32" t="s">
        <v>581</v>
      </c>
      <c r="L32" t="s">
        <v>581</v>
      </c>
    </row>
    <row r="33" spans="2:12">
      <c r="B33" t="s">
        <v>461</v>
      </c>
      <c r="C33" t="s">
        <v>484</v>
      </c>
      <c r="D33" t="s">
        <v>484</v>
      </c>
      <c r="F33" t="s">
        <v>484</v>
      </c>
      <c r="G33" t="s">
        <v>516</v>
      </c>
      <c r="H33" t="s">
        <v>536</v>
      </c>
      <c r="J33" t="s">
        <v>559</v>
      </c>
      <c r="K33" t="s">
        <v>582</v>
      </c>
      <c r="L33" t="s">
        <v>582</v>
      </c>
    </row>
    <row r="34" spans="2:12">
      <c r="B34" t="s">
        <v>461</v>
      </c>
      <c r="C34" t="s">
        <v>485</v>
      </c>
      <c r="D34" t="s">
        <v>485</v>
      </c>
      <c r="F34" t="s">
        <v>485</v>
      </c>
      <c r="G34" t="s">
        <v>516</v>
      </c>
      <c r="H34" t="s">
        <v>537</v>
      </c>
      <c r="J34" t="s">
        <v>559</v>
      </c>
      <c r="K34" t="s">
        <v>583</v>
      </c>
      <c r="L34" t="s">
        <v>583</v>
      </c>
    </row>
    <row r="35" spans="2:12">
      <c r="B35" t="s">
        <v>461</v>
      </c>
      <c r="C35" t="s">
        <v>486</v>
      </c>
      <c r="D35" t="s">
        <v>486</v>
      </c>
      <c r="F35" t="s">
        <v>486</v>
      </c>
      <c r="G35" t="s">
        <v>516</v>
      </c>
      <c r="H35" t="s">
        <v>538</v>
      </c>
      <c r="J35" t="s">
        <v>559</v>
      </c>
      <c r="K35" t="s">
        <v>584</v>
      </c>
      <c r="L35" t="s">
        <v>584</v>
      </c>
    </row>
    <row r="36" spans="2:12">
      <c r="B36" t="s">
        <v>461</v>
      </c>
      <c r="C36" t="s">
        <v>487</v>
      </c>
      <c r="D36" t="s">
        <v>487</v>
      </c>
      <c r="F36" t="s">
        <v>487</v>
      </c>
      <c r="G36" t="s">
        <v>516</v>
      </c>
      <c r="H36" t="s">
        <v>539</v>
      </c>
      <c r="J36" t="s">
        <v>559</v>
      </c>
      <c r="K36" t="s">
        <v>585</v>
      </c>
      <c r="L36" t="s">
        <v>585</v>
      </c>
    </row>
    <row r="37" spans="2:12">
      <c r="B37" t="s">
        <v>461</v>
      </c>
      <c r="C37" t="s">
        <v>488</v>
      </c>
      <c r="D37" t="s">
        <v>488</v>
      </c>
      <c r="F37" t="s">
        <v>488</v>
      </c>
      <c r="G37" t="s">
        <v>516</v>
      </c>
      <c r="H37" t="s">
        <v>526</v>
      </c>
      <c r="J37" t="s">
        <v>559</v>
      </c>
      <c r="K37" t="s">
        <v>586</v>
      </c>
      <c r="L37" t="s">
        <v>586</v>
      </c>
    </row>
    <row r="38" spans="2:12">
      <c r="B38" t="s">
        <v>461</v>
      </c>
      <c r="C38" t="s">
        <v>489</v>
      </c>
      <c r="D38" t="s">
        <v>489</v>
      </c>
      <c r="F38" t="s">
        <v>489</v>
      </c>
      <c r="G38" t="s">
        <v>516</v>
      </c>
      <c r="H38" t="s">
        <v>517</v>
      </c>
      <c r="J38" t="s">
        <v>559</v>
      </c>
      <c r="K38" t="s">
        <v>587</v>
      </c>
      <c r="L38" t="s">
        <v>587</v>
      </c>
    </row>
    <row r="39" spans="2:12">
      <c r="B39" t="s">
        <v>461</v>
      </c>
      <c r="C39" t="s">
        <v>490</v>
      </c>
      <c r="D39" t="s">
        <v>490</v>
      </c>
      <c r="F39" t="s">
        <v>490</v>
      </c>
      <c r="G39" t="s">
        <v>516</v>
      </c>
      <c r="H39" t="s">
        <v>540</v>
      </c>
      <c r="J39" t="s">
        <v>559</v>
      </c>
      <c r="K39" t="s">
        <v>588</v>
      </c>
      <c r="L39" t="s">
        <v>588</v>
      </c>
    </row>
    <row r="40" spans="2:12">
      <c r="B40" t="s">
        <v>461</v>
      </c>
      <c r="C40" t="s">
        <v>491</v>
      </c>
      <c r="D40" t="s">
        <v>491</v>
      </c>
      <c r="F40" t="s">
        <v>491</v>
      </c>
      <c r="G40" t="s">
        <v>516</v>
      </c>
      <c r="H40" t="s">
        <v>539</v>
      </c>
      <c r="J40" t="s">
        <v>559</v>
      </c>
      <c r="K40" t="s">
        <v>589</v>
      </c>
      <c r="L40" t="s">
        <v>589</v>
      </c>
    </row>
    <row r="41" spans="2:12">
      <c r="B41" t="s">
        <v>461</v>
      </c>
      <c r="C41" t="s">
        <v>492</v>
      </c>
      <c r="D41" t="s">
        <v>492</v>
      </c>
      <c r="F41" t="s">
        <v>492</v>
      </c>
      <c r="G41" t="s">
        <v>516</v>
      </c>
      <c r="H41" t="s">
        <v>518</v>
      </c>
      <c r="J41" t="s">
        <v>559</v>
      </c>
      <c r="K41" t="s">
        <v>590</v>
      </c>
      <c r="L41" t="s">
        <v>590</v>
      </c>
    </row>
    <row r="42" spans="2:12">
      <c r="B42" t="s">
        <v>461</v>
      </c>
      <c r="C42" t="s">
        <v>493</v>
      </c>
      <c r="D42" t="s">
        <v>493</v>
      </c>
      <c r="F42" t="s">
        <v>493</v>
      </c>
      <c r="G42" t="s">
        <v>516</v>
      </c>
      <c r="H42" t="s">
        <v>527</v>
      </c>
      <c r="J42" t="s">
        <v>559</v>
      </c>
      <c r="K42" t="s">
        <v>591</v>
      </c>
      <c r="L42" t="s">
        <v>591</v>
      </c>
    </row>
    <row r="43" spans="2:12">
      <c r="B43" t="s">
        <v>461</v>
      </c>
      <c r="C43" t="s">
        <v>494</v>
      </c>
      <c r="D43" t="s">
        <v>494</v>
      </c>
      <c r="F43" t="s">
        <v>494</v>
      </c>
      <c r="G43" t="s">
        <v>516</v>
      </c>
      <c r="H43" t="s">
        <v>541</v>
      </c>
      <c r="J43" t="s">
        <v>559</v>
      </c>
      <c r="K43" t="s">
        <v>592</v>
      </c>
      <c r="L43" t="s">
        <v>592</v>
      </c>
    </row>
    <row r="44" spans="2:12">
      <c r="B44" t="s">
        <v>461</v>
      </c>
      <c r="C44" t="s">
        <v>495</v>
      </c>
      <c r="D44" t="s">
        <v>495</v>
      </c>
      <c r="F44" t="s">
        <v>495</v>
      </c>
      <c r="G44" t="s">
        <v>516</v>
      </c>
      <c r="H44" t="s">
        <v>542</v>
      </c>
      <c r="J44" t="s">
        <v>559</v>
      </c>
      <c r="K44" t="s">
        <v>593</v>
      </c>
      <c r="L44" t="s">
        <v>593</v>
      </c>
    </row>
    <row r="45" spans="2:12">
      <c r="B45" t="s">
        <v>461</v>
      </c>
      <c r="C45" t="s">
        <v>496</v>
      </c>
      <c r="D45" t="s">
        <v>496</v>
      </c>
      <c r="F45" t="s">
        <v>496</v>
      </c>
      <c r="G45" t="s">
        <v>516</v>
      </c>
      <c r="H45" t="s">
        <v>543</v>
      </c>
      <c r="J45" t="s">
        <v>559</v>
      </c>
      <c r="K45" t="s">
        <v>594</v>
      </c>
      <c r="L45" t="s">
        <v>594</v>
      </c>
    </row>
    <row r="46" spans="2:12">
      <c r="B46" t="s">
        <v>461</v>
      </c>
      <c r="C46" t="s">
        <v>497</v>
      </c>
      <c r="D46" t="s">
        <v>497</v>
      </c>
      <c r="F46" t="s">
        <v>497</v>
      </c>
      <c r="G46" t="s">
        <v>516</v>
      </c>
      <c r="H46" t="s">
        <v>544</v>
      </c>
      <c r="J46" t="s">
        <v>559</v>
      </c>
      <c r="K46" t="s">
        <v>595</v>
      </c>
      <c r="L46" t="s">
        <v>595</v>
      </c>
    </row>
    <row r="47" spans="2:12">
      <c r="B47" t="s">
        <v>461</v>
      </c>
      <c r="C47" t="s">
        <v>498</v>
      </c>
      <c r="D47" t="s">
        <v>498</v>
      </c>
      <c r="F47" t="s">
        <v>498</v>
      </c>
      <c r="G47" t="s">
        <v>516</v>
      </c>
      <c r="H47" t="s">
        <v>522</v>
      </c>
      <c r="J47" t="s">
        <v>559</v>
      </c>
      <c r="K47" t="s">
        <v>596</v>
      </c>
      <c r="L47" t="s">
        <v>596</v>
      </c>
    </row>
    <row r="48" spans="2:12">
      <c r="B48" t="s">
        <v>461</v>
      </c>
      <c r="C48" t="s">
        <v>499</v>
      </c>
      <c r="D48" t="s">
        <v>499</v>
      </c>
      <c r="F48" t="s">
        <v>499</v>
      </c>
      <c r="G48" t="s">
        <v>516</v>
      </c>
      <c r="H48" t="s">
        <v>545</v>
      </c>
      <c r="J48" t="s">
        <v>559</v>
      </c>
      <c r="K48" t="s">
        <v>597</v>
      </c>
      <c r="L48" t="s">
        <v>597</v>
      </c>
    </row>
    <row r="49" spans="2:12">
      <c r="B49" t="s">
        <v>461</v>
      </c>
      <c r="C49" t="s">
        <v>500</v>
      </c>
      <c r="D49" t="s">
        <v>500</v>
      </c>
      <c r="F49" t="s">
        <v>500</v>
      </c>
      <c r="G49" t="s">
        <v>516</v>
      </c>
      <c r="H49" t="s">
        <v>546</v>
      </c>
      <c r="J49" t="s">
        <v>559</v>
      </c>
      <c r="K49" t="s">
        <v>598</v>
      </c>
      <c r="L49" t="s">
        <v>598</v>
      </c>
    </row>
    <row r="50" spans="2:12">
      <c r="B50" t="s">
        <v>461</v>
      </c>
      <c r="C50" t="s">
        <v>501</v>
      </c>
      <c r="D50" t="s">
        <v>501</v>
      </c>
      <c r="F50" t="s">
        <v>501</v>
      </c>
      <c r="G50" t="s">
        <v>516</v>
      </c>
      <c r="H50" t="s">
        <v>527</v>
      </c>
      <c r="J50" t="s">
        <v>559</v>
      </c>
      <c r="K50" t="s">
        <v>599</v>
      </c>
      <c r="L50" t="s">
        <v>599</v>
      </c>
    </row>
    <row r="51" spans="2:12">
      <c r="B51" t="s">
        <v>461</v>
      </c>
      <c r="C51" t="s">
        <v>502</v>
      </c>
      <c r="D51" t="s">
        <v>502</v>
      </c>
      <c r="F51" t="s">
        <v>502</v>
      </c>
      <c r="G51" t="s">
        <v>516</v>
      </c>
      <c r="H51" t="s">
        <v>547</v>
      </c>
      <c r="J51" t="s">
        <v>559</v>
      </c>
      <c r="K51" t="s">
        <v>600</v>
      </c>
      <c r="L51" t="s">
        <v>600</v>
      </c>
    </row>
    <row r="52" spans="2:12">
      <c r="B52" t="s">
        <v>461</v>
      </c>
      <c r="C52" t="s">
        <v>503</v>
      </c>
      <c r="D52" t="s">
        <v>503</v>
      </c>
      <c r="F52" t="s">
        <v>503</v>
      </c>
      <c r="G52" t="s">
        <v>516</v>
      </c>
      <c r="H52" t="s">
        <v>548</v>
      </c>
      <c r="J52" t="s">
        <v>559</v>
      </c>
      <c r="K52" t="s">
        <v>601</v>
      </c>
      <c r="L52" t="s">
        <v>601</v>
      </c>
    </row>
    <row r="53" spans="2:12">
      <c r="B53" t="s">
        <v>461</v>
      </c>
      <c r="C53" t="s">
        <v>504</v>
      </c>
      <c r="D53" t="s">
        <v>504</v>
      </c>
      <c r="F53" t="s">
        <v>504</v>
      </c>
      <c r="G53" t="s">
        <v>516</v>
      </c>
      <c r="H53" t="s">
        <v>549</v>
      </c>
      <c r="J53" t="s">
        <v>559</v>
      </c>
      <c r="K53" t="s">
        <v>602</v>
      </c>
      <c r="L53" t="s">
        <v>602</v>
      </c>
    </row>
    <row r="54" spans="2:12">
      <c r="B54" t="s">
        <v>461</v>
      </c>
      <c r="C54" t="s">
        <v>505</v>
      </c>
      <c r="D54" t="s">
        <v>505</v>
      </c>
      <c r="F54" t="s">
        <v>505</v>
      </c>
      <c r="G54" t="s">
        <v>516</v>
      </c>
      <c r="H54" t="s">
        <v>550</v>
      </c>
      <c r="J54" t="s">
        <v>559</v>
      </c>
      <c r="K54" t="s">
        <v>603</v>
      </c>
      <c r="L54" t="s">
        <v>603</v>
      </c>
    </row>
    <row r="55" spans="2:12">
      <c r="B55" t="s">
        <v>461</v>
      </c>
      <c r="C55" t="s">
        <v>506</v>
      </c>
      <c r="D55" t="s">
        <v>506</v>
      </c>
      <c r="F55" t="s">
        <v>506</v>
      </c>
      <c r="G55" t="s">
        <v>516</v>
      </c>
      <c r="H55" t="s">
        <v>551</v>
      </c>
      <c r="J55" t="s">
        <v>559</v>
      </c>
      <c r="K55" t="s">
        <v>604</v>
      </c>
      <c r="L55" t="s">
        <v>604</v>
      </c>
    </row>
    <row r="56" spans="2:12">
      <c r="B56" t="s">
        <v>461</v>
      </c>
      <c r="C56" t="s">
        <v>507</v>
      </c>
      <c r="D56" t="s">
        <v>507</v>
      </c>
      <c r="F56" t="s">
        <v>507</v>
      </c>
      <c r="G56" t="s">
        <v>516</v>
      </c>
      <c r="H56" t="s">
        <v>552</v>
      </c>
      <c r="J56" t="s">
        <v>559</v>
      </c>
      <c r="K56" t="s">
        <v>605</v>
      </c>
      <c r="L56" t="s">
        <v>605</v>
      </c>
    </row>
    <row r="57" spans="2:12">
      <c r="B57" t="s">
        <v>461</v>
      </c>
      <c r="C57" t="s">
        <v>508</v>
      </c>
      <c r="D57" t="s">
        <v>508</v>
      </c>
      <c r="F57" t="s">
        <v>508</v>
      </c>
      <c r="G57" t="s">
        <v>516</v>
      </c>
      <c r="H57" t="s">
        <v>553</v>
      </c>
      <c r="J57" t="s">
        <v>559</v>
      </c>
      <c r="K57" t="s">
        <v>606</v>
      </c>
      <c r="L57" t="s">
        <v>606</v>
      </c>
    </row>
    <row r="58" spans="2:12">
      <c r="B58" t="s">
        <v>461</v>
      </c>
      <c r="C58" t="s">
        <v>509</v>
      </c>
      <c r="D58" t="s">
        <v>509</v>
      </c>
      <c r="F58" t="s">
        <v>509</v>
      </c>
      <c r="G58" t="s">
        <v>516</v>
      </c>
      <c r="H58" t="s">
        <v>528</v>
      </c>
      <c r="J58" t="s">
        <v>559</v>
      </c>
      <c r="K58" t="s">
        <v>607</v>
      </c>
      <c r="L58" t="s">
        <v>607</v>
      </c>
    </row>
    <row r="59" spans="2:12">
      <c r="B59" t="s">
        <v>461</v>
      </c>
      <c r="C59" t="s">
        <v>510</v>
      </c>
      <c r="D59" t="s">
        <v>510</v>
      </c>
      <c r="F59" t="s">
        <v>510</v>
      </c>
      <c r="G59" t="s">
        <v>516</v>
      </c>
      <c r="H59" t="s">
        <v>554</v>
      </c>
      <c r="J59" t="s">
        <v>559</v>
      </c>
      <c r="K59" t="s">
        <v>608</v>
      </c>
      <c r="L59" t="s">
        <v>608</v>
      </c>
    </row>
    <row r="60" spans="2:12">
      <c r="B60" t="s">
        <v>461</v>
      </c>
      <c r="C60" t="s">
        <v>511</v>
      </c>
      <c r="D60" t="s">
        <v>511</v>
      </c>
      <c r="F60" t="s">
        <v>511</v>
      </c>
      <c r="G60" t="s">
        <v>516</v>
      </c>
      <c r="H60" t="s">
        <v>547</v>
      </c>
      <c r="J60" t="s">
        <v>559</v>
      </c>
      <c r="K60" t="s">
        <v>609</v>
      </c>
      <c r="L60" t="s">
        <v>609</v>
      </c>
    </row>
    <row r="61" spans="2:12">
      <c r="B61" t="s">
        <v>461</v>
      </c>
      <c r="C61" t="s">
        <v>512</v>
      </c>
      <c r="D61" t="s">
        <v>512</v>
      </c>
      <c r="F61" t="s">
        <v>512</v>
      </c>
      <c r="G61" t="s">
        <v>516</v>
      </c>
      <c r="H61" t="s">
        <v>555</v>
      </c>
      <c r="J61" t="s">
        <v>559</v>
      </c>
      <c r="K61" t="s">
        <v>610</v>
      </c>
      <c r="L61" t="s">
        <v>610</v>
      </c>
    </row>
    <row r="62" spans="2:12">
      <c r="B62" t="s">
        <v>461</v>
      </c>
      <c r="C62" t="s">
        <v>513</v>
      </c>
      <c r="D62" t="s">
        <v>513</v>
      </c>
      <c r="F62" t="s">
        <v>513</v>
      </c>
      <c r="G62" t="s">
        <v>516</v>
      </c>
      <c r="H62" t="s">
        <v>556</v>
      </c>
      <c r="J62" t="s">
        <v>559</v>
      </c>
      <c r="K62" t="s">
        <v>611</v>
      </c>
      <c r="L62" t="s">
        <v>611</v>
      </c>
    </row>
    <row r="63" spans="2:12">
      <c r="B63" t="s">
        <v>461</v>
      </c>
      <c r="C63" t="s">
        <v>514</v>
      </c>
      <c r="D63" t="s">
        <v>514</v>
      </c>
      <c r="F63" t="s">
        <v>514</v>
      </c>
      <c r="G63" t="s">
        <v>516</v>
      </c>
      <c r="H63" t="s">
        <v>557</v>
      </c>
      <c r="J63" t="s">
        <v>559</v>
      </c>
      <c r="K63" t="s">
        <v>612</v>
      </c>
      <c r="L63" t="s">
        <v>612</v>
      </c>
    </row>
    <row r="64" spans="2:12">
      <c r="B64" t="s">
        <v>461</v>
      </c>
      <c r="C64" t="s">
        <v>515</v>
      </c>
      <c r="D64" t="s">
        <v>515</v>
      </c>
      <c r="F64" t="s">
        <v>515</v>
      </c>
      <c r="G64" t="s">
        <v>516</v>
      </c>
      <c r="H64" t="s">
        <v>558</v>
      </c>
      <c r="J64" t="s">
        <v>559</v>
      </c>
      <c r="K64" t="s">
        <v>613</v>
      </c>
      <c r="L64" t="s">
        <v>613</v>
      </c>
    </row>
    <row r="65" spans="10:12">
      <c r="J65" t="s">
        <v>559</v>
      </c>
      <c r="K65" t="s">
        <v>614</v>
      </c>
      <c r="L65" t="s">
        <v>614</v>
      </c>
    </row>
    <row r="66" spans="10:12">
      <c r="J66" t="s">
        <v>559</v>
      </c>
      <c r="K66" t="s">
        <v>615</v>
      </c>
      <c r="L66" t="s">
        <v>615</v>
      </c>
    </row>
    <row r="67" spans="10:12">
      <c r="J67" t="s">
        <v>559</v>
      </c>
      <c r="K67" t="s">
        <v>616</v>
      </c>
      <c r="L67" t="s">
        <v>616</v>
      </c>
    </row>
    <row r="68" spans="10:12">
      <c r="J68" t="s">
        <v>559</v>
      </c>
      <c r="K68" t="s">
        <v>617</v>
      </c>
      <c r="L68" t="s">
        <v>617</v>
      </c>
    </row>
    <row r="69" spans="10:12">
      <c r="J69" t="s">
        <v>559</v>
      </c>
      <c r="K69" t="s">
        <v>618</v>
      </c>
      <c r="L69" t="s">
        <v>618</v>
      </c>
    </row>
    <row r="70" spans="10:12">
      <c r="J70" t="s">
        <v>559</v>
      </c>
      <c r="K70" t="s">
        <v>619</v>
      </c>
      <c r="L70" t="s">
        <v>619</v>
      </c>
    </row>
    <row r="71" spans="10:12">
      <c r="J71" t="s">
        <v>559</v>
      </c>
      <c r="K71" t="s">
        <v>620</v>
      </c>
      <c r="L71" t="s">
        <v>620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23" activePane="bottomLeft" state="frozen"/>
      <selection pane="bottomLeft" activeCell="B54" sqref="B54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59</v>
      </c>
    </row>
    <row r="2" spans="1:7" ht="15" thickTop="1" thickBot="1">
      <c r="A2" s="6" t="s">
        <v>48</v>
      </c>
      <c r="B2" s="6" t="s">
        <v>49</v>
      </c>
      <c r="C2" s="6" t="s">
        <v>50</v>
      </c>
      <c r="D2" s="6" t="s">
        <v>60</v>
      </c>
      <c r="E2" s="6" t="s">
        <v>61</v>
      </c>
      <c r="F2" s="6" t="s">
        <v>62</v>
      </c>
      <c r="G2" s="6" t="s">
        <v>63</v>
      </c>
    </row>
    <row r="3" spans="1:7">
      <c r="A3" t="s">
        <v>112</v>
      </c>
      <c r="B3" t="s">
        <v>113</v>
      </c>
      <c r="C3" t="s">
        <v>114</v>
      </c>
    </row>
    <row r="4" spans="1:7">
      <c r="A4" t="s">
        <v>112</v>
      </c>
      <c r="B4" t="s">
        <v>115</v>
      </c>
      <c r="C4" t="s">
        <v>116</v>
      </c>
    </row>
    <row r="5" spans="1:7">
      <c r="A5" t="s">
        <v>64</v>
      </c>
      <c r="C5" t="str">
        <f>D5</f>
        <v>CCGT</v>
      </c>
      <c r="D5" t="s">
        <v>80</v>
      </c>
    </row>
    <row r="6" spans="1:7">
      <c r="A6" t="s">
        <v>64</v>
      </c>
      <c r="C6" t="str">
        <f t="shared" ref="C6:C49" si="0">D6</f>
        <v>Int Comb</v>
      </c>
      <c r="D6" t="s">
        <v>81</v>
      </c>
    </row>
    <row r="7" spans="1:7">
      <c r="A7" t="s">
        <v>64</v>
      </c>
      <c r="C7" t="str">
        <f t="shared" si="0"/>
        <v>Gas_Oil Steam</v>
      </c>
      <c r="D7" t="s">
        <v>82</v>
      </c>
    </row>
    <row r="8" spans="1:7">
      <c r="A8" t="s">
        <v>64</v>
      </c>
      <c r="C8" t="str">
        <f t="shared" si="0"/>
        <v>OCGT (Peaker)</v>
      </c>
      <c r="D8" t="s">
        <v>83</v>
      </c>
    </row>
    <row r="9" spans="1:7">
      <c r="A9" t="s">
        <v>64</v>
      </c>
      <c r="C9" t="str">
        <f t="shared" si="0"/>
        <v>Subcritical Coal</v>
      </c>
      <c r="D9" t="s">
        <v>84</v>
      </c>
    </row>
    <row r="10" spans="1:7">
      <c r="A10" t="s">
        <v>64</v>
      </c>
      <c r="C10" t="str">
        <f t="shared" si="0"/>
        <v>Supercritical Coal</v>
      </c>
      <c r="D10" t="s">
        <v>85</v>
      </c>
    </row>
    <row r="11" spans="1:7">
      <c r="A11" t="s">
        <v>64</v>
      </c>
      <c r="C11" t="str">
        <f t="shared" si="0"/>
        <v>IGCC</v>
      </c>
      <c r="D11" t="s">
        <v>86</v>
      </c>
    </row>
    <row r="12" spans="1:7">
      <c r="A12" t="s">
        <v>64</v>
      </c>
      <c r="C12" t="str">
        <f t="shared" si="0"/>
        <v>Bio Power</v>
      </c>
      <c r="D12" t="s">
        <v>177</v>
      </c>
    </row>
    <row r="13" spans="1:7">
      <c r="A13" t="s">
        <v>64</v>
      </c>
      <c r="C13" t="str">
        <f t="shared" si="0"/>
        <v>Solar Util</v>
      </c>
      <c r="D13" t="s">
        <v>178</v>
      </c>
    </row>
    <row r="14" spans="1:7">
      <c r="A14" t="s">
        <v>64</v>
      </c>
      <c r="C14" t="str">
        <f t="shared" si="0"/>
        <v>Wind onshore</v>
      </c>
      <c r="D14" t="s">
        <v>87</v>
      </c>
    </row>
    <row r="15" spans="1:7">
      <c r="A15" t="s">
        <v>64</v>
      </c>
      <c r="C15" t="str">
        <f t="shared" si="0"/>
        <v>Wind offshore</v>
      </c>
      <c r="D15" t="s">
        <v>88</v>
      </c>
    </row>
    <row r="16" spans="1:7">
      <c r="A16" t="s">
        <v>64</v>
      </c>
      <c r="C16" t="str">
        <f t="shared" si="0"/>
        <v>Geothermal P</v>
      </c>
      <c r="D16" t="s">
        <v>179</v>
      </c>
    </row>
    <row r="17" spans="1:4">
      <c r="A17" t="s">
        <v>64</v>
      </c>
      <c r="C17" t="str">
        <f t="shared" si="0"/>
        <v>Hydro Dam</v>
      </c>
      <c r="D17" t="s">
        <v>183</v>
      </c>
    </row>
    <row r="18" spans="1:4">
      <c r="A18" t="s">
        <v>64</v>
      </c>
      <c r="C18" t="str">
        <f t="shared" si="0"/>
        <v>Hydro RoR</v>
      </c>
      <c r="D18" t="s">
        <v>180</v>
      </c>
    </row>
    <row r="19" spans="1:4">
      <c r="A19" t="s">
        <v>64</v>
      </c>
      <c r="C19" t="str">
        <f t="shared" si="0"/>
        <v>Nuclear P</v>
      </c>
      <c r="D19" t="s">
        <v>181</v>
      </c>
    </row>
    <row r="20" spans="1:4">
      <c r="A20" t="s">
        <v>64</v>
      </c>
      <c r="C20" t="str">
        <f t="shared" si="0"/>
        <v>Nuclear SMR</v>
      </c>
      <c r="D20" t="s">
        <v>182</v>
      </c>
    </row>
    <row r="21" spans="1:4">
      <c r="A21" t="s">
        <v>64</v>
      </c>
      <c r="C21" t="str">
        <f t="shared" si="0"/>
        <v>Hydro pumped stg</v>
      </c>
      <c r="D21" t="s">
        <v>89</v>
      </c>
    </row>
    <row r="22" spans="1:4">
      <c r="A22" t="s">
        <v>64</v>
      </c>
      <c r="C22" t="str">
        <f t="shared" si="0"/>
        <v>Util Batt Stg</v>
      </c>
      <c r="D22" t="s">
        <v>90</v>
      </c>
    </row>
    <row r="23" spans="1:4">
      <c r="A23" t="s">
        <v>64</v>
      </c>
      <c r="C23" t="str">
        <f t="shared" si="0"/>
        <v>EV Batt</v>
      </c>
      <c r="D23" t="s">
        <v>91</v>
      </c>
    </row>
    <row r="24" spans="1:4">
      <c r="A24" t="s">
        <v>64</v>
      </c>
      <c r="C24" t="str">
        <f t="shared" si="0"/>
        <v>Demand</v>
      </c>
      <c r="D24" t="s">
        <v>144</v>
      </c>
    </row>
    <row r="25" spans="1:4">
      <c r="A25" t="s">
        <v>64</v>
      </c>
      <c r="C25" t="str">
        <f t="shared" si="0"/>
        <v>Transformers Dn</v>
      </c>
      <c r="D25" t="s">
        <v>210</v>
      </c>
    </row>
    <row r="26" spans="1:4">
      <c r="A26" t="s">
        <v>64</v>
      </c>
      <c r="C26" t="str">
        <f t="shared" si="0"/>
        <v>Transformers Up</v>
      </c>
      <c r="D26" t="s">
        <v>211</v>
      </c>
    </row>
    <row r="27" spans="1:4">
      <c r="A27" t="s">
        <v>64</v>
      </c>
      <c r="C27" t="str">
        <f t="shared" si="0"/>
        <v>Grid-220V</v>
      </c>
      <c r="D27" t="s">
        <v>187</v>
      </c>
    </row>
    <row r="28" spans="1:4">
      <c r="A28" t="s">
        <v>64</v>
      </c>
      <c r="C28" t="str">
        <f t="shared" si="0"/>
        <v>Grid-400V</v>
      </c>
      <c r="D28" t="s">
        <v>188</v>
      </c>
    </row>
    <row r="29" spans="1:4">
      <c r="A29" t="s">
        <v>64</v>
      </c>
      <c r="C29" t="str">
        <f t="shared" si="0"/>
        <v>Grid-380V</v>
      </c>
      <c r="D29" t="s">
        <v>189</v>
      </c>
    </row>
    <row r="30" spans="1:4">
      <c r="A30" t="s">
        <v>64</v>
      </c>
      <c r="C30" t="str">
        <f t="shared" si="0"/>
        <v>Grid-225V</v>
      </c>
      <c r="D30" t="s">
        <v>190</v>
      </c>
    </row>
    <row r="31" spans="1:4">
      <c r="A31" t="s">
        <v>64</v>
      </c>
      <c r="C31" t="str">
        <f t="shared" si="0"/>
        <v>Grid-330V</v>
      </c>
      <c r="D31" t="s">
        <v>191</v>
      </c>
    </row>
    <row r="32" spans="1:4">
      <c r="A32" t="s">
        <v>64</v>
      </c>
      <c r="C32" t="str">
        <f t="shared" si="0"/>
        <v>Grid-275V</v>
      </c>
      <c r="D32" t="s">
        <v>192</v>
      </c>
    </row>
    <row r="33" spans="1:4">
      <c r="A33" t="s">
        <v>64</v>
      </c>
      <c r="C33" t="str">
        <f t="shared" si="0"/>
        <v>Grid-420V</v>
      </c>
      <c r="D33" t="s">
        <v>193</v>
      </c>
    </row>
    <row r="34" spans="1:4">
      <c r="A34" t="s">
        <v>64</v>
      </c>
      <c r="C34" t="str">
        <f t="shared" si="0"/>
        <v>Grid-300V</v>
      </c>
      <c r="D34" t="s">
        <v>194</v>
      </c>
    </row>
    <row r="35" spans="1:4">
      <c r="A35" t="s">
        <v>64</v>
      </c>
      <c r="C35" t="str">
        <f t="shared" si="0"/>
        <v>Grid-500V</v>
      </c>
      <c r="D35" t="s">
        <v>195</v>
      </c>
    </row>
    <row r="36" spans="1:4">
      <c r="A36" t="s">
        <v>64</v>
      </c>
      <c r="C36" t="str">
        <f t="shared" si="0"/>
        <v>Grid-750V</v>
      </c>
      <c r="D36" t="s">
        <v>196</v>
      </c>
    </row>
    <row r="37" spans="1:4">
      <c r="A37" t="s">
        <v>64</v>
      </c>
      <c r="C37" t="str">
        <f t="shared" si="0"/>
        <v>Grid-450V</v>
      </c>
      <c r="D37" t="s">
        <v>197</v>
      </c>
    </row>
    <row r="38" spans="1:4">
      <c r="A38" t="s">
        <v>64</v>
      </c>
      <c r="C38" t="str">
        <f t="shared" si="0"/>
        <v>Grid-515V</v>
      </c>
      <c r="D38" t="s">
        <v>198</v>
      </c>
    </row>
    <row r="39" spans="1:4">
      <c r="A39" t="s">
        <v>64</v>
      </c>
      <c r="C39" t="str">
        <f t="shared" si="0"/>
        <v>Grid-525V</v>
      </c>
      <c r="D39" t="s">
        <v>199</v>
      </c>
    </row>
    <row r="40" spans="1:4">
      <c r="A40" t="s">
        <v>64</v>
      </c>
      <c r="C40" t="str">
        <f t="shared" si="0"/>
        <v>Grid-320V</v>
      </c>
      <c r="D40" t="s">
        <v>200</v>
      </c>
    </row>
    <row r="41" spans="1:4">
      <c r="A41" t="s">
        <v>64</v>
      </c>
      <c r="C41" t="str">
        <f t="shared" si="0"/>
        <v>Grid-150V</v>
      </c>
      <c r="D41" t="s">
        <v>201</v>
      </c>
    </row>
    <row r="42" spans="1:4">
      <c r="A42" t="s">
        <v>64</v>
      </c>
      <c r="C42" t="str">
        <f t="shared" si="0"/>
        <v>Grid-270V</v>
      </c>
      <c r="D42" t="s">
        <v>202</v>
      </c>
    </row>
    <row r="43" spans="1:4">
      <c r="A43" t="s">
        <v>64</v>
      </c>
      <c r="C43" t="str">
        <f t="shared" si="0"/>
        <v>Grid-350V</v>
      </c>
      <c r="D43" t="s">
        <v>203</v>
      </c>
    </row>
    <row r="44" spans="1:4">
      <c r="A44" t="s">
        <v>64</v>
      </c>
      <c r="C44" t="str">
        <f t="shared" si="0"/>
        <v>Grid-250V</v>
      </c>
      <c r="D44" t="s">
        <v>204</v>
      </c>
    </row>
    <row r="45" spans="1:4">
      <c r="A45" t="s">
        <v>64</v>
      </c>
      <c r="C45" t="str">
        <f t="shared" si="0"/>
        <v>Grid-200V</v>
      </c>
      <c r="D45" t="s">
        <v>205</v>
      </c>
    </row>
    <row r="46" spans="1:4">
      <c r="A46" t="s">
        <v>64</v>
      </c>
      <c r="C46" t="str">
        <f t="shared" si="0"/>
        <v>Grid-236V</v>
      </c>
      <c r="D46" t="s">
        <v>206</v>
      </c>
    </row>
    <row r="47" spans="1:4">
      <c r="A47" t="s">
        <v>64</v>
      </c>
      <c r="C47" t="str">
        <f t="shared" si="0"/>
        <v>Grid-600V</v>
      </c>
      <c r="D47" t="s">
        <v>207</v>
      </c>
    </row>
    <row r="48" spans="1:4">
      <c r="A48" t="s">
        <v>64</v>
      </c>
      <c r="C48" t="str">
        <f t="shared" si="0"/>
        <v>Aggregators</v>
      </c>
      <c r="D48" t="s">
        <v>208</v>
      </c>
    </row>
    <row r="49" spans="1:5">
      <c r="A49" t="s">
        <v>64</v>
      </c>
      <c r="C49" t="str">
        <f t="shared" si="0"/>
        <v>DUMMY_IMP</v>
      </c>
      <c r="D49" t="s">
        <v>209</v>
      </c>
    </row>
    <row r="50" spans="1:5">
      <c r="A50" t="s">
        <v>64</v>
      </c>
      <c r="B50" t="s">
        <v>449</v>
      </c>
      <c r="C50" t="s">
        <v>124</v>
      </c>
      <c r="E50" t="s">
        <v>128</v>
      </c>
    </row>
    <row r="51" spans="1:5">
      <c r="A51" t="s">
        <v>64</v>
      </c>
      <c r="B51" t="s">
        <v>449</v>
      </c>
      <c r="C51" t="s">
        <v>125</v>
      </c>
      <c r="E51" t="s">
        <v>129</v>
      </c>
    </row>
    <row r="52" spans="1:5">
      <c r="A52" t="s">
        <v>64</v>
      </c>
      <c r="B52" t="s">
        <v>450</v>
      </c>
      <c r="C52" t="s">
        <v>126</v>
      </c>
      <c r="E52" t="s">
        <v>128</v>
      </c>
    </row>
    <row r="53" spans="1:5">
      <c r="A53" t="s">
        <v>64</v>
      </c>
      <c r="B53" t="s">
        <v>450</v>
      </c>
      <c r="C53" t="s">
        <v>127</v>
      </c>
      <c r="E53" t="s">
        <v>129</v>
      </c>
    </row>
    <row r="54" spans="1:5">
      <c r="A54" t="s">
        <v>64</v>
      </c>
      <c r="B54" t="s">
        <v>93</v>
      </c>
      <c r="C54" t="s">
        <v>3</v>
      </c>
    </row>
    <row r="55" spans="1:5">
      <c r="A55" t="s">
        <v>64</v>
      </c>
      <c r="B55" t="s">
        <v>94</v>
      </c>
      <c r="C55" t="s">
        <v>95</v>
      </c>
    </row>
    <row r="56" spans="1:5">
      <c r="A56" t="s">
        <v>64</v>
      </c>
      <c r="B56" t="s">
        <v>106</v>
      </c>
      <c r="C56" t="s">
        <v>107</v>
      </c>
    </row>
    <row r="57" spans="1:5">
      <c r="A57" t="s">
        <v>330</v>
      </c>
      <c r="B57" t="s">
        <v>331</v>
      </c>
      <c r="C57" t="s">
        <v>332</v>
      </c>
    </row>
    <row r="58" spans="1:5">
      <c r="A58" t="s">
        <v>330</v>
      </c>
      <c r="B58" t="s">
        <v>333</v>
      </c>
      <c r="C58" t="s">
        <v>91</v>
      </c>
    </row>
    <row r="59" spans="1:5">
      <c r="A59" t="s">
        <v>330</v>
      </c>
      <c r="B59" t="s">
        <v>334</v>
      </c>
      <c r="C59" t="s">
        <v>240</v>
      </c>
    </row>
    <row r="60" spans="1:5">
      <c r="A60" t="s">
        <v>340</v>
      </c>
      <c r="B60" t="s">
        <v>113</v>
      </c>
      <c r="C60" t="s">
        <v>339</v>
      </c>
    </row>
    <row r="61" spans="1:5">
      <c r="A61" t="s">
        <v>340</v>
      </c>
      <c r="B61" t="s">
        <v>341</v>
      </c>
      <c r="C61" t="s">
        <v>342</v>
      </c>
    </row>
    <row r="62" spans="1:5">
      <c r="A62" t="s">
        <v>340</v>
      </c>
      <c r="B62" t="s">
        <v>343</v>
      </c>
      <c r="C62" t="s">
        <v>344</v>
      </c>
    </row>
    <row r="63" spans="1:5">
      <c r="A63" t="s">
        <v>340</v>
      </c>
      <c r="B63" t="s">
        <v>345</v>
      </c>
      <c r="C63" t="s">
        <v>346</v>
      </c>
    </row>
    <row r="64" spans="1:5">
      <c r="A64" t="s">
        <v>340</v>
      </c>
      <c r="B64" t="s">
        <v>347</v>
      </c>
      <c r="C64" t="s">
        <v>348</v>
      </c>
    </row>
    <row r="65" spans="1:5">
      <c r="A65" t="s">
        <v>340</v>
      </c>
      <c r="B65" t="s">
        <v>349</v>
      </c>
      <c r="C65" t="s">
        <v>350</v>
      </c>
    </row>
    <row r="66" spans="1:5">
      <c r="A66" t="s">
        <v>340</v>
      </c>
      <c r="B66" t="s">
        <v>351</v>
      </c>
      <c r="C66" t="s">
        <v>352</v>
      </c>
    </row>
    <row r="67" spans="1:5">
      <c r="A67" t="s">
        <v>361</v>
      </c>
      <c r="C67" t="str">
        <f>E67</f>
        <v>bioenergy</v>
      </c>
      <c r="E67" t="s">
        <v>166</v>
      </c>
    </row>
    <row r="68" spans="1:5">
      <c r="A68" t="s">
        <v>361</v>
      </c>
      <c r="C68" t="str">
        <f t="shared" ref="C68:C75" si="1">E68</f>
        <v>coal</v>
      </c>
      <c r="E68" t="s">
        <v>128</v>
      </c>
    </row>
    <row r="69" spans="1:5">
      <c r="A69" t="s">
        <v>361</v>
      </c>
      <c r="C69" t="str">
        <f t="shared" si="1"/>
        <v>gas</v>
      </c>
      <c r="E69" t="s">
        <v>129</v>
      </c>
    </row>
    <row r="70" spans="1:5">
      <c r="A70" t="s">
        <v>361</v>
      </c>
      <c r="C70" t="str">
        <f t="shared" si="1"/>
        <v>hydro</v>
      </c>
      <c r="E70" t="s">
        <v>230</v>
      </c>
    </row>
    <row r="71" spans="1:5">
      <c r="A71" t="s">
        <v>361</v>
      </c>
      <c r="C71" t="str">
        <f t="shared" si="1"/>
        <v>nuclear</v>
      </c>
      <c r="E71" t="s">
        <v>168</v>
      </c>
    </row>
    <row r="72" spans="1:5">
      <c r="A72" t="s">
        <v>361</v>
      </c>
      <c r="C72" t="str">
        <f t="shared" si="1"/>
        <v>oil</v>
      </c>
      <c r="E72" t="s">
        <v>231</v>
      </c>
    </row>
    <row r="73" spans="1:5">
      <c r="A73" t="s">
        <v>361</v>
      </c>
      <c r="C73" t="str">
        <f t="shared" si="1"/>
        <v>solar</v>
      </c>
      <c r="E73" t="s">
        <v>232</v>
      </c>
    </row>
    <row r="74" spans="1:5">
      <c r="A74" t="s">
        <v>361</v>
      </c>
      <c r="C74" t="str">
        <f t="shared" si="1"/>
        <v>windoff</v>
      </c>
      <c r="E74" t="s">
        <v>234</v>
      </c>
    </row>
    <row r="75" spans="1:5">
      <c r="A75" t="s">
        <v>361</v>
      </c>
      <c r="C75" t="str">
        <f t="shared" si="1"/>
        <v>windon</v>
      </c>
      <c r="E75" t="s">
        <v>233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68</v>
      </c>
    </row>
    <row r="2" spans="1:8">
      <c r="A2" t="s">
        <v>48</v>
      </c>
      <c r="B2" t="s">
        <v>49</v>
      </c>
      <c r="C2" t="s">
        <v>50</v>
      </c>
      <c r="D2" t="s">
        <v>69</v>
      </c>
      <c r="E2" t="s">
        <v>70</v>
      </c>
      <c r="F2" t="s">
        <v>72</v>
      </c>
      <c r="G2" t="s">
        <v>71</v>
      </c>
      <c r="H2" t="s">
        <v>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565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373</v>
      </c>
    </row>
    <row r="2" spans="1:8">
      <c r="A2" t="s">
        <v>361</v>
      </c>
      <c r="B2" t="s">
        <v>36</v>
      </c>
      <c r="C2" t="s">
        <v>0</v>
      </c>
      <c r="D2" t="s">
        <v>451</v>
      </c>
      <c r="E2" t="s">
        <v>260</v>
      </c>
      <c r="F2" t="s">
        <v>452</v>
      </c>
      <c r="G2" t="s">
        <v>453</v>
      </c>
      <c r="H2" t="s">
        <v>454</v>
      </c>
    </row>
    <row r="3" spans="1:8">
      <c r="A3" t="s">
        <v>128</v>
      </c>
      <c r="B3">
        <v>2000</v>
      </c>
      <c r="C3" t="s">
        <v>142</v>
      </c>
      <c r="D3">
        <v>0</v>
      </c>
      <c r="E3" t="s">
        <v>455</v>
      </c>
      <c r="F3" t="s">
        <v>75</v>
      </c>
      <c r="G3" t="s">
        <v>456</v>
      </c>
      <c r="H3" t="s">
        <v>457</v>
      </c>
    </row>
    <row r="4" spans="1:8">
      <c r="A4" t="s">
        <v>129</v>
      </c>
      <c r="B4">
        <v>2000</v>
      </c>
      <c r="C4" t="s">
        <v>142</v>
      </c>
      <c r="D4">
        <v>0</v>
      </c>
      <c r="E4" t="s">
        <v>455</v>
      </c>
      <c r="F4" t="s">
        <v>75</v>
      </c>
      <c r="G4" t="s">
        <v>456</v>
      </c>
      <c r="H4" t="s">
        <v>457</v>
      </c>
    </row>
    <row r="5" spans="1:8">
      <c r="A5" t="s">
        <v>230</v>
      </c>
      <c r="B5">
        <v>2000</v>
      </c>
      <c r="C5" t="s">
        <v>142</v>
      </c>
      <c r="D5">
        <v>1.55</v>
      </c>
      <c r="E5" t="s">
        <v>455</v>
      </c>
      <c r="F5" t="s">
        <v>75</v>
      </c>
      <c r="G5" t="s">
        <v>456</v>
      </c>
      <c r="H5" t="s">
        <v>457</v>
      </c>
    </row>
    <row r="6" spans="1:8">
      <c r="A6" t="s">
        <v>168</v>
      </c>
      <c r="B6">
        <v>2000</v>
      </c>
      <c r="C6" t="s">
        <v>142</v>
      </c>
      <c r="D6">
        <v>0</v>
      </c>
      <c r="E6" t="s">
        <v>455</v>
      </c>
      <c r="F6" t="s">
        <v>75</v>
      </c>
      <c r="G6" t="s">
        <v>456</v>
      </c>
      <c r="H6" t="s">
        <v>457</v>
      </c>
    </row>
    <row r="7" spans="1:8">
      <c r="A7" t="s">
        <v>231</v>
      </c>
      <c r="B7">
        <v>2000</v>
      </c>
      <c r="C7" t="s">
        <v>142</v>
      </c>
      <c r="D7">
        <v>0.01</v>
      </c>
      <c r="E7" t="s">
        <v>455</v>
      </c>
      <c r="F7" t="s">
        <v>75</v>
      </c>
      <c r="G7" t="s">
        <v>456</v>
      </c>
      <c r="H7" t="s">
        <v>457</v>
      </c>
    </row>
    <row r="8" spans="1:8">
      <c r="A8" t="s">
        <v>128</v>
      </c>
      <c r="B8">
        <v>2001</v>
      </c>
      <c r="C8" t="s">
        <v>142</v>
      </c>
      <c r="D8">
        <v>0</v>
      </c>
      <c r="E8" t="s">
        <v>455</v>
      </c>
      <c r="F8" t="s">
        <v>75</v>
      </c>
      <c r="G8" t="s">
        <v>456</v>
      </c>
      <c r="H8" t="s">
        <v>457</v>
      </c>
    </row>
    <row r="9" spans="1:8">
      <c r="A9" t="s">
        <v>129</v>
      </c>
      <c r="B9">
        <v>2001</v>
      </c>
      <c r="C9" t="s">
        <v>142</v>
      </c>
      <c r="D9">
        <v>0</v>
      </c>
      <c r="E9" t="s">
        <v>455</v>
      </c>
      <c r="F9" t="s">
        <v>75</v>
      </c>
      <c r="G9" t="s">
        <v>456</v>
      </c>
      <c r="H9" t="s">
        <v>457</v>
      </c>
    </row>
    <row r="10" spans="1:8">
      <c r="A10" t="s">
        <v>230</v>
      </c>
      <c r="B10">
        <v>2001</v>
      </c>
      <c r="C10" t="s">
        <v>142</v>
      </c>
      <c r="D10">
        <v>1.55</v>
      </c>
      <c r="E10" t="s">
        <v>455</v>
      </c>
      <c r="F10" t="s">
        <v>75</v>
      </c>
      <c r="G10" t="s">
        <v>456</v>
      </c>
      <c r="H10" t="s">
        <v>457</v>
      </c>
    </row>
    <row r="11" spans="1:8">
      <c r="A11" t="s">
        <v>168</v>
      </c>
      <c r="B11">
        <v>2001</v>
      </c>
      <c r="C11" t="s">
        <v>142</v>
      </c>
      <c r="D11">
        <v>0</v>
      </c>
      <c r="E11" t="s">
        <v>455</v>
      </c>
      <c r="F11" t="s">
        <v>75</v>
      </c>
      <c r="G11" t="s">
        <v>456</v>
      </c>
      <c r="H11" t="s">
        <v>457</v>
      </c>
    </row>
    <row r="12" spans="1:8">
      <c r="A12" t="s">
        <v>231</v>
      </c>
      <c r="B12">
        <v>2001</v>
      </c>
      <c r="C12" t="s">
        <v>142</v>
      </c>
      <c r="D12">
        <v>0.01</v>
      </c>
      <c r="E12" t="s">
        <v>455</v>
      </c>
      <c r="F12" t="s">
        <v>75</v>
      </c>
      <c r="G12" t="s">
        <v>456</v>
      </c>
      <c r="H12" t="s">
        <v>457</v>
      </c>
    </row>
    <row r="13" spans="1:8">
      <c r="A13" t="s">
        <v>128</v>
      </c>
      <c r="B13">
        <v>2002</v>
      </c>
      <c r="C13" t="s">
        <v>142</v>
      </c>
      <c r="D13">
        <v>0</v>
      </c>
      <c r="E13" t="s">
        <v>455</v>
      </c>
      <c r="F13" t="s">
        <v>75</v>
      </c>
      <c r="G13" t="s">
        <v>456</v>
      </c>
      <c r="H13" t="s">
        <v>457</v>
      </c>
    </row>
    <row r="14" spans="1:8">
      <c r="A14" t="s">
        <v>129</v>
      </c>
      <c r="B14">
        <v>2002</v>
      </c>
      <c r="C14" t="s">
        <v>142</v>
      </c>
      <c r="D14">
        <v>0</v>
      </c>
      <c r="E14" t="s">
        <v>455</v>
      </c>
      <c r="F14" t="s">
        <v>75</v>
      </c>
      <c r="G14" t="s">
        <v>456</v>
      </c>
      <c r="H14" t="s">
        <v>457</v>
      </c>
    </row>
    <row r="15" spans="1:8">
      <c r="A15" t="s">
        <v>230</v>
      </c>
      <c r="B15">
        <v>2002</v>
      </c>
      <c r="C15" t="s">
        <v>142</v>
      </c>
      <c r="D15">
        <v>1.67</v>
      </c>
      <c r="E15" t="s">
        <v>455</v>
      </c>
      <c r="F15" t="s">
        <v>75</v>
      </c>
      <c r="G15" t="s">
        <v>456</v>
      </c>
      <c r="H15" t="s">
        <v>457</v>
      </c>
    </row>
    <row r="16" spans="1:8">
      <c r="A16" t="s">
        <v>168</v>
      </c>
      <c r="B16">
        <v>2002</v>
      </c>
      <c r="C16" t="s">
        <v>142</v>
      </c>
      <c r="D16">
        <v>0</v>
      </c>
      <c r="E16" t="s">
        <v>455</v>
      </c>
      <c r="F16" t="s">
        <v>75</v>
      </c>
      <c r="G16" t="s">
        <v>456</v>
      </c>
      <c r="H16" t="s">
        <v>457</v>
      </c>
    </row>
    <row r="17" spans="1:8">
      <c r="A17" t="s">
        <v>231</v>
      </c>
      <c r="B17">
        <v>2002</v>
      </c>
      <c r="C17" t="s">
        <v>142</v>
      </c>
      <c r="D17">
        <v>0.01</v>
      </c>
      <c r="E17" t="s">
        <v>455</v>
      </c>
      <c r="F17" t="s">
        <v>75</v>
      </c>
      <c r="G17" t="s">
        <v>456</v>
      </c>
      <c r="H17" t="s">
        <v>457</v>
      </c>
    </row>
    <row r="18" spans="1:8">
      <c r="A18" t="s">
        <v>128</v>
      </c>
      <c r="B18">
        <v>2003</v>
      </c>
      <c r="C18" t="s">
        <v>142</v>
      </c>
      <c r="D18">
        <v>0</v>
      </c>
      <c r="E18" t="s">
        <v>455</v>
      </c>
      <c r="F18" t="s">
        <v>75</v>
      </c>
      <c r="G18" t="s">
        <v>456</v>
      </c>
      <c r="H18" t="s">
        <v>457</v>
      </c>
    </row>
    <row r="19" spans="1:8">
      <c r="A19" t="s">
        <v>129</v>
      </c>
      <c r="B19">
        <v>2003</v>
      </c>
      <c r="C19" t="s">
        <v>142</v>
      </c>
      <c r="D19">
        <v>0</v>
      </c>
      <c r="E19" t="s">
        <v>455</v>
      </c>
      <c r="F19" t="s">
        <v>75</v>
      </c>
      <c r="G19" t="s">
        <v>456</v>
      </c>
      <c r="H19" t="s">
        <v>457</v>
      </c>
    </row>
    <row r="20" spans="1:8">
      <c r="A20" t="s">
        <v>230</v>
      </c>
      <c r="B20">
        <v>2003</v>
      </c>
      <c r="C20" t="s">
        <v>142</v>
      </c>
      <c r="D20">
        <v>1.75</v>
      </c>
      <c r="E20" t="s">
        <v>455</v>
      </c>
      <c r="F20" t="s">
        <v>75</v>
      </c>
      <c r="G20" t="s">
        <v>456</v>
      </c>
      <c r="H20" t="s">
        <v>457</v>
      </c>
    </row>
    <row r="21" spans="1:8">
      <c r="A21" t="s">
        <v>168</v>
      </c>
      <c r="B21">
        <v>2003</v>
      </c>
      <c r="C21" t="s">
        <v>142</v>
      </c>
      <c r="D21">
        <v>0</v>
      </c>
      <c r="E21" t="s">
        <v>455</v>
      </c>
      <c r="F21" t="s">
        <v>75</v>
      </c>
      <c r="G21" t="s">
        <v>456</v>
      </c>
      <c r="H21" t="s">
        <v>457</v>
      </c>
    </row>
    <row r="22" spans="1:8">
      <c r="A22" t="s">
        <v>231</v>
      </c>
      <c r="B22">
        <v>2003</v>
      </c>
      <c r="C22" t="s">
        <v>142</v>
      </c>
      <c r="D22">
        <v>0.01</v>
      </c>
      <c r="E22" t="s">
        <v>455</v>
      </c>
      <c r="F22" t="s">
        <v>75</v>
      </c>
      <c r="G22" t="s">
        <v>456</v>
      </c>
      <c r="H22" t="s">
        <v>457</v>
      </c>
    </row>
    <row r="23" spans="1:8">
      <c r="A23" t="s">
        <v>128</v>
      </c>
      <c r="B23">
        <v>2004</v>
      </c>
      <c r="C23" t="s">
        <v>142</v>
      </c>
      <c r="D23">
        <v>0</v>
      </c>
      <c r="E23" t="s">
        <v>455</v>
      </c>
      <c r="F23" t="s">
        <v>75</v>
      </c>
      <c r="G23" t="s">
        <v>456</v>
      </c>
      <c r="H23" t="s">
        <v>457</v>
      </c>
    </row>
    <row r="24" spans="1:8">
      <c r="A24" t="s">
        <v>129</v>
      </c>
      <c r="B24">
        <v>2004</v>
      </c>
      <c r="C24" t="s">
        <v>142</v>
      </c>
      <c r="D24">
        <v>0</v>
      </c>
      <c r="E24" t="s">
        <v>455</v>
      </c>
      <c r="F24" t="s">
        <v>75</v>
      </c>
      <c r="G24" t="s">
        <v>456</v>
      </c>
      <c r="H24" t="s">
        <v>457</v>
      </c>
    </row>
    <row r="25" spans="1:8">
      <c r="A25" t="s">
        <v>230</v>
      </c>
      <c r="B25">
        <v>2004</v>
      </c>
      <c r="C25" t="s">
        <v>142</v>
      </c>
      <c r="D25">
        <v>1.89</v>
      </c>
      <c r="E25" t="s">
        <v>455</v>
      </c>
      <c r="F25" t="s">
        <v>75</v>
      </c>
      <c r="G25" t="s">
        <v>456</v>
      </c>
      <c r="H25" t="s">
        <v>457</v>
      </c>
    </row>
    <row r="26" spans="1:8">
      <c r="A26" t="s">
        <v>168</v>
      </c>
      <c r="B26">
        <v>2004</v>
      </c>
      <c r="C26" t="s">
        <v>142</v>
      </c>
      <c r="D26">
        <v>0</v>
      </c>
      <c r="E26" t="s">
        <v>455</v>
      </c>
      <c r="F26" t="s">
        <v>75</v>
      </c>
      <c r="G26" t="s">
        <v>456</v>
      </c>
      <c r="H26" t="s">
        <v>457</v>
      </c>
    </row>
    <row r="27" spans="1:8">
      <c r="A27" t="s">
        <v>231</v>
      </c>
      <c r="B27">
        <v>2004</v>
      </c>
      <c r="C27" t="s">
        <v>142</v>
      </c>
      <c r="D27">
        <v>0</v>
      </c>
      <c r="E27" t="s">
        <v>455</v>
      </c>
      <c r="F27" t="s">
        <v>75</v>
      </c>
      <c r="G27" t="s">
        <v>456</v>
      </c>
      <c r="H27" t="s">
        <v>457</v>
      </c>
    </row>
    <row r="28" spans="1:8">
      <c r="A28" t="s">
        <v>128</v>
      </c>
      <c r="B28">
        <v>2005</v>
      </c>
      <c r="C28" t="s">
        <v>142</v>
      </c>
      <c r="D28">
        <v>0</v>
      </c>
      <c r="E28" t="s">
        <v>455</v>
      </c>
      <c r="F28" t="s">
        <v>75</v>
      </c>
      <c r="G28" t="s">
        <v>456</v>
      </c>
      <c r="H28" t="s">
        <v>457</v>
      </c>
    </row>
    <row r="29" spans="1:8">
      <c r="A29" t="s">
        <v>129</v>
      </c>
      <c r="B29">
        <v>2005</v>
      </c>
      <c r="C29" t="s">
        <v>142</v>
      </c>
      <c r="D29">
        <v>0</v>
      </c>
      <c r="E29" t="s">
        <v>455</v>
      </c>
      <c r="F29" t="s">
        <v>75</v>
      </c>
      <c r="G29" t="s">
        <v>456</v>
      </c>
      <c r="H29" t="s">
        <v>457</v>
      </c>
    </row>
    <row r="30" spans="1:8">
      <c r="A30" t="s">
        <v>230</v>
      </c>
      <c r="B30">
        <v>2005</v>
      </c>
      <c r="C30" t="s">
        <v>142</v>
      </c>
      <c r="D30">
        <v>1.84</v>
      </c>
      <c r="E30" t="s">
        <v>455</v>
      </c>
      <c r="F30" t="s">
        <v>75</v>
      </c>
      <c r="G30" t="s">
        <v>456</v>
      </c>
      <c r="H30" t="s">
        <v>457</v>
      </c>
    </row>
    <row r="31" spans="1:8">
      <c r="A31" t="s">
        <v>168</v>
      </c>
      <c r="B31">
        <v>2005</v>
      </c>
      <c r="C31" t="s">
        <v>142</v>
      </c>
      <c r="D31">
        <v>0</v>
      </c>
      <c r="E31" t="s">
        <v>455</v>
      </c>
      <c r="F31" t="s">
        <v>75</v>
      </c>
      <c r="G31" t="s">
        <v>456</v>
      </c>
      <c r="H31" t="s">
        <v>457</v>
      </c>
    </row>
    <row r="32" spans="1:8">
      <c r="A32" t="s">
        <v>231</v>
      </c>
      <c r="B32">
        <v>2005</v>
      </c>
      <c r="C32" t="s">
        <v>142</v>
      </c>
      <c r="D32">
        <v>7.0000000000000007E-2</v>
      </c>
      <c r="E32" t="s">
        <v>455</v>
      </c>
      <c r="F32" t="s">
        <v>75</v>
      </c>
      <c r="G32" t="s">
        <v>456</v>
      </c>
      <c r="H32" t="s">
        <v>457</v>
      </c>
    </row>
    <row r="33" spans="1:8">
      <c r="A33" t="s">
        <v>128</v>
      </c>
      <c r="B33">
        <v>2006</v>
      </c>
      <c r="C33" t="s">
        <v>142</v>
      </c>
      <c r="D33">
        <v>0</v>
      </c>
      <c r="E33" t="s">
        <v>455</v>
      </c>
      <c r="F33" t="s">
        <v>75</v>
      </c>
      <c r="G33" t="s">
        <v>456</v>
      </c>
      <c r="H33" t="s">
        <v>457</v>
      </c>
    </row>
    <row r="34" spans="1:8">
      <c r="A34" t="s">
        <v>129</v>
      </c>
      <c r="B34">
        <v>2006</v>
      </c>
      <c r="C34" t="s">
        <v>142</v>
      </c>
      <c r="D34">
        <v>0</v>
      </c>
      <c r="E34" t="s">
        <v>455</v>
      </c>
      <c r="F34" t="s">
        <v>75</v>
      </c>
      <c r="G34" t="s">
        <v>456</v>
      </c>
      <c r="H34" t="s">
        <v>457</v>
      </c>
    </row>
    <row r="35" spans="1:8">
      <c r="A35" t="s">
        <v>230</v>
      </c>
      <c r="B35">
        <v>2006</v>
      </c>
      <c r="C35" t="s">
        <v>142</v>
      </c>
      <c r="D35">
        <v>1.1599999999999999</v>
      </c>
      <c r="E35" t="s">
        <v>455</v>
      </c>
      <c r="F35" t="s">
        <v>75</v>
      </c>
      <c r="G35" t="s">
        <v>456</v>
      </c>
      <c r="H35" t="s">
        <v>457</v>
      </c>
    </row>
    <row r="36" spans="1:8">
      <c r="A36" t="s">
        <v>168</v>
      </c>
      <c r="B36">
        <v>2006</v>
      </c>
      <c r="C36" t="s">
        <v>142</v>
      </c>
      <c r="D36">
        <v>0</v>
      </c>
      <c r="E36" t="s">
        <v>455</v>
      </c>
      <c r="F36" t="s">
        <v>75</v>
      </c>
      <c r="G36" t="s">
        <v>456</v>
      </c>
      <c r="H36" t="s">
        <v>457</v>
      </c>
    </row>
    <row r="37" spans="1:8">
      <c r="A37" t="s">
        <v>231</v>
      </c>
      <c r="B37">
        <v>2006</v>
      </c>
      <c r="C37" t="s">
        <v>142</v>
      </c>
      <c r="D37">
        <v>0.38</v>
      </c>
      <c r="E37" t="s">
        <v>455</v>
      </c>
      <c r="F37" t="s">
        <v>75</v>
      </c>
      <c r="G37" t="s">
        <v>456</v>
      </c>
      <c r="H37" t="s">
        <v>457</v>
      </c>
    </row>
    <row r="38" spans="1:8">
      <c r="A38" t="s">
        <v>128</v>
      </c>
      <c r="B38">
        <v>2007</v>
      </c>
      <c r="C38" t="s">
        <v>142</v>
      </c>
      <c r="D38">
        <v>0</v>
      </c>
      <c r="E38" t="s">
        <v>455</v>
      </c>
      <c r="F38" t="s">
        <v>75</v>
      </c>
      <c r="G38" t="s">
        <v>456</v>
      </c>
      <c r="H38" t="s">
        <v>457</v>
      </c>
    </row>
    <row r="39" spans="1:8">
      <c r="A39" t="s">
        <v>129</v>
      </c>
      <c r="B39">
        <v>2007</v>
      </c>
      <c r="C39" t="s">
        <v>142</v>
      </c>
      <c r="D39">
        <v>0</v>
      </c>
      <c r="E39" t="s">
        <v>455</v>
      </c>
      <c r="F39" t="s">
        <v>75</v>
      </c>
      <c r="G39" t="s">
        <v>456</v>
      </c>
      <c r="H39" t="s">
        <v>457</v>
      </c>
    </row>
    <row r="40" spans="1:8">
      <c r="A40" t="s">
        <v>230</v>
      </c>
      <c r="B40">
        <v>2007</v>
      </c>
      <c r="C40" t="s">
        <v>142</v>
      </c>
      <c r="D40">
        <v>1.4</v>
      </c>
      <c r="E40" t="s">
        <v>455</v>
      </c>
      <c r="F40" t="s">
        <v>75</v>
      </c>
      <c r="G40" t="s">
        <v>456</v>
      </c>
      <c r="H40" t="s">
        <v>457</v>
      </c>
    </row>
    <row r="41" spans="1:8">
      <c r="A41" t="s">
        <v>168</v>
      </c>
      <c r="B41">
        <v>2007</v>
      </c>
      <c r="C41" t="s">
        <v>142</v>
      </c>
      <c r="D41">
        <v>0</v>
      </c>
      <c r="E41" t="s">
        <v>455</v>
      </c>
      <c r="F41" t="s">
        <v>75</v>
      </c>
      <c r="G41" t="s">
        <v>456</v>
      </c>
      <c r="H41" t="s">
        <v>457</v>
      </c>
    </row>
    <row r="42" spans="1:8">
      <c r="A42" t="s">
        <v>231</v>
      </c>
      <c r="B42">
        <v>2007</v>
      </c>
      <c r="C42" t="s">
        <v>142</v>
      </c>
      <c r="D42">
        <v>0.54</v>
      </c>
      <c r="E42" t="s">
        <v>455</v>
      </c>
      <c r="F42" t="s">
        <v>75</v>
      </c>
      <c r="G42" t="s">
        <v>456</v>
      </c>
      <c r="H42" t="s">
        <v>457</v>
      </c>
    </row>
    <row r="43" spans="1:8">
      <c r="A43" t="s">
        <v>128</v>
      </c>
      <c r="B43">
        <v>2008</v>
      </c>
      <c r="C43" t="s">
        <v>142</v>
      </c>
      <c r="D43">
        <v>0</v>
      </c>
      <c r="E43" t="s">
        <v>455</v>
      </c>
      <c r="F43" t="s">
        <v>75</v>
      </c>
      <c r="G43" t="s">
        <v>456</v>
      </c>
      <c r="H43" t="s">
        <v>457</v>
      </c>
    </row>
    <row r="44" spans="1:8">
      <c r="A44" t="s">
        <v>129</v>
      </c>
      <c r="B44">
        <v>2008</v>
      </c>
      <c r="C44" t="s">
        <v>142</v>
      </c>
      <c r="D44">
        <v>0</v>
      </c>
      <c r="E44" t="s">
        <v>455</v>
      </c>
      <c r="F44" t="s">
        <v>75</v>
      </c>
      <c r="G44" t="s">
        <v>456</v>
      </c>
      <c r="H44" t="s">
        <v>457</v>
      </c>
    </row>
    <row r="45" spans="1:8">
      <c r="A45" t="s">
        <v>230</v>
      </c>
      <c r="B45">
        <v>2008</v>
      </c>
      <c r="C45" t="s">
        <v>142</v>
      </c>
      <c r="D45">
        <v>1.63</v>
      </c>
      <c r="E45" t="s">
        <v>455</v>
      </c>
      <c r="F45" t="s">
        <v>75</v>
      </c>
      <c r="G45" t="s">
        <v>456</v>
      </c>
      <c r="H45" t="s">
        <v>457</v>
      </c>
    </row>
    <row r="46" spans="1:8">
      <c r="A46" t="s">
        <v>168</v>
      </c>
      <c r="B46">
        <v>2008</v>
      </c>
      <c r="C46" t="s">
        <v>142</v>
      </c>
      <c r="D46">
        <v>0</v>
      </c>
      <c r="E46" t="s">
        <v>455</v>
      </c>
      <c r="F46" t="s">
        <v>75</v>
      </c>
      <c r="G46" t="s">
        <v>456</v>
      </c>
      <c r="H46" t="s">
        <v>457</v>
      </c>
    </row>
    <row r="47" spans="1:8">
      <c r="A47" t="s">
        <v>231</v>
      </c>
      <c r="B47">
        <v>2008</v>
      </c>
      <c r="C47" t="s">
        <v>142</v>
      </c>
      <c r="D47">
        <v>0.6</v>
      </c>
      <c r="E47" t="s">
        <v>455</v>
      </c>
      <c r="F47" t="s">
        <v>75</v>
      </c>
      <c r="G47" t="s">
        <v>456</v>
      </c>
      <c r="H47" t="s">
        <v>457</v>
      </c>
    </row>
    <row r="48" spans="1:8">
      <c r="A48" t="s">
        <v>128</v>
      </c>
      <c r="B48">
        <v>2009</v>
      </c>
      <c r="C48" t="s">
        <v>142</v>
      </c>
      <c r="D48">
        <v>0</v>
      </c>
      <c r="E48" t="s">
        <v>455</v>
      </c>
      <c r="F48" t="s">
        <v>75</v>
      </c>
      <c r="G48" t="s">
        <v>456</v>
      </c>
      <c r="H48" t="s">
        <v>457</v>
      </c>
    </row>
    <row r="49" spans="1:8">
      <c r="A49" t="s">
        <v>129</v>
      </c>
      <c r="B49">
        <v>2009</v>
      </c>
      <c r="C49" t="s">
        <v>142</v>
      </c>
      <c r="D49">
        <v>0</v>
      </c>
      <c r="E49" t="s">
        <v>455</v>
      </c>
      <c r="F49" t="s">
        <v>75</v>
      </c>
      <c r="G49" t="s">
        <v>456</v>
      </c>
      <c r="H49" t="s">
        <v>457</v>
      </c>
    </row>
    <row r="50" spans="1:8">
      <c r="A50" t="s">
        <v>230</v>
      </c>
      <c r="B50">
        <v>2009</v>
      </c>
      <c r="C50" t="s">
        <v>142</v>
      </c>
      <c r="D50">
        <v>1.4</v>
      </c>
      <c r="E50" t="s">
        <v>455</v>
      </c>
      <c r="F50" t="s">
        <v>75</v>
      </c>
      <c r="G50" t="s">
        <v>456</v>
      </c>
      <c r="H50" t="s">
        <v>457</v>
      </c>
    </row>
    <row r="51" spans="1:8">
      <c r="A51" t="s">
        <v>168</v>
      </c>
      <c r="B51">
        <v>2009</v>
      </c>
      <c r="C51" t="s">
        <v>142</v>
      </c>
      <c r="D51">
        <v>0</v>
      </c>
      <c r="E51" t="s">
        <v>455</v>
      </c>
      <c r="F51" t="s">
        <v>75</v>
      </c>
      <c r="G51" t="s">
        <v>456</v>
      </c>
      <c r="H51" t="s">
        <v>457</v>
      </c>
    </row>
    <row r="52" spans="1:8">
      <c r="A52" t="s">
        <v>231</v>
      </c>
      <c r="B52">
        <v>2009</v>
      </c>
      <c r="C52" t="s">
        <v>142</v>
      </c>
      <c r="D52">
        <v>0.88</v>
      </c>
      <c r="E52" t="s">
        <v>455</v>
      </c>
      <c r="F52" t="s">
        <v>75</v>
      </c>
      <c r="G52" t="s">
        <v>456</v>
      </c>
      <c r="H52" t="s">
        <v>457</v>
      </c>
    </row>
    <row r="53" spans="1:8">
      <c r="A53" t="s">
        <v>128</v>
      </c>
      <c r="B53">
        <v>2010</v>
      </c>
      <c r="C53" t="s">
        <v>142</v>
      </c>
      <c r="D53">
        <v>0</v>
      </c>
      <c r="E53" t="s">
        <v>455</v>
      </c>
      <c r="F53" t="s">
        <v>75</v>
      </c>
      <c r="G53" t="s">
        <v>456</v>
      </c>
      <c r="H53" t="s">
        <v>457</v>
      </c>
    </row>
    <row r="54" spans="1:8">
      <c r="A54" t="s">
        <v>129</v>
      </c>
      <c r="B54">
        <v>2010</v>
      </c>
      <c r="C54" t="s">
        <v>142</v>
      </c>
      <c r="D54">
        <v>0</v>
      </c>
      <c r="E54" t="s">
        <v>455</v>
      </c>
      <c r="F54" t="s">
        <v>75</v>
      </c>
      <c r="G54" t="s">
        <v>456</v>
      </c>
      <c r="H54" t="s">
        <v>457</v>
      </c>
    </row>
    <row r="55" spans="1:8">
      <c r="A55" t="s">
        <v>230</v>
      </c>
      <c r="B55">
        <v>2010</v>
      </c>
      <c r="C55" t="s">
        <v>142</v>
      </c>
      <c r="D55">
        <v>1.49</v>
      </c>
      <c r="E55" t="s">
        <v>455</v>
      </c>
      <c r="F55" t="s">
        <v>75</v>
      </c>
      <c r="G55" t="s">
        <v>456</v>
      </c>
      <c r="H55" t="s">
        <v>457</v>
      </c>
    </row>
    <row r="56" spans="1:8">
      <c r="A56" t="s">
        <v>168</v>
      </c>
      <c r="B56">
        <v>2010</v>
      </c>
      <c r="C56" t="s">
        <v>142</v>
      </c>
      <c r="D56">
        <v>0</v>
      </c>
      <c r="E56" t="s">
        <v>455</v>
      </c>
      <c r="F56" t="s">
        <v>75</v>
      </c>
      <c r="G56" t="s">
        <v>456</v>
      </c>
      <c r="H56" t="s">
        <v>457</v>
      </c>
    </row>
    <row r="57" spans="1:8">
      <c r="A57" t="s">
        <v>231</v>
      </c>
      <c r="B57">
        <v>2010</v>
      </c>
      <c r="C57" t="s">
        <v>142</v>
      </c>
      <c r="D57">
        <v>1.1100000000000001</v>
      </c>
      <c r="E57" t="s">
        <v>455</v>
      </c>
      <c r="F57" t="s">
        <v>75</v>
      </c>
      <c r="G57" t="s">
        <v>456</v>
      </c>
      <c r="H57" t="s">
        <v>457</v>
      </c>
    </row>
    <row r="58" spans="1:8">
      <c r="A58" t="s">
        <v>128</v>
      </c>
      <c r="B58">
        <v>2011</v>
      </c>
      <c r="C58" t="s">
        <v>142</v>
      </c>
      <c r="D58">
        <v>0</v>
      </c>
      <c r="E58" t="s">
        <v>455</v>
      </c>
      <c r="F58" t="s">
        <v>75</v>
      </c>
      <c r="G58" t="s">
        <v>456</v>
      </c>
      <c r="H58" t="s">
        <v>457</v>
      </c>
    </row>
    <row r="59" spans="1:8">
      <c r="A59" t="s">
        <v>129</v>
      </c>
      <c r="B59">
        <v>2011</v>
      </c>
      <c r="C59" t="s">
        <v>142</v>
      </c>
      <c r="D59">
        <v>0</v>
      </c>
      <c r="E59" t="s">
        <v>455</v>
      </c>
      <c r="F59" t="s">
        <v>75</v>
      </c>
      <c r="G59" t="s">
        <v>456</v>
      </c>
      <c r="H59" t="s">
        <v>457</v>
      </c>
    </row>
    <row r="60" spans="1:8">
      <c r="A60" t="s">
        <v>230</v>
      </c>
      <c r="B60">
        <v>2011</v>
      </c>
      <c r="C60" t="s">
        <v>142</v>
      </c>
      <c r="D60">
        <v>1.53</v>
      </c>
      <c r="E60" t="s">
        <v>455</v>
      </c>
      <c r="F60" t="s">
        <v>75</v>
      </c>
      <c r="G60" t="s">
        <v>456</v>
      </c>
      <c r="H60" t="s">
        <v>457</v>
      </c>
    </row>
    <row r="61" spans="1:8">
      <c r="A61" t="s">
        <v>168</v>
      </c>
      <c r="B61">
        <v>2011</v>
      </c>
      <c r="C61" t="s">
        <v>142</v>
      </c>
      <c r="D61">
        <v>0</v>
      </c>
      <c r="E61" t="s">
        <v>455</v>
      </c>
      <c r="F61" t="s">
        <v>75</v>
      </c>
      <c r="G61" t="s">
        <v>456</v>
      </c>
      <c r="H61" t="s">
        <v>457</v>
      </c>
    </row>
    <row r="62" spans="1:8">
      <c r="A62" t="s">
        <v>231</v>
      </c>
      <c r="B62">
        <v>2011</v>
      </c>
      <c r="C62" t="s">
        <v>142</v>
      </c>
      <c r="D62">
        <v>1.03</v>
      </c>
      <c r="E62" t="s">
        <v>455</v>
      </c>
      <c r="F62" t="s">
        <v>75</v>
      </c>
      <c r="G62" t="s">
        <v>456</v>
      </c>
      <c r="H62" t="s">
        <v>457</v>
      </c>
    </row>
    <row r="63" spans="1:8">
      <c r="A63" t="s">
        <v>128</v>
      </c>
      <c r="B63">
        <v>2012</v>
      </c>
      <c r="C63" t="s">
        <v>142</v>
      </c>
      <c r="D63">
        <v>0</v>
      </c>
      <c r="E63" t="s">
        <v>455</v>
      </c>
      <c r="F63" t="s">
        <v>75</v>
      </c>
      <c r="G63" t="s">
        <v>456</v>
      </c>
      <c r="H63" t="s">
        <v>457</v>
      </c>
    </row>
    <row r="64" spans="1:8">
      <c r="A64" t="s">
        <v>129</v>
      </c>
      <c r="B64">
        <v>2012</v>
      </c>
      <c r="C64" t="s">
        <v>142</v>
      </c>
      <c r="D64">
        <v>0</v>
      </c>
      <c r="E64" t="s">
        <v>455</v>
      </c>
      <c r="F64" t="s">
        <v>75</v>
      </c>
      <c r="G64" t="s">
        <v>456</v>
      </c>
      <c r="H64" t="s">
        <v>457</v>
      </c>
    </row>
    <row r="65" spans="1:8">
      <c r="A65" t="s">
        <v>230</v>
      </c>
      <c r="B65">
        <v>2012</v>
      </c>
      <c r="C65" t="s">
        <v>142</v>
      </c>
      <c r="D65">
        <v>2.4500000000000002</v>
      </c>
      <c r="E65" t="s">
        <v>455</v>
      </c>
      <c r="F65" t="s">
        <v>75</v>
      </c>
      <c r="G65" t="s">
        <v>456</v>
      </c>
      <c r="H65" t="s">
        <v>457</v>
      </c>
    </row>
    <row r="66" spans="1:8">
      <c r="A66" t="s">
        <v>168</v>
      </c>
      <c r="B66">
        <v>2012</v>
      </c>
      <c r="C66" t="s">
        <v>142</v>
      </c>
      <c r="D66">
        <v>0</v>
      </c>
      <c r="E66" t="s">
        <v>455</v>
      </c>
      <c r="F66" t="s">
        <v>75</v>
      </c>
      <c r="G66" t="s">
        <v>456</v>
      </c>
      <c r="H66" t="s">
        <v>457</v>
      </c>
    </row>
    <row r="67" spans="1:8">
      <c r="A67" t="s">
        <v>231</v>
      </c>
      <c r="B67">
        <v>2012</v>
      </c>
      <c r="C67" t="s">
        <v>142</v>
      </c>
      <c r="D67">
        <v>0.28999999999999998</v>
      </c>
      <c r="E67" t="s">
        <v>455</v>
      </c>
      <c r="F67" t="s">
        <v>75</v>
      </c>
      <c r="G67" t="s">
        <v>456</v>
      </c>
      <c r="H67" t="s">
        <v>457</v>
      </c>
    </row>
    <row r="68" spans="1:8">
      <c r="A68" t="s">
        <v>128</v>
      </c>
      <c r="B68">
        <v>2013</v>
      </c>
      <c r="C68" t="s">
        <v>142</v>
      </c>
      <c r="D68">
        <v>0</v>
      </c>
      <c r="E68" t="s">
        <v>455</v>
      </c>
      <c r="F68" t="s">
        <v>75</v>
      </c>
      <c r="G68" t="s">
        <v>456</v>
      </c>
      <c r="H68" t="s">
        <v>457</v>
      </c>
    </row>
    <row r="69" spans="1:8">
      <c r="A69" t="s">
        <v>129</v>
      </c>
      <c r="B69">
        <v>2013</v>
      </c>
      <c r="C69" t="s">
        <v>142</v>
      </c>
      <c r="D69">
        <v>0</v>
      </c>
      <c r="E69" t="s">
        <v>455</v>
      </c>
      <c r="F69" t="s">
        <v>75</v>
      </c>
      <c r="G69" t="s">
        <v>456</v>
      </c>
      <c r="H69" t="s">
        <v>457</v>
      </c>
    </row>
    <row r="70" spans="1:8">
      <c r="A70" t="s">
        <v>230</v>
      </c>
      <c r="B70">
        <v>2013</v>
      </c>
      <c r="C70" t="s">
        <v>142</v>
      </c>
      <c r="D70">
        <v>2.87</v>
      </c>
      <c r="E70" t="s">
        <v>455</v>
      </c>
      <c r="F70" t="s">
        <v>75</v>
      </c>
      <c r="G70" t="s">
        <v>456</v>
      </c>
      <c r="H70" t="s">
        <v>457</v>
      </c>
    </row>
    <row r="71" spans="1:8">
      <c r="A71" t="s">
        <v>168</v>
      </c>
      <c r="B71">
        <v>2013</v>
      </c>
      <c r="C71" t="s">
        <v>142</v>
      </c>
      <c r="D71">
        <v>0</v>
      </c>
      <c r="E71" t="s">
        <v>455</v>
      </c>
      <c r="F71" t="s">
        <v>75</v>
      </c>
      <c r="G71" t="s">
        <v>456</v>
      </c>
      <c r="H71" t="s">
        <v>457</v>
      </c>
    </row>
    <row r="72" spans="1:8">
      <c r="A72" t="s">
        <v>231</v>
      </c>
      <c r="B72">
        <v>2013</v>
      </c>
      <c r="C72" t="s">
        <v>142</v>
      </c>
      <c r="D72">
        <v>0</v>
      </c>
      <c r="E72" t="s">
        <v>455</v>
      </c>
      <c r="F72" t="s">
        <v>75</v>
      </c>
      <c r="G72" t="s">
        <v>456</v>
      </c>
      <c r="H72" t="s">
        <v>457</v>
      </c>
    </row>
    <row r="73" spans="1:8">
      <c r="A73" t="s">
        <v>128</v>
      </c>
      <c r="B73">
        <v>2014</v>
      </c>
      <c r="C73" t="s">
        <v>142</v>
      </c>
      <c r="D73">
        <v>0</v>
      </c>
      <c r="E73" t="s">
        <v>455</v>
      </c>
      <c r="F73" t="s">
        <v>75</v>
      </c>
      <c r="G73" t="s">
        <v>456</v>
      </c>
      <c r="H73" t="s">
        <v>457</v>
      </c>
    </row>
    <row r="74" spans="1:8">
      <c r="A74" t="s">
        <v>129</v>
      </c>
      <c r="B74">
        <v>2014</v>
      </c>
      <c r="C74" t="s">
        <v>142</v>
      </c>
      <c r="D74">
        <v>0</v>
      </c>
      <c r="E74" t="s">
        <v>455</v>
      </c>
      <c r="F74" t="s">
        <v>75</v>
      </c>
      <c r="G74" t="s">
        <v>456</v>
      </c>
      <c r="H74" t="s">
        <v>457</v>
      </c>
    </row>
    <row r="75" spans="1:8">
      <c r="A75" t="s">
        <v>230</v>
      </c>
      <c r="B75">
        <v>2014</v>
      </c>
      <c r="C75" t="s">
        <v>142</v>
      </c>
      <c r="D75">
        <v>2.87</v>
      </c>
      <c r="E75" t="s">
        <v>455</v>
      </c>
      <c r="F75" t="s">
        <v>75</v>
      </c>
      <c r="G75" t="s">
        <v>456</v>
      </c>
      <c r="H75" t="s">
        <v>457</v>
      </c>
    </row>
    <row r="76" spans="1:8">
      <c r="A76" t="s">
        <v>168</v>
      </c>
      <c r="B76">
        <v>2014</v>
      </c>
      <c r="C76" t="s">
        <v>142</v>
      </c>
      <c r="D76">
        <v>0</v>
      </c>
      <c r="E76" t="s">
        <v>455</v>
      </c>
      <c r="F76" t="s">
        <v>75</v>
      </c>
      <c r="G76" t="s">
        <v>456</v>
      </c>
      <c r="H76" t="s">
        <v>457</v>
      </c>
    </row>
    <row r="77" spans="1:8">
      <c r="A77" t="s">
        <v>231</v>
      </c>
      <c r="B77">
        <v>2014</v>
      </c>
      <c r="C77" t="s">
        <v>142</v>
      </c>
      <c r="D77">
        <v>0.09</v>
      </c>
      <c r="E77" t="s">
        <v>455</v>
      </c>
      <c r="F77" t="s">
        <v>75</v>
      </c>
      <c r="G77" t="s">
        <v>456</v>
      </c>
      <c r="H77" t="s">
        <v>457</v>
      </c>
    </row>
    <row r="78" spans="1:8">
      <c r="A78" t="s">
        <v>128</v>
      </c>
      <c r="B78">
        <v>2015</v>
      </c>
      <c r="C78" t="s">
        <v>142</v>
      </c>
      <c r="D78">
        <v>0</v>
      </c>
      <c r="E78" t="s">
        <v>455</v>
      </c>
      <c r="F78" t="s">
        <v>75</v>
      </c>
      <c r="G78" t="s">
        <v>456</v>
      </c>
      <c r="H78" t="s">
        <v>457</v>
      </c>
    </row>
    <row r="79" spans="1:8">
      <c r="A79" t="s">
        <v>129</v>
      </c>
      <c r="B79">
        <v>2015</v>
      </c>
      <c r="C79" t="s">
        <v>142</v>
      </c>
      <c r="D79">
        <v>0</v>
      </c>
      <c r="E79" t="s">
        <v>455</v>
      </c>
      <c r="F79" t="s">
        <v>75</v>
      </c>
      <c r="G79" t="s">
        <v>456</v>
      </c>
      <c r="H79" t="s">
        <v>457</v>
      </c>
    </row>
    <row r="80" spans="1:8">
      <c r="A80" t="s">
        <v>230</v>
      </c>
      <c r="B80">
        <v>2015</v>
      </c>
      <c r="C80" t="s">
        <v>142</v>
      </c>
      <c r="D80">
        <v>3.09</v>
      </c>
      <c r="E80" t="s">
        <v>455</v>
      </c>
      <c r="F80" t="s">
        <v>75</v>
      </c>
      <c r="G80" t="s">
        <v>456</v>
      </c>
      <c r="H80" t="s">
        <v>457</v>
      </c>
    </row>
    <row r="81" spans="1:8">
      <c r="A81" t="s">
        <v>168</v>
      </c>
      <c r="B81">
        <v>2015</v>
      </c>
      <c r="C81" t="s">
        <v>142</v>
      </c>
      <c r="D81">
        <v>0</v>
      </c>
      <c r="E81" t="s">
        <v>455</v>
      </c>
      <c r="F81" t="s">
        <v>75</v>
      </c>
      <c r="G81" t="s">
        <v>456</v>
      </c>
      <c r="H81" t="s">
        <v>457</v>
      </c>
    </row>
    <row r="82" spans="1:8">
      <c r="A82" t="s">
        <v>231</v>
      </c>
      <c r="B82">
        <v>2015</v>
      </c>
      <c r="C82" t="s">
        <v>142</v>
      </c>
      <c r="D82">
        <v>0.08</v>
      </c>
      <c r="E82" t="s">
        <v>455</v>
      </c>
      <c r="F82" t="s">
        <v>75</v>
      </c>
      <c r="G82" t="s">
        <v>456</v>
      </c>
      <c r="H82" t="s">
        <v>457</v>
      </c>
    </row>
    <row r="83" spans="1:8">
      <c r="A83" t="s">
        <v>128</v>
      </c>
      <c r="B83">
        <v>2016</v>
      </c>
      <c r="C83" t="s">
        <v>142</v>
      </c>
      <c r="D83">
        <v>0</v>
      </c>
      <c r="E83" t="s">
        <v>455</v>
      </c>
      <c r="F83" t="s">
        <v>75</v>
      </c>
      <c r="G83" t="s">
        <v>456</v>
      </c>
      <c r="H83" t="s">
        <v>457</v>
      </c>
    </row>
    <row r="84" spans="1:8">
      <c r="A84" t="s">
        <v>129</v>
      </c>
      <c r="B84">
        <v>2016</v>
      </c>
      <c r="C84" t="s">
        <v>142</v>
      </c>
      <c r="D84">
        <v>0</v>
      </c>
      <c r="E84" t="s">
        <v>455</v>
      </c>
      <c r="F84" t="s">
        <v>75</v>
      </c>
      <c r="G84" t="s">
        <v>456</v>
      </c>
      <c r="H84" t="s">
        <v>457</v>
      </c>
    </row>
    <row r="85" spans="1:8">
      <c r="A85" t="s">
        <v>230</v>
      </c>
      <c r="B85">
        <v>2016</v>
      </c>
      <c r="C85" t="s">
        <v>142</v>
      </c>
      <c r="D85">
        <v>3.3</v>
      </c>
      <c r="E85" t="s">
        <v>455</v>
      </c>
      <c r="F85" t="s">
        <v>75</v>
      </c>
      <c r="G85" t="s">
        <v>456</v>
      </c>
      <c r="H85" t="s">
        <v>457</v>
      </c>
    </row>
    <row r="86" spans="1:8">
      <c r="A86" t="s">
        <v>168</v>
      </c>
      <c r="B86">
        <v>2016</v>
      </c>
      <c r="C86" t="s">
        <v>142</v>
      </c>
      <c r="D86">
        <v>0</v>
      </c>
      <c r="E86" t="s">
        <v>455</v>
      </c>
      <c r="F86" t="s">
        <v>75</v>
      </c>
      <c r="G86" t="s">
        <v>456</v>
      </c>
      <c r="H86" t="s">
        <v>457</v>
      </c>
    </row>
    <row r="87" spans="1:8">
      <c r="A87" t="s">
        <v>231</v>
      </c>
      <c r="B87">
        <v>2016</v>
      </c>
      <c r="C87" t="s">
        <v>142</v>
      </c>
      <c r="D87">
        <v>7.0000000000000007E-2</v>
      </c>
      <c r="E87" t="s">
        <v>455</v>
      </c>
      <c r="F87" t="s">
        <v>75</v>
      </c>
      <c r="G87" t="s">
        <v>456</v>
      </c>
      <c r="H87" t="s">
        <v>457</v>
      </c>
    </row>
    <row r="88" spans="1:8">
      <c r="A88" t="s">
        <v>128</v>
      </c>
      <c r="B88">
        <v>2017</v>
      </c>
      <c r="C88" t="s">
        <v>142</v>
      </c>
      <c r="D88">
        <v>0</v>
      </c>
      <c r="E88" t="s">
        <v>455</v>
      </c>
      <c r="F88" t="s">
        <v>75</v>
      </c>
      <c r="G88" t="s">
        <v>456</v>
      </c>
      <c r="H88" t="s">
        <v>457</v>
      </c>
    </row>
    <row r="89" spans="1:8">
      <c r="A89" t="s">
        <v>129</v>
      </c>
      <c r="B89">
        <v>2017</v>
      </c>
      <c r="C89" t="s">
        <v>142</v>
      </c>
      <c r="D89">
        <v>0</v>
      </c>
      <c r="E89" t="s">
        <v>455</v>
      </c>
      <c r="F89" t="s">
        <v>75</v>
      </c>
      <c r="G89" t="s">
        <v>456</v>
      </c>
      <c r="H89" t="s">
        <v>457</v>
      </c>
    </row>
    <row r="90" spans="1:8">
      <c r="A90" t="s">
        <v>230</v>
      </c>
      <c r="B90">
        <v>2017</v>
      </c>
      <c r="C90" t="s">
        <v>142</v>
      </c>
      <c r="D90">
        <v>3.44</v>
      </c>
      <c r="E90" t="s">
        <v>455</v>
      </c>
      <c r="F90" t="s">
        <v>75</v>
      </c>
      <c r="G90" t="s">
        <v>456</v>
      </c>
      <c r="H90" t="s">
        <v>457</v>
      </c>
    </row>
    <row r="91" spans="1:8">
      <c r="A91" t="s">
        <v>168</v>
      </c>
      <c r="B91">
        <v>2017</v>
      </c>
      <c r="C91" t="s">
        <v>142</v>
      </c>
      <c r="D91">
        <v>0</v>
      </c>
      <c r="E91" t="s">
        <v>455</v>
      </c>
      <c r="F91" t="s">
        <v>75</v>
      </c>
      <c r="G91" t="s">
        <v>456</v>
      </c>
      <c r="H91" t="s">
        <v>457</v>
      </c>
    </row>
    <row r="92" spans="1:8">
      <c r="A92" t="s">
        <v>231</v>
      </c>
      <c r="B92">
        <v>2017</v>
      </c>
      <c r="C92" t="s">
        <v>142</v>
      </c>
      <c r="D92">
        <v>7.0000000000000007E-2</v>
      </c>
      <c r="E92" t="s">
        <v>455</v>
      </c>
      <c r="F92" t="s">
        <v>75</v>
      </c>
      <c r="G92" t="s">
        <v>456</v>
      </c>
      <c r="H92" t="s">
        <v>457</v>
      </c>
    </row>
    <row r="93" spans="1:8">
      <c r="A93" t="s">
        <v>128</v>
      </c>
      <c r="B93">
        <v>2018</v>
      </c>
      <c r="C93" t="s">
        <v>142</v>
      </c>
      <c r="D93">
        <v>0</v>
      </c>
      <c r="E93" t="s">
        <v>455</v>
      </c>
      <c r="F93" t="s">
        <v>75</v>
      </c>
      <c r="G93" t="s">
        <v>456</v>
      </c>
      <c r="H93" t="s">
        <v>457</v>
      </c>
    </row>
    <row r="94" spans="1:8">
      <c r="A94" t="s">
        <v>129</v>
      </c>
      <c r="B94">
        <v>2018</v>
      </c>
      <c r="C94" t="s">
        <v>142</v>
      </c>
      <c r="D94">
        <v>0</v>
      </c>
      <c r="E94" t="s">
        <v>455</v>
      </c>
      <c r="F94" t="s">
        <v>75</v>
      </c>
      <c r="G94" t="s">
        <v>456</v>
      </c>
      <c r="H94" t="s">
        <v>457</v>
      </c>
    </row>
    <row r="95" spans="1:8">
      <c r="A95" t="s">
        <v>230</v>
      </c>
      <c r="B95">
        <v>2018</v>
      </c>
      <c r="C95" t="s">
        <v>142</v>
      </c>
      <c r="D95">
        <v>3.64</v>
      </c>
      <c r="E95" t="s">
        <v>455</v>
      </c>
      <c r="F95" t="s">
        <v>75</v>
      </c>
      <c r="G95" t="s">
        <v>456</v>
      </c>
      <c r="H95" t="s">
        <v>457</v>
      </c>
    </row>
    <row r="96" spans="1:8">
      <c r="A96" t="s">
        <v>168</v>
      </c>
      <c r="B96">
        <v>2018</v>
      </c>
      <c r="C96" t="s">
        <v>142</v>
      </c>
      <c r="D96">
        <v>0</v>
      </c>
      <c r="E96" t="s">
        <v>455</v>
      </c>
      <c r="F96" t="s">
        <v>75</v>
      </c>
      <c r="G96" t="s">
        <v>456</v>
      </c>
      <c r="H96" t="s">
        <v>457</v>
      </c>
    </row>
    <row r="97" spans="1:8">
      <c r="A97" t="s">
        <v>231</v>
      </c>
      <c r="B97">
        <v>2018</v>
      </c>
      <c r="C97" t="s">
        <v>142</v>
      </c>
      <c r="D97">
        <v>0.27</v>
      </c>
      <c r="E97" t="s">
        <v>455</v>
      </c>
      <c r="F97" t="s">
        <v>75</v>
      </c>
      <c r="G97" t="s">
        <v>456</v>
      </c>
      <c r="H97" t="s">
        <v>457</v>
      </c>
    </row>
    <row r="98" spans="1:8">
      <c r="A98" t="s">
        <v>128</v>
      </c>
      <c r="B98">
        <v>2019</v>
      </c>
      <c r="C98" t="s">
        <v>142</v>
      </c>
      <c r="D98">
        <v>0</v>
      </c>
      <c r="E98" t="s">
        <v>455</v>
      </c>
      <c r="F98" t="s">
        <v>75</v>
      </c>
      <c r="G98" t="s">
        <v>456</v>
      </c>
      <c r="H98" t="s">
        <v>457</v>
      </c>
    </row>
    <row r="99" spans="1:8">
      <c r="A99" t="s">
        <v>129</v>
      </c>
      <c r="B99">
        <v>2019</v>
      </c>
      <c r="C99" t="s">
        <v>142</v>
      </c>
      <c r="D99">
        <v>0</v>
      </c>
      <c r="E99" t="s">
        <v>455</v>
      </c>
      <c r="F99" t="s">
        <v>75</v>
      </c>
      <c r="G99" t="s">
        <v>456</v>
      </c>
      <c r="H99" t="s">
        <v>457</v>
      </c>
    </row>
    <row r="100" spans="1:8">
      <c r="A100" t="s">
        <v>230</v>
      </c>
      <c r="B100">
        <v>2019</v>
      </c>
      <c r="C100" t="s">
        <v>142</v>
      </c>
      <c r="D100">
        <v>4.04</v>
      </c>
      <c r="E100" t="s">
        <v>455</v>
      </c>
      <c r="F100" t="s">
        <v>75</v>
      </c>
      <c r="G100" t="s">
        <v>456</v>
      </c>
      <c r="H100" t="s">
        <v>457</v>
      </c>
    </row>
    <row r="101" spans="1:8">
      <c r="A101" t="s">
        <v>168</v>
      </c>
      <c r="B101">
        <v>2019</v>
      </c>
      <c r="C101" t="s">
        <v>142</v>
      </c>
      <c r="D101">
        <v>0</v>
      </c>
      <c r="E101" t="s">
        <v>455</v>
      </c>
      <c r="F101" t="s">
        <v>75</v>
      </c>
      <c r="G101" t="s">
        <v>456</v>
      </c>
      <c r="H101" t="s">
        <v>457</v>
      </c>
    </row>
    <row r="102" spans="1:8">
      <c r="A102" t="s">
        <v>231</v>
      </c>
      <c r="B102">
        <v>2019</v>
      </c>
      <c r="C102" t="s">
        <v>142</v>
      </c>
      <c r="D102">
        <v>0.09</v>
      </c>
      <c r="E102" t="s">
        <v>455</v>
      </c>
      <c r="F102" t="s">
        <v>75</v>
      </c>
      <c r="G102" t="s">
        <v>456</v>
      </c>
      <c r="H102" t="s">
        <v>457</v>
      </c>
    </row>
    <row r="103" spans="1:8">
      <c r="A103" t="s">
        <v>128</v>
      </c>
      <c r="B103">
        <v>2020</v>
      </c>
      <c r="C103" t="s">
        <v>142</v>
      </c>
      <c r="D103">
        <v>0</v>
      </c>
      <c r="E103" t="s">
        <v>455</v>
      </c>
      <c r="F103" t="s">
        <v>75</v>
      </c>
      <c r="G103" t="s">
        <v>456</v>
      </c>
      <c r="H103" t="s">
        <v>457</v>
      </c>
    </row>
    <row r="104" spans="1:8">
      <c r="A104" t="s">
        <v>129</v>
      </c>
      <c r="B104">
        <v>2020</v>
      </c>
      <c r="C104" t="s">
        <v>142</v>
      </c>
      <c r="D104">
        <v>0</v>
      </c>
      <c r="E104" t="s">
        <v>455</v>
      </c>
      <c r="F104" t="s">
        <v>75</v>
      </c>
      <c r="G104" t="s">
        <v>456</v>
      </c>
      <c r="H104" t="s">
        <v>457</v>
      </c>
    </row>
    <row r="105" spans="1:8">
      <c r="A105" t="s">
        <v>230</v>
      </c>
      <c r="B105">
        <v>2020</v>
      </c>
      <c r="C105" t="s">
        <v>142</v>
      </c>
      <c r="D105">
        <v>4.08</v>
      </c>
      <c r="E105" t="s">
        <v>455</v>
      </c>
      <c r="F105" t="s">
        <v>75</v>
      </c>
      <c r="G105" t="s">
        <v>456</v>
      </c>
      <c r="H105" t="s">
        <v>457</v>
      </c>
    </row>
    <row r="106" spans="1:8">
      <c r="A106" t="s">
        <v>168</v>
      </c>
      <c r="B106">
        <v>2020</v>
      </c>
      <c r="C106" t="s">
        <v>142</v>
      </c>
      <c r="D106">
        <v>0</v>
      </c>
      <c r="E106" t="s">
        <v>455</v>
      </c>
      <c r="F106" t="s">
        <v>75</v>
      </c>
      <c r="G106" t="s">
        <v>456</v>
      </c>
      <c r="H106" t="s">
        <v>457</v>
      </c>
    </row>
    <row r="107" spans="1:8">
      <c r="A107" t="s">
        <v>231</v>
      </c>
      <c r="B107">
        <v>2020</v>
      </c>
      <c r="C107" t="s">
        <v>142</v>
      </c>
      <c r="D107">
        <v>0.06</v>
      </c>
      <c r="E107" t="s">
        <v>455</v>
      </c>
      <c r="F107" t="s">
        <v>75</v>
      </c>
      <c r="G107" t="s">
        <v>456</v>
      </c>
      <c r="H107" t="s">
        <v>457</v>
      </c>
    </row>
    <row r="108" spans="1:8">
      <c r="A108" t="s">
        <v>128</v>
      </c>
      <c r="B108">
        <v>2021</v>
      </c>
      <c r="C108" t="s">
        <v>142</v>
      </c>
      <c r="D108">
        <v>0</v>
      </c>
      <c r="E108" t="s">
        <v>455</v>
      </c>
      <c r="F108" t="s">
        <v>75</v>
      </c>
      <c r="G108" t="s">
        <v>456</v>
      </c>
      <c r="H108" t="s">
        <v>457</v>
      </c>
    </row>
    <row r="109" spans="1:8">
      <c r="A109" t="s">
        <v>129</v>
      </c>
      <c r="B109">
        <v>2021</v>
      </c>
      <c r="C109" t="s">
        <v>142</v>
      </c>
      <c r="D109">
        <v>0</v>
      </c>
      <c r="E109" t="s">
        <v>455</v>
      </c>
      <c r="F109" t="s">
        <v>75</v>
      </c>
      <c r="G109" t="s">
        <v>456</v>
      </c>
      <c r="H109" t="s">
        <v>457</v>
      </c>
    </row>
    <row r="110" spans="1:8">
      <c r="A110" t="s">
        <v>230</v>
      </c>
      <c r="B110">
        <v>2021</v>
      </c>
      <c r="C110" t="s">
        <v>142</v>
      </c>
      <c r="D110">
        <v>4.6399999999999997</v>
      </c>
      <c r="E110" t="s">
        <v>455</v>
      </c>
      <c r="F110" t="s">
        <v>75</v>
      </c>
      <c r="G110" t="s">
        <v>456</v>
      </c>
      <c r="H110" t="s">
        <v>457</v>
      </c>
    </row>
    <row r="111" spans="1:8">
      <c r="A111" t="s">
        <v>168</v>
      </c>
      <c r="B111">
        <v>2021</v>
      </c>
      <c r="C111" t="s">
        <v>142</v>
      </c>
      <c r="D111">
        <v>0</v>
      </c>
      <c r="E111" t="s">
        <v>455</v>
      </c>
      <c r="F111" t="s">
        <v>75</v>
      </c>
      <c r="G111" t="s">
        <v>456</v>
      </c>
      <c r="H111" t="s">
        <v>457</v>
      </c>
    </row>
    <row r="112" spans="1:8">
      <c r="A112" t="s">
        <v>231</v>
      </c>
      <c r="B112">
        <v>2021</v>
      </c>
      <c r="C112" t="s">
        <v>142</v>
      </c>
      <c r="D112">
        <v>0.05</v>
      </c>
      <c r="E112" t="s">
        <v>455</v>
      </c>
      <c r="F112" t="s">
        <v>75</v>
      </c>
      <c r="G112" t="s">
        <v>456</v>
      </c>
      <c r="H112" t="s">
        <v>457</v>
      </c>
    </row>
    <row r="113" spans="1:8">
      <c r="A113" t="s">
        <v>128</v>
      </c>
      <c r="B113">
        <v>2022</v>
      </c>
      <c r="C113" t="s">
        <v>142</v>
      </c>
      <c r="D113">
        <v>0</v>
      </c>
      <c r="E113" t="s">
        <v>455</v>
      </c>
      <c r="F113" t="s">
        <v>75</v>
      </c>
      <c r="G113" t="s">
        <v>456</v>
      </c>
      <c r="H113" t="s">
        <v>457</v>
      </c>
    </row>
    <row r="114" spans="1:8">
      <c r="A114" t="s">
        <v>129</v>
      </c>
      <c r="B114">
        <v>2022</v>
      </c>
      <c r="C114" t="s">
        <v>142</v>
      </c>
      <c r="D114">
        <v>0</v>
      </c>
      <c r="E114" t="s">
        <v>455</v>
      </c>
      <c r="F114" t="s">
        <v>75</v>
      </c>
      <c r="G114" t="s">
        <v>456</v>
      </c>
      <c r="H114" t="s">
        <v>457</v>
      </c>
    </row>
    <row r="115" spans="1:8">
      <c r="A115" t="s">
        <v>230</v>
      </c>
      <c r="B115">
        <v>2022</v>
      </c>
      <c r="C115" t="s">
        <v>142</v>
      </c>
      <c r="D115">
        <v>4.8099999999999996</v>
      </c>
      <c r="E115" t="s">
        <v>455</v>
      </c>
      <c r="F115" t="s">
        <v>75</v>
      </c>
      <c r="G115" t="s">
        <v>456</v>
      </c>
      <c r="H115" t="s">
        <v>457</v>
      </c>
    </row>
    <row r="116" spans="1:8">
      <c r="A116" t="s">
        <v>168</v>
      </c>
      <c r="B116">
        <v>2022</v>
      </c>
      <c r="C116" t="s">
        <v>142</v>
      </c>
      <c r="D116">
        <v>0</v>
      </c>
      <c r="E116" t="s">
        <v>455</v>
      </c>
      <c r="F116" t="s">
        <v>75</v>
      </c>
      <c r="G116" t="s">
        <v>456</v>
      </c>
      <c r="H116" t="s">
        <v>457</v>
      </c>
    </row>
    <row r="117" spans="1:8">
      <c r="A117" t="s">
        <v>231</v>
      </c>
      <c r="B117">
        <v>2022</v>
      </c>
      <c r="C117" t="s">
        <v>142</v>
      </c>
      <c r="D117">
        <v>0.06</v>
      </c>
      <c r="E117" t="s">
        <v>455</v>
      </c>
      <c r="F117" t="s">
        <v>75</v>
      </c>
      <c r="G117" t="s">
        <v>456</v>
      </c>
      <c r="H117" t="s">
        <v>457</v>
      </c>
    </row>
    <row r="118" spans="1:8">
      <c r="A118" t="s">
        <v>128</v>
      </c>
      <c r="B118">
        <v>2000</v>
      </c>
      <c r="C118" t="s">
        <v>7</v>
      </c>
      <c r="E118" t="s">
        <v>455</v>
      </c>
      <c r="F118" t="s">
        <v>65</v>
      </c>
      <c r="G118" t="s">
        <v>456</v>
      </c>
      <c r="H118" t="s">
        <v>457</v>
      </c>
    </row>
    <row r="119" spans="1:8">
      <c r="A119" t="s">
        <v>129</v>
      </c>
      <c r="B119">
        <v>2000</v>
      </c>
      <c r="C119" t="s">
        <v>7</v>
      </c>
      <c r="E119" t="s">
        <v>455</v>
      </c>
      <c r="F119" t="s">
        <v>65</v>
      </c>
      <c r="G119" t="s">
        <v>456</v>
      </c>
      <c r="H119" t="s">
        <v>457</v>
      </c>
    </row>
    <row r="120" spans="1:8">
      <c r="A120" t="s">
        <v>230</v>
      </c>
      <c r="B120">
        <v>2000</v>
      </c>
      <c r="C120" t="s">
        <v>7</v>
      </c>
      <c r="D120">
        <v>0.26</v>
      </c>
      <c r="E120" t="s">
        <v>455</v>
      </c>
      <c r="F120" t="s">
        <v>65</v>
      </c>
      <c r="G120" t="s">
        <v>456</v>
      </c>
      <c r="H120" t="s">
        <v>457</v>
      </c>
    </row>
    <row r="121" spans="1:8">
      <c r="A121" t="s">
        <v>168</v>
      </c>
      <c r="B121">
        <v>2000</v>
      </c>
      <c r="C121" t="s">
        <v>7</v>
      </c>
      <c r="E121" t="s">
        <v>455</v>
      </c>
      <c r="F121" t="s">
        <v>65</v>
      </c>
      <c r="G121" t="s">
        <v>456</v>
      </c>
      <c r="H121" t="s">
        <v>457</v>
      </c>
    </row>
    <row r="122" spans="1:8">
      <c r="A122" t="s">
        <v>231</v>
      </c>
      <c r="B122">
        <v>2000</v>
      </c>
      <c r="C122" t="s">
        <v>7</v>
      </c>
      <c r="D122">
        <v>0</v>
      </c>
      <c r="E122" t="s">
        <v>455</v>
      </c>
      <c r="F122" t="s">
        <v>65</v>
      </c>
      <c r="G122" t="s">
        <v>456</v>
      </c>
      <c r="H122" t="s">
        <v>457</v>
      </c>
    </row>
    <row r="123" spans="1:8">
      <c r="A123" t="s">
        <v>128</v>
      </c>
      <c r="B123">
        <v>2001</v>
      </c>
      <c r="C123" t="s">
        <v>7</v>
      </c>
      <c r="E123" t="s">
        <v>455</v>
      </c>
      <c r="F123" t="s">
        <v>65</v>
      </c>
      <c r="G123" t="s">
        <v>456</v>
      </c>
      <c r="H123" t="s">
        <v>457</v>
      </c>
    </row>
    <row r="124" spans="1:8">
      <c r="A124" t="s">
        <v>129</v>
      </c>
      <c r="B124">
        <v>2001</v>
      </c>
      <c r="C124" t="s">
        <v>7</v>
      </c>
      <c r="E124" t="s">
        <v>455</v>
      </c>
      <c r="F124" t="s">
        <v>65</v>
      </c>
      <c r="G124" t="s">
        <v>456</v>
      </c>
      <c r="H124" t="s">
        <v>457</v>
      </c>
    </row>
    <row r="125" spans="1:8">
      <c r="A125" t="s">
        <v>230</v>
      </c>
      <c r="B125">
        <v>2001</v>
      </c>
      <c r="C125" t="s">
        <v>7</v>
      </c>
      <c r="D125">
        <v>0.26</v>
      </c>
      <c r="E125" t="s">
        <v>455</v>
      </c>
      <c r="F125" t="s">
        <v>65</v>
      </c>
      <c r="G125" t="s">
        <v>456</v>
      </c>
      <c r="H125" t="s">
        <v>457</v>
      </c>
    </row>
    <row r="126" spans="1:8">
      <c r="A126" t="s">
        <v>168</v>
      </c>
      <c r="B126">
        <v>2001</v>
      </c>
      <c r="C126" t="s">
        <v>7</v>
      </c>
      <c r="E126" t="s">
        <v>455</v>
      </c>
      <c r="F126" t="s">
        <v>65</v>
      </c>
      <c r="G126" t="s">
        <v>456</v>
      </c>
      <c r="H126" t="s">
        <v>457</v>
      </c>
    </row>
    <row r="127" spans="1:8">
      <c r="A127" t="s">
        <v>231</v>
      </c>
      <c r="B127">
        <v>2001</v>
      </c>
      <c r="C127" t="s">
        <v>7</v>
      </c>
      <c r="D127">
        <v>0</v>
      </c>
      <c r="E127" t="s">
        <v>455</v>
      </c>
      <c r="F127" t="s">
        <v>65</v>
      </c>
      <c r="G127" t="s">
        <v>456</v>
      </c>
      <c r="H127" t="s">
        <v>457</v>
      </c>
    </row>
    <row r="128" spans="1:8">
      <c r="A128" t="s">
        <v>128</v>
      </c>
      <c r="B128">
        <v>2002</v>
      </c>
      <c r="C128" t="s">
        <v>7</v>
      </c>
      <c r="E128" t="s">
        <v>455</v>
      </c>
      <c r="F128" t="s">
        <v>65</v>
      </c>
      <c r="G128" t="s">
        <v>456</v>
      </c>
      <c r="H128" t="s">
        <v>457</v>
      </c>
    </row>
    <row r="129" spans="1:8">
      <c r="A129" t="s">
        <v>129</v>
      </c>
      <c r="B129">
        <v>2002</v>
      </c>
      <c r="C129" t="s">
        <v>7</v>
      </c>
      <c r="E129" t="s">
        <v>455</v>
      </c>
      <c r="F129" t="s">
        <v>65</v>
      </c>
      <c r="G129" t="s">
        <v>456</v>
      </c>
      <c r="H129" t="s">
        <v>457</v>
      </c>
    </row>
    <row r="130" spans="1:8">
      <c r="A130" t="s">
        <v>230</v>
      </c>
      <c r="B130">
        <v>2002</v>
      </c>
      <c r="C130" t="s">
        <v>7</v>
      </c>
      <c r="D130">
        <v>0.3</v>
      </c>
      <c r="E130" t="s">
        <v>455</v>
      </c>
      <c r="F130" t="s">
        <v>65</v>
      </c>
      <c r="G130" t="s">
        <v>456</v>
      </c>
      <c r="H130" t="s">
        <v>457</v>
      </c>
    </row>
    <row r="131" spans="1:8">
      <c r="A131" t="s">
        <v>168</v>
      </c>
      <c r="B131">
        <v>2002</v>
      </c>
      <c r="C131" t="s">
        <v>7</v>
      </c>
      <c r="E131" t="s">
        <v>455</v>
      </c>
      <c r="F131" t="s">
        <v>65</v>
      </c>
      <c r="G131" t="s">
        <v>456</v>
      </c>
      <c r="H131" t="s">
        <v>457</v>
      </c>
    </row>
    <row r="132" spans="1:8">
      <c r="A132" t="s">
        <v>231</v>
      </c>
      <c r="B132">
        <v>2002</v>
      </c>
      <c r="C132" t="s">
        <v>7</v>
      </c>
      <c r="D132">
        <v>0</v>
      </c>
      <c r="E132" t="s">
        <v>455</v>
      </c>
      <c r="F132" t="s">
        <v>65</v>
      </c>
      <c r="G132" t="s">
        <v>456</v>
      </c>
      <c r="H132" t="s">
        <v>457</v>
      </c>
    </row>
    <row r="133" spans="1:8">
      <c r="A133" t="s">
        <v>128</v>
      </c>
      <c r="B133">
        <v>2003</v>
      </c>
      <c r="C133" t="s">
        <v>7</v>
      </c>
      <c r="E133" t="s">
        <v>455</v>
      </c>
      <c r="F133" t="s">
        <v>65</v>
      </c>
      <c r="G133" t="s">
        <v>456</v>
      </c>
      <c r="H133" t="s">
        <v>457</v>
      </c>
    </row>
    <row r="134" spans="1:8">
      <c r="A134" t="s">
        <v>129</v>
      </c>
      <c r="B134">
        <v>2003</v>
      </c>
      <c r="C134" t="s">
        <v>7</v>
      </c>
      <c r="E134" t="s">
        <v>455</v>
      </c>
      <c r="F134" t="s">
        <v>65</v>
      </c>
      <c r="G134" t="s">
        <v>456</v>
      </c>
      <c r="H134" t="s">
        <v>457</v>
      </c>
    </row>
    <row r="135" spans="1:8">
      <c r="A135" t="s">
        <v>230</v>
      </c>
      <c r="B135">
        <v>2003</v>
      </c>
      <c r="C135" t="s">
        <v>7</v>
      </c>
      <c r="D135">
        <v>0.3</v>
      </c>
      <c r="E135" t="s">
        <v>455</v>
      </c>
      <c r="F135" t="s">
        <v>65</v>
      </c>
      <c r="G135" t="s">
        <v>456</v>
      </c>
      <c r="H135" t="s">
        <v>457</v>
      </c>
    </row>
    <row r="136" spans="1:8">
      <c r="A136" t="s">
        <v>168</v>
      </c>
      <c r="B136">
        <v>2003</v>
      </c>
      <c r="C136" t="s">
        <v>7</v>
      </c>
      <c r="E136" t="s">
        <v>455</v>
      </c>
      <c r="F136" t="s">
        <v>65</v>
      </c>
      <c r="G136" t="s">
        <v>456</v>
      </c>
      <c r="H136" t="s">
        <v>457</v>
      </c>
    </row>
    <row r="137" spans="1:8">
      <c r="A137" t="s">
        <v>231</v>
      </c>
      <c r="B137">
        <v>2003</v>
      </c>
      <c r="C137" t="s">
        <v>7</v>
      </c>
      <c r="D137">
        <v>0</v>
      </c>
      <c r="E137" t="s">
        <v>455</v>
      </c>
      <c r="F137" t="s">
        <v>65</v>
      </c>
      <c r="G137" t="s">
        <v>456</v>
      </c>
      <c r="H137" t="s">
        <v>457</v>
      </c>
    </row>
    <row r="138" spans="1:8">
      <c r="A138" t="s">
        <v>128</v>
      </c>
      <c r="B138">
        <v>2004</v>
      </c>
      <c r="C138" t="s">
        <v>7</v>
      </c>
      <c r="E138" t="s">
        <v>455</v>
      </c>
      <c r="F138" t="s">
        <v>65</v>
      </c>
      <c r="G138" t="s">
        <v>456</v>
      </c>
      <c r="H138" t="s">
        <v>457</v>
      </c>
    </row>
    <row r="139" spans="1:8">
      <c r="A139" t="s">
        <v>129</v>
      </c>
      <c r="B139">
        <v>2004</v>
      </c>
      <c r="C139" t="s">
        <v>7</v>
      </c>
      <c r="E139" t="s">
        <v>455</v>
      </c>
      <c r="F139" t="s">
        <v>65</v>
      </c>
      <c r="G139" t="s">
        <v>456</v>
      </c>
      <c r="H139" t="s">
        <v>457</v>
      </c>
    </row>
    <row r="140" spans="1:8">
      <c r="A140" t="s">
        <v>230</v>
      </c>
      <c r="B140">
        <v>2004</v>
      </c>
      <c r="C140" t="s">
        <v>7</v>
      </c>
      <c r="D140">
        <v>0.3</v>
      </c>
      <c r="E140" t="s">
        <v>455</v>
      </c>
      <c r="F140" t="s">
        <v>65</v>
      </c>
      <c r="G140" t="s">
        <v>456</v>
      </c>
      <c r="H140" t="s">
        <v>457</v>
      </c>
    </row>
    <row r="141" spans="1:8">
      <c r="A141" t="s">
        <v>168</v>
      </c>
      <c r="B141">
        <v>2004</v>
      </c>
      <c r="C141" t="s">
        <v>7</v>
      </c>
      <c r="E141" t="s">
        <v>455</v>
      </c>
      <c r="F141" t="s">
        <v>65</v>
      </c>
      <c r="G141" t="s">
        <v>456</v>
      </c>
      <c r="H141" t="s">
        <v>457</v>
      </c>
    </row>
    <row r="142" spans="1:8">
      <c r="A142" t="s">
        <v>231</v>
      </c>
      <c r="B142">
        <v>2004</v>
      </c>
      <c r="C142" t="s">
        <v>7</v>
      </c>
      <c r="D142">
        <v>0</v>
      </c>
      <c r="E142" t="s">
        <v>455</v>
      </c>
      <c r="F142" t="s">
        <v>65</v>
      </c>
      <c r="G142" t="s">
        <v>456</v>
      </c>
      <c r="H142" t="s">
        <v>457</v>
      </c>
    </row>
    <row r="143" spans="1:8">
      <c r="A143" t="s">
        <v>128</v>
      </c>
      <c r="B143">
        <v>2005</v>
      </c>
      <c r="C143" t="s">
        <v>7</v>
      </c>
      <c r="E143" t="s">
        <v>455</v>
      </c>
      <c r="F143" t="s">
        <v>65</v>
      </c>
      <c r="G143" t="s">
        <v>456</v>
      </c>
      <c r="H143" t="s">
        <v>457</v>
      </c>
    </row>
    <row r="144" spans="1:8">
      <c r="A144" t="s">
        <v>129</v>
      </c>
      <c r="B144">
        <v>2005</v>
      </c>
      <c r="C144" t="s">
        <v>7</v>
      </c>
      <c r="E144" t="s">
        <v>455</v>
      </c>
      <c r="F144" t="s">
        <v>65</v>
      </c>
      <c r="G144" t="s">
        <v>456</v>
      </c>
      <c r="H144" t="s">
        <v>457</v>
      </c>
    </row>
    <row r="145" spans="1:8">
      <c r="A145" t="s">
        <v>230</v>
      </c>
      <c r="B145">
        <v>2005</v>
      </c>
      <c r="C145" t="s">
        <v>7</v>
      </c>
      <c r="D145">
        <v>0.31</v>
      </c>
      <c r="E145" t="s">
        <v>455</v>
      </c>
      <c r="F145" t="s">
        <v>65</v>
      </c>
      <c r="G145" t="s">
        <v>456</v>
      </c>
      <c r="H145" t="s">
        <v>457</v>
      </c>
    </row>
    <row r="146" spans="1:8">
      <c r="A146" t="s">
        <v>168</v>
      </c>
      <c r="B146">
        <v>2005</v>
      </c>
      <c r="C146" t="s">
        <v>7</v>
      </c>
      <c r="E146" t="s">
        <v>455</v>
      </c>
      <c r="F146" t="s">
        <v>65</v>
      </c>
      <c r="G146" t="s">
        <v>456</v>
      </c>
      <c r="H146" t="s">
        <v>457</v>
      </c>
    </row>
    <row r="147" spans="1:8">
      <c r="A147" t="s">
        <v>231</v>
      </c>
      <c r="B147">
        <v>2005</v>
      </c>
      <c r="C147" t="s">
        <v>7</v>
      </c>
      <c r="D147">
        <v>0.05</v>
      </c>
      <c r="E147" t="s">
        <v>455</v>
      </c>
      <c r="F147" t="s">
        <v>65</v>
      </c>
      <c r="G147" t="s">
        <v>456</v>
      </c>
      <c r="H147" t="s">
        <v>457</v>
      </c>
    </row>
    <row r="148" spans="1:8">
      <c r="A148" t="s">
        <v>128</v>
      </c>
      <c r="B148">
        <v>2006</v>
      </c>
      <c r="C148" t="s">
        <v>7</v>
      </c>
      <c r="E148" t="s">
        <v>455</v>
      </c>
      <c r="F148" t="s">
        <v>65</v>
      </c>
      <c r="G148" t="s">
        <v>456</v>
      </c>
      <c r="H148" t="s">
        <v>457</v>
      </c>
    </row>
    <row r="149" spans="1:8">
      <c r="A149" t="s">
        <v>129</v>
      </c>
      <c r="B149">
        <v>2006</v>
      </c>
      <c r="C149" t="s">
        <v>7</v>
      </c>
      <c r="E149" t="s">
        <v>455</v>
      </c>
      <c r="F149" t="s">
        <v>65</v>
      </c>
      <c r="G149" t="s">
        <v>456</v>
      </c>
      <c r="H149" t="s">
        <v>457</v>
      </c>
    </row>
    <row r="150" spans="1:8">
      <c r="A150" t="s">
        <v>230</v>
      </c>
      <c r="B150">
        <v>2006</v>
      </c>
      <c r="C150" t="s">
        <v>7</v>
      </c>
      <c r="D150">
        <v>0.31</v>
      </c>
      <c r="E150" t="s">
        <v>455</v>
      </c>
      <c r="F150" t="s">
        <v>65</v>
      </c>
      <c r="G150" t="s">
        <v>456</v>
      </c>
      <c r="H150" t="s">
        <v>457</v>
      </c>
    </row>
    <row r="151" spans="1:8">
      <c r="A151" t="s">
        <v>168</v>
      </c>
      <c r="B151">
        <v>2006</v>
      </c>
      <c r="C151" t="s">
        <v>7</v>
      </c>
      <c r="E151" t="s">
        <v>455</v>
      </c>
      <c r="F151" t="s">
        <v>65</v>
      </c>
      <c r="G151" t="s">
        <v>456</v>
      </c>
      <c r="H151" t="s">
        <v>457</v>
      </c>
    </row>
    <row r="152" spans="1:8">
      <c r="A152" t="s">
        <v>231</v>
      </c>
      <c r="B152">
        <v>2006</v>
      </c>
      <c r="C152" t="s">
        <v>7</v>
      </c>
      <c r="D152">
        <v>0.1</v>
      </c>
      <c r="E152" t="s">
        <v>455</v>
      </c>
      <c r="F152" t="s">
        <v>65</v>
      </c>
      <c r="G152" t="s">
        <v>456</v>
      </c>
      <c r="H152" t="s">
        <v>457</v>
      </c>
    </row>
    <row r="153" spans="1:8">
      <c r="A153" t="s">
        <v>128</v>
      </c>
      <c r="B153">
        <v>2007</v>
      </c>
      <c r="C153" t="s">
        <v>7</v>
      </c>
      <c r="E153" t="s">
        <v>455</v>
      </c>
      <c r="F153" t="s">
        <v>65</v>
      </c>
      <c r="G153" t="s">
        <v>456</v>
      </c>
      <c r="H153" t="s">
        <v>457</v>
      </c>
    </row>
    <row r="154" spans="1:8">
      <c r="A154" t="s">
        <v>129</v>
      </c>
      <c r="B154">
        <v>2007</v>
      </c>
      <c r="C154" t="s">
        <v>7</v>
      </c>
      <c r="E154" t="s">
        <v>455</v>
      </c>
      <c r="F154" t="s">
        <v>65</v>
      </c>
      <c r="G154" t="s">
        <v>456</v>
      </c>
      <c r="H154" t="s">
        <v>457</v>
      </c>
    </row>
    <row r="155" spans="1:8">
      <c r="A155" t="s">
        <v>230</v>
      </c>
      <c r="B155">
        <v>2007</v>
      </c>
      <c r="C155" t="s">
        <v>7</v>
      </c>
      <c r="D155">
        <v>0.31</v>
      </c>
      <c r="E155" t="s">
        <v>455</v>
      </c>
      <c r="F155" t="s">
        <v>65</v>
      </c>
      <c r="G155" t="s">
        <v>456</v>
      </c>
      <c r="H155" t="s">
        <v>457</v>
      </c>
    </row>
    <row r="156" spans="1:8">
      <c r="A156" t="s">
        <v>168</v>
      </c>
      <c r="B156">
        <v>2007</v>
      </c>
      <c r="C156" t="s">
        <v>7</v>
      </c>
      <c r="E156" t="s">
        <v>455</v>
      </c>
      <c r="F156" t="s">
        <v>65</v>
      </c>
      <c r="G156" t="s">
        <v>456</v>
      </c>
      <c r="H156" t="s">
        <v>457</v>
      </c>
    </row>
    <row r="157" spans="1:8">
      <c r="A157" t="s">
        <v>231</v>
      </c>
      <c r="B157">
        <v>2007</v>
      </c>
      <c r="C157" t="s">
        <v>7</v>
      </c>
      <c r="D157">
        <v>0.1</v>
      </c>
      <c r="E157" t="s">
        <v>455</v>
      </c>
      <c r="F157" t="s">
        <v>65</v>
      </c>
      <c r="G157" t="s">
        <v>456</v>
      </c>
      <c r="H157" t="s">
        <v>457</v>
      </c>
    </row>
    <row r="158" spans="1:8">
      <c r="A158" t="s">
        <v>128</v>
      </c>
      <c r="B158">
        <v>2008</v>
      </c>
      <c r="C158" t="s">
        <v>7</v>
      </c>
      <c r="E158" t="s">
        <v>455</v>
      </c>
      <c r="F158" t="s">
        <v>65</v>
      </c>
      <c r="G158" t="s">
        <v>456</v>
      </c>
      <c r="H158" t="s">
        <v>457</v>
      </c>
    </row>
    <row r="159" spans="1:8">
      <c r="A159" t="s">
        <v>129</v>
      </c>
      <c r="B159">
        <v>2008</v>
      </c>
      <c r="C159" t="s">
        <v>7</v>
      </c>
      <c r="E159" t="s">
        <v>455</v>
      </c>
      <c r="F159" t="s">
        <v>65</v>
      </c>
      <c r="G159" t="s">
        <v>456</v>
      </c>
      <c r="H159" t="s">
        <v>457</v>
      </c>
    </row>
    <row r="160" spans="1:8">
      <c r="A160" t="s">
        <v>230</v>
      </c>
      <c r="B160">
        <v>2008</v>
      </c>
      <c r="C160" t="s">
        <v>7</v>
      </c>
      <c r="D160">
        <v>0.4</v>
      </c>
      <c r="E160" t="s">
        <v>455</v>
      </c>
      <c r="F160" t="s">
        <v>65</v>
      </c>
      <c r="G160" t="s">
        <v>456</v>
      </c>
      <c r="H160" t="s">
        <v>457</v>
      </c>
    </row>
    <row r="161" spans="1:8">
      <c r="A161" t="s">
        <v>168</v>
      </c>
      <c r="B161">
        <v>2008</v>
      </c>
      <c r="C161" t="s">
        <v>7</v>
      </c>
      <c r="E161" t="s">
        <v>455</v>
      </c>
      <c r="F161" t="s">
        <v>65</v>
      </c>
      <c r="G161" t="s">
        <v>456</v>
      </c>
      <c r="H161" t="s">
        <v>457</v>
      </c>
    </row>
    <row r="162" spans="1:8">
      <c r="A162" t="s">
        <v>231</v>
      </c>
      <c r="B162">
        <v>2008</v>
      </c>
      <c r="C162" t="s">
        <v>7</v>
      </c>
      <c r="D162">
        <v>0.2</v>
      </c>
      <c r="E162" t="s">
        <v>455</v>
      </c>
      <c r="F162" t="s">
        <v>65</v>
      </c>
      <c r="G162" t="s">
        <v>456</v>
      </c>
      <c r="H162" t="s">
        <v>457</v>
      </c>
    </row>
    <row r="163" spans="1:8">
      <c r="A163" t="s">
        <v>128</v>
      </c>
      <c r="B163">
        <v>2009</v>
      </c>
      <c r="C163" t="s">
        <v>7</v>
      </c>
      <c r="E163" t="s">
        <v>455</v>
      </c>
      <c r="F163" t="s">
        <v>65</v>
      </c>
      <c r="G163" t="s">
        <v>456</v>
      </c>
      <c r="H163" t="s">
        <v>457</v>
      </c>
    </row>
    <row r="164" spans="1:8">
      <c r="A164" t="s">
        <v>129</v>
      </c>
      <c r="B164">
        <v>2009</v>
      </c>
      <c r="C164" t="s">
        <v>7</v>
      </c>
      <c r="E164" t="s">
        <v>455</v>
      </c>
      <c r="F164" t="s">
        <v>65</v>
      </c>
      <c r="G164" t="s">
        <v>456</v>
      </c>
      <c r="H164" t="s">
        <v>457</v>
      </c>
    </row>
    <row r="165" spans="1:8">
      <c r="A165" t="s">
        <v>230</v>
      </c>
      <c r="B165">
        <v>2009</v>
      </c>
      <c r="C165" t="s">
        <v>7</v>
      </c>
      <c r="D165">
        <v>0.41</v>
      </c>
      <c r="E165" t="s">
        <v>455</v>
      </c>
      <c r="F165" t="s">
        <v>65</v>
      </c>
      <c r="G165" t="s">
        <v>456</v>
      </c>
      <c r="H165" t="s">
        <v>457</v>
      </c>
    </row>
    <row r="166" spans="1:8">
      <c r="A166" t="s">
        <v>168</v>
      </c>
      <c r="B166">
        <v>2009</v>
      </c>
      <c r="C166" t="s">
        <v>7</v>
      </c>
      <c r="E166" t="s">
        <v>455</v>
      </c>
      <c r="F166" t="s">
        <v>65</v>
      </c>
      <c r="G166" t="s">
        <v>456</v>
      </c>
      <c r="H166" t="s">
        <v>457</v>
      </c>
    </row>
    <row r="167" spans="1:8">
      <c r="A167" t="s">
        <v>231</v>
      </c>
      <c r="B167">
        <v>2009</v>
      </c>
      <c r="C167" t="s">
        <v>7</v>
      </c>
      <c r="D167">
        <v>0.15</v>
      </c>
      <c r="E167" t="s">
        <v>455</v>
      </c>
      <c r="F167" t="s">
        <v>65</v>
      </c>
      <c r="G167" t="s">
        <v>456</v>
      </c>
      <c r="H167" t="s">
        <v>457</v>
      </c>
    </row>
    <row r="168" spans="1:8">
      <c r="A168" t="s">
        <v>128</v>
      </c>
      <c r="B168">
        <v>2010</v>
      </c>
      <c r="C168" t="s">
        <v>7</v>
      </c>
      <c r="E168" t="s">
        <v>455</v>
      </c>
      <c r="F168" t="s">
        <v>65</v>
      </c>
      <c r="G168" t="s">
        <v>456</v>
      </c>
      <c r="H168" t="s">
        <v>457</v>
      </c>
    </row>
    <row r="169" spans="1:8">
      <c r="A169" t="s">
        <v>129</v>
      </c>
      <c r="B169">
        <v>2010</v>
      </c>
      <c r="C169" t="s">
        <v>7</v>
      </c>
      <c r="E169" t="s">
        <v>455</v>
      </c>
      <c r="F169" t="s">
        <v>65</v>
      </c>
      <c r="G169" t="s">
        <v>456</v>
      </c>
      <c r="H169" t="s">
        <v>457</v>
      </c>
    </row>
    <row r="170" spans="1:8">
      <c r="A170" t="s">
        <v>230</v>
      </c>
      <c r="B170">
        <v>2010</v>
      </c>
      <c r="C170" t="s">
        <v>7</v>
      </c>
      <c r="D170">
        <v>0.43</v>
      </c>
      <c r="E170" t="s">
        <v>455</v>
      </c>
      <c r="F170" t="s">
        <v>65</v>
      </c>
      <c r="G170" t="s">
        <v>456</v>
      </c>
      <c r="H170" t="s">
        <v>457</v>
      </c>
    </row>
    <row r="171" spans="1:8">
      <c r="A171" t="s">
        <v>168</v>
      </c>
      <c r="B171">
        <v>2010</v>
      </c>
      <c r="C171" t="s">
        <v>7</v>
      </c>
      <c r="E171" t="s">
        <v>455</v>
      </c>
      <c r="F171" t="s">
        <v>65</v>
      </c>
      <c r="G171" t="s">
        <v>456</v>
      </c>
      <c r="H171" t="s">
        <v>457</v>
      </c>
    </row>
    <row r="172" spans="1:8">
      <c r="A172" t="s">
        <v>231</v>
      </c>
      <c r="B172">
        <v>2010</v>
      </c>
      <c r="C172" t="s">
        <v>7</v>
      </c>
      <c r="D172">
        <v>0.17</v>
      </c>
      <c r="E172" t="s">
        <v>455</v>
      </c>
      <c r="F172" t="s">
        <v>65</v>
      </c>
      <c r="G172" t="s">
        <v>456</v>
      </c>
      <c r="H172" t="s">
        <v>457</v>
      </c>
    </row>
    <row r="173" spans="1:8">
      <c r="A173" t="s">
        <v>128</v>
      </c>
      <c r="B173">
        <v>2011</v>
      </c>
      <c r="C173" t="s">
        <v>7</v>
      </c>
      <c r="E173" t="s">
        <v>455</v>
      </c>
      <c r="F173" t="s">
        <v>65</v>
      </c>
      <c r="G173" t="s">
        <v>456</v>
      </c>
      <c r="H173" t="s">
        <v>457</v>
      </c>
    </row>
    <row r="174" spans="1:8">
      <c r="A174" t="s">
        <v>129</v>
      </c>
      <c r="B174">
        <v>2011</v>
      </c>
      <c r="C174" t="s">
        <v>7</v>
      </c>
      <c r="E174" t="s">
        <v>455</v>
      </c>
      <c r="F174" t="s">
        <v>65</v>
      </c>
      <c r="G174" t="s">
        <v>456</v>
      </c>
      <c r="H174" t="s">
        <v>457</v>
      </c>
    </row>
    <row r="175" spans="1:8">
      <c r="A175" t="s">
        <v>230</v>
      </c>
      <c r="B175">
        <v>2011</v>
      </c>
      <c r="C175" t="s">
        <v>7</v>
      </c>
      <c r="D175">
        <v>0.43</v>
      </c>
      <c r="E175" t="s">
        <v>455</v>
      </c>
      <c r="F175" t="s">
        <v>65</v>
      </c>
      <c r="G175" t="s">
        <v>456</v>
      </c>
      <c r="H175" t="s">
        <v>457</v>
      </c>
    </row>
    <row r="176" spans="1:8">
      <c r="A176" t="s">
        <v>168</v>
      </c>
      <c r="B176">
        <v>2011</v>
      </c>
      <c r="C176" t="s">
        <v>7</v>
      </c>
      <c r="E176" t="s">
        <v>455</v>
      </c>
      <c r="F176" t="s">
        <v>65</v>
      </c>
      <c r="G176" t="s">
        <v>456</v>
      </c>
      <c r="H176" t="s">
        <v>457</v>
      </c>
    </row>
    <row r="177" spans="1:8">
      <c r="A177" t="s">
        <v>231</v>
      </c>
      <c r="B177">
        <v>2011</v>
      </c>
      <c r="C177" t="s">
        <v>7</v>
      </c>
      <c r="D177">
        <v>0.17</v>
      </c>
      <c r="E177" t="s">
        <v>455</v>
      </c>
      <c r="F177" t="s">
        <v>65</v>
      </c>
      <c r="G177" t="s">
        <v>456</v>
      </c>
      <c r="H177" t="s">
        <v>457</v>
      </c>
    </row>
    <row r="178" spans="1:8">
      <c r="A178" t="s">
        <v>128</v>
      </c>
      <c r="B178">
        <v>2012</v>
      </c>
      <c r="C178" t="s">
        <v>7</v>
      </c>
      <c r="E178" t="s">
        <v>455</v>
      </c>
      <c r="F178" t="s">
        <v>65</v>
      </c>
      <c r="G178" t="s">
        <v>456</v>
      </c>
      <c r="H178" t="s">
        <v>457</v>
      </c>
    </row>
    <row r="179" spans="1:8">
      <c r="A179" t="s">
        <v>129</v>
      </c>
      <c r="B179">
        <v>2012</v>
      </c>
      <c r="C179" t="s">
        <v>7</v>
      </c>
      <c r="E179" t="s">
        <v>455</v>
      </c>
      <c r="F179" t="s">
        <v>65</v>
      </c>
      <c r="G179" t="s">
        <v>456</v>
      </c>
      <c r="H179" t="s">
        <v>457</v>
      </c>
    </row>
    <row r="180" spans="1:8">
      <c r="A180" t="s">
        <v>230</v>
      </c>
      <c r="B180">
        <v>2012</v>
      </c>
      <c r="C180" t="s">
        <v>7</v>
      </c>
      <c r="D180">
        <v>0.59</v>
      </c>
      <c r="E180" t="s">
        <v>455</v>
      </c>
      <c r="F180" t="s">
        <v>65</v>
      </c>
      <c r="G180" t="s">
        <v>456</v>
      </c>
      <c r="H180" t="s">
        <v>457</v>
      </c>
    </row>
    <row r="181" spans="1:8">
      <c r="A181" t="s">
        <v>168</v>
      </c>
      <c r="B181">
        <v>2012</v>
      </c>
      <c r="C181" t="s">
        <v>7</v>
      </c>
      <c r="E181" t="s">
        <v>455</v>
      </c>
      <c r="F181" t="s">
        <v>65</v>
      </c>
      <c r="G181" t="s">
        <v>456</v>
      </c>
      <c r="H181" t="s">
        <v>457</v>
      </c>
    </row>
    <row r="182" spans="1:8">
      <c r="A182" t="s">
        <v>231</v>
      </c>
      <c r="B182">
        <v>2012</v>
      </c>
      <c r="C182" t="s">
        <v>7</v>
      </c>
      <c r="D182">
        <v>0.12</v>
      </c>
      <c r="E182" t="s">
        <v>455</v>
      </c>
      <c r="F182" t="s">
        <v>65</v>
      </c>
      <c r="G182" t="s">
        <v>456</v>
      </c>
      <c r="H182" t="s">
        <v>457</v>
      </c>
    </row>
    <row r="183" spans="1:8">
      <c r="A183" t="s">
        <v>128</v>
      </c>
      <c r="B183">
        <v>2013</v>
      </c>
      <c r="C183" t="s">
        <v>7</v>
      </c>
      <c r="E183" t="s">
        <v>455</v>
      </c>
      <c r="F183" t="s">
        <v>65</v>
      </c>
      <c r="G183" t="s">
        <v>456</v>
      </c>
      <c r="H183" t="s">
        <v>457</v>
      </c>
    </row>
    <row r="184" spans="1:8">
      <c r="A184" t="s">
        <v>129</v>
      </c>
      <c r="B184">
        <v>2013</v>
      </c>
      <c r="C184" t="s">
        <v>7</v>
      </c>
      <c r="E184" t="s">
        <v>455</v>
      </c>
      <c r="F184" t="s">
        <v>65</v>
      </c>
      <c r="G184" t="s">
        <v>456</v>
      </c>
      <c r="H184" t="s">
        <v>457</v>
      </c>
    </row>
    <row r="185" spans="1:8">
      <c r="A185" t="s">
        <v>230</v>
      </c>
      <c r="B185">
        <v>2013</v>
      </c>
      <c r="C185" t="s">
        <v>7</v>
      </c>
      <c r="D185">
        <v>0.7</v>
      </c>
      <c r="E185" t="s">
        <v>455</v>
      </c>
      <c r="F185" t="s">
        <v>65</v>
      </c>
      <c r="G185" t="s">
        <v>456</v>
      </c>
      <c r="H185" t="s">
        <v>457</v>
      </c>
    </row>
    <row r="186" spans="1:8">
      <c r="A186" t="s">
        <v>168</v>
      </c>
      <c r="B186">
        <v>2013</v>
      </c>
      <c r="C186" t="s">
        <v>7</v>
      </c>
      <c r="E186" t="s">
        <v>455</v>
      </c>
      <c r="F186" t="s">
        <v>65</v>
      </c>
      <c r="G186" t="s">
        <v>456</v>
      </c>
      <c r="H186" t="s">
        <v>457</v>
      </c>
    </row>
    <row r="187" spans="1:8">
      <c r="A187" t="s">
        <v>231</v>
      </c>
      <c r="B187">
        <v>2013</v>
      </c>
      <c r="C187" t="s">
        <v>7</v>
      </c>
      <c r="D187">
        <v>0.1</v>
      </c>
      <c r="E187" t="s">
        <v>455</v>
      </c>
      <c r="F187" t="s">
        <v>65</v>
      </c>
      <c r="G187" t="s">
        <v>456</v>
      </c>
      <c r="H187" t="s">
        <v>457</v>
      </c>
    </row>
    <row r="188" spans="1:8">
      <c r="A188" t="s">
        <v>128</v>
      </c>
      <c r="B188">
        <v>2014</v>
      </c>
      <c r="C188" t="s">
        <v>7</v>
      </c>
      <c r="E188" t="s">
        <v>455</v>
      </c>
      <c r="F188" t="s">
        <v>65</v>
      </c>
      <c r="G188" t="s">
        <v>456</v>
      </c>
      <c r="H188" t="s">
        <v>457</v>
      </c>
    </row>
    <row r="189" spans="1:8">
      <c r="A189" t="s">
        <v>129</v>
      </c>
      <c r="B189">
        <v>2014</v>
      </c>
      <c r="C189" t="s">
        <v>7</v>
      </c>
      <c r="E189" t="s">
        <v>455</v>
      </c>
      <c r="F189" t="s">
        <v>65</v>
      </c>
      <c r="G189" t="s">
        <v>456</v>
      </c>
      <c r="H189" t="s">
        <v>457</v>
      </c>
    </row>
    <row r="190" spans="1:8">
      <c r="A190" t="s">
        <v>230</v>
      </c>
      <c r="B190">
        <v>2014</v>
      </c>
      <c r="C190" t="s">
        <v>7</v>
      </c>
      <c r="D190">
        <v>0.7</v>
      </c>
      <c r="E190" t="s">
        <v>455</v>
      </c>
      <c r="F190" t="s">
        <v>65</v>
      </c>
      <c r="G190" t="s">
        <v>456</v>
      </c>
      <c r="H190" t="s">
        <v>457</v>
      </c>
    </row>
    <row r="191" spans="1:8">
      <c r="A191" t="s">
        <v>168</v>
      </c>
      <c r="B191">
        <v>2014</v>
      </c>
      <c r="C191" t="s">
        <v>7</v>
      </c>
      <c r="E191" t="s">
        <v>455</v>
      </c>
      <c r="F191" t="s">
        <v>65</v>
      </c>
      <c r="G191" t="s">
        <v>456</v>
      </c>
      <c r="H191" t="s">
        <v>457</v>
      </c>
    </row>
    <row r="192" spans="1:8">
      <c r="A192" t="s">
        <v>231</v>
      </c>
      <c r="B192">
        <v>2014</v>
      </c>
      <c r="C192" t="s">
        <v>7</v>
      </c>
      <c r="D192">
        <v>0.14000000000000001</v>
      </c>
      <c r="E192" t="s">
        <v>455</v>
      </c>
      <c r="F192" t="s">
        <v>65</v>
      </c>
      <c r="G192" t="s">
        <v>456</v>
      </c>
      <c r="H192" t="s">
        <v>457</v>
      </c>
    </row>
    <row r="193" spans="1:8">
      <c r="A193" t="s">
        <v>128</v>
      </c>
      <c r="B193">
        <v>2015</v>
      </c>
      <c r="C193" t="s">
        <v>7</v>
      </c>
      <c r="E193" t="s">
        <v>455</v>
      </c>
      <c r="F193" t="s">
        <v>65</v>
      </c>
      <c r="G193" t="s">
        <v>456</v>
      </c>
      <c r="H193" t="s">
        <v>457</v>
      </c>
    </row>
    <row r="194" spans="1:8">
      <c r="A194" t="s">
        <v>129</v>
      </c>
      <c r="B194">
        <v>2015</v>
      </c>
      <c r="C194" t="s">
        <v>7</v>
      </c>
      <c r="E194" t="s">
        <v>455</v>
      </c>
      <c r="F194" t="s">
        <v>65</v>
      </c>
      <c r="G194" t="s">
        <v>456</v>
      </c>
      <c r="H194" t="s">
        <v>457</v>
      </c>
    </row>
    <row r="195" spans="1:8">
      <c r="A195" t="s">
        <v>230</v>
      </c>
      <c r="B195">
        <v>2015</v>
      </c>
      <c r="C195" t="s">
        <v>7</v>
      </c>
      <c r="D195">
        <v>0.7</v>
      </c>
      <c r="E195" t="s">
        <v>455</v>
      </c>
      <c r="F195" t="s">
        <v>65</v>
      </c>
      <c r="G195" t="s">
        <v>456</v>
      </c>
      <c r="H195" t="s">
        <v>457</v>
      </c>
    </row>
    <row r="196" spans="1:8">
      <c r="A196" t="s">
        <v>168</v>
      </c>
      <c r="B196">
        <v>2015</v>
      </c>
      <c r="C196" t="s">
        <v>7</v>
      </c>
      <c r="E196" t="s">
        <v>455</v>
      </c>
      <c r="F196" t="s">
        <v>65</v>
      </c>
      <c r="G196" t="s">
        <v>456</v>
      </c>
      <c r="H196" t="s">
        <v>457</v>
      </c>
    </row>
    <row r="197" spans="1:8">
      <c r="A197" t="s">
        <v>231</v>
      </c>
      <c r="B197">
        <v>2015</v>
      </c>
      <c r="C197" t="s">
        <v>7</v>
      </c>
      <c r="D197">
        <v>0.14000000000000001</v>
      </c>
      <c r="E197" t="s">
        <v>455</v>
      </c>
      <c r="F197" t="s">
        <v>65</v>
      </c>
      <c r="G197" t="s">
        <v>456</v>
      </c>
      <c r="H197" t="s">
        <v>457</v>
      </c>
    </row>
    <row r="198" spans="1:8">
      <c r="A198" t="s">
        <v>128</v>
      </c>
      <c r="B198">
        <v>2016</v>
      </c>
      <c r="C198" t="s">
        <v>7</v>
      </c>
      <c r="E198" t="s">
        <v>455</v>
      </c>
      <c r="F198" t="s">
        <v>65</v>
      </c>
      <c r="G198" t="s">
        <v>456</v>
      </c>
      <c r="H198" t="s">
        <v>457</v>
      </c>
    </row>
    <row r="199" spans="1:8">
      <c r="A199" t="s">
        <v>129</v>
      </c>
      <c r="B199">
        <v>2016</v>
      </c>
      <c r="C199" t="s">
        <v>7</v>
      </c>
      <c r="E199" t="s">
        <v>455</v>
      </c>
      <c r="F199" t="s">
        <v>65</v>
      </c>
      <c r="G199" t="s">
        <v>456</v>
      </c>
      <c r="H199" t="s">
        <v>457</v>
      </c>
    </row>
    <row r="200" spans="1:8">
      <c r="A200" t="s">
        <v>230</v>
      </c>
      <c r="B200">
        <v>2016</v>
      </c>
      <c r="C200" t="s">
        <v>7</v>
      </c>
      <c r="D200">
        <v>0.7</v>
      </c>
      <c r="E200" t="s">
        <v>455</v>
      </c>
      <c r="F200" t="s">
        <v>65</v>
      </c>
      <c r="G200" t="s">
        <v>456</v>
      </c>
      <c r="H200" t="s">
        <v>457</v>
      </c>
    </row>
    <row r="201" spans="1:8">
      <c r="A201" t="s">
        <v>168</v>
      </c>
      <c r="B201">
        <v>2016</v>
      </c>
      <c r="C201" t="s">
        <v>7</v>
      </c>
      <c r="E201" t="s">
        <v>455</v>
      </c>
      <c r="F201" t="s">
        <v>65</v>
      </c>
      <c r="G201" t="s">
        <v>456</v>
      </c>
      <c r="H201" t="s">
        <v>457</v>
      </c>
    </row>
    <row r="202" spans="1:8">
      <c r="A202" t="s">
        <v>231</v>
      </c>
      <c r="B202">
        <v>2016</v>
      </c>
      <c r="C202" t="s">
        <v>7</v>
      </c>
      <c r="D202">
        <v>0.14000000000000001</v>
      </c>
      <c r="E202" t="s">
        <v>455</v>
      </c>
      <c r="F202" t="s">
        <v>65</v>
      </c>
      <c r="G202" t="s">
        <v>456</v>
      </c>
      <c r="H202" t="s">
        <v>457</v>
      </c>
    </row>
    <row r="203" spans="1:8">
      <c r="A203" t="s">
        <v>128</v>
      </c>
      <c r="B203">
        <v>2017</v>
      </c>
      <c r="C203" t="s">
        <v>7</v>
      </c>
      <c r="E203" t="s">
        <v>455</v>
      </c>
      <c r="F203" t="s">
        <v>65</v>
      </c>
      <c r="G203" t="s">
        <v>456</v>
      </c>
      <c r="H203" t="s">
        <v>457</v>
      </c>
    </row>
    <row r="204" spans="1:8">
      <c r="A204" t="s">
        <v>129</v>
      </c>
      <c r="B204">
        <v>2017</v>
      </c>
      <c r="C204" t="s">
        <v>7</v>
      </c>
      <c r="E204" t="s">
        <v>455</v>
      </c>
      <c r="F204" t="s">
        <v>65</v>
      </c>
      <c r="G204" t="s">
        <v>456</v>
      </c>
      <c r="H204" t="s">
        <v>457</v>
      </c>
    </row>
    <row r="205" spans="1:8">
      <c r="A205" t="s">
        <v>230</v>
      </c>
      <c r="B205">
        <v>2017</v>
      </c>
      <c r="C205" t="s">
        <v>7</v>
      </c>
      <c r="D205">
        <v>0.71</v>
      </c>
      <c r="E205" t="s">
        <v>455</v>
      </c>
      <c r="F205" t="s">
        <v>65</v>
      </c>
      <c r="G205" t="s">
        <v>456</v>
      </c>
      <c r="H205" t="s">
        <v>457</v>
      </c>
    </row>
    <row r="206" spans="1:8">
      <c r="A206" t="s">
        <v>168</v>
      </c>
      <c r="B206">
        <v>2017</v>
      </c>
      <c r="C206" t="s">
        <v>7</v>
      </c>
      <c r="E206" t="s">
        <v>455</v>
      </c>
      <c r="F206" t="s">
        <v>65</v>
      </c>
      <c r="G206" t="s">
        <v>456</v>
      </c>
      <c r="H206" t="s">
        <v>457</v>
      </c>
    </row>
    <row r="207" spans="1:8">
      <c r="A207" t="s">
        <v>231</v>
      </c>
      <c r="B207">
        <v>2017</v>
      </c>
      <c r="C207" t="s">
        <v>7</v>
      </c>
      <c r="D207">
        <v>0.14000000000000001</v>
      </c>
      <c r="E207" t="s">
        <v>455</v>
      </c>
      <c r="F207" t="s">
        <v>65</v>
      </c>
      <c r="G207" t="s">
        <v>456</v>
      </c>
      <c r="H207" t="s">
        <v>457</v>
      </c>
    </row>
    <row r="208" spans="1:8">
      <c r="A208" t="s">
        <v>128</v>
      </c>
      <c r="B208">
        <v>2018</v>
      </c>
      <c r="C208" t="s">
        <v>7</v>
      </c>
      <c r="E208" t="s">
        <v>455</v>
      </c>
      <c r="F208" t="s">
        <v>65</v>
      </c>
      <c r="G208" t="s">
        <v>456</v>
      </c>
      <c r="H208" t="s">
        <v>457</v>
      </c>
    </row>
    <row r="209" spans="1:8">
      <c r="A209" t="s">
        <v>129</v>
      </c>
      <c r="B209">
        <v>2018</v>
      </c>
      <c r="C209" t="s">
        <v>7</v>
      </c>
      <c r="E209" t="s">
        <v>455</v>
      </c>
      <c r="F209" t="s">
        <v>65</v>
      </c>
      <c r="G209" t="s">
        <v>456</v>
      </c>
      <c r="H209" t="s">
        <v>457</v>
      </c>
    </row>
    <row r="210" spans="1:8">
      <c r="A210" t="s">
        <v>230</v>
      </c>
      <c r="B210">
        <v>2018</v>
      </c>
      <c r="C210" t="s">
        <v>7</v>
      </c>
      <c r="D210">
        <v>0.74</v>
      </c>
      <c r="E210" t="s">
        <v>455</v>
      </c>
      <c r="F210" t="s">
        <v>65</v>
      </c>
      <c r="G210" t="s">
        <v>456</v>
      </c>
      <c r="H210" t="s">
        <v>457</v>
      </c>
    </row>
    <row r="211" spans="1:8">
      <c r="A211" t="s">
        <v>168</v>
      </c>
      <c r="B211">
        <v>2018</v>
      </c>
      <c r="C211" t="s">
        <v>7</v>
      </c>
      <c r="E211" t="s">
        <v>455</v>
      </c>
      <c r="F211" t="s">
        <v>65</v>
      </c>
      <c r="G211" t="s">
        <v>456</v>
      </c>
      <c r="H211" t="s">
        <v>457</v>
      </c>
    </row>
    <row r="212" spans="1:8">
      <c r="A212" t="s">
        <v>231</v>
      </c>
      <c r="B212">
        <v>2018</v>
      </c>
      <c r="C212" t="s">
        <v>7</v>
      </c>
      <c r="D212">
        <v>0.1</v>
      </c>
      <c r="E212" t="s">
        <v>455</v>
      </c>
      <c r="F212" t="s">
        <v>65</v>
      </c>
      <c r="G212" t="s">
        <v>456</v>
      </c>
      <c r="H212" t="s">
        <v>457</v>
      </c>
    </row>
    <row r="213" spans="1:8">
      <c r="A213" t="s">
        <v>128</v>
      </c>
      <c r="B213">
        <v>2019</v>
      </c>
      <c r="C213" t="s">
        <v>7</v>
      </c>
      <c r="E213" t="s">
        <v>455</v>
      </c>
      <c r="F213" t="s">
        <v>65</v>
      </c>
      <c r="G213" t="s">
        <v>456</v>
      </c>
      <c r="H213" t="s">
        <v>457</v>
      </c>
    </row>
    <row r="214" spans="1:8">
      <c r="A214" t="s">
        <v>129</v>
      </c>
      <c r="B214">
        <v>2019</v>
      </c>
      <c r="C214" t="s">
        <v>7</v>
      </c>
      <c r="E214" t="s">
        <v>455</v>
      </c>
      <c r="F214" t="s">
        <v>65</v>
      </c>
      <c r="G214" t="s">
        <v>456</v>
      </c>
      <c r="H214" t="s">
        <v>457</v>
      </c>
    </row>
    <row r="215" spans="1:8">
      <c r="A215" t="s">
        <v>230</v>
      </c>
      <c r="B215">
        <v>2019</v>
      </c>
      <c r="C215" t="s">
        <v>7</v>
      </c>
      <c r="D215">
        <v>1</v>
      </c>
      <c r="E215" t="s">
        <v>455</v>
      </c>
      <c r="F215" t="s">
        <v>65</v>
      </c>
      <c r="G215" t="s">
        <v>456</v>
      </c>
      <c r="H215" t="s">
        <v>457</v>
      </c>
    </row>
    <row r="216" spans="1:8">
      <c r="A216" t="s">
        <v>168</v>
      </c>
      <c r="B216">
        <v>2019</v>
      </c>
      <c r="C216" t="s">
        <v>7</v>
      </c>
      <c r="E216" t="s">
        <v>455</v>
      </c>
      <c r="F216" t="s">
        <v>65</v>
      </c>
      <c r="G216" t="s">
        <v>456</v>
      </c>
      <c r="H216" t="s">
        <v>457</v>
      </c>
    </row>
    <row r="217" spans="1:8">
      <c r="A217" t="s">
        <v>231</v>
      </c>
      <c r="B217">
        <v>2019</v>
      </c>
      <c r="C217" t="s">
        <v>7</v>
      </c>
      <c r="D217">
        <v>0.1</v>
      </c>
      <c r="E217" t="s">
        <v>455</v>
      </c>
      <c r="F217" t="s">
        <v>65</v>
      </c>
      <c r="G217" t="s">
        <v>456</v>
      </c>
      <c r="H217" t="s">
        <v>457</v>
      </c>
    </row>
    <row r="218" spans="1:8">
      <c r="A218" t="s">
        <v>128</v>
      </c>
      <c r="B218">
        <v>2020</v>
      </c>
      <c r="C218" t="s">
        <v>7</v>
      </c>
      <c r="E218" t="s">
        <v>455</v>
      </c>
      <c r="F218" t="s">
        <v>65</v>
      </c>
      <c r="G218" t="s">
        <v>456</v>
      </c>
      <c r="H218" t="s">
        <v>457</v>
      </c>
    </row>
    <row r="219" spans="1:8">
      <c r="A219" t="s">
        <v>129</v>
      </c>
      <c r="B219">
        <v>2020</v>
      </c>
      <c r="C219" t="s">
        <v>7</v>
      </c>
      <c r="E219" t="s">
        <v>455</v>
      </c>
      <c r="F219" t="s">
        <v>65</v>
      </c>
      <c r="G219" t="s">
        <v>456</v>
      </c>
      <c r="H219" t="s">
        <v>457</v>
      </c>
    </row>
    <row r="220" spans="1:8">
      <c r="A220" t="s">
        <v>230</v>
      </c>
      <c r="B220">
        <v>2020</v>
      </c>
      <c r="C220" t="s">
        <v>7</v>
      </c>
      <c r="D220">
        <v>1.01</v>
      </c>
      <c r="E220" t="s">
        <v>455</v>
      </c>
      <c r="F220" t="s">
        <v>65</v>
      </c>
      <c r="G220" t="s">
        <v>456</v>
      </c>
      <c r="H220" t="s">
        <v>457</v>
      </c>
    </row>
    <row r="221" spans="1:8">
      <c r="A221" t="s">
        <v>168</v>
      </c>
      <c r="B221">
        <v>2020</v>
      </c>
      <c r="C221" t="s">
        <v>7</v>
      </c>
      <c r="E221" t="s">
        <v>455</v>
      </c>
      <c r="F221" t="s">
        <v>65</v>
      </c>
      <c r="G221" t="s">
        <v>456</v>
      </c>
      <c r="H221" t="s">
        <v>457</v>
      </c>
    </row>
    <row r="222" spans="1:8">
      <c r="A222" t="s">
        <v>231</v>
      </c>
      <c r="B222">
        <v>2020</v>
      </c>
      <c r="C222" t="s">
        <v>7</v>
      </c>
      <c r="D222">
        <v>0.1</v>
      </c>
      <c r="E222" t="s">
        <v>455</v>
      </c>
      <c r="F222" t="s">
        <v>65</v>
      </c>
      <c r="G222" t="s">
        <v>456</v>
      </c>
      <c r="H222" t="s">
        <v>457</v>
      </c>
    </row>
    <row r="223" spans="1:8">
      <c r="A223" t="s">
        <v>128</v>
      </c>
      <c r="B223">
        <v>2021</v>
      </c>
      <c r="C223" t="s">
        <v>7</v>
      </c>
      <c r="E223" t="s">
        <v>455</v>
      </c>
      <c r="F223" t="s">
        <v>65</v>
      </c>
      <c r="G223" t="s">
        <v>456</v>
      </c>
      <c r="H223" t="s">
        <v>457</v>
      </c>
    </row>
    <row r="224" spans="1:8">
      <c r="A224" t="s">
        <v>129</v>
      </c>
      <c r="B224">
        <v>2021</v>
      </c>
      <c r="C224" t="s">
        <v>7</v>
      </c>
      <c r="E224" t="s">
        <v>455</v>
      </c>
      <c r="F224" t="s">
        <v>65</v>
      </c>
      <c r="G224" t="s">
        <v>456</v>
      </c>
      <c r="H224" t="s">
        <v>457</v>
      </c>
    </row>
    <row r="225" spans="1:8">
      <c r="A225" t="s">
        <v>230</v>
      </c>
      <c r="B225">
        <v>2021</v>
      </c>
      <c r="C225" t="s">
        <v>7</v>
      </c>
      <c r="D225">
        <v>1.01</v>
      </c>
      <c r="E225" t="s">
        <v>455</v>
      </c>
      <c r="F225" t="s">
        <v>65</v>
      </c>
      <c r="G225" t="s">
        <v>456</v>
      </c>
      <c r="H225" t="s">
        <v>457</v>
      </c>
    </row>
    <row r="226" spans="1:8">
      <c r="A226" t="s">
        <v>168</v>
      </c>
      <c r="B226">
        <v>2021</v>
      </c>
      <c r="C226" t="s">
        <v>7</v>
      </c>
      <c r="E226" t="s">
        <v>455</v>
      </c>
      <c r="F226" t="s">
        <v>65</v>
      </c>
      <c r="G226" t="s">
        <v>456</v>
      </c>
      <c r="H226" t="s">
        <v>457</v>
      </c>
    </row>
    <row r="227" spans="1:8">
      <c r="A227" t="s">
        <v>231</v>
      </c>
      <c r="B227">
        <v>2021</v>
      </c>
      <c r="C227" t="s">
        <v>7</v>
      </c>
      <c r="D227">
        <v>0.1</v>
      </c>
      <c r="E227" t="s">
        <v>455</v>
      </c>
      <c r="F227" t="s">
        <v>65</v>
      </c>
      <c r="G227" t="s">
        <v>456</v>
      </c>
      <c r="H227" t="s">
        <v>457</v>
      </c>
    </row>
    <row r="228" spans="1:8">
      <c r="A228" t="s">
        <v>128</v>
      </c>
      <c r="B228">
        <v>2022</v>
      </c>
      <c r="C228" t="s">
        <v>7</v>
      </c>
      <c r="E228" t="s">
        <v>455</v>
      </c>
      <c r="F228" t="s">
        <v>65</v>
      </c>
      <c r="G228" t="s">
        <v>456</v>
      </c>
      <c r="H228" t="s">
        <v>457</v>
      </c>
    </row>
    <row r="229" spans="1:8">
      <c r="A229" t="s">
        <v>129</v>
      </c>
      <c r="B229">
        <v>2022</v>
      </c>
      <c r="C229" t="s">
        <v>7</v>
      </c>
      <c r="E229" t="s">
        <v>455</v>
      </c>
      <c r="F229" t="s">
        <v>65</v>
      </c>
      <c r="G229" t="s">
        <v>456</v>
      </c>
      <c r="H229" t="s">
        <v>457</v>
      </c>
    </row>
    <row r="230" spans="1:8">
      <c r="A230" t="s">
        <v>230</v>
      </c>
      <c r="B230">
        <v>2022</v>
      </c>
      <c r="C230" t="s">
        <v>7</v>
      </c>
      <c r="D230">
        <v>1.03</v>
      </c>
      <c r="E230" t="s">
        <v>455</v>
      </c>
      <c r="F230" t="s">
        <v>65</v>
      </c>
      <c r="G230" t="s">
        <v>456</v>
      </c>
      <c r="H230" t="s">
        <v>457</v>
      </c>
    </row>
    <row r="231" spans="1:8">
      <c r="A231" t="s">
        <v>168</v>
      </c>
      <c r="B231">
        <v>2022</v>
      </c>
      <c r="C231" t="s">
        <v>7</v>
      </c>
      <c r="E231" t="s">
        <v>455</v>
      </c>
      <c r="F231" t="s">
        <v>65</v>
      </c>
      <c r="G231" t="s">
        <v>456</v>
      </c>
      <c r="H231" t="s">
        <v>457</v>
      </c>
    </row>
    <row r="232" spans="1:8">
      <c r="A232" t="s">
        <v>231</v>
      </c>
      <c r="B232">
        <v>2022</v>
      </c>
      <c r="C232" t="s">
        <v>7</v>
      </c>
      <c r="D232">
        <v>0.1</v>
      </c>
      <c r="E232" t="s">
        <v>455</v>
      </c>
      <c r="F232" t="s">
        <v>65</v>
      </c>
      <c r="G232" t="s">
        <v>456</v>
      </c>
      <c r="H232" t="s">
        <v>457</v>
      </c>
    </row>
    <row r="233" spans="1:8">
      <c r="A233" t="s">
        <v>166</v>
      </c>
      <c r="B233">
        <v>2000</v>
      </c>
      <c r="C233" t="s">
        <v>374</v>
      </c>
      <c r="D233">
        <v>0.01</v>
      </c>
      <c r="E233" t="s">
        <v>455</v>
      </c>
      <c r="F233" t="s">
        <v>122</v>
      </c>
      <c r="G233" t="s">
        <v>456</v>
      </c>
      <c r="H233" t="s">
        <v>457</v>
      </c>
    </row>
    <row r="234" spans="1:8">
      <c r="A234" t="s">
        <v>128</v>
      </c>
      <c r="B234">
        <v>2000</v>
      </c>
      <c r="C234" t="s">
        <v>374</v>
      </c>
      <c r="D234">
        <v>0</v>
      </c>
      <c r="E234" t="s">
        <v>455</v>
      </c>
      <c r="F234" t="s">
        <v>122</v>
      </c>
      <c r="G234" t="s">
        <v>456</v>
      </c>
      <c r="H234" t="s">
        <v>457</v>
      </c>
    </row>
    <row r="235" spans="1:8">
      <c r="A235" t="s">
        <v>129</v>
      </c>
      <c r="B235">
        <v>2000</v>
      </c>
      <c r="C235" t="s">
        <v>374</v>
      </c>
      <c r="D235">
        <v>0</v>
      </c>
      <c r="E235" t="s">
        <v>455</v>
      </c>
      <c r="F235" t="s">
        <v>122</v>
      </c>
      <c r="G235" t="s">
        <v>456</v>
      </c>
      <c r="H235" t="s">
        <v>457</v>
      </c>
    </row>
    <row r="236" spans="1:8">
      <c r="A236" t="s">
        <v>230</v>
      </c>
      <c r="B236">
        <v>2000</v>
      </c>
      <c r="C236" t="s">
        <v>374</v>
      </c>
      <c r="D236">
        <v>0.04</v>
      </c>
      <c r="E236" t="s">
        <v>455</v>
      </c>
      <c r="F236" t="s">
        <v>122</v>
      </c>
      <c r="G236" t="s">
        <v>456</v>
      </c>
      <c r="H236" t="s">
        <v>457</v>
      </c>
    </row>
    <row r="237" spans="1:8">
      <c r="A237" t="s">
        <v>168</v>
      </c>
      <c r="B237">
        <v>2000</v>
      </c>
      <c r="C237" t="s">
        <v>374</v>
      </c>
      <c r="D237">
        <v>0</v>
      </c>
      <c r="E237" t="s">
        <v>455</v>
      </c>
      <c r="F237" t="s">
        <v>122</v>
      </c>
      <c r="G237" t="s">
        <v>456</v>
      </c>
      <c r="H237" t="s">
        <v>457</v>
      </c>
    </row>
    <row r="238" spans="1:8">
      <c r="A238" t="s">
        <v>231</v>
      </c>
      <c r="B238">
        <v>2000</v>
      </c>
      <c r="C238" t="s">
        <v>374</v>
      </c>
      <c r="D238">
        <v>0.01</v>
      </c>
      <c r="E238" t="s">
        <v>455</v>
      </c>
      <c r="F238" t="s">
        <v>122</v>
      </c>
      <c r="G238" t="s">
        <v>456</v>
      </c>
      <c r="H238" t="s">
        <v>457</v>
      </c>
    </row>
    <row r="239" spans="1:8">
      <c r="A239" t="s">
        <v>166</v>
      </c>
      <c r="B239">
        <v>2000</v>
      </c>
      <c r="C239" t="s">
        <v>374</v>
      </c>
      <c r="D239">
        <v>0</v>
      </c>
      <c r="E239" t="s">
        <v>455</v>
      </c>
      <c r="F239" t="s">
        <v>122</v>
      </c>
      <c r="G239" t="s">
        <v>456</v>
      </c>
      <c r="H239" t="s">
        <v>457</v>
      </c>
    </row>
    <row r="240" spans="1:8">
      <c r="A240" t="s">
        <v>232</v>
      </c>
      <c r="B240">
        <v>2000</v>
      </c>
      <c r="C240" t="s">
        <v>374</v>
      </c>
      <c r="D240">
        <v>0</v>
      </c>
      <c r="E240" t="s">
        <v>455</v>
      </c>
      <c r="F240" t="s">
        <v>122</v>
      </c>
      <c r="G240" t="s">
        <v>458</v>
      </c>
      <c r="H240" t="s">
        <v>457</v>
      </c>
    </row>
    <row r="241" spans="1:8">
      <c r="A241" t="s">
        <v>233</v>
      </c>
      <c r="B241">
        <v>2000</v>
      </c>
      <c r="C241" t="s">
        <v>374</v>
      </c>
      <c r="D241">
        <v>0</v>
      </c>
      <c r="E241" t="s">
        <v>455</v>
      </c>
      <c r="F241" t="s">
        <v>122</v>
      </c>
      <c r="G241" t="s">
        <v>458</v>
      </c>
      <c r="H241" t="s">
        <v>457</v>
      </c>
    </row>
    <row r="242" spans="1:8">
      <c r="A242" t="s">
        <v>166</v>
      </c>
      <c r="B242">
        <v>2001</v>
      </c>
      <c r="C242" t="s">
        <v>374</v>
      </c>
      <c r="D242">
        <v>0.01</v>
      </c>
      <c r="E242" t="s">
        <v>455</v>
      </c>
      <c r="F242" t="s">
        <v>122</v>
      </c>
      <c r="G242" t="s">
        <v>456</v>
      </c>
      <c r="H242" t="s">
        <v>457</v>
      </c>
    </row>
    <row r="243" spans="1:8">
      <c r="A243" t="s">
        <v>128</v>
      </c>
      <c r="B243">
        <v>2001</v>
      </c>
      <c r="C243" t="s">
        <v>374</v>
      </c>
      <c r="D243">
        <v>0</v>
      </c>
      <c r="E243" t="s">
        <v>455</v>
      </c>
      <c r="F243" t="s">
        <v>122</v>
      </c>
      <c r="G243" t="s">
        <v>456</v>
      </c>
      <c r="H243" t="s">
        <v>457</v>
      </c>
    </row>
    <row r="244" spans="1:8">
      <c r="A244" t="s">
        <v>129</v>
      </c>
      <c r="B244">
        <v>2001</v>
      </c>
      <c r="C244" t="s">
        <v>374</v>
      </c>
      <c r="D244">
        <v>0</v>
      </c>
      <c r="E244" t="s">
        <v>455</v>
      </c>
      <c r="F244" t="s">
        <v>122</v>
      </c>
      <c r="G244" t="s">
        <v>456</v>
      </c>
      <c r="H244" t="s">
        <v>457</v>
      </c>
    </row>
    <row r="245" spans="1:8">
      <c r="A245" t="s">
        <v>230</v>
      </c>
      <c r="B245">
        <v>2001</v>
      </c>
      <c r="C245" t="s">
        <v>374</v>
      </c>
      <c r="D245">
        <v>0.04</v>
      </c>
      <c r="E245" t="s">
        <v>455</v>
      </c>
      <c r="F245" t="s">
        <v>122</v>
      </c>
      <c r="G245" t="s">
        <v>456</v>
      </c>
      <c r="H245" t="s">
        <v>457</v>
      </c>
    </row>
    <row r="246" spans="1:8">
      <c r="A246" t="s">
        <v>168</v>
      </c>
      <c r="B246">
        <v>2001</v>
      </c>
      <c r="C246" t="s">
        <v>374</v>
      </c>
      <c r="D246">
        <v>0</v>
      </c>
      <c r="E246" t="s">
        <v>455</v>
      </c>
      <c r="F246" t="s">
        <v>122</v>
      </c>
      <c r="G246" t="s">
        <v>456</v>
      </c>
      <c r="H246" t="s">
        <v>457</v>
      </c>
    </row>
    <row r="247" spans="1:8">
      <c r="A247" t="s">
        <v>231</v>
      </c>
      <c r="B247">
        <v>2001</v>
      </c>
      <c r="C247" t="s">
        <v>374</v>
      </c>
      <c r="D247">
        <v>0.01</v>
      </c>
      <c r="E247" t="s">
        <v>455</v>
      </c>
      <c r="F247" t="s">
        <v>122</v>
      </c>
      <c r="G247" t="s">
        <v>456</v>
      </c>
      <c r="H247" t="s">
        <v>457</v>
      </c>
    </row>
    <row r="248" spans="1:8">
      <c r="A248" t="s">
        <v>166</v>
      </c>
      <c r="B248">
        <v>2001</v>
      </c>
      <c r="C248" t="s">
        <v>374</v>
      </c>
      <c r="D248">
        <v>0</v>
      </c>
      <c r="E248" t="s">
        <v>455</v>
      </c>
      <c r="F248" t="s">
        <v>122</v>
      </c>
      <c r="G248" t="s">
        <v>456</v>
      </c>
      <c r="H248" t="s">
        <v>457</v>
      </c>
    </row>
    <row r="249" spans="1:8">
      <c r="A249" t="s">
        <v>232</v>
      </c>
      <c r="B249">
        <v>2001</v>
      </c>
      <c r="C249" t="s">
        <v>374</v>
      </c>
      <c r="D249">
        <v>0</v>
      </c>
      <c r="E249" t="s">
        <v>455</v>
      </c>
      <c r="F249" t="s">
        <v>122</v>
      </c>
      <c r="G249" t="s">
        <v>458</v>
      </c>
      <c r="H249" t="s">
        <v>457</v>
      </c>
    </row>
    <row r="250" spans="1:8">
      <c r="A250" t="s">
        <v>233</v>
      </c>
      <c r="B250">
        <v>2001</v>
      </c>
      <c r="C250" t="s">
        <v>374</v>
      </c>
      <c r="D250">
        <v>0</v>
      </c>
      <c r="E250" t="s">
        <v>455</v>
      </c>
      <c r="F250" t="s">
        <v>122</v>
      </c>
      <c r="G250" t="s">
        <v>458</v>
      </c>
      <c r="H250" t="s">
        <v>457</v>
      </c>
    </row>
    <row r="251" spans="1:8">
      <c r="A251" t="s">
        <v>166</v>
      </c>
      <c r="B251">
        <v>2002</v>
      </c>
      <c r="C251" t="s">
        <v>374</v>
      </c>
      <c r="D251">
        <v>0.01</v>
      </c>
      <c r="E251" t="s">
        <v>455</v>
      </c>
      <c r="F251" t="s">
        <v>122</v>
      </c>
      <c r="G251" t="s">
        <v>456</v>
      </c>
      <c r="H251" t="s">
        <v>457</v>
      </c>
    </row>
    <row r="252" spans="1:8">
      <c r="A252" t="s">
        <v>128</v>
      </c>
      <c r="B252">
        <v>2002</v>
      </c>
      <c r="C252" t="s">
        <v>374</v>
      </c>
      <c r="D252">
        <v>0</v>
      </c>
      <c r="E252" t="s">
        <v>455</v>
      </c>
      <c r="F252" t="s">
        <v>122</v>
      </c>
      <c r="G252" t="s">
        <v>456</v>
      </c>
      <c r="H252" t="s">
        <v>457</v>
      </c>
    </row>
    <row r="253" spans="1:8">
      <c r="A253" t="s">
        <v>129</v>
      </c>
      <c r="B253">
        <v>2002</v>
      </c>
      <c r="C253" t="s">
        <v>374</v>
      </c>
      <c r="D253">
        <v>0</v>
      </c>
      <c r="E253" t="s">
        <v>455</v>
      </c>
      <c r="F253" t="s">
        <v>122</v>
      </c>
      <c r="G253" t="s">
        <v>456</v>
      </c>
      <c r="H253" t="s">
        <v>457</v>
      </c>
    </row>
    <row r="254" spans="1:8">
      <c r="A254" t="s">
        <v>230</v>
      </c>
      <c r="B254">
        <v>2002</v>
      </c>
      <c r="C254" t="s">
        <v>374</v>
      </c>
      <c r="D254">
        <v>0.04</v>
      </c>
      <c r="E254" t="s">
        <v>455</v>
      </c>
      <c r="F254" t="s">
        <v>122</v>
      </c>
      <c r="G254" t="s">
        <v>456</v>
      </c>
      <c r="H254" t="s">
        <v>457</v>
      </c>
    </row>
    <row r="255" spans="1:8">
      <c r="A255" t="s">
        <v>168</v>
      </c>
      <c r="B255">
        <v>2002</v>
      </c>
      <c r="C255" t="s">
        <v>374</v>
      </c>
      <c r="D255">
        <v>0</v>
      </c>
      <c r="E255" t="s">
        <v>455</v>
      </c>
      <c r="F255" t="s">
        <v>122</v>
      </c>
      <c r="G255" t="s">
        <v>456</v>
      </c>
      <c r="H255" t="s">
        <v>457</v>
      </c>
    </row>
    <row r="256" spans="1:8">
      <c r="A256" t="s">
        <v>231</v>
      </c>
      <c r="B256">
        <v>2002</v>
      </c>
      <c r="C256" t="s">
        <v>374</v>
      </c>
      <c r="D256">
        <v>0.01</v>
      </c>
      <c r="E256" t="s">
        <v>455</v>
      </c>
      <c r="F256" t="s">
        <v>122</v>
      </c>
      <c r="G256" t="s">
        <v>456</v>
      </c>
      <c r="H256" t="s">
        <v>457</v>
      </c>
    </row>
    <row r="257" spans="1:8">
      <c r="A257" t="s">
        <v>166</v>
      </c>
      <c r="B257">
        <v>2002</v>
      </c>
      <c r="C257" t="s">
        <v>374</v>
      </c>
      <c r="D257">
        <v>0</v>
      </c>
      <c r="E257" t="s">
        <v>455</v>
      </c>
      <c r="F257" t="s">
        <v>122</v>
      </c>
      <c r="G257" t="s">
        <v>456</v>
      </c>
      <c r="H257" t="s">
        <v>457</v>
      </c>
    </row>
    <row r="258" spans="1:8">
      <c r="A258" t="s">
        <v>232</v>
      </c>
      <c r="B258">
        <v>2002</v>
      </c>
      <c r="C258" t="s">
        <v>374</v>
      </c>
      <c r="D258">
        <v>0</v>
      </c>
      <c r="E258" t="s">
        <v>455</v>
      </c>
      <c r="F258" t="s">
        <v>122</v>
      </c>
      <c r="G258" t="s">
        <v>458</v>
      </c>
      <c r="H258" t="s">
        <v>457</v>
      </c>
    </row>
    <row r="259" spans="1:8">
      <c r="A259" t="s">
        <v>233</v>
      </c>
      <c r="B259">
        <v>2002</v>
      </c>
      <c r="C259" t="s">
        <v>374</v>
      </c>
      <c r="D259">
        <v>0</v>
      </c>
      <c r="E259" t="s">
        <v>455</v>
      </c>
      <c r="F259" t="s">
        <v>122</v>
      </c>
      <c r="G259" t="s">
        <v>458</v>
      </c>
      <c r="H259" t="s">
        <v>457</v>
      </c>
    </row>
    <row r="260" spans="1:8">
      <c r="A260" t="s">
        <v>166</v>
      </c>
      <c r="B260">
        <v>2003</v>
      </c>
      <c r="C260" t="s">
        <v>374</v>
      </c>
      <c r="D260">
        <v>0.01</v>
      </c>
      <c r="E260" t="s">
        <v>455</v>
      </c>
      <c r="F260" t="s">
        <v>122</v>
      </c>
      <c r="G260" t="s">
        <v>456</v>
      </c>
      <c r="H260" t="s">
        <v>457</v>
      </c>
    </row>
    <row r="261" spans="1:8">
      <c r="A261" t="s">
        <v>128</v>
      </c>
      <c r="B261">
        <v>2003</v>
      </c>
      <c r="C261" t="s">
        <v>374</v>
      </c>
      <c r="D261">
        <v>0</v>
      </c>
      <c r="E261" t="s">
        <v>455</v>
      </c>
      <c r="F261" t="s">
        <v>122</v>
      </c>
      <c r="G261" t="s">
        <v>456</v>
      </c>
      <c r="H261" t="s">
        <v>457</v>
      </c>
    </row>
    <row r="262" spans="1:8">
      <c r="A262" t="s">
        <v>129</v>
      </c>
      <c r="B262">
        <v>2003</v>
      </c>
      <c r="C262" t="s">
        <v>374</v>
      </c>
      <c r="D262">
        <v>0</v>
      </c>
      <c r="E262" t="s">
        <v>455</v>
      </c>
      <c r="F262" t="s">
        <v>122</v>
      </c>
      <c r="G262" t="s">
        <v>456</v>
      </c>
      <c r="H262" t="s">
        <v>457</v>
      </c>
    </row>
    <row r="263" spans="1:8">
      <c r="A263" t="s">
        <v>230</v>
      </c>
      <c r="B263">
        <v>2003</v>
      </c>
      <c r="C263" t="s">
        <v>374</v>
      </c>
      <c r="D263">
        <v>0.04</v>
      </c>
      <c r="E263" t="s">
        <v>455</v>
      </c>
      <c r="F263" t="s">
        <v>122</v>
      </c>
      <c r="G263" t="s">
        <v>456</v>
      </c>
      <c r="H263" t="s">
        <v>457</v>
      </c>
    </row>
    <row r="264" spans="1:8">
      <c r="A264" t="s">
        <v>168</v>
      </c>
      <c r="B264">
        <v>2003</v>
      </c>
      <c r="C264" t="s">
        <v>374</v>
      </c>
      <c r="D264">
        <v>0</v>
      </c>
      <c r="E264" t="s">
        <v>455</v>
      </c>
      <c r="F264" t="s">
        <v>122</v>
      </c>
      <c r="G264" t="s">
        <v>456</v>
      </c>
      <c r="H264" t="s">
        <v>457</v>
      </c>
    </row>
    <row r="265" spans="1:8">
      <c r="A265" t="s">
        <v>231</v>
      </c>
      <c r="B265">
        <v>2003</v>
      </c>
      <c r="C265" t="s">
        <v>374</v>
      </c>
      <c r="D265">
        <v>0.01</v>
      </c>
      <c r="E265" t="s">
        <v>455</v>
      </c>
      <c r="F265" t="s">
        <v>122</v>
      </c>
      <c r="G265" t="s">
        <v>456</v>
      </c>
      <c r="H265" t="s">
        <v>457</v>
      </c>
    </row>
    <row r="266" spans="1:8">
      <c r="A266" t="s">
        <v>166</v>
      </c>
      <c r="B266">
        <v>2003</v>
      </c>
      <c r="C266" t="s">
        <v>374</v>
      </c>
      <c r="D266">
        <v>0</v>
      </c>
      <c r="E266" t="s">
        <v>455</v>
      </c>
      <c r="F266" t="s">
        <v>122</v>
      </c>
      <c r="G266" t="s">
        <v>456</v>
      </c>
      <c r="H266" t="s">
        <v>457</v>
      </c>
    </row>
    <row r="267" spans="1:8">
      <c r="A267" t="s">
        <v>232</v>
      </c>
      <c r="B267">
        <v>2003</v>
      </c>
      <c r="C267" t="s">
        <v>374</v>
      </c>
      <c r="D267">
        <v>0</v>
      </c>
      <c r="E267" t="s">
        <v>455</v>
      </c>
      <c r="F267" t="s">
        <v>122</v>
      </c>
      <c r="G267" t="s">
        <v>458</v>
      </c>
      <c r="H267" t="s">
        <v>457</v>
      </c>
    </row>
    <row r="268" spans="1:8">
      <c r="A268" t="s">
        <v>233</v>
      </c>
      <c r="B268">
        <v>2003</v>
      </c>
      <c r="C268" t="s">
        <v>374</v>
      </c>
      <c r="D268">
        <v>0</v>
      </c>
      <c r="E268" t="s">
        <v>455</v>
      </c>
      <c r="F268" t="s">
        <v>122</v>
      </c>
      <c r="G268" t="s">
        <v>458</v>
      </c>
      <c r="H268" t="s">
        <v>457</v>
      </c>
    </row>
    <row r="269" spans="1:8">
      <c r="A269" t="s">
        <v>166</v>
      </c>
      <c r="B269">
        <v>2004</v>
      </c>
      <c r="C269" t="s">
        <v>374</v>
      </c>
      <c r="D269">
        <v>0.01</v>
      </c>
      <c r="E269" t="s">
        <v>455</v>
      </c>
      <c r="F269" t="s">
        <v>122</v>
      </c>
      <c r="G269" t="s">
        <v>456</v>
      </c>
      <c r="H269" t="s">
        <v>457</v>
      </c>
    </row>
    <row r="270" spans="1:8">
      <c r="A270" t="s">
        <v>128</v>
      </c>
      <c r="B270">
        <v>2004</v>
      </c>
      <c r="C270" t="s">
        <v>374</v>
      </c>
      <c r="D270">
        <v>0</v>
      </c>
      <c r="E270" t="s">
        <v>455</v>
      </c>
      <c r="F270" t="s">
        <v>122</v>
      </c>
      <c r="G270" t="s">
        <v>456</v>
      </c>
      <c r="H270" t="s">
        <v>457</v>
      </c>
    </row>
    <row r="271" spans="1:8">
      <c r="A271" t="s">
        <v>129</v>
      </c>
      <c r="B271">
        <v>2004</v>
      </c>
      <c r="C271" t="s">
        <v>374</v>
      </c>
      <c r="D271">
        <v>0</v>
      </c>
      <c r="E271" t="s">
        <v>455</v>
      </c>
      <c r="F271" t="s">
        <v>122</v>
      </c>
      <c r="G271" t="s">
        <v>456</v>
      </c>
      <c r="H271" t="s">
        <v>457</v>
      </c>
    </row>
    <row r="272" spans="1:8">
      <c r="A272" t="s">
        <v>230</v>
      </c>
      <c r="B272">
        <v>2004</v>
      </c>
      <c r="C272" t="s">
        <v>374</v>
      </c>
      <c r="D272">
        <v>0.04</v>
      </c>
      <c r="E272" t="s">
        <v>455</v>
      </c>
      <c r="F272" t="s">
        <v>122</v>
      </c>
      <c r="G272" t="s">
        <v>456</v>
      </c>
      <c r="H272" t="s">
        <v>457</v>
      </c>
    </row>
    <row r="273" spans="1:8">
      <c r="A273" t="s">
        <v>168</v>
      </c>
      <c r="B273">
        <v>2004</v>
      </c>
      <c r="C273" t="s">
        <v>374</v>
      </c>
      <c r="D273">
        <v>0</v>
      </c>
      <c r="E273" t="s">
        <v>455</v>
      </c>
      <c r="F273" t="s">
        <v>122</v>
      </c>
      <c r="G273" t="s">
        <v>456</v>
      </c>
      <c r="H273" t="s">
        <v>457</v>
      </c>
    </row>
    <row r="274" spans="1:8">
      <c r="A274" t="s">
        <v>231</v>
      </c>
      <c r="B274">
        <v>2004</v>
      </c>
      <c r="C274" t="s">
        <v>374</v>
      </c>
      <c r="D274">
        <v>0</v>
      </c>
      <c r="E274" t="s">
        <v>455</v>
      </c>
      <c r="F274" t="s">
        <v>122</v>
      </c>
      <c r="G274" t="s">
        <v>456</v>
      </c>
      <c r="H274" t="s">
        <v>457</v>
      </c>
    </row>
    <row r="275" spans="1:8">
      <c r="A275" t="s">
        <v>166</v>
      </c>
      <c r="B275">
        <v>2004</v>
      </c>
      <c r="C275" t="s">
        <v>374</v>
      </c>
      <c r="D275">
        <v>0</v>
      </c>
      <c r="E275" t="s">
        <v>455</v>
      </c>
      <c r="F275" t="s">
        <v>122</v>
      </c>
      <c r="G275" t="s">
        <v>456</v>
      </c>
      <c r="H275" t="s">
        <v>457</v>
      </c>
    </row>
    <row r="276" spans="1:8">
      <c r="A276" t="s">
        <v>232</v>
      </c>
      <c r="B276">
        <v>2004</v>
      </c>
      <c r="C276" t="s">
        <v>374</v>
      </c>
      <c r="D276">
        <v>0</v>
      </c>
      <c r="E276" t="s">
        <v>455</v>
      </c>
      <c r="F276" t="s">
        <v>122</v>
      </c>
      <c r="G276" t="s">
        <v>458</v>
      </c>
      <c r="H276" t="s">
        <v>457</v>
      </c>
    </row>
    <row r="277" spans="1:8">
      <c r="A277" t="s">
        <v>233</v>
      </c>
      <c r="B277">
        <v>2004</v>
      </c>
      <c r="C277" t="s">
        <v>374</v>
      </c>
      <c r="D277">
        <v>0</v>
      </c>
      <c r="E277" t="s">
        <v>455</v>
      </c>
      <c r="F277" t="s">
        <v>122</v>
      </c>
      <c r="G277" t="s">
        <v>458</v>
      </c>
      <c r="H277" t="s">
        <v>457</v>
      </c>
    </row>
    <row r="278" spans="1:8">
      <c r="A278" t="s">
        <v>166</v>
      </c>
      <c r="B278">
        <v>2005</v>
      </c>
      <c r="C278" t="s">
        <v>374</v>
      </c>
      <c r="D278">
        <v>0.01</v>
      </c>
      <c r="E278" t="s">
        <v>455</v>
      </c>
      <c r="F278" t="s">
        <v>122</v>
      </c>
      <c r="G278" t="s">
        <v>456</v>
      </c>
      <c r="H278" t="s">
        <v>457</v>
      </c>
    </row>
    <row r="279" spans="1:8">
      <c r="A279" t="s">
        <v>128</v>
      </c>
      <c r="B279">
        <v>2005</v>
      </c>
      <c r="C279" t="s">
        <v>374</v>
      </c>
      <c r="D279">
        <v>0</v>
      </c>
      <c r="E279" t="s">
        <v>455</v>
      </c>
      <c r="F279" t="s">
        <v>122</v>
      </c>
      <c r="G279" t="s">
        <v>456</v>
      </c>
      <c r="H279" t="s">
        <v>457</v>
      </c>
    </row>
    <row r="280" spans="1:8">
      <c r="A280" t="s">
        <v>129</v>
      </c>
      <c r="B280">
        <v>2005</v>
      </c>
      <c r="C280" t="s">
        <v>374</v>
      </c>
      <c r="D280">
        <v>0</v>
      </c>
      <c r="E280" t="s">
        <v>455</v>
      </c>
      <c r="F280" t="s">
        <v>122</v>
      </c>
      <c r="G280" t="s">
        <v>456</v>
      </c>
      <c r="H280" t="s">
        <v>457</v>
      </c>
    </row>
    <row r="281" spans="1:8">
      <c r="A281" t="s">
        <v>230</v>
      </c>
      <c r="B281">
        <v>2005</v>
      </c>
      <c r="C281" t="s">
        <v>374</v>
      </c>
      <c r="D281">
        <v>0.04</v>
      </c>
      <c r="E281" t="s">
        <v>455</v>
      </c>
      <c r="F281" t="s">
        <v>122</v>
      </c>
      <c r="G281" t="s">
        <v>456</v>
      </c>
      <c r="H281" t="s">
        <v>457</v>
      </c>
    </row>
    <row r="282" spans="1:8">
      <c r="A282" t="s">
        <v>168</v>
      </c>
      <c r="B282">
        <v>2005</v>
      </c>
      <c r="C282" t="s">
        <v>374</v>
      </c>
      <c r="D282">
        <v>0</v>
      </c>
      <c r="E282" t="s">
        <v>455</v>
      </c>
      <c r="F282" t="s">
        <v>122</v>
      </c>
      <c r="G282" t="s">
        <v>456</v>
      </c>
      <c r="H282" t="s">
        <v>457</v>
      </c>
    </row>
    <row r="283" spans="1:8">
      <c r="A283" t="s">
        <v>231</v>
      </c>
      <c r="B283">
        <v>2005</v>
      </c>
      <c r="C283" t="s">
        <v>374</v>
      </c>
      <c r="D283">
        <v>0.05</v>
      </c>
      <c r="E283" t="s">
        <v>455</v>
      </c>
      <c r="F283" t="s">
        <v>122</v>
      </c>
      <c r="G283" t="s">
        <v>456</v>
      </c>
      <c r="H283" t="s">
        <v>457</v>
      </c>
    </row>
    <row r="284" spans="1:8">
      <c r="A284" t="s">
        <v>166</v>
      </c>
      <c r="B284">
        <v>2005</v>
      </c>
      <c r="C284" t="s">
        <v>374</v>
      </c>
      <c r="D284">
        <v>0</v>
      </c>
      <c r="E284" t="s">
        <v>455</v>
      </c>
      <c r="F284" t="s">
        <v>122</v>
      </c>
      <c r="G284" t="s">
        <v>456</v>
      </c>
      <c r="H284" t="s">
        <v>457</v>
      </c>
    </row>
    <row r="285" spans="1:8">
      <c r="A285" t="s">
        <v>232</v>
      </c>
      <c r="B285">
        <v>2005</v>
      </c>
      <c r="C285" t="s">
        <v>374</v>
      </c>
      <c r="D285">
        <v>0</v>
      </c>
      <c r="E285" t="s">
        <v>455</v>
      </c>
      <c r="F285" t="s">
        <v>122</v>
      </c>
      <c r="G285" t="s">
        <v>458</v>
      </c>
      <c r="H285" t="s">
        <v>457</v>
      </c>
    </row>
    <row r="286" spans="1:8">
      <c r="A286" t="s">
        <v>233</v>
      </c>
      <c r="B286">
        <v>2005</v>
      </c>
      <c r="C286" t="s">
        <v>374</v>
      </c>
      <c r="D286">
        <v>0</v>
      </c>
      <c r="E286" t="s">
        <v>455</v>
      </c>
      <c r="F286" t="s">
        <v>122</v>
      </c>
      <c r="G286" t="s">
        <v>458</v>
      </c>
      <c r="H286" t="s">
        <v>457</v>
      </c>
    </row>
    <row r="287" spans="1:8">
      <c r="A287" t="s">
        <v>166</v>
      </c>
      <c r="B287">
        <v>2006</v>
      </c>
      <c r="C287" t="s">
        <v>374</v>
      </c>
      <c r="D287">
        <v>0.01</v>
      </c>
      <c r="E287" t="s">
        <v>455</v>
      </c>
      <c r="F287" t="s">
        <v>122</v>
      </c>
      <c r="G287" t="s">
        <v>456</v>
      </c>
      <c r="H287" t="s">
        <v>457</v>
      </c>
    </row>
    <row r="288" spans="1:8">
      <c r="A288" t="s">
        <v>128</v>
      </c>
      <c r="B288">
        <v>2006</v>
      </c>
      <c r="C288" t="s">
        <v>374</v>
      </c>
      <c r="D288">
        <v>0</v>
      </c>
      <c r="E288" t="s">
        <v>455</v>
      </c>
      <c r="F288" t="s">
        <v>122</v>
      </c>
      <c r="G288" t="s">
        <v>456</v>
      </c>
      <c r="H288" t="s">
        <v>457</v>
      </c>
    </row>
    <row r="289" spans="1:8">
      <c r="A289" t="s">
        <v>129</v>
      </c>
      <c r="B289">
        <v>2006</v>
      </c>
      <c r="C289" t="s">
        <v>374</v>
      </c>
      <c r="D289">
        <v>0</v>
      </c>
      <c r="E289" t="s">
        <v>455</v>
      </c>
      <c r="F289" t="s">
        <v>122</v>
      </c>
      <c r="G289" t="s">
        <v>456</v>
      </c>
      <c r="H289" t="s">
        <v>457</v>
      </c>
    </row>
    <row r="290" spans="1:8">
      <c r="A290" t="s">
        <v>230</v>
      </c>
      <c r="B290">
        <v>2006</v>
      </c>
      <c r="C290" t="s">
        <v>374</v>
      </c>
      <c r="D290">
        <v>0.03</v>
      </c>
      <c r="E290" t="s">
        <v>455</v>
      </c>
      <c r="F290" t="s">
        <v>122</v>
      </c>
      <c r="G290" t="s">
        <v>456</v>
      </c>
      <c r="H290" t="s">
        <v>457</v>
      </c>
    </row>
    <row r="291" spans="1:8">
      <c r="A291" t="s">
        <v>168</v>
      </c>
      <c r="B291">
        <v>2006</v>
      </c>
      <c r="C291" t="s">
        <v>374</v>
      </c>
      <c r="D291">
        <v>0</v>
      </c>
      <c r="E291" t="s">
        <v>455</v>
      </c>
      <c r="F291" t="s">
        <v>122</v>
      </c>
      <c r="G291" t="s">
        <v>456</v>
      </c>
      <c r="H291" t="s">
        <v>457</v>
      </c>
    </row>
    <row r="292" spans="1:8">
      <c r="A292" t="s">
        <v>231</v>
      </c>
      <c r="B292">
        <v>2006</v>
      </c>
      <c r="C292" t="s">
        <v>374</v>
      </c>
      <c r="D292">
        <v>0.25</v>
      </c>
      <c r="E292" t="s">
        <v>455</v>
      </c>
      <c r="F292" t="s">
        <v>122</v>
      </c>
      <c r="G292" t="s">
        <v>456</v>
      </c>
      <c r="H292" t="s">
        <v>457</v>
      </c>
    </row>
    <row r="293" spans="1:8">
      <c r="A293" t="s">
        <v>166</v>
      </c>
      <c r="B293">
        <v>2006</v>
      </c>
      <c r="C293" t="s">
        <v>374</v>
      </c>
      <c r="D293">
        <v>0</v>
      </c>
      <c r="E293" t="s">
        <v>455</v>
      </c>
      <c r="F293" t="s">
        <v>122</v>
      </c>
      <c r="G293" t="s">
        <v>456</v>
      </c>
      <c r="H293" t="s">
        <v>457</v>
      </c>
    </row>
    <row r="294" spans="1:8">
      <c r="A294" t="s">
        <v>232</v>
      </c>
      <c r="B294">
        <v>2006</v>
      </c>
      <c r="C294" t="s">
        <v>374</v>
      </c>
      <c r="D294">
        <v>0</v>
      </c>
      <c r="E294" t="s">
        <v>455</v>
      </c>
      <c r="F294" t="s">
        <v>122</v>
      </c>
      <c r="G294" t="s">
        <v>458</v>
      </c>
      <c r="H294" t="s">
        <v>457</v>
      </c>
    </row>
    <row r="295" spans="1:8">
      <c r="A295" t="s">
        <v>233</v>
      </c>
      <c r="B295">
        <v>2006</v>
      </c>
      <c r="C295" t="s">
        <v>374</v>
      </c>
      <c r="D295">
        <v>0</v>
      </c>
      <c r="E295" t="s">
        <v>455</v>
      </c>
      <c r="F295" t="s">
        <v>122</v>
      </c>
      <c r="G295" t="s">
        <v>458</v>
      </c>
      <c r="H295" t="s">
        <v>457</v>
      </c>
    </row>
    <row r="296" spans="1:8">
      <c r="A296" t="s">
        <v>166</v>
      </c>
      <c r="B296">
        <v>2007</v>
      </c>
      <c r="C296" t="s">
        <v>374</v>
      </c>
      <c r="D296">
        <v>0.01</v>
      </c>
      <c r="E296" t="s">
        <v>455</v>
      </c>
      <c r="F296" t="s">
        <v>122</v>
      </c>
      <c r="G296" t="s">
        <v>456</v>
      </c>
      <c r="H296" t="s">
        <v>457</v>
      </c>
    </row>
    <row r="297" spans="1:8">
      <c r="A297" t="s">
        <v>128</v>
      </c>
      <c r="B297">
        <v>2007</v>
      </c>
      <c r="C297" t="s">
        <v>374</v>
      </c>
      <c r="D297">
        <v>0</v>
      </c>
      <c r="E297" t="s">
        <v>455</v>
      </c>
      <c r="F297" t="s">
        <v>122</v>
      </c>
      <c r="G297" t="s">
        <v>456</v>
      </c>
      <c r="H297" t="s">
        <v>457</v>
      </c>
    </row>
    <row r="298" spans="1:8">
      <c r="A298" t="s">
        <v>129</v>
      </c>
      <c r="B298">
        <v>2007</v>
      </c>
      <c r="C298" t="s">
        <v>374</v>
      </c>
      <c r="D298">
        <v>0</v>
      </c>
      <c r="E298" t="s">
        <v>455</v>
      </c>
      <c r="F298" t="s">
        <v>122</v>
      </c>
      <c r="G298" t="s">
        <v>456</v>
      </c>
      <c r="H298" t="s">
        <v>457</v>
      </c>
    </row>
    <row r="299" spans="1:8">
      <c r="A299" t="s">
        <v>230</v>
      </c>
      <c r="B299">
        <v>2007</v>
      </c>
      <c r="C299" t="s">
        <v>374</v>
      </c>
      <c r="D299">
        <v>0.03</v>
      </c>
      <c r="E299" t="s">
        <v>455</v>
      </c>
      <c r="F299" t="s">
        <v>122</v>
      </c>
      <c r="G299" t="s">
        <v>456</v>
      </c>
      <c r="H299" t="s">
        <v>457</v>
      </c>
    </row>
    <row r="300" spans="1:8">
      <c r="A300" t="s">
        <v>168</v>
      </c>
      <c r="B300">
        <v>2007</v>
      </c>
      <c r="C300" t="s">
        <v>374</v>
      </c>
      <c r="D300">
        <v>0</v>
      </c>
      <c r="E300" t="s">
        <v>455</v>
      </c>
      <c r="F300" t="s">
        <v>122</v>
      </c>
      <c r="G300" t="s">
        <v>456</v>
      </c>
      <c r="H300" t="s">
        <v>457</v>
      </c>
    </row>
    <row r="301" spans="1:8">
      <c r="A301" t="s">
        <v>231</v>
      </c>
      <c r="B301">
        <v>2007</v>
      </c>
      <c r="C301" t="s">
        <v>374</v>
      </c>
      <c r="D301">
        <v>0.36</v>
      </c>
      <c r="E301" t="s">
        <v>455</v>
      </c>
      <c r="F301" t="s">
        <v>122</v>
      </c>
      <c r="G301" t="s">
        <v>456</v>
      </c>
      <c r="H301" t="s">
        <v>457</v>
      </c>
    </row>
    <row r="302" spans="1:8">
      <c r="A302" t="s">
        <v>166</v>
      </c>
      <c r="B302">
        <v>2007</v>
      </c>
      <c r="C302" t="s">
        <v>374</v>
      </c>
      <c r="D302">
        <v>0</v>
      </c>
      <c r="E302" t="s">
        <v>455</v>
      </c>
      <c r="F302" t="s">
        <v>122</v>
      </c>
      <c r="G302" t="s">
        <v>456</v>
      </c>
      <c r="H302" t="s">
        <v>457</v>
      </c>
    </row>
    <row r="303" spans="1:8">
      <c r="A303" t="s">
        <v>232</v>
      </c>
      <c r="B303">
        <v>2007</v>
      </c>
      <c r="C303" t="s">
        <v>374</v>
      </c>
      <c r="D303">
        <v>0</v>
      </c>
      <c r="E303" t="s">
        <v>455</v>
      </c>
      <c r="F303" t="s">
        <v>122</v>
      </c>
      <c r="G303" t="s">
        <v>458</v>
      </c>
      <c r="H303" t="s">
        <v>457</v>
      </c>
    </row>
    <row r="304" spans="1:8">
      <c r="A304" t="s">
        <v>233</v>
      </c>
      <c r="B304">
        <v>2007</v>
      </c>
      <c r="C304" t="s">
        <v>374</v>
      </c>
      <c r="D304">
        <v>0</v>
      </c>
      <c r="E304" t="s">
        <v>455</v>
      </c>
      <c r="F304" t="s">
        <v>122</v>
      </c>
      <c r="G304" t="s">
        <v>458</v>
      </c>
      <c r="H304" t="s">
        <v>457</v>
      </c>
    </row>
    <row r="305" spans="1:8">
      <c r="A305" t="s">
        <v>166</v>
      </c>
      <c r="B305">
        <v>2008</v>
      </c>
      <c r="C305" t="s">
        <v>374</v>
      </c>
      <c r="D305">
        <v>0.02</v>
      </c>
      <c r="E305" t="s">
        <v>455</v>
      </c>
      <c r="F305" t="s">
        <v>122</v>
      </c>
      <c r="G305" t="s">
        <v>456</v>
      </c>
      <c r="H305" t="s">
        <v>457</v>
      </c>
    </row>
    <row r="306" spans="1:8">
      <c r="A306" t="s">
        <v>128</v>
      </c>
      <c r="B306">
        <v>2008</v>
      </c>
      <c r="C306" t="s">
        <v>374</v>
      </c>
      <c r="D306">
        <v>0</v>
      </c>
      <c r="E306" t="s">
        <v>455</v>
      </c>
      <c r="F306" t="s">
        <v>122</v>
      </c>
      <c r="G306" t="s">
        <v>456</v>
      </c>
      <c r="H306" t="s">
        <v>457</v>
      </c>
    </row>
    <row r="307" spans="1:8">
      <c r="A307" t="s">
        <v>129</v>
      </c>
      <c r="B307">
        <v>2008</v>
      </c>
      <c r="C307" t="s">
        <v>374</v>
      </c>
      <c r="D307">
        <v>0</v>
      </c>
      <c r="E307" t="s">
        <v>455</v>
      </c>
      <c r="F307" t="s">
        <v>122</v>
      </c>
      <c r="G307" t="s">
        <v>456</v>
      </c>
      <c r="H307" t="s">
        <v>457</v>
      </c>
    </row>
    <row r="308" spans="1:8">
      <c r="A308" t="s">
        <v>230</v>
      </c>
      <c r="B308">
        <v>2008</v>
      </c>
      <c r="C308" t="s">
        <v>374</v>
      </c>
      <c r="D308">
        <v>0.04</v>
      </c>
      <c r="E308" t="s">
        <v>455</v>
      </c>
      <c r="F308" t="s">
        <v>122</v>
      </c>
      <c r="G308" t="s">
        <v>456</v>
      </c>
      <c r="H308" t="s">
        <v>457</v>
      </c>
    </row>
    <row r="309" spans="1:8">
      <c r="A309" t="s">
        <v>168</v>
      </c>
      <c r="B309">
        <v>2008</v>
      </c>
      <c r="C309" t="s">
        <v>374</v>
      </c>
      <c r="D309">
        <v>0</v>
      </c>
      <c r="E309" t="s">
        <v>455</v>
      </c>
      <c r="F309" t="s">
        <v>122</v>
      </c>
      <c r="G309" t="s">
        <v>456</v>
      </c>
      <c r="H309" t="s">
        <v>457</v>
      </c>
    </row>
    <row r="310" spans="1:8">
      <c r="A310" t="s">
        <v>231</v>
      </c>
      <c r="B310">
        <v>2008</v>
      </c>
      <c r="C310" t="s">
        <v>374</v>
      </c>
      <c r="D310">
        <v>0.39</v>
      </c>
      <c r="E310" t="s">
        <v>455</v>
      </c>
      <c r="F310" t="s">
        <v>122</v>
      </c>
      <c r="G310" t="s">
        <v>456</v>
      </c>
      <c r="H310" t="s">
        <v>457</v>
      </c>
    </row>
    <row r="311" spans="1:8">
      <c r="A311" t="s">
        <v>166</v>
      </c>
      <c r="B311">
        <v>2008</v>
      </c>
      <c r="C311" t="s">
        <v>374</v>
      </c>
      <c r="D311">
        <v>0</v>
      </c>
      <c r="E311" t="s">
        <v>455</v>
      </c>
      <c r="F311" t="s">
        <v>122</v>
      </c>
      <c r="G311" t="s">
        <v>456</v>
      </c>
      <c r="H311" t="s">
        <v>457</v>
      </c>
    </row>
    <row r="312" spans="1:8">
      <c r="A312" t="s">
        <v>232</v>
      </c>
      <c r="B312">
        <v>2008</v>
      </c>
      <c r="C312" t="s">
        <v>374</v>
      </c>
      <c r="D312">
        <v>0</v>
      </c>
      <c r="E312" t="s">
        <v>455</v>
      </c>
      <c r="F312" t="s">
        <v>122</v>
      </c>
      <c r="G312" t="s">
        <v>458</v>
      </c>
      <c r="H312" t="s">
        <v>457</v>
      </c>
    </row>
    <row r="313" spans="1:8">
      <c r="A313" t="s">
        <v>233</v>
      </c>
      <c r="B313">
        <v>2008</v>
      </c>
      <c r="C313" t="s">
        <v>374</v>
      </c>
      <c r="D313">
        <v>0</v>
      </c>
      <c r="E313" t="s">
        <v>455</v>
      </c>
      <c r="F313" t="s">
        <v>122</v>
      </c>
      <c r="G313" t="s">
        <v>458</v>
      </c>
      <c r="H313" t="s">
        <v>457</v>
      </c>
    </row>
    <row r="314" spans="1:8">
      <c r="A314" t="s">
        <v>166</v>
      </c>
      <c r="B314">
        <v>2009</v>
      </c>
      <c r="C314" t="s">
        <v>374</v>
      </c>
      <c r="D314">
        <v>0.03</v>
      </c>
      <c r="E314" t="s">
        <v>455</v>
      </c>
      <c r="F314" t="s">
        <v>122</v>
      </c>
      <c r="G314" t="s">
        <v>456</v>
      </c>
      <c r="H314" t="s">
        <v>457</v>
      </c>
    </row>
    <row r="315" spans="1:8">
      <c r="A315" t="s">
        <v>128</v>
      </c>
      <c r="B315">
        <v>2009</v>
      </c>
      <c r="C315" t="s">
        <v>374</v>
      </c>
      <c r="D315">
        <v>0</v>
      </c>
      <c r="E315" t="s">
        <v>455</v>
      </c>
      <c r="F315" t="s">
        <v>122</v>
      </c>
      <c r="G315" t="s">
        <v>456</v>
      </c>
      <c r="H315" t="s">
        <v>457</v>
      </c>
    </row>
    <row r="316" spans="1:8">
      <c r="A316" t="s">
        <v>129</v>
      </c>
      <c r="B316">
        <v>2009</v>
      </c>
      <c r="C316" t="s">
        <v>374</v>
      </c>
      <c r="D316">
        <v>0</v>
      </c>
      <c r="E316" t="s">
        <v>455</v>
      </c>
      <c r="F316" t="s">
        <v>122</v>
      </c>
      <c r="G316" t="s">
        <v>456</v>
      </c>
      <c r="H316" t="s">
        <v>457</v>
      </c>
    </row>
    <row r="317" spans="1:8">
      <c r="A317" t="s">
        <v>230</v>
      </c>
      <c r="B317">
        <v>2009</v>
      </c>
      <c r="C317" t="s">
        <v>374</v>
      </c>
      <c r="D317">
        <v>0.03</v>
      </c>
      <c r="E317" t="s">
        <v>455</v>
      </c>
      <c r="F317" t="s">
        <v>122</v>
      </c>
      <c r="G317" t="s">
        <v>456</v>
      </c>
      <c r="H317" t="s">
        <v>457</v>
      </c>
    </row>
    <row r="318" spans="1:8">
      <c r="A318" t="s">
        <v>168</v>
      </c>
      <c r="B318">
        <v>2009</v>
      </c>
      <c r="C318" t="s">
        <v>374</v>
      </c>
      <c r="D318">
        <v>0</v>
      </c>
      <c r="E318" t="s">
        <v>455</v>
      </c>
      <c r="F318" t="s">
        <v>122</v>
      </c>
      <c r="G318" t="s">
        <v>456</v>
      </c>
      <c r="H318" t="s">
        <v>457</v>
      </c>
    </row>
    <row r="319" spans="1:8">
      <c r="A319" t="s">
        <v>231</v>
      </c>
      <c r="B319">
        <v>2009</v>
      </c>
      <c r="C319" t="s">
        <v>374</v>
      </c>
      <c r="D319">
        <v>0.57999999999999996</v>
      </c>
      <c r="E319" t="s">
        <v>455</v>
      </c>
      <c r="F319" t="s">
        <v>122</v>
      </c>
      <c r="G319" t="s">
        <v>456</v>
      </c>
      <c r="H319" t="s">
        <v>457</v>
      </c>
    </row>
    <row r="320" spans="1:8">
      <c r="A320" t="s">
        <v>166</v>
      </c>
      <c r="B320">
        <v>2009</v>
      </c>
      <c r="C320" t="s">
        <v>374</v>
      </c>
      <c r="D320">
        <v>0</v>
      </c>
      <c r="E320" t="s">
        <v>455</v>
      </c>
      <c r="F320" t="s">
        <v>122</v>
      </c>
      <c r="G320" t="s">
        <v>456</v>
      </c>
      <c r="H320" t="s">
        <v>457</v>
      </c>
    </row>
    <row r="321" spans="1:8">
      <c r="A321" t="s">
        <v>232</v>
      </c>
      <c r="B321">
        <v>2009</v>
      </c>
      <c r="C321" t="s">
        <v>374</v>
      </c>
      <c r="D321">
        <v>0</v>
      </c>
      <c r="E321" t="s">
        <v>455</v>
      </c>
      <c r="F321" t="s">
        <v>122</v>
      </c>
      <c r="G321" t="s">
        <v>458</v>
      </c>
      <c r="H321" t="s">
        <v>457</v>
      </c>
    </row>
    <row r="322" spans="1:8">
      <c r="A322" t="s">
        <v>233</v>
      </c>
      <c r="B322">
        <v>2009</v>
      </c>
      <c r="C322" t="s">
        <v>374</v>
      </c>
      <c r="D322">
        <v>0</v>
      </c>
      <c r="E322" t="s">
        <v>455</v>
      </c>
      <c r="F322" t="s">
        <v>122</v>
      </c>
      <c r="G322" t="s">
        <v>458</v>
      </c>
      <c r="H322" t="s">
        <v>457</v>
      </c>
    </row>
    <row r="323" spans="1:8">
      <c r="A323" t="s">
        <v>166</v>
      </c>
      <c r="B323">
        <v>2010</v>
      </c>
      <c r="C323" t="s">
        <v>374</v>
      </c>
      <c r="D323">
        <v>0.03</v>
      </c>
      <c r="E323" t="s">
        <v>455</v>
      </c>
      <c r="F323" t="s">
        <v>122</v>
      </c>
      <c r="G323" t="s">
        <v>456</v>
      </c>
      <c r="H323" t="s">
        <v>457</v>
      </c>
    </row>
    <row r="324" spans="1:8">
      <c r="A324" t="s">
        <v>128</v>
      </c>
      <c r="B324">
        <v>2010</v>
      </c>
      <c r="C324" t="s">
        <v>374</v>
      </c>
      <c r="D324">
        <v>0</v>
      </c>
      <c r="E324" t="s">
        <v>455</v>
      </c>
      <c r="F324" t="s">
        <v>122</v>
      </c>
      <c r="G324" t="s">
        <v>456</v>
      </c>
      <c r="H324" t="s">
        <v>457</v>
      </c>
    </row>
    <row r="325" spans="1:8">
      <c r="A325" t="s">
        <v>129</v>
      </c>
      <c r="B325">
        <v>2010</v>
      </c>
      <c r="C325" t="s">
        <v>374</v>
      </c>
      <c r="D325">
        <v>0</v>
      </c>
      <c r="E325" t="s">
        <v>455</v>
      </c>
      <c r="F325" t="s">
        <v>122</v>
      </c>
      <c r="G325" t="s">
        <v>456</v>
      </c>
      <c r="H325" t="s">
        <v>457</v>
      </c>
    </row>
    <row r="326" spans="1:8">
      <c r="A326" t="s">
        <v>230</v>
      </c>
      <c r="B326">
        <v>2010</v>
      </c>
      <c r="C326" t="s">
        <v>374</v>
      </c>
      <c r="D326">
        <v>0.04</v>
      </c>
      <c r="E326" t="s">
        <v>455</v>
      </c>
      <c r="F326" t="s">
        <v>122</v>
      </c>
      <c r="G326" t="s">
        <v>456</v>
      </c>
      <c r="H326" t="s">
        <v>457</v>
      </c>
    </row>
    <row r="327" spans="1:8">
      <c r="A327" t="s">
        <v>168</v>
      </c>
      <c r="B327">
        <v>2010</v>
      </c>
      <c r="C327" t="s">
        <v>374</v>
      </c>
      <c r="D327">
        <v>0</v>
      </c>
      <c r="E327" t="s">
        <v>455</v>
      </c>
      <c r="F327" t="s">
        <v>122</v>
      </c>
      <c r="G327" t="s">
        <v>456</v>
      </c>
      <c r="H327" t="s">
        <v>457</v>
      </c>
    </row>
    <row r="328" spans="1:8">
      <c r="A328" t="s">
        <v>231</v>
      </c>
      <c r="B328">
        <v>2010</v>
      </c>
      <c r="C328" t="s">
        <v>374</v>
      </c>
      <c r="D328">
        <v>0.73</v>
      </c>
      <c r="E328" t="s">
        <v>455</v>
      </c>
      <c r="F328" t="s">
        <v>122</v>
      </c>
      <c r="G328" t="s">
        <v>456</v>
      </c>
      <c r="H328" t="s">
        <v>457</v>
      </c>
    </row>
    <row r="329" spans="1:8">
      <c r="A329" t="s">
        <v>166</v>
      </c>
      <c r="B329">
        <v>2010</v>
      </c>
      <c r="C329" t="s">
        <v>374</v>
      </c>
      <c r="D329">
        <v>0</v>
      </c>
      <c r="E329" t="s">
        <v>455</v>
      </c>
      <c r="F329" t="s">
        <v>122</v>
      </c>
      <c r="G329" t="s">
        <v>456</v>
      </c>
      <c r="H329" t="s">
        <v>457</v>
      </c>
    </row>
    <row r="330" spans="1:8">
      <c r="A330" t="s">
        <v>232</v>
      </c>
      <c r="B330">
        <v>2010</v>
      </c>
      <c r="C330" t="s">
        <v>374</v>
      </c>
      <c r="D330">
        <v>0</v>
      </c>
      <c r="E330" t="s">
        <v>455</v>
      </c>
      <c r="F330" t="s">
        <v>122</v>
      </c>
      <c r="G330" t="s">
        <v>458</v>
      </c>
      <c r="H330" t="s">
        <v>457</v>
      </c>
    </row>
    <row r="331" spans="1:8">
      <c r="A331" t="s">
        <v>233</v>
      </c>
      <c r="B331">
        <v>2010</v>
      </c>
      <c r="C331" t="s">
        <v>374</v>
      </c>
      <c r="D331">
        <v>0</v>
      </c>
      <c r="E331" t="s">
        <v>455</v>
      </c>
      <c r="F331" t="s">
        <v>122</v>
      </c>
      <c r="G331" t="s">
        <v>458</v>
      </c>
      <c r="H331" t="s">
        <v>457</v>
      </c>
    </row>
    <row r="332" spans="1:8">
      <c r="A332" t="s">
        <v>166</v>
      </c>
      <c r="B332">
        <v>2011</v>
      </c>
      <c r="C332" t="s">
        <v>374</v>
      </c>
      <c r="D332">
        <v>0.02</v>
      </c>
      <c r="E332" t="s">
        <v>455</v>
      </c>
      <c r="F332" t="s">
        <v>122</v>
      </c>
      <c r="G332" t="s">
        <v>456</v>
      </c>
      <c r="H332" t="s">
        <v>457</v>
      </c>
    </row>
    <row r="333" spans="1:8">
      <c r="A333" t="s">
        <v>128</v>
      </c>
      <c r="B333">
        <v>2011</v>
      </c>
      <c r="C333" t="s">
        <v>374</v>
      </c>
      <c r="D333">
        <v>0</v>
      </c>
      <c r="E333" t="s">
        <v>455</v>
      </c>
      <c r="F333" t="s">
        <v>122</v>
      </c>
      <c r="G333" t="s">
        <v>456</v>
      </c>
      <c r="H333" t="s">
        <v>457</v>
      </c>
    </row>
    <row r="334" spans="1:8">
      <c r="A334" t="s">
        <v>129</v>
      </c>
      <c r="B334">
        <v>2011</v>
      </c>
      <c r="C334" t="s">
        <v>374</v>
      </c>
      <c r="D334">
        <v>0</v>
      </c>
      <c r="E334" t="s">
        <v>455</v>
      </c>
      <c r="F334" t="s">
        <v>122</v>
      </c>
      <c r="G334" t="s">
        <v>456</v>
      </c>
      <c r="H334" t="s">
        <v>457</v>
      </c>
    </row>
    <row r="335" spans="1:8">
      <c r="A335" t="s">
        <v>230</v>
      </c>
      <c r="B335">
        <v>2011</v>
      </c>
      <c r="C335" t="s">
        <v>374</v>
      </c>
      <c r="D335">
        <v>0.04</v>
      </c>
      <c r="E335" t="s">
        <v>455</v>
      </c>
      <c r="F335" t="s">
        <v>122</v>
      </c>
      <c r="G335" t="s">
        <v>456</v>
      </c>
      <c r="H335" t="s">
        <v>457</v>
      </c>
    </row>
    <row r="336" spans="1:8">
      <c r="A336" t="s">
        <v>168</v>
      </c>
      <c r="B336">
        <v>2011</v>
      </c>
      <c r="C336" t="s">
        <v>374</v>
      </c>
      <c r="D336">
        <v>0</v>
      </c>
      <c r="E336" t="s">
        <v>455</v>
      </c>
      <c r="F336" t="s">
        <v>122</v>
      </c>
      <c r="G336" t="s">
        <v>456</v>
      </c>
      <c r="H336" t="s">
        <v>457</v>
      </c>
    </row>
    <row r="337" spans="1:8">
      <c r="A337" t="s">
        <v>231</v>
      </c>
      <c r="B337">
        <v>2011</v>
      </c>
      <c r="C337" t="s">
        <v>374</v>
      </c>
      <c r="D337">
        <v>0.68</v>
      </c>
      <c r="E337" t="s">
        <v>455</v>
      </c>
      <c r="F337" t="s">
        <v>122</v>
      </c>
      <c r="G337" t="s">
        <v>456</v>
      </c>
      <c r="H337" t="s">
        <v>457</v>
      </c>
    </row>
    <row r="338" spans="1:8">
      <c r="A338" t="s">
        <v>166</v>
      </c>
      <c r="B338">
        <v>2011</v>
      </c>
      <c r="C338" t="s">
        <v>374</v>
      </c>
      <c r="D338">
        <v>0</v>
      </c>
      <c r="E338" t="s">
        <v>455</v>
      </c>
      <c r="F338" t="s">
        <v>122</v>
      </c>
      <c r="G338" t="s">
        <v>456</v>
      </c>
      <c r="H338" t="s">
        <v>457</v>
      </c>
    </row>
    <row r="339" spans="1:8">
      <c r="A339" t="s">
        <v>232</v>
      </c>
      <c r="B339">
        <v>2011</v>
      </c>
      <c r="C339" t="s">
        <v>374</v>
      </c>
      <c r="D339">
        <v>0</v>
      </c>
      <c r="E339" t="s">
        <v>455</v>
      </c>
      <c r="F339" t="s">
        <v>122</v>
      </c>
      <c r="G339" t="s">
        <v>458</v>
      </c>
      <c r="H339" t="s">
        <v>457</v>
      </c>
    </row>
    <row r="340" spans="1:8">
      <c r="A340" t="s">
        <v>233</v>
      </c>
      <c r="B340">
        <v>2011</v>
      </c>
      <c r="C340" t="s">
        <v>374</v>
      </c>
      <c r="D340">
        <v>0</v>
      </c>
      <c r="E340" t="s">
        <v>455</v>
      </c>
      <c r="F340" t="s">
        <v>122</v>
      </c>
      <c r="G340" t="s">
        <v>458</v>
      </c>
      <c r="H340" t="s">
        <v>457</v>
      </c>
    </row>
    <row r="341" spans="1:8">
      <c r="A341" t="s">
        <v>166</v>
      </c>
      <c r="B341">
        <v>2012</v>
      </c>
      <c r="C341" t="s">
        <v>374</v>
      </c>
      <c r="D341">
        <v>0.03</v>
      </c>
      <c r="E341" t="s">
        <v>455</v>
      </c>
      <c r="F341" t="s">
        <v>122</v>
      </c>
      <c r="G341" t="s">
        <v>456</v>
      </c>
      <c r="H341" t="s">
        <v>457</v>
      </c>
    </row>
    <row r="342" spans="1:8">
      <c r="A342" t="s">
        <v>128</v>
      </c>
      <c r="B342">
        <v>2012</v>
      </c>
      <c r="C342" t="s">
        <v>374</v>
      </c>
      <c r="D342">
        <v>0</v>
      </c>
      <c r="E342" t="s">
        <v>455</v>
      </c>
      <c r="F342" t="s">
        <v>122</v>
      </c>
      <c r="G342" t="s">
        <v>456</v>
      </c>
      <c r="H342" t="s">
        <v>457</v>
      </c>
    </row>
    <row r="343" spans="1:8">
      <c r="A343" t="s">
        <v>129</v>
      </c>
      <c r="B343">
        <v>2012</v>
      </c>
      <c r="C343" t="s">
        <v>374</v>
      </c>
      <c r="D343">
        <v>0</v>
      </c>
      <c r="E343" t="s">
        <v>455</v>
      </c>
      <c r="F343" t="s">
        <v>122</v>
      </c>
      <c r="G343" t="s">
        <v>456</v>
      </c>
      <c r="H343" t="s">
        <v>457</v>
      </c>
    </row>
    <row r="344" spans="1:8">
      <c r="A344" t="s">
        <v>230</v>
      </c>
      <c r="B344">
        <v>2012</v>
      </c>
      <c r="C344" t="s">
        <v>374</v>
      </c>
      <c r="D344">
        <v>0.06</v>
      </c>
      <c r="E344" t="s">
        <v>455</v>
      </c>
      <c r="F344" t="s">
        <v>122</v>
      </c>
      <c r="G344" t="s">
        <v>456</v>
      </c>
      <c r="H344" t="s">
        <v>457</v>
      </c>
    </row>
    <row r="345" spans="1:8">
      <c r="A345" t="s">
        <v>168</v>
      </c>
      <c r="B345">
        <v>2012</v>
      </c>
      <c r="C345" t="s">
        <v>374</v>
      </c>
      <c r="D345">
        <v>0</v>
      </c>
      <c r="E345" t="s">
        <v>455</v>
      </c>
      <c r="F345" t="s">
        <v>122</v>
      </c>
      <c r="G345" t="s">
        <v>456</v>
      </c>
      <c r="H345" t="s">
        <v>457</v>
      </c>
    </row>
    <row r="346" spans="1:8">
      <c r="A346" t="s">
        <v>231</v>
      </c>
      <c r="B346">
        <v>2012</v>
      </c>
      <c r="C346" t="s">
        <v>374</v>
      </c>
      <c r="D346">
        <v>0.19</v>
      </c>
      <c r="E346" t="s">
        <v>455</v>
      </c>
      <c r="F346" t="s">
        <v>122</v>
      </c>
      <c r="G346" t="s">
        <v>456</v>
      </c>
      <c r="H346" t="s">
        <v>457</v>
      </c>
    </row>
    <row r="347" spans="1:8">
      <c r="A347" t="s">
        <v>166</v>
      </c>
      <c r="B347">
        <v>2012</v>
      </c>
      <c r="C347" t="s">
        <v>374</v>
      </c>
      <c r="D347">
        <v>0</v>
      </c>
      <c r="E347" t="s">
        <v>455</v>
      </c>
      <c r="F347" t="s">
        <v>122</v>
      </c>
      <c r="G347" t="s">
        <v>456</v>
      </c>
      <c r="H347" t="s">
        <v>457</v>
      </c>
    </row>
    <row r="348" spans="1:8">
      <c r="A348" t="s">
        <v>232</v>
      </c>
      <c r="B348">
        <v>2012</v>
      </c>
      <c r="C348" t="s">
        <v>374</v>
      </c>
      <c r="D348">
        <v>0</v>
      </c>
      <c r="E348" t="s">
        <v>455</v>
      </c>
      <c r="F348" t="s">
        <v>122</v>
      </c>
      <c r="G348" t="s">
        <v>458</v>
      </c>
      <c r="H348" t="s">
        <v>457</v>
      </c>
    </row>
    <row r="349" spans="1:8">
      <c r="A349" t="s">
        <v>233</v>
      </c>
      <c r="B349">
        <v>2012</v>
      </c>
      <c r="C349" t="s">
        <v>374</v>
      </c>
      <c r="D349">
        <v>0</v>
      </c>
      <c r="E349" t="s">
        <v>455</v>
      </c>
      <c r="F349" t="s">
        <v>122</v>
      </c>
      <c r="G349" t="s">
        <v>458</v>
      </c>
      <c r="H349" t="s">
        <v>457</v>
      </c>
    </row>
    <row r="350" spans="1:8">
      <c r="A350" t="s">
        <v>166</v>
      </c>
      <c r="B350">
        <v>2013</v>
      </c>
      <c r="C350" t="s">
        <v>374</v>
      </c>
      <c r="D350">
        <v>0.04</v>
      </c>
      <c r="E350" t="s">
        <v>455</v>
      </c>
      <c r="F350" t="s">
        <v>122</v>
      </c>
      <c r="G350" t="s">
        <v>456</v>
      </c>
      <c r="H350" t="s">
        <v>457</v>
      </c>
    </row>
    <row r="351" spans="1:8">
      <c r="A351" t="s">
        <v>128</v>
      </c>
      <c r="B351">
        <v>2013</v>
      </c>
      <c r="C351" t="s">
        <v>374</v>
      </c>
      <c r="D351">
        <v>0</v>
      </c>
      <c r="E351" t="s">
        <v>455</v>
      </c>
      <c r="F351" t="s">
        <v>122</v>
      </c>
      <c r="G351" t="s">
        <v>456</v>
      </c>
      <c r="H351" t="s">
        <v>457</v>
      </c>
    </row>
    <row r="352" spans="1:8">
      <c r="A352" t="s">
        <v>129</v>
      </c>
      <c r="B352">
        <v>2013</v>
      </c>
      <c r="C352" t="s">
        <v>374</v>
      </c>
      <c r="D352">
        <v>0</v>
      </c>
      <c r="E352" t="s">
        <v>455</v>
      </c>
      <c r="F352" t="s">
        <v>122</v>
      </c>
      <c r="G352" t="s">
        <v>456</v>
      </c>
      <c r="H352" t="s">
        <v>457</v>
      </c>
    </row>
    <row r="353" spans="1:8">
      <c r="A353" t="s">
        <v>230</v>
      </c>
      <c r="B353">
        <v>2013</v>
      </c>
      <c r="C353" t="s">
        <v>374</v>
      </c>
      <c r="D353">
        <v>7.0000000000000007E-2</v>
      </c>
      <c r="E353" t="s">
        <v>455</v>
      </c>
      <c r="F353" t="s">
        <v>122</v>
      </c>
      <c r="G353" t="s">
        <v>456</v>
      </c>
      <c r="H353" t="s">
        <v>457</v>
      </c>
    </row>
    <row r="354" spans="1:8">
      <c r="A354" t="s">
        <v>168</v>
      </c>
      <c r="B354">
        <v>2013</v>
      </c>
      <c r="C354" t="s">
        <v>374</v>
      </c>
      <c r="D354">
        <v>0</v>
      </c>
      <c r="E354" t="s">
        <v>455</v>
      </c>
      <c r="F354" t="s">
        <v>122</v>
      </c>
      <c r="G354" t="s">
        <v>456</v>
      </c>
      <c r="H354" t="s">
        <v>457</v>
      </c>
    </row>
    <row r="355" spans="1:8">
      <c r="A355" t="s">
        <v>231</v>
      </c>
      <c r="B355">
        <v>2013</v>
      </c>
      <c r="C355" t="s">
        <v>374</v>
      </c>
      <c r="D355">
        <v>0</v>
      </c>
      <c r="E355" t="s">
        <v>455</v>
      </c>
      <c r="F355" t="s">
        <v>122</v>
      </c>
      <c r="G355" t="s">
        <v>456</v>
      </c>
      <c r="H355" t="s">
        <v>457</v>
      </c>
    </row>
    <row r="356" spans="1:8">
      <c r="A356" t="s">
        <v>166</v>
      </c>
      <c r="B356">
        <v>2013</v>
      </c>
      <c r="C356" t="s">
        <v>374</v>
      </c>
      <c r="D356">
        <v>0</v>
      </c>
      <c r="E356" t="s">
        <v>455</v>
      </c>
      <c r="F356" t="s">
        <v>122</v>
      </c>
      <c r="G356" t="s">
        <v>456</v>
      </c>
      <c r="H356" t="s">
        <v>457</v>
      </c>
    </row>
    <row r="357" spans="1:8">
      <c r="A357" t="s">
        <v>232</v>
      </c>
      <c r="B357">
        <v>2013</v>
      </c>
      <c r="C357" t="s">
        <v>374</v>
      </c>
      <c r="D357">
        <v>0</v>
      </c>
      <c r="E357" t="s">
        <v>455</v>
      </c>
      <c r="F357" t="s">
        <v>122</v>
      </c>
      <c r="G357" t="s">
        <v>458</v>
      </c>
      <c r="H357" t="s">
        <v>457</v>
      </c>
    </row>
    <row r="358" spans="1:8">
      <c r="A358" t="s">
        <v>233</v>
      </c>
      <c r="B358">
        <v>2013</v>
      </c>
      <c r="C358" t="s">
        <v>374</v>
      </c>
      <c r="D358">
        <v>0</v>
      </c>
      <c r="E358" t="s">
        <v>455</v>
      </c>
      <c r="F358" t="s">
        <v>122</v>
      </c>
      <c r="G358" t="s">
        <v>458</v>
      </c>
      <c r="H358" t="s">
        <v>457</v>
      </c>
    </row>
    <row r="359" spans="1:8">
      <c r="A359" t="s">
        <v>166</v>
      </c>
      <c r="B359">
        <v>2014</v>
      </c>
      <c r="C359" t="s">
        <v>374</v>
      </c>
      <c r="D359">
        <v>0.05</v>
      </c>
      <c r="E359" t="s">
        <v>455</v>
      </c>
      <c r="F359" t="s">
        <v>122</v>
      </c>
      <c r="G359" t="s">
        <v>456</v>
      </c>
      <c r="H359" t="s">
        <v>457</v>
      </c>
    </row>
    <row r="360" spans="1:8">
      <c r="A360" t="s">
        <v>128</v>
      </c>
      <c r="B360">
        <v>2014</v>
      </c>
      <c r="C360" t="s">
        <v>374</v>
      </c>
      <c r="D360">
        <v>0</v>
      </c>
      <c r="E360" t="s">
        <v>455</v>
      </c>
      <c r="F360" t="s">
        <v>122</v>
      </c>
      <c r="G360" t="s">
        <v>456</v>
      </c>
      <c r="H360" t="s">
        <v>457</v>
      </c>
    </row>
    <row r="361" spans="1:8">
      <c r="A361" t="s">
        <v>129</v>
      </c>
      <c r="B361">
        <v>2014</v>
      </c>
      <c r="C361" t="s">
        <v>374</v>
      </c>
      <c r="D361">
        <v>0</v>
      </c>
      <c r="E361" t="s">
        <v>455</v>
      </c>
      <c r="F361" t="s">
        <v>122</v>
      </c>
      <c r="G361" t="s">
        <v>456</v>
      </c>
      <c r="H361" t="s">
        <v>457</v>
      </c>
    </row>
    <row r="362" spans="1:8">
      <c r="A362" t="s">
        <v>230</v>
      </c>
      <c r="B362">
        <v>2014</v>
      </c>
      <c r="C362" t="s">
        <v>374</v>
      </c>
      <c r="D362">
        <v>7.0000000000000007E-2</v>
      </c>
      <c r="E362" t="s">
        <v>455</v>
      </c>
      <c r="F362" t="s">
        <v>122</v>
      </c>
      <c r="G362" t="s">
        <v>456</v>
      </c>
      <c r="H362" t="s">
        <v>457</v>
      </c>
    </row>
    <row r="363" spans="1:8">
      <c r="A363" t="s">
        <v>168</v>
      </c>
      <c r="B363">
        <v>2014</v>
      </c>
      <c r="C363" t="s">
        <v>374</v>
      </c>
      <c r="D363">
        <v>0</v>
      </c>
      <c r="E363" t="s">
        <v>455</v>
      </c>
      <c r="F363" t="s">
        <v>122</v>
      </c>
      <c r="G363" t="s">
        <v>456</v>
      </c>
      <c r="H363" t="s">
        <v>457</v>
      </c>
    </row>
    <row r="364" spans="1:8">
      <c r="A364" t="s">
        <v>231</v>
      </c>
      <c r="B364">
        <v>2014</v>
      </c>
      <c r="C364" t="s">
        <v>374</v>
      </c>
      <c r="D364">
        <v>0.06</v>
      </c>
      <c r="E364" t="s">
        <v>455</v>
      </c>
      <c r="F364" t="s">
        <v>122</v>
      </c>
      <c r="G364" t="s">
        <v>456</v>
      </c>
      <c r="H364" t="s">
        <v>457</v>
      </c>
    </row>
    <row r="365" spans="1:8">
      <c r="A365" t="s">
        <v>166</v>
      </c>
      <c r="B365">
        <v>2014</v>
      </c>
      <c r="C365" t="s">
        <v>374</v>
      </c>
      <c r="D365">
        <v>0</v>
      </c>
      <c r="E365" t="s">
        <v>455</v>
      </c>
      <c r="F365" t="s">
        <v>122</v>
      </c>
      <c r="G365" t="s">
        <v>456</v>
      </c>
      <c r="H365" t="s">
        <v>457</v>
      </c>
    </row>
    <row r="366" spans="1:8">
      <c r="A366" t="s">
        <v>232</v>
      </c>
      <c r="B366">
        <v>2014</v>
      </c>
      <c r="C366" t="s">
        <v>374</v>
      </c>
      <c r="D366">
        <v>0</v>
      </c>
      <c r="E366" t="s">
        <v>455</v>
      </c>
      <c r="F366" t="s">
        <v>122</v>
      </c>
      <c r="G366" t="s">
        <v>458</v>
      </c>
      <c r="H366" t="s">
        <v>457</v>
      </c>
    </row>
    <row r="367" spans="1:8">
      <c r="A367" t="s">
        <v>233</v>
      </c>
      <c r="B367">
        <v>2014</v>
      </c>
      <c r="C367" t="s">
        <v>374</v>
      </c>
      <c r="D367">
        <v>0</v>
      </c>
      <c r="E367" t="s">
        <v>455</v>
      </c>
      <c r="F367" t="s">
        <v>122</v>
      </c>
      <c r="G367" t="s">
        <v>458</v>
      </c>
      <c r="H367" t="s">
        <v>457</v>
      </c>
    </row>
    <row r="368" spans="1:8">
      <c r="A368" t="s">
        <v>166</v>
      </c>
      <c r="B368">
        <v>2015</v>
      </c>
      <c r="C368" t="s">
        <v>374</v>
      </c>
      <c r="D368">
        <v>0.08</v>
      </c>
      <c r="E368" t="s">
        <v>455</v>
      </c>
      <c r="F368" t="s">
        <v>122</v>
      </c>
      <c r="G368" t="s">
        <v>456</v>
      </c>
      <c r="H368" t="s">
        <v>457</v>
      </c>
    </row>
    <row r="369" spans="1:8">
      <c r="A369" t="s">
        <v>128</v>
      </c>
      <c r="B369">
        <v>2015</v>
      </c>
      <c r="C369" t="s">
        <v>374</v>
      </c>
      <c r="D369">
        <v>0</v>
      </c>
      <c r="E369" t="s">
        <v>455</v>
      </c>
      <c r="F369" t="s">
        <v>122</v>
      </c>
      <c r="G369" t="s">
        <v>456</v>
      </c>
      <c r="H369" t="s">
        <v>457</v>
      </c>
    </row>
    <row r="370" spans="1:8">
      <c r="A370" t="s">
        <v>129</v>
      </c>
      <c r="B370">
        <v>2015</v>
      </c>
      <c r="C370" t="s">
        <v>374</v>
      </c>
      <c r="D370">
        <v>0</v>
      </c>
      <c r="E370" t="s">
        <v>455</v>
      </c>
      <c r="F370" t="s">
        <v>122</v>
      </c>
      <c r="G370" t="s">
        <v>456</v>
      </c>
      <c r="H370" t="s">
        <v>457</v>
      </c>
    </row>
    <row r="371" spans="1:8">
      <c r="A371" t="s">
        <v>230</v>
      </c>
      <c r="B371">
        <v>2015</v>
      </c>
      <c r="C371" t="s">
        <v>374</v>
      </c>
      <c r="D371">
        <v>7.0000000000000007E-2</v>
      </c>
      <c r="E371" t="s">
        <v>455</v>
      </c>
      <c r="F371" t="s">
        <v>122</v>
      </c>
      <c r="G371" t="s">
        <v>456</v>
      </c>
      <c r="H371" t="s">
        <v>457</v>
      </c>
    </row>
    <row r="372" spans="1:8">
      <c r="A372" t="s">
        <v>168</v>
      </c>
      <c r="B372">
        <v>2015</v>
      </c>
      <c r="C372" t="s">
        <v>374</v>
      </c>
      <c r="D372">
        <v>0</v>
      </c>
      <c r="E372" t="s">
        <v>455</v>
      </c>
      <c r="F372" t="s">
        <v>122</v>
      </c>
      <c r="G372" t="s">
        <v>456</v>
      </c>
      <c r="H372" t="s">
        <v>457</v>
      </c>
    </row>
    <row r="373" spans="1:8">
      <c r="A373" t="s">
        <v>231</v>
      </c>
      <c r="B373">
        <v>2015</v>
      </c>
      <c r="C373" t="s">
        <v>374</v>
      </c>
      <c r="D373">
        <v>0.05</v>
      </c>
      <c r="E373" t="s">
        <v>455</v>
      </c>
      <c r="F373" t="s">
        <v>122</v>
      </c>
      <c r="G373" t="s">
        <v>456</v>
      </c>
      <c r="H373" t="s">
        <v>457</v>
      </c>
    </row>
    <row r="374" spans="1:8">
      <c r="A374" t="s">
        <v>166</v>
      </c>
      <c r="B374">
        <v>2015</v>
      </c>
      <c r="C374" t="s">
        <v>374</v>
      </c>
      <c r="D374">
        <v>0</v>
      </c>
      <c r="E374" t="s">
        <v>455</v>
      </c>
      <c r="F374" t="s">
        <v>122</v>
      </c>
      <c r="G374" t="s">
        <v>456</v>
      </c>
      <c r="H374" t="s">
        <v>457</v>
      </c>
    </row>
    <row r="375" spans="1:8">
      <c r="A375" t="s">
        <v>232</v>
      </c>
      <c r="B375">
        <v>2015</v>
      </c>
      <c r="C375" t="s">
        <v>374</v>
      </c>
      <c r="D375">
        <v>0</v>
      </c>
      <c r="E375" t="s">
        <v>455</v>
      </c>
      <c r="F375" t="s">
        <v>122</v>
      </c>
      <c r="G375" t="s">
        <v>458</v>
      </c>
      <c r="H375" t="s">
        <v>457</v>
      </c>
    </row>
    <row r="376" spans="1:8">
      <c r="A376" t="s">
        <v>233</v>
      </c>
      <c r="B376">
        <v>2015</v>
      </c>
      <c r="C376" t="s">
        <v>374</v>
      </c>
      <c r="D376">
        <v>0</v>
      </c>
      <c r="E376" t="s">
        <v>455</v>
      </c>
      <c r="F376" t="s">
        <v>122</v>
      </c>
      <c r="G376" t="s">
        <v>458</v>
      </c>
      <c r="H376" t="s">
        <v>457</v>
      </c>
    </row>
    <row r="377" spans="1:8">
      <c r="A377" t="s">
        <v>166</v>
      </c>
      <c r="B377">
        <v>2016</v>
      </c>
      <c r="C377" t="s">
        <v>374</v>
      </c>
      <c r="D377">
        <v>0.08</v>
      </c>
      <c r="E377" t="s">
        <v>455</v>
      </c>
      <c r="F377" t="s">
        <v>122</v>
      </c>
      <c r="G377" t="s">
        <v>456</v>
      </c>
      <c r="H377" t="s">
        <v>457</v>
      </c>
    </row>
    <row r="378" spans="1:8">
      <c r="A378" t="s">
        <v>128</v>
      </c>
      <c r="B378">
        <v>2016</v>
      </c>
      <c r="C378" t="s">
        <v>374</v>
      </c>
      <c r="D378">
        <v>0</v>
      </c>
      <c r="E378" t="s">
        <v>455</v>
      </c>
      <c r="F378" t="s">
        <v>122</v>
      </c>
      <c r="G378" t="s">
        <v>456</v>
      </c>
      <c r="H378" t="s">
        <v>457</v>
      </c>
    </row>
    <row r="379" spans="1:8">
      <c r="A379" t="s">
        <v>129</v>
      </c>
      <c r="B379">
        <v>2016</v>
      </c>
      <c r="C379" t="s">
        <v>374</v>
      </c>
      <c r="D379">
        <v>0</v>
      </c>
      <c r="E379" t="s">
        <v>455</v>
      </c>
      <c r="F379" t="s">
        <v>122</v>
      </c>
      <c r="G379" t="s">
        <v>456</v>
      </c>
      <c r="H379" t="s">
        <v>457</v>
      </c>
    </row>
    <row r="380" spans="1:8">
      <c r="A380" t="s">
        <v>230</v>
      </c>
      <c r="B380">
        <v>2016</v>
      </c>
      <c r="C380" t="s">
        <v>374</v>
      </c>
      <c r="D380">
        <v>0.08</v>
      </c>
      <c r="E380" t="s">
        <v>455</v>
      </c>
      <c r="F380" t="s">
        <v>122</v>
      </c>
      <c r="G380" t="s">
        <v>456</v>
      </c>
      <c r="H380" t="s">
        <v>457</v>
      </c>
    </row>
    <row r="381" spans="1:8">
      <c r="A381" t="s">
        <v>168</v>
      </c>
      <c r="B381">
        <v>2016</v>
      </c>
      <c r="C381" t="s">
        <v>374</v>
      </c>
      <c r="D381">
        <v>0</v>
      </c>
      <c r="E381" t="s">
        <v>455</v>
      </c>
      <c r="F381" t="s">
        <v>122</v>
      </c>
      <c r="G381" t="s">
        <v>456</v>
      </c>
      <c r="H381" t="s">
        <v>457</v>
      </c>
    </row>
    <row r="382" spans="1:8">
      <c r="A382" t="s">
        <v>231</v>
      </c>
      <c r="B382">
        <v>2016</v>
      </c>
      <c r="C382" t="s">
        <v>374</v>
      </c>
      <c r="D382">
        <v>0.05</v>
      </c>
      <c r="E382" t="s">
        <v>455</v>
      </c>
      <c r="F382" t="s">
        <v>122</v>
      </c>
      <c r="G382" t="s">
        <v>456</v>
      </c>
      <c r="H382" t="s">
        <v>457</v>
      </c>
    </row>
    <row r="383" spans="1:8">
      <c r="A383" t="s">
        <v>166</v>
      </c>
      <c r="B383">
        <v>2016</v>
      </c>
      <c r="C383" t="s">
        <v>374</v>
      </c>
      <c r="D383">
        <v>0</v>
      </c>
      <c r="E383" t="s">
        <v>455</v>
      </c>
      <c r="F383" t="s">
        <v>122</v>
      </c>
      <c r="G383" t="s">
        <v>456</v>
      </c>
      <c r="H383" t="s">
        <v>457</v>
      </c>
    </row>
    <row r="384" spans="1:8">
      <c r="A384" t="s">
        <v>232</v>
      </c>
      <c r="B384">
        <v>2016</v>
      </c>
      <c r="C384" t="s">
        <v>374</v>
      </c>
      <c r="D384">
        <v>0</v>
      </c>
      <c r="E384" t="s">
        <v>455</v>
      </c>
      <c r="F384" t="s">
        <v>122</v>
      </c>
      <c r="G384" t="s">
        <v>458</v>
      </c>
      <c r="H384" t="s">
        <v>457</v>
      </c>
    </row>
    <row r="385" spans="1:8">
      <c r="A385" t="s">
        <v>233</v>
      </c>
      <c r="B385">
        <v>2016</v>
      </c>
      <c r="C385" t="s">
        <v>374</v>
      </c>
      <c r="D385">
        <v>0</v>
      </c>
      <c r="E385" t="s">
        <v>455</v>
      </c>
      <c r="F385" t="s">
        <v>122</v>
      </c>
      <c r="G385" t="s">
        <v>458</v>
      </c>
      <c r="H385" t="s">
        <v>457</v>
      </c>
    </row>
    <row r="386" spans="1:8">
      <c r="A386" t="s">
        <v>166</v>
      </c>
      <c r="B386">
        <v>2017</v>
      </c>
      <c r="C386" t="s">
        <v>374</v>
      </c>
      <c r="D386">
        <v>0.05</v>
      </c>
      <c r="E386" t="s">
        <v>455</v>
      </c>
      <c r="F386" t="s">
        <v>122</v>
      </c>
      <c r="G386" t="s">
        <v>456</v>
      </c>
      <c r="H386" t="s">
        <v>457</v>
      </c>
    </row>
    <row r="387" spans="1:8">
      <c r="A387" t="s">
        <v>128</v>
      </c>
      <c r="B387">
        <v>2017</v>
      </c>
      <c r="C387" t="s">
        <v>374</v>
      </c>
      <c r="D387">
        <v>0</v>
      </c>
      <c r="E387" t="s">
        <v>455</v>
      </c>
      <c r="F387" t="s">
        <v>122</v>
      </c>
      <c r="G387" t="s">
        <v>456</v>
      </c>
      <c r="H387" t="s">
        <v>457</v>
      </c>
    </row>
    <row r="388" spans="1:8">
      <c r="A388" t="s">
        <v>129</v>
      </c>
      <c r="B388">
        <v>2017</v>
      </c>
      <c r="C388" t="s">
        <v>374</v>
      </c>
      <c r="D388">
        <v>0</v>
      </c>
      <c r="E388" t="s">
        <v>455</v>
      </c>
      <c r="F388" t="s">
        <v>122</v>
      </c>
      <c r="G388" t="s">
        <v>456</v>
      </c>
      <c r="H388" t="s">
        <v>457</v>
      </c>
    </row>
    <row r="389" spans="1:8">
      <c r="A389" t="s">
        <v>230</v>
      </c>
      <c r="B389">
        <v>2017</v>
      </c>
      <c r="C389" t="s">
        <v>374</v>
      </c>
      <c r="D389">
        <v>0.08</v>
      </c>
      <c r="E389" t="s">
        <v>455</v>
      </c>
      <c r="F389" t="s">
        <v>122</v>
      </c>
      <c r="G389" t="s">
        <v>456</v>
      </c>
      <c r="H389" t="s">
        <v>457</v>
      </c>
    </row>
    <row r="390" spans="1:8">
      <c r="A390" t="s">
        <v>168</v>
      </c>
      <c r="B390">
        <v>2017</v>
      </c>
      <c r="C390" t="s">
        <v>374</v>
      </c>
      <c r="D390">
        <v>0</v>
      </c>
      <c r="E390" t="s">
        <v>455</v>
      </c>
      <c r="F390" t="s">
        <v>122</v>
      </c>
      <c r="G390" t="s">
        <v>456</v>
      </c>
      <c r="H390" t="s">
        <v>457</v>
      </c>
    </row>
    <row r="391" spans="1:8">
      <c r="A391" t="s">
        <v>231</v>
      </c>
      <c r="B391">
        <v>2017</v>
      </c>
      <c r="C391" t="s">
        <v>374</v>
      </c>
      <c r="D391">
        <v>0.05</v>
      </c>
      <c r="E391" t="s">
        <v>455</v>
      </c>
      <c r="F391" t="s">
        <v>122</v>
      </c>
      <c r="G391" t="s">
        <v>456</v>
      </c>
      <c r="H391" t="s">
        <v>457</v>
      </c>
    </row>
    <row r="392" spans="1:8">
      <c r="A392" t="s">
        <v>166</v>
      </c>
      <c r="B392">
        <v>2017</v>
      </c>
      <c r="C392" t="s">
        <v>374</v>
      </c>
      <c r="D392">
        <v>0</v>
      </c>
      <c r="E392" t="s">
        <v>455</v>
      </c>
      <c r="F392" t="s">
        <v>122</v>
      </c>
      <c r="G392" t="s">
        <v>456</v>
      </c>
      <c r="H392" t="s">
        <v>457</v>
      </c>
    </row>
    <row r="393" spans="1:8">
      <c r="A393" t="s">
        <v>232</v>
      </c>
      <c r="B393">
        <v>2017</v>
      </c>
      <c r="C393" t="s">
        <v>374</v>
      </c>
      <c r="D393">
        <v>0</v>
      </c>
      <c r="E393" t="s">
        <v>455</v>
      </c>
      <c r="F393" t="s">
        <v>122</v>
      </c>
      <c r="G393" t="s">
        <v>458</v>
      </c>
      <c r="H393" t="s">
        <v>457</v>
      </c>
    </row>
    <row r="394" spans="1:8">
      <c r="A394" t="s">
        <v>233</v>
      </c>
      <c r="B394">
        <v>2017</v>
      </c>
      <c r="C394" t="s">
        <v>374</v>
      </c>
      <c r="D394">
        <v>0</v>
      </c>
      <c r="E394" t="s">
        <v>455</v>
      </c>
      <c r="F394" t="s">
        <v>122</v>
      </c>
      <c r="G394" t="s">
        <v>458</v>
      </c>
      <c r="H394" t="s">
        <v>457</v>
      </c>
    </row>
    <row r="395" spans="1:8">
      <c r="A395" t="s">
        <v>166</v>
      </c>
      <c r="B395">
        <v>2018</v>
      </c>
      <c r="C395" t="s">
        <v>374</v>
      </c>
      <c r="D395">
        <v>0.06</v>
      </c>
      <c r="E395" t="s">
        <v>455</v>
      </c>
      <c r="F395" t="s">
        <v>122</v>
      </c>
      <c r="G395" t="s">
        <v>456</v>
      </c>
      <c r="H395" t="s">
        <v>457</v>
      </c>
    </row>
    <row r="396" spans="1:8">
      <c r="A396" t="s">
        <v>128</v>
      </c>
      <c r="B396">
        <v>2018</v>
      </c>
      <c r="C396" t="s">
        <v>374</v>
      </c>
      <c r="D396">
        <v>0</v>
      </c>
      <c r="E396" t="s">
        <v>455</v>
      </c>
      <c r="F396" t="s">
        <v>122</v>
      </c>
      <c r="G396" t="s">
        <v>456</v>
      </c>
      <c r="H396" t="s">
        <v>457</v>
      </c>
    </row>
    <row r="397" spans="1:8">
      <c r="A397" t="s">
        <v>129</v>
      </c>
      <c r="B397">
        <v>2018</v>
      </c>
      <c r="C397" t="s">
        <v>374</v>
      </c>
      <c r="D397">
        <v>0</v>
      </c>
      <c r="E397" t="s">
        <v>455</v>
      </c>
      <c r="F397" t="s">
        <v>122</v>
      </c>
      <c r="G397" t="s">
        <v>456</v>
      </c>
      <c r="H397" t="s">
        <v>457</v>
      </c>
    </row>
    <row r="398" spans="1:8">
      <c r="A398" t="s">
        <v>230</v>
      </c>
      <c r="B398">
        <v>2018</v>
      </c>
      <c r="C398" t="s">
        <v>374</v>
      </c>
      <c r="D398">
        <v>0.09</v>
      </c>
      <c r="E398" t="s">
        <v>455</v>
      </c>
      <c r="F398" t="s">
        <v>122</v>
      </c>
      <c r="G398" t="s">
        <v>456</v>
      </c>
      <c r="H398" t="s">
        <v>457</v>
      </c>
    </row>
    <row r="399" spans="1:8">
      <c r="A399" t="s">
        <v>168</v>
      </c>
      <c r="B399">
        <v>2018</v>
      </c>
      <c r="C399" t="s">
        <v>374</v>
      </c>
      <c r="D399">
        <v>0</v>
      </c>
      <c r="E399" t="s">
        <v>455</v>
      </c>
      <c r="F399" t="s">
        <v>122</v>
      </c>
      <c r="G399" t="s">
        <v>456</v>
      </c>
      <c r="H399" t="s">
        <v>457</v>
      </c>
    </row>
    <row r="400" spans="1:8">
      <c r="A400" t="s">
        <v>231</v>
      </c>
      <c r="B400">
        <v>2018</v>
      </c>
      <c r="C400" t="s">
        <v>374</v>
      </c>
      <c r="D400">
        <v>0.18</v>
      </c>
      <c r="E400" t="s">
        <v>455</v>
      </c>
      <c r="F400" t="s">
        <v>122</v>
      </c>
      <c r="G400" t="s">
        <v>456</v>
      </c>
      <c r="H400" t="s">
        <v>457</v>
      </c>
    </row>
    <row r="401" spans="1:8">
      <c r="A401" t="s">
        <v>166</v>
      </c>
      <c r="B401">
        <v>2018</v>
      </c>
      <c r="C401" t="s">
        <v>374</v>
      </c>
      <c r="D401">
        <v>0</v>
      </c>
      <c r="E401" t="s">
        <v>455</v>
      </c>
      <c r="F401" t="s">
        <v>122</v>
      </c>
      <c r="G401" t="s">
        <v>456</v>
      </c>
      <c r="H401" t="s">
        <v>457</v>
      </c>
    </row>
    <row r="402" spans="1:8">
      <c r="A402" t="s">
        <v>232</v>
      </c>
      <c r="B402">
        <v>2018</v>
      </c>
      <c r="C402" t="s">
        <v>374</v>
      </c>
      <c r="D402">
        <v>0</v>
      </c>
      <c r="E402" t="s">
        <v>455</v>
      </c>
      <c r="F402" t="s">
        <v>122</v>
      </c>
      <c r="G402" t="s">
        <v>458</v>
      </c>
      <c r="H402" t="s">
        <v>457</v>
      </c>
    </row>
    <row r="403" spans="1:8">
      <c r="A403" t="s">
        <v>233</v>
      </c>
      <c r="B403">
        <v>2018</v>
      </c>
      <c r="C403" t="s">
        <v>374</v>
      </c>
      <c r="D403">
        <v>0</v>
      </c>
      <c r="E403" t="s">
        <v>455</v>
      </c>
      <c r="F403" t="s">
        <v>122</v>
      </c>
      <c r="G403" t="s">
        <v>458</v>
      </c>
      <c r="H403" t="s">
        <v>457</v>
      </c>
    </row>
    <row r="404" spans="1:8">
      <c r="A404" t="s">
        <v>166</v>
      </c>
      <c r="B404">
        <v>2019</v>
      </c>
      <c r="C404" t="s">
        <v>374</v>
      </c>
      <c r="D404">
        <v>0.06</v>
      </c>
      <c r="E404" t="s">
        <v>455</v>
      </c>
      <c r="F404" t="s">
        <v>122</v>
      </c>
      <c r="G404" t="s">
        <v>456</v>
      </c>
      <c r="H404" t="s">
        <v>457</v>
      </c>
    </row>
    <row r="405" spans="1:8">
      <c r="A405" t="s">
        <v>128</v>
      </c>
      <c r="B405">
        <v>2019</v>
      </c>
      <c r="C405" t="s">
        <v>374</v>
      </c>
      <c r="D405">
        <v>0</v>
      </c>
      <c r="E405" t="s">
        <v>455</v>
      </c>
      <c r="F405" t="s">
        <v>122</v>
      </c>
      <c r="G405" t="s">
        <v>456</v>
      </c>
      <c r="H405" t="s">
        <v>457</v>
      </c>
    </row>
    <row r="406" spans="1:8">
      <c r="A406" t="s">
        <v>129</v>
      </c>
      <c r="B406">
        <v>2019</v>
      </c>
      <c r="C406" t="s">
        <v>374</v>
      </c>
      <c r="D406">
        <v>0</v>
      </c>
      <c r="E406" t="s">
        <v>455</v>
      </c>
      <c r="F406" t="s">
        <v>122</v>
      </c>
      <c r="G406" t="s">
        <v>456</v>
      </c>
      <c r="H406" t="s">
        <v>457</v>
      </c>
    </row>
    <row r="407" spans="1:8">
      <c r="A407" t="s">
        <v>230</v>
      </c>
      <c r="B407">
        <v>2019</v>
      </c>
      <c r="C407" t="s">
        <v>374</v>
      </c>
      <c r="D407">
        <v>0.1</v>
      </c>
      <c r="E407" t="s">
        <v>455</v>
      </c>
      <c r="F407" t="s">
        <v>122</v>
      </c>
      <c r="G407" t="s">
        <v>456</v>
      </c>
      <c r="H407" t="s">
        <v>457</v>
      </c>
    </row>
    <row r="408" spans="1:8">
      <c r="A408" t="s">
        <v>168</v>
      </c>
      <c r="B408">
        <v>2019</v>
      </c>
      <c r="C408" t="s">
        <v>374</v>
      </c>
      <c r="D408">
        <v>0</v>
      </c>
      <c r="E408" t="s">
        <v>455</v>
      </c>
      <c r="F408" t="s">
        <v>122</v>
      </c>
      <c r="G408" t="s">
        <v>456</v>
      </c>
      <c r="H408" t="s">
        <v>457</v>
      </c>
    </row>
    <row r="409" spans="1:8">
      <c r="A409" t="s">
        <v>231</v>
      </c>
      <c r="B409">
        <v>2019</v>
      </c>
      <c r="C409" t="s">
        <v>374</v>
      </c>
      <c r="D409">
        <v>0.06</v>
      </c>
      <c r="E409" t="s">
        <v>455</v>
      </c>
      <c r="F409" t="s">
        <v>122</v>
      </c>
      <c r="G409" t="s">
        <v>456</v>
      </c>
      <c r="H409" t="s">
        <v>457</v>
      </c>
    </row>
    <row r="410" spans="1:8">
      <c r="A410" t="s">
        <v>166</v>
      </c>
      <c r="B410">
        <v>2019</v>
      </c>
      <c r="C410" t="s">
        <v>374</v>
      </c>
      <c r="D410">
        <v>0</v>
      </c>
      <c r="E410" t="s">
        <v>455</v>
      </c>
      <c r="F410" t="s">
        <v>122</v>
      </c>
      <c r="G410" t="s">
        <v>456</v>
      </c>
      <c r="H410" t="s">
        <v>457</v>
      </c>
    </row>
    <row r="411" spans="1:8">
      <c r="A411" t="s">
        <v>232</v>
      </c>
      <c r="B411">
        <v>2019</v>
      </c>
      <c r="C411" t="s">
        <v>374</v>
      </c>
      <c r="D411">
        <v>0.01</v>
      </c>
      <c r="E411" t="s">
        <v>455</v>
      </c>
      <c r="F411" t="s">
        <v>122</v>
      </c>
      <c r="G411" t="s">
        <v>458</v>
      </c>
      <c r="H411" t="s">
        <v>457</v>
      </c>
    </row>
    <row r="412" spans="1:8">
      <c r="A412" t="s">
        <v>233</v>
      </c>
      <c r="B412">
        <v>2019</v>
      </c>
      <c r="C412" t="s">
        <v>374</v>
      </c>
      <c r="D412">
        <v>0</v>
      </c>
      <c r="E412" t="s">
        <v>455</v>
      </c>
      <c r="F412" t="s">
        <v>122</v>
      </c>
      <c r="G412" t="s">
        <v>458</v>
      </c>
      <c r="H412" t="s">
        <v>457</v>
      </c>
    </row>
    <row r="413" spans="1:8">
      <c r="A413" t="s">
        <v>166</v>
      </c>
      <c r="B413">
        <v>2020</v>
      </c>
      <c r="C413" t="s">
        <v>374</v>
      </c>
      <c r="D413">
        <v>0.06</v>
      </c>
      <c r="E413" t="s">
        <v>455</v>
      </c>
      <c r="F413" t="s">
        <v>122</v>
      </c>
      <c r="G413" t="s">
        <v>456</v>
      </c>
      <c r="H413" t="s">
        <v>457</v>
      </c>
    </row>
    <row r="414" spans="1:8">
      <c r="A414" t="s">
        <v>128</v>
      </c>
      <c r="B414">
        <v>2020</v>
      </c>
      <c r="C414" t="s">
        <v>374</v>
      </c>
      <c r="D414">
        <v>0</v>
      </c>
      <c r="E414" t="s">
        <v>455</v>
      </c>
      <c r="F414" t="s">
        <v>122</v>
      </c>
      <c r="G414" t="s">
        <v>456</v>
      </c>
      <c r="H414" t="s">
        <v>457</v>
      </c>
    </row>
    <row r="415" spans="1:8">
      <c r="A415" t="s">
        <v>129</v>
      </c>
      <c r="B415">
        <v>2020</v>
      </c>
      <c r="C415" t="s">
        <v>374</v>
      </c>
      <c r="D415">
        <v>0</v>
      </c>
      <c r="E415" t="s">
        <v>455</v>
      </c>
      <c r="F415" t="s">
        <v>122</v>
      </c>
      <c r="G415" t="s">
        <v>456</v>
      </c>
      <c r="H415" t="s">
        <v>457</v>
      </c>
    </row>
    <row r="416" spans="1:8">
      <c r="A416" t="s">
        <v>230</v>
      </c>
      <c r="B416">
        <v>2020</v>
      </c>
      <c r="C416" t="s">
        <v>374</v>
      </c>
      <c r="D416">
        <v>0.1</v>
      </c>
      <c r="E416" t="s">
        <v>455</v>
      </c>
      <c r="F416" t="s">
        <v>122</v>
      </c>
      <c r="G416" t="s">
        <v>456</v>
      </c>
      <c r="H416" t="s">
        <v>457</v>
      </c>
    </row>
    <row r="417" spans="1:8">
      <c r="A417" t="s">
        <v>168</v>
      </c>
      <c r="B417">
        <v>2020</v>
      </c>
      <c r="C417" t="s">
        <v>374</v>
      </c>
      <c r="D417">
        <v>0</v>
      </c>
      <c r="E417" t="s">
        <v>455</v>
      </c>
      <c r="F417" t="s">
        <v>122</v>
      </c>
      <c r="G417" t="s">
        <v>456</v>
      </c>
      <c r="H417" t="s">
        <v>457</v>
      </c>
    </row>
    <row r="418" spans="1:8">
      <c r="A418" t="s">
        <v>231</v>
      </c>
      <c r="B418">
        <v>2020</v>
      </c>
      <c r="C418" t="s">
        <v>374</v>
      </c>
      <c r="D418">
        <v>0.04</v>
      </c>
      <c r="E418" t="s">
        <v>455</v>
      </c>
      <c r="F418" t="s">
        <v>122</v>
      </c>
      <c r="G418" t="s">
        <v>456</v>
      </c>
      <c r="H418" t="s">
        <v>457</v>
      </c>
    </row>
    <row r="419" spans="1:8">
      <c r="A419" t="s">
        <v>166</v>
      </c>
      <c r="B419">
        <v>2020</v>
      </c>
      <c r="C419" t="s">
        <v>374</v>
      </c>
      <c r="D419">
        <v>0</v>
      </c>
      <c r="E419" t="s">
        <v>455</v>
      </c>
      <c r="F419" t="s">
        <v>122</v>
      </c>
      <c r="G419" t="s">
        <v>456</v>
      </c>
      <c r="H419" t="s">
        <v>457</v>
      </c>
    </row>
    <row r="420" spans="1:8">
      <c r="A420" t="s">
        <v>232</v>
      </c>
      <c r="B420">
        <v>2020</v>
      </c>
      <c r="C420" t="s">
        <v>374</v>
      </c>
      <c r="D420">
        <v>0.01</v>
      </c>
      <c r="E420" t="s">
        <v>455</v>
      </c>
      <c r="F420" t="s">
        <v>122</v>
      </c>
      <c r="G420" t="s">
        <v>458</v>
      </c>
      <c r="H420" t="s">
        <v>457</v>
      </c>
    </row>
    <row r="421" spans="1:8">
      <c r="A421" t="s">
        <v>233</v>
      </c>
      <c r="B421">
        <v>2020</v>
      </c>
      <c r="C421" t="s">
        <v>374</v>
      </c>
      <c r="D421">
        <v>0</v>
      </c>
      <c r="E421" t="s">
        <v>455</v>
      </c>
      <c r="F421" t="s">
        <v>122</v>
      </c>
      <c r="G421" t="s">
        <v>458</v>
      </c>
      <c r="H421" t="s">
        <v>457</v>
      </c>
    </row>
    <row r="422" spans="1:8">
      <c r="A422" t="s">
        <v>166</v>
      </c>
      <c r="B422">
        <v>2021</v>
      </c>
      <c r="C422" t="s">
        <v>374</v>
      </c>
      <c r="D422">
        <v>0.08</v>
      </c>
      <c r="E422" t="s">
        <v>455</v>
      </c>
      <c r="F422" t="s">
        <v>122</v>
      </c>
      <c r="G422" t="s">
        <v>456</v>
      </c>
      <c r="H422" t="s">
        <v>457</v>
      </c>
    </row>
    <row r="423" spans="1:8">
      <c r="A423" t="s">
        <v>128</v>
      </c>
      <c r="B423">
        <v>2021</v>
      </c>
      <c r="C423" t="s">
        <v>374</v>
      </c>
      <c r="D423">
        <v>0</v>
      </c>
      <c r="E423" t="s">
        <v>455</v>
      </c>
      <c r="F423" t="s">
        <v>122</v>
      </c>
      <c r="G423" t="s">
        <v>456</v>
      </c>
      <c r="H423" t="s">
        <v>457</v>
      </c>
    </row>
    <row r="424" spans="1:8">
      <c r="A424" t="s">
        <v>129</v>
      </c>
      <c r="B424">
        <v>2021</v>
      </c>
      <c r="C424" t="s">
        <v>374</v>
      </c>
      <c r="D424">
        <v>0</v>
      </c>
      <c r="E424" t="s">
        <v>455</v>
      </c>
      <c r="F424" t="s">
        <v>122</v>
      </c>
      <c r="G424" t="s">
        <v>456</v>
      </c>
      <c r="H424" t="s">
        <v>457</v>
      </c>
    </row>
    <row r="425" spans="1:8">
      <c r="A425" t="s">
        <v>230</v>
      </c>
      <c r="B425">
        <v>2021</v>
      </c>
      <c r="C425" t="s">
        <v>374</v>
      </c>
      <c r="D425">
        <v>0.11</v>
      </c>
      <c r="E425" t="s">
        <v>455</v>
      </c>
      <c r="F425" t="s">
        <v>122</v>
      </c>
      <c r="G425" t="s">
        <v>456</v>
      </c>
      <c r="H425" t="s">
        <v>457</v>
      </c>
    </row>
    <row r="426" spans="1:8">
      <c r="A426" t="s">
        <v>168</v>
      </c>
      <c r="B426">
        <v>2021</v>
      </c>
      <c r="C426" t="s">
        <v>374</v>
      </c>
      <c r="D426">
        <v>0</v>
      </c>
      <c r="E426" t="s">
        <v>455</v>
      </c>
      <c r="F426" t="s">
        <v>122</v>
      </c>
      <c r="G426" t="s">
        <v>456</v>
      </c>
      <c r="H426" t="s">
        <v>457</v>
      </c>
    </row>
    <row r="427" spans="1:8">
      <c r="A427" t="s">
        <v>231</v>
      </c>
      <c r="B427">
        <v>2021</v>
      </c>
      <c r="C427" t="s">
        <v>374</v>
      </c>
      <c r="D427">
        <v>0.03</v>
      </c>
      <c r="E427" t="s">
        <v>455</v>
      </c>
      <c r="F427" t="s">
        <v>122</v>
      </c>
      <c r="G427" t="s">
        <v>456</v>
      </c>
      <c r="H427" t="s">
        <v>457</v>
      </c>
    </row>
    <row r="428" spans="1:8">
      <c r="A428" t="s">
        <v>166</v>
      </c>
      <c r="B428">
        <v>2021</v>
      </c>
      <c r="C428" t="s">
        <v>374</v>
      </c>
      <c r="D428">
        <v>0</v>
      </c>
      <c r="E428" t="s">
        <v>455</v>
      </c>
      <c r="F428" t="s">
        <v>122</v>
      </c>
      <c r="G428" t="s">
        <v>456</v>
      </c>
      <c r="H428" t="s">
        <v>457</v>
      </c>
    </row>
    <row r="429" spans="1:8">
      <c r="A429" t="s">
        <v>232</v>
      </c>
      <c r="B429">
        <v>2021</v>
      </c>
      <c r="C429" t="s">
        <v>374</v>
      </c>
      <c r="D429">
        <v>0.01</v>
      </c>
      <c r="E429" t="s">
        <v>455</v>
      </c>
      <c r="F429" t="s">
        <v>122</v>
      </c>
      <c r="G429" t="s">
        <v>458</v>
      </c>
      <c r="H429" t="s">
        <v>457</v>
      </c>
    </row>
    <row r="430" spans="1:8">
      <c r="A430" t="s">
        <v>233</v>
      </c>
      <c r="B430">
        <v>2021</v>
      </c>
      <c r="C430" t="s">
        <v>374</v>
      </c>
      <c r="D430">
        <v>0</v>
      </c>
      <c r="E430" t="s">
        <v>455</v>
      </c>
      <c r="F430" t="s">
        <v>122</v>
      </c>
      <c r="G430" t="s">
        <v>458</v>
      </c>
      <c r="H430" t="s">
        <v>457</v>
      </c>
    </row>
    <row r="431" spans="1:8">
      <c r="A431" t="s">
        <v>166</v>
      </c>
      <c r="B431">
        <v>2022</v>
      </c>
      <c r="C431" t="s">
        <v>374</v>
      </c>
      <c r="D431">
        <v>0.08</v>
      </c>
      <c r="E431" t="s">
        <v>455</v>
      </c>
      <c r="F431" t="s">
        <v>122</v>
      </c>
      <c r="G431" t="s">
        <v>456</v>
      </c>
      <c r="H431" t="s">
        <v>457</v>
      </c>
    </row>
    <row r="432" spans="1:8">
      <c r="A432" t="s">
        <v>128</v>
      </c>
      <c r="B432">
        <v>2022</v>
      </c>
      <c r="C432" t="s">
        <v>374</v>
      </c>
      <c r="D432">
        <v>0</v>
      </c>
      <c r="E432" t="s">
        <v>455</v>
      </c>
      <c r="F432" t="s">
        <v>122</v>
      </c>
      <c r="G432" t="s">
        <v>456</v>
      </c>
      <c r="H432" t="s">
        <v>457</v>
      </c>
    </row>
    <row r="433" spans="1:8">
      <c r="A433" t="s">
        <v>129</v>
      </c>
      <c r="B433">
        <v>2022</v>
      </c>
      <c r="C433" t="s">
        <v>374</v>
      </c>
      <c r="D433">
        <v>0</v>
      </c>
      <c r="E433" t="s">
        <v>455</v>
      </c>
      <c r="F433" t="s">
        <v>122</v>
      </c>
      <c r="G433" t="s">
        <v>456</v>
      </c>
      <c r="H433" t="s">
        <v>457</v>
      </c>
    </row>
    <row r="434" spans="1:8">
      <c r="A434" t="s">
        <v>230</v>
      </c>
      <c r="B434">
        <v>2022</v>
      </c>
      <c r="C434" t="s">
        <v>374</v>
      </c>
      <c r="D434">
        <v>0.11</v>
      </c>
      <c r="E434" t="s">
        <v>455</v>
      </c>
      <c r="F434" t="s">
        <v>122</v>
      </c>
      <c r="G434" t="s">
        <v>456</v>
      </c>
      <c r="H434" t="s">
        <v>457</v>
      </c>
    </row>
    <row r="435" spans="1:8">
      <c r="A435" t="s">
        <v>168</v>
      </c>
      <c r="B435">
        <v>2022</v>
      </c>
      <c r="C435" t="s">
        <v>374</v>
      </c>
      <c r="D435">
        <v>0</v>
      </c>
      <c r="E435" t="s">
        <v>455</v>
      </c>
      <c r="F435" t="s">
        <v>122</v>
      </c>
      <c r="G435" t="s">
        <v>456</v>
      </c>
      <c r="H435" t="s">
        <v>457</v>
      </c>
    </row>
    <row r="436" spans="1:8">
      <c r="A436" t="s">
        <v>231</v>
      </c>
      <c r="B436">
        <v>2022</v>
      </c>
      <c r="C436" t="s">
        <v>374</v>
      </c>
      <c r="D436">
        <v>0.04</v>
      </c>
      <c r="E436" t="s">
        <v>455</v>
      </c>
      <c r="F436" t="s">
        <v>122</v>
      </c>
      <c r="G436" t="s">
        <v>456</v>
      </c>
      <c r="H436" t="s">
        <v>457</v>
      </c>
    </row>
    <row r="437" spans="1:8">
      <c r="A437" t="s">
        <v>166</v>
      </c>
      <c r="B437">
        <v>2022</v>
      </c>
      <c r="C437" t="s">
        <v>374</v>
      </c>
      <c r="D437">
        <v>0</v>
      </c>
      <c r="E437" t="s">
        <v>455</v>
      </c>
      <c r="F437" t="s">
        <v>122</v>
      </c>
      <c r="G437" t="s">
        <v>456</v>
      </c>
      <c r="H437" t="s">
        <v>457</v>
      </c>
    </row>
    <row r="438" spans="1:8">
      <c r="A438" t="s">
        <v>232</v>
      </c>
      <c r="B438">
        <v>2022</v>
      </c>
      <c r="C438" t="s">
        <v>374</v>
      </c>
      <c r="D438">
        <v>0.01</v>
      </c>
      <c r="E438" t="s">
        <v>455</v>
      </c>
      <c r="F438" t="s">
        <v>122</v>
      </c>
      <c r="G438" t="s">
        <v>458</v>
      </c>
      <c r="H438" t="s">
        <v>457</v>
      </c>
    </row>
    <row r="439" spans="1:8">
      <c r="A439" t="s">
        <v>233</v>
      </c>
      <c r="B439">
        <v>2022</v>
      </c>
      <c r="C439" t="s">
        <v>374</v>
      </c>
      <c r="D439">
        <v>0</v>
      </c>
      <c r="E439" t="s">
        <v>455</v>
      </c>
      <c r="F439" t="s">
        <v>122</v>
      </c>
      <c r="G439" t="s">
        <v>458</v>
      </c>
      <c r="H439" t="s">
        <v>457</v>
      </c>
    </row>
    <row r="440" spans="1:8">
      <c r="A440" t="s">
        <v>232</v>
      </c>
      <c r="B440">
        <v>2018</v>
      </c>
      <c r="C440" t="s">
        <v>7</v>
      </c>
      <c r="D440">
        <v>5.4411000000000001E-2</v>
      </c>
      <c r="E440" t="s">
        <v>455</v>
      </c>
      <c r="F440" t="s">
        <v>65</v>
      </c>
      <c r="G440" t="s">
        <v>458</v>
      </c>
      <c r="H440" t="s">
        <v>457</v>
      </c>
    </row>
    <row r="441" spans="1:8">
      <c r="A441" t="s">
        <v>232</v>
      </c>
      <c r="B441">
        <v>2019</v>
      </c>
      <c r="C441" t="s">
        <v>7</v>
      </c>
      <c r="D441">
        <v>6.7693000000000003E-2</v>
      </c>
      <c r="E441" t="s">
        <v>455</v>
      </c>
      <c r="F441" t="s">
        <v>65</v>
      </c>
      <c r="G441" t="s">
        <v>458</v>
      </c>
      <c r="H441" t="s">
        <v>457</v>
      </c>
    </row>
    <row r="442" spans="1:8">
      <c r="A442" t="s">
        <v>232</v>
      </c>
      <c r="B442">
        <v>2020</v>
      </c>
      <c r="C442" t="s">
        <v>7</v>
      </c>
      <c r="D442">
        <v>7.7764E-2</v>
      </c>
      <c r="E442" t="s">
        <v>455</v>
      </c>
      <c r="F442" t="s">
        <v>65</v>
      </c>
      <c r="G442" t="s">
        <v>458</v>
      </c>
      <c r="H442" t="s">
        <v>457</v>
      </c>
    </row>
    <row r="443" spans="1:8">
      <c r="A443" t="s">
        <v>232</v>
      </c>
      <c r="B443">
        <v>2021</v>
      </c>
      <c r="C443" t="s">
        <v>7</v>
      </c>
      <c r="D443">
        <v>8.0069999999999988E-2</v>
      </c>
      <c r="E443" t="s">
        <v>455</v>
      </c>
      <c r="F443" t="s">
        <v>65</v>
      </c>
      <c r="G443" t="s">
        <v>458</v>
      </c>
      <c r="H443" t="s">
        <v>457</v>
      </c>
    </row>
    <row r="444" spans="1:8">
      <c r="A444" t="s">
        <v>232</v>
      </c>
      <c r="B444">
        <v>2022</v>
      </c>
      <c r="C444" t="s">
        <v>7</v>
      </c>
      <c r="D444">
        <v>8.4925E-2</v>
      </c>
      <c r="E444" t="s">
        <v>455</v>
      </c>
      <c r="F444" t="s">
        <v>65</v>
      </c>
      <c r="G444" t="s">
        <v>458</v>
      </c>
      <c r="H444" t="s">
        <v>457</v>
      </c>
    </row>
    <row r="445" spans="1:8">
      <c r="A445" t="s">
        <v>232</v>
      </c>
      <c r="B445">
        <v>2023</v>
      </c>
      <c r="C445" t="s">
        <v>7</v>
      </c>
      <c r="D445">
        <v>8.4524000000000002E-2</v>
      </c>
      <c r="E445" t="s">
        <v>455</v>
      </c>
      <c r="F445" t="s">
        <v>65</v>
      </c>
      <c r="G445" t="s">
        <v>458</v>
      </c>
      <c r="H445" t="s">
        <v>457</v>
      </c>
    </row>
    <row r="446" spans="1:8">
      <c r="A446" t="s">
        <v>232</v>
      </c>
      <c r="B446">
        <v>2024</v>
      </c>
      <c r="C446" t="s">
        <v>7</v>
      </c>
      <c r="D446">
        <v>8.4524000000000002E-2</v>
      </c>
      <c r="E446" t="s">
        <v>455</v>
      </c>
      <c r="F446" t="s">
        <v>65</v>
      </c>
      <c r="G446" t="s">
        <v>458</v>
      </c>
      <c r="H446" t="s">
        <v>457</v>
      </c>
    </row>
    <row r="447" spans="1:8">
      <c r="A447" t="s">
        <v>232</v>
      </c>
      <c r="B447">
        <v>2011</v>
      </c>
      <c r="C447" t="s">
        <v>7</v>
      </c>
      <c r="D447">
        <v>5.6999999999999998E-4</v>
      </c>
      <c r="E447" t="s">
        <v>455</v>
      </c>
      <c r="F447" t="s">
        <v>65</v>
      </c>
      <c r="G447" t="s">
        <v>458</v>
      </c>
      <c r="H447" t="s">
        <v>457</v>
      </c>
    </row>
    <row r="448" spans="1:8">
      <c r="A448" t="s">
        <v>232</v>
      </c>
      <c r="B448">
        <v>2012</v>
      </c>
      <c r="C448" t="s">
        <v>7</v>
      </c>
      <c r="D448">
        <v>1.0380000000000001E-3</v>
      </c>
      <c r="E448" t="s">
        <v>455</v>
      </c>
      <c r="F448" t="s">
        <v>65</v>
      </c>
      <c r="G448" t="s">
        <v>458</v>
      </c>
      <c r="H448" t="s">
        <v>457</v>
      </c>
    </row>
    <row r="449" spans="1:8">
      <c r="A449" t="s">
        <v>232</v>
      </c>
      <c r="B449">
        <v>2013</v>
      </c>
      <c r="C449" t="s">
        <v>7</v>
      </c>
      <c r="D449">
        <v>2.0310000000000003E-3</v>
      </c>
      <c r="E449" t="s">
        <v>455</v>
      </c>
      <c r="F449" t="s">
        <v>65</v>
      </c>
      <c r="G449" t="s">
        <v>458</v>
      </c>
      <c r="H449" t="s">
        <v>457</v>
      </c>
    </row>
    <row r="450" spans="1:8">
      <c r="A450" t="s">
        <v>232</v>
      </c>
      <c r="B450">
        <v>2014</v>
      </c>
      <c r="C450" t="s">
        <v>7</v>
      </c>
      <c r="D450">
        <v>3.0249999999999999E-3</v>
      </c>
      <c r="E450" t="s">
        <v>455</v>
      </c>
      <c r="F450" t="s">
        <v>65</v>
      </c>
      <c r="G450" t="s">
        <v>458</v>
      </c>
      <c r="H450" t="s">
        <v>457</v>
      </c>
    </row>
    <row r="451" spans="1:8">
      <c r="A451" t="s">
        <v>232</v>
      </c>
      <c r="B451">
        <v>2015</v>
      </c>
      <c r="C451" t="s">
        <v>7</v>
      </c>
      <c r="D451">
        <v>5.241E-3</v>
      </c>
      <c r="E451" t="s">
        <v>455</v>
      </c>
      <c r="F451" t="s">
        <v>65</v>
      </c>
      <c r="G451" t="s">
        <v>458</v>
      </c>
      <c r="H451" t="s">
        <v>457</v>
      </c>
    </row>
    <row r="452" spans="1:8">
      <c r="A452" t="s">
        <v>232</v>
      </c>
      <c r="B452">
        <v>2016</v>
      </c>
      <c r="C452" t="s">
        <v>7</v>
      </c>
      <c r="D452">
        <v>7.7970000000000001E-3</v>
      </c>
      <c r="E452" t="s">
        <v>455</v>
      </c>
      <c r="F452" t="s">
        <v>65</v>
      </c>
      <c r="G452" t="s">
        <v>458</v>
      </c>
      <c r="H452" t="s">
        <v>457</v>
      </c>
    </row>
    <row r="453" spans="1:8">
      <c r="A453" t="s">
        <v>232</v>
      </c>
      <c r="B453">
        <v>2017</v>
      </c>
      <c r="C453" t="s">
        <v>7</v>
      </c>
      <c r="D453">
        <v>2.7954E-2</v>
      </c>
      <c r="E453" t="s">
        <v>455</v>
      </c>
      <c r="F453" t="s">
        <v>65</v>
      </c>
      <c r="G453" t="s">
        <v>458</v>
      </c>
      <c r="H453" t="s">
        <v>457</v>
      </c>
    </row>
    <row r="454" spans="1:8">
      <c r="A454" t="s">
        <v>232</v>
      </c>
      <c r="B454">
        <v>2010</v>
      </c>
      <c r="C454" t="s">
        <v>7</v>
      </c>
      <c r="D454">
        <v>3.8000000000000002E-5</v>
      </c>
      <c r="E454" t="s">
        <v>455</v>
      </c>
      <c r="F454" t="s">
        <v>65</v>
      </c>
      <c r="G454" t="s">
        <v>458</v>
      </c>
      <c r="H454" t="s">
        <v>457</v>
      </c>
    </row>
    <row r="455" spans="1:8">
      <c r="A455" t="s">
        <v>232</v>
      </c>
      <c r="B455">
        <v>2002</v>
      </c>
      <c r="C455" t="s">
        <v>142</v>
      </c>
      <c r="D455">
        <v>1.5989999999999999E-3</v>
      </c>
      <c r="E455" t="s">
        <v>455</v>
      </c>
      <c r="F455" t="s">
        <v>75</v>
      </c>
      <c r="G455" t="s">
        <v>458</v>
      </c>
      <c r="H455" t="s">
        <v>457</v>
      </c>
    </row>
    <row r="456" spans="1:8">
      <c r="A456" t="s">
        <v>232</v>
      </c>
      <c r="B456">
        <v>2003</v>
      </c>
      <c r="C456" t="s">
        <v>142</v>
      </c>
      <c r="D456">
        <v>2.4719999999999998E-3</v>
      </c>
      <c r="E456" t="s">
        <v>455</v>
      </c>
      <c r="F456" t="s">
        <v>75</v>
      </c>
      <c r="G456" t="s">
        <v>458</v>
      </c>
      <c r="H456" t="s">
        <v>457</v>
      </c>
    </row>
    <row r="457" spans="1:8">
      <c r="A457" t="s">
        <v>232</v>
      </c>
      <c r="B457">
        <v>2004</v>
      </c>
      <c r="C457" t="s">
        <v>142</v>
      </c>
      <c r="D457">
        <v>3.3439999999999998E-3</v>
      </c>
      <c r="E457" t="s">
        <v>455</v>
      </c>
      <c r="F457" t="s">
        <v>75</v>
      </c>
      <c r="G457" t="s">
        <v>458</v>
      </c>
      <c r="H457" t="s">
        <v>457</v>
      </c>
    </row>
    <row r="458" spans="1:8">
      <c r="A458" t="s">
        <v>232</v>
      </c>
      <c r="B458">
        <v>2005</v>
      </c>
      <c r="C458" t="s">
        <v>142</v>
      </c>
      <c r="D458">
        <v>4.3620000000000004E-3</v>
      </c>
      <c r="E458" t="s">
        <v>455</v>
      </c>
      <c r="F458" t="s">
        <v>75</v>
      </c>
      <c r="G458" t="s">
        <v>458</v>
      </c>
      <c r="H458" t="s">
        <v>457</v>
      </c>
    </row>
    <row r="459" spans="1:8">
      <c r="A459" t="s">
        <v>232</v>
      </c>
      <c r="B459">
        <v>2006</v>
      </c>
      <c r="C459" t="s">
        <v>142</v>
      </c>
      <c r="D459">
        <v>7.8519999999999996E-3</v>
      </c>
      <c r="E459" t="s">
        <v>455</v>
      </c>
      <c r="F459" t="s">
        <v>75</v>
      </c>
      <c r="G459" t="s">
        <v>458</v>
      </c>
      <c r="H459" t="s">
        <v>457</v>
      </c>
    </row>
    <row r="460" spans="1:8">
      <c r="A460" t="s">
        <v>232</v>
      </c>
      <c r="B460">
        <v>2007</v>
      </c>
      <c r="C460" t="s">
        <v>142</v>
      </c>
      <c r="D460">
        <v>1.1195999999999999E-2</v>
      </c>
      <c r="E460" t="s">
        <v>455</v>
      </c>
      <c r="F460" t="s">
        <v>75</v>
      </c>
      <c r="G460" t="s">
        <v>458</v>
      </c>
      <c r="H460" t="s">
        <v>457</v>
      </c>
    </row>
    <row r="461" spans="1:8">
      <c r="A461" t="s">
        <v>232</v>
      </c>
      <c r="B461">
        <v>2008</v>
      </c>
      <c r="C461" t="s">
        <v>142</v>
      </c>
      <c r="D461">
        <v>1.7011999999999999E-2</v>
      </c>
      <c r="E461" t="s">
        <v>455</v>
      </c>
      <c r="F461" t="s">
        <v>75</v>
      </c>
      <c r="G461" t="s">
        <v>458</v>
      </c>
      <c r="H461" t="s">
        <v>457</v>
      </c>
    </row>
    <row r="462" spans="1:8">
      <c r="A462" t="s">
        <v>232</v>
      </c>
      <c r="B462">
        <v>2009</v>
      </c>
      <c r="C462" t="s">
        <v>142</v>
      </c>
      <c r="D462">
        <v>2.0617999999999997E-2</v>
      </c>
      <c r="E462" t="s">
        <v>455</v>
      </c>
      <c r="F462" t="s">
        <v>75</v>
      </c>
      <c r="G462" t="s">
        <v>458</v>
      </c>
      <c r="H462" t="s">
        <v>457</v>
      </c>
    </row>
    <row r="463" spans="1:8">
      <c r="A463" t="s">
        <v>232</v>
      </c>
      <c r="B463">
        <v>2010</v>
      </c>
      <c r="C463" t="s">
        <v>142</v>
      </c>
      <c r="D463">
        <v>2.1678999999999997E-2</v>
      </c>
      <c r="E463" t="s">
        <v>455</v>
      </c>
      <c r="F463" t="s">
        <v>75</v>
      </c>
      <c r="G463" t="s">
        <v>458</v>
      </c>
      <c r="H463" t="s">
        <v>457</v>
      </c>
    </row>
    <row r="464" spans="1:8">
      <c r="A464" t="s">
        <v>232</v>
      </c>
      <c r="B464">
        <v>2011</v>
      </c>
      <c r="C464" t="s">
        <v>142</v>
      </c>
      <c r="D464">
        <v>2.3612999999999999E-2</v>
      </c>
      <c r="E464" t="s">
        <v>455</v>
      </c>
      <c r="F464" t="s">
        <v>75</v>
      </c>
      <c r="G464" t="s">
        <v>458</v>
      </c>
      <c r="H464" t="s">
        <v>457</v>
      </c>
    </row>
    <row r="465" spans="1:8">
      <c r="A465" t="s">
        <v>232</v>
      </c>
      <c r="B465">
        <v>2012</v>
      </c>
      <c r="C465" t="s">
        <v>142</v>
      </c>
      <c r="D465">
        <v>2.5183000000000001E-2</v>
      </c>
      <c r="E465" t="s">
        <v>455</v>
      </c>
      <c r="F465" t="s">
        <v>75</v>
      </c>
      <c r="G465" t="s">
        <v>458</v>
      </c>
      <c r="H465" t="s">
        <v>457</v>
      </c>
    </row>
    <row r="466" spans="1:8">
      <c r="A466" t="s">
        <v>232</v>
      </c>
      <c r="B466">
        <v>2013</v>
      </c>
      <c r="C466" t="s">
        <v>142</v>
      </c>
      <c r="D466">
        <v>2.6898999999999999E-2</v>
      </c>
      <c r="E466" t="s">
        <v>455</v>
      </c>
      <c r="F466" t="s">
        <v>75</v>
      </c>
      <c r="G466" t="s">
        <v>458</v>
      </c>
      <c r="H466" t="s">
        <v>457</v>
      </c>
    </row>
    <row r="467" spans="1:8">
      <c r="A467" t="s">
        <v>232</v>
      </c>
      <c r="B467">
        <v>2014</v>
      </c>
      <c r="C467" t="s">
        <v>142</v>
      </c>
      <c r="D467">
        <v>2.9079999999999998E-2</v>
      </c>
      <c r="E467" t="s">
        <v>455</v>
      </c>
      <c r="F467" t="s">
        <v>75</v>
      </c>
      <c r="G467" t="s">
        <v>458</v>
      </c>
      <c r="H467" t="s">
        <v>457</v>
      </c>
    </row>
    <row r="468" spans="1:8">
      <c r="A468" t="s">
        <v>232</v>
      </c>
      <c r="B468">
        <v>2015</v>
      </c>
      <c r="C468" t="s">
        <v>142</v>
      </c>
      <c r="D468">
        <v>3.1988000000000003E-2</v>
      </c>
      <c r="E468" t="s">
        <v>455</v>
      </c>
      <c r="F468" t="s">
        <v>75</v>
      </c>
      <c r="G468" t="s">
        <v>458</v>
      </c>
      <c r="H468" t="s">
        <v>457</v>
      </c>
    </row>
    <row r="469" spans="1:8">
      <c r="A469" t="s">
        <v>232</v>
      </c>
      <c r="B469">
        <v>2016</v>
      </c>
      <c r="C469" t="s">
        <v>142</v>
      </c>
      <c r="D469">
        <v>3.8595999999999998E-2</v>
      </c>
      <c r="E469" t="s">
        <v>455</v>
      </c>
      <c r="F469" t="s">
        <v>75</v>
      </c>
      <c r="G469" t="s">
        <v>458</v>
      </c>
      <c r="H469" t="s">
        <v>457</v>
      </c>
    </row>
    <row r="470" spans="1:8">
      <c r="A470" t="s">
        <v>232</v>
      </c>
      <c r="B470">
        <v>2017</v>
      </c>
      <c r="C470" t="s">
        <v>142</v>
      </c>
      <c r="D470">
        <v>6.1676000000000002E-2</v>
      </c>
      <c r="E470" t="s">
        <v>455</v>
      </c>
      <c r="F470" t="s">
        <v>75</v>
      </c>
      <c r="G470" t="s">
        <v>458</v>
      </c>
      <c r="H470" t="s">
        <v>457</v>
      </c>
    </row>
    <row r="471" spans="1:8">
      <c r="A471" t="s">
        <v>232</v>
      </c>
      <c r="B471">
        <v>2018</v>
      </c>
      <c r="C471" t="s">
        <v>142</v>
      </c>
      <c r="D471">
        <v>7.1355999999999989E-2</v>
      </c>
      <c r="E471" t="s">
        <v>455</v>
      </c>
      <c r="F471" t="s">
        <v>75</v>
      </c>
      <c r="G471" t="s">
        <v>458</v>
      </c>
      <c r="H471" t="s">
        <v>457</v>
      </c>
    </row>
    <row r="472" spans="1:8">
      <c r="A472" t="s">
        <v>232</v>
      </c>
      <c r="B472">
        <v>2019</v>
      </c>
      <c r="C472" t="s">
        <v>142</v>
      </c>
      <c r="D472">
        <v>0.119475</v>
      </c>
      <c r="E472" t="s">
        <v>455</v>
      </c>
      <c r="F472" t="s">
        <v>75</v>
      </c>
      <c r="G472" t="s">
        <v>458</v>
      </c>
      <c r="H472" t="s">
        <v>457</v>
      </c>
    </row>
    <row r="473" spans="1:8">
      <c r="A473" t="s">
        <v>232</v>
      </c>
      <c r="B473">
        <v>2020</v>
      </c>
      <c r="C473" t="s">
        <v>142</v>
      </c>
      <c r="D473">
        <v>0.12785099999999999</v>
      </c>
      <c r="E473" t="s">
        <v>455</v>
      </c>
      <c r="F473" t="s">
        <v>75</v>
      </c>
      <c r="G473" t="s">
        <v>458</v>
      </c>
      <c r="H473" t="s">
        <v>457</v>
      </c>
    </row>
    <row r="474" spans="1:8">
      <c r="A474" t="s">
        <v>232</v>
      </c>
      <c r="B474">
        <v>2021</v>
      </c>
      <c r="C474" t="s">
        <v>142</v>
      </c>
      <c r="D474">
        <v>0.14030899999999999</v>
      </c>
      <c r="E474" t="s">
        <v>455</v>
      </c>
      <c r="F474" t="s">
        <v>75</v>
      </c>
      <c r="G474" t="s">
        <v>458</v>
      </c>
      <c r="H474" t="s">
        <v>457</v>
      </c>
    </row>
    <row r="475" spans="1:8">
      <c r="A475" t="s">
        <v>232</v>
      </c>
      <c r="B475">
        <v>2022</v>
      </c>
      <c r="C475" t="s">
        <v>142</v>
      </c>
      <c r="D475">
        <v>0.136709</v>
      </c>
      <c r="E475" t="s">
        <v>455</v>
      </c>
      <c r="F475" t="s">
        <v>75</v>
      </c>
      <c r="G475" t="s">
        <v>458</v>
      </c>
      <c r="H475" t="s">
        <v>457</v>
      </c>
    </row>
    <row r="476" spans="1:8">
      <c r="A476" t="s">
        <v>232</v>
      </c>
      <c r="B476">
        <v>2000</v>
      </c>
      <c r="C476" t="s">
        <v>142</v>
      </c>
      <c r="D476">
        <v>2.9099999999999997E-4</v>
      </c>
      <c r="E476" t="s">
        <v>455</v>
      </c>
      <c r="F476" t="s">
        <v>75</v>
      </c>
      <c r="G476" t="s">
        <v>458</v>
      </c>
      <c r="H476" t="s">
        <v>457</v>
      </c>
    </row>
    <row r="477" spans="1:8">
      <c r="A477" t="s">
        <v>232</v>
      </c>
      <c r="B477">
        <v>2001</v>
      </c>
      <c r="C477" t="s">
        <v>142</v>
      </c>
      <c r="D477">
        <v>1.163E-3</v>
      </c>
      <c r="E477" t="s">
        <v>455</v>
      </c>
      <c r="F477" t="s">
        <v>75</v>
      </c>
      <c r="G477" t="s">
        <v>458</v>
      </c>
      <c r="H477" t="s">
        <v>457</v>
      </c>
    </row>
    <row r="478" spans="1:8">
      <c r="A478" t="s">
        <v>166</v>
      </c>
      <c r="B478">
        <v>2018</v>
      </c>
      <c r="C478" t="s">
        <v>7</v>
      </c>
      <c r="D478">
        <v>9.6200000000000008E-2</v>
      </c>
      <c r="E478" t="s">
        <v>455</v>
      </c>
      <c r="F478" t="s">
        <v>65</v>
      </c>
      <c r="G478" t="s">
        <v>456</v>
      </c>
      <c r="H478" t="s">
        <v>457</v>
      </c>
    </row>
    <row r="479" spans="1:8">
      <c r="A479" t="s">
        <v>166</v>
      </c>
      <c r="B479">
        <v>2019</v>
      </c>
      <c r="C479" t="s">
        <v>7</v>
      </c>
      <c r="D479">
        <v>9.6200000000000008E-2</v>
      </c>
      <c r="E479" t="s">
        <v>455</v>
      </c>
      <c r="F479" t="s">
        <v>65</v>
      </c>
      <c r="G479" t="s">
        <v>456</v>
      </c>
      <c r="H479" t="s">
        <v>457</v>
      </c>
    </row>
    <row r="480" spans="1:8">
      <c r="A480" t="s">
        <v>166</v>
      </c>
      <c r="B480">
        <v>2020</v>
      </c>
      <c r="C480" t="s">
        <v>7</v>
      </c>
      <c r="D480">
        <v>9.6200000000000008E-2</v>
      </c>
      <c r="E480" t="s">
        <v>455</v>
      </c>
      <c r="F480" t="s">
        <v>65</v>
      </c>
      <c r="G480" t="s">
        <v>456</v>
      </c>
      <c r="H480" t="s">
        <v>457</v>
      </c>
    </row>
    <row r="481" spans="1:8">
      <c r="A481" t="s">
        <v>166</v>
      </c>
      <c r="B481">
        <v>2021</v>
      </c>
      <c r="C481" t="s">
        <v>7</v>
      </c>
      <c r="D481">
        <v>9.6200000000000008E-2</v>
      </c>
      <c r="E481" t="s">
        <v>455</v>
      </c>
      <c r="F481" t="s">
        <v>65</v>
      </c>
      <c r="G481" t="s">
        <v>456</v>
      </c>
      <c r="H481" t="s">
        <v>457</v>
      </c>
    </row>
    <row r="482" spans="1:8">
      <c r="A482" t="s">
        <v>166</v>
      </c>
      <c r="B482">
        <v>2022</v>
      </c>
      <c r="C482" t="s">
        <v>7</v>
      </c>
      <c r="D482">
        <v>9.6200000000000008E-2</v>
      </c>
      <c r="E482" t="s">
        <v>455</v>
      </c>
      <c r="F482" t="s">
        <v>65</v>
      </c>
      <c r="G482" t="s">
        <v>456</v>
      </c>
      <c r="H482" t="s">
        <v>457</v>
      </c>
    </row>
    <row r="483" spans="1:8">
      <c r="A483" t="s">
        <v>166</v>
      </c>
      <c r="B483">
        <v>2023</v>
      </c>
      <c r="C483" t="s">
        <v>7</v>
      </c>
      <c r="D483">
        <v>9.6200000000000008E-2</v>
      </c>
      <c r="E483" t="s">
        <v>455</v>
      </c>
      <c r="F483" t="s">
        <v>65</v>
      </c>
      <c r="G483" t="s">
        <v>456</v>
      </c>
      <c r="H483" t="s">
        <v>457</v>
      </c>
    </row>
    <row r="484" spans="1:8">
      <c r="A484" t="s">
        <v>166</v>
      </c>
      <c r="B484">
        <v>2024</v>
      </c>
      <c r="C484" t="s">
        <v>7</v>
      </c>
      <c r="D484">
        <v>9.6200000000000008E-2</v>
      </c>
      <c r="E484" t="s">
        <v>455</v>
      </c>
      <c r="F484" t="s">
        <v>65</v>
      </c>
      <c r="G484" t="s">
        <v>456</v>
      </c>
      <c r="H484" t="s">
        <v>457</v>
      </c>
    </row>
    <row r="485" spans="1:8">
      <c r="A485" t="s">
        <v>166</v>
      </c>
      <c r="B485">
        <v>2011</v>
      </c>
      <c r="C485" t="s">
        <v>7</v>
      </c>
      <c r="D485">
        <v>1.6E-2</v>
      </c>
      <c r="E485" t="s">
        <v>455</v>
      </c>
      <c r="F485" t="s">
        <v>65</v>
      </c>
      <c r="G485" t="s">
        <v>456</v>
      </c>
      <c r="H485" t="s">
        <v>457</v>
      </c>
    </row>
    <row r="486" spans="1:8">
      <c r="A486" t="s">
        <v>166</v>
      </c>
      <c r="B486">
        <v>2012</v>
      </c>
      <c r="C486" t="s">
        <v>7</v>
      </c>
      <c r="D486">
        <v>1.6E-2</v>
      </c>
      <c r="E486" t="s">
        <v>455</v>
      </c>
      <c r="F486" t="s">
        <v>65</v>
      </c>
      <c r="G486" t="s">
        <v>456</v>
      </c>
      <c r="H486" t="s">
        <v>457</v>
      </c>
    </row>
    <row r="487" spans="1:8">
      <c r="A487" t="s">
        <v>166</v>
      </c>
      <c r="B487">
        <v>2013</v>
      </c>
      <c r="C487" t="s">
        <v>7</v>
      </c>
      <c r="D487">
        <v>3.5999999999999997E-2</v>
      </c>
      <c r="E487" t="s">
        <v>455</v>
      </c>
      <c r="F487" t="s">
        <v>65</v>
      </c>
      <c r="G487" t="s">
        <v>456</v>
      </c>
      <c r="H487" t="s">
        <v>457</v>
      </c>
    </row>
    <row r="488" spans="1:8">
      <c r="A488" t="s">
        <v>166</v>
      </c>
      <c r="B488">
        <v>2014</v>
      </c>
      <c r="C488" t="s">
        <v>7</v>
      </c>
      <c r="D488">
        <v>5.3999999999999999E-2</v>
      </c>
      <c r="E488" t="s">
        <v>455</v>
      </c>
      <c r="F488" t="s">
        <v>65</v>
      </c>
      <c r="G488" t="s">
        <v>456</v>
      </c>
      <c r="H488" t="s">
        <v>457</v>
      </c>
    </row>
    <row r="489" spans="1:8">
      <c r="A489" t="s">
        <v>166</v>
      </c>
      <c r="B489">
        <v>2015</v>
      </c>
      <c r="C489" t="s">
        <v>7</v>
      </c>
      <c r="D489">
        <v>6.4500000000000002E-2</v>
      </c>
      <c r="E489" t="s">
        <v>455</v>
      </c>
      <c r="F489" t="s">
        <v>65</v>
      </c>
      <c r="G489" t="s">
        <v>456</v>
      </c>
      <c r="H489" t="s">
        <v>457</v>
      </c>
    </row>
    <row r="490" spans="1:8">
      <c r="A490" t="s">
        <v>166</v>
      </c>
      <c r="B490">
        <v>2016</v>
      </c>
      <c r="C490" t="s">
        <v>7</v>
      </c>
      <c r="D490">
        <v>6.4500000000000002E-2</v>
      </c>
      <c r="E490" t="s">
        <v>455</v>
      </c>
      <c r="F490" t="s">
        <v>65</v>
      </c>
      <c r="G490" t="s">
        <v>456</v>
      </c>
      <c r="H490" t="s">
        <v>457</v>
      </c>
    </row>
    <row r="491" spans="1:8">
      <c r="A491" t="s">
        <v>166</v>
      </c>
      <c r="B491">
        <v>2017</v>
      </c>
      <c r="C491" t="s">
        <v>7</v>
      </c>
      <c r="D491">
        <v>7.640000000000001E-2</v>
      </c>
      <c r="E491" t="s">
        <v>455</v>
      </c>
      <c r="F491" t="s">
        <v>65</v>
      </c>
      <c r="G491" t="s">
        <v>456</v>
      </c>
      <c r="H491" t="s">
        <v>457</v>
      </c>
    </row>
    <row r="492" spans="1:8">
      <c r="A492" t="s">
        <v>166</v>
      </c>
      <c r="B492">
        <v>2008</v>
      </c>
      <c r="C492" t="s">
        <v>7</v>
      </c>
      <c r="D492">
        <v>1.6E-2</v>
      </c>
      <c r="E492" t="s">
        <v>455</v>
      </c>
      <c r="F492" t="s">
        <v>65</v>
      </c>
      <c r="G492" t="s">
        <v>456</v>
      </c>
      <c r="H492" t="s">
        <v>457</v>
      </c>
    </row>
    <row r="493" spans="1:8">
      <c r="A493" t="s">
        <v>166</v>
      </c>
      <c r="B493">
        <v>2009</v>
      </c>
      <c r="C493" t="s">
        <v>7</v>
      </c>
      <c r="D493">
        <v>1.6E-2</v>
      </c>
      <c r="E493" t="s">
        <v>455</v>
      </c>
      <c r="F493" t="s">
        <v>65</v>
      </c>
      <c r="G493" t="s">
        <v>456</v>
      </c>
      <c r="H493" t="s">
        <v>457</v>
      </c>
    </row>
    <row r="494" spans="1:8">
      <c r="A494" t="s">
        <v>166</v>
      </c>
      <c r="B494">
        <v>2010</v>
      </c>
      <c r="C494" t="s">
        <v>7</v>
      </c>
      <c r="D494">
        <v>1.6E-2</v>
      </c>
      <c r="E494" t="s">
        <v>455</v>
      </c>
      <c r="F494" t="s">
        <v>65</v>
      </c>
      <c r="G494" t="s">
        <v>456</v>
      </c>
      <c r="H494" t="s">
        <v>457</v>
      </c>
    </row>
    <row r="495" spans="1:8">
      <c r="A495" t="s">
        <v>166</v>
      </c>
      <c r="B495">
        <v>2002</v>
      </c>
      <c r="C495" t="s">
        <v>142</v>
      </c>
      <c r="D495">
        <v>3.6999999999999998E-2</v>
      </c>
      <c r="E495" t="s">
        <v>455</v>
      </c>
      <c r="F495" t="s">
        <v>75</v>
      </c>
      <c r="G495" t="s">
        <v>456</v>
      </c>
      <c r="H495" t="s">
        <v>457</v>
      </c>
    </row>
    <row r="496" spans="1:8">
      <c r="A496" t="s">
        <v>166</v>
      </c>
      <c r="B496">
        <v>2003</v>
      </c>
      <c r="C496" t="s">
        <v>142</v>
      </c>
      <c r="D496">
        <v>4.2999999999999997E-2</v>
      </c>
      <c r="E496" t="s">
        <v>455</v>
      </c>
      <c r="F496" t="s">
        <v>75</v>
      </c>
      <c r="G496" t="s">
        <v>456</v>
      </c>
      <c r="H496" t="s">
        <v>457</v>
      </c>
    </row>
    <row r="497" spans="1:8">
      <c r="A497" t="s">
        <v>166</v>
      </c>
      <c r="B497">
        <v>2004</v>
      </c>
      <c r="C497" t="s">
        <v>142</v>
      </c>
      <c r="D497">
        <v>4.7E-2</v>
      </c>
      <c r="E497" t="s">
        <v>455</v>
      </c>
      <c r="F497" t="s">
        <v>75</v>
      </c>
      <c r="G497" t="s">
        <v>456</v>
      </c>
      <c r="H497" t="s">
        <v>457</v>
      </c>
    </row>
    <row r="498" spans="1:8">
      <c r="A498" t="s">
        <v>166</v>
      </c>
      <c r="B498">
        <v>2005</v>
      </c>
      <c r="C498" t="s">
        <v>142</v>
      </c>
      <c r="D498">
        <v>4.7E-2</v>
      </c>
      <c r="E498" t="s">
        <v>455</v>
      </c>
      <c r="F498" t="s">
        <v>75</v>
      </c>
      <c r="G498" t="s">
        <v>456</v>
      </c>
      <c r="H498" t="s">
        <v>457</v>
      </c>
    </row>
    <row r="499" spans="1:8">
      <c r="A499" t="s">
        <v>166</v>
      </c>
      <c r="B499">
        <v>2006</v>
      </c>
      <c r="C499" t="s">
        <v>142</v>
      </c>
      <c r="D499">
        <v>4.9000000000000002E-2</v>
      </c>
      <c r="E499" t="s">
        <v>455</v>
      </c>
      <c r="F499" t="s">
        <v>75</v>
      </c>
      <c r="G499" t="s">
        <v>456</v>
      </c>
      <c r="H499" t="s">
        <v>457</v>
      </c>
    </row>
    <row r="500" spans="1:8">
      <c r="A500" t="s">
        <v>166</v>
      </c>
      <c r="B500">
        <v>2007</v>
      </c>
      <c r="C500" t="s">
        <v>142</v>
      </c>
      <c r="D500">
        <v>4.7E-2</v>
      </c>
      <c r="E500" t="s">
        <v>455</v>
      </c>
      <c r="F500" t="s">
        <v>75</v>
      </c>
      <c r="G500" t="s">
        <v>456</v>
      </c>
      <c r="H500" t="s">
        <v>457</v>
      </c>
    </row>
    <row r="501" spans="1:8">
      <c r="A501" t="s">
        <v>166</v>
      </c>
      <c r="B501">
        <v>2008</v>
      </c>
      <c r="C501" t="s">
        <v>142</v>
      </c>
      <c r="D501">
        <v>5.5E-2</v>
      </c>
      <c r="E501" t="s">
        <v>455</v>
      </c>
      <c r="F501" t="s">
        <v>75</v>
      </c>
      <c r="G501" t="s">
        <v>456</v>
      </c>
      <c r="H501" t="s">
        <v>457</v>
      </c>
    </row>
    <row r="502" spans="1:8">
      <c r="A502" t="s">
        <v>166</v>
      </c>
      <c r="B502">
        <v>2009</v>
      </c>
      <c r="C502" t="s">
        <v>142</v>
      </c>
      <c r="D502">
        <v>7.0470000000000005E-2</v>
      </c>
      <c r="E502" t="s">
        <v>455</v>
      </c>
      <c r="F502" t="s">
        <v>75</v>
      </c>
      <c r="G502" t="s">
        <v>456</v>
      </c>
      <c r="H502" t="s">
        <v>457</v>
      </c>
    </row>
    <row r="503" spans="1:8">
      <c r="A503" t="s">
        <v>166</v>
      </c>
      <c r="B503">
        <v>2010</v>
      </c>
      <c r="C503" t="s">
        <v>142</v>
      </c>
      <c r="D503">
        <v>0.15151200000000001</v>
      </c>
      <c r="E503" t="s">
        <v>455</v>
      </c>
      <c r="F503" t="s">
        <v>75</v>
      </c>
      <c r="G503" t="s">
        <v>456</v>
      </c>
      <c r="H503" t="s">
        <v>457</v>
      </c>
    </row>
    <row r="504" spans="1:8">
      <c r="A504" t="s">
        <v>166</v>
      </c>
      <c r="B504">
        <v>2011</v>
      </c>
      <c r="C504" t="s">
        <v>142</v>
      </c>
      <c r="D504">
        <v>0.13300000000000001</v>
      </c>
      <c r="E504" t="s">
        <v>455</v>
      </c>
      <c r="F504" t="s">
        <v>75</v>
      </c>
      <c r="G504" t="s">
        <v>456</v>
      </c>
      <c r="H504" t="s">
        <v>457</v>
      </c>
    </row>
    <row r="505" spans="1:8">
      <c r="A505" t="s">
        <v>166</v>
      </c>
      <c r="B505">
        <v>2012</v>
      </c>
      <c r="C505" t="s">
        <v>142</v>
      </c>
      <c r="D505">
        <v>0.16908999999999999</v>
      </c>
      <c r="E505" t="s">
        <v>455</v>
      </c>
      <c r="F505" t="s">
        <v>75</v>
      </c>
      <c r="G505" t="s">
        <v>456</v>
      </c>
      <c r="H505" t="s">
        <v>457</v>
      </c>
    </row>
    <row r="506" spans="1:8">
      <c r="A506" t="s">
        <v>166</v>
      </c>
      <c r="B506">
        <v>2013</v>
      </c>
      <c r="C506" t="s">
        <v>142</v>
      </c>
      <c r="D506">
        <v>0.21740000000000001</v>
      </c>
      <c r="E506" t="s">
        <v>455</v>
      </c>
      <c r="F506" t="s">
        <v>75</v>
      </c>
      <c r="G506" t="s">
        <v>456</v>
      </c>
      <c r="H506" t="s">
        <v>457</v>
      </c>
    </row>
    <row r="507" spans="1:8">
      <c r="A507" t="s">
        <v>166</v>
      </c>
      <c r="B507">
        <v>2014</v>
      </c>
      <c r="C507" t="s">
        <v>142</v>
      </c>
      <c r="D507">
        <v>0.23089999999999999</v>
      </c>
      <c r="E507" t="s">
        <v>455</v>
      </c>
      <c r="F507" t="s">
        <v>75</v>
      </c>
      <c r="G507" t="s">
        <v>456</v>
      </c>
      <c r="H507" t="s">
        <v>457</v>
      </c>
    </row>
    <row r="508" spans="1:8">
      <c r="A508" t="s">
        <v>166</v>
      </c>
      <c r="B508">
        <v>2015</v>
      </c>
      <c r="C508" t="s">
        <v>142</v>
      </c>
      <c r="D508">
        <v>0.27575</v>
      </c>
      <c r="E508" t="s">
        <v>455</v>
      </c>
      <c r="F508" t="s">
        <v>75</v>
      </c>
      <c r="G508" t="s">
        <v>456</v>
      </c>
      <c r="H508" t="s">
        <v>457</v>
      </c>
    </row>
    <row r="509" spans="1:8">
      <c r="A509" t="s">
        <v>166</v>
      </c>
      <c r="B509">
        <v>2016</v>
      </c>
      <c r="C509" t="s">
        <v>142</v>
      </c>
      <c r="D509">
        <v>0.28149999999999997</v>
      </c>
      <c r="E509" t="s">
        <v>455</v>
      </c>
      <c r="F509" t="s">
        <v>75</v>
      </c>
      <c r="G509" t="s">
        <v>456</v>
      </c>
      <c r="H509" t="s">
        <v>457</v>
      </c>
    </row>
    <row r="510" spans="1:8">
      <c r="A510" t="s">
        <v>166</v>
      </c>
      <c r="B510">
        <v>2017</v>
      </c>
      <c r="C510" t="s">
        <v>142</v>
      </c>
      <c r="D510">
        <v>0.25633999999999996</v>
      </c>
      <c r="E510" t="s">
        <v>455</v>
      </c>
      <c r="F510" t="s">
        <v>75</v>
      </c>
      <c r="G510" t="s">
        <v>456</v>
      </c>
      <c r="H510" t="s">
        <v>457</v>
      </c>
    </row>
    <row r="511" spans="1:8">
      <c r="A511" t="s">
        <v>166</v>
      </c>
      <c r="B511">
        <v>2018</v>
      </c>
      <c r="C511" t="s">
        <v>142</v>
      </c>
      <c r="D511">
        <v>0.31651999999999997</v>
      </c>
      <c r="E511" t="s">
        <v>455</v>
      </c>
      <c r="F511" t="s">
        <v>75</v>
      </c>
      <c r="G511" t="s">
        <v>456</v>
      </c>
      <c r="H511" t="s">
        <v>457</v>
      </c>
    </row>
    <row r="512" spans="1:8">
      <c r="A512" t="s">
        <v>166</v>
      </c>
      <c r="B512">
        <v>2019</v>
      </c>
      <c r="C512" t="s">
        <v>142</v>
      </c>
      <c r="D512">
        <v>0.306778</v>
      </c>
      <c r="E512" t="s">
        <v>455</v>
      </c>
      <c r="F512" t="s">
        <v>75</v>
      </c>
      <c r="G512" t="s">
        <v>456</v>
      </c>
      <c r="H512" t="s">
        <v>457</v>
      </c>
    </row>
    <row r="513" spans="1:8">
      <c r="A513" t="s">
        <v>166</v>
      </c>
      <c r="B513">
        <v>2020</v>
      </c>
      <c r="C513" t="s">
        <v>142</v>
      </c>
      <c r="D513">
        <v>0.29548399999999997</v>
      </c>
      <c r="E513" t="s">
        <v>455</v>
      </c>
      <c r="F513" t="s">
        <v>75</v>
      </c>
      <c r="G513" t="s">
        <v>456</v>
      </c>
      <c r="H513" t="s">
        <v>457</v>
      </c>
    </row>
    <row r="514" spans="1:8">
      <c r="A514" t="s">
        <v>166</v>
      </c>
      <c r="B514">
        <v>2021</v>
      </c>
      <c r="C514" t="s">
        <v>142</v>
      </c>
      <c r="D514">
        <v>0.37388399999999999</v>
      </c>
      <c r="E514" t="s">
        <v>455</v>
      </c>
      <c r="F514" t="s">
        <v>75</v>
      </c>
      <c r="G514" t="s">
        <v>456</v>
      </c>
      <c r="H514" t="s">
        <v>457</v>
      </c>
    </row>
    <row r="515" spans="1:8">
      <c r="A515" t="s">
        <v>166</v>
      </c>
      <c r="B515">
        <v>2022</v>
      </c>
      <c r="C515" t="s">
        <v>142</v>
      </c>
      <c r="D515">
        <v>0.470584</v>
      </c>
      <c r="E515" t="s">
        <v>455</v>
      </c>
      <c r="F515" t="s">
        <v>75</v>
      </c>
      <c r="G515" t="s">
        <v>456</v>
      </c>
      <c r="H515" t="s">
        <v>457</v>
      </c>
    </row>
    <row r="516" spans="1:8">
      <c r="A516" t="s">
        <v>166</v>
      </c>
      <c r="B516">
        <v>2000</v>
      </c>
      <c r="C516" t="s">
        <v>142</v>
      </c>
      <c r="D516">
        <v>2.9524000000000002E-2</v>
      </c>
      <c r="E516" t="s">
        <v>455</v>
      </c>
      <c r="F516" t="s">
        <v>75</v>
      </c>
      <c r="G516" t="s">
        <v>456</v>
      </c>
      <c r="H516" t="s">
        <v>457</v>
      </c>
    </row>
    <row r="517" spans="1:8">
      <c r="A517" t="s">
        <v>166</v>
      </c>
      <c r="B517">
        <v>2001</v>
      </c>
      <c r="C517" t="s">
        <v>142</v>
      </c>
      <c r="D517">
        <v>3.0852000000000001E-2</v>
      </c>
      <c r="E517" t="s">
        <v>455</v>
      </c>
      <c r="F517" t="s">
        <v>75</v>
      </c>
      <c r="G517" t="s">
        <v>456</v>
      </c>
      <c r="H517" t="s">
        <v>457</v>
      </c>
    </row>
    <row r="518" spans="1:8">
      <c r="A518" t="s">
        <v>459</v>
      </c>
      <c r="B518">
        <v>2000</v>
      </c>
      <c r="C518" t="s">
        <v>142</v>
      </c>
      <c r="D518">
        <v>0.3</v>
      </c>
      <c r="E518" t="s">
        <v>455</v>
      </c>
      <c r="F518" t="s">
        <v>75</v>
      </c>
      <c r="G518" t="s">
        <v>456</v>
      </c>
      <c r="H518" t="s">
        <v>457</v>
      </c>
    </row>
    <row r="519" spans="1:8">
      <c r="A519" t="s">
        <v>460</v>
      </c>
      <c r="B519">
        <v>2000</v>
      </c>
      <c r="C519" t="s">
        <v>142</v>
      </c>
      <c r="D519">
        <v>0</v>
      </c>
      <c r="E519" t="s">
        <v>455</v>
      </c>
      <c r="F519" t="s">
        <v>75</v>
      </c>
      <c r="G519" t="s">
        <v>456</v>
      </c>
      <c r="H519" t="s">
        <v>457</v>
      </c>
    </row>
    <row r="520" spans="1:8">
      <c r="A520" t="s">
        <v>459</v>
      </c>
      <c r="B520">
        <v>2001</v>
      </c>
      <c r="C520" t="s">
        <v>142</v>
      </c>
      <c r="D520">
        <v>0.1</v>
      </c>
      <c r="E520" t="s">
        <v>455</v>
      </c>
      <c r="F520" t="s">
        <v>75</v>
      </c>
      <c r="G520" t="s">
        <v>456</v>
      </c>
      <c r="H520" t="s">
        <v>457</v>
      </c>
    </row>
    <row r="521" spans="1:8">
      <c r="A521" t="s">
        <v>460</v>
      </c>
      <c r="B521">
        <v>2001</v>
      </c>
      <c r="C521" t="s">
        <v>142</v>
      </c>
      <c r="D521">
        <v>0</v>
      </c>
      <c r="E521" t="s">
        <v>455</v>
      </c>
      <c r="F521" t="s">
        <v>75</v>
      </c>
      <c r="G521" t="s">
        <v>456</v>
      </c>
      <c r="H521" t="s">
        <v>457</v>
      </c>
    </row>
    <row r="522" spans="1:8">
      <c r="A522" t="s">
        <v>459</v>
      </c>
      <c r="B522">
        <v>2002</v>
      </c>
      <c r="C522" t="s">
        <v>142</v>
      </c>
      <c r="D522">
        <v>0.3</v>
      </c>
      <c r="E522" t="s">
        <v>455</v>
      </c>
      <c r="F522" t="s">
        <v>75</v>
      </c>
      <c r="G522" t="s">
        <v>456</v>
      </c>
      <c r="H522" t="s">
        <v>457</v>
      </c>
    </row>
    <row r="523" spans="1:8">
      <c r="A523" t="s">
        <v>460</v>
      </c>
      <c r="B523">
        <v>2002</v>
      </c>
      <c r="C523" t="s">
        <v>142</v>
      </c>
      <c r="D523">
        <v>0</v>
      </c>
      <c r="E523" t="s">
        <v>455</v>
      </c>
      <c r="F523" t="s">
        <v>75</v>
      </c>
      <c r="G523" t="s">
        <v>456</v>
      </c>
      <c r="H523" t="s">
        <v>457</v>
      </c>
    </row>
    <row r="524" spans="1:8">
      <c r="A524" t="s">
        <v>459</v>
      </c>
      <c r="B524">
        <v>2003</v>
      </c>
      <c r="C524" t="s">
        <v>142</v>
      </c>
      <c r="D524">
        <v>0.2</v>
      </c>
      <c r="E524" t="s">
        <v>455</v>
      </c>
      <c r="F524" t="s">
        <v>75</v>
      </c>
      <c r="G524" t="s">
        <v>456</v>
      </c>
      <c r="H524" t="s">
        <v>457</v>
      </c>
    </row>
    <row r="525" spans="1:8">
      <c r="A525" t="s">
        <v>460</v>
      </c>
      <c r="B525">
        <v>2003</v>
      </c>
      <c r="C525" t="s">
        <v>142</v>
      </c>
      <c r="D525">
        <v>0</v>
      </c>
      <c r="E525" t="s">
        <v>455</v>
      </c>
      <c r="F525" t="s">
        <v>75</v>
      </c>
      <c r="G525" t="s">
        <v>456</v>
      </c>
      <c r="H525" t="s">
        <v>457</v>
      </c>
    </row>
    <row r="526" spans="1:8">
      <c r="A526" t="s">
        <v>459</v>
      </c>
      <c r="B526">
        <v>2004</v>
      </c>
      <c r="C526" t="s">
        <v>142</v>
      </c>
      <c r="D526">
        <v>0.2</v>
      </c>
      <c r="E526" t="s">
        <v>455</v>
      </c>
      <c r="F526" t="s">
        <v>75</v>
      </c>
      <c r="G526" t="s">
        <v>456</v>
      </c>
      <c r="H526" t="s">
        <v>457</v>
      </c>
    </row>
    <row r="527" spans="1:8">
      <c r="A527" t="s">
        <v>460</v>
      </c>
      <c r="B527">
        <v>2004</v>
      </c>
      <c r="C527" t="s">
        <v>142</v>
      </c>
      <c r="D527">
        <v>0</v>
      </c>
      <c r="E527" t="s">
        <v>455</v>
      </c>
      <c r="F527" t="s">
        <v>75</v>
      </c>
      <c r="G527" t="s">
        <v>456</v>
      </c>
      <c r="H527" t="s">
        <v>457</v>
      </c>
    </row>
    <row r="528" spans="1:8">
      <c r="A528" t="s">
        <v>459</v>
      </c>
      <c r="B528">
        <v>2005</v>
      </c>
      <c r="C528" t="s">
        <v>142</v>
      </c>
      <c r="D528">
        <v>0.1</v>
      </c>
      <c r="E528" t="s">
        <v>455</v>
      </c>
      <c r="F528" t="s">
        <v>75</v>
      </c>
      <c r="G528" t="s">
        <v>456</v>
      </c>
      <c r="H528" t="s">
        <v>457</v>
      </c>
    </row>
    <row r="529" spans="1:8">
      <c r="A529" t="s">
        <v>460</v>
      </c>
      <c r="B529">
        <v>2005</v>
      </c>
      <c r="C529" t="s">
        <v>142</v>
      </c>
      <c r="D529">
        <v>0</v>
      </c>
      <c r="E529" t="s">
        <v>455</v>
      </c>
      <c r="F529" t="s">
        <v>75</v>
      </c>
      <c r="G529" t="s">
        <v>456</v>
      </c>
      <c r="H529" t="s">
        <v>457</v>
      </c>
    </row>
    <row r="530" spans="1:8">
      <c r="A530" t="s">
        <v>459</v>
      </c>
      <c r="B530">
        <v>2006</v>
      </c>
      <c r="C530" t="s">
        <v>142</v>
      </c>
      <c r="D530">
        <v>0</v>
      </c>
      <c r="E530" t="s">
        <v>455</v>
      </c>
      <c r="F530" t="s">
        <v>75</v>
      </c>
      <c r="G530" t="s">
        <v>456</v>
      </c>
      <c r="H530" t="s">
        <v>457</v>
      </c>
    </row>
    <row r="531" spans="1:8">
      <c r="A531" t="s">
        <v>460</v>
      </c>
      <c r="B531">
        <v>2006</v>
      </c>
      <c r="C531" t="s">
        <v>142</v>
      </c>
      <c r="D531">
        <v>0</v>
      </c>
      <c r="E531" t="s">
        <v>455</v>
      </c>
      <c r="F531" t="s">
        <v>75</v>
      </c>
      <c r="G531" t="s">
        <v>456</v>
      </c>
      <c r="H531" t="s">
        <v>457</v>
      </c>
    </row>
    <row r="532" spans="1:8">
      <c r="A532" t="s">
        <v>459</v>
      </c>
      <c r="B532">
        <v>2007</v>
      </c>
      <c r="C532" t="s">
        <v>142</v>
      </c>
      <c r="D532">
        <v>0.1</v>
      </c>
      <c r="E532" t="s">
        <v>455</v>
      </c>
      <c r="F532" t="s">
        <v>75</v>
      </c>
      <c r="G532" t="s">
        <v>456</v>
      </c>
      <c r="H532" t="s">
        <v>457</v>
      </c>
    </row>
    <row r="533" spans="1:8">
      <c r="A533" t="s">
        <v>460</v>
      </c>
      <c r="B533">
        <v>2007</v>
      </c>
      <c r="C533" t="s">
        <v>142</v>
      </c>
      <c r="D533">
        <v>0.1</v>
      </c>
      <c r="E533" t="s">
        <v>455</v>
      </c>
      <c r="F533" t="s">
        <v>75</v>
      </c>
      <c r="G533" t="s">
        <v>456</v>
      </c>
      <c r="H533" t="s">
        <v>457</v>
      </c>
    </row>
    <row r="534" spans="1:8">
      <c r="A534" t="s">
        <v>459</v>
      </c>
      <c r="B534">
        <v>2008</v>
      </c>
      <c r="C534" t="s">
        <v>142</v>
      </c>
      <c r="D534">
        <v>0.1</v>
      </c>
      <c r="E534" t="s">
        <v>455</v>
      </c>
      <c r="F534" t="s">
        <v>75</v>
      </c>
      <c r="G534" t="s">
        <v>456</v>
      </c>
      <c r="H534" t="s">
        <v>457</v>
      </c>
    </row>
    <row r="535" spans="1:8">
      <c r="A535" t="s">
        <v>460</v>
      </c>
      <c r="B535">
        <v>2008</v>
      </c>
      <c r="C535" t="s">
        <v>142</v>
      </c>
      <c r="D535">
        <v>0</v>
      </c>
      <c r="E535" t="s">
        <v>455</v>
      </c>
      <c r="F535" t="s">
        <v>75</v>
      </c>
      <c r="G535" t="s">
        <v>456</v>
      </c>
      <c r="H535" t="s">
        <v>457</v>
      </c>
    </row>
    <row r="536" spans="1:8">
      <c r="A536" t="s">
        <v>459</v>
      </c>
      <c r="B536">
        <v>2009</v>
      </c>
      <c r="C536" t="s">
        <v>142</v>
      </c>
      <c r="D536">
        <v>0.1</v>
      </c>
      <c r="E536" t="s">
        <v>455</v>
      </c>
      <c r="F536" t="s">
        <v>75</v>
      </c>
      <c r="G536" t="s">
        <v>456</v>
      </c>
      <c r="H536" t="s">
        <v>457</v>
      </c>
    </row>
    <row r="537" spans="1:8">
      <c r="A537" t="s">
        <v>460</v>
      </c>
      <c r="B537">
        <v>2009</v>
      </c>
      <c r="C537" t="s">
        <v>142</v>
      </c>
      <c r="D537">
        <v>0</v>
      </c>
      <c r="E537" t="s">
        <v>455</v>
      </c>
      <c r="F537" t="s">
        <v>75</v>
      </c>
      <c r="G537" t="s">
        <v>456</v>
      </c>
      <c r="H537" t="s">
        <v>457</v>
      </c>
    </row>
    <row r="538" spans="1:8">
      <c r="A538" t="s">
        <v>459</v>
      </c>
      <c r="B538">
        <v>2010</v>
      </c>
      <c r="C538" t="s">
        <v>142</v>
      </c>
      <c r="D538">
        <v>0.1</v>
      </c>
      <c r="E538" t="s">
        <v>455</v>
      </c>
      <c r="F538" t="s">
        <v>75</v>
      </c>
      <c r="G538" t="s">
        <v>456</v>
      </c>
      <c r="H538" t="s">
        <v>457</v>
      </c>
    </row>
    <row r="539" spans="1:8">
      <c r="A539" t="s">
        <v>460</v>
      </c>
      <c r="B539">
        <v>2010</v>
      </c>
      <c r="C539" t="s">
        <v>142</v>
      </c>
      <c r="D539">
        <v>0</v>
      </c>
      <c r="E539" t="s">
        <v>455</v>
      </c>
      <c r="F539" t="s">
        <v>75</v>
      </c>
      <c r="G539" t="s">
        <v>456</v>
      </c>
      <c r="H539" t="s">
        <v>457</v>
      </c>
    </row>
    <row r="540" spans="1:8">
      <c r="A540" t="s">
        <v>459</v>
      </c>
      <c r="B540">
        <v>2011</v>
      </c>
      <c r="C540" t="s">
        <v>142</v>
      </c>
      <c r="D540">
        <v>0.1</v>
      </c>
      <c r="E540" t="s">
        <v>455</v>
      </c>
      <c r="F540" t="s">
        <v>75</v>
      </c>
      <c r="G540" t="s">
        <v>456</v>
      </c>
      <c r="H540" t="s">
        <v>457</v>
      </c>
    </row>
    <row r="541" spans="1:8">
      <c r="A541" t="s">
        <v>460</v>
      </c>
      <c r="B541">
        <v>2011</v>
      </c>
      <c r="C541" t="s">
        <v>142</v>
      </c>
      <c r="D541">
        <v>0</v>
      </c>
      <c r="E541" t="s">
        <v>455</v>
      </c>
      <c r="F541" t="s">
        <v>75</v>
      </c>
      <c r="G541" t="s">
        <v>456</v>
      </c>
      <c r="H541" t="s">
        <v>457</v>
      </c>
    </row>
    <row r="542" spans="1:8">
      <c r="A542" t="s">
        <v>459</v>
      </c>
      <c r="B542">
        <v>2012</v>
      </c>
      <c r="C542" t="s">
        <v>142</v>
      </c>
      <c r="D542">
        <v>0.1</v>
      </c>
      <c r="E542" t="s">
        <v>455</v>
      </c>
      <c r="F542" t="s">
        <v>75</v>
      </c>
      <c r="G542" t="s">
        <v>456</v>
      </c>
      <c r="H542" t="s">
        <v>457</v>
      </c>
    </row>
    <row r="543" spans="1:8">
      <c r="A543" t="s">
        <v>460</v>
      </c>
      <c r="B543">
        <v>2012</v>
      </c>
      <c r="C543" t="s">
        <v>142</v>
      </c>
      <c r="D543">
        <v>0</v>
      </c>
      <c r="E543" t="s">
        <v>455</v>
      </c>
      <c r="F543" t="s">
        <v>75</v>
      </c>
      <c r="G543" t="s">
        <v>456</v>
      </c>
      <c r="H543" t="s">
        <v>457</v>
      </c>
    </row>
    <row r="544" spans="1:8">
      <c r="A544" t="s">
        <v>459</v>
      </c>
      <c r="B544">
        <v>2013</v>
      </c>
      <c r="C544" t="s">
        <v>142</v>
      </c>
      <c r="D544">
        <v>0.1</v>
      </c>
      <c r="E544" t="s">
        <v>455</v>
      </c>
      <c r="F544" t="s">
        <v>75</v>
      </c>
      <c r="G544" t="s">
        <v>456</v>
      </c>
      <c r="H544" t="s">
        <v>457</v>
      </c>
    </row>
    <row r="545" spans="1:8">
      <c r="A545" t="s">
        <v>460</v>
      </c>
      <c r="B545">
        <v>2013</v>
      </c>
      <c r="C545" t="s">
        <v>142</v>
      </c>
      <c r="D545">
        <v>0</v>
      </c>
      <c r="E545" t="s">
        <v>455</v>
      </c>
      <c r="F545" t="s">
        <v>75</v>
      </c>
      <c r="G545" t="s">
        <v>456</v>
      </c>
      <c r="H545" t="s">
        <v>457</v>
      </c>
    </row>
    <row r="546" spans="1:8">
      <c r="A546" t="s">
        <v>459</v>
      </c>
      <c r="B546">
        <v>2014</v>
      </c>
      <c r="C546" t="s">
        <v>142</v>
      </c>
      <c r="D546">
        <v>0.2</v>
      </c>
      <c r="E546" t="s">
        <v>455</v>
      </c>
      <c r="F546" t="s">
        <v>75</v>
      </c>
      <c r="G546" t="s">
        <v>456</v>
      </c>
      <c r="H546" t="s">
        <v>457</v>
      </c>
    </row>
    <row r="547" spans="1:8">
      <c r="A547" t="s">
        <v>460</v>
      </c>
      <c r="B547">
        <v>2014</v>
      </c>
      <c r="C547" t="s">
        <v>142</v>
      </c>
      <c r="D547">
        <v>0</v>
      </c>
      <c r="E547" t="s">
        <v>455</v>
      </c>
      <c r="F547" t="s">
        <v>75</v>
      </c>
      <c r="G547" t="s">
        <v>456</v>
      </c>
      <c r="H547" t="s">
        <v>457</v>
      </c>
    </row>
    <row r="548" spans="1:8">
      <c r="A548" t="s">
        <v>459</v>
      </c>
      <c r="B548">
        <v>2015</v>
      </c>
      <c r="C548" t="s">
        <v>142</v>
      </c>
      <c r="D548">
        <v>0.1</v>
      </c>
      <c r="E548" t="s">
        <v>455</v>
      </c>
      <c r="F548" t="s">
        <v>75</v>
      </c>
      <c r="G548" t="s">
        <v>456</v>
      </c>
      <c r="H548" t="s">
        <v>457</v>
      </c>
    </row>
    <row r="549" spans="1:8">
      <c r="A549" t="s">
        <v>460</v>
      </c>
      <c r="B549">
        <v>2015</v>
      </c>
      <c r="C549" t="s">
        <v>142</v>
      </c>
      <c r="D549">
        <v>0</v>
      </c>
      <c r="E549" t="s">
        <v>455</v>
      </c>
      <c r="F549" t="s">
        <v>75</v>
      </c>
      <c r="G549" t="s">
        <v>456</v>
      </c>
      <c r="H549" t="s">
        <v>457</v>
      </c>
    </row>
    <row r="550" spans="1:8">
      <c r="A550" t="s">
        <v>459</v>
      </c>
      <c r="B550">
        <v>2016</v>
      </c>
      <c r="C550" t="s">
        <v>142</v>
      </c>
      <c r="D550">
        <v>0.2</v>
      </c>
      <c r="E550" t="s">
        <v>455</v>
      </c>
      <c r="F550" t="s">
        <v>75</v>
      </c>
      <c r="G550" t="s">
        <v>456</v>
      </c>
      <c r="H550" t="s">
        <v>457</v>
      </c>
    </row>
    <row r="551" spans="1:8">
      <c r="A551" t="s">
        <v>460</v>
      </c>
      <c r="B551">
        <v>2016</v>
      </c>
      <c r="C551" t="s">
        <v>142</v>
      </c>
      <c r="D551">
        <v>0.1</v>
      </c>
      <c r="E551" t="s">
        <v>455</v>
      </c>
      <c r="F551" t="s">
        <v>75</v>
      </c>
      <c r="G551" t="s">
        <v>456</v>
      </c>
      <c r="H551" t="s">
        <v>457</v>
      </c>
    </row>
    <row r="552" spans="1:8">
      <c r="A552" t="s">
        <v>459</v>
      </c>
      <c r="B552">
        <v>2017</v>
      </c>
      <c r="C552" t="s">
        <v>142</v>
      </c>
      <c r="D552">
        <v>0.3</v>
      </c>
      <c r="E552" t="s">
        <v>455</v>
      </c>
      <c r="F552" t="s">
        <v>75</v>
      </c>
      <c r="G552" t="s">
        <v>456</v>
      </c>
      <c r="H552" t="s">
        <v>457</v>
      </c>
    </row>
    <row r="553" spans="1:8">
      <c r="A553" t="s">
        <v>460</v>
      </c>
      <c r="B553">
        <v>2017</v>
      </c>
      <c r="C553" t="s">
        <v>142</v>
      </c>
      <c r="D553">
        <v>0.1</v>
      </c>
      <c r="E553" t="s">
        <v>455</v>
      </c>
      <c r="F553" t="s">
        <v>75</v>
      </c>
      <c r="G553" t="s">
        <v>456</v>
      </c>
      <c r="H553" t="s">
        <v>457</v>
      </c>
    </row>
    <row r="554" spans="1:8">
      <c r="A554" t="s">
        <v>459</v>
      </c>
      <c r="B554">
        <v>2018</v>
      </c>
      <c r="C554" t="s">
        <v>142</v>
      </c>
      <c r="D554">
        <v>0.2</v>
      </c>
      <c r="E554" t="s">
        <v>455</v>
      </c>
      <c r="F554" t="s">
        <v>75</v>
      </c>
      <c r="G554" t="s">
        <v>456</v>
      </c>
      <c r="H554" t="s">
        <v>457</v>
      </c>
    </row>
    <row r="555" spans="1:8">
      <c r="A555" t="s">
        <v>460</v>
      </c>
      <c r="B555">
        <v>2018</v>
      </c>
      <c r="C555" t="s">
        <v>142</v>
      </c>
      <c r="D555">
        <v>0.1</v>
      </c>
      <c r="E555" t="s">
        <v>455</v>
      </c>
      <c r="F555" t="s">
        <v>75</v>
      </c>
      <c r="G555" t="s">
        <v>456</v>
      </c>
      <c r="H555" t="s">
        <v>457</v>
      </c>
    </row>
    <row r="556" spans="1:8">
      <c r="A556" t="s">
        <v>459</v>
      </c>
      <c r="B556">
        <v>2019</v>
      </c>
      <c r="C556" t="s">
        <v>142</v>
      </c>
      <c r="D556">
        <v>0.3</v>
      </c>
      <c r="E556" t="s">
        <v>455</v>
      </c>
      <c r="F556" t="s">
        <v>75</v>
      </c>
      <c r="G556" t="s">
        <v>456</v>
      </c>
      <c r="H556" t="s">
        <v>457</v>
      </c>
    </row>
    <row r="557" spans="1:8">
      <c r="A557" t="s">
        <v>460</v>
      </c>
      <c r="B557">
        <v>2019</v>
      </c>
      <c r="C557" t="s">
        <v>142</v>
      </c>
      <c r="D557">
        <v>0.1</v>
      </c>
      <c r="E557" t="s">
        <v>455</v>
      </c>
      <c r="F557" t="s">
        <v>75</v>
      </c>
      <c r="G557" t="s">
        <v>456</v>
      </c>
      <c r="H557" t="s">
        <v>457</v>
      </c>
    </row>
    <row r="558" spans="1:8">
      <c r="A558" t="s">
        <v>459</v>
      </c>
      <c r="B558">
        <v>2020</v>
      </c>
      <c r="C558" t="s">
        <v>142</v>
      </c>
      <c r="D558">
        <v>0.2</v>
      </c>
      <c r="E558" t="s">
        <v>455</v>
      </c>
      <c r="F558" t="s">
        <v>75</v>
      </c>
      <c r="G558" t="s">
        <v>456</v>
      </c>
      <c r="H558" t="s">
        <v>457</v>
      </c>
    </row>
    <row r="559" spans="1:8">
      <c r="A559" t="s">
        <v>460</v>
      </c>
      <c r="B559">
        <v>2020</v>
      </c>
      <c r="C559" t="s">
        <v>142</v>
      </c>
      <c r="D559">
        <v>0</v>
      </c>
      <c r="E559" t="s">
        <v>455</v>
      </c>
      <c r="F559" t="s">
        <v>75</v>
      </c>
      <c r="G559" t="s">
        <v>456</v>
      </c>
      <c r="H559" t="s">
        <v>457</v>
      </c>
    </row>
    <row r="560" spans="1:8">
      <c r="A560" t="s">
        <v>459</v>
      </c>
      <c r="B560">
        <v>2021</v>
      </c>
      <c r="C560" t="s">
        <v>142</v>
      </c>
      <c r="D560">
        <v>0.4</v>
      </c>
      <c r="E560" t="s">
        <v>455</v>
      </c>
      <c r="F560" t="s">
        <v>75</v>
      </c>
      <c r="G560" t="s">
        <v>456</v>
      </c>
      <c r="H560" t="s">
        <v>457</v>
      </c>
    </row>
    <row r="561" spans="1:8">
      <c r="A561" t="s">
        <v>460</v>
      </c>
      <c r="B561">
        <v>2021</v>
      </c>
      <c r="C561" t="s">
        <v>142</v>
      </c>
      <c r="D561">
        <v>0</v>
      </c>
      <c r="E561" t="s">
        <v>455</v>
      </c>
      <c r="F561" t="s">
        <v>75</v>
      </c>
      <c r="G561" t="s">
        <v>456</v>
      </c>
      <c r="H561" t="s">
        <v>457</v>
      </c>
    </row>
    <row r="562" spans="1:8">
      <c r="A562" t="s">
        <v>459</v>
      </c>
      <c r="B562">
        <v>2022</v>
      </c>
      <c r="C562" t="s">
        <v>142</v>
      </c>
      <c r="D562">
        <v>0.3</v>
      </c>
      <c r="E562" t="s">
        <v>455</v>
      </c>
      <c r="F562" t="s">
        <v>75</v>
      </c>
      <c r="G562" t="s">
        <v>456</v>
      </c>
      <c r="H562" t="s">
        <v>457</v>
      </c>
    </row>
    <row r="563" spans="1:8">
      <c r="A563" t="s">
        <v>460</v>
      </c>
      <c r="B563">
        <v>2022</v>
      </c>
      <c r="C563" t="s">
        <v>142</v>
      </c>
      <c r="D563">
        <v>0</v>
      </c>
      <c r="E563" t="s">
        <v>455</v>
      </c>
      <c r="F563" t="s">
        <v>75</v>
      </c>
      <c r="G563" t="s">
        <v>456</v>
      </c>
      <c r="H563" t="s">
        <v>457</v>
      </c>
    </row>
    <row r="564" spans="1:8">
      <c r="A564" t="s">
        <v>459</v>
      </c>
      <c r="B564">
        <v>2023</v>
      </c>
      <c r="C564" t="s">
        <v>142</v>
      </c>
      <c r="D564">
        <v>0.3</v>
      </c>
      <c r="E564" t="s">
        <v>455</v>
      </c>
      <c r="F564" t="s">
        <v>75</v>
      </c>
      <c r="G564" t="s">
        <v>456</v>
      </c>
      <c r="H564" t="s">
        <v>457</v>
      </c>
    </row>
    <row r="565" spans="1:8">
      <c r="A565" t="s">
        <v>460</v>
      </c>
      <c r="B565">
        <v>2023</v>
      </c>
      <c r="C565" t="s">
        <v>142</v>
      </c>
      <c r="D565">
        <v>0</v>
      </c>
      <c r="E565" t="s">
        <v>455</v>
      </c>
      <c r="F565" t="s">
        <v>75</v>
      </c>
      <c r="G565" t="s">
        <v>456</v>
      </c>
      <c r="H565" t="s">
        <v>457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78</v>
      </c>
      <c r="B3" t="s">
        <v>79</v>
      </c>
      <c r="C3" t="s">
        <v>7</v>
      </c>
      <c r="D3">
        <f>1/8.76</f>
        <v>0.11415525114155252</v>
      </c>
    </row>
    <row r="4" spans="1:4">
      <c r="A4" t="s">
        <v>78</v>
      </c>
      <c r="B4" t="s">
        <v>103</v>
      </c>
      <c r="C4" t="s">
        <v>105</v>
      </c>
      <c r="D4">
        <f>1/8.76*100</f>
        <v>11.415525114155251</v>
      </c>
    </row>
    <row r="5" spans="1:4">
      <c r="A5" t="s">
        <v>78</v>
      </c>
      <c r="B5" t="s">
        <v>120</v>
      </c>
      <c r="C5" t="s">
        <v>374</v>
      </c>
      <c r="D5">
        <v>1E-3</v>
      </c>
    </row>
    <row r="6" spans="1:4">
      <c r="A6" t="s">
        <v>78</v>
      </c>
      <c r="B6" t="s">
        <v>121</v>
      </c>
      <c r="C6" t="s">
        <v>374</v>
      </c>
      <c r="D6">
        <v>-1E-3</v>
      </c>
    </row>
    <row r="7" spans="1:4">
      <c r="A7" t="s">
        <v>78</v>
      </c>
      <c r="B7" t="s">
        <v>131</v>
      </c>
      <c r="C7" t="s">
        <v>133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ScenMap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geolocation</vt:lpstr>
      <vt:lpstr>process_map_geo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2025-12-19T12:36:51Z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