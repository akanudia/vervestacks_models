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ESP_grids_kan10\SuppXLS\"/>
    </mc:Choice>
  </mc:AlternateContent>
  <xr:revisionPtr revIDLastSave="0" documentId="8_{FF820100-E5AB-4720-98C1-DD49902EF88C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4" i="6" s="1"/>
  <c r="B9" i="10"/>
  <c r="Q9" i="9"/>
  <c r="N9" i="9"/>
  <c r="J9" i="9"/>
  <c r="F9" i="9"/>
  <c r="B9" i="9"/>
  <c r="L9" i="8"/>
  <c r="G9" i="8"/>
  <c r="B9" i="8"/>
  <c r="A11" i="7"/>
  <c r="C9" i="7" s="1"/>
  <c r="H23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<sst xmlns="http://schemas.openxmlformats.org/spreadsheetml/2006/main" count="745" uniqueCount="206">
  <si>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</si>
  <si>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</si>
  <si>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</si>
  <si>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</si>
  <si>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</si>
  <si>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</si>
  <si>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</si>
  <si>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</si>
  <si>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</si>
  <si>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</si>
  <si>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</si>
  <si>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</si>
  <si>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</si>
  <si>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</si>
  <si>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</si>
  <si>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</si>
  <si>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</si>
  <si>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</si>
  <si>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</si>
  <si>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</si>
  <si>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</si>
  <si>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</si>
  <si>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</si>
  <si>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</si>
  <si>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</si>
  <si>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</si>
  <si>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</si>
  <si>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</si>
  <si>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</si>
  <si>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</si>
  <si>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</si>
  <si>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</si>
  <si>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</si>
  <si>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</si>
  <si>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</si>
  <si>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</si>
  <si>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</si>
  <si>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AllS</t>
  </si>
  <si>
    <t>a</t>
  </si>
  <si>
    <t>AllH</t>
  </si>
  <si>
    <t>ts_annual</t>
  </si>
  <si>
    <t>commodity</t>
  </si>
  <si>
    <t>timeslice</t>
  </si>
  <si>
    <t>com_fr</t>
  </si>
  <si>
    <t>process</t>
  </si>
  <si>
    <t>elc_spv_ESP_001</t>
  </si>
  <si>
    <t>AllSaAllH</t>
  </si>
  <si>
    <t>IMPNRGZ</t>
  </si>
  <si>
    <t>elc_spv_ESP_002</t>
  </si>
  <si>
    <t>elc_spv_ESP_003</t>
  </si>
  <si>
    <t>elc_spv_ESP_004</t>
  </si>
  <si>
    <t>elc_spv_ESP_005</t>
  </si>
  <si>
    <t>elc_spv_ESP_006</t>
  </si>
  <si>
    <t>elc_spv_ESP_007</t>
  </si>
  <si>
    <t>elc_spv_ESP_008</t>
  </si>
  <si>
    <t>elc_spv_ESP_009</t>
  </si>
  <si>
    <t>elc_spv_ESP_010</t>
  </si>
  <si>
    <t>elc_spv_ESP_011</t>
  </si>
  <si>
    <t>elc_spv_ESP_012</t>
  </si>
  <si>
    <t>elc_spv_ESP_013</t>
  </si>
  <si>
    <t>elc_spv_ESP_014</t>
  </si>
  <si>
    <t>elc_spv_ESP_015</t>
  </si>
  <si>
    <t>elc_spv_ESP_016</t>
  </si>
  <si>
    <t>elc_spv_ESP_017</t>
  </si>
  <si>
    <t>elc_spv_ESP_018</t>
  </si>
  <si>
    <t>elc_spv_ESP_019</t>
  </si>
  <si>
    <t>elc_spv_ESP_020</t>
  </si>
  <si>
    <t>elc_spv_ESP_021</t>
  </si>
  <si>
    <t>elc_spv_ESP_022</t>
  </si>
  <si>
    <t>elc_spv_ESP_023</t>
  </si>
  <si>
    <t>elc_spv_ESP_024</t>
  </si>
  <si>
    <t>elc_spv_ESP_025</t>
  </si>
  <si>
    <t>elc_spv_ESP_026</t>
  </si>
  <si>
    <t>elc_won_ESP_001</t>
  </si>
  <si>
    <t>elc_won_ESP_002</t>
  </si>
  <si>
    <t>elc_won_ESP_003</t>
  </si>
  <si>
    <t>elc_won_ESP_004</t>
  </si>
  <si>
    <t>elc_won_ESP_005</t>
  </si>
  <si>
    <t>elc_won_ESP_006</t>
  </si>
  <si>
    <t>elc_won_ESP_007</t>
  </si>
  <si>
    <t>elc_won_ESP_008</t>
  </si>
  <si>
    <t>elc_won_ESP_009</t>
  </si>
  <si>
    <t>elc_won_ESP_010</t>
  </si>
  <si>
    <t>elc_won_ESP_011</t>
  </si>
  <si>
    <t>elc_won_ESP_012</t>
  </si>
  <si>
    <t>elc_won_ESP_013</t>
  </si>
  <si>
    <t>elc_won_ESP_014</t>
  </si>
  <si>
    <t>elc_won_ESP_015</t>
  </si>
  <si>
    <t>elc_won_ESP_016</t>
  </si>
  <si>
    <t>elc_won_ESP_017</t>
  </si>
  <si>
    <t>elc_won_ESP_018</t>
  </si>
  <si>
    <t>elc_won_ESP_019</t>
  </si>
  <si>
    <t>elc_won_ESP_020</t>
  </si>
  <si>
    <t>elc_won_ESP_021</t>
  </si>
  <si>
    <t>elc_won_ESP_022</t>
  </si>
  <si>
    <t>elc_won_ESP_023</t>
  </si>
  <si>
    <t>elc_won_ESP_024</t>
  </si>
  <si>
    <t>elc_won_ESP_025</t>
  </si>
  <si>
    <t>elc_wof_ESP_001</t>
  </si>
  <si>
    <t>elc_wof_ESP_002</t>
  </si>
  <si>
    <t>elc_wof_ESP_003</t>
  </si>
  <si>
    <t>elc_wof_ESP_004</t>
  </si>
  <si>
    <t>elc_wof_ESP_005</t>
  </si>
  <si>
    <t>elc_wof_ESP_006</t>
  </si>
  <si>
    <t>elc_wof_ESP_007</t>
  </si>
  <si>
    <t>elc_wof_ESP_008</t>
  </si>
  <si>
    <t>elc_wof_ESP_009</t>
  </si>
  <si>
    <t>elc_wof_ESP_010</t>
  </si>
  <si>
    <t>elc_wof_ESP_011</t>
  </si>
  <si>
    <t>elc_wof_ESP_012</t>
  </si>
  <si>
    <t>elc_wof_ESP_013</t>
  </si>
  <si>
    <t>elc_wof_ESP_014</t>
  </si>
  <si>
    <t>elc_wof_ESP_015</t>
  </si>
  <si>
    <t>elc_wof_ESP_016</t>
  </si>
  <si>
    <t>elc_wof_ESP_017</t>
  </si>
  <si>
    <t>elc_wof_ESP_018</t>
  </si>
  <si>
    <t>distr_solelc_spv_ESP_001</t>
  </si>
  <si>
    <t>distr_solelc_spv_ESP_002</t>
  </si>
  <si>
    <t>distr_solelc_spv_ESP_003</t>
  </si>
  <si>
    <t>distr_solelc_spv_ESP_004</t>
  </si>
  <si>
    <t>distr_solelc_spv_ESP_005</t>
  </si>
  <si>
    <t>distr_solelc_spv_ESP_006</t>
  </si>
  <si>
    <t>distr_solelc_spv_ESP_007</t>
  </si>
  <si>
    <t>distr_solelc_spv_ESP_008</t>
  </si>
  <si>
    <t>distr_solelc_spv_ESP_009</t>
  </si>
  <si>
    <t>distr_solelc_spv_ESP_010</t>
  </si>
  <si>
    <t>distr_solelc_spv_ESP_011</t>
  </si>
  <si>
    <t>distr_solelc_spv_ESP_012</t>
  </si>
  <si>
    <t>distr_solelc_spv_ESP_013</t>
  </si>
  <si>
    <t>distr_solelc_spv_ESP_014</t>
  </si>
  <si>
    <t>distr_solelc_spv_ESP_015</t>
  </si>
  <si>
    <t>distr_solelc_spv_ESP_016</t>
  </si>
  <si>
    <t>distr_solelc_spv_ESP_017</t>
  </si>
  <si>
    <t>distr_solelc_spv_ESP_018</t>
  </si>
  <si>
    <t>distr_solelc_spv_ESP_019</t>
  </si>
  <si>
    <t>distr_solelc_spv_ESP_020</t>
  </si>
  <si>
    <t>distr_solelc_spv_ESP_021</t>
  </si>
  <si>
    <t>distr_solelc_spv_ESP_022</t>
  </si>
  <si>
    <t>distr_solelc_spv_ESP_023</t>
  </si>
  <si>
    <t>distr_solelc_spv_ESP_024</t>
  </si>
  <si>
    <t>distr_solelc_spv_ESP_025</t>
  </si>
  <si>
    <t>distr_solelc_spv_ESP_026</t>
  </si>
  <si>
    <t>distr_wofelc_wof_ESP_001</t>
  </si>
  <si>
    <t>distr_wofelc_wof_ESP_002</t>
  </si>
  <si>
    <t>distr_wofelc_wof_ESP_003</t>
  </si>
  <si>
    <t>distr_wofelc_wof_ESP_004</t>
  </si>
  <si>
    <t>distr_wofelc_wof_ESP_005</t>
  </si>
  <si>
    <t>distr_wofelc_wof_ESP_006</t>
  </si>
  <si>
    <t>distr_wofelc_wof_ESP_007</t>
  </si>
  <si>
    <t>distr_wofelc_wof_ESP_008</t>
  </si>
  <si>
    <t>distr_wofelc_wof_ESP_009</t>
  </si>
  <si>
    <t>distr_wofelc_wof_ESP_010</t>
  </si>
  <si>
    <t>distr_wofelc_wof_ESP_011</t>
  </si>
  <si>
    <t>distr_wofelc_wof_ESP_012</t>
  </si>
  <si>
    <t>distr_wofelc_wof_ESP_013</t>
  </si>
  <si>
    <t>distr_wofelc_wof_ESP_014</t>
  </si>
  <si>
    <t>distr_wofelc_wof_ESP_015</t>
  </si>
  <si>
    <t>distr_wofelc_wof_ESP_016</t>
  </si>
  <si>
    <t>distr_wofelc_wof_ESP_017</t>
  </si>
  <si>
    <t>distr_wofelc_wof_ESP_018</t>
  </si>
  <si>
    <t>distr_wonelc_won_ESP_001</t>
  </si>
  <si>
    <t>distr_wonelc_won_ESP_002</t>
  </si>
  <si>
    <t>distr_wonelc_won_ESP_003</t>
  </si>
  <si>
    <t>distr_wonelc_won_ESP_004</t>
  </si>
  <si>
    <t>distr_wonelc_won_ESP_005</t>
  </si>
  <si>
    <t>distr_wonelc_won_ESP_006</t>
  </si>
  <si>
    <t>distr_wonelc_won_ESP_007</t>
  </si>
  <si>
    <t>distr_wonelc_won_ESP_008</t>
  </si>
  <si>
    <t>distr_wonelc_won_ESP_009</t>
  </si>
  <si>
    <t>distr_wonelc_won_ESP_010</t>
  </si>
  <si>
    <t>distr_wonelc_won_ESP_011</t>
  </si>
  <si>
    <t>distr_wonelc_won_ESP_012</t>
  </si>
  <si>
    <t>distr_wonelc_won_ESP_013</t>
  </si>
  <si>
    <t>distr_wonelc_won_ESP_014</t>
  </si>
  <si>
    <t>distr_wonelc_won_ESP_015</t>
  </si>
  <si>
    <t>distr_wonelc_won_ESP_016</t>
  </si>
  <si>
    <t>distr_wonelc_won_ESP_017</t>
  </si>
  <si>
    <t>distr_wonelc_won_ESP_018</t>
  </si>
  <si>
    <t>distr_wonelc_won_ESP_019</t>
  </si>
  <si>
    <t>distr_wonelc_won_ESP_020</t>
  </si>
  <si>
    <t>distr_wonelc_won_ESP_021</t>
  </si>
  <si>
    <t>distr_wonelc_won_ESP_022</t>
  </si>
  <si>
    <t>distr_wonelc_won_ESP_023</t>
  </si>
  <si>
    <t>distr_wonelc_won_ESP_024</t>
  </si>
  <si>
    <t>distr_wonelc_won_ESP_025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</si>
  <si>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</si>
  <si>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</si>
  <si>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</si>
  <si>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</si>
  <si>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</si>
  <si>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</si>
  <si>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</si>
  <si>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</si>
  <si>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</si>
  <si>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</si>
  <si>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</si>
  <si>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</si>
  <si>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</si>
  <si>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N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</si>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</sst>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IFERROR([1]Veda!D5,"ts_annual")</f>
        <v>ts_annual</v>
      </c>
      <c r="B10" s="5"/>
      <c r="C10" s="5" t="s">
        <v>196</v>
      </c>
      <c r="D10" t="s">
        <v>40</v>
      </c>
    </row>
    <row r="11" spans="1:4" x14ac:dyDescent="0.45">
      <c r="B11" s="5"/>
      <c r="C11" s="5" t="s">
        <v>197</v>
      </c>
      <c r="D11" t="s">
        <v>46</v>
      </c>
    </row>
    <row r="12" spans="1:4" x14ac:dyDescent="0.45">
      <c r="B12" s="5"/>
      <c r="C12" s="5" t="s">
        <v>198</v>
      </c>
      <c r="D12" t="s">
        <v>46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Not Required!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AllSaAllH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AllSaAllH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1B29C-E9D4-4155-855B-8104C79714C5}">
  <dimension ref="A9:G11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40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37</v>
      </c>
      <c r="G11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0FBD4-7647-47F9-B6F6-68199FBB3A31}">
  <dimension ref="B9:O36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41</v>
      </c>
      <c r="C10" t="s">
        <v>42</v>
      </c>
      <c r="D10" t="s">
        <v>43</v>
      </c>
      <c r="E10" t="s">
        <v>44</v>
      </c>
      <c r="G10" t="s">
        <v>41</v>
      </c>
      <c r="H10" t="s">
        <v>42</v>
      </c>
      <c r="I10" t="s">
        <v>43</v>
      </c>
      <c r="J10" t="s">
        <v>44</v>
      </c>
      <c r="L10" t="s">
        <v>41</v>
      </c>
      <c r="M10" t="s">
        <v>42</v>
      </c>
      <c r="N10" t="s">
        <v>43</v>
      </c>
      <c r="O10" t="s">
        <v>44</v>
      </c>
    </row>
    <row r="11" spans="2:15" x14ac:dyDescent="0.45">
      <c r="B11" t="s">
        <v>45</v>
      </c>
      <c r="C11" t="s">
        <v>46</v>
      </c>
      <c r="D11">
        <v>0.99999999999999811</v>
      </c>
      <c r="E11" t="s">
        <v>47</v>
      </c>
      <c r="G11" t="s">
        <v>73</v>
      </c>
      <c r="H11" t="s">
        <v>46</v>
      </c>
      <c r="I11">
        <v>0.99999999999999833</v>
      </c>
      <c r="J11" t="s">
        <v>47</v>
      </c>
      <c r="L11" t="s">
        <v>98</v>
      </c>
      <c r="M11" t="s">
        <v>46</v>
      </c>
      <c r="N11">
        <v>0.99999999999999889</v>
      </c>
      <c r="O11" t="s">
        <v>47</v>
      </c>
    </row>
    <row r="12" spans="2:15" x14ac:dyDescent="0.45">
      <c r="B12" t="s">
        <v>48</v>
      </c>
      <c r="C12" t="s">
        <v>46</v>
      </c>
      <c r="D12">
        <v>1.0000000000000016</v>
      </c>
      <c r="E12" t="s">
        <v>47</v>
      </c>
      <c r="G12" t="s">
        <v>74</v>
      </c>
      <c r="H12" t="s">
        <v>46</v>
      </c>
      <c r="I12">
        <v>0.99999999999999578</v>
      </c>
      <c r="J12" t="s">
        <v>47</v>
      </c>
      <c r="L12" t="s">
        <v>99</v>
      </c>
      <c r="M12" t="s">
        <v>46</v>
      </c>
      <c r="N12">
        <v>0.99999999999999767</v>
      </c>
      <c r="O12" t="s">
        <v>47</v>
      </c>
    </row>
    <row r="13" spans="2:15" x14ac:dyDescent="0.45">
      <c r="B13" t="s">
        <v>49</v>
      </c>
      <c r="C13" t="s">
        <v>46</v>
      </c>
      <c r="D13">
        <v>0.99999999999999656</v>
      </c>
      <c r="E13" t="s">
        <v>47</v>
      </c>
      <c r="G13" t="s">
        <v>75</v>
      </c>
      <c r="H13" t="s">
        <v>46</v>
      </c>
      <c r="I13">
        <v>1.0000000000000018</v>
      </c>
      <c r="J13" t="s">
        <v>47</v>
      </c>
      <c r="L13" t="s">
        <v>100</v>
      </c>
      <c r="M13" t="s">
        <v>46</v>
      </c>
      <c r="N13">
        <v>0.99999999999999822</v>
      </c>
      <c r="O13" t="s">
        <v>47</v>
      </c>
    </row>
    <row r="14" spans="2:15" x14ac:dyDescent="0.45">
      <c r="B14" t="s">
        <v>50</v>
      </c>
      <c r="C14" t="s">
        <v>46</v>
      </c>
      <c r="D14">
        <v>0.99999999999999989</v>
      </c>
      <c r="E14" t="s">
        <v>47</v>
      </c>
      <c r="G14" t="s">
        <v>76</v>
      </c>
      <c r="H14" t="s">
        <v>46</v>
      </c>
      <c r="I14">
        <v>1.0000000000000011</v>
      </c>
      <c r="J14" t="s">
        <v>47</v>
      </c>
      <c r="L14" t="s">
        <v>101</v>
      </c>
      <c r="M14" t="s">
        <v>46</v>
      </c>
      <c r="N14">
        <v>0.99999999999999911</v>
      </c>
      <c r="O14" t="s">
        <v>47</v>
      </c>
    </row>
    <row r="15" spans="2:15" x14ac:dyDescent="0.45">
      <c r="B15" t="s">
        <v>51</v>
      </c>
      <c r="C15" t="s">
        <v>46</v>
      </c>
      <c r="D15">
        <v>0.99999999999999778</v>
      </c>
      <c r="E15" t="s">
        <v>47</v>
      </c>
      <c r="G15" t="s">
        <v>77</v>
      </c>
      <c r="H15" t="s">
        <v>46</v>
      </c>
      <c r="I15">
        <v>1.0000000000000047</v>
      </c>
      <c r="J15" t="s">
        <v>47</v>
      </c>
      <c r="L15" t="s">
        <v>102</v>
      </c>
      <c r="M15" t="s">
        <v>46</v>
      </c>
      <c r="N15">
        <v>1.0000000000000058</v>
      </c>
      <c r="O15" t="s">
        <v>47</v>
      </c>
    </row>
    <row r="16" spans="2:15" x14ac:dyDescent="0.45">
      <c r="B16" t="s">
        <v>52</v>
      </c>
      <c r="C16" t="s">
        <v>46</v>
      </c>
      <c r="D16">
        <v>1.0000000000000004</v>
      </c>
      <c r="E16" t="s">
        <v>47</v>
      </c>
      <c r="G16" t="s">
        <v>78</v>
      </c>
      <c r="H16" t="s">
        <v>46</v>
      </c>
      <c r="I16">
        <v>0.99999999999999545</v>
      </c>
      <c r="J16" t="s">
        <v>47</v>
      </c>
      <c r="L16" t="s">
        <v>103</v>
      </c>
      <c r="M16" t="s">
        <v>46</v>
      </c>
      <c r="N16">
        <v>0.99999999999999911</v>
      </c>
      <c r="O16" t="s">
        <v>47</v>
      </c>
    </row>
    <row r="17" spans="2:15" x14ac:dyDescent="0.45">
      <c r="B17" t="s">
        <v>53</v>
      </c>
      <c r="C17" t="s">
        <v>46</v>
      </c>
      <c r="D17">
        <v>1.0000000000000024</v>
      </c>
      <c r="E17" t="s">
        <v>47</v>
      </c>
      <c r="G17" t="s">
        <v>79</v>
      </c>
      <c r="H17" t="s">
        <v>46</v>
      </c>
      <c r="I17">
        <v>0.99999999999999989</v>
      </c>
      <c r="J17" t="s">
        <v>47</v>
      </c>
      <c r="L17" t="s">
        <v>104</v>
      </c>
      <c r="M17" t="s">
        <v>46</v>
      </c>
      <c r="N17">
        <v>0.999999999999997</v>
      </c>
      <c r="O17" t="s">
        <v>47</v>
      </c>
    </row>
    <row r="18" spans="2:15" x14ac:dyDescent="0.45">
      <c r="B18" t="s">
        <v>54</v>
      </c>
      <c r="C18" t="s">
        <v>46</v>
      </c>
      <c r="D18">
        <v>1.0000000000000002</v>
      </c>
      <c r="E18" t="s">
        <v>47</v>
      </c>
      <c r="G18" t="s">
        <v>80</v>
      </c>
      <c r="H18" t="s">
        <v>46</v>
      </c>
      <c r="I18">
        <v>1.0000000000000033</v>
      </c>
      <c r="J18" t="s">
        <v>47</v>
      </c>
      <c r="L18" t="s">
        <v>105</v>
      </c>
      <c r="M18" t="s">
        <v>46</v>
      </c>
      <c r="N18">
        <v>1.0000000000000009</v>
      </c>
      <c r="O18" t="s">
        <v>47</v>
      </c>
    </row>
    <row r="19" spans="2:15" x14ac:dyDescent="0.45">
      <c r="B19" t="s">
        <v>55</v>
      </c>
      <c r="C19" t="s">
        <v>46</v>
      </c>
      <c r="D19">
        <v>0.99999999999999745</v>
      </c>
      <c r="E19" t="s">
        <v>47</v>
      </c>
      <c r="G19" t="s">
        <v>81</v>
      </c>
      <c r="H19" t="s">
        <v>46</v>
      </c>
      <c r="I19">
        <v>1.000000000000002</v>
      </c>
      <c r="J19" t="s">
        <v>47</v>
      </c>
      <c r="L19" t="s">
        <v>106</v>
      </c>
      <c r="M19" t="s">
        <v>46</v>
      </c>
      <c r="N19">
        <v>1.0000000000000033</v>
      </c>
      <c r="O19" t="s">
        <v>47</v>
      </c>
    </row>
    <row r="20" spans="2:15" x14ac:dyDescent="0.45">
      <c r="B20" t="s">
        <v>56</v>
      </c>
      <c r="C20" t="s">
        <v>46</v>
      </c>
      <c r="D20">
        <v>1.0000000000000018</v>
      </c>
      <c r="E20" t="s">
        <v>47</v>
      </c>
      <c r="G20" t="s">
        <v>82</v>
      </c>
      <c r="H20" t="s">
        <v>46</v>
      </c>
      <c r="I20">
        <v>1.0000000000000022</v>
      </c>
      <c r="J20" t="s">
        <v>47</v>
      </c>
      <c r="L20" t="s">
        <v>107</v>
      </c>
      <c r="M20" t="s">
        <v>46</v>
      </c>
      <c r="N20">
        <v>1.0000000000000016</v>
      </c>
      <c r="O20" t="s">
        <v>47</v>
      </c>
    </row>
    <row r="21" spans="2:15" x14ac:dyDescent="0.45">
      <c r="B21" t="s">
        <v>57</v>
      </c>
      <c r="C21" t="s">
        <v>46</v>
      </c>
      <c r="D21">
        <v>0.99999999999999922</v>
      </c>
      <c r="E21" t="s">
        <v>47</v>
      </c>
      <c r="G21" t="s">
        <v>83</v>
      </c>
      <c r="H21" t="s">
        <v>46</v>
      </c>
      <c r="I21">
        <v>0.99999999999999767</v>
      </c>
      <c r="J21" t="s">
        <v>47</v>
      </c>
      <c r="L21" t="s">
        <v>108</v>
      </c>
      <c r="M21" t="s">
        <v>46</v>
      </c>
      <c r="N21">
        <v>1</v>
      </c>
      <c r="O21" t="s">
        <v>47</v>
      </c>
    </row>
    <row r="22" spans="2:15" x14ac:dyDescent="0.45">
      <c r="B22" t="s">
        <v>58</v>
      </c>
      <c r="C22" t="s">
        <v>46</v>
      </c>
      <c r="D22">
        <v>1.0000000000000004</v>
      </c>
      <c r="E22" t="s">
        <v>47</v>
      </c>
      <c r="G22" t="s">
        <v>84</v>
      </c>
      <c r="H22" t="s">
        <v>46</v>
      </c>
      <c r="I22">
        <v>0.99999999999999767</v>
      </c>
      <c r="J22" t="s">
        <v>47</v>
      </c>
      <c r="L22" t="s">
        <v>109</v>
      </c>
      <c r="M22" t="s">
        <v>46</v>
      </c>
      <c r="N22">
        <v>1.000000000000002</v>
      </c>
      <c r="O22" t="s">
        <v>47</v>
      </c>
    </row>
    <row r="23" spans="2:15" x14ac:dyDescent="0.45">
      <c r="B23" t="s">
        <v>59</v>
      </c>
      <c r="C23" t="s">
        <v>46</v>
      </c>
      <c r="D23">
        <v>1.0000000000000002</v>
      </c>
      <c r="E23" t="s">
        <v>47</v>
      </c>
      <c r="G23" t="s">
        <v>85</v>
      </c>
      <c r="H23" t="s">
        <v>46</v>
      </c>
      <c r="I23">
        <v>0.99999999999999778</v>
      </c>
      <c r="J23" t="s">
        <v>47</v>
      </c>
      <c r="L23" t="s">
        <v>110</v>
      </c>
      <c r="M23" t="s">
        <v>46</v>
      </c>
      <c r="N23">
        <v>0.99999999999999789</v>
      </c>
      <c r="O23" t="s">
        <v>47</v>
      </c>
    </row>
    <row r="24" spans="2:15" x14ac:dyDescent="0.45">
      <c r="B24" t="s">
        <v>60</v>
      </c>
      <c r="C24" t="s">
        <v>46</v>
      </c>
      <c r="D24">
        <v>0.99999999999999889</v>
      </c>
      <c r="E24" t="s">
        <v>47</v>
      </c>
      <c r="G24" t="s">
        <v>86</v>
      </c>
      <c r="H24" t="s">
        <v>46</v>
      </c>
      <c r="I24">
        <v>1.0000000000000047</v>
      </c>
      <c r="J24" t="s">
        <v>47</v>
      </c>
      <c r="L24" t="s">
        <v>111</v>
      </c>
      <c r="M24" t="s">
        <v>46</v>
      </c>
      <c r="N24">
        <v>0.99999999999999878</v>
      </c>
      <c r="O24" t="s">
        <v>47</v>
      </c>
    </row>
    <row r="25" spans="2:15" x14ac:dyDescent="0.45">
      <c r="B25" t="s">
        <v>61</v>
      </c>
      <c r="C25" t="s">
        <v>46</v>
      </c>
      <c r="D25">
        <v>1.0000000000000011</v>
      </c>
      <c r="E25" t="s">
        <v>47</v>
      </c>
      <c r="G25" t="s">
        <v>87</v>
      </c>
      <c r="H25" t="s">
        <v>46</v>
      </c>
      <c r="I25">
        <v>0.99999999999999634</v>
      </c>
      <c r="J25" t="s">
        <v>47</v>
      </c>
      <c r="L25" t="s">
        <v>112</v>
      </c>
      <c r="M25" t="s">
        <v>46</v>
      </c>
      <c r="N25">
        <v>0.99999999999999756</v>
      </c>
      <c r="O25" t="s">
        <v>47</v>
      </c>
    </row>
    <row r="26" spans="2:15" x14ac:dyDescent="0.45">
      <c r="B26" t="s">
        <v>62</v>
      </c>
      <c r="C26" t="s">
        <v>46</v>
      </c>
      <c r="D26">
        <v>1</v>
      </c>
      <c r="E26" t="s">
        <v>47</v>
      </c>
      <c r="G26" t="s">
        <v>88</v>
      </c>
      <c r="H26" t="s">
        <v>46</v>
      </c>
      <c r="I26">
        <v>0.99999999999999778</v>
      </c>
      <c r="J26" t="s">
        <v>47</v>
      </c>
      <c r="L26" t="s">
        <v>113</v>
      </c>
      <c r="M26" t="s">
        <v>46</v>
      </c>
      <c r="N26">
        <v>0.999999999999998</v>
      </c>
      <c r="O26" t="s">
        <v>47</v>
      </c>
    </row>
    <row r="27" spans="2:15" x14ac:dyDescent="0.45">
      <c r="B27" t="s">
        <v>63</v>
      </c>
      <c r="C27" t="s">
        <v>46</v>
      </c>
      <c r="D27">
        <v>0.99999999999999967</v>
      </c>
      <c r="E27" t="s">
        <v>47</v>
      </c>
      <c r="G27" t="s">
        <v>89</v>
      </c>
      <c r="H27" t="s">
        <v>46</v>
      </c>
      <c r="I27">
        <v>0.99999999999999845</v>
      </c>
      <c r="J27" t="s">
        <v>47</v>
      </c>
      <c r="L27" t="s">
        <v>114</v>
      </c>
      <c r="M27" t="s">
        <v>46</v>
      </c>
      <c r="N27">
        <v>0.99999999999999833</v>
      </c>
      <c r="O27" t="s">
        <v>47</v>
      </c>
    </row>
    <row r="28" spans="2:15" x14ac:dyDescent="0.45">
      <c r="B28" t="s">
        <v>64</v>
      </c>
      <c r="C28" t="s">
        <v>46</v>
      </c>
      <c r="D28">
        <v>1.0000000000000013</v>
      </c>
      <c r="E28" t="s">
        <v>47</v>
      </c>
      <c r="G28" t="s">
        <v>90</v>
      </c>
      <c r="H28" t="s">
        <v>46</v>
      </c>
      <c r="I28">
        <v>0.99999999999999911</v>
      </c>
      <c r="J28" t="s">
        <v>47</v>
      </c>
      <c r="L28" t="s">
        <v>115</v>
      </c>
      <c r="M28" t="s">
        <v>46</v>
      </c>
      <c r="N28">
        <v>0.99999999999999933</v>
      </c>
      <c r="O28" t="s">
        <v>47</v>
      </c>
    </row>
    <row r="29" spans="2:15" x14ac:dyDescent="0.45">
      <c r="B29" t="s">
        <v>65</v>
      </c>
      <c r="C29" t="s">
        <v>46</v>
      </c>
      <c r="D29">
        <v>1.0000000000000004</v>
      </c>
      <c r="E29" t="s">
        <v>47</v>
      </c>
      <c r="G29" t="s">
        <v>91</v>
      </c>
      <c r="H29" t="s">
        <v>46</v>
      </c>
      <c r="I29">
        <v>0.99999999999999623</v>
      </c>
      <c r="J29" t="s">
        <v>47</v>
      </c>
    </row>
    <row r="30" spans="2:15" x14ac:dyDescent="0.45">
      <c r="B30" t="s">
        <v>66</v>
      </c>
      <c r="C30" t="s">
        <v>46</v>
      </c>
      <c r="D30">
        <v>1.0000000000000009</v>
      </c>
      <c r="E30" t="s">
        <v>47</v>
      </c>
      <c r="G30" t="s">
        <v>92</v>
      </c>
      <c r="H30" t="s">
        <v>46</v>
      </c>
      <c r="I30">
        <v>1.0000000000000009</v>
      </c>
      <c r="J30" t="s">
        <v>47</v>
      </c>
    </row>
    <row r="31" spans="2:15" x14ac:dyDescent="0.45">
      <c r="B31" t="s">
        <v>67</v>
      </c>
      <c r="C31" t="s">
        <v>46</v>
      </c>
      <c r="D31">
        <v>1.0000000000000016</v>
      </c>
      <c r="E31" t="s">
        <v>47</v>
      </c>
      <c r="G31" t="s">
        <v>93</v>
      </c>
      <c r="H31" t="s">
        <v>46</v>
      </c>
      <c r="I31">
        <v>0.99999999999999822</v>
      </c>
      <c r="J31" t="s">
        <v>47</v>
      </c>
    </row>
    <row r="32" spans="2:15" x14ac:dyDescent="0.45">
      <c r="B32" t="s">
        <v>68</v>
      </c>
      <c r="C32" t="s">
        <v>46</v>
      </c>
      <c r="D32">
        <v>0.99999999999999822</v>
      </c>
      <c r="E32" t="s">
        <v>47</v>
      </c>
      <c r="G32" t="s">
        <v>94</v>
      </c>
      <c r="H32" t="s">
        <v>46</v>
      </c>
      <c r="I32">
        <v>1.0000000000000064</v>
      </c>
      <c r="J32" t="s">
        <v>47</v>
      </c>
    </row>
    <row r="33" spans="2:10" x14ac:dyDescent="0.45">
      <c r="B33" t="s">
        <v>69</v>
      </c>
      <c r="C33" t="s">
        <v>46</v>
      </c>
      <c r="D33">
        <v>1.0000000000000004</v>
      </c>
      <c r="E33" t="s">
        <v>47</v>
      </c>
      <c r="G33" t="s">
        <v>95</v>
      </c>
      <c r="H33" t="s">
        <v>46</v>
      </c>
      <c r="I33">
        <v>1.0000000000000031</v>
      </c>
      <c r="J33" t="s">
        <v>47</v>
      </c>
    </row>
    <row r="34" spans="2:10" x14ac:dyDescent="0.45">
      <c r="B34" t="s">
        <v>70</v>
      </c>
      <c r="C34" t="s">
        <v>46</v>
      </c>
      <c r="D34">
        <v>0.999999999999997</v>
      </c>
      <c r="E34" t="s">
        <v>47</v>
      </c>
      <c r="G34" t="s">
        <v>96</v>
      </c>
      <c r="H34" t="s">
        <v>46</v>
      </c>
      <c r="I34">
        <v>0.99999999999999745</v>
      </c>
      <c r="J34" t="s">
        <v>47</v>
      </c>
    </row>
    <row r="35" spans="2:10" x14ac:dyDescent="0.45">
      <c r="B35" t="s">
        <v>71</v>
      </c>
      <c r="C35" t="s">
        <v>46</v>
      </c>
      <c r="D35">
        <v>1.0000000000000007</v>
      </c>
      <c r="E35" t="s">
        <v>47</v>
      </c>
      <c r="G35" t="s">
        <v>97</v>
      </c>
      <c r="H35" t="s">
        <v>46</v>
      </c>
      <c r="I35">
        <v>1.0000000000000027</v>
      </c>
      <c r="J35" t="s">
        <v>47</v>
      </c>
    </row>
    <row r="36" spans="2:10" x14ac:dyDescent="0.45">
      <c r="B36" t="s">
        <v>72</v>
      </c>
      <c r="C36" t="s">
        <v>46</v>
      </c>
      <c r="D36">
        <v>0.99999999999999689</v>
      </c>
      <c r="E36" t="s">
        <v>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A794C-BCCF-4A16-9C1F-6196FA982B70}">
  <dimension ref="B9:T79"/>
  <sheetViews>
    <sheetView workbookViewId="0"/>
  </sheetViews>
  <sheetFormatPr defaultRowHeight="14.25" x14ac:dyDescent="0.45"/>
  <sheetData>
    <row r="9" spans="2:20" x14ac:dyDescent="0.45">
      <c r="B9" t="str">
        <f>IF(A11="x","DeActivated","~TFM_DINS-TSL: attribute=FLO_EMIS; other_indexes=ACT")</f>
        <v>~TFM_DINS-TSL: attribute=FLO_EMIS; other_indexes=ACT</v>
      </c>
      <c r="F9" t="str">
        <f>IF(A11="x","DeActivated","~TFM_INS-TSL: attribute=FLO_SHAR; limtype=FX")</f>
        <v>~TFM_INS-TSL: attribute=FLO_SHAR; limtype=FX</v>
      </c>
      <c r="J9" t="str">
        <f>IF(A11="x","DeActivated","~TFM_INS-TSL: attribute=FLO_SHAR; limtype=FX")</f>
        <v>~TFM_INS-TSL: attribute=FLO_SHAR; limtype=FX</v>
      </c>
      <c r="N9" t="str">
        <f>IF(A11="x","DeActivated","~TFM_DINS-TSL: attribute=NCAP_PKCNT")</f>
        <v>~TFM_DINS-TSL: attribute=NCAP_PKCNT</v>
      </c>
      <c r="Q9" t="str">
        <f>IF(A11="x","DeActivated","~TFM_DINS-AT")</f>
        <v>~TFM_DINS-AT</v>
      </c>
    </row>
    <row r="10" spans="2:20" x14ac:dyDescent="0.45">
      <c r="B10" t="s">
        <v>44</v>
      </c>
      <c r="C10" t="s">
        <v>41</v>
      </c>
      <c r="D10" t="s">
        <v>46</v>
      </c>
      <c r="F10" t="s">
        <v>44</v>
      </c>
      <c r="G10" t="s">
        <v>41</v>
      </c>
      <c r="H10" t="s">
        <v>46</v>
      </c>
      <c r="J10" t="s">
        <v>44</v>
      </c>
      <c r="K10" t="s">
        <v>41</v>
      </c>
      <c r="L10" t="s">
        <v>46</v>
      </c>
      <c r="N10" t="s">
        <v>44</v>
      </c>
      <c r="O10" t="s">
        <v>46</v>
      </c>
      <c r="Q10" t="s">
        <v>44</v>
      </c>
      <c r="R10" t="s">
        <v>41</v>
      </c>
      <c r="S10" t="s">
        <v>190</v>
      </c>
      <c r="T10" t="s">
        <v>191</v>
      </c>
    </row>
    <row r="11" spans="2:20" x14ac:dyDescent="0.45">
      <c r="B11" t="s">
        <v>116</v>
      </c>
      <c r="C11" t="s">
        <v>31</v>
      </c>
      <c r="D11">
        <v>0.55864492554424361</v>
      </c>
      <c r="F11" t="s">
        <v>185</v>
      </c>
      <c r="G11" t="s">
        <v>186</v>
      </c>
      <c r="H11">
        <v>0.13108447426558925</v>
      </c>
      <c r="J11" t="s">
        <v>185</v>
      </c>
      <c r="K11" t="s">
        <v>189</v>
      </c>
      <c r="L11">
        <v>0.16245548123361672</v>
      </c>
      <c r="N11" t="s">
        <v>116</v>
      </c>
      <c r="O11">
        <v>0.18197405169722561</v>
      </c>
      <c r="Q11" t="s">
        <v>116</v>
      </c>
      <c r="R11" t="s">
        <v>192</v>
      </c>
      <c r="S11" t="s">
        <v>193</v>
      </c>
      <c r="T11">
        <v>0.18197405169722561</v>
      </c>
    </row>
    <row r="12" spans="2:20" x14ac:dyDescent="0.45">
      <c r="B12" t="s">
        <v>117</v>
      </c>
      <c r="C12" t="s">
        <v>31</v>
      </c>
      <c r="D12">
        <v>0.56439536593593298</v>
      </c>
      <c r="F12" t="s">
        <v>187</v>
      </c>
      <c r="G12" t="s">
        <v>186</v>
      </c>
      <c r="H12">
        <v>4.4815292646861382E-3</v>
      </c>
      <c r="J12" t="s">
        <v>187</v>
      </c>
      <c r="K12" t="s">
        <v>189</v>
      </c>
      <c r="L12">
        <v>1.2113535353909542E-2</v>
      </c>
      <c r="N12" t="s">
        <v>117</v>
      </c>
      <c r="O12">
        <v>0.17532187128617469</v>
      </c>
      <c r="Q12" t="s">
        <v>117</v>
      </c>
      <c r="R12" t="s">
        <v>192</v>
      </c>
      <c r="S12" t="s">
        <v>193</v>
      </c>
      <c r="T12">
        <v>0.17532187128617469</v>
      </c>
    </row>
    <row r="13" spans="2:20" x14ac:dyDescent="0.45">
      <c r="B13" t="s">
        <v>118</v>
      </c>
      <c r="C13" t="s">
        <v>31</v>
      </c>
      <c r="D13">
        <v>0.54630786483377636</v>
      </c>
      <c r="F13" t="s">
        <v>188</v>
      </c>
      <c r="G13" t="s">
        <v>186</v>
      </c>
      <c r="H13">
        <v>1.1544195272439697E-3</v>
      </c>
      <c r="J13" t="s">
        <v>188</v>
      </c>
      <c r="K13" t="s">
        <v>189</v>
      </c>
      <c r="L13">
        <v>5.178380286621086E-3</v>
      </c>
      <c r="N13" t="s">
        <v>118</v>
      </c>
      <c r="O13">
        <v>0.21842656281226241</v>
      </c>
      <c r="Q13" t="s">
        <v>118</v>
      </c>
      <c r="R13" t="s">
        <v>192</v>
      </c>
      <c r="S13" t="s">
        <v>193</v>
      </c>
      <c r="T13">
        <v>0.21842656281226241</v>
      </c>
    </row>
    <row r="14" spans="2:20" x14ac:dyDescent="0.45">
      <c r="B14" t="s">
        <v>119</v>
      </c>
      <c r="C14" t="s">
        <v>31</v>
      </c>
      <c r="D14">
        <v>0.54684044534758824</v>
      </c>
      <c r="N14" t="s">
        <v>119</v>
      </c>
      <c r="O14">
        <v>0.21024122216574104</v>
      </c>
      <c r="Q14" t="s">
        <v>119</v>
      </c>
      <c r="R14" t="s">
        <v>192</v>
      </c>
      <c r="S14" t="s">
        <v>193</v>
      </c>
      <c r="T14">
        <v>0.21024122216574104</v>
      </c>
    </row>
    <row r="15" spans="2:20" x14ac:dyDescent="0.45">
      <c r="B15" t="s">
        <v>120</v>
      </c>
      <c r="C15" t="s">
        <v>31</v>
      </c>
      <c r="D15">
        <v>0.55568106468377831</v>
      </c>
      <c r="N15" t="s">
        <v>120</v>
      </c>
      <c r="O15">
        <v>0.19086942827325712</v>
      </c>
      <c r="Q15" t="s">
        <v>120</v>
      </c>
      <c r="R15" t="s">
        <v>192</v>
      </c>
      <c r="S15" t="s">
        <v>193</v>
      </c>
      <c r="T15">
        <v>0.19086942827325712</v>
      </c>
    </row>
    <row r="16" spans="2:20" x14ac:dyDescent="0.45">
      <c r="B16" t="s">
        <v>121</v>
      </c>
      <c r="C16" t="s">
        <v>31</v>
      </c>
      <c r="D16">
        <v>0.54339604195682045</v>
      </c>
      <c r="N16" t="s">
        <v>121</v>
      </c>
      <c r="O16">
        <v>0.20520261997757616</v>
      </c>
      <c r="Q16" t="s">
        <v>121</v>
      </c>
      <c r="R16" t="s">
        <v>192</v>
      </c>
      <c r="S16" t="s">
        <v>193</v>
      </c>
      <c r="T16">
        <v>0.20520261997757616</v>
      </c>
    </row>
    <row r="17" spans="2:20" x14ac:dyDescent="0.45">
      <c r="B17" t="s">
        <v>122</v>
      </c>
      <c r="C17" t="s">
        <v>31</v>
      </c>
      <c r="D17">
        <v>0.5390511769488</v>
      </c>
      <c r="N17" t="s">
        <v>122</v>
      </c>
      <c r="O17">
        <v>0.22030348474001737</v>
      </c>
      <c r="Q17" t="s">
        <v>122</v>
      </c>
      <c r="R17" t="s">
        <v>192</v>
      </c>
      <c r="S17" t="s">
        <v>193</v>
      </c>
      <c r="T17">
        <v>0.22030348474001737</v>
      </c>
    </row>
    <row r="18" spans="2:20" x14ac:dyDescent="0.45">
      <c r="B18" t="s">
        <v>123</v>
      </c>
      <c r="C18" t="s">
        <v>31</v>
      </c>
      <c r="D18">
        <v>0.54500095167532858</v>
      </c>
      <c r="N18" t="s">
        <v>123</v>
      </c>
      <c r="O18">
        <v>0.21698008398260049</v>
      </c>
      <c r="Q18" t="s">
        <v>123</v>
      </c>
      <c r="R18" t="s">
        <v>192</v>
      </c>
      <c r="S18" t="s">
        <v>193</v>
      </c>
      <c r="T18">
        <v>0.21698008398260049</v>
      </c>
    </row>
    <row r="19" spans="2:20" x14ac:dyDescent="0.45">
      <c r="B19" t="s">
        <v>124</v>
      </c>
      <c r="C19" t="s">
        <v>31</v>
      </c>
      <c r="D19">
        <v>0.53650795291177922</v>
      </c>
      <c r="N19" t="s">
        <v>124</v>
      </c>
      <c r="O19">
        <v>0.23075245948820194</v>
      </c>
      <c r="Q19" t="s">
        <v>124</v>
      </c>
      <c r="R19" t="s">
        <v>192</v>
      </c>
      <c r="S19" t="s">
        <v>193</v>
      </c>
      <c r="T19">
        <v>0.23075245948820194</v>
      </c>
    </row>
    <row r="20" spans="2:20" x14ac:dyDescent="0.45">
      <c r="B20" t="s">
        <v>125</v>
      </c>
      <c r="C20" t="s">
        <v>31</v>
      </c>
      <c r="D20">
        <v>0.53946634665892379</v>
      </c>
      <c r="N20" t="s">
        <v>125</v>
      </c>
      <c r="O20">
        <v>0.22838768290835762</v>
      </c>
      <c r="Q20" t="s">
        <v>125</v>
      </c>
      <c r="R20" t="s">
        <v>192</v>
      </c>
      <c r="S20" t="s">
        <v>193</v>
      </c>
      <c r="T20">
        <v>0.22838768290835762</v>
      </c>
    </row>
    <row r="21" spans="2:20" x14ac:dyDescent="0.45">
      <c r="B21" t="s">
        <v>126</v>
      </c>
      <c r="C21" t="s">
        <v>31</v>
      </c>
      <c r="D21">
        <v>0.53894952075221791</v>
      </c>
      <c r="N21" t="s">
        <v>126</v>
      </c>
      <c r="O21">
        <v>0.2315669998218931</v>
      </c>
      <c r="Q21" t="s">
        <v>126</v>
      </c>
      <c r="R21" t="s">
        <v>192</v>
      </c>
      <c r="S21" t="s">
        <v>193</v>
      </c>
      <c r="T21">
        <v>0.2315669998218931</v>
      </c>
    </row>
    <row r="22" spans="2:20" x14ac:dyDescent="0.45">
      <c r="B22" t="s">
        <v>127</v>
      </c>
      <c r="C22" t="s">
        <v>31</v>
      </c>
      <c r="D22">
        <v>0.5344110585088121</v>
      </c>
      <c r="N22" t="s">
        <v>127</v>
      </c>
      <c r="O22">
        <v>0.23339770934652129</v>
      </c>
      <c r="Q22" t="s">
        <v>127</v>
      </c>
      <c r="R22" t="s">
        <v>192</v>
      </c>
      <c r="S22" t="s">
        <v>193</v>
      </c>
      <c r="T22">
        <v>0.23339770934652129</v>
      </c>
    </row>
    <row r="23" spans="2:20" x14ac:dyDescent="0.45">
      <c r="B23" t="s">
        <v>128</v>
      </c>
      <c r="C23" t="s">
        <v>31</v>
      </c>
      <c r="D23">
        <v>0.53812371006831949</v>
      </c>
      <c r="N23" t="s">
        <v>128</v>
      </c>
      <c r="O23">
        <v>0.22477625432130127</v>
      </c>
      <c r="Q23" t="s">
        <v>128</v>
      </c>
      <c r="R23" t="s">
        <v>192</v>
      </c>
      <c r="S23" t="s">
        <v>193</v>
      </c>
      <c r="T23">
        <v>0.22477625432130127</v>
      </c>
    </row>
    <row r="24" spans="2:20" x14ac:dyDescent="0.45">
      <c r="B24" t="s">
        <v>129</v>
      </c>
      <c r="C24" t="s">
        <v>31</v>
      </c>
      <c r="D24">
        <v>0.53028881082471369</v>
      </c>
      <c r="N24" t="s">
        <v>129</v>
      </c>
      <c r="O24">
        <v>0.24000965797806814</v>
      </c>
      <c r="Q24" t="s">
        <v>129</v>
      </c>
      <c r="R24" t="s">
        <v>192</v>
      </c>
      <c r="S24" t="s">
        <v>193</v>
      </c>
      <c r="T24">
        <v>0.24000965797806814</v>
      </c>
    </row>
    <row r="25" spans="2:20" x14ac:dyDescent="0.45">
      <c r="B25" t="s">
        <v>130</v>
      </c>
      <c r="C25" t="s">
        <v>31</v>
      </c>
      <c r="D25">
        <v>0.53046290999166845</v>
      </c>
      <c r="N25" t="s">
        <v>130</v>
      </c>
      <c r="O25">
        <v>0.23655911638096899</v>
      </c>
      <c r="Q25" t="s">
        <v>130</v>
      </c>
      <c r="R25" t="s">
        <v>192</v>
      </c>
      <c r="S25" t="s">
        <v>193</v>
      </c>
      <c r="T25">
        <v>0.23655911638096899</v>
      </c>
    </row>
    <row r="26" spans="2:20" x14ac:dyDescent="0.45">
      <c r="B26" t="s">
        <v>131</v>
      </c>
      <c r="C26" t="s">
        <v>31</v>
      </c>
      <c r="D26">
        <v>0.52387985458096908</v>
      </c>
      <c r="N26" t="s">
        <v>131</v>
      </c>
      <c r="O26">
        <v>0.24650462559812783</v>
      </c>
      <c r="Q26" t="s">
        <v>131</v>
      </c>
      <c r="R26" t="s">
        <v>192</v>
      </c>
      <c r="S26" t="s">
        <v>193</v>
      </c>
      <c r="T26">
        <v>0.24650462559812783</v>
      </c>
    </row>
    <row r="27" spans="2:20" x14ac:dyDescent="0.45">
      <c r="B27" t="s">
        <v>132</v>
      </c>
      <c r="C27" t="s">
        <v>31</v>
      </c>
      <c r="D27">
        <v>0.53393568278648296</v>
      </c>
      <c r="N27" t="s">
        <v>132</v>
      </c>
      <c r="O27">
        <v>0.23995461989575545</v>
      </c>
      <c r="Q27" t="s">
        <v>132</v>
      </c>
      <c r="R27" t="s">
        <v>192</v>
      </c>
      <c r="S27" t="s">
        <v>193</v>
      </c>
      <c r="T27">
        <v>0.23995461989575545</v>
      </c>
    </row>
    <row r="28" spans="2:20" x14ac:dyDescent="0.45">
      <c r="B28" t="s">
        <v>133</v>
      </c>
      <c r="C28" t="s">
        <v>31</v>
      </c>
      <c r="D28">
        <v>0.52961656185054051</v>
      </c>
      <c r="N28" t="s">
        <v>133</v>
      </c>
      <c r="O28">
        <v>0.2451597287782552</v>
      </c>
      <c r="Q28" t="s">
        <v>133</v>
      </c>
      <c r="R28" t="s">
        <v>192</v>
      </c>
      <c r="S28" t="s">
        <v>193</v>
      </c>
      <c r="T28">
        <v>0.2451597287782552</v>
      </c>
    </row>
    <row r="29" spans="2:20" x14ac:dyDescent="0.45">
      <c r="B29" t="s">
        <v>134</v>
      </c>
      <c r="C29" t="s">
        <v>31</v>
      </c>
      <c r="D29">
        <v>0.53982312728614656</v>
      </c>
      <c r="N29" t="s">
        <v>134</v>
      </c>
      <c r="O29">
        <v>0.23484249938153898</v>
      </c>
      <c r="Q29" t="s">
        <v>134</v>
      </c>
      <c r="R29" t="s">
        <v>192</v>
      </c>
      <c r="S29" t="s">
        <v>193</v>
      </c>
      <c r="T29">
        <v>0.23484249938153898</v>
      </c>
    </row>
    <row r="30" spans="2:20" x14ac:dyDescent="0.45">
      <c r="B30" t="s">
        <v>135</v>
      </c>
      <c r="C30" t="s">
        <v>31</v>
      </c>
      <c r="D30">
        <v>0.53841793405288441</v>
      </c>
      <c r="N30" t="s">
        <v>135</v>
      </c>
      <c r="O30">
        <v>0.23467974891353247</v>
      </c>
      <c r="Q30" t="s">
        <v>135</v>
      </c>
      <c r="R30" t="s">
        <v>192</v>
      </c>
      <c r="S30" t="s">
        <v>193</v>
      </c>
      <c r="T30">
        <v>0.23467974891353247</v>
      </c>
    </row>
    <row r="31" spans="2:20" x14ac:dyDescent="0.45">
      <c r="B31" t="s">
        <v>136</v>
      </c>
      <c r="C31" t="s">
        <v>31</v>
      </c>
      <c r="D31">
        <v>0.54153276994211863</v>
      </c>
      <c r="N31" t="s">
        <v>136</v>
      </c>
      <c r="O31">
        <v>0.23254616783336063</v>
      </c>
      <c r="Q31" t="s">
        <v>136</v>
      </c>
      <c r="R31" t="s">
        <v>192</v>
      </c>
      <c r="S31" t="s">
        <v>193</v>
      </c>
      <c r="T31">
        <v>0.23254616783336063</v>
      </c>
    </row>
    <row r="32" spans="2:20" x14ac:dyDescent="0.45">
      <c r="B32" t="s">
        <v>137</v>
      </c>
      <c r="C32" t="s">
        <v>31</v>
      </c>
      <c r="D32">
        <v>0.56175052238978906</v>
      </c>
      <c r="N32" t="s">
        <v>137</v>
      </c>
      <c r="O32">
        <v>0.189562201955395</v>
      </c>
      <c r="Q32" t="s">
        <v>137</v>
      </c>
      <c r="R32" t="s">
        <v>192</v>
      </c>
      <c r="S32" t="s">
        <v>193</v>
      </c>
      <c r="T32">
        <v>0.189562201955395</v>
      </c>
    </row>
    <row r="33" spans="2:20" x14ac:dyDescent="0.45">
      <c r="B33" t="s">
        <v>138</v>
      </c>
      <c r="C33" t="s">
        <v>31</v>
      </c>
      <c r="D33">
        <v>0.54493981443548711</v>
      </c>
      <c r="N33" t="s">
        <v>138</v>
      </c>
      <c r="O33">
        <v>0.21869205408176376</v>
      </c>
      <c r="Q33" t="s">
        <v>138</v>
      </c>
      <c r="R33" t="s">
        <v>192</v>
      </c>
      <c r="S33" t="s">
        <v>193</v>
      </c>
      <c r="T33">
        <v>0.21869205408176376</v>
      </c>
    </row>
    <row r="34" spans="2:20" x14ac:dyDescent="0.45">
      <c r="B34" t="s">
        <v>139</v>
      </c>
      <c r="C34" t="s">
        <v>31</v>
      </c>
      <c r="D34">
        <v>0.54846316387123872</v>
      </c>
      <c r="N34" t="s">
        <v>139</v>
      </c>
      <c r="O34">
        <v>0.22412039010070992</v>
      </c>
      <c r="Q34" t="s">
        <v>139</v>
      </c>
      <c r="R34" t="s">
        <v>192</v>
      </c>
      <c r="S34" t="s">
        <v>193</v>
      </c>
      <c r="T34">
        <v>0.22412039010070992</v>
      </c>
    </row>
    <row r="35" spans="2:20" x14ac:dyDescent="0.45">
      <c r="B35" t="s">
        <v>140</v>
      </c>
      <c r="C35" t="s">
        <v>31</v>
      </c>
      <c r="D35">
        <v>0.55152186519067559</v>
      </c>
      <c r="N35" t="s">
        <v>140</v>
      </c>
      <c r="O35">
        <v>0.21014551758536207</v>
      </c>
      <c r="Q35" t="s">
        <v>140</v>
      </c>
      <c r="R35" t="s">
        <v>192</v>
      </c>
      <c r="S35" t="s">
        <v>193</v>
      </c>
      <c r="T35">
        <v>0.21014551758536207</v>
      </c>
    </row>
    <row r="36" spans="2:20" x14ac:dyDescent="0.45">
      <c r="B36" t="s">
        <v>141</v>
      </c>
      <c r="C36" t="s">
        <v>31</v>
      </c>
      <c r="D36">
        <v>0.55251172692980755</v>
      </c>
      <c r="N36" t="s">
        <v>141</v>
      </c>
      <c r="O36">
        <v>0.19032553084645426</v>
      </c>
      <c r="Q36" t="s">
        <v>141</v>
      </c>
      <c r="R36" t="s">
        <v>192</v>
      </c>
      <c r="S36" t="s">
        <v>193</v>
      </c>
      <c r="T36">
        <v>0.19032553084645426</v>
      </c>
    </row>
    <row r="37" spans="2:20" x14ac:dyDescent="0.45">
      <c r="B37" t="s">
        <v>142</v>
      </c>
      <c r="C37" t="s">
        <v>31</v>
      </c>
      <c r="D37">
        <v>0.4167859650334037</v>
      </c>
      <c r="N37" t="s">
        <v>142</v>
      </c>
      <c r="O37">
        <v>0.29056329436645667</v>
      </c>
      <c r="Q37" t="s">
        <v>160</v>
      </c>
      <c r="R37" t="s">
        <v>192</v>
      </c>
      <c r="S37" t="s">
        <v>193</v>
      </c>
      <c r="T37">
        <v>0.21292109405516915</v>
      </c>
    </row>
    <row r="38" spans="2:20" x14ac:dyDescent="0.45">
      <c r="B38" t="s">
        <v>143</v>
      </c>
      <c r="C38" t="s">
        <v>31</v>
      </c>
      <c r="D38">
        <v>0.44465744003192714</v>
      </c>
      <c r="N38" t="s">
        <v>143</v>
      </c>
      <c r="O38">
        <v>0.28128275358811183</v>
      </c>
      <c r="Q38" t="s">
        <v>161</v>
      </c>
      <c r="R38" t="s">
        <v>192</v>
      </c>
      <c r="S38" t="s">
        <v>193</v>
      </c>
      <c r="T38">
        <v>0.14461219705185943</v>
      </c>
    </row>
    <row r="39" spans="2:20" x14ac:dyDescent="0.45">
      <c r="B39" t="s">
        <v>144</v>
      </c>
      <c r="C39" t="s">
        <v>31</v>
      </c>
      <c r="D39">
        <v>0.47676176102798118</v>
      </c>
      <c r="N39" t="s">
        <v>144</v>
      </c>
      <c r="O39">
        <v>0.26479826600830653</v>
      </c>
      <c r="Q39" t="s">
        <v>162</v>
      </c>
      <c r="R39" t="s">
        <v>192</v>
      </c>
      <c r="S39" t="s">
        <v>193</v>
      </c>
      <c r="T39">
        <v>0.15175789297489192</v>
      </c>
    </row>
    <row r="40" spans="2:20" x14ac:dyDescent="0.45">
      <c r="B40" t="s">
        <v>145</v>
      </c>
      <c r="C40" t="s">
        <v>31</v>
      </c>
      <c r="D40">
        <v>0.46127448589953318</v>
      </c>
      <c r="N40" t="s">
        <v>145</v>
      </c>
      <c r="O40">
        <v>0.29494981886450361</v>
      </c>
      <c r="Q40" t="s">
        <v>163</v>
      </c>
      <c r="R40" t="s">
        <v>192</v>
      </c>
      <c r="S40" t="s">
        <v>193</v>
      </c>
      <c r="T40">
        <v>0.17793261062891061</v>
      </c>
    </row>
    <row r="41" spans="2:20" x14ac:dyDescent="0.45">
      <c r="B41" t="s">
        <v>146</v>
      </c>
      <c r="C41" t="s">
        <v>31</v>
      </c>
      <c r="D41">
        <v>0.49980037780269571</v>
      </c>
      <c r="N41" t="s">
        <v>146</v>
      </c>
      <c r="O41">
        <v>0.24718470532165943</v>
      </c>
      <c r="Q41" t="s">
        <v>164</v>
      </c>
      <c r="R41" t="s">
        <v>192</v>
      </c>
      <c r="S41" t="s">
        <v>193</v>
      </c>
      <c r="T41">
        <v>0.18655732941430192</v>
      </c>
    </row>
    <row r="42" spans="2:20" x14ac:dyDescent="0.45">
      <c r="B42" t="s">
        <v>147</v>
      </c>
      <c r="C42" t="s">
        <v>31</v>
      </c>
      <c r="D42">
        <v>0.55185870935374326</v>
      </c>
      <c r="N42" t="s">
        <v>147</v>
      </c>
      <c r="O42">
        <v>0.20644226225357706</v>
      </c>
      <c r="Q42" t="s">
        <v>165</v>
      </c>
      <c r="R42" t="s">
        <v>192</v>
      </c>
      <c r="S42" t="s">
        <v>193</v>
      </c>
      <c r="T42">
        <v>0.13710589518228108</v>
      </c>
    </row>
    <row r="43" spans="2:20" x14ac:dyDescent="0.45">
      <c r="B43" t="s">
        <v>148</v>
      </c>
      <c r="C43" t="s">
        <v>31</v>
      </c>
      <c r="D43">
        <v>0.43364752817474161</v>
      </c>
      <c r="N43" t="s">
        <v>148</v>
      </c>
      <c r="O43">
        <v>0.3532541377775445</v>
      </c>
      <c r="Q43" t="s">
        <v>166</v>
      </c>
      <c r="R43" t="s">
        <v>192</v>
      </c>
      <c r="S43" t="s">
        <v>193</v>
      </c>
      <c r="T43">
        <v>0.10263667108874495</v>
      </c>
    </row>
    <row r="44" spans="2:20" x14ac:dyDescent="0.45">
      <c r="B44" t="s">
        <v>149</v>
      </c>
      <c r="C44" t="s">
        <v>31</v>
      </c>
      <c r="D44">
        <v>0.47954569137090425</v>
      </c>
      <c r="N44" t="s">
        <v>149</v>
      </c>
      <c r="O44">
        <v>0.27934176048110698</v>
      </c>
      <c r="Q44" t="s">
        <v>167</v>
      </c>
      <c r="R44" t="s">
        <v>192</v>
      </c>
      <c r="S44" t="s">
        <v>193</v>
      </c>
      <c r="T44">
        <v>0.11260692462824054</v>
      </c>
    </row>
    <row r="45" spans="2:20" x14ac:dyDescent="0.45">
      <c r="B45" t="s">
        <v>150</v>
      </c>
      <c r="C45" t="s">
        <v>31</v>
      </c>
      <c r="D45">
        <v>0.40537878105477321</v>
      </c>
      <c r="N45" t="s">
        <v>150</v>
      </c>
      <c r="O45">
        <v>0.3198316745240703</v>
      </c>
      <c r="Q45" t="s">
        <v>168</v>
      </c>
      <c r="R45" t="s">
        <v>192</v>
      </c>
      <c r="S45" t="s">
        <v>193</v>
      </c>
      <c r="T45">
        <v>0.18141509257551264</v>
      </c>
    </row>
    <row r="46" spans="2:20" x14ac:dyDescent="0.45">
      <c r="B46" t="s">
        <v>151</v>
      </c>
      <c r="C46" t="s">
        <v>31</v>
      </c>
      <c r="D46">
        <v>0.39654321562288658</v>
      </c>
      <c r="N46" t="s">
        <v>151</v>
      </c>
      <c r="O46">
        <v>0.38765579955191548</v>
      </c>
      <c r="Q46" t="s">
        <v>169</v>
      </c>
      <c r="R46" t="s">
        <v>192</v>
      </c>
      <c r="S46" t="s">
        <v>193</v>
      </c>
      <c r="T46">
        <v>0.16305357809940324</v>
      </c>
    </row>
    <row r="47" spans="2:20" x14ac:dyDescent="0.45">
      <c r="B47" t="s">
        <v>152</v>
      </c>
      <c r="C47" t="s">
        <v>31</v>
      </c>
      <c r="D47">
        <v>0.44318048925224252</v>
      </c>
      <c r="N47" t="s">
        <v>152</v>
      </c>
      <c r="O47">
        <v>0.25128397140829017</v>
      </c>
      <c r="Q47" t="s">
        <v>170</v>
      </c>
      <c r="R47" t="s">
        <v>192</v>
      </c>
      <c r="S47" t="s">
        <v>193</v>
      </c>
      <c r="T47">
        <v>0.12687456604553221</v>
      </c>
    </row>
    <row r="48" spans="2:20" x14ac:dyDescent="0.45">
      <c r="B48" t="s">
        <v>153</v>
      </c>
      <c r="C48" t="s">
        <v>31</v>
      </c>
      <c r="D48">
        <v>0.36695992889263962</v>
      </c>
      <c r="N48" t="s">
        <v>153</v>
      </c>
      <c r="O48">
        <v>0.38435126115209228</v>
      </c>
      <c r="Q48" t="s">
        <v>171</v>
      </c>
      <c r="R48" t="s">
        <v>192</v>
      </c>
      <c r="S48" t="s">
        <v>193</v>
      </c>
      <c r="T48">
        <v>0.20522865550125149</v>
      </c>
    </row>
    <row r="49" spans="2:20" x14ac:dyDescent="0.45">
      <c r="B49" t="s">
        <v>154</v>
      </c>
      <c r="C49" t="s">
        <v>31</v>
      </c>
      <c r="D49">
        <v>0.39955031357939258</v>
      </c>
      <c r="N49" t="s">
        <v>154</v>
      </c>
      <c r="O49">
        <v>0.29100800244878411</v>
      </c>
      <c r="Q49" t="s">
        <v>172</v>
      </c>
      <c r="R49" t="s">
        <v>192</v>
      </c>
      <c r="S49" t="s">
        <v>193</v>
      </c>
      <c r="T49">
        <v>0.37647854224061006</v>
      </c>
    </row>
    <row r="50" spans="2:20" x14ac:dyDescent="0.45">
      <c r="B50" t="s">
        <v>155</v>
      </c>
      <c r="C50" t="s">
        <v>31</v>
      </c>
      <c r="D50">
        <v>0.39235788709165537</v>
      </c>
      <c r="N50" t="s">
        <v>155</v>
      </c>
      <c r="O50">
        <v>0.31508394092041137</v>
      </c>
      <c r="Q50" t="s">
        <v>173</v>
      </c>
      <c r="R50" t="s">
        <v>192</v>
      </c>
      <c r="S50" t="s">
        <v>193</v>
      </c>
      <c r="T50">
        <v>0.24094492130543532</v>
      </c>
    </row>
    <row r="51" spans="2:20" x14ac:dyDescent="0.45">
      <c r="B51" t="s">
        <v>156</v>
      </c>
      <c r="C51" t="s">
        <v>31</v>
      </c>
      <c r="D51">
        <v>0.32861414472260192</v>
      </c>
      <c r="N51" t="s">
        <v>156</v>
      </c>
      <c r="O51">
        <v>0.49087910650217742</v>
      </c>
      <c r="Q51" t="s">
        <v>174</v>
      </c>
      <c r="R51" t="s">
        <v>192</v>
      </c>
      <c r="S51" t="s">
        <v>193</v>
      </c>
      <c r="T51">
        <v>0.10534484422881239</v>
      </c>
    </row>
    <row r="52" spans="2:20" x14ac:dyDescent="0.45">
      <c r="B52" t="s">
        <v>157</v>
      </c>
      <c r="C52" t="s">
        <v>31</v>
      </c>
      <c r="D52">
        <v>0.33549074395481621</v>
      </c>
      <c r="N52" t="s">
        <v>157</v>
      </c>
      <c r="O52">
        <v>0.48306366664329209</v>
      </c>
      <c r="Q52" t="s">
        <v>175</v>
      </c>
      <c r="R52" t="s">
        <v>192</v>
      </c>
      <c r="S52" t="s">
        <v>193</v>
      </c>
      <c r="T52">
        <v>0.22767426821831827</v>
      </c>
    </row>
    <row r="53" spans="2:20" x14ac:dyDescent="0.45">
      <c r="B53" t="s">
        <v>158</v>
      </c>
      <c r="C53" t="s">
        <v>31</v>
      </c>
      <c r="D53">
        <v>0.36099845319303991</v>
      </c>
      <c r="N53" t="s">
        <v>158</v>
      </c>
      <c r="O53">
        <v>0.37266661062552586</v>
      </c>
      <c r="Q53" t="s">
        <v>176</v>
      </c>
      <c r="R53" t="s">
        <v>192</v>
      </c>
      <c r="S53" t="s">
        <v>193</v>
      </c>
      <c r="T53">
        <v>0.19984192503497555</v>
      </c>
    </row>
    <row r="54" spans="2:20" x14ac:dyDescent="0.45">
      <c r="B54" t="s">
        <v>159</v>
      </c>
      <c r="C54" t="s">
        <v>31</v>
      </c>
      <c r="D54">
        <v>0.26973245898152981</v>
      </c>
      <c r="N54" t="s">
        <v>159</v>
      </c>
      <c r="O54">
        <v>0.55783499763864985</v>
      </c>
      <c r="Q54" t="s">
        <v>177</v>
      </c>
      <c r="R54" t="s">
        <v>192</v>
      </c>
      <c r="S54" t="s">
        <v>193</v>
      </c>
      <c r="T54">
        <v>0.16623078709058012</v>
      </c>
    </row>
    <row r="55" spans="2:20" x14ac:dyDescent="0.45">
      <c r="B55" t="s">
        <v>160</v>
      </c>
      <c r="C55" t="s">
        <v>31</v>
      </c>
      <c r="D55">
        <v>0.4498293395154766</v>
      </c>
      <c r="N55" t="s">
        <v>160</v>
      </c>
      <c r="O55">
        <v>0.21292109405516915</v>
      </c>
      <c r="Q55" t="s">
        <v>178</v>
      </c>
      <c r="R55" t="s">
        <v>192</v>
      </c>
      <c r="S55" t="s">
        <v>193</v>
      </c>
      <c r="T55">
        <v>0.14625994356145022</v>
      </c>
    </row>
    <row r="56" spans="2:20" x14ac:dyDescent="0.45">
      <c r="B56" t="s">
        <v>161</v>
      </c>
      <c r="C56" t="s">
        <v>31</v>
      </c>
      <c r="D56">
        <v>0.47073097616620713</v>
      </c>
      <c r="N56" t="s">
        <v>161</v>
      </c>
      <c r="O56">
        <v>0.14461219705185943</v>
      </c>
      <c r="Q56" t="s">
        <v>179</v>
      </c>
      <c r="R56" t="s">
        <v>192</v>
      </c>
      <c r="S56" t="s">
        <v>193</v>
      </c>
      <c r="T56">
        <v>0.23662570987936674</v>
      </c>
    </row>
    <row r="57" spans="2:20" x14ac:dyDescent="0.45">
      <c r="B57" t="s">
        <v>162</v>
      </c>
      <c r="C57" t="s">
        <v>31</v>
      </c>
      <c r="D57">
        <v>0.48326951785328487</v>
      </c>
      <c r="N57" t="s">
        <v>162</v>
      </c>
      <c r="O57">
        <v>0.15175789297489192</v>
      </c>
      <c r="Q57" t="s">
        <v>180</v>
      </c>
      <c r="R57" t="s">
        <v>192</v>
      </c>
      <c r="S57" t="s">
        <v>193</v>
      </c>
      <c r="T57">
        <v>0.1583153713439035</v>
      </c>
    </row>
    <row r="58" spans="2:20" x14ac:dyDescent="0.45">
      <c r="B58" t="s">
        <v>163</v>
      </c>
      <c r="C58" t="s">
        <v>31</v>
      </c>
      <c r="D58">
        <v>0.41319179813339596</v>
      </c>
      <c r="N58" t="s">
        <v>163</v>
      </c>
      <c r="O58">
        <v>0.17793261062891061</v>
      </c>
      <c r="Q58" t="s">
        <v>181</v>
      </c>
      <c r="R58" t="s">
        <v>192</v>
      </c>
      <c r="S58" t="s">
        <v>193</v>
      </c>
      <c r="T58">
        <v>0.24265197277047346</v>
      </c>
    </row>
    <row r="59" spans="2:20" x14ac:dyDescent="0.45">
      <c r="B59" t="s">
        <v>164</v>
      </c>
      <c r="C59" t="s">
        <v>31</v>
      </c>
      <c r="D59">
        <v>0.41016103493344774</v>
      </c>
      <c r="N59" t="s">
        <v>164</v>
      </c>
      <c r="O59">
        <v>0.18655732941430192</v>
      </c>
      <c r="Q59" t="s">
        <v>182</v>
      </c>
      <c r="R59" t="s">
        <v>192</v>
      </c>
      <c r="S59" t="s">
        <v>193</v>
      </c>
      <c r="T59">
        <v>0.20730326722169853</v>
      </c>
    </row>
    <row r="60" spans="2:20" x14ac:dyDescent="0.45">
      <c r="B60" t="s">
        <v>165</v>
      </c>
      <c r="C60" t="s">
        <v>31</v>
      </c>
      <c r="D60">
        <v>0.50405256128192077</v>
      </c>
      <c r="N60" t="s">
        <v>165</v>
      </c>
      <c r="O60">
        <v>0.13710589518228108</v>
      </c>
      <c r="Q60" t="s">
        <v>183</v>
      </c>
      <c r="R60" t="s">
        <v>192</v>
      </c>
      <c r="S60" t="s">
        <v>193</v>
      </c>
      <c r="T60">
        <v>0.19775490648009</v>
      </c>
    </row>
    <row r="61" spans="2:20" x14ac:dyDescent="0.45">
      <c r="B61" t="s">
        <v>166</v>
      </c>
      <c r="C61" t="s">
        <v>31</v>
      </c>
      <c r="D61">
        <v>0.52914153036135769</v>
      </c>
      <c r="N61" t="s">
        <v>166</v>
      </c>
      <c r="O61">
        <v>0.10263667108874495</v>
      </c>
      <c r="Q61" t="s">
        <v>184</v>
      </c>
      <c r="R61" t="s">
        <v>192</v>
      </c>
      <c r="S61" t="s">
        <v>193</v>
      </c>
      <c r="T61">
        <v>8.1107030707579658E-2</v>
      </c>
    </row>
    <row r="62" spans="2:20" x14ac:dyDescent="0.45">
      <c r="B62" t="s">
        <v>167</v>
      </c>
      <c r="C62" t="s">
        <v>31</v>
      </c>
      <c r="D62">
        <v>0.52674223970188372</v>
      </c>
      <c r="N62" t="s">
        <v>167</v>
      </c>
      <c r="O62">
        <v>0.11260692462824054</v>
      </c>
      <c r="Q62" t="s">
        <v>142</v>
      </c>
      <c r="R62" t="s">
        <v>192</v>
      </c>
      <c r="S62" t="s">
        <v>193</v>
      </c>
      <c r="T62">
        <v>0.29056329436645667</v>
      </c>
    </row>
    <row r="63" spans="2:20" x14ac:dyDescent="0.45">
      <c r="B63" t="s">
        <v>168</v>
      </c>
      <c r="C63" t="s">
        <v>31</v>
      </c>
      <c r="D63">
        <v>0.45604983086108697</v>
      </c>
      <c r="N63" t="s">
        <v>168</v>
      </c>
      <c r="O63">
        <v>0.18141509257551264</v>
      </c>
      <c r="Q63" t="s">
        <v>143</v>
      </c>
      <c r="R63" t="s">
        <v>192</v>
      </c>
      <c r="S63" t="s">
        <v>193</v>
      </c>
      <c r="T63">
        <v>0.28128275358811183</v>
      </c>
    </row>
    <row r="64" spans="2:20" x14ac:dyDescent="0.45">
      <c r="B64" t="s">
        <v>169</v>
      </c>
      <c r="C64" t="s">
        <v>31</v>
      </c>
      <c r="D64">
        <v>0.49031993676294178</v>
      </c>
      <c r="N64" t="s">
        <v>169</v>
      </c>
      <c r="O64">
        <v>0.16305357809940324</v>
      </c>
      <c r="Q64" t="s">
        <v>144</v>
      </c>
      <c r="R64" t="s">
        <v>192</v>
      </c>
      <c r="S64" t="s">
        <v>193</v>
      </c>
      <c r="T64">
        <v>0.26479826600830653</v>
      </c>
    </row>
    <row r="65" spans="2:20" x14ac:dyDescent="0.45">
      <c r="B65" t="s">
        <v>170</v>
      </c>
      <c r="C65" t="s">
        <v>31</v>
      </c>
      <c r="D65">
        <v>0.47889622889945083</v>
      </c>
      <c r="N65" t="s">
        <v>170</v>
      </c>
      <c r="O65">
        <v>0.12687456604553221</v>
      </c>
      <c r="Q65" t="s">
        <v>145</v>
      </c>
      <c r="R65" t="s">
        <v>192</v>
      </c>
      <c r="S65" t="s">
        <v>193</v>
      </c>
      <c r="T65">
        <v>0.29494981886450361</v>
      </c>
    </row>
    <row r="66" spans="2:20" x14ac:dyDescent="0.45">
      <c r="B66" t="s">
        <v>171</v>
      </c>
      <c r="C66" t="s">
        <v>31</v>
      </c>
      <c r="D66">
        <v>0.44221476702319928</v>
      </c>
      <c r="N66" t="s">
        <v>171</v>
      </c>
      <c r="O66">
        <v>0.20523004995010369</v>
      </c>
      <c r="Q66" t="s">
        <v>146</v>
      </c>
      <c r="R66" t="s">
        <v>192</v>
      </c>
      <c r="S66" t="s">
        <v>193</v>
      </c>
      <c r="T66">
        <v>0.24718470532165943</v>
      </c>
    </row>
    <row r="67" spans="2:20" x14ac:dyDescent="0.45">
      <c r="B67" t="s">
        <v>172</v>
      </c>
      <c r="C67" t="s">
        <v>31</v>
      </c>
      <c r="D67">
        <v>0.35143490246562537</v>
      </c>
      <c r="N67" t="s">
        <v>172</v>
      </c>
      <c r="O67">
        <v>0.37647854224061006</v>
      </c>
      <c r="Q67" t="s">
        <v>147</v>
      </c>
      <c r="R67" t="s">
        <v>192</v>
      </c>
      <c r="S67" t="s">
        <v>193</v>
      </c>
      <c r="T67">
        <v>0.20644226225357706</v>
      </c>
    </row>
    <row r="68" spans="2:20" x14ac:dyDescent="0.45">
      <c r="B68" t="s">
        <v>173</v>
      </c>
      <c r="C68" t="s">
        <v>31</v>
      </c>
      <c r="D68">
        <v>0.40505570927453249</v>
      </c>
      <c r="N68" t="s">
        <v>173</v>
      </c>
      <c r="O68">
        <v>0.24094492130543532</v>
      </c>
      <c r="Q68" t="s">
        <v>148</v>
      </c>
      <c r="R68" t="s">
        <v>192</v>
      </c>
      <c r="S68" t="s">
        <v>193</v>
      </c>
      <c r="T68">
        <v>0.3532541377775445</v>
      </c>
    </row>
    <row r="69" spans="2:20" x14ac:dyDescent="0.45">
      <c r="B69" t="s">
        <v>174</v>
      </c>
      <c r="C69" t="s">
        <v>31</v>
      </c>
      <c r="D69">
        <v>0.59467225898939191</v>
      </c>
      <c r="N69" t="s">
        <v>174</v>
      </c>
      <c r="O69">
        <v>0.10534484422881239</v>
      </c>
      <c r="Q69" t="s">
        <v>149</v>
      </c>
      <c r="R69" t="s">
        <v>192</v>
      </c>
      <c r="S69" t="s">
        <v>193</v>
      </c>
      <c r="T69">
        <v>0.27934176048110698</v>
      </c>
    </row>
    <row r="70" spans="2:20" x14ac:dyDescent="0.45">
      <c r="B70" t="s">
        <v>175</v>
      </c>
      <c r="C70" t="s">
        <v>31</v>
      </c>
      <c r="D70">
        <v>0.53380738929971172</v>
      </c>
      <c r="N70" t="s">
        <v>175</v>
      </c>
      <c r="O70">
        <v>0.22767426821831827</v>
      </c>
      <c r="Q70" t="s">
        <v>150</v>
      </c>
      <c r="R70" t="s">
        <v>192</v>
      </c>
      <c r="S70" t="s">
        <v>193</v>
      </c>
      <c r="T70">
        <v>0.3198316745240703</v>
      </c>
    </row>
    <row r="71" spans="2:20" x14ac:dyDescent="0.45">
      <c r="B71" t="s">
        <v>176</v>
      </c>
      <c r="C71" t="s">
        <v>31</v>
      </c>
      <c r="D71">
        <v>0.46794113247904967</v>
      </c>
      <c r="N71" t="s">
        <v>176</v>
      </c>
      <c r="O71">
        <v>0.19984192503497555</v>
      </c>
      <c r="Q71" t="s">
        <v>151</v>
      </c>
      <c r="R71" t="s">
        <v>192</v>
      </c>
      <c r="S71" t="s">
        <v>193</v>
      </c>
      <c r="T71">
        <v>0.38765579955191548</v>
      </c>
    </row>
    <row r="72" spans="2:20" x14ac:dyDescent="0.45">
      <c r="B72" t="s">
        <v>177</v>
      </c>
      <c r="C72" t="s">
        <v>31</v>
      </c>
      <c r="D72">
        <v>0.52896690513253752</v>
      </c>
      <c r="N72" t="s">
        <v>177</v>
      </c>
      <c r="O72">
        <v>0.16623078709058012</v>
      </c>
      <c r="Q72" t="s">
        <v>152</v>
      </c>
      <c r="R72" t="s">
        <v>192</v>
      </c>
      <c r="S72" t="s">
        <v>193</v>
      </c>
      <c r="T72">
        <v>0.25128397140829017</v>
      </c>
    </row>
    <row r="73" spans="2:20" x14ac:dyDescent="0.45">
      <c r="B73" t="s">
        <v>178</v>
      </c>
      <c r="C73" t="s">
        <v>31</v>
      </c>
      <c r="D73">
        <v>0.49418395705660045</v>
      </c>
      <c r="N73" t="s">
        <v>178</v>
      </c>
      <c r="O73">
        <v>0.14625994356145022</v>
      </c>
      <c r="Q73" t="s">
        <v>153</v>
      </c>
      <c r="R73" t="s">
        <v>192</v>
      </c>
      <c r="S73" t="s">
        <v>193</v>
      </c>
      <c r="T73">
        <v>0.38435126115209228</v>
      </c>
    </row>
    <row r="74" spans="2:20" x14ac:dyDescent="0.45">
      <c r="B74" t="s">
        <v>179</v>
      </c>
      <c r="C74" t="s">
        <v>31</v>
      </c>
      <c r="D74">
        <v>0.50888654506837339</v>
      </c>
      <c r="N74" t="s">
        <v>179</v>
      </c>
      <c r="O74">
        <v>0.23662570987936674</v>
      </c>
      <c r="Q74" t="s">
        <v>154</v>
      </c>
      <c r="R74" t="s">
        <v>192</v>
      </c>
      <c r="S74" t="s">
        <v>193</v>
      </c>
      <c r="T74">
        <v>0.29100800244878411</v>
      </c>
    </row>
    <row r="75" spans="2:20" x14ac:dyDescent="0.45">
      <c r="B75" t="s">
        <v>180</v>
      </c>
      <c r="C75" t="s">
        <v>31</v>
      </c>
      <c r="D75">
        <v>0.58080267965787757</v>
      </c>
      <c r="N75" t="s">
        <v>180</v>
      </c>
      <c r="O75">
        <v>0.1583153713439035</v>
      </c>
      <c r="Q75" t="s">
        <v>155</v>
      </c>
      <c r="R75" t="s">
        <v>192</v>
      </c>
      <c r="S75" t="s">
        <v>193</v>
      </c>
      <c r="T75">
        <v>0.31508394092041137</v>
      </c>
    </row>
    <row r="76" spans="2:20" x14ac:dyDescent="0.45">
      <c r="B76" t="s">
        <v>181</v>
      </c>
      <c r="C76" t="s">
        <v>31</v>
      </c>
      <c r="D76">
        <v>0.43603066992492906</v>
      </c>
      <c r="N76" t="s">
        <v>181</v>
      </c>
      <c r="O76">
        <v>0.24265197277047346</v>
      </c>
      <c r="Q76" t="s">
        <v>156</v>
      </c>
      <c r="R76" t="s">
        <v>192</v>
      </c>
      <c r="S76" t="s">
        <v>193</v>
      </c>
      <c r="T76">
        <v>0.49087910650217742</v>
      </c>
    </row>
    <row r="77" spans="2:20" x14ac:dyDescent="0.45">
      <c r="B77" t="s">
        <v>182</v>
      </c>
      <c r="C77" t="s">
        <v>31</v>
      </c>
      <c r="D77">
        <v>0.4300687931515243</v>
      </c>
      <c r="N77" t="s">
        <v>182</v>
      </c>
      <c r="O77">
        <v>0.20730326722169853</v>
      </c>
      <c r="Q77" t="s">
        <v>157</v>
      </c>
      <c r="R77" t="s">
        <v>192</v>
      </c>
      <c r="S77" t="s">
        <v>193</v>
      </c>
      <c r="T77">
        <v>0.48306366664329209</v>
      </c>
    </row>
    <row r="78" spans="2:20" x14ac:dyDescent="0.45">
      <c r="B78" t="s">
        <v>183</v>
      </c>
      <c r="C78" t="s">
        <v>31</v>
      </c>
      <c r="D78">
        <v>0.48238306009186266</v>
      </c>
      <c r="N78" t="s">
        <v>183</v>
      </c>
      <c r="O78">
        <v>0.19775490648009</v>
      </c>
      <c r="Q78" t="s">
        <v>158</v>
      </c>
      <c r="R78" t="s">
        <v>192</v>
      </c>
      <c r="S78" t="s">
        <v>193</v>
      </c>
      <c r="T78">
        <v>0.37266661062552586</v>
      </c>
    </row>
    <row r="79" spans="2:20" x14ac:dyDescent="0.45">
      <c r="B79" t="s">
        <v>184</v>
      </c>
      <c r="C79" t="s">
        <v>31</v>
      </c>
      <c r="D79">
        <v>0.59014483423412334</v>
      </c>
      <c r="N79" t="s">
        <v>184</v>
      </c>
      <c r="O79">
        <v>8.1107030707579658E-2</v>
      </c>
      <c r="Q79" t="s">
        <v>159</v>
      </c>
      <c r="R79" t="s">
        <v>192</v>
      </c>
      <c r="S79" t="s">
        <v>193</v>
      </c>
      <c r="T79">
        <v>0.55783499763864985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18C0F-9CCA-46DD-949C-EA1E0443E16E}">
  <dimension ref="B9:E11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194</v>
      </c>
      <c r="C10" t="s">
        <v>43</v>
      </c>
      <c r="D10" t="s">
        <v>42</v>
      </c>
      <c r="E10" t="s">
        <v>41</v>
      </c>
    </row>
    <row r="11" spans="2:5" x14ac:dyDescent="0.45">
      <c r="B11">
        <v>1</v>
      </c>
      <c r="C11">
        <v>1.0000000000000002</v>
      </c>
      <c r="D11" t="s">
        <v>46</v>
      </c>
      <c r="E11" t="s">
        <v>195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A76F3-61C0-4C95-BBF2-062D1C3862C6}">
  <dimension ref="B9:D12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41</v>
      </c>
      <c r="C10" t="s">
        <v>42</v>
      </c>
      <c r="D10" t="s">
        <v>43</v>
      </c>
    </row>
    <row r="11" spans="2:4" x14ac:dyDescent="0.45">
      <c r="B11" t="s">
        <v>199</v>
      </c>
      <c r="C11" t="s">
        <v>46</v>
      </c>
      <c r="D11">
        <v>1</v>
      </c>
    </row>
    <row r="12" spans="2:4" x14ac:dyDescent="0.45">
      <c r="B12" t="s">
        <v>200</v>
      </c>
      <c r="C12" t="s">
        <v>46</v>
      </c>
      <c r="D12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8B1F4-B68E-4FC5-AC96-B6059E44B0C6}">
  <dimension ref="B9:D11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41</v>
      </c>
      <c r="C10" t="s">
        <v>42</v>
      </c>
      <c r="D10" t="s">
        <v>201</v>
      </c>
    </row>
    <row r="11" spans="2:4" x14ac:dyDescent="0.45">
      <c r="B11" t="s">
        <v>12</v>
      </c>
      <c r="C11" t="s">
        <v>46</v>
      </c>
      <c r="D11">
        <v>0.26210397623633352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1EBCB-81D9-463A-A641-E90F47365967}">
  <dimension ref="B9:E13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202</v>
      </c>
      <c r="C10" t="s">
        <v>42</v>
      </c>
      <c r="D10" t="s">
        <v>203</v>
      </c>
      <c r="E10" t="s">
        <v>204</v>
      </c>
    </row>
    <row r="11" spans="2:5" x14ac:dyDescent="0.45">
      <c r="B11">
        <v>2020</v>
      </c>
      <c r="C11" t="s">
        <v>37</v>
      </c>
      <c r="D11">
        <v>0.22845000000000001</v>
      </c>
      <c r="E11" t="s">
        <v>205</v>
      </c>
    </row>
    <row r="12" spans="2:5" x14ac:dyDescent="0.45">
      <c r="B12">
        <v>2021</v>
      </c>
      <c r="C12" t="s">
        <v>37</v>
      </c>
      <c r="D12">
        <v>0.22317500000000001</v>
      </c>
      <c r="E12" t="s">
        <v>205</v>
      </c>
    </row>
    <row r="13" spans="2:5" x14ac:dyDescent="0.45">
      <c r="B13">
        <v>2022</v>
      </c>
      <c r="C13" t="s">
        <v>37</v>
      </c>
      <c r="D13">
        <v>0.14806666666666668</v>
      </c>
      <c r="E13" t="s">
        <v>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2026-07-09T08:01:55Z</dcterms:modified>
</cp:coreProperties>
</file>