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13_ncr:1_{543106C5-93BD-4031-B1C4-F7481C80967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N15" i="1"/>
  <c r="Y23" i="1" s="1"/>
  <c r="J15" i="1"/>
  <c r="U23" i="1" s="1"/>
  <c r="M15" i="1"/>
  <c r="X23" i="1" s="1"/>
  <c r="L15" i="1"/>
  <c r="W23" i="1" s="1"/>
  <c r="K15" i="1"/>
  <c r="V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<sst xmlns="http://schemas.openxmlformats.org/spreadsheetml/2006/main" count="1727" uniqueCount="126">
  <si>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</si>
  <si>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</si>
  <si>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</si>
  <si>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</si>
  <si>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</si>
  <si>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</si>
  <si>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</si>
  <si>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</si>
  <si>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</si>
  <si>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</si>
  <si>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</si>
  <si>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</si>
  <si>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</si>
  <si>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</si>
  <si>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</si>
  <si>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</si>
  <si>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</si>
  <si>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</si>
  <si>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</si>
  <si>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</si>
  <si>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</si>
  <si>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</si>
  <si>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</si>
  <si>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</si>
  <si>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</si>
  <si>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</si>
  <si>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</si>
  <si>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</si>
  <si>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</si>
  <si>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</si>
  <si>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</si>
  <si>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</si>
  <si>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</si>
  <si>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</si>
  <si>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</si>
  <si>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</si>
  <si>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</si>
  <si>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</si>
  <si>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</si>
  <si>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</si>
  <si>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</si>
  <si>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</si>
  <si>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</si>
  <si>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</si>
  <si>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</si>
  <si>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</si>
  <si>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</si>
  <si>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</si>
  <si>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</si>
  <si>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</si>
  <si>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</si>
  <si>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</si>
  <si>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</si>
  <si>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</si>
  <si>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</si>
  <si>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</si>
  <si>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</si>
  <si>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</si>
  <si>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</si>
  <si>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</si>
  <si>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</si>
  <si>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</si>
  <si>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</si>
  <si>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</si>
  <si>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</si>
  <si>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</si>
  <si>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</si>
  <si>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</si>
  <si>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</si>
  <si>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</si>
  <si>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</si>
  <si>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</si>
  <si>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</si>
  <si>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</si>
  <si>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</si>
  <si>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</si>
  <si>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</si>
  <si>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</si>
  <si>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</si>
  <si>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</si>
  <si>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</si>
  <si>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</si>
  <si>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</si>
  <si>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</si>
  <si>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</si>
  <si>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</si>
  <si>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</si>
  <si>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</si>
  <si>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</si>
  <si>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</si>
  <si>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</si>
  <si>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</si>
  <si>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</si>
  <si>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</si>
  <si>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</si>
  <si>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</si>
  <si>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</si>
  <si>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</si>
  <si>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</si>
  <si>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</si>
  <si>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</si>
  <si>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</si>
  <si>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</si>
  <si>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</si>
  <si>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</si>
  <si>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</si>
  <si>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</si>
  <si>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</si>
  <si>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</si>
  <si>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</si>
  <si>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</si>
  <si>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</si>
  <si>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</si>
  <si>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</si>
  <si>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</si>
  <si>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</si>
  <si>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</si>
  <si>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</si>
  <si>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</si>
  <si>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</si>
  <si>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</si>
  <si>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</si>
  <si>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</si>
  <si>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</si>
  <si>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ESP</t>
  </si>
  <si>
    <t>Iberian market, olive &amp; agricultural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</si>
</sst>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268.14</c:v>
                </c:pt>
                <c:pt idx="1">
                  <c:v>281.54700000000003</c:v>
                </c:pt>
                <c:pt idx="2">
                  <c:v>313.72379999999998</c:v>
                </c:pt>
                <c:pt idx="3">
                  <c:v>345.9006</c:v>
                </c:pt>
                <c:pt idx="4">
                  <c:v>380.75879999999995</c:v>
                </c:pt>
                <c:pt idx="5">
                  <c:v>426.3426</c:v>
                </c:pt>
                <c:pt idx="6">
                  <c:v>463.88219999999995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268.14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268.14</v>
      </c>
      <c r="U14" s="8">
        <f t="shared" ref="U14:Z14" si="4">$S$11*J14</f>
        <v>281.54700000000003</v>
      </c>
      <c r="V14" s="8">
        <f t="shared" si="4"/>
        <v>313.72379999999998</v>
      </c>
      <c r="W14" s="8">
        <f t="shared" si="4"/>
        <v>345.9006</v>
      </c>
      <c r="X14" s="8">
        <f t="shared" si="4"/>
        <v>380.75879999999995</v>
      </c>
      <c r="Y14" s="8">
        <f t="shared" si="4"/>
        <v>426.3426</v>
      </c>
      <c r="Z14" s="8">
        <f t="shared" si="4"/>
        <v>463.88219999999995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99.211799999999997</v>
      </c>
      <c r="U19" s="6">
        <f t="shared" si="7"/>
        <v>98.541449999999998</v>
      </c>
      <c r="V19" s="6">
        <f t="shared" si="7"/>
        <v>106.66609200000001</v>
      </c>
      <c r="W19" s="6">
        <f t="shared" si="7"/>
        <v>114.147198</v>
      </c>
      <c r="X19" s="6">
        <f t="shared" si="7"/>
        <v>114.22763999999998</v>
      </c>
      <c r="Y19" s="6">
        <f t="shared" si="7"/>
        <v>123.639354</v>
      </c>
      <c r="Z19" s="6">
        <f t="shared" si="7"/>
        <v>139.16465999999997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158.20259999999999</v>
      </c>
      <c r="U20" s="6">
        <f t="shared" si="7"/>
        <v>166.11273</v>
      </c>
      <c r="V20" s="6">
        <f t="shared" si="7"/>
        <v>185.09704199999999</v>
      </c>
      <c r="W20" s="6">
        <f t="shared" si="7"/>
        <v>200.62234799999999</v>
      </c>
      <c r="X20" s="6">
        <f t="shared" si="7"/>
        <v>220.84010399999997</v>
      </c>
      <c r="Y20" s="6">
        <f t="shared" si="7"/>
        <v>238.75185600000003</v>
      </c>
      <c r="Z20" s="6">
        <f t="shared" si="7"/>
        <v>250.496388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8.0442</v>
      </c>
      <c r="U21" s="6">
        <f t="shared" ref="U21:Z21" si="8">T21</f>
        <v>8.0442</v>
      </c>
      <c r="V21" s="6">
        <f t="shared" si="8"/>
        <v>8.0442</v>
      </c>
      <c r="W21" s="6">
        <f t="shared" si="8"/>
        <v>8.0442</v>
      </c>
      <c r="X21" s="6">
        <f t="shared" si="8"/>
        <v>8.0442</v>
      </c>
      <c r="Y21" s="6">
        <f t="shared" si="8"/>
        <v>8.0442</v>
      </c>
      <c r="Z21" s="6">
        <f t="shared" si="8"/>
        <v>8.0442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2.6813999999999965</v>
      </c>
      <c r="U22" s="6">
        <f t="shared" si="9"/>
        <v>8.8486200000000395</v>
      </c>
      <c r="V22" s="6">
        <f t="shared" si="9"/>
        <v>13.916466000000014</v>
      </c>
      <c r="W22" s="6">
        <f t="shared" si="9"/>
        <v>23.086854000000017</v>
      </c>
      <c r="X22" s="6">
        <f t="shared" si="9"/>
        <v>37.646856000000014</v>
      </c>
      <c r="Y22" s="6">
        <f t="shared" si="9"/>
        <v>55.907190000000014</v>
      </c>
      <c r="Z22" s="6">
        <f t="shared" si="9"/>
        <v>66.176952000000028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8.0299999999999994</v>
      </c>
      <c r="S28" t="s">
        <v>31</v>
      </c>
      <c r="T28" s="3">
        <f>Q28</f>
        <v>8.0299999999999994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-27.83</v>
      </c>
      <c r="S29" t="s">
        <v>34</v>
      </c>
      <c r="T29" s="3">
        <f>-1*Q29</f>
        <v>27.83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55</v>
      </c>
      <c r="J47">
        <f t="shared" si="13"/>
        <v>55.55</v>
      </c>
      <c r="K47">
        <f t="shared" si="13"/>
        <v>61.050000000000004</v>
      </c>
      <c r="L47">
        <f t="shared" si="13"/>
        <v>55.55</v>
      </c>
      <c r="M47">
        <f t="shared" si="13"/>
        <v>55.55</v>
      </c>
      <c r="N47">
        <f t="shared" si="13"/>
        <v>57.2</v>
      </c>
      <c r="O47">
        <f t="shared" si="13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28</v>
      </c>
      <c r="O48">
        <f>VLOOKUP($H$14,$AK$9:$AM$15,3,FALSE)*I48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6.68</v>
      </c>
      <c r="D91">
        <v>10.1</v>
      </c>
      <c r="E91">
        <v>12.25</v>
      </c>
      <c r="F91" t="s">
        <v>120</v>
      </c>
    </row>
    <row r="92" spans="1:6" x14ac:dyDescent="0.45">
      <c r="A92" t="s">
        <v>31</v>
      </c>
      <c r="B92" t="s">
        <v>119</v>
      </c>
      <c r="C92">
        <v>0</v>
      </c>
      <c r="D92">
        <v>0</v>
      </c>
      <c r="E92">
        <v>0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29.1</v>
      </c>
      <c r="C11">
        <v>41.1</v>
      </c>
      <c r="D11">
        <v>13.7</v>
      </c>
      <c r="E11">
        <v>16.7</v>
      </c>
      <c r="F11">
        <v>50</v>
      </c>
      <c r="G11">
        <v>60</v>
      </c>
      <c r="H11">
        <v>24</v>
      </c>
      <c r="I11">
        <v>32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120.48</v>
      </c>
      <c r="D11">
        <v>98.66</v>
      </c>
      <c r="E11">
        <v>2.4700000000000002</v>
      </c>
      <c r="F11">
        <v>0</v>
      </c>
      <c r="G11">
        <v>12.27</v>
      </c>
      <c r="H11">
        <v>-7.83</v>
      </c>
      <c r="I11">
        <v>220.92</v>
      </c>
      <c r="J11">
        <v>0</v>
      </c>
      <c r="K11">
        <v>0</v>
      </c>
    </row>
    <row r="12" spans="1:11" x14ac:dyDescent="0.45">
      <c r="A12" t="s">
        <v>124</v>
      </c>
      <c r="B12">
        <v>2001</v>
      </c>
      <c r="C12">
        <v>124.1</v>
      </c>
      <c r="D12">
        <v>106.13</v>
      </c>
      <c r="E12">
        <v>2.82</v>
      </c>
      <c r="F12">
        <v>0</v>
      </c>
      <c r="G12">
        <v>10.18</v>
      </c>
      <c r="H12">
        <v>-6.73</v>
      </c>
      <c r="I12">
        <v>233.06</v>
      </c>
      <c r="J12">
        <v>0</v>
      </c>
      <c r="K12">
        <v>0</v>
      </c>
    </row>
    <row r="13" spans="1:11" x14ac:dyDescent="0.45">
      <c r="A13" t="s">
        <v>124</v>
      </c>
      <c r="B13">
        <v>2002</v>
      </c>
      <c r="C13">
        <v>128.47</v>
      </c>
      <c r="D13">
        <v>108.85</v>
      </c>
      <c r="E13">
        <v>3.14</v>
      </c>
      <c r="F13">
        <v>0</v>
      </c>
      <c r="G13">
        <v>12.5</v>
      </c>
      <c r="H13">
        <v>-7.18</v>
      </c>
      <c r="I13">
        <v>239.9</v>
      </c>
      <c r="J13">
        <v>0</v>
      </c>
      <c r="K13">
        <v>0</v>
      </c>
    </row>
    <row r="14" spans="1:11" x14ac:dyDescent="0.45">
      <c r="A14" t="s">
        <v>124</v>
      </c>
      <c r="B14">
        <v>2003</v>
      </c>
      <c r="C14">
        <v>134.29</v>
      </c>
      <c r="D14">
        <v>116.52</v>
      </c>
      <c r="E14">
        <v>3.33</v>
      </c>
      <c r="F14">
        <v>0</v>
      </c>
      <c r="G14">
        <v>9.52</v>
      </c>
      <c r="H14">
        <v>-8.26</v>
      </c>
      <c r="I14">
        <v>257.29000000000002</v>
      </c>
      <c r="J14">
        <v>0</v>
      </c>
      <c r="K14">
        <v>0</v>
      </c>
    </row>
    <row r="15" spans="1:11" x14ac:dyDescent="0.45">
      <c r="A15" t="s">
        <v>124</v>
      </c>
      <c r="B15">
        <v>2004</v>
      </c>
      <c r="C15">
        <v>141.74</v>
      </c>
      <c r="D15">
        <v>123.91</v>
      </c>
      <c r="E15">
        <v>3.4</v>
      </c>
      <c r="F15">
        <v>0</v>
      </c>
      <c r="G15">
        <v>8.11</v>
      </c>
      <c r="H15">
        <v>-11.14</v>
      </c>
      <c r="I15">
        <v>276.62</v>
      </c>
      <c r="J15">
        <v>0</v>
      </c>
      <c r="K15">
        <v>0</v>
      </c>
    </row>
    <row r="16" spans="1:11" x14ac:dyDescent="0.45">
      <c r="A16" t="s">
        <v>124</v>
      </c>
      <c r="B16">
        <v>2005</v>
      </c>
      <c r="C16">
        <v>147.86000000000001</v>
      </c>
      <c r="D16">
        <v>131.69999999999999</v>
      </c>
      <c r="E16">
        <v>3.65</v>
      </c>
      <c r="F16">
        <v>0</v>
      </c>
      <c r="G16">
        <v>10.210000000000001</v>
      </c>
      <c r="H16">
        <v>-11.56</v>
      </c>
      <c r="I16">
        <v>289.45</v>
      </c>
      <c r="J16">
        <v>0</v>
      </c>
      <c r="K16">
        <v>0</v>
      </c>
    </row>
    <row r="17" spans="1:11" x14ac:dyDescent="0.45">
      <c r="A17" t="s">
        <v>124</v>
      </c>
      <c r="B17">
        <v>2006</v>
      </c>
      <c r="C17">
        <v>134.46</v>
      </c>
      <c r="D17">
        <v>146.82</v>
      </c>
      <c r="E17">
        <v>2.44</v>
      </c>
      <c r="F17">
        <v>0</v>
      </c>
      <c r="G17">
        <v>9.09</v>
      </c>
      <c r="H17">
        <v>-12.37</v>
      </c>
      <c r="I17">
        <v>295.58999999999997</v>
      </c>
      <c r="J17">
        <v>0</v>
      </c>
      <c r="K17">
        <v>0</v>
      </c>
    </row>
    <row r="18" spans="1:11" x14ac:dyDescent="0.45">
      <c r="A18" t="s">
        <v>124</v>
      </c>
      <c r="B18">
        <v>2007</v>
      </c>
      <c r="C18">
        <v>138.57</v>
      </c>
      <c r="D18">
        <v>148.02000000000001</v>
      </c>
      <c r="E18">
        <v>2.72</v>
      </c>
      <c r="F18">
        <v>0</v>
      </c>
      <c r="G18">
        <v>8.77</v>
      </c>
      <c r="H18">
        <v>-14.52</v>
      </c>
      <c r="I18">
        <v>301.85000000000002</v>
      </c>
      <c r="J18">
        <v>0</v>
      </c>
      <c r="K18">
        <v>0</v>
      </c>
    </row>
    <row r="19" spans="1:11" x14ac:dyDescent="0.45">
      <c r="A19" t="s">
        <v>124</v>
      </c>
      <c r="B19">
        <v>2008</v>
      </c>
      <c r="C19">
        <v>136.16999999999999</v>
      </c>
      <c r="D19">
        <v>154.93</v>
      </c>
      <c r="E19">
        <v>2.98</v>
      </c>
      <c r="F19">
        <v>0</v>
      </c>
      <c r="G19">
        <v>5.88</v>
      </c>
      <c r="H19">
        <v>-16.920000000000002</v>
      </c>
      <c r="I19">
        <v>310.98</v>
      </c>
      <c r="J19">
        <v>0</v>
      </c>
      <c r="K19">
        <v>0</v>
      </c>
    </row>
    <row r="20" spans="1:11" x14ac:dyDescent="0.45">
      <c r="A20" t="s">
        <v>124</v>
      </c>
      <c r="B20">
        <v>2009</v>
      </c>
      <c r="C20">
        <v>115.66</v>
      </c>
      <c r="D20">
        <v>157.91999999999999</v>
      </c>
      <c r="E20">
        <v>2.86</v>
      </c>
      <c r="F20">
        <v>0</v>
      </c>
      <c r="G20">
        <v>6.75</v>
      </c>
      <c r="H20">
        <v>-14.86</v>
      </c>
      <c r="I20">
        <v>291.87</v>
      </c>
      <c r="J20">
        <v>0</v>
      </c>
      <c r="K20">
        <v>0</v>
      </c>
    </row>
    <row r="21" spans="1:11" x14ac:dyDescent="0.45">
      <c r="A21" t="s">
        <v>124</v>
      </c>
      <c r="B21">
        <v>2010</v>
      </c>
      <c r="C21">
        <v>115.14</v>
      </c>
      <c r="D21">
        <v>163.72</v>
      </c>
      <c r="E21">
        <v>3.06</v>
      </c>
      <c r="F21">
        <v>0</v>
      </c>
      <c r="G21">
        <v>5.21</v>
      </c>
      <c r="H21">
        <v>-13.54</v>
      </c>
      <c r="I21">
        <v>298.32</v>
      </c>
      <c r="J21">
        <v>0</v>
      </c>
      <c r="K21">
        <v>0</v>
      </c>
    </row>
    <row r="22" spans="1:11" x14ac:dyDescent="0.45">
      <c r="A22" t="s">
        <v>124</v>
      </c>
      <c r="B22">
        <v>2011</v>
      </c>
      <c r="C22">
        <v>113.78</v>
      </c>
      <c r="D22">
        <v>161.99</v>
      </c>
      <c r="E22">
        <v>3.73</v>
      </c>
      <c r="F22">
        <v>0</v>
      </c>
      <c r="G22">
        <v>7.93</v>
      </c>
      <c r="H22">
        <v>-14.02</v>
      </c>
      <c r="I22">
        <v>291.52999999999997</v>
      </c>
      <c r="J22">
        <v>0</v>
      </c>
      <c r="K22">
        <v>0</v>
      </c>
    </row>
    <row r="23" spans="1:11" x14ac:dyDescent="0.45">
      <c r="A23" t="s">
        <v>124</v>
      </c>
      <c r="B23">
        <v>2012</v>
      </c>
      <c r="C23">
        <v>112.83</v>
      </c>
      <c r="D23">
        <v>159.84</v>
      </c>
      <c r="E23">
        <v>3.64</v>
      </c>
      <c r="F23">
        <v>0</v>
      </c>
      <c r="G23">
        <v>7.79</v>
      </c>
      <c r="H23">
        <v>-18.989999999999998</v>
      </c>
      <c r="I23">
        <v>293.94</v>
      </c>
      <c r="J23">
        <v>0</v>
      </c>
      <c r="K23">
        <v>0</v>
      </c>
    </row>
    <row r="24" spans="1:11" x14ac:dyDescent="0.45">
      <c r="A24" t="s">
        <v>124</v>
      </c>
      <c r="B24">
        <v>2013</v>
      </c>
      <c r="C24">
        <v>111.04</v>
      </c>
      <c r="D24">
        <v>151.87</v>
      </c>
      <c r="E24">
        <v>3.54</v>
      </c>
      <c r="F24">
        <v>0.02</v>
      </c>
      <c r="G24">
        <v>9.89</v>
      </c>
      <c r="H24">
        <v>-16.64</v>
      </c>
      <c r="I24">
        <v>281.44</v>
      </c>
      <c r="J24">
        <v>0</v>
      </c>
      <c r="K24">
        <v>0</v>
      </c>
    </row>
    <row r="25" spans="1:11" x14ac:dyDescent="0.45">
      <c r="A25" t="s">
        <v>124</v>
      </c>
      <c r="B25">
        <v>2014</v>
      </c>
      <c r="C25">
        <v>113.02</v>
      </c>
      <c r="D25">
        <v>146.44</v>
      </c>
      <c r="E25">
        <v>3.62</v>
      </c>
      <c r="F25">
        <v>0.02</v>
      </c>
      <c r="G25">
        <v>12.31</v>
      </c>
      <c r="H25">
        <v>-15.72</v>
      </c>
      <c r="I25">
        <v>274.95</v>
      </c>
      <c r="J25">
        <v>0</v>
      </c>
      <c r="K25">
        <v>0</v>
      </c>
    </row>
    <row r="26" spans="1:11" x14ac:dyDescent="0.45">
      <c r="A26" t="s">
        <v>124</v>
      </c>
      <c r="B26">
        <v>2015</v>
      </c>
      <c r="C26">
        <v>117.93</v>
      </c>
      <c r="D26">
        <v>150</v>
      </c>
      <c r="E26">
        <v>3.67</v>
      </c>
      <c r="F26">
        <v>0.03</v>
      </c>
      <c r="G26">
        <v>14.96</v>
      </c>
      <c r="H26">
        <v>-15.09</v>
      </c>
      <c r="I26">
        <v>277.68</v>
      </c>
      <c r="J26">
        <v>0</v>
      </c>
      <c r="K26">
        <v>0</v>
      </c>
    </row>
    <row r="27" spans="1:11" x14ac:dyDescent="0.45">
      <c r="A27" t="s">
        <v>124</v>
      </c>
      <c r="B27">
        <v>2016</v>
      </c>
      <c r="C27">
        <v>119.69</v>
      </c>
      <c r="D27">
        <v>149.02000000000001</v>
      </c>
      <c r="E27">
        <v>3.59</v>
      </c>
      <c r="F27">
        <v>0.04</v>
      </c>
      <c r="G27">
        <v>21.84</v>
      </c>
      <c r="H27">
        <v>-14.18</v>
      </c>
      <c r="I27">
        <v>271.3</v>
      </c>
      <c r="J27">
        <v>0</v>
      </c>
      <c r="K27">
        <v>0</v>
      </c>
    </row>
    <row r="28" spans="1:11" x14ac:dyDescent="0.45">
      <c r="A28" t="s">
        <v>124</v>
      </c>
      <c r="B28">
        <v>2017</v>
      </c>
      <c r="C28">
        <v>120.5</v>
      </c>
      <c r="D28">
        <v>152.59</v>
      </c>
      <c r="E28">
        <v>3.65</v>
      </c>
      <c r="F28">
        <v>0.06</v>
      </c>
      <c r="G28">
        <v>23.76</v>
      </c>
      <c r="H28">
        <v>-14.59</v>
      </c>
      <c r="I28">
        <v>272.98</v>
      </c>
      <c r="J28">
        <v>0</v>
      </c>
      <c r="K28">
        <v>0</v>
      </c>
    </row>
    <row r="29" spans="1:11" x14ac:dyDescent="0.45">
      <c r="A29" t="s">
        <v>124</v>
      </c>
      <c r="B29">
        <v>2018</v>
      </c>
      <c r="C29">
        <v>119.61</v>
      </c>
      <c r="D29">
        <v>154.53</v>
      </c>
      <c r="E29">
        <v>3.64</v>
      </c>
      <c r="F29">
        <v>0.11</v>
      </c>
      <c r="G29">
        <v>24.02</v>
      </c>
      <c r="H29">
        <v>-12.92</v>
      </c>
      <c r="I29">
        <v>271.98</v>
      </c>
      <c r="J29">
        <v>0</v>
      </c>
      <c r="K29">
        <v>0</v>
      </c>
    </row>
    <row r="30" spans="1:11" x14ac:dyDescent="0.45">
      <c r="A30" t="s">
        <v>124</v>
      </c>
      <c r="B30">
        <v>2019</v>
      </c>
      <c r="C30">
        <v>115.17</v>
      </c>
      <c r="D30">
        <v>152.97999999999999</v>
      </c>
      <c r="E30">
        <v>3.48</v>
      </c>
      <c r="F30">
        <v>0.16</v>
      </c>
      <c r="G30">
        <v>18.72</v>
      </c>
      <c r="H30">
        <v>-11.86</v>
      </c>
      <c r="I30">
        <v>271.02999999999997</v>
      </c>
      <c r="J30">
        <v>0</v>
      </c>
      <c r="K30">
        <v>0</v>
      </c>
    </row>
    <row r="31" spans="1:11" x14ac:dyDescent="0.45">
      <c r="A31" t="s">
        <v>124</v>
      </c>
      <c r="B31">
        <v>2020</v>
      </c>
      <c r="C31">
        <v>107.98</v>
      </c>
      <c r="D31">
        <v>145.59</v>
      </c>
      <c r="E31">
        <v>2.92</v>
      </c>
      <c r="F31">
        <v>0.2</v>
      </c>
      <c r="G31">
        <v>17.93</v>
      </c>
      <c r="H31">
        <v>-14.65</v>
      </c>
      <c r="I31">
        <v>259.88</v>
      </c>
      <c r="J31">
        <v>0</v>
      </c>
      <c r="K31">
        <v>0</v>
      </c>
    </row>
    <row r="32" spans="1:11" x14ac:dyDescent="0.45">
      <c r="A32" t="s">
        <v>124</v>
      </c>
      <c r="B32">
        <v>2021</v>
      </c>
      <c r="C32">
        <v>116.52</v>
      </c>
      <c r="D32">
        <v>147.91999999999999</v>
      </c>
      <c r="E32">
        <v>3.09</v>
      </c>
      <c r="F32">
        <v>0.35</v>
      </c>
      <c r="G32">
        <v>17.41</v>
      </c>
      <c r="H32">
        <v>-16.559999999999999</v>
      </c>
      <c r="I32">
        <v>271.08999999999997</v>
      </c>
      <c r="J32">
        <v>0</v>
      </c>
      <c r="K32">
        <v>0</v>
      </c>
    </row>
    <row r="33" spans="1:11" x14ac:dyDescent="0.45">
      <c r="A33" t="s">
        <v>124</v>
      </c>
      <c r="B33">
        <v>2022</v>
      </c>
      <c r="C33">
        <v>110.35</v>
      </c>
      <c r="D33">
        <v>148.97</v>
      </c>
      <c r="E33">
        <v>3.23</v>
      </c>
      <c r="F33">
        <v>0.53</v>
      </c>
      <c r="G33">
        <v>8.0299999999999994</v>
      </c>
      <c r="H33">
        <v>-27.83</v>
      </c>
      <c r="I33">
        <v>287.94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2026-07-09T08:00:44Z</dcterms:modified>
</cp:coreProperties>
</file>