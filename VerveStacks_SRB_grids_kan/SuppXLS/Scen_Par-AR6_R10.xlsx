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"/>
    </mc:Choice>
  </mc:AlternateContent>
  <xr:revisionPtr revIDLastSave="0" documentId="13_ncr:1_{5764F9B4-495A-44B4-8267-0AF01FE8163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I15" i="1"/>
  <c r="O24" i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O15" i="1" l="1"/>
  <c r="Z23" i="1" s="1"/>
  <c r="M15" i="1"/>
  <c r="X23" i="1" s="1"/>
  <c r="L15" i="1"/>
  <c r="W23" i="1" s="1"/>
  <c r="K15" i="1"/>
  <c r="V23" i="1" s="1"/>
  <c r="J15" i="1"/>
  <c r="U23" i="1" s="1"/>
  <c r="N15" i="1"/>
  <c r="Y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Z22" i="1" s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<sst xmlns="http://schemas.openxmlformats.org/spreadsheetml/2006/main" count="1727" uniqueCount="126">
  <si>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</si>
  <si>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</si>
  <si>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</si>
  <si>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</si>
  <si>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</si>
  <si>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</si>
  <si>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</si>
  <si>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</si>
  <si>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</si>
  <si>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</si>
  <si>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</si>
  <si>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</si>
  <si>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</si>
  <si>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</si>
  <si>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</si>
  <si>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</si>
  <si>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</si>
  <si>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</si>
  <si>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</si>
  <si>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</si>
  <si>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</si>
  <si>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</si>
  <si>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</si>
  <si>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</si>
  <si>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</si>
  <si>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</si>
  <si>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</si>
  <si>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</si>
  <si>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</si>
  <si>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</si>
  <si>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</si>
  <si>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</si>
  <si>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</si>
  <si>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</si>
  <si>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</si>
  <si>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</si>
  <si>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</si>
  <si>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</si>
  <si>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</si>
  <si>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</si>
  <si>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</si>
  <si>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</si>
  <si>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</si>
  <si>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</si>
  <si>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</si>
  <si>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</si>
  <si>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</si>
  <si>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</si>
  <si>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</si>
  <si>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</si>
  <si>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</si>
  <si>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</si>
  <si>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</si>
  <si>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</si>
  <si>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</si>
  <si>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</si>
  <si>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</si>
  <si>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</si>
  <si>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</si>
  <si>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</si>
  <si>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</si>
  <si>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</si>
  <si>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</si>
  <si>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</si>
  <si>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</si>
  <si>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</si>
  <si>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</si>
  <si>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</si>
  <si>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</si>
  <si>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</si>
  <si>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</si>
  <si>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</si>
  <si>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</si>
  <si>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</si>
  <si>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</si>
  <si>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</si>
  <si>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</si>
  <si>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</si>
  <si>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</si>
  <si>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</si>
  <si>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</si>
  <si>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</si>
  <si>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</si>
  <si>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</si>
  <si>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</si>
  <si>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</si>
  <si>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</si>
  <si>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</si>
  <si>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</si>
  <si>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</si>
  <si>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</si>
  <si>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</si>
  <si>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</si>
  <si>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</si>
  <si>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</si>
  <si>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</si>
  <si>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</si>
  <si>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</si>
  <si>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</si>
  <si>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</si>
  <si>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</si>
  <si>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</si>
  <si>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</si>
  <si>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</si>
  <si>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</si>
  <si>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</si>
  <si>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</si>
  <si>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</si>
  <si>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</si>
  <si>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</si>
  <si>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</si>
  <si>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</si>
  <si>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</si>
  <si>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</si>
  <si>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</si>
  <si>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</si>
  <si>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</si>
  <si>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</si>
  <si>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</si>
  <si>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</si>
  <si>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</si>
  <si>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</si>
  <si>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</si>
  <si>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</si>
  <si>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SRB</t>
  </si>
  <si>
    <t>TurkStream, agricultural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</si>
</sst>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37.629999999999995</c:v>
                </c:pt>
                <c:pt idx="1">
                  <c:v>39.511499999999998</c:v>
                </c:pt>
                <c:pt idx="2">
                  <c:v>44.02709999999999</c:v>
                </c:pt>
                <c:pt idx="3">
                  <c:v>48.542699999999996</c:v>
                </c:pt>
                <c:pt idx="4">
                  <c:v>53.434599999999989</c:v>
                </c:pt>
                <c:pt idx="5">
                  <c:v>59.831699999999998</c:v>
                </c:pt>
                <c:pt idx="6">
                  <c:v>65.099899999999991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37.629999999999995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2.9590000000000001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37.629999999999995</v>
      </c>
      <c r="U14" s="8">
        <f t="shared" ref="U14:Z14" si="4">$S$11*J14</f>
        <v>39.511499999999998</v>
      </c>
      <c r="V14" s="8">
        <f t="shared" si="4"/>
        <v>44.02709999999999</v>
      </c>
      <c r="W14" s="8">
        <f t="shared" si="4"/>
        <v>48.542699999999996</v>
      </c>
      <c r="X14" s="8">
        <f t="shared" si="4"/>
        <v>53.434599999999989</v>
      </c>
      <c r="Y14" s="8">
        <f t="shared" si="4"/>
        <v>59.831699999999998</v>
      </c>
      <c r="Z14" s="8">
        <f t="shared" si="4"/>
        <v>65.099899999999991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13.923099999999998</v>
      </c>
      <c r="U19" s="6">
        <f t="shared" si="7"/>
        <v>13.829024999999998</v>
      </c>
      <c r="V19" s="6">
        <f t="shared" si="7"/>
        <v>14.969213999999997</v>
      </c>
      <c r="W19" s="6">
        <f t="shared" si="7"/>
        <v>16.019091</v>
      </c>
      <c r="X19" s="6">
        <f t="shared" si="7"/>
        <v>16.030379999999997</v>
      </c>
      <c r="Y19" s="6">
        <f t="shared" si="7"/>
        <v>17.351192999999999</v>
      </c>
      <c r="Z19" s="6">
        <f t="shared" si="7"/>
        <v>19.529969999999995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22.201699999999995</v>
      </c>
      <c r="U20" s="6">
        <f t="shared" si="7"/>
        <v>23.311784999999997</v>
      </c>
      <c r="V20" s="6">
        <f t="shared" si="7"/>
        <v>25.975988999999991</v>
      </c>
      <c r="W20" s="6">
        <f t="shared" si="7"/>
        <v>28.154765999999995</v>
      </c>
      <c r="X20" s="6">
        <f t="shared" si="7"/>
        <v>30.992067999999993</v>
      </c>
      <c r="Y20" s="6">
        <f t="shared" si="7"/>
        <v>33.505752000000001</v>
      </c>
      <c r="Z20" s="6">
        <f t="shared" si="7"/>
        <v>35.153945999999998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1.1288999999999998</v>
      </c>
      <c r="U21" s="6">
        <f t="shared" ref="U21:Z21" si="8">T21</f>
        <v>1.1288999999999998</v>
      </c>
      <c r="V21" s="6">
        <f t="shared" si="8"/>
        <v>1.1288999999999998</v>
      </c>
      <c r="W21" s="6">
        <f t="shared" si="8"/>
        <v>1.1288999999999998</v>
      </c>
      <c r="X21" s="6">
        <f t="shared" si="8"/>
        <v>1.1288999999999998</v>
      </c>
      <c r="Y21" s="6">
        <f t="shared" si="8"/>
        <v>1.1288999999999998</v>
      </c>
      <c r="Z21" s="6">
        <f t="shared" si="8"/>
        <v>1.1288999999999998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0.37630000000000052</v>
      </c>
      <c r="U22" s="6">
        <f t="shared" si="9"/>
        <v>1.2417900000000017</v>
      </c>
      <c r="V22" s="6">
        <f t="shared" si="9"/>
        <v>1.9529969999999963</v>
      </c>
      <c r="W22" s="6">
        <f t="shared" si="9"/>
        <v>3.2399429999999967</v>
      </c>
      <c r="X22" s="6">
        <f t="shared" si="9"/>
        <v>5.2832519999999974</v>
      </c>
      <c r="Y22" s="6">
        <f t="shared" si="9"/>
        <v>7.8458550000000002</v>
      </c>
      <c r="Z22" s="6">
        <f t="shared" si="9"/>
        <v>9.287083999999993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2.9590000000000001</v>
      </c>
      <c r="U23" s="25">
        <f>$S$12*J15</f>
        <v>2.8998200000000001</v>
      </c>
      <c r="V23" s="25">
        <f>$S$12*K15</f>
        <v>2.8406400000000001</v>
      </c>
      <c r="W23" s="25">
        <f t="shared" ref="W23:Z23" si="10">$S$12*L15</f>
        <v>2.72228</v>
      </c>
      <c r="X23" s="25">
        <f t="shared" si="10"/>
        <v>2.48556</v>
      </c>
      <c r="Y23" s="25">
        <f t="shared" si="10"/>
        <v>2.4559699999999998</v>
      </c>
      <c r="Z23" s="25">
        <f t="shared" si="10"/>
        <v>2.3672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8.4499999999999993</v>
      </c>
      <c r="S28" t="s">
        <v>31</v>
      </c>
      <c r="T28" s="3">
        <f>Q28</f>
        <v>8.4499999999999993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-5.7</v>
      </c>
      <c r="S29" t="s">
        <v>34</v>
      </c>
      <c r="T29" s="3">
        <f>-1*Q29</f>
        <v>5.7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29.15</v>
      </c>
      <c r="J45">
        <f t="shared" si="13"/>
        <v>31.1905</v>
      </c>
      <c r="K45">
        <f t="shared" si="13"/>
        <v>36.146000000000001</v>
      </c>
      <c r="L45">
        <f t="shared" si="13"/>
        <v>33.522499999999994</v>
      </c>
      <c r="M45">
        <f t="shared" si="13"/>
        <v>36.4375</v>
      </c>
      <c r="N45">
        <f t="shared" si="13"/>
        <v>34.105499999999999</v>
      </c>
      <c r="O45">
        <f t="shared" si="13"/>
        <v>39.061</v>
      </c>
      <c r="R45">
        <f>HLOOKUP($G45&amp;"_"&amp;R$44,fuel_prices!$B$10:$I$11,2,FALSE)</f>
        <v>24</v>
      </c>
      <c r="S45">
        <f>HLOOKUP($G45&amp;"_"&amp;S$44,fuel_prices!$B$10:$I$11,2,FALSE)</f>
        <v>34.299999999999997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12.2</v>
      </c>
      <c r="J46">
        <f t="shared" si="13"/>
        <v>12.443999999999999</v>
      </c>
      <c r="K46">
        <f t="shared" si="13"/>
        <v>12.932</v>
      </c>
      <c r="L46">
        <f t="shared" si="13"/>
        <v>13.054</v>
      </c>
      <c r="M46">
        <f t="shared" si="13"/>
        <v>13.176</v>
      </c>
      <c r="N46">
        <f t="shared" si="13"/>
        <v>13.42</v>
      </c>
      <c r="O46">
        <f t="shared" si="13"/>
        <v>13.664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50</v>
      </c>
      <c r="J47">
        <f t="shared" si="13"/>
        <v>50.5</v>
      </c>
      <c r="K47">
        <f t="shared" si="13"/>
        <v>55.500000000000007</v>
      </c>
      <c r="L47">
        <f t="shared" si="13"/>
        <v>50.5</v>
      </c>
      <c r="M47">
        <f t="shared" si="13"/>
        <v>50.5</v>
      </c>
      <c r="N47">
        <f t="shared" si="13"/>
        <v>52</v>
      </c>
      <c r="O47">
        <f t="shared" si="13"/>
        <v>56.999999999999993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22</v>
      </c>
      <c r="O48">
        <f>VLOOKUP($H$14,$AK$9:$AM$15,3,FALSE)*I48</f>
        <v>66</v>
      </c>
      <c r="R48">
        <f>HLOOKUP($G48&amp;"_"&amp;R$44,fuel_prices!$B$10:$I$11,2,FALSE)</f>
        <v>18</v>
      </c>
      <c r="S48">
        <f>HLOOKUP($G48&amp;"_"&amp;S$44,fuel_prices!$B$10:$I$11,2,FALSE)</f>
        <v>26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  <row r="89" spans="1:6" x14ac:dyDescent="0.45">
      <c r="A89" t="s">
        <v>118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119</v>
      </c>
      <c r="C91">
        <v>0.6</v>
      </c>
      <c r="D91">
        <v>0</v>
      </c>
      <c r="E91">
        <v>0</v>
      </c>
      <c r="F91" t="s">
        <v>120</v>
      </c>
    </row>
    <row r="92" spans="1:6" x14ac:dyDescent="0.45">
      <c r="A92" t="s">
        <v>31</v>
      </c>
      <c r="B92" t="s">
        <v>119</v>
      </c>
      <c r="C92">
        <v>4.3</v>
      </c>
      <c r="D92">
        <v>6.1539999999999999</v>
      </c>
      <c r="E92">
        <v>7.1440000000000001</v>
      </c>
      <c r="F92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124</v>
      </c>
      <c r="B11">
        <v>24</v>
      </c>
      <c r="C11">
        <v>34.299999999999997</v>
      </c>
      <c r="D11">
        <v>10.7</v>
      </c>
      <c r="E11">
        <v>13.7</v>
      </c>
      <c r="F11">
        <v>45</v>
      </c>
      <c r="G11">
        <v>55</v>
      </c>
      <c r="H11">
        <v>18</v>
      </c>
      <c r="I11">
        <v>26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13.67</v>
      </c>
      <c r="D11">
        <v>16.78</v>
      </c>
      <c r="E11">
        <v>0.2</v>
      </c>
      <c r="F11">
        <v>0</v>
      </c>
      <c r="G11">
        <v>4.87</v>
      </c>
      <c r="H11">
        <v>-1.86</v>
      </c>
      <c r="I11">
        <v>31.96</v>
      </c>
      <c r="J11">
        <v>0</v>
      </c>
      <c r="K11">
        <v>4.8890000000000002</v>
      </c>
    </row>
    <row r="12" spans="1:11" x14ac:dyDescent="0.45">
      <c r="A12" t="s">
        <v>124</v>
      </c>
      <c r="B12">
        <v>2001</v>
      </c>
      <c r="C12">
        <v>14.67</v>
      </c>
      <c r="D12">
        <v>16.87</v>
      </c>
      <c r="E12">
        <v>0.19</v>
      </c>
      <c r="F12">
        <v>0</v>
      </c>
      <c r="G12">
        <v>5.67</v>
      </c>
      <c r="H12">
        <v>-1.63</v>
      </c>
      <c r="I12">
        <v>32.57</v>
      </c>
      <c r="J12">
        <v>0</v>
      </c>
      <c r="K12">
        <v>5.5</v>
      </c>
    </row>
    <row r="13" spans="1:11" x14ac:dyDescent="0.45">
      <c r="A13" t="s">
        <v>124</v>
      </c>
      <c r="B13">
        <v>2002</v>
      </c>
      <c r="C13">
        <v>15.42</v>
      </c>
      <c r="D13">
        <v>16.84</v>
      </c>
      <c r="E13">
        <v>0.2</v>
      </c>
      <c r="F13">
        <v>0</v>
      </c>
      <c r="G13">
        <v>6.78</v>
      </c>
      <c r="H13">
        <v>-2.2999999999999998</v>
      </c>
      <c r="I13">
        <v>33.24</v>
      </c>
      <c r="J13">
        <v>0</v>
      </c>
      <c r="K13">
        <v>5.8609999999999998</v>
      </c>
    </row>
    <row r="14" spans="1:11" x14ac:dyDescent="0.45">
      <c r="A14" t="s">
        <v>124</v>
      </c>
      <c r="B14">
        <v>2003</v>
      </c>
      <c r="C14">
        <v>15.17</v>
      </c>
      <c r="D14">
        <v>16.809999999999999</v>
      </c>
      <c r="E14">
        <v>0.2</v>
      </c>
      <c r="F14">
        <v>0</v>
      </c>
      <c r="G14">
        <v>4.58</v>
      </c>
      <c r="H14">
        <v>-1.79</v>
      </c>
      <c r="I14">
        <v>34.25</v>
      </c>
      <c r="J14">
        <v>0</v>
      </c>
      <c r="K14">
        <v>5.9119999999999999</v>
      </c>
    </row>
    <row r="15" spans="1:11" x14ac:dyDescent="0.45">
      <c r="A15" t="s">
        <v>124</v>
      </c>
      <c r="B15">
        <v>2004</v>
      </c>
      <c r="C15">
        <v>13.96</v>
      </c>
      <c r="D15">
        <v>18.420000000000002</v>
      </c>
      <c r="E15">
        <v>0.24</v>
      </c>
      <c r="F15">
        <v>0</v>
      </c>
      <c r="G15">
        <v>5.98</v>
      </c>
      <c r="H15">
        <v>-6.25</v>
      </c>
      <c r="I15">
        <v>37.19</v>
      </c>
      <c r="J15">
        <v>0</v>
      </c>
      <c r="K15">
        <v>7.3070000000000004</v>
      </c>
    </row>
    <row r="16" spans="1:11" x14ac:dyDescent="0.45">
      <c r="A16" t="s">
        <v>124</v>
      </c>
      <c r="B16">
        <v>2005</v>
      </c>
      <c r="C16">
        <v>13.77</v>
      </c>
      <c r="D16">
        <v>19.36</v>
      </c>
      <c r="E16">
        <v>0.25</v>
      </c>
      <c r="F16">
        <v>0</v>
      </c>
      <c r="G16">
        <v>6.75</v>
      </c>
      <c r="H16">
        <v>-8.69</v>
      </c>
      <c r="I16">
        <v>35.85</v>
      </c>
      <c r="J16">
        <v>2.9889999999999999</v>
      </c>
      <c r="K16">
        <v>12.459</v>
      </c>
    </row>
    <row r="17" spans="1:11" x14ac:dyDescent="0.45">
      <c r="A17" t="s">
        <v>124</v>
      </c>
      <c r="B17">
        <v>2006</v>
      </c>
      <c r="C17">
        <v>14.87</v>
      </c>
      <c r="D17">
        <v>19.47</v>
      </c>
      <c r="E17">
        <v>0.26</v>
      </c>
      <c r="F17">
        <v>0</v>
      </c>
      <c r="G17">
        <v>8.57</v>
      </c>
      <c r="H17">
        <v>-9.3800000000000008</v>
      </c>
      <c r="I17">
        <v>35.869999999999997</v>
      </c>
      <c r="J17">
        <v>2.38</v>
      </c>
      <c r="K17">
        <v>11.496</v>
      </c>
    </row>
    <row r="18" spans="1:11" x14ac:dyDescent="0.45">
      <c r="A18" t="s">
        <v>124</v>
      </c>
      <c r="B18">
        <v>2007</v>
      </c>
      <c r="C18">
        <v>15.61</v>
      </c>
      <c r="D18">
        <v>19.510000000000002</v>
      </c>
      <c r="E18">
        <v>0.26</v>
      </c>
      <c r="F18">
        <v>0</v>
      </c>
      <c r="G18">
        <v>9.11</v>
      </c>
      <c r="H18">
        <v>-9.19</v>
      </c>
      <c r="I18">
        <v>35.979999999999997</v>
      </c>
      <c r="J18">
        <v>2.1829999999999998</v>
      </c>
      <c r="K18">
        <v>11.455</v>
      </c>
    </row>
    <row r="19" spans="1:11" x14ac:dyDescent="0.45">
      <c r="A19" t="s">
        <v>124</v>
      </c>
      <c r="B19">
        <v>2008</v>
      </c>
      <c r="C19">
        <v>16.14</v>
      </c>
      <c r="D19">
        <v>19.93</v>
      </c>
      <c r="E19">
        <v>0.26</v>
      </c>
      <c r="F19">
        <v>0</v>
      </c>
      <c r="G19">
        <v>8.8800000000000008</v>
      </c>
      <c r="H19">
        <v>-8.8000000000000007</v>
      </c>
      <c r="I19">
        <v>36.83</v>
      </c>
      <c r="J19">
        <v>0.94199999999999995</v>
      </c>
      <c r="K19">
        <v>8.4510000000000005</v>
      </c>
    </row>
    <row r="20" spans="1:11" x14ac:dyDescent="0.45">
      <c r="A20" t="s">
        <v>124</v>
      </c>
      <c r="B20">
        <v>2009</v>
      </c>
      <c r="C20">
        <v>15.73</v>
      </c>
      <c r="D20">
        <v>19.54</v>
      </c>
      <c r="E20">
        <v>0.5</v>
      </c>
      <c r="F20">
        <v>0</v>
      </c>
      <c r="G20">
        <v>5.18</v>
      </c>
      <c r="H20">
        <v>-6.61</v>
      </c>
      <c r="I20">
        <v>37.72</v>
      </c>
      <c r="J20">
        <v>1.0429999999999999</v>
      </c>
      <c r="K20">
        <v>8.5920000000000005</v>
      </c>
    </row>
    <row r="21" spans="1:11" x14ac:dyDescent="0.45">
      <c r="A21" t="s">
        <v>124</v>
      </c>
      <c r="B21">
        <v>2010</v>
      </c>
      <c r="C21">
        <v>16.25</v>
      </c>
      <c r="D21">
        <v>20.059999999999999</v>
      </c>
      <c r="E21">
        <v>0.22</v>
      </c>
      <c r="F21">
        <v>0</v>
      </c>
      <c r="G21">
        <v>5.62</v>
      </c>
      <c r="H21">
        <v>-5.92</v>
      </c>
      <c r="I21">
        <v>37.42</v>
      </c>
      <c r="J21">
        <v>3.09</v>
      </c>
      <c r="K21">
        <v>9.516</v>
      </c>
    </row>
    <row r="22" spans="1:11" x14ac:dyDescent="0.45">
      <c r="A22" t="s">
        <v>124</v>
      </c>
      <c r="B22">
        <v>2011</v>
      </c>
      <c r="C22">
        <v>16.71</v>
      </c>
      <c r="D22">
        <v>19.989999999999998</v>
      </c>
      <c r="E22">
        <v>0.53</v>
      </c>
      <c r="F22">
        <v>0</v>
      </c>
      <c r="G22">
        <v>6.7</v>
      </c>
      <c r="H22">
        <v>-6.98</v>
      </c>
      <c r="I22">
        <v>38.020000000000003</v>
      </c>
      <c r="J22">
        <v>3.4750000000000001</v>
      </c>
      <c r="K22">
        <v>10.28</v>
      </c>
    </row>
    <row r="23" spans="1:11" x14ac:dyDescent="0.45">
      <c r="A23" t="s">
        <v>124</v>
      </c>
      <c r="B23">
        <v>2012</v>
      </c>
      <c r="C23">
        <v>15.86</v>
      </c>
      <c r="D23">
        <v>19.739999999999998</v>
      </c>
      <c r="E23">
        <v>0.49</v>
      </c>
      <c r="F23">
        <v>0</v>
      </c>
      <c r="G23">
        <v>5.78</v>
      </c>
      <c r="H23">
        <v>-5.39</v>
      </c>
      <c r="I23">
        <v>36.17</v>
      </c>
      <c r="J23">
        <v>2.4940000000000002</v>
      </c>
      <c r="K23">
        <v>8.4830000000000005</v>
      </c>
    </row>
    <row r="24" spans="1:11" x14ac:dyDescent="0.45">
      <c r="A24" t="s">
        <v>124</v>
      </c>
      <c r="B24">
        <v>2013</v>
      </c>
      <c r="C24">
        <v>16.3</v>
      </c>
      <c r="D24">
        <v>19.350000000000001</v>
      </c>
      <c r="E24">
        <v>0.48</v>
      </c>
      <c r="F24">
        <v>0</v>
      </c>
      <c r="G24">
        <v>4.08</v>
      </c>
      <c r="H24">
        <v>-6.61</v>
      </c>
      <c r="I24">
        <v>39.229999999999997</v>
      </c>
      <c r="J24">
        <v>2.4220000000000002</v>
      </c>
      <c r="K24">
        <v>8.3460000000000001</v>
      </c>
    </row>
    <row r="25" spans="1:11" x14ac:dyDescent="0.45">
      <c r="A25" t="s">
        <v>124</v>
      </c>
      <c r="B25">
        <v>2014</v>
      </c>
      <c r="C25">
        <v>15.41</v>
      </c>
      <c r="D25">
        <v>18.670000000000002</v>
      </c>
      <c r="E25">
        <v>0.34</v>
      </c>
      <c r="F25">
        <v>0</v>
      </c>
      <c r="G25">
        <v>7.01</v>
      </c>
      <c r="H25">
        <v>-5.44</v>
      </c>
      <c r="I25">
        <v>33.450000000000003</v>
      </c>
      <c r="J25">
        <v>2.2639999999999998</v>
      </c>
      <c r="K25">
        <v>7.2190000000000003</v>
      </c>
    </row>
    <row r="26" spans="1:11" x14ac:dyDescent="0.45">
      <c r="A26" t="s">
        <v>124</v>
      </c>
      <c r="B26">
        <v>2015</v>
      </c>
      <c r="C26">
        <v>16.29</v>
      </c>
      <c r="D26">
        <v>19.3</v>
      </c>
      <c r="E26">
        <v>0.35</v>
      </c>
      <c r="F26">
        <v>0</v>
      </c>
      <c r="G26">
        <v>6.3</v>
      </c>
      <c r="H26">
        <v>-7.22</v>
      </c>
      <c r="I26">
        <v>37.6</v>
      </c>
      <c r="J26">
        <v>2.4510000000000001</v>
      </c>
      <c r="K26">
        <v>8.33</v>
      </c>
    </row>
    <row r="27" spans="1:11" x14ac:dyDescent="0.45">
      <c r="A27" t="s">
        <v>124</v>
      </c>
      <c r="B27">
        <v>2016</v>
      </c>
      <c r="C27">
        <v>16.46</v>
      </c>
      <c r="D27">
        <v>19.25</v>
      </c>
      <c r="E27">
        <v>0.35</v>
      </c>
      <c r="F27">
        <v>0</v>
      </c>
      <c r="G27">
        <v>5.07</v>
      </c>
      <c r="H27">
        <v>-6.99</v>
      </c>
      <c r="I27">
        <v>38.61</v>
      </c>
      <c r="J27">
        <v>2.633</v>
      </c>
      <c r="K27">
        <v>8.4860000000000007</v>
      </c>
    </row>
    <row r="28" spans="1:11" x14ac:dyDescent="0.45">
      <c r="A28" t="s">
        <v>124</v>
      </c>
      <c r="B28">
        <v>2017</v>
      </c>
      <c r="C28">
        <v>16.88</v>
      </c>
      <c r="D28">
        <v>19.350000000000001</v>
      </c>
      <c r="E28">
        <v>0.37</v>
      </c>
      <c r="F28">
        <v>0</v>
      </c>
      <c r="G28">
        <v>6.55</v>
      </c>
      <c r="H28">
        <v>-5.72</v>
      </c>
      <c r="I28">
        <v>36.450000000000003</v>
      </c>
      <c r="J28">
        <v>3.0009999999999999</v>
      </c>
      <c r="K28">
        <v>8.7360000000000007</v>
      </c>
    </row>
    <row r="29" spans="1:11" x14ac:dyDescent="0.45">
      <c r="A29" t="s">
        <v>124</v>
      </c>
      <c r="B29">
        <v>2018</v>
      </c>
      <c r="C29">
        <v>16.86</v>
      </c>
      <c r="D29">
        <v>18.940000000000001</v>
      </c>
      <c r="E29">
        <v>0.37</v>
      </c>
      <c r="F29">
        <v>0</v>
      </c>
      <c r="G29">
        <v>6.4</v>
      </c>
      <c r="H29">
        <v>-6.28</v>
      </c>
      <c r="I29">
        <v>36.67</v>
      </c>
      <c r="J29">
        <v>3.105</v>
      </c>
      <c r="K29">
        <v>8.5879999999999992</v>
      </c>
    </row>
    <row r="30" spans="1:11" x14ac:dyDescent="0.45">
      <c r="A30" t="s">
        <v>124</v>
      </c>
      <c r="B30">
        <v>2019</v>
      </c>
      <c r="C30">
        <v>17.079999999999998</v>
      </c>
      <c r="D30">
        <v>18.84</v>
      </c>
      <c r="E30">
        <v>0.37</v>
      </c>
      <c r="F30">
        <v>0</v>
      </c>
      <c r="G30">
        <v>5.42</v>
      </c>
      <c r="H30">
        <v>-5.34</v>
      </c>
      <c r="I30">
        <v>36.86</v>
      </c>
      <c r="J30">
        <v>2.9940000000000002</v>
      </c>
      <c r="K30">
        <v>7.9939999999999998</v>
      </c>
    </row>
    <row r="31" spans="1:11" x14ac:dyDescent="0.45">
      <c r="A31" t="s">
        <v>124</v>
      </c>
      <c r="B31">
        <v>2020</v>
      </c>
      <c r="C31">
        <v>16.7</v>
      </c>
      <c r="D31">
        <v>18.91</v>
      </c>
      <c r="E31">
        <v>0.36</v>
      </c>
      <c r="F31">
        <v>0</v>
      </c>
      <c r="G31">
        <v>5.07</v>
      </c>
      <c r="H31">
        <v>-5.67</v>
      </c>
      <c r="I31">
        <v>37.24</v>
      </c>
      <c r="J31">
        <v>2.875</v>
      </c>
      <c r="K31">
        <v>8.7460000000000004</v>
      </c>
    </row>
    <row r="32" spans="1:11" x14ac:dyDescent="0.45">
      <c r="A32" t="s">
        <v>124</v>
      </c>
      <c r="B32">
        <v>2021</v>
      </c>
      <c r="C32">
        <v>17.78</v>
      </c>
      <c r="D32">
        <v>19.440000000000001</v>
      </c>
      <c r="E32">
        <v>0.38</v>
      </c>
      <c r="F32">
        <v>0</v>
      </c>
      <c r="G32">
        <v>6.98</v>
      </c>
      <c r="H32">
        <v>-6.33</v>
      </c>
      <c r="I32">
        <v>37.54</v>
      </c>
      <c r="J32">
        <v>3.0840000000000001</v>
      </c>
      <c r="K32">
        <v>9.1010000000000009</v>
      </c>
    </row>
    <row r="33" spans="1:11" x14ac:dyDescent="0.45">
      <c r="A33" t="s">
        <v>124</v>
      </c>
      <c r="B33">
        <v>2022</v>
      </c>
      <c r="C33">
        <v>17.47</v>
      </c>
      <c r="D33">
        <v>19.04</v>
      </c>
      <c r="E33">
        <v>0.39</v>
      </c>
      <c r="F33">
        <v>0</v>
      </c>
      <c r="G33">
        <v>8.4499999999999993</v>
      </c>
      <c r="H33">
        <v>-5.7</v>
      </c>
      <c r="I33">
        <v>34.880000000000003</v>
      </c>
      <c r="J33">
        <v>2.9590000000000001</v>
      </c>
      <c r="K33">
        <v>8.1609999999999996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2026-06-25T18:00:12Z</dcterms:modified>
</cp:coreProperties>
</file>