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Veda\VerveStacks\assumptions\VerveStacks_ISO_template\SuppXLS\"/>
    </mc:Choice>
  </mc:AlternateContent>
  <xr:revisionPtr revIDLastSave="0" documentId="13_ncr:1_{E7B6907D-6C39-452D-B64B-38F32025EB06}" xr6:coauthVersionLast="47" xr6:coauthVersionMax="47" xr10:uidLastSave="{00000000-0000-0000-0000-000000000000}"/>
  <bookViews>
    <workbookView xWindow="-98" yWindow="-98" windowWidth="28996" windowHeight="17475" activeTab="1"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H5" i="7" l="1"/>
  <c r="BG5" i="7"/>
  <c r="BF5" i="7"/>
  <c r="BH4" i="7"/>
  <c r="BG4" i="7"/>
  <c r="BF4" i="7"/>
  <c r="BH3" i="7"/>
  <c r="BG3" i="7"/>
  <c r="BF3" i="7"/>
  <c r="AH5" i="7"/>
  <c r="AG5" i="7"/>
  <c r="AF5" i="7"/>
  <c r="AH4" i="7"/>
  <c r="AG4" i="7"/>
  <c r="AF4" i="7"/>
  <c r="AF3" i="7"/>
  <c r="AG3" i="7" s="1"/>
  <c r="AH3" i="7" s="1"/>
  <c r="AB5" i="7"/>
  <c r="AE5" i="7" s="1"/>
  <c r="BE5" i="7" s="1"/>
  <c r="AA5" i="7"/>
  <c r="AD5" i="7" s="1"/>
  <c r="BD5" i="7" s="1"/>
  <c r="AB4" i="7"/>
  <c r="AE4" i="7" s="1"/>
  <c r="BE4" i="7" s="1"/>
  <c r="AA4" i="7"/>
  <c r="AD4" i="7" s="1"/>
  <c r="BD4" i="7" s="1"/>
  <c r="Z5" i="7"/>
  <c r="AC5" i="7" s="1"/>
  <c r="BC5" i="7" s="1"/>
  <c r="Z4" i="7"/>
  <c r="AC4" i="7" s="1"/>
  <c r="BC4" i="7" s="1"/>
  <c r="O3" i="7"/>
  <c r="P3" i="7" s="1"/>
  <c r="BD10" i="7"/>
  <c r="BC10" i="7"/>
  <c r="BB10" i="7"/>
  <c r="BA10" i="7"/>
  <c r="AZ10" i="7"/>
  <c r="AY10" i="7"/>
  <c r="AX10" i="7"/>
  <c r="AW10" i="7"/>
  <c r="AV10" i="7"/>
  <c r="AU10" i="7"/>
  <c r="AT10" i="7"/>
  <c r="AS10" i="7"/>
  <c r="AR10" i="7"/>
  <c r="AQ10" i="7"/>
  <c r="AP10" i="7"/>
  <c r="AO10" i="7"/>
  <c r="AN10" i="7"/>
  <c r="AM10" i="7"/>
  <c r="AL10" i="7"/>
  <c r="AK10" i="7"/>
  <c r="AJ10" i="7"/>
  <c r="K25" i="7" s="1"/>
  <c r="BD9" i="7"/>
  <c r="BC9" i="7"/>
  <c r="BB9" i="7"/>
  <c r="BA9" i="7"/>
  <c r="AZ9" i="7"/>
  <c r="AY9" i="7"/>
  <c r="AX9" i="7"/>
  <c r="AW9" i="7"/>
  <c r="AV9" i="7"/>
  <c r="AU9" i="7"/>
  <c r="AT9" i="7"/>
  <c r="AS9" i="7"/>
  <c r="AR9" i="7"/>
  <c r="AQ9" i="7"/>
  <c r="AP9" i="7"/>
  <c r="AO9" i="7"/>
  <c r="AN9" i="7"/>
  <c r="AM9" i="7"/>
  <c r="AL9" i="7"/>
  <c r="AK9" i="7"/>
  <c r="AJ9" i="7"/>
  <c r="K24" i="7" s="1"/>
  <c r="BD8" i="7"/>
  <c r="BC8" i="7"/>
  <c r="BB8" i="7"/>
  <c r="BA8" i="7"/>
  <c r="AZ8" i="7"/>
  <c r="AY8" i="7"/>
  <c r="AX8" i="7"/>
  <c r="AW8" i="7"/>
  <c r="AV8" i="7"/>
  <c r="AU8" i="7"/>
  <c r="AT8" i="7"/>
  <c r="AS8" i="7"/>
  <c r="AR8" i="7"/>
  <c r="AQ8" i="7"/>
  <c r="AP8" i="7"/>
  <c r="AO8" i="7"/>
  <c r="AN8" i="7"/>
  <c r="AM8" i="7"/>
  <c r="AL8" i="7"/>
  <c r="AK8" i="7"/>
  <c r="AY5" i="7"/>
  <c r="AX5" i="7"/>
  <c r="AW5" i="7"/>
  <c r="AV5" i="7"/>
  <c r="AU5" i="7"/>
  <c r="AT5" i="7"/>
  <c r="AS5" i="7"/>
  <c r="AR5" i="7"/>
  <c r="AQ5" i="7"/>
  <c r="AP5" i="7"/>
  <c r="AO5" i="7"/>
  <c r="AN5" i="7"/>
  <c r="AM5" i="7"/>
  <c r="AL5" i="7"/>
  <c r="AK5" i="7"/>
  <c r="AJ5" i="7"/>
  <c r="K23" i="7" s="1"/>
  <c r="AY4" i="7"/>
  <c r="AX4" i="7"/>
  <c r="AW4" i="7"/>
  <c r="AV4" i="7"/>
  <c r="AU4" i="7"/>
  <c r="AT4" i="7"/>
  <c r="AS4" i="7"/>
  <c r="AR4" i="7"/>
  <c r="AQ4" i="7"/>
  <c r="AP4" i="7"/>
  <c r="AO4" i="7"/>
  <c r="AN4" i="7"/>
  <c r="AM4" i="7"/>
  <c r="AL4" i="7"/>
  <c r="AK4" i="7"/>
  <c r="AJ4" i="7"/>
  <c r="K22" i="7" s="1"/>
  <c r="AO3" i="7"/>
  <c r="AN3" i="7"/>
  <c r="AM3" i="7"/>
  <c r="AL3" i="7"/>
  <c r="AK3" i="7"/>
  <c r="BB4" i="7" l="1"/>
  <c r="AZ5" i="7"/>
  <c r="BA5" i="7"/>
  <c r="AZ4" i="7"/>
  <c r="BA4" i="7"/>
  <c r="BB5" i="7"/>
  <c r="AP3" i="7"/>
  <c r="Q3" i="7"/>
  <c r="L5" i="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 r="AQ3" i="7" l="1"/>
  <c r="R3" i="7"/>
  <c r="S3" i="7" l="1"/>
  <c r="AR3" i="7"/>
  <c r="T3" i="7" l="1"/>
  <c r="AS3" i="7"/>
  <c r="AT3" i="7" l="1"/>
  <c r="U3" i="7"/>
  <c r="V3" i="7" l="1"/>
  <c r="AU3" i="7"/>
  <c r="W3" i="7" l="1"/>
  <c r="AV3" i="7"/>
  <c r="AW3" i="7" l="1"/>
  <c r="X3" i="7"/>
  <c r="Y3" i="7" l="1"/>
  <c r="Z3" i="7" s="1"/>
  <c r="AX3" i="7"/>
  <c r="AA3" i="7" l="1"/>
  <c r="AZ3" i="7"/>
  <c r="AY3" i="7"/>
  <c r="AB3" i="7" l="1"/>
  <c r="BA3" i="7"/>
  <c r="BB3" i="7" l="1"/>
  <c r="AC3" i="7"/>
  <c r="AD3" i="7" l="1"/>
  <c r="BC3" i="7"/>
  <c r="AE3" i="7" l="1"/>
  <c r="BE3" i="7" s="1"/>
  <c r="BD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tc={F4E4F727-2A91-4760-B84E-3C8E8E996337}</author>
  </authors>
  <commentList>
    <comment ref="H20" authorId="0" shapeId="0" xr:uid="{F4E4F727-2A91-4760-B84E-3C8E8E996337}">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<sst xmlns="http://schemas.openxmlformats.org/spreadsheetml/2006/main" count="428" uniqueCount="280">
  <si>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</si>
  <si>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</si>
  <si>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</si>
  <si>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</si>
  <si>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</si>
  <si>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</si>
  <si>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</si>
  <si>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</si>
  <si>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</si>
  <si>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</si>
  <si>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</si>
  <si>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</si>
  <si>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</si>
  <si>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</si>
  <si>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</si>
  <si>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</si>
  <si>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</si>
  <si>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</si>
  <si>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</si>
  <si>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</si>
  <si>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</si>
  <si>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</si>
  <si>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</si>
  <si>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</si>
  <si>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</si>
  <si>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</si>
  <si>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</si>
  <si>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</si>
  <si>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</si>
  <si>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</si>
  <si>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</si>
  <si>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</si>
  <si>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</si>
  <si>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</si>
  <si>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</si>
  <si>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</si>
  <si>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</si>
  <si>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</si>
  <si>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</si>
  <si>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</si>
  <si>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</si>
  <si>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</si>
  <si>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</si>
  <si>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</si>
  <si>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</si>
  <si>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</si>
  <si>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</si>
  <si>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</si>
  <si>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</si>
  <si>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</si>
  <si>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</si>
  <si>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</si>
  <si>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</si>
  <si>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</si>
  <si>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</si>
  <si>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</si>
  <si>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</si>
  <si>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</si>
  <si>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</si>
  <si>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</si>
  <si>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</si>
  <si>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</si>
  <si>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</si>
  <si>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</si>
  <si>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</si>
  <si>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</si>
  <si>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</si>
  <si>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</si>
  <si>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</si>
  <si>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</si>
  <si>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</si>
  <si>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</si>
  <si>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</si>
  <si>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</si>
  <si>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</si>
  <si>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</si>
  <si>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</si>
  <si>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</si>
  <si>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</si>
  <si>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</si>
  <si>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</si>
  <si>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</si>
  <si>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</si>
  <si>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</si>
  <si>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</si>
  <si>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</si>
  <si>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</si>
  <si>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</si>
  <si>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</si>
  <si>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</si>
  <si>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</si>
  <si>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</si>
  <si>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</si>
  <si>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</si>
  <si>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</si>
  <si>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</si>
  <si>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</si>
  <si>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</si>
  <si>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</si>
  <si>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</si>
  <si>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</si>
  <si>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</si>
  <si>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</si>
  <si>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</si>
  <si>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</si>
  <si>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</si>
  <si>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</si>
  <si>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</si>
  <si>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</si>
  <si>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</si>
  <si>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</si>
  <si>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</si>
  <si>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</si>
  <si>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</si>
  <si>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</si>
  <si>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</si>
  <si>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</si>
  <si>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</si>
  <si>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</si>
  <si>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</si>
  <si>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</si>
  <si>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</si>
  <si>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</si>
  <si>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</si>
  <si>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</si>
  <si>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</si>
  <si>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</si>
  <si>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</si>
  <si>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</si>
  <si>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</si>
  <si>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</si>
  <si>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</si>
  <si>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</si>
  <si>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</si>
  <si>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</si>
  <si>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</si>
  <si>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</si>
  <si>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</si>
  <si>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</si>
  <si>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</si>
  <si>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</si>
  <si>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</si>
  <si>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</si>
  <si>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</si>
  <si>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</si>
  <si>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</si>
  <si>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</si>
  <si>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</si>
  <si>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</si>
  <si>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</si>
  <si>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</si>
  <si>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</si>
  <si>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</si>
  <si>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</si>
  <si>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</si>
  <si>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</si>
  <si>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</si>
  <si>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</si>
  <si>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</si>
  <si>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</si>
  <si>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</si>
  <si>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</si>
  <si>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</si>
  <si>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</si>
  <si>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</si>
  <si>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</si>
  <si>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</si>
  <si>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</si>
  <si>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</si>
  <si>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</si>
  <si>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</si>
  <si>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</si>
  <si>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</si>
  <si>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</si>
  <si>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</si>
  <si>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</si>
  <si>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</si>
  <si>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</si>
  <si>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</si>
  <si>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</si>
  <si>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</si>
  <si>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</si>
  <si>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</si>
  <si>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</si>
  <si>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</si>
  <si>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</si>
  <si>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</si>
  <si>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</si>
  <si>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</si>
  <si>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</si>
  <si>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</si>
  <si>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</si>
  <si>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</si>
  <si>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</si>
  <si>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</si>
  <si>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</si>
  <si>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</si>
  <si>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</si>
  <si>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</si>
  <si>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</si>
  <si>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</si>
  <si>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</si>
  <si>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</si>
  <si>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</si>
  <si>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</si>
  <si>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</si>
  <si>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</si>
  <si>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</si>
  <si>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</si>
  <si>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</si>
  <si>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</si>
  <si>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</si>
  <si>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</si>
  <si>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</si>
  <si>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</si>
  <si>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</si>
  <si>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</si>
  <si>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</si>
  <si>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</si>
  <si>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</si>
  <si>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</si>
  <si>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</si>
  <si>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</si>
  <si>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</si>
  <si>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</si>
  <si>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</si>
  <si>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</si>
  <si>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</si>
  <si>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</si>
  <si>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</si>
  <si>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</si>
  <si>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</si>
  <si>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</si>
  <si>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</si>
  <si>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</si>
  <si>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</si>
  <si>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</si>
  <si>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</si>
  <si>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</si>
  <si>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</si>
  <si>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</si>
  <si>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</si>
  <si>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</si>
  <si>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</si>
  <si>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</si>
  <si>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</si>
  <si>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</si>
  <si>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</si>
  <si>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~TFM_TOPINS</t>
  </si>
  <si>
    <t>process</t>
  </si>
  <si>
    <t>commodity</t>
  </si>
  <si>
    <t>io</t>
  </si>
  <si>
    <t>*stg8hb*</t>
  </si>
  <si>
    <t>ELC4H,ELC8H,ELC</t>
  </si>
  <si>
    <t>IN</t>
  </si>
  <si>
    <t>*stg4hb*</t>
  </si>
  <si>
    <t>ELC4H,ELC</t>
  </si>
  <si>
    <t>distr*</t>
  </si>
  <si>
    <t>ELC4H,ELC8H</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</si>
  <si>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</si>
  <si>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</si>
  <si>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</si>
  <si>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</si>
  <si>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</si>
  <si>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</si>
  <si>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</si>
  <si>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</si>
  <si>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</si>
  <si>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</si>
  <si>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</si>
  <si>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</si>
  <si>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</si>
  <si>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</si>
  <si>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</si>
  <si>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</si>
  <si>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*,-solar,-wind*,-ELC,-ELCSPV,-elc[_]???[_]*,-e[_]*</t>
  </si>
  <si>
    <t>Min dispatchable capacity for VRE portfolio</t>
  </si>
  <si>
    <t>DEF_C</t>
  </si>
  <si>
    <t>Gas Turbine*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</si>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</sst>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rgb="FF92D050"/>
        <bgColor indexed="64"/>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4">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0" fillId="3" borderId="0" xfId="0" applyFill="1"/>
    <xf numFmtId="0" fontId="0" fillId="0" borderId="0" xfId="0"/>
    <xf numFmtId="0" fontId="2" fillId="0" borderId="2" xfId="2"/>
    <xf numFmtId="0" fontId="3" fillId="0" borderId="0" xfId="0" applyFont="1"/>
    <xf numFmtId="0" fontId="3" fillId="0" borderId="0" xfId="0" quotePrefix="1" applyFont="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EA662EF9-C1C3-4C75-9049-4457D0909F07}" userId="S::J2412140@jera.co.jp::f9b6adb6-b751-4da6-9b6e-314b902b4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EA662EF9-C1C3-4C75-9049-4457D0909F07}" id="{F4E4F727-2A91-4760-B84E-3C8E8E996337}">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8"/>
  <sheetViews>
    <sheetView workbookViewId="0">
      <selection activeCell="F18" sqref="F18"/>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row r="18" spans="2:19" x14ac:dyDescent="0.45">
      <c r="B18" s="22" t="s">
        <v>15</v>
      </c>
      <c r="C18" s="22" t="s">
        <v>19</v>
      </c>
      <c r="D18" s="22">
        <v>0</v>
      </c>
      <c r="E18" s="22">
        <v>0.5</v>
      </c>
      <c r="F18" s="22">
        <v>1.2</v>
      </c>
      <c r="G18" s="22">
        <v>0.01</v>
      </c>
      <c r="H18" s="22"/>
      <c r="I18" s="22"/>
      <c r="J18" s="22"/>
      <c r="K18" s="23" t="s">
        <v>278</v>
      </c>
      <c r="L18" s="23">
        <v>30</v>
      </c>
      <c r="M18" s="22"/>
      <c r="N18" s="22">
        <v>0.5</v>
      </c>
      <c r="O18" s="22">
        <v>1.2</v>
      </c>
      <c r="P18" s="22"/>
      <c r="Q18" s="22" t="s">
        <v>279</v>
      </c>
      <c r="R18" s="22" t="s">
        <v>279</v>
      </c>
      <c r="S18" s="22" t="s">
        <v>278</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BH26"/>
  <sheetViews>
    <sheetView tabSelected="1" topLeftCell="P1" workbookViewId="0">
      <selection activeCell="AV6" sqref="AV6"/>
    </sheetView>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29" max="34" width="4" style="20" customWidth="1"/>
    <col min="36" max="36" width="14.53125" bestFit="1" customWidth="1"/>
    <col min="37" max="37" width="1.73046875" bestFit="1" customWidth="1"/>
    <col min="38" max="38" width="4.73046875" bestFit="1" customWidth="1"/>
    <col min="39" max="39" width="5.73046875" bestFit="1" customWidth="1"/>
    <col min="40" max="40" width="2.73046875" bestFit="1" customWidth="1"/>
    <col min="41" max="41" width="4.73046875" bestFit="1" customWidth="1"/>
    <col min="42" max="42" width="5.73046875" bestFit="1" customWidth="1"/>
    <col min="43" max="43" width="2.73046875" bestFit="1" customWidth="1"/>
    <col min="44" max="44" width="4.73046875" bestFit="1" customWidth="1"/>
    <col min="45" max="45" width="5.73046875" bestFit="1" customWidth="1"/>
    <col min="46" max="46" width="2.73046875" bestFit="1" customWidth="1"/>
    <col min="47" max="47" width="4.73046875" bestFit="1" customWidth="1"/>
    <col min="48" max="48" width="5.73046875" bestFit="1" customWidth="1"/>
    <col min="49" max="49" width="3.73046875" bestFit="1" customWidth="1"/>
    <col min="50" max="50" width="4.73046875" bestFit="1" customWidth="1"/>
    <col min="51" max="51" width="5.73046875" bestFit="1" customWidth="1"/>
    <col min="52" max="52" width="3.73046875" bestFit="1" customWidth="1"/>
    <col min="53" max="53" width="4.73046875" bestFit="1" customWidth="1"/>
    <col min="54" max="54" width="5.73046875" bestFit="1" customWidth="1"/>
    <col min="55" max="55" width="3.73046875" bestFit="1" customWidth="1"/>
    <col min="56" max="56" width="5.73046875" bestFit="1" customWidth="1"/>
    <col min="57" max="57" width="4.73046875" bestFit="1" customWidth="1"/>
    <col min="58" max="58" width="3.73046875" bestFit="1" customWidth="1"/>
    <col min="59" max="60" width="4.73046875" bestFit="1" customWidth="1"/>
  </cols>
  <sheetData>
    <row r="2" spans="2:60" ht="17.25" thickBot="1" x14ac:dyDescent="0.55000000000000004">
      <c r="B2" s="16" t="s">
        <v>200</v>
      </c>
      <c r="AJ2" s="2" t="s">
        <v>201</v>
      </c>
    </row>
    <row r="3" spans="2:60" ht="15" thickTop="1" thickBot="1" x14ac:dyDescent="0.5">
      <c r="B3" t="s">
        <v>202</v>
      </c>
      <c r="C3" t="s">
        <v>203</v>
      </c>
      <c r="D3" t="s">
        <v>204</v>
      </c>
      <c r="E3" t="s">
        <v>205</v>
      </c>
      <c r="F3" t="s">
        <v>206</v>
      </c>
      <c r="G3" t="s">
        <v>207</v>
      </c>
      <c r="H3" t="s">
        <v>208</v>
      </c>
      <c r="I3" t="s">
        <v>209</v>
      </c>
      <c r="J3" t="s">
        <v>210</v>
      </c>
      <c r="K3">
        <v>1</v>
      </c>
      <c r="L3">
        <v>39</v>
      </c>
      <c r="M3">
        <v>40</v>
      </c>
      <c r="N3">
        <v>41</v>
      </c>
      <c r="O3">
        <f>N3+18</f>
        <v>59</v>
      </c>
      <c r="P3">
        <f>O3+1</f>
        <v>60</v>
      </c>
      <c r="Q3">
        <f>P3+1</f>
        <v>61</v>
      </c>
      <c r="R3" s="20">
        <f>Q3+18</f>
        <v>79</v>
      </c>
      <c r="S3" s="20">
        <f>R3+1</f>
        <v>80</v>
      </c>
      <c r="T3" s="20">
        <f>S3+1</f>
        <v>81</v>
      </c>
      <c r="U3" s="20">
        <f>T3+18</f>
        <v>99</v>
      </c>
      <c r="V3" s="20">
        <f>U3+1</f>
        <v>100</v>
      </c>
      <c r="W3" s="20">
        <f>V3+1</f>
        <v>101</v>
      </c>
      <c r="X3" s="20">
        <f>W3+18</f>
        <v>119</v>
      </c>
      <c r="Y3" s="20">
        <f>X3+1</f>
        <v>120</v>
      </c>
      <c r="Z3" s="20">
        <f>Y3+1</f>
        <v>121</v>
      </c>
      <c r="AA3" s="20">
        <f>Z3+18</f>
        <v>139</v>
      </c>
      <c r="AB3" s="20">
        <f>AA3+1</f>
        <v>140</v>
      </c>
      <c r="AC3" s="20">
        <f>AB3+1</f>
        <v>141</v>
      </c>
      <c r="AD3" s="20">
        <f>AC3+18</f>
        <v>159</v>
      </c>
      <c r="AE3" s="20">
        <f>AD3+1</f>
        <v>160</v>
      </c>
      <c r="AF3" s="20">
        <f>AE3+1</f>
        <v>161</v>
      </c>
      <c r="AG3" s="20">
        <f>AF3+18</f>
        <v>179</v>
      </c>
      <c r="AH3" s="20">
        <f>AG3+1</f>
        <v>180</v>
      </c>
      <c r="AJ3" s="3" t="s">
        <v>211</v>
      </c>
      <c r="AK3" s="3">
        <f t="shared" ref="AK3:AY4" si="0">K3</f>
        <v>1</v>
      </c>
      <c r="AL3" s="3">
        <f t="shared" si="0"/>
        <v>39</v>
      </c>
      <c r="AM3" s="3">
        <f t="shared" si="0"/>
        <v>40</v>
      </c>
      <c r="AN3" s="3">
        <f t="shared" si="0"/>
        <v>41</v>
      </c>
      <c r="AO3" s="3">
        <f t="shared" si="0"/>
        <v>59</v>
      </c>
      <c r="AP3" s="3">
        <f t="shared" si="0"/>
        <v>60</v>
      </c>
      <c r="AQ3" s="3">
        <f t="shared" si="0"/>
        <v>61</v>
      </c>
      <c r="AR3" s="3">
        <f t="shared" si="0"/>
        <v>79</v>
      </c>
      <c r="AS3" s="3">
        <f t="shared" si="0"/>
        <v>80</v>
      </c>
      <c r="AT3" s="3">
        <f t="shared" si="0"/>
        <v>81</v>
      </c>
      <c r="AU3" s="3">
        <f t="shared" si="0"/>
        <v>99</v>
      </c>
      <c r="AV3" s="3">
        <f t="shared" si="0"/>
        <v>100</v>
      </c>
      <c r="AW3" s="3">
        <f t="shared" si="0"/>
        <v>101</v>
      </c>
      <c r="AX3" s="3">
        <f t="shared" si="0"/>
        <v>119</v>
      </c>
      <c r="AY3" s="3">
        <f t="shared" si="0"/>
        <v>120</v>
      </c>
      <c r="AZ3" s="21">
        <f t="shared" ref="AZ3:AZ5" si="1">Z3</f>
        <v>121</v>
      </c>
      <c r="BA3" s="21">
        <f t="shared" ref="BA3:BA5" si="2">AA3</f>
        <v>139</v>
      </c>
      <c r="BB3" s="21">
        <f t="shared" ref="BB3:BB5" si="3">AB3</f>
        <v>140</v>
      </c>
      <c r="BC3" s="21">
        <f t="shared" ref="BC3:BC5" si="4">AC3</f>
        <v>141</v>
      </c>
      <c r="BD3" s="21">
        <f t="shared" ref="BD3:BE5" si="5">AD3</f>
        <v>159</v>
      </c>
      <c r="BE3" s="21">
        <f t="shared" si="5"/>
        <v>160</v>
      </c>
      <c r="BF3" s="21">
        <f t="shared" ref="BF3:BF5" si="6">AF3</f>
        <v>161</v>
      </c>
      <c r="BG3" s="21">
        <f t="shared" ref="BG3:BG5" si="7">AG3</f>
        <v>179</v>
      </c>
      <c r="BH3" s="21">
        <f t="shared" ref="BH3:BH5" si="8">AH3</f>
        <v>180</v>
      </c>
    </row>
    <row r="4" spans="2:6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Z4">
        <f>W4</f>
        <v>1</v>
      </c>
      <c r="AA4" s="20">
        <f t="shared" ref="AA4:AE5" si="9">X4</f>
        <v>1.1100000000000001</v>
      </c>
      <c r="AB4" s="20">
        <f t="shared" si="9"/>
        <v>6.18</v>
      </c>
      <c r="AC4" s="20">
        <f t="shared" si="9"/>
        <v>1</v>
      </c>
      <c r="AD4" s="20">
        <f t="shared" si="9"/>
        <v>1.1100000000000001</v>
      </c>
      <c r="AE4" s="20">
        <f t="shared" si="9"/>
        <v>6.18</v>
      </c>
      <c r="AF4" s="20">
        <f t="shared" ref="AF4:AF5" si="10">AC4</f>
        <v>1</v>
      </c>
      <c r="AG4" s="20">
        <f t="shared" ref="AG4:AG5" si="11">AD4</f>
        <v>1.1100000000000001</v>
      </c>
      <c r="AH4" s="20">
        <f t="shared" ref="AH4:AH5" si="12">AE4</f>
        <v>6.18</v>
      </c>
      <c r="AJ4">
        <f t="shared" ref="AJ4:AY5" si="13">J4</f>
        <v>81</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c r="AT4">
        <f t="shared" si="0"/>
        <v>1</v>
      </c>
      <c r="AU4">
        <f t="shared" si="0"/>
        <v>1.1100000000000001</v>
      </c>
      <c r="AV4">
        <f t="shared" si="0"/>
        <v>6.18</v>
      </c>
      <c r="AW4">
        <f t="shared" si="0"/>
        <v>1</v>
      </c>
      <c r="AX4">
        <f t="shared" si="0"/>
        <v>1.1100000000000001</v>
      </c>
      <c r="AY4">
        <f t="shared" si="0"/>
        <v>6.18</v>
      </c>
      <c r="AZ4" s="20">
        <f t="shared" si="1"/>
        <v>1</v>
      </c>
      <c r="BA4" s="20">
        <f t="shared" si="2"/>
        <v>1.1100000000000001</v>
      </c>
      <c r="BB4" s="20">
        <f t="shared" si="3"/>
        <v>6.18</v>
      </c>
      <c r="BC4" s="20">
        <f t="shared" si="4"/>
        <v>1</v>
      </c>
      <c r="BD4" s="20">
        <f t="shared" si="5"/>
        <v>1.1100000000000001</v>
      </c>
      <c r="BE4" s="20">
        <f t="shared" si="5"/>
        <v>6.18</v>
      </c>
      <c r="BF4" s="20">
        <f t="shared" si="6"/>
        <v>1</v>
      </c>
      <c r="BG4" s="20">
        <f t="shared" si="7"/>
        <v>1.1100000000000001</v>
      </c>
      <c r="BH4" s="20">
        <f t="shared" si="8"/>
        <v>6.18</v>
      </c>
    </row>
    <row r="5" spans="2:6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Z5" s="20">
        <f>W5</f>
        <v>1</v>
      </c>
      <c r="AA5" s="20">
        <f t="shared" si="9"/>
        <v>1.48</v>
      </c>
      <c r="AB5" s="20">
        <f t="shared" si="9"/>
        <v>10</v>
      </c>
      <c r="AC5" s="20">
        <f t="shared" si="9"/>
        <v>1</v>
      </c>
      <c r="AD5" s="20">
        <f t="shared" si="9"/>
        <v>1.48</v>
      </c>
      <c r="AE5" s="20">
        <f t="shared" si="9"/>
        <v>10</v>
      </c>
      <c r="AF5" s="20">
        <f t="shared" si="10"/>
        <v>1</v>
      </c>
      <c r="AG5" s="20">
        <f t="shared" si="11"/>
        <v>1.48</v>
      </c>
      <c r="AH5" s="20">
        <f t="shared" si="12"/>
        <v>10</v>
      </c>
      <c r="AJ5">
        <f t="shared" si="13"/>
        <v>82</v>
      </c>
      <c r="AK5">
        <f t="shared" si="13"/>
        <v>1</v>
      </c>
      <c r="AL5">
        <f t="shared" si="13"/>
        <v>1.48</v>
      </c>
      <c r="AM5">
        <f t="shared" si="13"/>
        <v>10</v>
      </c>
      <c r="AN5">
        <f t="shared" si="13"/>
        <v>1</v>
      </c>
      <c r="AO5">
        <f t="shared" si="13"/>
        <v>1.48</v>
      </c>
      <c r="AP5">
        <f t="shared" si="13"/>
        <v>10</v>
      </c>
      <c r="AQ5">
        <f t="shared" si="13"/>
        <v>1</v>
      </c>
      <c r="AR5">
        <f t="shared" si="13"/>
        <v>1.48</v>
      </c>
      <c r="AS5">
        <f t="shared" si="13"/>
        <v>10</v>
      </c>
      <c r="AT5">
        <f t="shared" si="13"/>
        <v>1</v>
      </c>
      <c r="AU5">
        <f t="shared" si="13"/>
        <v>1.48</v>
      </c>
      <c r="AV5">
        <f t="shared" si="13"/>
        <v>10</v>
      </c>
      <c r="AW5">
        <f t="shared" si="13"/>
        <v>1</v>
      </c>
      <c r="AX5">
        <f t="shared" si="13"/>
        <v>1.48</v>
      </c>
      <c r="AY5">
        <f t="shared" si="13"/>
        <v>10</v>
      </c>
      <c r="AZ5" s="20">
        <f t="shared" si="1"/>
        <v>1</v>
      </c>
      <c r="BA5" s="20">
        <f t="shared" si="2"/>
        <v>1.48</v>
      </c>
      <c r="BB5" s="20">
        <f t="shared" si="3"/>
        <v>10</v>
      </c>
      <c r="BC5" s="20">
        <f t="shared" si="4"/>
        <v>1</v>
      </c>
      <c r="BD5" s="20">
        <f t="shared" si="5"/>
        <v>1.48</v>
      </c>
      <c r="BE5" s="20">
        <f t="shared" si="5"/>
        <v>10</v>
      </c>
      <c r="BF5" s="20">
        <f t="shared" si="6"/>
        <v>1</v>
      </c>
      <c r="BG5" s="20">
        <f t="shared" si="7"/>
        <v>1.48</v>
      </c>
      <c r="BH5" s="20">
        <f t="shared" si="8"/>
        <v>10</v>
      </c>
    </row>
    <row r="7" spans="2:60" ht="17.25" thickBot="1" x14ac:dyDescent="0.55000000000000004">
      <c r="AJ7" s="2" t="s">
        <v>201</v>
      </c>
    </row>
    <row r="8" spans="2:6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J8" s="3" t="s">
        <v>211</v>
      </c>
      <c r="AK8" s="3">
        <f t="shared" ref="AK8:AZ10" si="14">I8</f>
        <v>1</v>
      </c>
      <c r="AL8" s="3">
        <f t="shared" si="14"/>
        <v>29</v>
      </c>
      <c r="AM8" s="3">
        <f t="shared" si="14"/>
        <v>30</v>
      </c>
      <c r="AN8" s="3">
        <f t="shared" si="14"/>
        <v>31</v>
      </c>
      <c r="AO8" s="3">
        <f t="shared" si="14"/>
        <v>59</v>
      </c>
      <c r="AP8" s="3">
        <f t="shared" si="14"/>
        <v>60</v>
      </c>
      <c r="AQ8" s="3">
        <f t="shared" si="14"/>
        <v>61</v>
      </c>
      <c r="AR8" s="3">
        <f t="shared" si="14"/>
        <v>89</v>
      </c>
      <c r="AS8" s="3">
        <f t="shared" si="14"/>
        <v>90</v>
      </c>
      <c r="AT8" s="3">
        <f t="shared" si="14"/>
        <v>91</v>
      </c>
      <c r="AU8" s="3">
        <f t="shared" si="14"/>
        <v>119</v>
      </c>
      <c r="AV8" s="3">
        <f t="shared" si="14"/>
        <v>120</v>
      </c>
      <c r="AW8" s="3">
        <f t="shared" si="14"/>
        <v>121</v>
      </c>
      <c r="AX8" s="3">
        <f t="shared" si="14"/>
        <v>149</v>
      </c>
      <c r="AY8" s="3">
        <f t="shared" si="14"/>
        <v>150</v>
      </c>
      <c r="AZ8" s="3">
        <f t="shared" si="14"/>
        <v>151</v>
      </c>
      <c r="BA8" s="3">
        <f t="shared" ref="AU8:BD10" si="15">Y8</f>
        <v>179</v>
      </c>
      <c r="BB8" s="3">
        <f t="shared" si="15"/>
        <v>180</v>
      </c>
      <c r="BC8" s="3">
        <f t="shared" si="15"/>
        <v>181</v>
      </c>
      <c r="BD8" s="3">
        <f t="shared" si="15"/>
        <v>200</v>
      </c>
    </row>
    <row r="9" spans="2:6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J9">
        <f t="shared" ref="AJ9:AJ10" si="16">H9</f>
        <v>83</v>
      </c>
      <c r="AK9">
        <f t="shared" si="14"/>
        <v>1</v>
      </c>
      <c r="AL9">
        <f t="shared" si="14"/>
        <v>1</v>
      </c>
      <c r="AM9">
        <f t="shared" si="14"/>
        <v>3.72</v>
      </c>
      <c r="AN9">
        <f t="shared" si="14"/>
        <v>1</v>
      </c>
      <c r="AO9">
        <f t="shared" si="14"/>
        <v>1</v>
      </c>
      <c r="AP9">
        <f t="shared" si="14"/>
        <v>3.72</v>
      </c>
      <c r="AQ9">
        <f t="shared" si="14"/>
        <v>1</v>
      </c>
      <c r="AR9">
        <f t="shared" si="14"/>
        <v>1</v>
      </c>
      <c r="AS9">
        <f t="shared" si="14"/>
        <v>3.72</v>
      </c>
      <c r="AT9">
        <f t="shared" si="14"/>
        <v>1</v>
      </c>
      <c r="AU9">
        <f t="shared" si="15"/>
        <v>1</v>
      </c>
      <c r="AV9">
        <f t="shared" si="15"/>
        <v>3.72</v>
      </c>
      <c r="AW9">
        <f t="shared" si="15"/>
        <v>1</v>
      </c>
      <c r="AX9">
        <f t="shared" si="15"/>
        <v>1</v>
      </c>
      <c r="AY9">
        <f t="shared" si="15"/>
        <v>3.72</v>
      </c>
      <c r="AZ9">
        <f t="shared" si="15"/>
        <v>1</v>
      </c>
      <c r="BA9">
        <f t="shared" si="15"/>
        <v>1</v>
      </c>
      <c r="BB9">
        <f t="shared" si="15"/>
        <v>3.72</v>
      </c>
      <c r="BC9">
        <f t="shared" si="15"/>
        <v>1</v>
      </c>
      <c r="BD9">
        <f t="shared" si="15"/>
        <v>3.72</v>
      </c>
    </row>
    <row r="10" spans="2:6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J10">
        <f t="shared" si="16"/>
        <v>84</v>
      </c>
      <c r="AK10">
        <f t="shared" si="14"/>
        <v>1</v>
      </c>
      <c r="AL10">
        <f t="shared" si="14"/>
        <v>1</v>
      </c>
      <c r="AM10">
        <f t="shared" si="14"/>
        <v>13.27</v>
      </c>
      <c r="AN10">
        <f t="shared" si="14"/>
        <v>1</v>
      </c>
      <c r="AO10">
        <f t="shared" si="14"/>
        <v>1</v>
      </c>
      <c r="AP10">
        <f t="shared" si="14"/>
        <v>13.27</v>
      </c>
      <c r="AQ10">
        <f t="shared" si="14"/>
        <v>1</v>
      </c>
      <c r="AR10">
        <f t="shared" si="14"/>
        <v>1</v>
      </c>
      <c r="AS10">
        <f t="shared" si="14"/>
        <v>13.27</v>
      </c>
      <c r="AT10">
        <f t="shared" si="14"/>
        <v>1</v>
      </c>
      <c r="AU10">
        <f t="shared" si="15"/>
        <v>1</v>
      </c>
      <c r="AV10">
        <f t="shared" si="15"/>
        <v>13.27</v>
      </c>
      <c r="AW10">
        <f t="shared" si="15"/>
        <v>1</v>
      </c>
      <c r="AX10">
        <f t="shared" si="15"/>
        <v>1</v>
      </c>
      <c r="AY10">
        <f t="shared" si="15"/>
        <v>13.27</v>
      </c>
      <c r="AZ10">
        <f t="shared" si="15"/>
        <v>1</v>
      </c>
      <c r="BA10">
        <f t="shared" si="15"/>
        <v>1</v>
      </c>
      <c r="BB10">
        <f t="shared" si="15"/>
        <v>13.27</v>
      </c>
      <c r="BC10">
        <f t="shared" si="15"/>
        <v>1</v>
      </c>
      <c r="BD10">
        <f t="shared" si="15"/>
        <v>13.27</v>
      </c>
    </row>
    <row r="13" spans="2:60" x14ac:dyDescent="0.45">
      <c r="B13" s="16" t="s">
        <v>222</v>
      </c>
    </row>
    <row r="14" spans="2:60" x14ac:dyDescent="0.45">
      <c r="B14" s="18" t="s">
        <v>223</v>
      </c>
      <c r="C14" s="18"/>
      <c r="D14" s="18"/>
    </row>
    <row r="15" spans="2:60" x14ac:dyDescent="0.45">
      <c r="B15" s="18" t="s">
        <v>224</v>
      </c>
      <c r="C15" s="18"/>
      <c r="D15" s="18"/>
    </row>
    <row r="16" spans="2:6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AJ4</f>
        <v>81</v>
      </c>
      <c r="L22">
        <v>2</v>
      </c>
    </row>
    <row r="23" spans="2:12" x14ac:dyDescent="0.45">
      <c r="B23" s="18" t="s">
        <v>240</v>
      </c>
      <c r="C23" s="18" t="s">
        <v>234</v>
      </c>
      <c r="D23" s="18">
        <v>226</v>
      </c>
      <c r="H23" t="s">
        <v>239</v>
      </c>
      <c r="I23" t="s">
        <v>80</v>
      </c>
      <c r="K23">
        <f>AJ5</f>
        <v>82</v>
      </c>
      <c r="L23">
        <v>2</v>
      </c>
    </row>
    <row r="24" spans="2:12" x14ac:dyDescent="0.45">
      <c r="B24" s="18" t="s">
        <v>241</v>
      </c>
      <c r="C24" s="18" t="s">
        <v>230</v>
      </c>
      <c r="D24" s="18">
        <v>174</v>
      </c>
      <c r="H24" t="s">
        <v>239</v>
      </c>
      <c r="I24" t="s">
        <v>22</v>
      </c>
      <c r="K24">
        <f>AJ9</f>
        <v>83</v>
      </c>
      <c r="L24">
        <v>2</v>
      </c>
    </row>
    <row r="25" spans="2:12" x14ac:dyDescent="0.45">
      <c r="B25" s="18" t="s">
        <v>242</v>
      </c>
      <c r="C25" s="18" t="s">
        <v>230</v>
      </c>
      <c r="D25" s="18">
        <v>258</v>
      </c>
      <c r="H25" t="s">
        <v>239</v>
      </c>
      <c r="I25" t="s">
        <v>15</v>
      </c>
      <c r="K25">
        <f>AJ10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CB6B-18A0-47FE-98AC-84F99BF1E696}">
  <dimension ref="B3:M23"/>
  <sheetViews>
    <sheetView workbookViewId="0">
      <selection activeCell="E23" sqref="E23"/>
    </sheetView>
  </sheetViews>
  <sheetFormatPr defaultRowHeight="14.25" x14ac:dyDescent="0.45"/>
  <cols>
    <col min="2" max="2" width="15.19921875" bestFit="1" customWidth="1"/>
    <col min="3" max="3" width="14.33203125" bestFit="1" customWidth="1"/>
    <col min="4" max="4" width="4.796875" bestFit="1" customWidth="1"/>
  </cols>
  <sheetData>
    <row r="3" spans="2:4" x14ac:dyDescent="0.45">
      <c r="B3" s="19" t="s">
        <v>248</v>
      </c>
    </row>
    <row r="4" spans="2:4" x14ac:dyDescent="0.45">
      <c r="B4" t="s">
        <v>249</v>
      </c>
      <c r="C4" t="s">
        <v>250</v>
      </c>
      <c r="D4" t="s">
        <v>251</v>
      </c>
    </row>
    <row r="5" spans="2:4" x14ac:dyDescent="0.45">
      <c r="B5" t="s">
        <v>252</v>
      </c>
      <c r="C5" t="s">
        <v>253</v>
      </c>
      <c r="D5" t="s">
        <v>254</v>
      </c>
    </row>
    <row r="6" spans="2:4" x14ac:dyDescent="0.45">
      <c r="B6" t="s">
        <v>255</v>
      </c>
      <c r="C6" t="s">
        <v>256</v>
      </c>
      <c r="D6" t="s">
        <v>254</v>
      </c>
    </row>
    <row r="7" spans="2:4" x14ac:dyDescent="0.45">
      <c r="B7" t="s">
        <v>257</v>
      </c>
      <c r="C7" t="s">
        <v>258</v>
      </c>
      <c r="D7" t="s">
        <v>259</v>
      </c>
    </row>
    <row r="17" spans="2:13" x14ac:dyDescent="0.45">
      <c r="B17" t="s">
        <v>260</v>
      </c>
    </row>
    <row r="20" spans="2:13" x14ac:dyDescent="0.45">
      <c r="H20" s="19" t="s">
        <v>261</v>
      </c>
    </row>
    <row r="21" spans="2:13" x14ac:dyDescent="0.45">
      <c r="B21" t="s">
        <v>262</v>
      </c>
      <c r="C21" t="s">
        <v>236</v>
      </c>
      <c r="D21" t="s">
        <v>263</v>
      </c>
      <c r="E21" t="s">
        <v>264</v>
      </c>
      <c r="F21" t="s">
        <v>265</v>
      </c>
      <c r="G21" t="s">
        <v>266</v>
      </c>
      <c r="H21" t="s">
        <v>267</v>
      </c>
      <c r="I21" t="s">
        <v>268</v>
      </c>
      <c r="J21" t="s">
        <v>269</v>
      </c>
      <c r="K21" t="s">
        <v>270</v>
      </c>
      <c r="L21" t="s">
        <v>271</v>
      </c>
      <c r="M21" t="s">
        <v>272</v>
      </c>
    </row>
    <row r="22" spans="2:13" x14ac:dyDescent="0.45">
      <c r="B22" t="s">
        <v>273</v>
      </c>
      <c r="C22" t="s">
        <v>274</v>
      </c>
      <c r="E22" t="s">
        <v>275</v>
      </c>
      <c r="I22">
        <v>1</v>
      </c>
      <c r="K22">
        <v>0</v>
      </c>
      <c r="L22">
        <v>5</v>
      </c>
      <c r="M22" t="s">
        <v>276</v>
      </c>
    </row>
    <row r="23" spans="2:13" x14ac:dyDescent="0.45">
      <c r="G23" t="s">
        <v>277</v>
      </c>
      <c r="J23">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2026-06-05T11:49:28Z</dcterms:modified>
</cp:coreProperties>
</file>