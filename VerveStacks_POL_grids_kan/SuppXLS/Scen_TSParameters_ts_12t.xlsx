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65938FFD-B3FF-4C7B-BB6B-43A0C8E6892E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BI9" i="9"/>
  <c r="AU9" i="9"/>
  <c r="AF9" i="9"/>
  <c r="Q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<sst xmlns="http://schemas.openxmlformats.org/spreadsheetml/2006/main" count="2597" uniqueCount="186">
  <si>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</si>
  <si>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</si>
  <si>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</si>
  <si>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</si>
  <si>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</si>
  <si>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</si>
  <si>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</si>
  <si>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</si>
  <si>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</si>
  <si>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</si>
  <si>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</si>
  <si>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</si>
  <si>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</si>
  <si>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</si>
  <si>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</si>
  <si>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</si>
  <si>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</si>
  <si>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</si>
  <si>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</si>
  <si>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</si>
  <si>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</si>
  <si>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</si>
  <si>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</si>
  <si>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</si>
  <si>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</si>
  <si>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</si>
  <si>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</si>
  <si>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</si>
  <si>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</si>
  <si>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</si>
  <si>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</si>
  <si>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</si>
  <si>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</si>
  <si>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</si>
  <si>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</si>
  <si>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</si>
  <si>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</si>
  <si>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F</t>
  </si>
  <si>
    <t>a</t>
  </si>
  <si>
    <t>D</t>
  </si>
  <si>
    <t>W,R,S,F</t>
  </si>
  <si>
    <t>R</t>
  </si>
  <si>
    <t>N</t>
  </si>
  <si>
    <t>S</t>
  </si>
  <si>
    <t>P</t>
  </si>
  <si>
    <t>W</t>
  </si>
  <si>
    <t>VERVESTACKS - the open USE platform · Powered by data · Shaped by vision · Guided by intuition · Fueled by passion</t>
  </si>
  <si>
    <t>ts_12t</t>
  </si>
  <si>
    <t>commodity</t>
  </si>
  <si>
    <t>timeslice</t>
  </si>
  <si>
    <t>com_fr</t>
  </si>
  <si>
    <t>process</t>
  </si>
  <si>
    <t>elc_spv_POL_001</t>
  </si>
  <si>
    <t>FaD</t>
  </si>
  <si>
    <t>IMPNRGZ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</si>
  <si>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</si>
  <si>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</si>
  <si>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</si>
  <si>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</si>
  <si>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</si>
  <si>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</si>
  <si>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</si>
  <si>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</si>
  <si>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</si>
  <si>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</si>
  <si>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</si>
  <si>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</si>
  <si>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</si>
  <si>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</si>
  <si>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</si>
  <si>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</si>
  <si>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</si>
  <si>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</si>
  <si>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</si>
  <si>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</si>
  <si>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</si>
  <si>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</si>
  <si>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</si>
  <si>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</si>
  <si>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</si>
  <si>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</si>
  <si>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</si>
  <si>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</si>
  <si>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</si>
  <si>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</si>
  <si>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</si>
  <si>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</si>
  <si>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</si>
  <si>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</si>
  <si>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</si>
  <si>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</si>
  <si>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</si>
  <si>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</si>
  <si>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</si>
  <si>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</si>
  <si>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</si>
  <si>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</si>
  <si>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</si>
  <si>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</si>
  <si>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</si>
  <si>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</si>
  <si>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</si>
  <si>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</si>
  <si>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</si>
  <si>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</si>
  <si>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</si>
  <si>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</si>
  <si>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</si>
  <si>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</si>
  <si>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</si>
  <si>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</si>
  <si>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</si>
  <si>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</si>
  <si>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</si>
  <si>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</si>
  <si>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</si>
  <si>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</si>
  <si>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</si>
  <si>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</si>
  <si>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</si>
  <si>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</si>
  <si>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</si>
  <si>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</si>
  <si>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</si>
  <si>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</si>
  <si>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</si>
  <si>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</si>
  <si>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</si>
  <si>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</si>
  <si>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</si>
  <si>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</si>
  <si>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</si>
  <si>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</si>
  <si>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</si>
  <si>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</si>
  <si>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</si>
  <si>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</si>
  <si>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</si>
  <si>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</si>
  <si>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</si>
  <si>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</si>
  <si>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</si>
  <si>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</si>
  <si>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</si>
  <si>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</si>
  <si>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</si>
  <si>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</si>
  <si>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</si>
  <si>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</si>
  <si>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</si>
  <si>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</si>
  <si>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</si>
  <si>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</si>
  <si>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</si>
  <si>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</si>
  <si>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</si>
  <si>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</si>
  <si>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</si>
  <si>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</si>
  <si>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</si>
  <si>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</si>
  <si>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</si>
  <si>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</si>
  <si>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</si>
  <si>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</si>
  <si>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</si>
  <si>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</si>
  <si>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</si>
  <si>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</si>
  <si>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</si>
  <si>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</si>
  <si>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</si>
  <si>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</si>
  <si>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</si>
  <si>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</si>
  <si>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</si>
  <si>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</si>
  <si>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RaD,FaD,SaD,FaP,SaP,WaD,RaP,WaP</t>
  </si>
  <si>
    <t>SaN,WaN,FaN,RaP,WaP,FaP,SaP,RaN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</si>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</sst>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"/>
  </numFmts>
  <fonts count="9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b/>
      <sz val="9"/>
      <color rgb="FFFFFFFF"/>
      <name val="Segoe UI"/>
      <family val="2"/>
    </font>
    <font>
      <i/>
      <sz val="7"/>
      <color rgb="FF969696"/>
      <name val="Consolas"/>
      <family val="3"/>
    </font>
    <font>
      <b/>
      <sz val="10"/>
      <color rgb="FFFFFFFF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rgb="FF19375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9F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25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  <xf numFmtId="0" fontId="7" fillId="0" borderId="0" xfId="0" applyFont="1"/>
    <xf numFmtId="0" fontId="8" fillId="5" borderId="5" xfId="0" applyFont="1" applyFill="1" applyBorder="1"/>
    <xf numFmtId="0" fontId="5" fillId="6" borderId="4" xfId="0" applyFont="1" applyFill="1" applyBorder="1"/>
    <xf numFmtId="0" fontId="5" fillId="0" borderId="4" xfId="0" applyFont="1" applyBorder="1"/>
    <xf numFmtId="164" fontId="5" fillId="6" borderId="4" xfId="0" applyNumberFormat="1" applyFont="1" applyFill="1" applyBorder="1"/>
    <xf numFmtId="164" fontId="5" fillId="0" borderId="4" xfId="0" applyNumberFormat="1" applyFont="1" applyBorder="1"/>
    <xf numFmtId="165" fontId="5" fillId="6" borderId="4" xfId="0" applyNumberFormat="1" applyFont="1" applyFill="1" applyBorder="1"/>
    <xf numFmtId="165" fontId="5" fillId="0" borderId="4" xfId="0" applyNumberFormat="1" applyFont="1" applyBorder="1"/>
    <xf numFmtId="166" fontId="5" fillId="6" borderId="4" xfId="0" applyNumberFormat="1" applyFont="1" applyFill="1" applyBorder="1"/>
    <xf numFmtId="166" fontId="5" fillId="0" borderId="4" xfId="0" applyNumberFormat="1" applyFont="1" applyBorder="1"/>
    <xf numFmtId="0" fontId="5" fillId="3" borderId="4" xfId="0" applyFont="1" applyFill="1" applyBorder="1"/>
    <xf numFmtId="0" fontId="6" fillId="4" borderId="4" xfId="0" applyFont="1" applyFill="1" applyBorder="1" applyAlignment="1">
      <alignment horizontal="left" vertical="center"/>
    </xf>
    <xf numFmtId="0" fontId="8" fillId="5" borderId="5" xfId="0" applyFont="1" applyFill="1" applyBorder="1" applyAlignment="1"/>
    <xf numFmtId="167" fontId="5" fillId="6" borderId="4" xfId="0" applyNumberFormat="1" applyFont="1" applyFill="1" applyBorder="1" applyAlignment="1"/>
    <xf numFmtId="0" fontId="5" fillId="6" borderId="4" xfId="0" applyFont="1" applyFill="1" applyBorder="1" applyAlignment="1"/>
    <xf numFmtId="165" fontId="5" fillId="6" borderId="4" xfId="0" applyNumberFormat="1" applyFont="1" applyFill="1" applyBorder="1" applyAlignment="1"/>
    <xf numFmtId="167" fontId="5" fillId="0" borderId="4" xfId="0" applyNumberFormat="1" applyFont="1" applyBorder="1" applyAlignment="1"/>
    <xf numFmtId="0" fontId="5" fillId="0" borderId="4" xfId="0" applyFont="1" applyBorder="1" applyAlignment="1"/>
    <xf numFmtId="165" fontId="5" fillId="0" borderId="4" xfId="0" applyNumberFormat="1" applyFont="1" applyBorder="1" applyAlignment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8652D5-8646-FA93-9C75-727003D7E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909CC8-2060-DD24-0E8A-B9440AFC8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296862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15B3FD-BEA1-20E4-B073-D975D72349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63500</xdr:colOff>
      <xdr:row>0</xdr:row>
      <xdr:rowOff>12700</xdr:rowOff>
    </xdr:from>
    <xdr:to>
      <xdr:col>13</xdr:col>
      <xdr:colOff>296862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51F885-E3A3-F60D-C025-FE81207361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359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E1832B-1736-80C5-77C3-125957B2A5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B6D6D2-FBA2-DEF3-CBA3-391BED290A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871C09-05CF-A2F1-E2FB-E944889973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88C5FC-5BDC-7683-E59B-3DF4DE1F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:N32"/>
  <sheetViews>
    <sheetView workbookViewId="0">
      <selection activeCell="C29" sqref="C29"/>
    </sheetView>
  </sheetViews>
  <sheetFormatPr defaultRowHeight="14.25" x14ac:dyDescent="0.45"/>
  <cols>
    <col min="3" max="3" width="10.59765625" customWidth="1"/>
    <col min="4" max="4" width="26.1328125" bestFit="1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/>
    <row r="10" spans="1:8" ht="15.75" thickBot="1" x14ac:dyDescent="0.6">
      <c r="A10" t="str">
        <f>IFERROR([1]Veda!D5,"ts_12t")</f>
        <v>ts_12t</v>
      </c>
      <c r="B10" s="5"/>
      <c r="C10" s="7" t="s">
        <v>176</v>
      </c>
      <c r="D10" s="7" t="s">
        <v>47</v>
      </c>
    </row>
    <row r="11" spans="1:8" x14ac:dyDescent="0.45">
      <c r="B11" s="5"/>
      <c r="C11" s="8" t="s">
        <v>39</v>
      </c>
      <c r="D11" s="8" t="s">
        <v>177</v>
      </c>
    </row>
    <row r="12" spans="1:8" x14ac:dyDescent="0.45">
      <c r="B12" s="5"/>
      <c r="C12" s="16" t="s">
        <v>42</v>
      </c>
      <c r="D12" s="9" t="s">
        <v>178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SaN,WaN,FaN,RaP,WaP,FaP,SaP,RaN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RaD,FaD,SaD,FaP,SaP,WaD,RaP,WaP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6D39B-53C8-4FF5-BDF9-807F8A486732}">
  <dimension ref="A1:H14"/>
  <sheetViews>
    <sheetView workbookViewId="0">
      <selection sqref="A1:H1"/>
    </sheetView>
  </sheetViews>
  <sheetFormatPr defaultRowHeight="14.25" x14ac:dyDescent="0.45"/>
  <cols>
    <col min="3" max="7" width="10.59765625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>
      <c r="C9" s="6" t="str">
        <f>IF(A11="x","DeActivated","~TimeSlices")</f>
        <v>~TimeSlices</v>
      </c>
    </row>
    <row r="10" spans="1:8" ht="15.75" thickBot="1" x14ac:dyDescent="0.6">
      <c r="A10" t="s">
        <v>47</v>
      </c>
      <c r="C10" s="7" t="s">
        <v>32</v>
      </c>
      <c r="D10" s="7" t="s">
        <v>33</v>
      </c>
      <c r="E10" s="7" t="s">
        <v>34</v>
      </c>
      <c r="F10" s="7" t="s">
        <v>35</v>
      </c>
      <c r="G10" s="7" t="s">
        <v>36</v>
      </c>
    </row>
    <row r="11" spans="1:8" x14ac:dyDescent="0.45">
      <c r="A11" t="str">
        <f>IFERROR(IF([1]Veda!D5=A10,"ok","x"),"")</f>
        <v/>
      </c>
      <c r="C11" s="8" t="s">
        <v>37</v>
      </c>
      <c r="D11" s="8" t="s">
        <v>38</v>
      </c>
      <c r="E11" s="8" t="s">
        <v>39</v>
      </c>
      <c r="F11" s="8" t="s">
        <v>40</v>
      </c>
      <c r="G11" s="8" t="s">
        <v>38</v>
      </c>
    </row>
    <row r="12" spans="1:8" x14ac:dyDescent="0.45">
      <c r="C12" s="9" t="s">
        <v>41</v>
      </c>
      <c r="D12" s="9"/>
      <c r="E12" s="9" t="s">
        <v>42</v>
      </c>
      <c r="F12" s="9"/>
      <c r="G12" s="9" t="s">
        <v>38</v>
      </c>
    </row>
    <row r="13" spans="1:8" x14ac:dyDescent="0.45">
      <c r="C13" s="8" t="s">
        <v>43</v>
      </c>
      <c r="D13" s="8"/>
      <c r="E13" s="8" t="s">
        <v>44</v>
      </c>
      <c r="F13" s="8"/>
      <c r="G13" s="8" t="s">
        <v>38</v>
      </c>
    </row>
    <row r="14" spans="1:8" x14ac:dyDescent="0.45">
      <c r="C14" s="9" t="s">
        <v>45</v>
      </c>
      <c r="D14" s="9"/>
      <c r="E14" s="9"/>
      <c r="F14" s="9"/>
      <c r="G14" s="9"/>
    </row>
  </sheetData>
  <mergeCells count="1">
    <mergeCell ref="A1:H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8C98-A5DB-4ED8-947F-9DE42B5308C7}">
  <dimension ref="A1:O250"/>
  <sheetViews>
    <sheetView workbookViewId="0">
      <selection sqref="A1:H1"/>
    </sheetView>
  </sheetViews>
  <sheetFormatPr defaultRowHeight="14.25" x14ac:dyDescent="0.45"/>
  <cols>
    <col min="2" max="2" width="12.53125" bestFit="1" customWidth="1"/>
    <col min="3" max="5" width="10.59765625" customWidth="1"/>
    <col min="7" max="7" width="13.19921875" bestFit="1" customWidth="1"/>
    <col min="8" max="10" width="10.59765625" customWidth="1"/>
    <col min="12" max="12" width="12.796875" bestFit="1" customWidth="1"/>
    <col min="13" max="15" width="10.59765625" customWidth="1"/>
  </cols>
  <sheetData>
    <row r="1" spans="1:15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15" ht="14.65" thickBot="1" x14ac:dyDescent="0.5">
      <c r="B9" s="6" t="str">
        <f>IF(A11="x","DeActivated","~TFM_DINS-AT")</f>
        <v>~TFM_DINS-AT</v>
      </c>
      <c r="G9" s="6" t="str">
        <f>IF(A11="x","DeActivated","~TFM_DINS-AT")</f>
        <v>~TFM_DINS-AT</v>
      </c>
      <c r="L9" s="6" t="str">
        <f>IF(A11="x","DeActivated","~TFM_DINS-AT")</f>
        <v>~TFM_DINS-AT</v>
      </c>
    </row>
    <row r="10" spans="1:15" ht="15.75" thickBot="1" x14ac:dyDescent="0.6">
      <c r="B10" s="7" t="s">
        <v>48</v>
      </c>
      <c r="C10" s="7" t="s">
        <v>49</v>
      </c>
      <c r="D10" s="7" t="s">
        <v>50</v>
      </c>
      <c r="E10" s="7" t="s">
        <v>51</v>
      </c>
      <c r="G10" s="7" t="s">
        <v>48</v>
      </c>
      <c r="H10" s="7" t="s">
        <v>49</v>
      </c>
      <c r="I10" s="7" t="s">
        <v>50</v>
      </c>
      <c r="J10" s="7" t="s">
        <v>51</v>
      </c>
      <c r="L10" s="7" t="s">
        <v>48</v>
      </c>
      <c r="M10" s="7" t="s">
        <v>49</v>
      </c>
      <c r="N10" s="7" t="s">
        <v>50</v>
      </c>
      <c r="O10" s="7" t="s">
        <v>51</v>
      </c>
    </row>
    <row r="11" spans="1:15" x14ac:dyDescent="0.45">
      <c r="B11" s="8" t="s">
        <v>52</v>
      </c>
      <c r="C11" s="8" t="s">
        <v>53</v>
      </c>
      <c r="D11" s="10">
        <v>0.15704947325716187</v>
      </c>
      <c r="E11" s="8" t="s">
        <v>54</v>
      </c>
      <c r="G11" s="8" t="s">
        <v>85</v>
      </c>
      <c r="H11" s="8" t="s">
        <v>53</v>
      </c>
      <c r="I11" s="12">
        <v>0.10619002366058101</v>
      </c>
      <c r="J11" s="8" t="s">
        <v>54</v>
      </c>
      <c r="L11" s="8" t="s">
        <v>105</v>
      </c>
      <c r="M11" s="8" t="s">
        <v>53</v>
      </c>
      <c r="N11" s="12">
        <v>0.11977587456047273</v>
      </c>
      <c r="O11" s="8" t="s">
        <v>54</v>
      </c>
    </row>
    <row r="12" spans="1:15" x14ac:dyDescent="0.45">
      <c r="B12" s="9" t="s">
        <v>52</v>
      </c>
      <c r="C12" s="9" t="s">
        <v>55</v>
      </c>
      <c r="D12" s="11">
        <v>6.2460298604412919E-5</v>
      </c>
      <c r="E12" s="9" t="s">
        <v>54</v>
      </c>
      <c r="G12" s="9" t="s">
        <v>85</v>
      </c>
      <c r="H12" s="9" t="s">
        <v>55</v>
      </c>
      <c r="I12" s="13">
        <v>0.13016706527147004</v>
      </c>
      <c r="J12" s="9" t="s">
        <v>54</v>
      </c>
      <c r="L12" s="9" t="s">
        <v>105</v>
      </c>
      <c r="M12" s="9" t="s">
        <v>55</v>
      </c>
      <c r="N12" s="13">
        <v>0.12993875866802634</v>
      </c>
      <c r="O12" s="9" t="s">
        <v>54</v>
      </c>
    </row>
    <row r="13" spans="1:15" x14ac:dyDescent="0.45">
      <c r="B13" s="8" t="s">
        <v>52</v>
      </c>
      <c r="C13" s="8" t="s">
        <v>56</v>
      </c>
      <c r="D13" s="10">
        <v>9.4528833397579549E-3</v>
      </c>
      <c r="E13" s="8" t="s">
        <v>54</v>
      </c>
      <c r="G13" s="8" t="s">
        <v>85</v>
      </c>
      <c r="H13" s="8" t="s">
        <v>56</v>
      </c>
      <c r="I13" s="12">
        <v>2.2619927568028726E-2</v>
      </c>
      <c r="J13" s="8" t="s">
        <v>54</v>
      </c>
      <c r="L13" s="8" t="s">
        <v>105</v>
      </c>
      <c r="M13" s="8" t="s">
        <v>56</v>
      </c>
      <c r="N13" s="12">
        <v>2.4211348988096439E-2</v>
      </c>
      <c r="O13" s="8" t="s">
        <v>54</v>
      </c>
    </row>
    <row r="14" spans="1:15" x14ac:dyDescent="0.45">
      <c r="B14" s="9" t="s">
        <v>52</v>
      </c>
      <c r="C14" s="9" t="s">
        <v>57</v>
      </c>
      <c r="D14" s="11">
        <v>0.29014308397215793</v>
      </c>
      <c r="E14" s="9" t="s">
        <v>54</v>
      </c>
      <c r="G14" s="9" t="s">
        <v>85</v>
      </c>
      <c r="H14" s="9" t="s">
        <v>57</v>
      </c>
      <c r="I14" s="13">
        <v>0.10545880879142761</v>
      </c>
      <c r="J14" s="9" t="s">
        <v>54</v>
      </c>
      <c r="L14" s="9" t="s">
        <v>105</v>
      </c>
      <c r="M14" s="9" t="s">
        <v>57</v>
      </c>
      <c r="N14" s="13">
        <v>9.8171165887551565E-2</v>
      </c>
      <c r="O14" s="9" t="s">
        <v>54</v>
      </c>
    </row>
    <row r="15" spans="1:15" x14ac:dyDescent="0.45">
      <c r="B15" s="8" t="s">
        <v>52</v>
      </c>
      <c r="C15" s="8" t="s">
        <v>58</v>
      </c>
      <c r="D15" s="10">
        <v>6.7850140434783275E-3</v>
      </c>
      <c r="E15" s="8" t="s">
        <v>54</v>
      </c>
      <c r="G15" s="8" t="s">
        <v>85</v>
      </c>
      <c r="H15" s="8" t="s">
        <v>58</v>
      </c>
      <c r="I15" s="12">
        <v>0.13711718392146482</v>
      </c>
      <c r="J15" s="8" t="s">
        <v>54</v>
      </c>
      <c r="L15" s="8" t="s">
        <v>105</v>
      </c>
      <c r="M15" s="8" t="s">
        <v>58</v>
      </c>
      <c r="N15" s="12">
        <v>0.11787996782800067</v>
      </c>
      <c r="O15" s="8" t="s">
        <v>54</v>
      </c>
    </row>
    <row r="16" spans="1:15" x14ac:dyDescent="0.45">
      <c r="B16" s="9" t="s">
        <v>52</v>
      </c>
      <c r="C16" s="9" t="s">
        <v>59</v>
      </c>
      <c r="D16" s="11">
        <v>3.0623901116240377E-2</v>
      </c>
      <c r="E16" s="9" t="s">
        <v>54</v>
      </c>
      <c r="G16" s="9" t="s">
        <v>85</v>
      </c>
      <c r="H16" s="9" t="s">
        <v>59</v>
      </c>
      <c r="I16" s="13">
        <v>1.996919234582064E-2</v>
      </c>
      <c r="J16" s="9" t="s">
        <v>54</v>
      </c>
      <c r="L16" s="9" t="s">
        <v>105</v>
      </c>
      <c r="M16" s="9" t="s">
        <v>59</v>
      </c>
      <c r="N16" s="13">
        <v>1.9408842504092538E-2</v>
      </c>
      <c r="O16" s="9" t="s">
        <v>54</v>
      </c>
    </row>
    <row r="17" spans="2:15" x14ac:dyDescent="0.45">
      <c r="B17" s="8" t="s">
        <v>52</v>
      </c>
      <c r="C17" s="8" t="s">
        <v>60</v>
      </c>
      <c r="D17" s="10">
        <v>0.3583383275776188</v>
      </c>
      <c r="E17" s="8" t="s">
        <v>54</v>
      </c>
      <c r="G17" s="8" t="s">
        <v>85</v>
      </c>
      <c r="H17" s="8" t="s">
        <v>60</v>
      </c>
      <c r="I17" s="12">
        <v>4.8857798607780722E-2</v>
      </c>
      <c r="J17" s="8" t="s">
        <v>54</v>
      </c>
      <c r="L17" s="8" t="s">
        <v>105</v>
      </c>
      <c r="M17" s="8" t="s">
        <v>60</v>
      </c>
      <c r="N17" s="12">
        <v>6.5430588925638952E-2</v>
      </c>
      <c r="O17" s="8" t="s">
        <v>54</v>
      </c>
    </row>
    <row r="18" spans="2:15" x14ac:dyDescent="0.45">
      <c r="B18" s="9" t="s">
        <v>52</v>
      </c>
      <c r="C18" s="9" t="s">
        <v>61</v>
      </c>
      <c r="D18" s="11">
        <v>2.0720344022222004E-2</v>
      </c>
      <c r="E18" s="9" t="s">
        <v>54</v>
      </c>
      <c r="G18" s="9" t="s">
        <v>85</v>
      </c>
      <c r="H18" s="9" t="s">
        <v>61</v>
      </c>
      <c r="I18" s="13">
        <v>7.1291838820718476E-2</v>
      </c>
      <c r="J18" s="9" t="s">
        <v>54</v>
      </c>
      <c r="L18" s="9" t="s">
        <v>105</v>
      </c>
      <c r="M18" s="9" t="s">
        <v>61</v>
      </c>
      <c r="N18" s="13">
        <v>6.8131390996298488E-2</v>
      </c>
      <c r="O18" s="9" t="s">
        <v>54</v>
      </c>
    </row>
    <row r="19" spans="2:15" x14ac:dyDescent="0.45">
      <c r="B19" s="8" t="s">
        <v>52</v>
      </c>
      <c r="C19" s="8" t="s">
        <v>62</v>
      </c>
      <c r="D19" s="10">
        <v>4.593729965054924E-2</v>
      </c>
      <c r="E19" s="8" t="s">
        <v>54</v>
      </c>
      <c r="G19" s="8" t="s">
        <v>85</v>
      </c>
      <c r="H19" s="8" t="s">
        <v>62</v>
      </c>
      <c r="I19" s="12">
        <v>9.7400794801665615E-3</v>
      </c>
      <c r="J19" s="8" t="s">
        <v>54</v>
      </c>
      <c r="L19" s="8" t="s">
        <v>105</v>
      </c>
      <c r="M19" s="8" t="s">
        <v>62</v>
      </c>
      <c r="N19" s="12">
        <v>1.3206964154119595E-2</v>
      </c>
      <c r="O19" s="8" t="s">
        <v>54</v>
      </c>
    </row>
    <row r="20" spans="2:15" x14ac:dyDescent="0.45">
      <c r="B20" s="9" t="s">
        <v>52</v>
      </c>
      <c r="C20" s="9" t="s">
        <v>63</v>
      </c>
      <c r="D20" s="11">
        <v>7.9513510648108535E-2</v>
      </c>
      <c r="E20" s="9" t="s">
        <v>54</v>
      </c>
      <c r="G20" s="9" t="s">
        <v>85</v>
      </c>
      <c r="H20" s="9" t="s">
        <v>63</v>
      </c>
      <c r="I20" s="13">
        <v>0.15271752550072551</v>
      </c>
      <c r="J20" s="9" t="s">
        <v>54</v>
      </c>
      <c r="L20" s="9" t="s">
        <v>105</v>
      </c>
      <c r="M20" s="9" t="s">
        <v>63</v>
      </c>
      <c r="N20" s="13">
        <v>0.15297048099838223</v>
      </c>
      <c r="O20" s="9" t="s">
        <v>54</v>
      </c>
    </row>
    <row r="21" spans="2:15" x14ac:dyDescent="0.45">
      <c r="B21" s="8" t="s">
        <v>52</v>
      </c>
      <c r="C21" s="8" t="s">
        <v>64</v>
      </c>
      <c r="D21" s="10">
        <v>0</v>
      </c>
      <c r="E21" s="8" t="s">
        <v>54</v>
      </c>
      <c r="G21" s="8" t="s">
        <v>85</v>
      </c>
      <c r="H21" s="8" t="s">
        <v>64</v>
      </c>
      <c r="I21" s="12">
        <v>0.16577296163355129</v>
      </c>
      <c r="J21" s="8" t="s">
        <v>54</v>
      </c>
      <c r="L21" s="8" t="s">
        <v>105</v>
      </c>
      <c r="M21" s="8" t="s">
        <v>64</v>
      </c>
      <c r="N21" s="12">
        <v>0.16155047872894576</v>
      </c>
      <c r="O21" s="8" t="s">
        <v>54</v>
      </c>
    </row>
    <row r="22" spans="2:15" x14ac:dyDescent="0.45">
      <c r="B22" s="9" t="s">
        <v>52</v>
      </c>
      <c r="C22" s="9" t="s">
        <v>65</v>
      </c>
      <c r="D22" s="11">
        <v>1.3737020741010923E-3</v>
      </c>
      <c r="E22" s="9" t="s">
        <v>54</v>
      </c>
      <c r="G22" s="9" t="s">
        <v>85</v>
      </c>
      <c r="H22" s="9" t="s">
        <v>65</v>
      </c>
      <c r="I22" s="13">
        <v>3.0097594398266342E-2</v>
      </c>
      <c r="J22" s="9" t="s">
        <v>54</v>
      </c>
      <c r="L22" s="9" t="s">
        <v>105</v>
      </c>
      <c r="M22" s="9" t="s">
        <v>65</v>
      </c>
      <c r="N22" s="13">
        <v>2.9324137760378774E-2</v>
      </c>
      <c r="O22" s="9" t="s">
        <v>54</v>
      </c>
    </row>
    <row r="23" spans="2:15" x14ac:dyDescent="0.45">
      <c r="B23" s="8" t="s">
        <v>66</v>
      </c>
      <c r="C23" s="8" t="s">
        <v>53</v>
      </c>
      <c r="D23" s="10">
        <v>0.16904573890231012</v>
      </c>
      <c r="E23" s="8" t="s">
        <v>54</v>
      </c>
      <c r="G23" s="8" t="s">
        <v>86</v>
      </c>
      <c r="H23" s="8" t="s">
        <v>53</v>
      </c>
      <c r="I23" s="12">
        <v>0.10610932795149053</v>
      </c>
      <c r="J23" s="8" t="s">
        <v>54</v>
      </c>
      <c r="L23" s="8" t="s">
        <v>106</v>
      </c>
      <c r="M23" s="8" t="s">
        <v>53</v>
      </c>
      <c r="N23" s="12">
        <v>0.11784339278006627</v>
      </c>
      <c r="O23" s="8" t="s">
        <v>54</v>
      </c>
    </row>
    <row r="24" spans="2:15" x14ac:dyDescent="0.45">
      <c r="B24" s="9" t="s">
        <v>66</v>
      </c>
      <c r="C24" s="9" t="s">
        <v>55</v>
      </c>
      <c r="D24" s="11">
        <v>6.1182494558961802E-7</v>
      </c>
      <c r="E24" s="9" t="s">
        <v>54</v>
      </c>
      <c r="G24" s="9" t="s">
        <v>86</v>
      </c>
      <c r="H24" s="9" t="s">
        <v>55</v>
      </c>
      <c r="I24" s="13">
        <v>0.13014211742007759</v>
      </c>
      <c r="J24" s="9" t="s">
        <v>54</v>
      </c>
      <c r="L24" s="9" t="s">
        <v>106</v>
      </c>
      <c r="M24" s="9" t="s">
        <v>55</v>
      </c>
      <c r="N24" s="13">
        <v>0.11986269027403917</v>
      </c>
      <c r="O24" s="9" t="s">
        <v>54</v>
      </c>
    </row>
    <row r="25" spans="2:15" x14ac:dyDescent="0.45">
      <c r="B25" s="8" t="s">
        <v>66</v>
      </c>
      <c r="C25" s="8" t="s">
        <v>56</v>
      </c>
      <c r="D25" s="10">
        <v>8.3314161561162513E-3</v>
      </c>
      <c r="E25" s="8" t="s">
        <v>54</v>
      </c>
      <c r="G25" s="8" t="s">
        <v>86</v>
      </c>
      <c r="H25" s="8" t="s">
        <v>56</v>
      </c>
      <c r="I25" s="12">
        <v>2.4043189614494049E-2</v>
      </c>
      <c r="J25" s="8" t="s">
        <v>54</v>
      </c>
      <c r="L25" s="8" t="s">
        <v>106</v>
      </c>
      <c r="M25" s="8" t="s">
        <v>56</v>
      </c>
      <c r="N25" s="12">
        <v>2.2254788644095701E-2</v>
      </c>
      <c r="O25" s="8" t="s">
        <v>54</v>
      </c>
    </row>
    <row r="26" spans="2:15" x14ac:dyDescent="0.45">
      <c r="B26" s="9" t="s">
        <v>66</v>
      </c>
      <c r="C26" s="9" t="s">
        <v>57</v>
      </c>
      <c r="D26" s="11">
        <v>0.28048692326410113</v>
      </c>
      <c r="E26" s="9" t="s">
        <v>54</v>
      </c>
      <c r="G26" s="9" t="s">
        <v>86</v>
      </c>
      <c r="H26" s="9" t="s">
        <v>57</v>
      </c>
      <c r="I26" s="13">
        <v>0.10434682938346045</v>
      </c>
      <c r="J26" s="9" t="s">
        <v>54</v>
      </c>
      <c r="L26" s="9" t="s">
        <v>106</v>
      </c>
      <c r="M26" s="9" t="s">
        <v>57</v>
      </c>
      <c r="N26" s="13">
        <v>0.11163800182108354</v>
      </c>
      <c r="O26" s="9" t="s">
        <v>54</v>
      </c>
    </row>
    <row r="27" spans="2:15" x14ac:dyDescent="0.45">
      <c r="B27" s="8" t="s">
        <v>66</v>
      </c>
      <c r="C27" s="8" t="s">
        <v>58</v>
      </c>
      <c r="D27" s="10">
        <v>5.4728047216081235E-3</v>
      </c>
      <c r="E27" s="8" t="s">
        <v>54</v>
      </c>
      <c r="G27" s="8" t="s">
        <v>86</v>
      </c>
      <c r="H27" s="8" t="s">
        <v>58</v>
      </c>
      <c r="I27" s="12">
        <v>0.13431092838783354</v>
      </c>
      <c r="J27" s="8" t="s">
        <v>54</v>
      </c>
      <c r="L27" s="8" t="s">
        <v>106</v>
      </c>
      <c r="M27" s="8" t="s">
        <v>58</v>
      </c>
      <c r="N27" s="12">
        <v>0.12660973146342233</v>
      </c>
      <c r="O27" s="8" t="s">
        <v>54</v>
      </c>
    </row>
    <row r="28" spans="2:15" x14ac:dyDescent="0.45">
      <c r="B28" s="9" t="s">
        <v>66</v>
      </c>
      <c r="C28" s="9" t="s">
        <v>59</v>
      </c>
      <c r="D28" s="11">
        <v>2.886130007615682E-2</v>
      </c>
      <c r="E28" s="9" t="s">
        <v>54</v>
      </c>
      <c r="G28" s="9" t="s">
        <v>86</v>
      </c>
      <c r="H28" s="9" t="s">
        <v>59</v>
      </c>
      <c r="I28" s="13">
        <v>2.0577274087415078E-2</v>
      </c>
      <c r="J28" s="9" t="s">
        <v>54</v>
      </c>
      <c r="L28" s="9" t="s">
        <v>106</v>
      </c>
      <c r="M28" s="9" t="s">
        <v>59</v>
      </c>
      <c r="N28" s="13">
        <v>2.1608901212045915E-2</v>
      </c>
      <c r="O28" s="9" t="s">
        <v>54</v>
      </c>
    </row>
    <row r="29" spans="2:15" x14ac:dyDescent="0.45">
      <c r="B29" s="8" t="s">
        <v>66</v>
      </c>
      <c r="C29" s="8" t="s">
        <v>60</v>
      </c>
      <c r="D29" s="10">
        <v>0.35171552699942954</v>
      </c>
      <c r="E29" s="8" t="s">
        <v>54</v>
      </c>
      <c r="G29" s="8" t="s">
        <v>86</v>
      </c>
      <c r="H29" s="8" t="s">
        <v>60</v>
      </c>
      <c r="I29" s="12">
        <v>4.9275316879766627E-2</v>
      </c>
      <c r="J29" s="8" t="s">
        <v>54</v>
      </c>
      <c r="L29" s="8" t="s">
        <v>106</v>
      </c>
      <c r="M29" s="8" t="s">
        <v>60</v>
      </c>
      <c r="N29" s="12">
        <v>7.5393694394900332E-2</v>
      </c>
      <c r="O29" s="8" t="s">
        <v>54</v>
      </c>
    </row>
    <row r="30" spans="2:15" x14ac:dyDescent="0.45">
      <c r="B30" s="9" t="s">
        <v>66</v>
      </c>
      <c r="C30" s="9" t="s">
        <v>61</v>
      </c>
      <c r="D30" s="11">
        <v>1.791202786289596E-2</v>
      </c>
      <c r="E30" s="9" t="s">
        <v>54</v>
      </c>
      <c r="G30" s="9" t="s">
        <v>86</v>
      </c>
      <c r="H30" s="9" t="s">
        <v>61</v>
      </c>
      <c r="I30" s="13">
        <v>6.6951898596864554E-2</v>
      </c>
      <c r="J30" s="9" t="s">
        <v>54</v>
      </c>
      <c r="L30" s="9" t="s">
        <v>106</v>
      </c>
      <c r="M30" s="9" t="s">
        <v>61</v>
      </c>
      <c r="N30" s="13">
        <v>8.0666497258462297E-2</v>
      </c>
      <c r="O30" s="9" t="s">
        <v>54</v>
      </c>
    </row>
    <row r="31" spans="2:15" x14ac:dyDescent="0.45">
      <c r="B31" s="8" t="s">
        <v>66</v>
      </c>
      <c r="C31" s="8" t="s">
        <v>62</v>
      </c>
      <c r="D31" s="10">
        <v>4.3177828569251807E-2</v>
      </c>
      <c r="E31" s="8" t="s">
        <v>54</v>
      </c>
      <c r="G31" s="8" t="s">
        <v>86</v>
      </c>
      <c r="H31" s="8" t="s">
        <v>62</v>
      </c>
      <c r="I31" s="12">
        <v>1.0527482176386769E-2</v>
      </c>
      <c r="J31" s="8" t="s">
        <v>54</v>
      </c>
      <c r="L31" s="8" t="s">
        <v>106</v>
      </c>
      <c r="M31" s="8" t="s">
        <v>62</v>
      </c>
      <c r="N31" s="12">
        <v>1.5070431249181422E-2</v>
      </c>
      <c r="O31" s="8" t="s">
        <v>54</v>
      </c>
    </row>
    <row r="32" spans="2:15" x14ac:dyDescent="0.45">
      <c r="B32" s="9" t="s">
        <v>66</v>
      </c>
      <c r="C32" s="9" t="s">
        <v>63</v>
      </c>
      <c r="D32" s="11">
        <v>9.3502468883265924E-2</v>
      </c>
      <c r="E32" s="9" t="s">
        <v>54</v>
      </c>
      <c r="G32" s="9" t="s">
        <v>86</v>
      </c>
      <c r="H32" s="9" t="s">
        <v>63</v>
      </c>
      <c r="I32" s="13">
        <v>0.15541004304255518</v>
      </c>
      <c r="J32" s="9" t="s">
        <v>54</v>
      </c>
      <c r="L32" s="9" t="s">
        <v>106</v>
      </c>
      <c r="M32" s="9" t="s">
        <v>63</v>
      </c>
      <c r="N32" s="13">
        <v>0.14000201496505257</v>
      </c>
      <c r="O32" s="9" t="s">
        <v>54</v>
      </c>
    </row>
    <row r="33" spans="2:15" x14ac:dyDescent="0.45">
      <c r="B33" s="8" t="s">
        <v>66</v>
      </c>
      <c r="C33" s="8" t="s">
        <v>64</v>
      </c>
      <c r="D33" s="10">
        <v>0</v>
      </c>
      <c r="E33" s="8" t="s">
        <v>54</v>
      </c>
      <c r="G33" s="8" t="s">
        <v>86</v>
      </c>
      <c r="H33" s="8" t="s">
        <v>64</v>
      </c>
      <c r="I33" s="12">
        <v>0.16717652632684349</v>
      </c>
      <c r="J33" s="8" t="s">
        <v>54</v>
      </c>
      <c r="L33" s="8" t="s">
        <v>106</v>
      </c>
      <c r="M33" s="8" t="s">
        <v>64</v>
      </c>
      <c r="N33" s="12">
        <v>0.14233039667495415</v>
      </c>
      <c r="O33" s="8" t="s">
        <v>54</v>
      </c>
    </row>
    <row r="34" spans="2:15" x14ac:dyDescent="0.45">
      <c r="B34" s="9" t="s">
        <v>66</v>
      </c>
      <c r="C34" s="9" t="s">
        <v>65</v>
      </c>
      <c r="D34" s="11">
        <v>1.4933527399181509E-3</v>
      </c>
      <c r="E34" s="9" t="s">
        <v>54</v>
      </c>
      <c r="G34" s="9" t="s">
        <v>86</v>
      </c>
      <c r="H34" s="9" t="s">
        <v>65</v>
      </c>
      <c r="I34" s="13">
        <v>3.1129066132813101E-2</v>
      </c>
      <c r="J34" s="9" t="s">
        <v>54</v>
      </c>
      <c r="L34" s="9" t="s">
        <v>106</v>
      </c>
      <c r="M34" s="9" t="s">
        <v>65</v>
      </c>
      <c r="N34" s="13">
        <v>2.6719459262698739E-2</v>
      </c>
      <c r="O34" s="9" t="s">
        <v>54</v>
      </c>
    </row>
    <row r="35" spans="2:15" x14ac:dyDescent="0.45">
      <c r="B35" s="8" t="s">
        <v>67</v>
      </c>
      <c r="C35" s="8" t="s">
        <v>53</v>
      </c>
      <c r="D35" s="10">
        <v>0.16411220502530638</v>
      </c>
      <c r="E35" s="8" t="s">
        <v>54</v>
      </c>
      <c r="G35" s="8" t="s">
        <v>87</v>
      </c>
      <c r="H35" s="8" t="s">
        <v>53</v>
      </c>
      <c r="I35" s="12">
        <v>0.10620723888449389</v>
      </c>
      <c r="J35" s="8" t="s">
        <v>54</v>
      </c>
      <c r="L35" s="8" t="s">
        <v>107</v>
      </c>
      <c r="M35" s="8" t="s">
        <v>53</v>
      </c>
      <c r="N35" s="12">
        <v>0.11886582634933017</v>
      </c>
      <c r="O35" s="8" t="s">
        <v>54</v>
      </c>
    </row>
    <row r="36" spans="2:15" x14ac:dyDescent="0.45">
      <c r="B36" s="9" t="s">
        <v>67</v>
      </c>
      <c r="C36" s="9" t="s">
        <v>55</v>
      </c>
      <c r="D36" s="11">
        <v>2.1109788960211287E-5</v>
      </c>
      <c r="E36" s="9" t="s">
        <v>54</v>
      </c>
      <c r="G36" s="9" t="s">
        <v>87</v>
      </c>
      <c r="H36" s="9" t="s">
        <v>55</v>
      </c>
      <c r="I36" s="13">
        <v>0.12733335076759505</v>
      </c>
      <c r="J36" s="9" t="s">
        <v>54</v>
      </c>
      <c r="L36" s="9" t="s">
        <v>107</v>
      </c>
      <c r="M36" s="9" t="s">
        <v>55</v>
      </c>
      <c r="N36" s="13">
        <v>0.12481707032146837</v>
      </c>
      <c r="O36" s="9" t="s">
        <v>54</v>
      </c>
    </row>
    <row r="37" spans="2:15" x14ac:dyDescent="0.45">
      <c r="B37" s="8" t="s">
        <v>67</v>
      </c>
      <c r="C37" s="8" t="s">
        <v>56</v>
      </c>
      <c r="D37" s="10">
        <v>7.9125413713990456E-3</v>
      </c>
      <c r="E37" s="8" t="s">
        <v>54</v>
      </c>
      <c r="G37" s="8" t="s">
        <v>87</v>
      </c>
      <c r="H37" s="8" t="s">
        <v>56</v>
      </c>
      <c r="I37" s="12">
        <v>2.2215567132539665E-2</v>
      </c>
      <c r="J37" s="8" t="s">
        <v>54</v>
      </c>
      <c r="L37" s="8" t="s">
        <v>107</v>
      </c>
      <c r="M37" s="8" t="s">
        <v>56</v>
      </c>
      <c r="N37" s="12">
        <v>2.3359971434760145E-2</v>
      </c>
      <c r="O37" s="8" t="s">
        <v>54</v>
      </c>
    </row>
    <row r="38" spans="2:15" x14ac:dyDescent="0.45">
      <c r="B38" s="9" t="s">
        <v>67</v>
      </c>
      <c r="C38" s="9" t="s">
        <v>57</v>
      </c>
      <c r="D38" s="11">
        <v>0.28729683295397757</v>
      </c>
      <c r="E38" s="9" t="s">
        <v>54</v>
      </c>
      <c r="G38" s="9" t="s">
        <v>87</v>
      </c>
      <c r="H38" s="9" t="s">
        <v>57</v>
      </c>
      <c r="I38" s="13">
        <v>0.11246395064981476</v>
      </c>
      <c r="J38" s="9" t="s">
        <v>54</v>
      </c>
      <c r="L38" s="9" t="s">
        <v>107</v>
      </c>
      <c r="M38" s="9" t="s">
        <v>57</v>
      </c>
      <c r="N38" s="13">
        <v>0.10414744151670946</v>
      </c>
      <c r="O38" s="9" t="s">
        <v>54</v>
      </c>
    </row>
    <row r="39" spans="2:15" x14ac:dyDescent="0.45">
      <c r="B39" s="8" t="s">
        <v>67</v>
      </c>
      <c r="C39" s="8" t="s">
        <v>58</v>
      </c>
      <c r="D39" s="10">
        <v>6.5837544965065727E-3</v>
      </c>
      <c r="E39" s="8" t="s">
        <v>54</v>
      </c>
      <c r="G39" s="8" t="s">
        <v>87</v>
      </c>
      <c r="H39" s="8" t="s">
        <v>58</v>
      </c>
      <c r="I39" s="12">
        <v>0.13252835356487708</v>
      </c>
      <c r="J39" s="8" t="s">
        <v>54</v>
      </c>
      <c r="L39" s="8" t="s">
        <v>107</v>
      </c>
      <c r="M39" s="8" t="s">
        <v>58</v>
      </c>
      <c r="N39" s="12">
        <v>0.12234670824840609</v>
      </c>
      <c r="O39" s="8" t="s">
        <v>54</v>
      </c>
    </row>
    <row r="40" spans="2:15" x14ac:dyDescent="0.45">
      <c r="B40" s="9" t="s">
        <v>67</v>
      </c>
      <c r="C40" s="9" t="s">
        <v>59</v>
      </c>
      <c r="D40" s="11">
        <v>2.9881194995554736E-2</v>
      </c>
      <c r="E40" s="9" t="s">
        <v>54</v>
      </c>
      <c r="G40" s="9" t="s">
        <v>87</v>
      </c>
      <c r="H40" s="9" t="s">
        <v>59</v>
      </c>
      <c r="I40" s="13">
        <v>2.0579856561667213E-2</v>
      </c>
      <c r="J40" s="9" t="s">
        <v>54</v>
      </c>
      <c r="L40" s="9" t="s">
        <v>107</v>
      </c>
      <c r="M40" s="9" t="s">
        <v>59</v>
      </c>
      <c r="N40" s="13">
        <v>2.0467417665696246E-2</v>
      </c>
      <c r="O40" s="9" t="s">
        <v>54</v>
      </c>
    </row>
    <row r="41" spans="2:15" x14ac:dyDescent="0.45">
      <c r="B41" s="8" t="s">
        <v>67</v>
      </c>
      <c r="C41" s="8" t="s">
        <v>60</v>
      </c>
      <c r="D41" s="10">
        <v>0.35700154315346849</v>
      </c>
      <c r="E41" s="8" t="s">
        <v>54</v>
      </c>
      <c r="G41" s="8" t="s">
        <v>87</v>
      </c>
      <c r="H41" s="8" t="s">
        <v>60</v>
      </c>
      <c r="I41" s="12">
        <v>5.144341544157497E-2</v>
      </c>
      <c r="J41" s="8" t="s">
        <v>54</v>
      </c>
      <c r="L41" s="8" t="s">
        <v>107</v>
      </c>
      <c r="M41" s="8" t="s">
        <v>60</v>
      </c>
      <c r="N41" s="12">
        <v>7.1321343806205292E-2</v>
      </c>
      <c r="O41" s="8" t="s">
        <v>54</v>
      </c>
    </row>
    <row r="42" spans="2:15" x14ac:dyDescent="0.45">
      <c r="B42" s="9" t="s">
        <v>67</v>
      </c>
      <c r="C42" s="9" t="s">
        <v>61</v>
      </c>
      <c r="D42" s="11">
        <v>1.9573012815205081E-2</v>
      </c>
      <c r="E42" s="9" t="s">
        <v>54</v>
      </c>
      <c r="G42" s="9" t="s">
        <v>87</v>
      </c>
      <c r="H42" s="9" t="s">
        <v>61</v>
      </c>
      <c r="I42" s="13">
        <v>6.909883921848034E-2</v>
      </c>
      <c r="J42" s="9" t="s">
        <v>54</v>
      </c>
      <c r="L42" s="9" t="s">
        <v>107</v>
      </c>
      <c r="M42" s="9" t="s">
        <v>61</v>
      </c>
      <c r="N42" s="13">
        <v>7.5028304261776951E-2</v>
      </c>
      <c r="O42" s="9" t="s">
        <v>54</v>
      </c>
    </row>
    <row r="43" spans="2:15" x14ac:dyDescent="0.45">
      <c r="B43" s="8" t="s">
        <v>67</v>
      </c>
      <c r="C43" s="8" t="s">
        <v>62</v>
      </c>
      <c r="D43" s="10">
        <v>4.4813077097968661E-2</v>
      </c>
      <c r="E43" s="8" t="s">
        <v>54</v>
      </c>
      <c r="G43" s="8" t="s">
        <v>87</v>
      </c>
      <c r="H43" s="8" t="s">
        <v>62</v>
      </c>
      <c r="I43" s="12">
        <v>1.0506559555485762E-2</v>
      </c>
      <c r="J43" s="8" t="s">
        <v>54</v>
      </c>
      <c r="L43" s="8" t="s">
        <v>107</v>
      </c>
      <c r="M43" s="8" t="s">
        <v>62</v>
      </c>
      <c r="N43" s="12">
        <v>1.4527471435440966E-2</v>
      </c>
      <c r="O43" s="8" t="s">
        <v>54</v>
      </c>
    </row>
    <row r="44" spans="2:15" x14ac:dyDescent="0.45">
      <c r="B44" s="9" t="s">
        <v>67</v>
      </c>
      <c r="C44" s="9" t="s">
        <v>63</v>
      </c>
      <c r="D44" s="11">
        <v>8.176833554098363E-2</v>
      </c>
      <c r="E44" s="9" t="s">
        <v>54</v>
      </c>
      <c r="G44" s="9" t="s">
        <v>87</v>
      </c>
      <c r="H44" s="9" t="s">
        <v>63</v>
      </c>
      <c r="I44" s="13">
        <v>0.15449440797567227</v>
      </c>
      <c r="J44" s="9" t="s">
        <v>54</v>
      </c>
      <c r="L44" s="9" t="s">
        <v>107</v>
      </c>
      <c r="M44" s="9" t="s">
        <v>63</v>
      </c>
      <c r="N44" s="13">
        <v>0.14550375738478172</v>
      </c>
      <c r="O44" s="9" t="s">
        <v>54</v>
      </c>
    </row>
    <row r="45" spans="2:15" x14ac:dyDescent="0.45">
      <c r="B45" s="8" t="s">
        <v>67</v>
      </c>
      <c r="C45" s="8" t="s">
        <v>64</v>
      </c>
      <c r="D45" s="10">
        <v>0</v>
      </c>
      <c r="E45" s="8" t="s">
        <v>54</v>
      </c>
      <c r="G45" s="8" t="s">
        <v>87</v>
      </c>
      <c r="H45" s="8" t="s">
        <v>64</v>
      </c>
      <c r="I45" s="12">
        <v>0.1635169377530723</v>
      </c>
      <c r="J45" s="8" t="s">
        <v>54</v>
      </c>
      <c r="L45" s="8" t="s">
        <v>107</v>
      </c>
      <c r="M45" s="8" t="s">
        <v>64</v>
      </c>
      <c r="N45" s="12">
        <v>0.1516236980068669</v>
      </c>
      <c r="O45" s="8" t="s">
        <v>54</v>
      </c>
    </row>
    <row r="46" spans="2:15" x14ac:dyDescent="0.45">
      <c r="B46" s="9" t="s">
        <v>67</v>
      </c>
      <c r="C46" s="9" t="s">
        <v>65</v>
      </c>
      <c r="D46" s="11">
        <v>1.036392760669398E-3</v>
      </c>
      <c r="E46" s="9" t="s">
        <v>54</v>
      </c>
      <c r="G46" s="9" t="s">
        <v>87</v>
      </c>
      <c r="H46" s="9" t="s">
        <v>65</v>
      </c>
      <c r="I46" s="13">
        <v>2.961152249472403E-2</v>
      </c>
      <c r="J46" s="9" t="s">
        <v>54</v>
      </c>
      <c r="L46" s="9" t="s">
        <v>107</v>
      </c>
      <c r="M46" s="9" t="s">
        <v>65</v>
      </c>
      <c r="N46" s="13">
        <v>2.7990989568558462E-2</v>
      </c>
      <c r="O46" s="9" t="s">
        <v>54</v>
      </c>
    </row>
    <row r="47" spans="2:15" x14ac:dyDescent="0.45">
      <c r="B47" s="8" t="s">
        <v>68</v>
      </c>
      <c r="C47" s="8" t="s">
        <v>53</v>
      </c>
      <c r="D47" s="10">
        <v>0.14753375447235645</v>
      </c>
      <c r="E47" s="8" t="s">
        <v>54</v>
      </c>
      <c r="G47" s="8" t="s">
        <v>88</v>
      </c>
      <c r="H47" s="8" t="s">
        <v>53</v>
      </c>
      <c r="I47" s="12">
        <v>0.11150584718610347</v>
      </c>
      <c r="J47" s="8" t="s">
        <v>54</v>
      </c>
      <c r="L47" s="8" t="s">
        <v>108</v>
      </c>
      <c r="M47" s="8" t="s">
        <v>53</v>
      </c>
      <c r="N47" s="12">
        <v>0.11956140249241794</v>
      </c>
      <c r="O47" s="8" t="s">
        <v>54</v>
      </c>
    </row>
    <row r="48" spans="2:15" x14ac:dyDescent="0.45">
      <c r="B48" s="9" t="s">
        <v>68</v>
      </c>
      <c r="C48" s="9" t="s">
        <v>55</v>
      </c>
      <c r="D48" s="11">
        <v>8.5777209637607135E-5</v>
      </c>
      <c r="E48" s="9" t="s">
        <v>54</v>
      </c>
      <c r="G48" s="9" t="s">
        <v>88</v>
      </c>
      <c r="H48" s="9" t="s">
        <v>55</v>
      </c>
      <c r="I48" s="13">
        <v>0.13327389781438456</v>
      </c>
      <c r="J48" s="9" t="s">
        <v>54</v>
      </c>
      <c r="L48" s="9" t="s">
        <v>108</v>
      </c>
      <c r="M48" s="9" t="s">
        <v>55</v>
      </c>
      <c r="N48" s="13">
        <v>0.11894802707727387</v>
      </c>
      <c r="O48" s="9" t="s">
        <v>54</v>
      </c>
    </row>
    <row r="49" spans="2:15" x14ac:dyDescent="0.45">
      <c r="B49" s="8" t="s">
        <v>68</v>
      </c>
      <c r="C49" s="8" t="s">
        <v>56</v>
      </c>
      <c r="D49" s="10">
        <v>8.7436725997844609E-3</v>
      </c>
      <c r="E49" s="8" t="s">
        <v>54</v>
      </c>
      <c r="G49" s="8" t="s">
        <v>88</v>
      </c>
      <c r="H49" s="8" t="s">
        <v>56</v>
      </c>
      <c r="I49" s="12">
        <v>2.2861154211922068E-2</v>
      </c>
      <c r="J49" s="8" t="s">
        <v>54</v>
      </c>
      <c r="L49" s="8" t="s">
        <v>108</v>
      </c>
      <c r="M49" s="8" t="s">
        <v>56</v>
      </c>
      <c r="N49" s="12">
        <v>2.1072368000136444E-2</v>
      </c>
      <c r="O49" s="8" t="s">
        <v>54</v>
      </c>
    </row>
    <row r="50" spans="2:15" x14ac:dyDescent="0.45">
      <c r="B50" s="9" t="s">
        <v>68</v>
      </c>
      <c r="C50" s="9" t="s">
        <v>57</v>
      </c>
      <c r="D50" s="11">
        <v>0.30813609863342512</v>
      </c>
      <c r="E50" s="9" t="s">
        <v>54</v>
      </c>
      <c r="G50" s="9" t="s">
        <v>88</v>
      </c>
      <c r="H50" s="9" t="s">
        <v>57</v>
      </c>
      <c r="I50" s="13">
        <v>0.10964947797512055</v>
      </c>
      <c r="J50" s="9" t="s">
        <v>54</v>
      </c>
      <c r="L50" s="9" t="s">
        <v>108</v>
      </c>
      <c r="M50" s="9" t="s">
        <v>57</v>
      </c>
      <c r="N50" s="13">
        <v>0.11749859182515809</v>
      </c>
      <c r="O50" s="9" t="s">
        <v>54</v>
      </c>
    </row>
    <row r="51" spans="2:15" x14ac:dyDescent="0.45">
      <c r="B51" s="8" t="s">
        <v>68</v>
      </c>
      <c r="C51" s="8" t="s">
        <v>58</v>
      </c>
      <c r="D51" s="10">
        <v>6.8338993356955912E-3</v>
      </c>
      <c r="E51" s="8" t="s">
        <v>54</v>
      </c>
      <c r="G51" s="8" t="s">
        <v>88</v>
      </c>
      <c r="H51" s="8" t="s">
        <v>58</v>
      </c>
      <c r="I51" s="12">
        <v>0.13531020992316825</v>
      </c>
      <c r="J51" s="8" t="s">
        <v>54</v>
      </c>
      <c r="L51" s="8" t="s">
        <v>108</v>
      </c>
      <c r="M51" s="8" t="s">
        <v>58</v>
      </c>
      <c r="N51" s="12">
        <v>0.13076166089391525</v>
      </c>
      <c r="O51" s="8" t="s">
        <v>54</v>
      </c>
    </row>
    <row r="52" spans="2:15" x14ac:dyDescent="0.45">
      <c r="B52" s="9" t="s">
        <v>68</v>
      </c>
      <c r="C52" s="9" t="s">
        <v>59</v>
      </c>
      <c r="D52" s="11">
        <v>3.1094739212780064E-2</v>
      </c>
      <c r="E52" s="9" t="s">
        <v>54</v>
      </c>
      <c r="G52" s="9" t="s">
        <v>88</v>
      </c>
      <c r="H52" s="9" t="s">
        <v>59</v>
      </c>
      <c r="I52" s="13">
        <v>2.1328800126252115E-2</v>
      </c>
      <c r="J52" s="9" t="s">
        <v>54</v>
      </c>
      <c r="L52" s="9" t="s">
        <v>108</v>
      </c>
      <c r="M52" s="9" t="s">
        <v>59</v>
      </c>
      <c r="N52" s="13">
        <v>2.2991250327636971E-2</v>
      </c>
      <c r="O52" s="9" t="s">
        <v>54</v>
      </c>
    </row>
    <row r="53" spans="2:15" x14ac:dyDescent="0.45">
      <c r="B53" s="8" t="s">
        <v>68</v>
      </c>
      <c r="C53" s="8" t="s">
        <v>60</v>
      </c>
      <c r="D53" s="10">
        <v>0.359053265760998</v>
      </c>
      <c r="E53" s="8" t="s">
        <v>54</v>
      </c>
      <c r="G53" s="8" t="s">
        <v>88</v>
      </c>
      <c r="H53" s="8" t="s">
        <v>60</v>
      </c>
      <c r="I53" s="12">
        <v>4.6599398843905258E-2</v>
      </c>
      <c r="J53" s="8" t="s">
        <v>54</v>
      </c>
      <c r="L53" s="8" t="s">
        <v>108</v>
      </c>
      <c r="M53" s="8" t="s">
        <v>60</v>
      </c>
      <c r="N53" s="12">
        <v>7.8755967892195439E-2</v>
      </c>
      <c r="O53" s="8" t="s">
        <v>54</v>
      </c>
    </row>
    <row r="54" spans="2:15" x14ac:dyDescent="0.45">
      <c r="B54" s="9" t="s">
        <v>68</v>
      </c>
      <c r="C54" s="9" t="s">
        <v>61</v>
      </c>
      <c r="D54" s="11">
        <v>2.2328809610445945E-2</v>
      </c>
      <c r="E54" s="9" t="s">
        <v>54</v>
      </c>
      <c r="G54" s="9" t="s">
        <v>88</v>
      </c>
      <c r="H54" s="9" t="s">
        <v>61</v>
      </c>
      <c r="I54" s="13">
        <v>6.4673177527652934E-2</v>
      </c>
      <c r="J54" s="9" t="s">
        <v>54</v>
      </c>
      <c r="L54" s="9" t="s">
        <v>108</v>
      </c>
      <c r="M54" s="9" t="s">
        <v>61</v>
      </c>
      <c r="N54" s="13">
        <v>8.4897551735946625E-2</v>
      </c>
      <c r="O54" s="9" t="s">
        <v>54</v>
      </c>
    </row>
    <row r="55" spans="2:15" x14ac:dyDescent="0.45">
      <c r="B55" s="8" t="s">
        <v>68</v>
      </c>
      <c r="C55" s="8" t="s">
        <v>62</v>
      </c>
      <c r="D55" s="10">
        <v>4.6322699922271893E-2</v>
      </c>
      <c r="E55" s="8" t="s">
        <v>54</v>
      </c>
      <c r="G55" s="8" t="s">
        <v>88</v>
      </c>
      <c r="H55" s="8" t="s">
        <v>62</v>
      </c>
      <c r="I55" s="12">
        <v>8.7967380822415054E-3</v>
      </c>
      <c r="J55" s="8" t="s">
        <v>54</v>
      </c>
      <c r="L55" s="8" t="s">
        <v>108</v>
      </c>
      <c r="M55" s="8" t="s">
        <v>62</v>
      </c>
      <c r="N55" s="12">
        <v>1.4677275312639864E-2</v>
      </c>
      <c r="O55" s="8" t="s">
        <v>54</v>
      </c>
    </row>
    <row r="56" spans="2:15" x14ac:dyDescent="0.45">
      <c r="B56" s="9" t="s">
        <v>68</v>
      </c>
      <c r="C56" s="9" t="s">
        <v>63</v>
      </c>
      <c r="D56" s="11">
        <v>6.8620559357985805E-2</v>
      </c>
      <c r="E56" s="9" t="s">
        <v>54</v>
      </c>
      <c r="G56" s="9" t="s">
        <v>88</v>
      </c>
      <c r="H56" s="9" t="s">
        <v>63</v>
      </c>
      <c r="I56" s="13">
        <v>0.15284627525837347</v>
      </c>
      <c r="J56" s="9" t="s">
        <v>54</v>
      </c>
      <c r="L56" s="9" t="s">
        <v>108</v>
      </c>
      <c r="M56" s="9" t="s">
        <v>63</v>
      </c>
      <c r="N56" s="13">
        <v>0.13429729061649234</v>
      </c>
      <c r="O56" s="9" t="s">
        <v>54</v>
      </c>
    </row>
    <row r="57" spans="2:15" x14ac:dyDescent="0.45">
      <c r="B57" s="8" t="s">
        <v>68</v>
      </c>
      <c r="C57" s="8" t="s">
        <v>64</v>
      </c>
      <c r="D57" s="10">
        <v>0</v>
      </c>
      <c r="E57" s="8" t="s">
        <v>54</v>
      </c>
      <c r="G57" s="8" t="s">
        <v>88</v>
      </c>
      <c r="H57" s="8" t="s">
        <v>64</v>
      </c>
      <c r="I57" s="12">
        <v>0.16323500320003939</v>
      </c>
      <c r="J57" s="8" t="s">
        <v>54</v>
      </c>
      <c r="L57" s="8" t="s">
        <v>108</v>
      </c>
      <c r="M57" s="8" t="s">
        <v>64</v>
      </c>
      <c r="N57" s="12">
        <v>0.13141265945010849</v>
      </c>
      <c r="O57" s="8" t="s">
        <v>54</v>
      </c>
    </row>
    <row r="58" spans="2:15" x14ac:dyDescent="0.45">
      <c r="B58" s="9" t="s">
        <v>68</v>
      </c>
      <c r="C58" s="9" t="s">
        <v>65</v>
      </c>
      <c r="D58" s="11">
        <v>1.2467238846203303E-3</v>
      </c>
      <c r="E58" s="9" t="s">
        <v>54</v>
      </c>
      <c r="G58" s="9" t="s">
        <v>88</v>
      </c>
      <c r="H58" s="9" t="s">
        <v>65</v>
      </c>
      <c r="I58" s="13">
        <v>2.9920019850836432E-2</v>
      </c>
      <c r="J58" s="9" t="s">
        <v>54</v>
      </c>
      <c r="L58" s="9" t="s">
        <v>108</v>
      </c>
      <c r="M58" s="9" t="s">
        <v>65</v>
      </c>
      <c r="N58" s="13">
        <v>2.5125954376079236E-2</v>
      </c>
      <c r="O58" s="9" t="s">
        <v>54</v>
      </c>
    </row>
    <row r="59" spans="2:15" x14ac:dyDescent="0.45">
      <c r="B59" s="8" t="s">
        <v>69</v>
      </c>
      <c r="C59" s="8" t="s">
        <v>53</v>
      </c>
      <c r="D59" s="10">
        <v>0.15273182134345273</v>
      </c>
      <c r="E59" s="8" t="s">
        <v>54</v>
      </c>
      <c r="G59" s="8" t="s">
        <v>89</v>
      </c>
      <c r="H59" s="8" t="s">
        <v>53</v>
      </c>
      <c r="I59" s="12">
        <v>0.11185640992824869</v>
      </c>
      <c r="J59" s="8" t="s">
        <v>54</v>
      </c>
      <c r="L59" s="8" t="s">
        <v>109</v>
      </c>
      <c r="M59" s="8" t="s">
        <v>53</v>
      </c>
      <c r="N59" s="12">
        <v>0.12068916108644824</v>
      </c>
      <c r="O59" s="8" t="s">
        <v>54</v>
      </c>
    </row>
    <row r="60" spans="2:15" x14ac:dyDescent="0.45">
      <c r="B60" s="9" t="s">
        <v>69</v>
      </c>
      <c r="C60" s="9" t="s">
        <v>55</v>
      </c>
      <c r="D60" s="11">
        <v>5.5125578995303035E-5</v>
      </c>
      <c r="E60" s="9" t="s">
        <v>54</v>
      </c>
      <c r="G60" s="9" t="s">
        <v>89</v>
      </c>
      <c r="H60" s="9" t="s">
        <v>55</v>
      </c>
      <c r="I60" s="13">
        <v>0.12567933201195067</v>
      </c>
      <c r="J60" s="9" t="s">
        <v>54</v>
      </c>
      <c r="L60" s="9" t="s">
        <v>109</v>
      </c>
      <c r="M60" s="9" t="s">
        <v>55</v>
      </c>
      <c r="N60" s="13">
        <v>0.11787918131371074</v>
      </c>
      <c r="O60" s="9" t="s">
        <v>54</v>
      </c>
    </row>
    <row r="61" spans="2:15" x14ac:dyDescent="0.45">
      <c r="B61" s="8" t="s">
        <v>69</v>
      </c>
      <c r="C61" s="8" t="s">
        <v>56</v>
      </c>
      <c r="D61" s="10">
        <v>7.5685182325715009E-3</v>
      </c>
      <c r="E61" s="8" t="s">
        <v>54</v>
      </c>
      <c r="G61" s="8" t="s">
        <v>89</v>
      </c>
      <c r="H61" s="8" t="s">
        <v>56</v>
      </c>
      <c r="I61" s="12">
        <v>2.2695933987768944E-2</v>
      </c>
      <c r="J61" s="8" t="s">
        <v>54</v>
      </c>
      <c r="L61" s="8" t="s">
        <v>109</v>
      </c>
      <c r="M61" s="8" t="s">
        <v>56</v>
      </c>
      <c r="N61" s="12">
        <v>2.1978416026379309E-2</v>
      </c>
      <c r="O61" s="8" t="s">
        <v>54</v>
      </c>
    </row>
    <row r="62" spans="2:15" x14ac:dyDescent="0.45">
      <c r="B62" s="9" t="s">
        <v>69</v>
      </c>
      <c r="C62" s="9" t="s">
        <v>57</v>
      </c>
      <c r="D62" s="11">
        <v>0.31080690758053953</v>
      </c>
      <c r="E62" s="9" t="s">
        <v>54</v>
      </c>
      <c r="G62" s="9" t="s">
        <v>89</v>
      </c>
      <c r="H62" s="9" t="s">
        <v>57</v>
      </c>
      <c r="I62" s="13">
        <v>0.10715411391607138</v>
      </c>
      <c r="J62" s="9" t="s">
        <v>54</v>
      </c>
      <c r="L62" s="9" t="s">
        <v>109</v>
      </c>
      <c r="M62" s="9" t="s">
        <v>57</v>
      </c>
      <c r="N62" s="13">
        <v>0.11611014308678286</v>
      </c>
      <c r="O62" s="9" t="s">
        <v>54</v>
      </c>
    </row>
    <row r="63" spans="2:15" x14ac:dyDescent="0.45">
      <c r="B63" s="8" t="s">
        <v>69</v>
      </c>
      <c r="C63" s="8" t="s">
        <v>58</v>
      </c>
      <c r="D63" s="10">
        <v>6.9658509867382926E-3</v>
      </c>
      <c r="E63" s="8" t="s">
        <v>54</v>
      </c>
      <c r="G63" s="8" t="s">
        <v>89</v>
      </c>
      <c r="H63" s="8" t="s">
        <v>58</v>
      </c>
      <c r="I63" s="12">
        <v>0.13046811976255887</v>
      </c>
      <c r="J63" s="8" t="s">
        <v>54</v>
      </c>
      <c r="L63" s="8" t="s">
        <v>109</v>
      </c>
      <c r="M63" s="8" t="s">
        <v>58</v>
      </c>
      <c r="N63" s="12">
        <v>0.12931017432073663</v>
      </c>
      <c r="O63" s="8" t="s">
        <v>54</v>
      </c>
    </row>
    <row r="64" spans="2:15" x14ac:dyDescent="0.45">
      <c r="B64" s="9" t="s">
        <v>69</v>
      </c>
      <c r="C64" s="9" t="s">
        <v>59</v>
      </c>
      <c r="D64" s="11">
        <v>3.1141498251261078E-2</v>
      </c>
      <c r="E64" s="9" t="s">
        <v>54</v>
      </c>
      <c r="G64" s="9" t="s">
        <v>89</v>
      </c>
      <c r="H64" s="9" t="s">
        <v>59</v>
      </c>
      <c r="I64" s="13">
        <v>2.1006599125174476E-2</v>
      </c>
      <c r="J64" s="9" t="s">
        <v>54</v>
      </c>
      <c r="L64" s="9" t="s">
        <v>109</v>
      </c>
      <c r="M64" s="9" t="s">
        <v>59</v>
      </c>
      <c r="N64" s="13">
        <v>2.2729107524652892E-2</v>
      </c>
      <c r="O64" s="9" t="s">
        <v>54</v>
      </c>
    </row>
    <row r="65" spans="2:15" x14ac:dyDescent="0.45">
      <c r="B65" s="8" t="s">
        <v>69</v>
      </c>
      <c r="C65" s="8" t="s">
        <v>60</v>
      </c>
      <c r="D65" s="10">
        <v>0.35628048551215263</v>
      </c>
      <c r="E65" s="8" t="s">
        <v>54</v>
      </c>
      <c r="G65" s="8" t="s">
        <v>89</v>
      </c>
      <c r="H65" s="8" t="s">
        <v>60</v>
      </c>
      <c r="I65" s="12">
        <v>5.9428641096036863E-2</v>
      </c>
      <c r="J65" s="8" t="s">
        <v>54</v>
      </c>
      <c r="L65" s="8" t="s">
        <v>109</v>
      </c>
      <c r="M65" s="8" t="s">
        <v>60</v>
      </c>
      <c r="N65" s="12">
        <v>7.7583888899749306E-2</v>
      </c>
      <c r="O65" s="8" t="s">
        <v>54</v>
      </c>
    </row>
    <row r="66" spans="2:15" x14ac:dyDescent="0.45">
      <c r="B66" s="9" t="s">
        <v>69</v>
      </c>
      <c r="C66" s="9" t="s">
        <v>61</v>
      </c>
      <c r="D66" s="11">
        <v>2.2194742012789544E-2</v>
      </c>
      <c r="E66" s="9" t="s">
        <v>54</v>
      </c>
      <c r="G66" s="9" t="s">
        <v>89</v>
      </c>
      <c r="H66" s="9" t="s">
        <v>61</v>
      </c>
      <c r="I66" s="13">
        <v>7.0947753361983917E-2</v>
      </c>
      <c r="J66" s="9" t="s">
        <v>54</v>
      </c>
      <c r="L66" s="9" t="s">
        <v>109</v>
      </c>
      <c r="M66" s="9" t="s">
        <v>61</v>
      </c>
      <c r="N66" s="13">
        <v>8.0976245763470761E-2</v>
      </c>
      <c r="O66" s="9" t="s">
        <v>54</v>
      </c>
    </row>
    <row r="67" spans="2:15" x14ac:dyDescent="0.45">
      <c r="B67" s="8" t="s">
        <v>69</v>
      </c>
      <c r="C67" s="8" t="s">
        <v>62</v>
      </c>
      <c r="D67" s="10">
        <v>4.4659405898124838E-2</v>
      </c>
      <c r="E67" s="8" t="s">
        <v>54</v>
      </c>
      <c r="G67" s="8" t="s">
        <v>89</v>
      </c>
      <c r="H67" s="8" t="s">
        <v>62</v>
      </c>
      <c r="I67" s="12">
        <v>1.2301903120394893E-2</v>
      </c>
      <c r="J67" s="8" t="s">
        <v>54</v>
      </c>
      <c r="L67" s="8" t="s">
        <v>109</v>
      </c>
      <c r="M67" s="8" t="s">
        <v>62</v>
      </c>
      <c r="N67" s="12">
        <v>1.4868093237390379E-2</v>
      </c>
      <c r="O67" s="8" t="s">
        <v>54</v>
      </c>
    </row>
    <row r="68" spans="2:15" x14ac:dyDescent="0.45">
      <c r="B68" s="9" t="s">
        <v>69</v>
      </c>
      <c r="C68" s="9" t="s">
        <v>63</v>
      </c>
      <c r="D68" s="11">
        <v>6.6656678167259079E-2</v>
      </c>
      <c r="E68" s="9" t="s">
        <v>54</v>
      </c>
      <c r="G68" s="9" t="s">
        <v>89</v>
      </c>
      <c r="H68" s="9" t="s">
        <v>63</v>
      </c>
      <c r="I68" s="13">
        <v>0.14964258839090797</v>
      </c>
      <c r="J68" s="9" t="s">
        <v>54</v>
      </c>
      <c r="L68" s="9" t="s">
        <v>109</v>
      </c>
      <c r="M68" s="9" t="s">
        <v>63</v>
      </c>
      <c r="N68" s="13">
        <v>0.13686363777930605</v>
      </c>
      <c r="O68" s="9" t="s">
        <v>54</v>
      </c>
    </row>
    <row r="69" spans="2:15" x14ac:dyDescent="0.45">
      <c r="B69" s="8" t="s">
        <v>69</v>
      </c>
      <c r="C69" s="8" t="s">
        <v>64</v>
      </c>
      <c r="D69" s="10">
        <v>0</v>
      </c>
      <c r="E69" s="8" t="s">
        <v>54</v>
      </c>
      <c r="G69" s="8" t="s">
        <v>89</v>
      </c>
      <c r="H69" s="8" t="s">
        <v>64</v>
      </c>
      <c r="I69" s="12">
        <v>0.15983601034303774</v>
      </c>
      <c r="J69" s="8" t="s">
        <v>54</v>
      </c>
      <c r="L69" s="8" t="s">
        <v>109</v>
      </c>
      <c r="M69" s="8" t="s">
        <v>64</v>
      </c>
      <c r="N69" s="12">
        <v>0.13568959336496106</v>
      </c>
      <c r="O69" s="8" t="s">
        <v>54</v>
      </c>
    </row>
    <row r="70" spans="2:15" x14ac:dyDescent="0.45">
      <c r="B70" s="9" t="s">
        <v>69</v>
      </c>
      <c r="C70" s="9" t="s">
        <v>65</v>
      </c>
      <c r="D70" s="11">
        <v>9.3896643611606769E-4</v>
      </c>
      <c r="E70" s="9" t="s">
        <v>54</v>
      </c>
      <c r="G70" s="9" t="s">
        <v>89</v>
      </c>
      <c r="H70" s="9" t="s">
        <v>65</v>
      </c>
      <c r="I70" s="13">
        <v>2.8982594955870092E-2</v>
      </c>
      <c r="J70" s="9" t="s">
        <v>54</v>
      </c>
      <c r="L70" s="9" t="s">
        <v>109</v>
      </c>
      <c r="M70" s="9" t="s">
        <v>65</v>
      </c>
      <c r="N70" s="13">
        <v>2.5322357596411223E-2</v>
      </c>
      <c r="O70" s="9" t="s">
        <v>54</v>
      </c>
    </row>
    <row r="71" spans="2:15" x14ac:dyDescent="0.45">
      <c r="B71" s="8" t="s">
        <v>70</v>
      </c>
      <c r="C71" s="8" t="s">
        <v>53</v>
      </c>
      <c r="D71" s="10">
        <v>0.14193511222077712</v>
      </c>
      <c r="E71" s="8" t="s">
        <v>54</v>
      </c>
      <c r="G71" s="8" t="s">
        <v>90</v>
      </c>
      <c r="H71" s="8" t="s">
        <v>53</v>
      </c>
      <c r="I71" s="12">
        <v>0.11217313865476763</v>
      </c>
      <c r="J71" s="8" t="s">
        <v>54</v>
      </c>
      <c r="L71" s="8" t="s">
        <v>110</v>
      </c>
      <c r="M71" s="8" t="s">
        <v>53</v>
      </c>
      <c r="N71" s="12">
        <v>0.11903227266897078</v>
      </c>
      <c r="O71" s="8" t="s">
        <v>54</v>
      </c>
    </row>
    <row r="72" spans="2:15" x14ac:dyDescent="0.45">
      <c r="B72" s="9" t="s">
        <v>70</v>
      </c>
      <c r="C72" s="9" t="s">
        <v>55</v>
      </c>
      <c r="D72" s="11">
        <v>0</v>
      </c>
      <c r="E72" s="9" t="s">
        <v>54</v>
      </c>
      <c r="G72" s="9" t="s">
        <v>90</v>
      </c>
      <c r="H72" s="9" t="s">
        <v>55</v>
      </c>
      <c r="I72" s="13">
        <v>0.12842567840988087</v>
      </c>
      <c r="J72" s="9" t="s">
        <v>54</v>
      </c>
      <c r="L72" s="9" t="s">
        <v>110</v>
      </c>
      <c r="M72" s="9" t="s">
        <v>55</v>
      </c>
      <c r="N72" s="13">
        <v>0.11884762149511184</v>
      </c>
      <c r="O72" s="9" t="s">
        <v>54</v>
      </c>
    </row>
    <row r="73" spans="2:15" x14ac:dyDescent="0.45">
      <c r="B73" s="8" t="s">
        <v>70</v>
      </c>
      <c r="C73" s="8" t="s">
        <v>56</v>
      </c>
      <c r="D73" s="10">
        <v>6.5742033573930707E-3</v>
      </c>
      <c r="E73" s="8" t="s">
        <v>54</v>
      </c>
      <c r="G73" s="8" t="s">
        <v>90</v>
      </c>
      <c r="H73" s="8" t="s">
        <v>56</v>
      </c>
      <c r="I73" s="12">
        <v>2.3655366619797349E-2</v>
      </c>
      <c r="J73" s="8" t="s">
        <v>54</v>
      </c>
      <c r="L73" s="8" t="s">
        <v>110</v>
      </c>
      <c r="M73" s="8" t="s">
        <v>56</v>
      </c>
      <c r="N73" s="12">
        <v>2.1693042998971821E-2</v>
      </c>
      <c r="O73" s="8" t="s">
        <v>54</v>
      </c>
    </row>
    <row r="74" spans="2:15" x14ac:dyDescent="0.45">
      <c r="B74" s="9" t="s">
        <v>70</v>
      </c>
      <c r="C74" s="9" t="s">
        <v>57</v>
      </c>
      <c r="D74" s="11">
        <v>0.33405340173754983</v>
      </c>
      <c r="E74" s="9" t="s">
        <v>54</v>
      </c>
      <c r="G74" s="9" t="s">
        <v>90</v>
      </c>
      <c r="H74" s="9" t="s">
        <v>57</v>
      </c>
      <c r="I74" s="13">
        <v>0.10554750915620482</v>
      </c>
      <c r="J74" s="9" t="s">
        <v>54</v>
      </c>
      <c r="L74" s="9" t="s">
        <v>110</v>
      </c>
      <c r="M74" s="9" t="s">
        <v>57</v>
      </c>
      <c r="N74" s="13">
        <v>0.11558442388260019</v>
      </c>
      <c r="O74" s="9" t="s">
        <v>54</v>
      </c>
    </row>
    <row r="75" spans="2:15" x14ac:dyDescent="0.45">
      <c r="B75" s="8" t="s">
        <v>70</v>
      </c>
      <c r="C75" s="8" t="s">
        <v>58</v>
      </c>
      <c r="D75" s="10">
        <v>7.0643047120664331E-3</v>
      </c>
      <c r="E75" s="8" t="s">
        <v>54</v>
      </c>
      <c r="G75" s="8" t="s">
        <v>90</v>
      </c>
      <c r="H75" s="8" t="s">
        <v>58</v>
      </c>
      <c r="I75" s="12">
        <v>0.13505022112603923</v>
      </c>
      <c r="J75" s="8" t="s">
        <v>54</v>
      </c>
      <c r="L75" s="8" t="s">
        <v>110</v>
      </c>
      <c r="M75" s="8" t="s">
        <v>58</v>
      </c>
      <c r="N75" s="12">
        <v>0.12688821898192923</v>
      </c>
      <c r="O75" s="8" t="s">
        <v>54</v>
      </c>
    </row>
    <row r="76" spans="2:15" x14ac:dyDescent="0.45">
      <c r="B76" s="9" t="s">
        <v>70</v>
      </c>
      <c r="C76" s="9" t="s">
        <v>59</v>
      </c>
      <c r="D76" s="11">
        <v>3.0789756209675046E-2</v>
      </c>
      <c r="E76" s="9" t="s">
        <v>54</v>
      </c>
      <c r="G76" s="9" t="s">
        <v>90</v>
      </c>
      <c r="H76" s="9" t="s">
        <v>59</v>
      </c>
      <c r="I76" s="13">
        <v>1.9434718604116125E-2</v>
      </c>
      <c r="J76" s="9" t="s">
        <v>54</v>
      </c>
      <c r="L76" s="9" t="s">
        <v>110</v>
      </c>
      <c r="M76" s="9" t="s">
        <v>59</v>
      </c>
      <c r="N76" s="13">
        <v>2.2264866508946487E-2</v>
      </c>
      <c r="O76" s="9" t="s">
        <v>54</v>
      </c>
    </row>
    <row r="77" spans="2:15" x14ac:dyDescent="0.45">
      <c r="B77" s="8" t="s">
        <v>70</v>
      </c>
      <c r="C77" s="8" t="s">
        <v>60</v>
      </c>
      <c r="D77" s="10">
        <v>0.3501079773422251</v>
      </c>
      <c r="E77" s="8" t="s">
        <v>54</v>
      </c>
      <c r="G77" s="8" t="s">
        <v>90</v>
      </c>
      <c r="H77" s="8" t="s">
        <v>60</v>
      </c>
      <c r="I77" s="12">
        <v>5.6875907797893741E-2</v>
      </c>
      <c r="J77" s="8" t="s">
        <v>54</v>
      </c>
      <c r="L77" s="8" t="s">
        <v>110</v>
      </c>
      <c r="M77" s="8" t="s">
        <v>60</v>
      </c>
      <c r="N77" s="12">
        <v>7.8454127919518793E-2</v>
      </c>
      <c r="O77" s="8" t="s">
        <v>54</v>
      </c>
    </row>
    <row r="78" spans="2:15" x14ac:dyDescent="0.45">
      <c r="B78" s="9" t="s">
        <v>70</v>
      </c>
      <c r="C78" s="9" t="s">
        <v>61</v>
      </c>
      <c r="D78" s="11">
        <v>2.1837803069141206E-2</v>
      </c>
      <c r="E78" s="9" t="s">
        <v>54</v>
      </c>
      <c r="G78" s="9" t="s">
        <v>90</v>
      </c>
      <c r="H78" s="9" t="s">
        <v>61</v>
      </c>
      <c r="I78" s="13">
        <v>7.3077080074970158E-2</v>
      </c>
      <c r="J78" s="9" t="s">
        <v>54</v>
      </c>
      <c r="L78" s="9" t="s">
        <v>110</v>
      </c>
      <c r="M78" s="9" t="s">
        <v>61</v>
      </c>
      <c r="N78" s="13">
        <v>7.9435210059930816E-2</v>
      </c>
      <c r="O78" s="9" t="s">
        <v>54</v>
      </c>
    </row>
    <row r="79" spans="2:15" x14ac:dyDescent="0.45">
      <c r="B79" s="8" t="s">
        <v>70</v>
      </c>
      <c r="C79" s="8" t="s">
        <v>62</v>
      </c>
      <c r="D79" s="10">
        <v>4.2424792604215972E-2</v>
      </c>
      <c r="E79" s="8" t="s">
        <v>54</v>
      </c>
      <c r="G79" s="8" t="s">
        <v>90</v>
      </c>
      <c r="H79" s="8" t="s">
        <v>62</v>
      </c>
      <c r="I79" s="12">
        <v>1.1521575011645965E-2</v>
      </c>
      <c r="J79" s="8" t="s">
        <v>54</v>
      </c>
      <c r="L79" s="8" t="s">
        <v>110</v>
      </c>
      <c r="M79" s="8" t="s">
        <v>62</v>
      </c>
      <c r="N79" s="12">
        <v>1.428253882334546E-2</v>
      </c>
      <c r="O79" s="8" t="s">
        <v>54</v>
      </c>
    </row>
    <row r="80" spans="2:15" x14ac:dyDescent="0.45">
      <c r="B80" s="9" t="s">
        <v>70</v>
      </c>
      <c r="C80" s="9" t="s">
        <v>63</v>
      </c>
      <c r="D80" s="11">
        <v>6.458010407143544E-2</v>
      </c>
      <c r="E80" s="9" t="s">
        <v>54</v>
      </c>
      <c r="G80" s="9" t="s">
        <v>90</v>
      </c>
      <c r="H80" s="9" t="s">
        <v>63</v>
      </c>
      <c r="I80" s="13">
        <v>0.14824386728073277</v>
      </c>
      <c r="J80" s="9" t="s">
        <v>54</v>
      </c>
      <c r="L80" s="9" t="s">
        <v>110</v>
      </c>
      <c r="M80" s="9" t="s">
        <v>63</v>
      </c>
      <c r="N80" s="13">
        <v>0.13913605104102486</v>
      </c>
      <c r="O80" s="9" t="s">
        <v>54</v>
      </c>
    </row>
    <row r="81" spans="2:15" x14ac:dyDescent="0.45">
      <c r="B81" s="8" t="s">
        <v>70</v>
      </c>
      <c r="C81" s="8" t="s">
        <v>64</v>
      </c>
      <c r="D81" s="10">
        <v>0</v>
      </c>
      <c r="E81" s="8" t="s">
        <v>54</v>
      </c>
      <c r="G81" s="8" t="s">
        <v>90</v>
      </c>
      <c r="H81" s="8" t="s">
        <v>64</v>
      </c>
      <c r="I81" s="12">
        <v>0.15694123154358508</v>
      </c>
      <c r="J81" s="8" t="s">
        <v>54</v>
      </c>
      <c r="L81" s="8" t="s">
        <v>110</v>
      </c>
      <c r="M81" s="8" t="s">
        <v>64</v>
      </c>
      <c r="N81" s="12">
        <v>0.1381401172899521</v>
      </c>
      <c r="O81" s="8" t="s">
        <v>54</v>
      </c>
    </row>
    <row r="82" spans="2:15" x14ac:dyDescent="0.45">
      <c r="B82" s="9" t="s">
        <v>70</v>
      </c>
      <c r="C82" s="9" t="s">
        <v>65</v>
      </c>
      <c r="D82" s="11">
        <v>6.3254467552021579E-4</v>
      </c>
      <c r="E82" s="9" t="s">
        <v>54</v>
      </c>
      <c r="G82" s="9" t="s">
        <v>90</v>
      </c>
      <c r="H82" s="9" t="s">
        <v>65</v>
      </c>
      <c r="I82" s="13">
        <v>2.905370572036637E-2</v>
      </c>
      <c r="J82" s="9" t="s">
        <v>54</v>
      </c>
      <c r="L82" s="9" t="s">
        <v>110</v>
      </c>
      <c r="M82" s="9" t="s">
        <v>65</v>
      </c>
      <c r="N82" s="13">
        <v>2.6241508329695767E-2</v>
      </c>
      <c r="O82" s="9" t="s">
        <v>54</v>
      </c>
    </row>
    <row r="83" spans="2:15" x14ac:dyDescent="0.45">
      <c r="B83" s="8" t="s">
        <v>71</v>
      </c>
      <c r="C83" s="8" t="s">
        <v>53</v>
      </c>
      <c r="D83" s="10">
        <v>0.14630419827322477</v>
      </c>
      <c r="E83" s="8" t="s">
        <v>54</v>
      </c>
      <c r="G83" s="8" t="s">
        <v>91</v>
      </c>
      <c r="H83" s="8" t="s">
        <v>53</v>
      </c>
      <c r="I83" s="12">
        <v>0.10718347358889699</v>
      </c>
      <c r="J83" s="8" t="s">
        <v>54</v>
      </c>
      <c r="L83" s="8" t="s">
        <v>111</v>
      </c>
      <c r="M83" s="8" t="s">
        <v>53</v>
      </c>
      <c r="N83" s="12">
        <v>0.12283268737584453</v>
      </c>
      <c r="O83" s="8" t="s">
        <v>54</v>
      </c>
    </row>
    <row r="84" spans="2:15" x14ac:dyDescent="0.45">
      <c r="B84" s="9" t="s">
        <v>71</v>
      </c>
      <c r="C84" s="9" t="s">
        <v>55</v>
      </c>
      <c r="D84" s="11">
        <v>5.0956862641853029E-5</v>
      </c>
      <c r="E84" s="9" t="s">
        <v>54</v>
      </c>
      <c r="G84" s="9" t="s">
        <v>91</v>
      </c>
      <c r="H84" s="9" t="s">
        <v>55</v>
      </c>
      <c r="I84" s="13">
        <v>0.12499067039730273</v>
      </c>
      <c r="J84" s="9" t="s">
        <v>54</v>
      </c>
      <c r="L84" s="9" t="s">
        <v>111</v>
      </c>
      <c r="M84" s="9" t="s">
        <v>55</v>
      </c>
      <c r="N84" s="13">
        <v>0.12838243157074261</v>
      </c>
      <c r="O84" s="9" t="s">
        <v>54</v>
      </c>
    </row>
    <row r="85" spans="2:15" x14ac:dyDescent="0.45">
      <c r="B85" s="8" t="s">
        <v>71</v>
      </c>
      <c r="C85" s="8" t="s">
        <v>56</v>
      </c>
      <c r="D85" s="10">
        <v>8.8020555046988257E-3</v>
      </c>
      <c r="E85" s="8" t="s">
        <v>54</v>
      </c>
      <c r="G85" s="8" t="s">
        <v>91</v>
      </c>
      <c r="H85" s="8" t="s">
        <v>56</v>
      </c>
      <c r="I85" s="12">
        <v>2.2456432746282357E-2</v>
      </c>
      <c r="J85" s="8" t="s">
        <v>54</v>
      </c>
      <c r="L85" s="8" t="s">
        <v>111</v>
      </c>
      <c r="M85" s="8" t="s">
        <v>56</v>
      </c>
      <c r="N85" s="12">
        <v>2.3725826592165735E-2</v>
      </c>
      <c r="O85" s="8" t="s">
        <v>54</v>
      </c>
    </row>
    <row r="86" spans="2:15" x14ac:dyDescent="0.45">
      <c r="B86" s="9" t="s">
        <v>71</v>
      </c>
      <c r="C86" s="9" t="s">
        <v>57</v>
      </c>
      <c r="D86" s="11">
        <v>0.3253336970461625</v>
      </c>
      <c r="E86" s="9" t="s">
        <v>54</v>
      </c>
      <c r="G86" s="9" t="s">
        <v>91</v>
      </c>
      <c r="H86" s="9" t="s">
        <v>57</v>
      </c>
      <c r="I86" s="13">
        <v>0.10916086593758198</v>
      </c>
      <c r="J86" s="9" t="s">
        <v>54</v>
      </c>
      <c r="L86" s="9" t="s">
        <v>111</v>
      </c>
      <c r="M86" s="9" t="s">
        <v>57</v>
      </c>
      <c r="N86" s="13">
        <v>0.10441693642189907</v>
      </c>
      <c r="O86" s="9" t="s">
        <v>54</v>
      </c>
    </row>
    <row r="87" spans="2:15" x14ac:dyDescent="0.45">
      <c r="B87" s="8" t="s">
        <v>71</v>
      </c>
      <c r="C87" s="8" t="s">
        <v>58</v>
      </c>
      <c r="D87" s="10">
        <v>8.4980139914713065E-3</v>
      </c>
      <c r="E87" s="8" t="s">
        <v>54</v>
      </c>
      <c r="G87" s="8" t="s">
        <v>91</v>
      </c>
      <c r="H87" s="8" t="s">
        <v>58</v>
      </c>
      <c r="I87" s="12">
        <v>0.13435044736369769</v>
      </c>
      <c r="J87" s="8" t="s">
        <v>54</v>
      </c>
      <c r="L87" s="8" t="s">
        <v>111</v>
      </c>
      <c r="M87" s="8" t="s">
        <v>58</v>
      </c>
      <c r="N87" s="12">
        <v>0.11628973136859229</v>
      </c>
      <c r="O87" s="8" t="s">
        <v>54</v>
      </c>
    </row>
    <row r="88" spans="2:15" x14ac:dyDescent="0.45">
      <c r="B88" s="9" t="s">
        <v>71</v>
      </c>
      <c r="C88" s="9" t="s">
        <v>59</v>
      </c>
      <c r="D88" s="11">
        <v>3.6340571884965318E-2</v>
      </c>
      <c r="E88" s="9" t="s">
        <v>54</v>
      </c>
      <c r="G88" s="9" t="s">
        <v>91</v>
      </c>
      <c r="H88" s="9" t="s">
        <v>59</v>
      </c>
      <c r="I88" s="13">
        <v>2.1348426813670607E-2</v>
      </c>
      <c r="J88" s="9" t="s">
        <v>54</v>
      </c>
      <c r="L88" s="9" t="s">
        <v>111</v>
      </c>
      <c r="M88" s="9" t="s">
        <v>59</v>
      </c>
      <c r="N88" s="13">
        <v>2.0773272728011601E-2</v>
      </c>
      <c r="O88" s="9" t="s">
        <v>54</v>
      </c>
    </row>
    <row r="89" spans="2:15" x14ac:dyDescent="0.45">
      <c r="B89" s="8" t="s">
        <v>71</v>
      </c>
      <c r="C89" s="8" t="s">
        <v>60</v>
      </c>
      <c r="D89" s="10">
        <v>0.33844493842429063</v>
      </c>
      <c r="E89" s="8" t="s">
        <v>54</v>
      </c>
      <c r="G89" s="8" t="s">
        <v>91</v>
      </c>
      <c r="H89" s="8" t="s">
        <v>60</v>
      </c>
      <c r="I89" s="12">
        <v>5.6050204243644944E-2</v>
      </c>
      <c r="J89" s="8" t="s">
        <v>54</v>
      </c>
      <c r="L89" s="8" t="s">
        <v>111</v>
      </c>
      <c r="M89" s="8" t="s">
        <v>60</v>
      </c>
      <c r="N89" s="12">
        <v>7.7620617138781253E-2</v>
      </c>
      <c r="O89" s="8" t="s">
        <v>54</v>
      </c>
    </row>
    <row r="90" spans="2:15" x14ac:dyDescent="0.45">
      <c r="B90" s="9" t="s">
        <v>71</v>
      </c>
      <c r="C90" s="9" t="s">
        <v>61</v>
      </c>
      <c r="D90" s="11">
        <v>2.4130272422265425E-2</v>
      </c>
      <c r="E90" s="9" t="s">
        <v>54</v>
      </c>
      <c r="G90" s="9" t="s">
        <v>91</v>
      </c>
      <c r="H90" s="9" t="s">
        <v>61</v>
      </c>
      <c r="I90" s="13">
        <v>7.0987426067300727E-2</v>
      </c>
      <c r="J90" s="9" t="s">
        <v>54</v>
      </c>
      <c r="L90" s="9" t="s">
        <v>111</v>
      </c>
      <c r="M90" s="9" t="s">
        <v>61</v>
      </c>
      <c r="N90" s="13">
        <v>8.0298483392462164E-2</v>
      </c>
      <c r="O90" s="9" t="s">
        <v>54</v>
      </c>
    </row>
    <row r="91" spans="2:15" x14ac:dyDescent="0.45">
      <c r="B91" s="8" t="s">
        <v>71</v>
      </c>
      <c r="C91" s="8" t="s">
        <v>62</v>
      </c>
      <c r="D91" s="10">
        <v>4.8327124881215891E-2</v>
      </c>
      <c r="E91" s="8" t="s">
        <v>54</v>
      </c>
      <c r="G91" s="8" t="s">
        <v>91</v>
      </c>
      <c r="H91" s="8" t="s">
        <v>62</v>
      </c>
      <c r="I91" s="12">
        <v>1.2356508953430927E-2</v>
      </c>
      <c r="J91" s="8" t="s">
        <v>54</v>
      </c>
      <c r="L91" s="8" t="s">
        <v>111</v>
      </c>
      <c r="M91" s="8" t="s">
        <v>62</v>
      </c>
      <c r="N91" s="12">
        <v>1.4128763240881598E-2</v>
      </c>
      <c r="O91" s="8" t="s">
        <v>54</v>
      </c>
    </row>
    <row r="92" spans="2:15" x14ac:dyDescent="0.45">
      <c r="B92" s="9" t="s">
        <v>71</v>
      </c>
      <c r="C92" s="9" t="s">
        <v>63</v>
      </c>
      <c r="D92" s="11">
        <v>6.2623092557069909E-2</v>
      </c>
      <c r="E92" s="9" t="s">
        <v>54</v>
      </c>
      <c r="G92" s="9" t="s">
        <v>91</v>
      </c>
      <c r="H92" s="9" t="s">
        <v>63</v>
      </c>
      <c r="I92" s="13">
        <v>0.15107686939116952</v>
      </c>
      <c r="J92" s="9" t="s">
        <v>54</v>
      </c>
      <c r="L92" s="9" t="s">
        <v>111</v>
      </c>
      <c r="M92" s="9" t="s">
        <v>63</v>
      </c>
      <c r="N92" s="13">
        <v>0.1433882684856338</v>
      </c>
      <c r="O92" s="9" t="s">
        <v>54</v>
      </c>
    </row>
    <row r="93" spans="2:15" x14ac:dyDescent="0.45">
      <c r="B93" s="8" t="s">
        <v>71</v>
      </c>
      <c r="C93" s="8" t="s">
        <v>64</v>
      </c>
      <c r="D93" s="10">
        <v>0</v>
      </c>
      <c r="E93" s="8" t="s">
        <v>54</v>
      </c>
      <c r="G93" s="8" t="s">
        <v>91</v>
      </c>
      <c r="H93" s="8" t="s">
        <v>64</v>
      </c>
      <c r="I93" s="12">
        <v>0.16106427547633898</v>
      </c>
      <c r="J93" s="8" t="s">
        <v>54</v>
      </c>
      <c r="L93" s="8" t="s">
        <v>111</v>
      </c>
      <c r="M93" s="8" t="s">
        <v>64</v>
      </c>
      <c r="N93" s="12">
        <v>0.14049487799107058</v>
      </c>
      <c r="O93" s="8" t="s">
        <v>54</v>
      </c>
    </row>
    <row r="94" spans="2:15" x14ac:dyDescent="0.45">
      <c r="B94" s="9" t="s">
        <v>71</v>
      </c>
      <c r="C94" s="9" t="s">
        <v>65</v>
      </c>
      <c r="D94" s="11">
        <v>1.1450781519910021E-3</v>
      </c>
      <c r="E94" s="9" t="s">
        <v>54</v>
      </c>
      <c r="G94" s="9" t="s">
        <v>91</v>
      </c>
      <c r="H94" s="9" t="s">
        <v>65</v>
      </c>
      <c r="I94" s="13">
        <v>2.8974399020685611E-2</v>
      </c>
      <c r="J94" s="9" t="s">
        <v>54</v>
      </c>
      <c r="L94" s="9" t="s">
        <v>111</v>
      </c>
      <c r="M94" s="9" t="s">
        <v>65</v>
      </c>
      <c r="N94" s="13">
        <v>2.7648103693916234E-2</v>
      </c>
      <c r="O94" s="9" t="s">
        <v>54</v>
      </c>
    </row>
    <row r="95" spans="2:15" x14ac:dyDescent="0.45">
      <c r="B95" s="8" t="s">
        <v>72</v>
      </c>
      <c r="C95" s="8" t="s">
        <v>53</v>
      </c>
      <c r="D95" s="10">
        <v>0.14779522197064945</v>
      </c>
      <c r="E95" s="8" t="s">
        <v>54</v>
      </c>
      <c r="G95" s="8" t="s">
        <v>92</v>
      </c>
      <c r="H95" s="8" t="s">
        <v>53</v>
      </c>
      <c r="I95" s="12">
        <v>0.11503056599230858</v>
      </c>
      <c r="J95" s="8" t="s">
        <v>54</v>
      </c>
      <c r="L95" s="8" t="s">
        <v>112</v>
      </c>
      <c r="M95" s="8" t="s">
        <v>53</v>
      </c>
      <c r="N95" s="12">
        <v>0.11708902545883484</v>
      </c>
      <c r="O95" s="8" t="s">
        <v>54</v>
      </c>
    </row>
    <row r="96" spans="2:15" x14ac:dyDescent="0.45">
      <c r="B96" s="9" t="s">
        <v>72</v>
      </c>
      <c r="C96" s="9" t="s">
        <v>55</v>
      </c>
      <c r="D96" s="11">
        <v>0</v>
      </c>
      <c r="E96" s="9" t="s">
        <v>54</v>
      </c>
      <c r="G96" s="9" t="s">
        <v>92</v>
      </c>
      <c r="H96" s="9" t="s">
        <v>55</v>
      </c>
      <c r="I96" s="13">
        <v>0.12934262156926371</v>
      </c>
      <c r="J96" s="9" t="s">
        <v>54</v>
      </c>
      <c r="L96" s="9" t="s">
        <v>112</v>
      </c>
      <c r="M96" s="9" t="s">
        <v>55</v>
      </c>
      <c r="N96" s="13">
        <v>0.12245151409614499</v>
      </c>
      <c r="O96" s="9" t="s">
        <v>54</v>
      </c>
    </row>
    <row r="97" spans="2:15" x14ac:dyDescent="0.45">
      <c r="B97" s="8" t="s">
        <v>72</v>
      </c>
      <c r="C97" s="8" t="s">
        <v>56</v>
      </c>
      <c r="D97" s="10">
        <v>7.4365236602778849E-3</v>
      </c>
      <c r="E97" s="8" t="s">
        <v>54</v>
      </c>
      <c r="G97" s="8" t="s">
        <v>92</v>
      </c>
      <c r="H97" s="8" t="s">
        <v>56</v>
      </c>
      <c r="I97" s="12">
        <v>2.2893132162487048E-2</v>
      </c>
      <c r="J97" s="8" t="s">
        <v>54</v>
      </c>
      <c r="L97" s="8" t="s">
        <v>112</v>
      </c>
      <c r="M97" s="8" t="s">
        <v>56</v>
      </c>
      <c r="N97" s="12">
        <v>2.2436996408549174E-2</v>
      </c>
      <c r="O97" s="8" t="s">
        <v>54</v>
      </c>
    </row>
    <row r="98" spans="2:15" x14ac:dyDescent="0.45">
      <c r="B98" s="9" t="s">
        <v>72</v>
      </c>
      <c r="C98" s="9" t="s">
        <v>57</v>
      </c>
      <c r="D98" s="11">
        <v>0.33547986096984211</v>
      </c>
      <c r="E98" s="9" t="s">
        <v>54</v>
      </c>
      <c r="G98" s="9" t="s">
        <v>92</v>
      </c>
      <c r="H98" s="9" t="s">
        <v>57</v>
      </c>
      <c r="I98" s="13">
        <v>0.10270020280436673</v>
      </c>
      <c r="J98" s="9" t="s">
        <v>54</v>
      </c>
      <c r="L98" s="9" t="s">
        <v>112</v>
      </c>
      <c r="M98" s="9" t="s">
        <v>57</v>
      </c>
      <c r="N98" s="13">
        <v>0.11229572618257144</v>
      </c>
      <c r="O98" s="9" t="s">
        <v>54</v>
      </c>
    </row>
    <row r="99" spans="2:15" x14ac:dyDescent="0.45">
      <c r="B99" s="8" t="s">
        <v>72</v>
      </c>
      <c r="C99" s="8" t="s">
        <v>58</v>
      </c>
      <c r="D99" s="10">
        <v>7.1654605252725575E-3</v>
      </c>
      <c r="E99" s="8" t="s">
        <v>54</v>
      </c>
      <c r="G99" s="8" t="s">
        <v>92</v>
      </c>
      <c r="H99" s="8" t="s">
        <v>58</v>
      </c>
      <c r="I99" s="12">
        <v>0.12290689123107147</v>
      </c>
      <c r="J99" s="8" t="s">
        <v>54</v>
      </c>
      <c r="L99" s="8" t="s">
        <v>112</v>
      </c>
      <c r="M99" s="8" t="s">
        <v>58</v>
      </c>
      <c r="N99" s="12">
        <v>0.12303139458617937</v>
      </c>
      <c r="O99" s="8" t="s">
        <v>54</v>
      </c>
    </row>
    <row r="100" spans="2:15" x14ac:dyDescent="0.45">
      <c r="B100" s="9" t="s">
        <v>72</v>
      </c>
      <c r="C100" s="9" t="s">
        <v>59</v>
      </c>
      <c r="D100" s="11">
        <v>3.2379273478281047E-2</v>
      </c>
      <c r="E100" s="9" t="s">
        <v>54</v>
      </c>
      <c r="G100" s="9" t="s">
        <v>92</v>
      </c>
      <c r="H100" s="9" t="s">
        <v>59</v>
      </c>
      <c r="I100" s="13">
        <v>1.9347050415575162E-2</v>
      </c>
      <c r="J100" s="9" t="s">
        <v>54</v>
      </c>
      <c r="L100" s="9" t="s">
        <v>112</v>
      </c>
      <c r="M100" s="9" t="s">
        <v>59</v>
      </c>
      <c r="N100" s="13">
        <v>2.2093685242979472E-2</v>
      </c>
      <c r="O100" s="9" t="s">
        <v>54</v>
      </c>
    </row>
    <row r="101" spans="2:15" x14ac:dyDescent="0.45">
      <c r="B101" s="8" t="s">
        <v>72</v>
      </c>
      <c r="C101" s="8" t="s">
        <v>60</v>
      </c>
      <c r="D101" s="10">
        <v>0.33880276097165618</v>
      </c>
      <c r="E101" s="8" t="s">
        <v>54</v>
      </c>
      <c r="G101" s="8" t="s">
        <v>92</v>
      </c>
      <c r="H101" s="8" t="s">
        <v>60</v>
      </c>
      <c r="I101" s="12">
        <v>6.4249018670686942E-2</v>
      </c>
      <c r="J101" s="8" t="s">
        <v>54</v>
      </c>
      <c r="L101" s="8" t="s">
        <v>112</v>
      </c>
      <c r="M101" s="8" t="s">
        <v>60</v>
      </c>
      <c r="N101" s="12">
        <v>7.9830896179515054E-2</v>
      </c>
      <c r="O101" s="8" t="s">
        <v>54</v>
      </c>
    </row>
    <row r="102" spans="2:15" x14ac:dyDescent="0.45">
      <c r="B102" s="9" t="s">
        <v>72</v>
      </c>
      <c r="C102" s="9" t="s">
        <v>61</v>
      </c>
      <c r="D102" s="11">
        <v>2.1125687960248829E-2</v>
      </c>
      <c r="E102" s="9" t="s">
        <v>54</v>
      </c>
      <c r="G102" s="9" t="s">
        <v>92</v>
      </c>
      <c r="H102" s="9" t="s">
        <v>61</v>
      </c>
      <c r="I102" s="13">
        <v>6.9579772439664858E-2</v>
      </c>
      <c r="J102" s="9" t="s">
        <v>54</v>
      </c>
      <c r="L102" s="9" t="s">
        <v>112</v>
      </c>
      <c r="M102" s="9" t="s">
        <v>61</v>
      </c>
      <c r="N102" s="13">
        <v>8.8842918619551389E-2</v>
      </c>
      <c r="O102" s="9" t="s">
        <v>54</v>
      </c>
    </row>
    <row r="103" spans="2:15" x14ac:dyDescent="0.45">
      <c r="B103" s="8" t="s">
        <v>72</v>
      </c>
      <c r="C103" s="8" t="s">
        <v>62</v>
      </c>
      <c r="D103" s="10">
        <v>4.2076146882246375E-2</v>
      </c>
      <c r="E103" s="8" t="s">
        <v>54</v>
      </c>
      <c r="G103" s="8" t="s">
        <v>92</v>
      </c>
      <c r="H103" s="8" t="s">
        <v>62</v>
      </c>
      <c r="I103" s="12">
        <v>1.2864734857849301E-2</v>
      </c>
      <c r="J103" s="8" t="s">
        <v>54</v>
      </c>
      <c r="L103" s="8" t="s">
        <v>112</v>
      </c>
      <c r="M103" s="8" t="s">
        <v>62</v>
      </c>
      <c r="N103" s="12">
        <v>1.6149569997628021E-2</v>
      </c>
      <c r="O103" s="8" t="s">
        <v>54</v>
      </c>
    </row>
    <row r="104" spans="2:15" x14ac:dyDescent="0.45">
      <c r="B104" s="9" t="s">
        <v>72</v>
      </c>
      <c r="C104" s="9" t="s">
        <v>63</v>
      </c>
      <c r="D104" s="11">
        <v>6.6967904636665035E-2</v>
      </c>
      <c r="E104" s="9" t="s">
        <v>54</v>
      </c>
      <c r="G104" s="9" t="s">
        <v>92</v>
      </c>
      <c r="H104" s="9" t="s">
        <v>63</v>
      </c>
      <c r="I104" s="13">
        <v>0.14848860443850015</v>
      </c>
      <c r="J104" s="9" t="s">
        <v>54</v>
      </c>
      <c r="L104" s="9" t="s">
        <v>112</v>
      </c>
      <c r="M104" s="9" t="s">
        <v>63</v>
      </c>
      <c r="N104" s="13">
        <v>0.13516783823985315</v>
      </c>
      <c r="O104" s="9" t="s">
        <v>54</v>
      </c>
    </row>
    <row r="105" spans="2:15" x14ac:dyDescent="0.45">
      <c r="B105" s="8" t="s">
        <v>72</v>
      </c>
      <c r="C105" s="8" t="s">
        <v>64</v>
      </c>
      <c r="D105" s="10">
        <v>0</v>
      </c>
      <c r="E105" s="8" t="s">
        <v>54</v>
      </c>
      <c r="G105" s="8" t="s">
        <v>92</v>
      </c>
      <c r="H105" s="8" t="s">
        <v>64</v>
      </c>
      <c r="I105" s="12">
        <v>0.16336682229918856</v>
      </c>
      <c r="J105" s="8" t="s">
        <v>54</v>
      </c>
      <c r="L105" s="8" t="s">
        <v>112</v>
      </c>
      <c r="M105" s="8" t="s">
        <v>64</v>
      </c>
      <c r="N105" s="12">
        <v>0.13422500999387665</v>
      </c>
      <c r="O105" s="8" t="s">
        <v>54</v>
      </c>
    </row>
    <row r="106" spans="2:15" x14ac:dyDescent="0.45">
      <c r="B106" s="9" t="s">
        <v>72</v>
      </c>
      <c r="C106" s="9" t="s">
        <v>65</v>
      </c>
      <c r="D106" s="11">
        <v>7.711589448614356E-4</v>
      </c>
      <c r="E106" s="9" t="s">
        <v>54</v>
      </c>
      <c r="G106" s="9" t="s">
        <v>92</v>
      </c>
      <c r="H106" s="9" t="s">
        <v>65</v>
      </c>
      <c r="I106" s="13">
        <v>2.9230583119036448E-2</v>
      </c>
      <c r="J106" s="9" t="s">
        <v>54</v>
      </c>
      <c r="L106" s="9" t="s">
        <v>112</v>
      </c>
      <c r="M106" s="9" t="s">
        <v>65</v>
      </c>
      <c r="N106" s="13">
        <v>2.638542499431637E-2</v>
      </c>
      <c r="O106" s="9" t="s">
        <v>54</v>
      </c>
    </row>
    <row r="107" spans="2:15" x14ac:dyDescent="0.45">
      <c r="B107" s="8" t="s">
        <v>73</v>
      </c>
      <c r="C107" s="8" t="s">
        <v>53</v>
      </c>
      <c r="D107" s="10">
        <v>0.14703602134797272</v>
      </c>
      <c r="E107" s="8" t="s">
        <v>54</v>
      </c>
      <c r="G107" s="8" t="s">
        <v>93</v>
      </c>
      <c r="H107" s="8" t="s">
        <v>53</v>
      </c>
      <c r="I107" s="12">
        <v>0.11680764038792726</v>
      </c>
      <c r="J107" s="8" t="s">
        <v>54</v>
      </c>
      <c r="L107" s="8" t="s">
        <v>113</v>
      </c>
      <c r="M107" s="8" t="s">
        <v>53</v>
      </c>
      <c r="N107" s="12">
        <v>0.11773990743224662</v>
      </c>
      <c r="O107" s="8" t="s">
        <v>54</v>
      </c>
    </row>
    <row r="108" spans="2:15" x14ac:dyDescent="0.45">
      <c r="B108" s="9" t="s">
        <v>73</v>
      </c>
      <c r="C108" s="9" t="s">
        <v>55</v>
      </c>
      <c r="D108" s="11">
        <v>0</v>
      </c>
      <c r="E108" s="9" t="s">
        <v>54</v>
      </c>
      <c r="G108" s="9" t="s">
        <v>93</v>
      </c>
      <c r="H108" s="9" t="s">
        <v>55</v>
      </c>
      <c r="I108" s="13">
        <v>0.13032521553106968</v>
      </c>
      <c r="J108" s="9" t="s">
        <v>54</v>
      </c>
      <c r="L108" s="9" t="s">
        <v>113</v>
      </c>
      <c r="M108" s="9" t="s">
        <v>55</v>
      </c>
      <c r="N108" s="13">
        <v>0.12124156572989619</v>
      </c>
      <c r="O108" s="9" t="s">
        <v>54</v>
      </c>
    </row>
    <row r="109" spans="2:15" x14ac:dyDescent="0.45">
      <c r="B109" s="8" t="s">
        <v>73</v>
      </c>
      <c r="C109" s="8" t="s">
        <v>56</v>
      </c>
      <c r="D109" s="10">
        <v>5.8854945201738847E-3</v>
      </c>
      <c r="E109" s="8" t="s">
        <v>54</v>
      </c>
      <c r="G109" s="8" t="s">
        <v>93</v>
      </c>
      <c r="H109" s="8" t="s">
        <v>56</v>
      </c>
      <c r="I109" s="12">
        <v>2.3661867151817048E-2</v>
      </c>
      <c r="J109" s="8" t="s">
        <v>54</v>
      </c>
      <c r="L109" s="8" t="s">
        <v>113</v>
      </c>
      <c r="M109" s="8" t="s">
        <v>56</v>
      </c>
      <c r="N109" s="12">
        <v>2.1692797580794565E-2</v>
      </c>
      <c r="O109" s="8" t="s">
        <v>54</v>
      </c>
    </row>
    <row r="110" spans="2:15" x14ac:dyDescent="0.45">
      <c r="B110" s="9" t="s">
        <v>73</v>
      </c>
      <c r="C110" s="9" t="s">
        <v>57</v>
      </c>
      <c r="D110" s="11">
        <v>0.31846141308986659</v>
      </c>
      <c r="E110" s="9" t="s">
        <v>54</v>
      </c>
      <c r="G110" s="9" t="s">
        <v>93</v>
      </c>
      <c r="H110" s="9" t="s">
        <v>57</v>
      </c>
      <c r="I110" s="13">
        <v>0.10078946308152373</v>
      </c>
      <c r="J110" s="9" t="s">
        <v>54</v>
      </c>
      <c r="L110" s="9" t="s">
        <v>113</v>
      </c>
      <c r="M110" s="9" t="s">
        <v>57</v>
      </c>
      <c r="N110" s="13">
        <v>0.11676855719126078</v>
      </c>
      <c r="O110" s="9" t="s">
        <v>54</v>
      </c>
    </row>
    <row r="111" spans="2:15" x14ac:dyDescent="0.45">
      <c r="B111" s="8" t="s">
        <v>73</v>
      </c>
      <c r="C111" s="8" t="s">
        <v>58</v>
      </c>
      <c r="D111" s="10">
        <v>7.0973100995198983E-3</v>
      </c>
      <c r="E111" s="8" t="s">
        <v>54</v>
      </c>
      <c r="G111" s="8" t="s">
        <v>93</v>
      </c>
      <c r="H111" s="8" t="s">
        <v>58</v>
      </c>
      <c r="I111" s="12">
        <v>0.12338189715351572</v>
      </c>
      <c r="J111" s="8" t="s">
        <v>54</v>
      </c>
      <c r="L111" s="8" t="s">
        <v>113</v>
      </c>
      <c r="M111" s="8" t="s">
        <v>58</v>
      </c>
      <c r="N111" s="12">
        <v>0.12717128435694536</v>
      </c>
      <c r="O111" s="8" t="s">
        <v>54</v>
      </c>
    </row>
    <row r="112" spans="2:15" x14ac:dyDescent="0.45">
      <c r="B112" s="9" t="s">
        <v>73</v>
      </c>
      <c r="C112" s="9" t="s">
        <v>59</v>
      </c>
      <c r="D112" s="11">
        <v>2.6217700182756404E-2</v>
      </c>
      <c r="E112" s="9" t="s">
        <v>54</v>
      </c>
      <c r="G112" s="9" t="s">
        <v>93</v>
      </c>
      <c r="H112" s="9" t="s">
        <v>59</v>
      </c>
      <c r="I112" s="13">
        <v>1.9434115129861197E-2</v>
      </c>
      <c r="J112" s="9" t="s">
        <v>54</v>
      </c>
      <c r="L112" s="9" t="s">
        <v>113</v>
      </c>
      <c r="M112" s="9" t="s">
        <v>59</v>
      </c>
      <c r="N112" s="13">
        <v>2.2373445209102814E-2</v>
      </c>
      <c r="O112" s="9" t="s">
        <v>54</v>
      </c>
    </row>
    <row r="113" spans="2:15" x14ac:dyDescent="0.45">
      <c r="B113" s="8" t="s">
        <v>73</v>
      </c>
      <c r="C113" s="8" t="s">
        <v>60</v>
      </c>
      <c r="D113" s="10">
        <v>0.35666257908904153</v>
      </c>
      <c r="E113" s="8" t="s">
        <v>54</v>
      </c>
      <c r="G113" s="8" t="s">
        <v>93</v>
      </c>
      <c r="H113" s="8" t="s">
        <v>60</v>
      </c>
      <c r="I113" s="12">
        <v>6.5515389235463475E-2</v>
      </c>
      <c r="J113" s="8" t="s">
        <v>54</v>
      </c>
      <c r="L113" s="8" t="s">
        <v>113</v>
      </c>
      <c r="M113" s="8" t="s">
        <v>60</v>
      </c>
      <c r="N113" s="12">
        <v>7.8328257807392443E-2</v>
      </c>
      <c r="O113" s="8" t="s">
        <v>54</v>
      </c>
    </row>
    <row r="114" spans="2:15" x14ac:dyDescent="0.45">
      <c r="B114" s="9" t="s">
        <v>73</v>
      </c>
      <c r="C114" s="9" t="s">
        <v>61</v>
      </c>
      <c r="D114" s="11">
        <v>2.0586374515531951E-2</v>
      </c>
      <c r="E114" s="9" t="s">
        <v>54</v>
      </c>
      <c r="G114" s="9" t="s">
        <v>93</v>
      </c>
      <c r="H114" s="9" t="s">
        <v>61</v>
      </c>
      <c r="I114" s="13">
        <v>7.0464214923634153E-2</v>
      </c>
      <c r="J114" s="9" t="s">
        <v>54</v>
      </c>
      <c r="L114" s="9" t="s">
        <v>113</v>
      </c>
      <c r="M114" s="9" t="s">
        <v>61</v>
      </c>
      <c r="N114" s="13">
        <v>8.5592197042095794E-2</v>
      </c>
      <c r="O114" s="9" t="s">
        <v>54</v>
      </c>
    </row>
    <row r="115" spans="2:15" x14ac:dyDescent="0.45">
      <c r="B115" s="8" t="s">
        <v>73</v>
      </c>
      <c r="C115" s="8" t="s">
        <v>62</v>
      </c>
      <c r="D115" s="10">
        <v>3.8983412212392321E-2</v>
      </c>
      <c r="E115" s="8" t="s">
        <v>54</v>
      </c>
      <c r="G115" s="8" t="s">
        <v>93</v>
      </c>
      <c r="H115" s="8" t="s">
        <v>62</v>
      </c>
      <c r="I115" s="12">
        <v>1.2771259970619349E-2</v>
      </c>
      <c r="J115" s="8" t="s">
        <v>54</v>
      </c>
      <c r="L115" s="8" t="s">
        <v>113</v>
      </c>
      <c r="M115" s="8" t="s">
        <v>62</v>
      </c>
      <c r="N115" s="12">
        <v>1.5012578393840783E-2</v>
      </c>
      <c r="O115" s="8" t="s">
        <v>54</v>
      </c>
    </row>
    <row r="116" spans="2:15" x14ac:dyDescent="0.45">
      <c r="B116" s="9" t="s">
        <v>73</v>
      </c>
      <c r="C116" s="9" t="s">
        <v>63</v>
      </c>
      <c r="D116" s="11">
        <v>7.8401456365796415E-2</v>
      </c>
      <c r="E116" s="9" t="s">
        <v>54</v>
      </c>
      <c r="G116" s="9" t="s">
        <v>93</v>
      </c>
      <c r="H116" s="9" t="s">
        <v>63</v>
      </c>
      <c r="I116" s="13">
        <v>0.14968398186622028</v>
      </c>
      <c r="J116" s="9" t="s">
        <v>54</v>
      </c>
      <c r="L116" s="9" t="s">
        <v>113</v>
      </c>
      <c r="M116" s="9" t="s">
        <v>63</v>
      </c>
      <c r="N116" s="13">
        <v>0.1352089448475865</v>
      </c>
      <c r="O116" s="9" t="s">
        <v>54</v>
      </c>
    </row>
    <row r="117" spans="2:15" x14ac:dyDescent="0.45">
      <c r="B117" s="8" t="s">
        <v>73</v>
      </c>
      <c r="C117" s="8" t="s">
        <v>64</v>
      </c>
      <c r="D117" s="10">
        <v>0</v>
      </c>
      <c r="E117" s="8" t="s">
        <v>54</v>
      </c>
      <c r="G117" s="8" t="s">
        <v>93</v>
      </c>
      <c r="H117" s="8" t="s">
        <v>64</v>
      </c>
      <c r="I117" s="12">
        <v>0.15834728213348795</v>
      </c>
      <c r="J117" s="8" t="s">
        <v>54</v>
      </c>
      <c r="L117" s="8" t="s">
        <v>113</v>
      </c>
      <c r="M117" s="8" t="s">
        <v>64</v>
      </c>
      <c r="N117" s="12">
        <v>0.13299789641464102</v>
      </c>
      <c r="O117" s="8" t="s">
        <v>54</v>
      </c>
    </row>
    <row r="118" spans="2:15" x14ac:dyDescent="0.45">
      <c r="B118" s="9" t="s">
        <v>73</v>
      </c>
      <c r="C118" s="9" t="s">
        <v>65</v>
      </c>
      <c r="D118" s="11">
        <v>6.6823857694563637E-4</v>
      </c>
      <c r="E118" s="9" t="s">
        <v>54</v>
      </c>
      <c r="G118" s="9" t="s">
        <v>93</v>
      </c>
      <c r="H118" s="9" t="s">
        <v>65</v>
      </c>
      <c r="I118" s="13">
        <v>2.8817673434862634E-2</v>
      </c>
      <c r="J118" s="9" t="s">
        <v>54</v>
      </c>
      <c r="L118" s="9" t="s">
        <v>113</v>
      </c>
      <c r="M118" s="9" t="s">
        <v>65</v>
      </c>
      <c r="N118" s="13">
        <v>2.5872567994200492E-2</v>
      </c>
      <c r="O118" s="9" t="s">
        <v>54</v>
      </c>
    </row>
    <row r="119" spans="2:15" x14ac:dyDescent="0.45">
      <c r="B119" s="8" t="s">
        <v>74</v>
      </c>
      <c r="C119" s="8" t="s">
        <v>53</v>
      </c>
      <c r="D119" s="10">
        <v>0.13073235397617408</v>
      </c>
      <c r="E119" s="8" t="s">
        <v>54</v>
      </c>
      <c r="G119" s="8" t="s">
        <v>94</v>
      </c>
      <c r="H119" s="8" t="s">
        <v>53</v>
      </c>
      <c r="I119" s="12">
        <v>0.12472947575762296</v>
      </c>
      <c r="J119" s="8" t="s">
        <v>54</v>
      </c>
      <c r="L119" s="8" t="s">
        <v>114</v>
      </c>
      <c r="M119" s="8" t="s">
        <v>53</v>
      </c>
      <c r="N119" s="12">
        <v>0.11997954193614779</v>
      </c>
      <c r="O119" s="8" t="s">
        <v>54</v>
      </c>
    </row>
    <row r="120" spans="2:15" x14ac:dyDescent="0.45">
      <c r="B120" s="9" t="s">
        <v>74</v>
      </c>
      <c r="C120" s="9" t="s">
        <v>55</v>
      </c>
      <c r="D120" s="11">
        <v>0</v>
      </c>
      <c r="E120" s="9" t="s">
        <v>54</v>
      </c>
      <c r="G120" s="9" t="s">
        <v>94</v>
      </c>
      <c r="H120" s="9" t="s">
        <v>55</v>
      </c>
      <c r="I120" s="13">
        <v>0.1325608530663622</v>
      </c>
      <c r="J120" s="9" t="s">
        <v>54</v>
      </c>
      <c r="L120" s="9" t="s">
        <v>114</v>
      </c>
      <c r="M120" s="9" t="s">
        <v>55</v>
      </c>
      <c r="N120" s="13">
        <v>0.12601201376789581</v>
      </c>
      <c r="O120" s="9" t="s">
        <v>54</v>
      </c>
    </row>
    <row r="121" spans="2:15" x14ac:dyDescent="0.45">
      <c r="B121" s="8" t="s">
        <v>74</v>
      </c>
      <c r="C121" s="8" t="s">
        <v>56</v>
      </c>
      <c r="D121" s="10">
        <v>5.8973748573326957E-3</v>
      </c>
      <c r="E121" s="8" t="s">
        <v>54</v>
      </c>
      <c r="G121" s="8" t="s">
        <v>94</v>
      </c>
      <c r="H121" s="8" t="s">
        <v>56</v>
      </c>
      <c r="I121" s="12">
        <v>2.3678022415982689E-2</v>
      </c>
      <c r="J121" s="8" t="s">
        <v>54</v>
      </c>
      <c r="L121" s="8" t="s">
        <v>114</v>
      </c>
      <c r="M121" s="8" t="s">
        <v>56</v>
      </c>
      <c r="N121" s="12">
        <v>2.2641199912306474E-2</v>
      </c>
      <c r="O121" s="8" t="s">
        <v>54</v>
      </c>
    </row>
    <row r="122" spans="2:15" x14ac:dyDescent="0.45">
      <c r="B122" s="9" t="s">
        <v>74</v>
      </c>
      <c r="C122" s="9" t="s">
        <v>57</v>
      </c>
      <c r="D122" s="11">
        <v>0.34286232811058182</v>
      </c>
      <c r="E122" s="9" t="s">
        <v>54</v>
      </c>
      <c r="G122" s="9" t="s">
        <v>94</v>
      </c>
      <c r="H122" s="9" t="s">
        <v>57</v>
      </c>
      <c r="I122" s="13">
        <v>0.10520739532810028</v>
      </c>
      <c r="J122" s="9" t="s">
        <v>54</v>
      </c>
      <c r="L122" s="9" t="s">
        <v>114</v>
      </c>
      <c r="M122" s="9" t="s">
        <v>57</v>
      </c>
      <c r="N122" s="13">
        <v>0.11049988921113765</v>
      </c>
      <c r="O122" s="9" t="s">
        <v>54</v>
      </c>
    </row>
    <row r="123" spans="2:15" x14ac:dyDescent="0.45">
      <c r="B123" s="8" t="s">
        <v>74</v>
      </c>
      <c r="C123" s="8" t="s">
        <v>58</v>
      </c>
      <c r="D123" s="10">
        <v>8.2152322946636349E-3</v>
      </c>
      <c r="E123" s="8" t="s">
        <v>54</v>
      </c>
      <c r="G123" s="8" t="s">
        <v>94</v>
      </c>
      <c r="H123" s="8" t="s">
        <v>58</v>
      </c>
      <c r="I123" s="12">
        <v>0.11838822588472499</v>
      </c>
      <c r="J123" s="8" t="s">
        <v>54</v>
      </c>
      <c r="L123" s="8" t="s">
        <v>114</v>
      </c>
      <c r="M123" s="8" t="s">
        <v>58</v>
      </c>
      <c r="N123" s="12">
        <v>0.12009541050423642</v>
      </c>
      <c r="O123" s="8" t="s">
        <v>54</v>
      </c>
    </row>
    <row r="124" spans="2:15" x14ac:dyDescent="0.45">
      <c r="B124" s="9" t="s">
        <v>74</v>
      </c>
      <c r="C124" s="9" t="s">
        <v>59</v>
      </c>
      <c r="D124" s="11">
        <v>2.930587267815226E-2</v>
      </c>
      <c r="E124" s="9" t="s">
        <v>54</v>
      </c>
      <c r="G124" s="9" t="s">
        <v>94</v>
      </c>
      <c r="H124" s="9" t="s">
        <v>59</v>
      </c>
      <c r="I124" s="13">
        <v>1.8713779869737494E-2</v>
      </c>
      <c r="J124" s="9" t="s">
        <v>54</v>
      </c>
      <c r="L124" s="9" t="s">
        <v>114</v>
      </c>
      <c r="M124" s="9" t="s">
        <v>59</v>
      </c>
      <c r="N124" s="13">
        <v>2.1156203503485033E-2</v>
      </c>
      <c r="O124" s="9" t="s">
        <v>54</v>
      </c>
    </row>
    <row r="125" spans="2:15" x14ac:dyDescent="0.45">
      <c r="B125" s="8" t="s">
        <v>74</v>
      </c>
      <c r="C125" s="8" t="s">
        <v>60</v>
      </c>
      <c r="D125" s="10">
        <v>0.35109202116804983</v>
      </c>
      <c r="E125" s="8" t="s">
        <v>54</v>
      </c>
      <c r="G125" s="8" t="s">
        <v>94</v>
      </c>
      <c r="H125" s="8" t="s">
        <v>60</v>
      </c>
      <c r="I125" s="12">
        <v>7.727644121307807E-2</v>
      </c>
      <c r="J125" s="8" t="s">
        <v>54</v>
      </c>
      <c r="L125" s="8" t="s">
        <v>114</v>
      </c>
      <c r="M125" s="8" t="s">
        <v>60</v>
      </c>
      <c r="N125" s="12">
        <v>7.8636587386576015E-2</v>
      </c>
      <c r="O125" s="8" t="s">
        <v>54</v>
      </c>
    </row>
    <row r="126" spans="2:15" x14ac:dyDescent="0.45">
      <c r="B126" s="9" t="s">
        <v>74</v>
      </c>
      <c r="C126" s="9" t="s">
        <v>61</v>
      </c>
      <c r="D126" s="11">
        <v>2.2995981649096567E-2</v>
      </c>
      <c r="E126" s="9" t="s">
        <v>54</v>
      </c>
      <c r="G126" s="9" t="s">
        <v>94</v>
      </c>
      <c r="H126" s="9" t="s">
        <v>61</v>
      </c>
      <c r="I126" s="13">
        <v>7.2310211702868055E-2</v>
      </c>
      <c r="J126" s="9" t="s">
        <v>54</v>
      </c>
      <c r="L126" s="9" t="s">
        <v>114</v>
      </c>
      <c r="M126" s="9" t="s">
        <v>61</v>
      </c>
      <c r="N126" s="13">
        <v>8.2669025166627913E-2</v>
      </c>
      <c r="O126" s="9" t="s">
        <v>54</v>
      </c>
    </row>
    <row r="127" spans="2:15" x14ac:dyDescent="0.45">
      <c r="B127" s="8" t="s">
        <v>74</v>
      </c>
      <c r="C127" s="8" t="s">
        <v>62</v>
      </c>
      <c r="D127" s="10">
        <v>4.1662791230050539E-2</v>
      </c>
      <c r="E127" s="8" t="s">
        <v>54</v>
      </c>
      <c r="G127" s="8" t="s">
        <v>94</v>
      </c>
      <c r="H127" s="8" t="s">
        <v>62</v>
      </c>
      <c r="I127" s="12">
        <v>1.3196269930397601E-2</v>
      </c>
      <c r="J127" s="8" t="s">
        <v>54</v>
      </c>
      <c r="L127" s="8" t="s">
        <v>114</v>
      </c>
      <c r="M127" s="8" t="s">
        <v>62</v>
      </c>
      <c r="N127" s="12">
        <v>1.463064399010533E-2</v>
      </c>
      <c r="O127" s="8" t="s">
        <v>54</v>
      </c>
    </row>
    <row r="128" spans="2:15" x14ac:dyDescent="0.45">
      <c r="B128" s="9" t="s">
        <v>74</v>
      </c>
      <c r="C128" s="9" t="s">
        <v>63</v>
      </c>
      <c r="D128" s="11">
        <v>6.6596398298140028E-2</v>
      </c>
      <c r="E128" s="9" t="s">
        <v>54</v>
      </c>
      <c r="G128" s="9" t="s">
        <v>94</v>
      </c>
      <c r="H128" s="9" t="s">
        <v>63</v>
      </c>
      <c r="I128" s="13">
        <v>0.14387616480913329</v>
      </c>
      <c r="J128" s="9" t="s">
        <v>54</v>
      </c>
      <c r="L128" s="9" t="s">
        <v>114</v>
      </c>
      <c r="M128" s="9" t="s">
        <v>63</v>
      </c>
      <c r="N128" s="13">
        <v>0.14000318469266435</v>
      </c>
      <c r="O128" s="9" t="s">
        <v>54</v>
      </c>
    </row>
    <row r="129" spans="2:15" x14ac:dyDescent="0.45">
      <c r="B129" s="8" t="s">
        <v>74</v>
      </c>
      <c r="C129" s="8" t="s">
        <v>64</v>
      </c>
      <c r="D129" s="10">
        <v>0</v>
      </c>
      <c r="E129" s="8" t="s">
        <v>54</v>
      </c>
      <c r="G129" s="8" t="s">
        <v>94</v>
      </c>
      <c r="H129" s="8" t="s">
        <v>64</v>
      </c>
      <c r="I129" s="12">
        <v>0.14264633479943978</v>
      </c>
      <c r="J129" s="8" t="s">
        <v>54</v>
      </c>
      <c r="L129" s="8" t="s">
        <v>114</v>
      </c>
      <c r="M129" s="8" t="s">
        <v>64</v>
      </c>
      <c r="N129" s="12">
        <v>0.13677922862293782</v>
      </c>
      <c r="O129" s="8" t="s">
        <v>54</v>
      </c>
    </row>
    <row r="130" spans="2:15" x14ac:dyDescent="0.45">
      <c r="B130" s="9" t="s">
        <v>74</v>
      </c>
      <c r="C130" s="9" t="s">
        <v>65</v>
      </c>
      <c r="D130" s="11">
        <v>6.3964573775768274E-4</v>
      </c>
      <c r="E130" s="9" t="s">
        <v>54</v>
      </c>
      <c r="G130" s="9" t="s">
        <v>94</v>
      </c>
      <c r="H130" s="9" t="s">
        <v>65</v>
      </c>
      <c r="I130" s="13">
        <v>2.7416825222554165E-2</v>
      </c>
      <c r="J130" s="9" t="s">
        <v>54</v>
      </c>
      <c r="L130" s="9" t="s">
        <v>114</v>
      </c>
      <c r="M130" s="9" t="s">
        <v>65</v>
      </c>
      <c r="N130" s="13">
        <v>2.6897071305879813E-2</v>
      </c>
      <c r="O130" s="9" t="s">
        <v>54</v>
      </c>
    </row>
    <row r="131" spans="2:15" x14ac:dyDescent="0.45">
      <c r="B131" s="8" t="s">
        <v>75</v>
      </c>
      <c r="C131" s="8" t="s">
        <v>53</v>
      </c>
      <c r="D131" s="10">
        <v>0.13806021513741601</v>
      </c>
      <c r="E131" s="8" t="s">
        <v>54</v>
      </c>
      <c r="G131" s="8" t="s">
        <v>95</v>
      </c>
      <c r="H131" s="8" t="s">
        <v>53</v>
      </c>
      <c r="I131" s="12">
        <v>0.13381798842532061</v>
      </c>
      <c r="J131" s="8" t="s">
        <v>54</v>
      </c>
    </row>
    <row r="132" spans="2:15" x14ac:dyDescent="0.45">
      <c r="B132" s="9" t="s">
        <v>75</v>
      </c>
      <c r="C132" s="9" t="s">
        <v>55</v>
      </c>
      <c r="D132" s="11">
        <v>0</v>
      </c>
      <c r="E132" s="9" t="s">
        <v>54</v>
      </c>
      <c r="G132" s="9" t="s">
        <v>95</v>
      </c>
      <c r="H132" s="9" t="s">
        <v>55</v>
      </c>
      <c r="I132" s="13">
        <v>0.13722216095543277</v>
      </c>
      <c r="J132" s="9" t="s">
        <v>54</v>
      </c>
    </row>
    <row r="133" spans="2:15" x14ac:dyDescent="0.45">
      <c r="B133" s="8" t="s">
        <v>75</v>
      </c>
      <c r="C133" s="8" t="s">
        <v>56</v>
      </c>
      <c r="D133" s="10">
        <v>5.9640096418165731E-3</v>
      </c>
      <c r="E133" s="8" t="s">
        <v>54</v>
      </c>
      <c r="G133" s="8" t="s">
        <v>95</v>
      </c>
      <c r="H133" s="8" t="s">
        <v>56</v>
      </c>
      <c r="I133" s="12">
        <v>2.3041733625472155E-2</v>
      </c>
      <c r="J133" s="8" t="s">
        <v>54</v>
      </c>
    </row>
    <row r="134" spans="2:15" x14ac:dyDescent="0.45">
      <c r="B134" s="9" t="s">
        <v>75</v>
      </c>
      <c r="C134" s="9" t="s">
        <v>57</v>
      </c>
      <c r="D134" s="11">
        <v>0.33123532909576658</v>
      </c>
      <c r="E134" s="9" t="s">
        <v>54</v>
      </c>
      <c r="G134" s="9" t="s">
        <v>95</v>
      </c>
      <c r="H134" s="9" t="s">
        <v>57</v>
      </c>
      <c r="I134" s="13">
        <v>9.7921977644963923E-2</v>
      </c>
      <c r="J134" s="9" t="s">
        <v>54</v>
      </c>
    </row>
    <row r="135" spans="2:15" x14ac:dyDescent="0.45">
      <c r="B135" s="8" t="s">
        <v>75</v>
      </c>
      <c r="C135" s="8" t="s">
        <v>58</v>
      </c>
      <c r="D135" s="10">
        <v>7.4003683845377827E-3</v>
      </c>
      <c r="E135" s="8" t="s">
        <v>54</v>
      </c>
      <c r="G135" s="8" t="s">
        <v>95</v>
      </c>
      <c r="H135" s="8" t="s">
        <v>58</v>
      </c>
      <c r="I135" s="12">
        <v>0.10904848299493274</v>
      </c>
      <c r="J135" s="8" t="s">
        <v>54</v>
      </c>
    </row>
    <row r="136" spans="2:15" x14ac:dyDescent="0.45">
      <c r="B136" s="9" t="s">
        <v>75</v>
      </c>
      <c r="C136" s="9" t="s">
        <v>59</v>
      </c>
      <c r="D136" s="11">
        <v>2.6941839897119544E-2</v>
      </c>
      <c r="E136" s="9" t="s">
        <v>54</v>
      </c>
      <c r="G136" s="9" t="s">
        <v>95</v>
      </c>
      <c r="H136" s="9" t="s">
        <v>59</v>
      </c>
      <c r="I136" s="13">
        <v>1.8540807374525181E-2</v>
      </c>
      <c r="J136" s="9" t="s">
        <v>54</v>
      </c>
    </row>
    <row r="137" spans="2:15" x14ac:dyDescent="0.45">
      <c r="B137" s="8" t="s">
        <v>75</v>
      </c>
      <c r="C137" s="8" t="s">
        <v>60</v>
      </c>
      <c r="D137" s="10">
        <v>0.35650018319328403</v>
      </c>
      <c r="E137" s="8" t="s">
        <v>54</v>
      </c>
      <c r="G137" s="8" t="s">
        <v>95</v>
      </c>
      <c r="H137" s="8" t="s">
        <v>60</v>
      </c>
      <c r="I137" s="12">
        <v>6.1440002530370234E-2</v>
      </c>
      <c r="J137" s="8" t="s">
        <v>54</v>
      </c>
    </row>
    <row r="138" spans="2:15" x14ac:dyDescent="0.45">
      <c r="B138" s="9" t="s">
        <v>75</v>
      </c>
      <c r="C138" s="9" t="s">
        <v>61</v>
      </c>
      <c r="D138" s="11">
        <v>2.2150667461591441E-2</v>
      </c>
      <c r="E138" s="9" t="s">
        <v>54</v>
      </c>
      <c r="G138" s="9" t="s">
        <v>95</v>
      </c>
      <c r="H138" s="9" t="s">
        <v>61</v>
      </c>
      <c r="I138" s="13">
        <v>7.2845549610853169E-2</v>
      </c>
      <c r="J138" s="9" t="s">
        <v>54</v>
      </c>
    </row>
    <row r="139" spans="2:15" x14ac:dyDescent="0.45">
      <c r="B139" s="8" t="s">
        <v>75</v>
      </c>
      <c r="C139" s="8" t="s">
        <v>62</v>
      </c>
      <c r="D139" s="10">
        <v>3.99604197716271E-2</v>
      </c>
      <c r="E139" s="8" t="s">
        <v>54</v>
      </c>
      <c r="G139" s="8" t="s">
        <v>95</v>
      </c>
      <c r="H139" s="8" t="s">
        <v>62</v>
      </c>
      <c r="I139" s="12">
        <v>1.0115288502362348E-2</v>
      </c>
      <c r="J139" s="8" t="s">
        <v>54</v>
      </c>
    </row>
    <row r="140" spans="2:15" x14ac:dyDescent="0.45">
      <c r="B140" s="9" t="s">
        <v>75</v>
      </c>
      <c r="C140" s="9" t="s">
        <v>63</v>
      </c>
      <c r="D140" s="11">
        <v>7.1066904144908752E-2</v>
      </c>
      <c r="E140" s="9" t="s">
        <v>54</v>
      </c>
      <c r="G140" s="9" t="s">
        <v>95</v>
      </c>
      <c r="H140" s="9" t="s">
        <v>63</v>
      </c>
      <c r="I140" s="13">
        <v>0.15374590358185411</v>
      </c>
      <c r="J140" s="9" t="s">
        <v>54</v>
      </c>
    </row>
    <row r="141" spans="2:15" x14ac:dyDescent="0.45">
      <c r="B141" s="8" t="s">
        <v>75</v>
      </c>
      <c r="C141" s="8" t="s">
        <v>64</v>
      </c>
      <c r="D141" s="10">
        <v>0</v>
      </c>
      <c r="E141" s="8" t="s">
        <v>54</v>
      </c>
      <c r="G141" s="8" t="s">
        <v>95</v>
      </c>
      <c r="H141" s="8" t="s">
        <v>64</v>
      </c>
      <c r="I141" s="12">
        <v>0.15216355588466671</v>
      </c>
      <c r="J141" s="8" t="s">
        <v>54</v>
      </c>
    </row>
    <row r="142" spans="2:15" x14ac:dyDescent="0.45">
      <c r="B142" s="9" t="s">
        <v>75</v>
      </c>
      <c r="C142" s="9" t="s">
        <v>65</v>
      </c>
      <c r="D142" s="11">
        <v>7.2006327193004105E-4</v>
      </c>
      <c r="E142" s="9" t="s">
        <v>54</v>
      </c>
      <c r="G142" s="9" t="s">
        <v>95</v>
      </c>
      <c r="H142" s="9" t="s">
        <v>65</v>
      </c>
      <c r="I142" s="13">
        <v>3.0096548869244868E-2</v>
      </c>
      <c r="J142" s="9" t="s">
        <v>54</v>
      </c>
    </row>
    <row r="143" spans="2:15" x14ac:dyDescent="0.45">
      <c r="B143" s="8" t="s">
        <v>76</v>
      </c>
      <c r="C143" s="8" t="s">
        <v>53</v>
      </c>
      <c r="D143" s="10">
        <v>0.17667415426475058</v>
      </c>
      <c r="E143" s="8" t="s">
        <v>54</v>
      </c>
      <c r="G143" s="8" t="s">
        <v>96</v>
      </c>
      <c r="H143" s="8" t="s">
        <v>53</v>
      </c>
      <c r="I143" s="12">
        <v>0.12487346428303892</v>
      </c>
      <c r="J143" s="8" t="s">
        <v>54</v>
      </c>
    </row>
    <row r="144" spans="2:15" x14ac:dyDescent="0.45">
      <c r="B144" s="9" t="s">
        <v>76</v>
      </c>
      <c r="C144" s="9" t="s">
        <v>55</v>
      </c>
      <c r="D144" s="11">
        <v>0</v>
      </c>
      <c r="E144" s="9" t="s">
        <v>54</v>
      </c>
      <c r="G144" s="9" t="s">
        <v>96</v>
      </c>
      <c r="H144" s="9" t="s">
        <v>55</v>
      </c>
      <c r="I144" s="13">
        <v>0.13719064284022486</v>
      </c>
      <c r="J144" s="9" t="s">
        <v>54</v>
      </c>
    </row>
    <row r="145" spans="2:10" x14ac:dyDescent="0.45">
      <c r="B145" s="8" t="s">
        <v>76</v>
      </c>
      <c r="C145" s="8" t="s">
        <v>56</v>
      </c>
      <c r="D145" s="10">
        <v>6.5593891532138206E-3</v>
      </c>
      <c r="E145" s="8" t="s">
        <v>54</v>
      </c>
      <c r="G145" s="8" t="s">
        <v>96</v>
      </c>
      <c r="H145" s="8" t="s">
        <v>56</v>
      </c>
      <c r="I145" s="12">
        <v>2.4031734452422716E-2</v>
      </c>
      <c r="J145" s="8" t="s">
        <v>54</v>
      </c>
    </row>
    <row r="146" spans="2:10" x14ac:dyDescent="0.45">
      <c r="B146" s="9" t="s">
        <v>76</v>
      </c>
      <c r="C146" s="9" t="s">
        <v>57</v>
      </c>
      <c r="D146" s="11">
        <v>0.29316659741862761</v>
      </c>
      <c r="E146" s="9" t="s">
        <v>54</v>
      </c>
      <c r="G146" s="9" t="s">
        <v>96</v>
      </c>
      <c r="H146" s="9" t="s">
        <v>57</v>
      </c>
      <c r="I146" s="13">
        <v>9.2342616311385226E-2</v>
      </c>
      <c r="J146" s="9" t="s">
        <v>54</v>
      </c>
    </row>
    <row r="147" spans="2:10" x14ac:dyDescent="0.45">
      <c r="B147" s="8" t="s">
        <v>76</v>
      </c>
      <c r="C147" s="8" t="s">
        <v>58</v>
      </c>
      <c r="D147" s="10">
        <v>4.7294197422644013E-3</v>
      </c>
      <c r="E147" s="8" t="s">
        <v>54</v>
      </c>
      <c r="G147" s="8" t="s">
        <v>96</v>
      </c>
      <c r="H147" s="8" t="s">
        <v>58</v>
      </c>
      <c r="I147" s="12">
        <v>0.12122932182400124</v>
      </c>
      <c r="J147" s="8" t="s">
        <v>54</v>
      </c>
    </row>
    <row r="148" spans="2:10" x14ac:dyDescent="0.45">
      <c r="B148" s="9" t="s">
        <v>76</v>
      </c>
      <c r="C148" s="9" t="s">
        <v>59</v>
      </c>
      <c r="D148" s="11">
        <v>2.3699868520813624E-2</v>
      </c>
      <c r="E148" s="9" t="s">
        <v>54</v>
      </c>
      <c r="G148" s="9" t="s">
        <v>96</v>
      </c>
      <c r="H148" s="9" t="s">
        <v>59</v>
      </c>
      <c r="I148" s="13">
        <v>1.7785952828238766E-2</v>
      </c>
      <c r="J148" s="9" t="s">
        <v>54</v>
      </c>
    </row>
    <row r="149" spans="2:10" x14ac:dyDescent="0.45">
      <c r="B149" s="8" t="s">
        <v>76</v>
      </c>
      <c r="C149" s="8" t="s">
        <v>60</v>
      </c>
      <c r="D149" s="10">
        <v>0.34165347588574996</v>
      </c>
      <c r="E149" s="8" t="s">
        <v>54</v>
      </c>
      <c r="G149" s="8" t="s">
        <v>96</v>
      </c>
      <c r="H149" s="8" t="s">
        <v>60</v>
      </c>
      <c r="I149" s="12">
        <v>6.9910091539802904E-2</v>
      </c>
      <c r="J149" s="8" t="s">
        <v>54</v>
      </c>
    </row>
    <row r="150" spans="2:10" x14ac:dyDescent="0.45">
      <c r="B150" s="9" t="s">
        <v>76</v>
      </c>
      <c r="C150" s="9" t="s">
        <v>61</v>
      </c>
      <c r="D150" s="11">
        <v>1.3959277636817535E-2</v>
      </c>
      <c r="E150" s="9" t="s">
        <v>54</v>
      </c>
      <c r="G150" s="9" t="s">
        <v>96</v>
      </c>
      <c r="H150" s="9" t="s">
        <v>61</v>
      </c>
      <c r="I150" s="13">
        <v>8.0203647963091859E-2</v>
      </c>
      <c r="J150" s="9" t="s">
        <v>54</v>
      </c>
    </row>
    <row r="151" spans="2:10" x14ac:dyDescent="0.45">
      <c r="B151" s="8" t="s">
        <v>76</v>
      </c>
      <c r="C151" s="8" t="s">
        <v>62</v>
      </c>
      <c r="D151" s="10">
        <v>3.6444733121291789E-2</v>
      </c>
      <c r="E151" s="8" t="s">
        <v>54</v>
      </c>
      <c r="G151" s="8" t="s">
        <v>96</v>
      </c>
      <c r="H151" s="8" t="s">
        <v>62</v>
      </c>
      <c r="I151" s="12">
        <v>1.1884456814167785E-2</v>
      </c>
      <c r="J151" s="8" t="s">
        <v>54</v>
      </c>
    </row>
    <row r="152" spans="2:10" x14ac:dyDescent="0.45">
      <c r="B152" s="9" t="s">
        <v>76</v>
      </c>
      <c r="C152" s="9" t="s">
        <v>63</v>
      </c>
      <c r="D152" s="11">
        <v>0.10213281210528735</v>
      </c>
      <c r="E152" s="9" t="s">
        <v>54</v>
      </c>
      <c r="G152" s="9" t="s">
        <v>96</v>
      </c>
      <c r="H152" s="9" t="s">
        <v>63</v>
      </c>
      <c r="I152" s="13">
        <v>0.14632244876089931</v>
      </c>
      <c r="J152" s="9" t="s">
        <v>54</v>
      </c>
    </row>
    <row r="153" spans="2:10" x14ac:dyDescent="0.45">
      <c r="B153" s="8" t="s">
        <v>76</v>
      </c>
      <c r="C153" s="8" t="s">
        <v>64</v>
      </c>
      <c r="D153" s="10">
        <v>0</v>
      </c>
      <c r="E153" s="8" t="s">
        <v>54</v>
      </c>
      <c r="G153" s="8" t="s">
        <v>96</v>
      </c>
      <c r="H153" s="8" t="s">
        <v>64</v>
      </c>
      <c r="I153" s="12">
        <v>0.14643616144441718</v>
      </c>
      <c r="J153" s="8" t="s">
        <v>54</v>
      </c>
    </row>
    <row r="154" spans="2:10" x14ac:dyDescent="0.45">
      <c r="B154" s="9" t="s">
        <v>76</v>
      </c>
      <c r="C154" s="9" t="s">
        <v>65</v>
      </c>
      <c r="D154" s="11">
        <v>9.8027215118461639E-4</v>
      </c>
      <c r="E154" s="9" t="s">
        <v>54</v>
      </c>
      <c r="G154" s="9" t="s">
        <v>96</v>
      </c>
      <c r="H154" s="9" t="s">
        <v>65</v>
      </c>
      <c r="I154" s="13">
        <v>2.7789460938308631E-2</v>
      </c>
      <c r="J154" s="9" t="s">
        <v>54</v>
      </c>
    </row>
    <row r="155" spans="2:10" x14ac:dyDescent="0.45">
      <c r="B155" s="8" t="s">
        <v>77</v>
      </c>
      <c r="C155" s="8" t="s">
        <v>53</v>
      </c>
      <c r="D155" s="10">
        <v>0.16566290739330897</v>
      </c>
      <c r="E155" s="8" t="s">
        <v>54</v>
      </c>
      <c r="G155" s="8" t="s">
        <v>97</v>
      </c>
      <c r="H155" s="8" t="s">
        <v>53</v>
      </c>
      <c r="I155" s="12">
        <v>0.12306216269958761</v>
      </c>
      <c r="J155" s="8" t="s">
        <v>54</v>
      </c>
    </row>
    <row r="156" spans="2:10" x14ac:dyDescent="0.45">
      <c r="B156" s="9" t="s">
        <v>77</v>
      </c>
      <c r="C156" s="9" t="s">
        <v>55</v>
      </c>
      <c r="D156" s="11">
        <v>0</v>
      </c>
      <c r="E156" s="9" t="s">
        <v>54</v>
      </c>
      <c r="G156" s="9" t="s">
        <v>97</v>
      </c>
      <c r="H156" s="9" t="s">
        <v>55</v>
      </c>
      <c r="I156" s="13">
        <v>0.13825523360012748</v>
      </c>
      <c r="J156" s="9" t="s">
        <v>54</v>
      </c>
    </row>
    <row r="157" spans="2:10" x14ac:dyDescent="0.45">
      <c r="B157" s="8" t="s">
        <v>77</v>
      </c>
      <c r="C157" s="8" t="s">
        <v>56</v>
      </c>
      <c r="D157" s="10">
        <v>5.5112773940484052E-3</v>
      </c>
      <c r="E157" s="8" t="s">
        <v>54</v>
      </c>
      <c r="G157" s="8" t="s">
        <v>97</v>
      </c>
      <c r="H157" s="8" t="s">
        <v>56</v>
      </c>
      <c r="I157" s="12">
        <v>2.4073513313771895E-2</v>
      </c>
      <c r="J157" s="8" t="s">
        <v>54</v>
      </c>
    </row>
    <row r="158" spans="2:10" x14ac:dyDescent="0.45">
      <c r="B158" s="9" t="s">
        <v>77</v>
      </c>
      <c r="C158" s="9" t="s">
        <v>57</v>
      </c>
      <c r="D158" s="11">
        <v>0.30534367181527983</v>
      </c>
      <c r="E158" s="9" t="s">
        <v>54</v>
      </c>
      <c r="G158" s="9" t="s">
        <v>97</v>
      </c>
      <c r="H158" s="9" t="s">
        <v>57</v>
      </c>
      <c r="I158" s="13">
        <v>9.8492749116702388E-2</v>
      </c>
      <c r="J158" s="9" t="s">
        <v>54</v>
      </c>
    </row>
    <row r="159" spans="2:10" x14ac:dyDescent="0.45">
      <c r="B159" s="8" t="s">
        <v>77</v>
      </c>
      <c r="C159" s="8" t="s">
        <v>58</v>
      </c>
      <c r="D159" s="10">
        <v>5.6350027752877976E-3</v>
      </c>
      <c r="E159" s="8" t="s">
        <v>54</v>
      </c>
      <c r="G159" s="8" t="s">
        <v>97</v>
      </c>
      <c r="H159" s="8" t="s">
        <v>58</v>
      </c>
      <c r="I159" s="12">
        <v>0.12724855434702073</v>
      </c>
      <c r="J159" s="8" t="s">
        <v>54</v>
      </c>
    </row>
    <row r="160" spans="2:10" x14ac:dyDescent="0.45">
      <c r="B160" s="9" t="s">
        <v>77</v>
      </c>
      <c r="C160" s="9" t="s">
        <v>59</v>
      </c>
      <c r="D160" s="11">
        <v>2.4624677055315541E-2</v>
      </c>
      <c r="E160" s="9" t="s">
        <v>54</v>
      </c>
      <c r="G160" s="9" t="s">
        <v>97</v>
      </c>
      <c r="H160" s="9" t="s">
        <v>59</v>
      </c>
      <c r="I160" s="13">
        <v>1.8821746490909296E-2</v>
      </c>
      <c r="J160" s="9" t="s">
        <v>54</v>
      </c>
    </row>
    <row r="161" spans="2:10" x14ac:dyDescent="0.45">
      <c r="B161" s="8" t="s">
        <v>77</v>
      </c>
      <c r="C161" s="8" t="s">
        <v>60</v>
      </c>
      <c r="D161" s="10">
        <v>0.35080909622675366</v>
      </c>
      <c r="E161" s="8" t="s">
        <v>54</v>
      </c>
      <c r="G161" s="8" t="s">
        <v>97</v>
      </c>
      <c r="H161" s="8" t="s">
        <v>60</v>
      </c>
      <c r="I161" s="12">
        <v>6.441890844293513E-2</v>
      </c>
      <c r="J161" s="8" t="s">
        <v>54</v>
      </c>
    </row>
    <row r="162" spans="2:10" x14ac:dyDescent="0.45">
      <c r="B162" s="9" t="s">
        <v>77</v>
      </c>
      <c r="C162" s="9" t="s">
        <v>61</v>
      </c>
      <c r="D162" s="11">
        <v>1.5601723492612875E-2</v>
      </c>
      <c r="E162" s="9" t="s">
        <v>54</v>
      </c>
      <c r="G162" s="9" t="s">
        <v>97</v>
      </c>
      <c r="H162" s="9" t="s">
        <v>61</v>
      </c>
      <c r="I162" s="13">
        <v>8.1068330562320379E-2</v>
      </c>
      <c r="J162" s="9" t="s">
        <v>54</v>
      </c>
    </row>
    <row r="163" spans="2:10" x14ac:dyDescent="0.45">
      <c r="B163" s="8" t="s">
        <v>77</v>
      </c>
      <c r="C163" s="8" t="s">
        <v>62</v>
      </c>
      <c r="D163" s="10">
        <v>3.626117793744902E-2</v>
      </c>
      <c r="E163" s="8" t="s">
        <v>54</v>
      </c>
      <c r="G163" s="8" t="s">
        <v>97</v>
      </c>
      <c r="H163" s="8" t="s">
        <v>62</v>
      </c>
      <c r="I163" s="12">
        <v>1.1007425253300536E-2</v>
      </c>
      <c r="J163" s="8" t="s">
        <v>54</v>
      </c>
    </row>
    <row r="164" spans="2:10" x14ac:dyDescent="0.45">
      <c r="B164" s="9" t="s">
        <v>77</v>
      </c>
      <c r="C164" s="9" t="s">
        <v>63</v>
      </c>
      <c r="D164" s="11">
        <v>8.9964335224913927E-2</v>
      </c>
      <c r="E164" s="9" t="s">
        <v>54</v>
      </c>
      <c r="G164" s="9" t="s">
        <v>97</v>
      </c>
      <c r="H164" s="9" t="s">
        <v>63</v>
      </c>
      <c r="I164" s="13">
        <v>0.14072355542656201</v>
      </c>
      <c r="J164" s="9" t="s">
        <v>54</v>
      </c>
    </row>
    <row r="165" spans="2:10" x14ac:dyDescent="0.45">
      <c r="B165" s="8" t="s">
        <v>77</v>
      </c>
      <c r="C165" s="8" t="s">
        <v>64</v>
      </c>
      <c r="D165" s="10">
        <v>0</v>
      </c>
      <c r="E165" s="8" t="s">
        <v>54</v>
      </c>
      <c r="G165" s="8" t="s">
        <v>97</v>
      </c>
      <c r="H165" s="8" t="s">
        <v>64</v>
      </c>
      <c r="I165" s="12">
        <v>0.14553879993375382</v>
      </c>
      <c r="J165" s="8" t="s">
        <v>54</v>
      </c>
    </row>
    <row r="166" spans="2:10" x14ac:dyDescent="0.45">
      <c r="B166" s="9" t="s">
        <v>77</v>
      </c>
      <c r="C166" s="9" t="s">
        <v>65</v>
      </c>
      <c r="D166" s="11">
        <v>5.8613068503061364E-4</v>
      </c>
      <c r="E166" s="9" t="s">
        <v>54</v>
      </c>
      <c r="G166" s="9" t="s">
        <v>97</v>
      </c>
      <c r="H166" s="9" t="s">
        <v>65</v>
      </c>
      <c r="I166" s="13">
        <v>2.7289020813007655E-2</v>
      </c>
      <c r="J166" s="9" t="s">
        <v>54</v>
      </c>
    </row>
    <row r="167" spans="2:10" x14ac:dyDescent="0.45">
      <c r="B167" s="8" t="s">
        <v>78</v>
      </c>
      <c r="C167" s="8" t="s">
        <v>53</v>
      </c>
      <c r="D167" s="10">
        <v>0.17768732709435256</v>
      </c>
      <c r="E167" s="8" t="s">
        <v>54</v>
      </c>
      <c r="G167" s="8" t="s">
        <v>98</v>
      </c>
      <c r="H167" s="8" t="s">
        <v>53</v>
      </c>
      <c r="I167" s="12">
        <v>0.12142429405575889</v>
      </c>
      <c r="J167" s="8" t="s">
        <v>54</v>
      </c>
    </row>
    <row r="168" spans="2:10" x14ac:dyDescent="0.45">
      <c r="B168" s="9" t="s">
        <v>78</v>
      </c>
      <c r="C168" s="9" t="s">
        <v>55</v>
      </c>
      <c r="D168" s="11">
        <v>0</v>
      </c>
      <c r="E168" s="9" t="s">
        <v>54</v>
      </c>
      <c r="G168" s="9" t="s">
        <v>98</v>
      </c>
      <c r="H168" s="9" t="s">
        <v>55</v>
      </c>
      <c r="I168" s="13">
        <v>0.13175163586155475</v>
      </c>
      <c r="J168" s="9" t="s">
        <v>54</v>
      </c>
    </row>
    <row r="169" spans="2:10" x14ac:dyDescent="0.45">
      <c r="B169" s="8" t="s">
        <v>78</v>
      </c>
      <c r="C169" s="8" t="s">
        <v>56</v>
      </c>
      <c r="D169" s="10">
        <v>7.8472246644067482E-3</v>
      </c>
      <c r="E169" s="8" t="s">
        <v>54</v>
      </c>
      <c r="G169" s="8" t="s">
        <v>98</v>
      </c>
      <c r="H169" s="8" t="s">
        <v>56</v>
      </c>
      <c r="I169" s="12">
        <v>2.4845997796699847E-2</v>
      </c>
      <c r="J169" s="8" t="s">
        <v>54</v>
      </c>
    </row>
    <row r="170" spans="2:10" x14ac:dyDescent="0.45">
      <c r="B170" s="9" t="s">
        <v>78</v>
      </c>
      <c r="C170" s="9" t="s">
        <v>57</v>
      </c>
      <c r="D170" s="11">
        <v>0.28488836745957086</v>
      </c>
      <c r="E170" s="9" t="s">
        <v>54</v>
      </c>
      <c r="G170" s="9" t="s">
        <v>98</v>
      </c>
      <c r="H170" s="9" t="s">
        <v>57</v>
      </c>
      <c r="I170" s="13">
        <v>0.10117688120893226</v>
      </c>
      <c r="J170" s="9" t="s">
        <v>54</v>
      </c>
    </row>
    <row r="171" spans="2:10" x14ac:dyDescent="0.45">
      <c r="B171" s="8" t="s">
        <v>78</v>
      </c>
      <c r="C171" s="8" t="s">
        <v>58</v>
      </c>
      <c r="D171" s="10">
        <v>4.5108833959786295E-3</v>
      </c>
      <c r="E171" s="8" t="s">
        <v>54</v>
      </c>
      <c r="G171" s="8" t="s">
        <v>98</v>
      </c>
      <c r="H171" s="8" t="s">
        <v>58</v>
      </c>
      <c r="I171" s="12">
        <v>0.12909985296649984</v>
      </c>
      <c r="J171" s="8" t="s">
        <v>54</v>
      </c>
    </row>
    <row r="172" spans="2:10" x14ac:dyDescent="0.45">
      <c r="B172" s="9" t="s">
        <v>78</v>
      </c>
      <c r="C172" s="9" t="s">
        <v>59</v>
      </c>
      <c r="D172" s="11">
        <v>2.6485878520460332E-2</v>
      </c>
      <c r="E172" s="9" t="s">
        <v>54</v>
      </c>
      <c r="G172" s="9" t="s">
        <v>98</v>
      </c>
      <c r="H172" s="9" t="s">
        <v>59</v>
      </c>
      <c r="I172" s="13">
        <v>1.8464825643044198E-2</v>
      </c>
      <c r="J172" s="9" t="s">
        <v>54</v>
      </c>
    </row>
    <row r="173" spans="2:10" x14ac:dyDescent="0.45">
      <c r="B173" s="8" t="s">
        <v>78</v>
      </c>
      <c r="C173" s="8" t="s">
        <v>60</v>
      </c>
      <c r="D173" s="10">
        <v>0.34003274971925812</v>
      </c>
      <c r="E173" s="8" t="s">
        <v>54</v>
      </c>
      <c r="G173" s="8" t="s">
        <v>98</v>
      </c>
      <c r="H173" s="8" t="s">
        <v>60</v>
      </c>
      <c r="I173" s="12">
        <v>6.6885657191662659E-2</v>
      </c>
      <c r="J173" s="8" t="s">
        <v>54</v>
      </c>
    </row>
    <row r="174" spans="2:10" x14ac:dyDescent="0.45">
      <c r="B174" s="9" t="s">
        <v>78</v>
      </c>
      <c r="C174" s="9" t="s">
        <v>61</v>
      </c>
      <c r="D174" s="11">
        <v>1.4881071860185245E-2</v>
      </c>
      <c r="E174" s="9" t="s">
        <v>54</v>
      </c>
      <c r="G174" s="9" t="s">
        <v>98</v>
      </c>
      <c r="H174" s="9" t="s">
        <v>61</v>
      </c>
      <c r="I174" s="13">
        <v>7.4684490083044258E-2</v>
      </c>
      <c r="J174" s="9" t="s">
        <v>54</v>
      </c>
    </row>
    <row r="175" spans="2:10" x14ac:dyDescent="0.45">
      <c r="B175" s="8" t="s">
        <v>78</v>
      </c>
      <c r="C175" s="8" t="s">
        <v>62</v>
      </c>
      <c r="D175" s="10">
        <v>3.7583165826316732E-2</v>
      </c>
      <c r="E175" s="8" t="s">
        <v>54</v>
      </c>
      <c r="G175" s="8" t="s">
        <v>98</v>
      </c>
      <c r="H175" s="8" t="s">
        <v>62</v>
      </c>
      <c r="I175" s="12">
        <v>1.2406926519444018E-2</v>
      </c>
      <c r="J175" s="8" t="s">
        <v>54</v>
      </c>
    </row>
    <row r="176" spans="2:10" x14ac:dyDescent="0.45">
      <c r="B176" s="9" t="s">
        <v>78</v>
      </c>
      <c r="C176" s="9" t="s">
        <v>63</v>
      </c>
      <c r="D176" s="11">
        <v>0.10471242738846694</v>
      </c>
      <c r="E176" s="9" t="s">
        <v>54</v>
      </c>
      <c r="G176" s="9" t="s">
        <v>98</v>
      </c>
      <c r="H176" s="9" t="s">
        <v>63</v>
      </c>
      <c r="I176" s="13">
        <v>0.14366647809159055</v>
      </c>
      <c r="J176" s="9" t="s">
        <v>54</v>
      </c>
    </row>
    <row r="177" spans="2:10" x14ac:dyDescent="0.45">
      <c r="B177" s="8" t="s">
        <v>78</v>
      </c>
      <c r="C177" s="8" t="s">
        <v>64</v>
      </c>
      <c r="D177" s="10">
        <v>0</v>
      </c>
      <c r="E177" s="8" t="s">
        <v>54</v>
      </c>
      <c r="G177" s="8" t="s">
        <v>98</v>
      </c>
      <c r="H177" s="8" t="s">
        <v>64</v>
      </c>
      <c r="I177" s="12">
        <v>0.14743930044184522</v>
      </c>
      <c r="J177" s="8" t="s">
        <v>54</v>
      </c>
    </row>
    <row r="178" spans="2:10" x14ac:dyDescent="0.45">
      <c r="B178" s="9" t="s">
        <v>78</v>
      </c>
      <c r="C178" s="9" t="s">
        <v>65</v>
      </c>
      <c r="D178" s="11">
        <v>1.370904071000884E-3</v>
      </c>
      <c r="E178" s="9" t="s">
        <v>54</v>
      </c>
      <c r="G178" s="9" t="s">
        <v>98</v>
      </c>
      <c r="H178" s="9" t="s">
        <v>65</v>
      </c>
      <c r="I178" s="13">
        <v>2.8153660139926418E-2</v>
      </c>
      <c r="J178" s="9" t="s">
        <v>54</v>
      </c>
    </row>
    <row r="179" spans="2:10" x14ac:dyDescent="0.45">
      <c r="B179" s="8" t="s">
        <v>79</v>
      </c>
      <c r="C179" s="8" t="s">
        <v>53</v>
      </c>
      <c r="D179" s="10">
        <v>0.17527383020181506</v>
      </c>
      <c r="E179" s="8" t="s">
        <v>54</v>
      </c>
      <c r="G179" s="8" t="s">
        <v>99</v>
      </c>
      <c r="H179" s="8" t="s">
        <v>53</v>
      </c>
      <c r="I179" s="12">
        <v>0.12401512692679206</v>
      </c>
      <c r="J179" s="8" t="s">
        <v>54</v>
      </c>
    </row>
    <row r="180" spans="2:10" x14ac:dyDescent="0.45">
      <c r="B180" s="9" t="s">
        <v>79</v>
      </c>
      <c r="C180" s="9" t="s">
        <v>55</v>
      </c>
      <c r="D180" s="11">
        <v>0</v>
      </c>
      <c r="E180" s="9" t="s">
        <v>54</v>
      </c>
      <c r="G180" s="9" t="s">
        <v>99</v>
      </c>
      <c r="H180" s="9" t="s">
        <v>55</v>
      </c>
      <c r="I180" s="13">
        <v>0.11726418291210775</v>
      </c>
      <c r="J180" s="9" t="s">
        <v>54</v>
      </c>
    </row>
    <row r="181" spans="2:10" x14ac:dyDescent="0.45">
      <c r="B181" s="8" t="s">
        <v>79</v>
      </c>
      <c r="C181" s="8" t="s">
        <v>56</v>
      </c>
      <c r="D181" s="10">
        <v>8.2288787937961991E-3</v>
      </c>
      <c r="E181" s="8" t="s">
        <v>54</v>
      </c>
      <c r="G181" s="8" t="s">
        <v>99</v>
      </c>
      <c r="H181" s="8" t="s">
        <v>56</v>
      </c>
      <c r="I181" s="12">
        <v>2.6452715629520233E-2</v>
      </c>
      <c r="J181" s="8" t="s">
        <v>54</v>
      </c>
    </row>
    <row r="182" spans="2:10" x14ac:dyDescent="0.45">
      <c r="B182" s="9" t="s">
        <v>79</v>
      </c>
      <c r="C182" s="9" t="s">
        <v>57</v>
      </c>
      <c r="D182" s="11">
        <v>0.28291249851491174</v>
      </c>
      <c r="E182" s="9" t="s">
        <v>54</v>
      </c>
      <c r="G182" s="9" t="s">
        <v>99</v>
      </c>
      <c r="H182" s="9" t="s">
        <v>57</v>
      </c>
      <c r="I182" s="13">
        <v>0.11659578309093385</v>
      </c>
      <c r="J182" s="9" t="s">
        <v>54</v>
      </c>
    </row>
    <row r="183" spans="2:10" x14ac:dyDescent="0.45">
      <c r="B183" s="8" t="s">
        <v>79</v>
      </c>
      <c r="C183" s="8" t="s">
        <v>58</v>
      </c>
      <c r="D183" s="10">
        <v>5.0538395406029158E-3</v>
      </c>
      <c r="E183" s="8" t="s">
        <v>54</v>
      </c>
      <c r="G183" s="8" t="s">
        <v>99</v>
      </c>
      <c r="H183" s="8" t="s">
        <v>58</v>
      </c>
      <c r="I183" s="12">
        <v>0.10328776738815762</v>
      </c>
      <c r="J183" s="8" t="s">
        <v>54</v>
      </c>
    </row>
    <row r="184" spans="2:10" x14ac:dyDescent="0.45">
      <c r="B184" s="9" t="s">
        <v>79</v>
      </c>
      <c r="C184" s="9" t="s">
        <v>59</v>
      </c>
      <c r="D184" s="11">
        <v>2.7306114643982072E-2</v>
      </c>
      <c r="E184" s="9" t="s">
        <v>54</v>
      </c>
      <c r="G184" s="9" t="s">
        <v>99</v>
      </c>
      <c r="H184" s="9" t="s">
        <v>59</v>
      </c>
      <c r="I184" s="13">
        <v>2.2697566630582394E-2</v>
      </c>
      <c r="J184" s="9" t="s">
        <v>54</v>
      </c>
    </row>
    <row r="185" spans="2:10" x14ac:dyDescent="0.45">
      <c r="B185" s="8" t="s">
        <v>79</v>
      </c>
      <c r="C185" s="8" t="s">
        <v>60</v>
      </c>
      <c r="D185" s="10">
        <v>0.34998878433827874</v>
      </c>
      <c r="E185" s="8" t="s">
        <v>54</v>
      </c>
      <c r="G185" s="8" t="s">
        <v>99</v>
      </c>
      <c r="H185" s="8" t="s">
        <v>60</v>
      </c>
      <c r="I185" s="12">
        <v>5.6226982518499599E-2</v>
      </c>
      <c r="J185" s="8" t="s">
        <v>54</v>
      </c>
    </row>
    <row r="186" spans="2:10" x14ac:dyDescent="0.45">
      <c r="B186" s="9" t="s">
        <v>79</v>
      </c>
      <c r="C186" s="9" t="s">
        <v>61</v>
      </c>
      <c r="D186" s="11">
        <v>1.6648847156017679E-2</v>
      </c>
      <c r="E186" s="9" t="s">
        <v>54</v>
      </c>
      <c r="G186" s="9" t="s">
        <v>99</v>
      </c>
      <c r="H186" s="9" t="s">
        <v>61</v>
      </c>
      <c r="I186" s="13">
        <v>3.5029743634873503E-2</v>
      </c>
      <c r="J186" s="9" t="s">
        <v>54</v>
      </c>
    </row>
    <row r="187" spans="2:10" x14ac:dyDescent="0.45">
      <c r="B187" s="8" t="s">
        <v>79</v>
      </c>
      <c r="C187" s="8" t="s">
        <v>62</v>
      </c>
      <c r="D187" s="10">
        <v>4.0976397365438511E-2</v>
      </c>
      <c r="E187" s="8" t="s">
        <v>54</v>
      </c>
      <c r="G187" s="8" t="s">
        <v>99</v>
      </c>
      <c r="H187" s="8" t="s">
        <v>62</v>
      </c>
      <c r="I187" s="12">
        <v>1.2137130698276074E-2</v>
      </c>
      <c r="J187" s="8" t="s">
        <v>54</v>
      </c>
    </row>
    <row r="188" spans="2:10" x14ac:dyDescent="0.45">
      <c r="B188" s="9" t="s">
        <v>79</v>
      </c>
      <c r="C188" s="9" t="s">
        <v>63</v>
      </c>
      <c r="D188" s="11">
        <v>9.2502279174395019E-2</v>
      </c>
      <c r="E188" s="9" t="s">
        <v>54</v>
      </c>
      <c r="G188" s="9" t="s">
        <v>99</v>
      </c>
      <c r="H188" s="9" t="s">
        <v>63</v>
      </c>
      <c r="I188" s="13">
        <v>0.17602421629054005</v>
      </c>
      <c r="J188" s="9" t="s">
        <v>54</v>
      </c>
    </row>
    <row r="189" spans="2:10" x14ac:dyDescent="0.45">
      <c r="B189" s="8" t="s">
        <v>79</v>
      </c>
      <c r="C189" s="8" t="s">
        <v>64</v>
      </c>
      <c r="D189" s="10">
        <v>0</v>
      </c>
      <c r="E189" s="8" t="s">
        <v>54</v>
      </c>
      <c r="G189" s="8" t="s">
        <v>99</v>
      </c>
      <c r="H189" s="8" t="s">
        <v>64</v>
      </c>
      <c r="I189" s="12">
        <v>0.17647249520408298</v>
      </c>
      <c r="J189" s="8" t="s">
        <v>54</v>
      </c>
    </row>
    <row r="190" spans="2:10" x14ac:dyDescent="0.45">
      <c r="B190" s="9" t="s">
        <v>79</v>
      </c>
      <c r="C190" s="9" t="s">
        <v>65</v>
      </c>
      <c r="D190" s="11">
        <v>1.1085302707623586E-3</v>
      </c>
      <c r="E190" s="9" t="s">
        <v>54</v>
      </c>
      <c r="G190" s="9" t="s">
        <v>99</v>
      </c>
      <c r="H190" s="9" t="s">
        <v>65</v>
      </c>
      <c r="I190" s="13">
        <v>3.3796289075635089E-2</v>
      </c>
      <c r="J190" s="9" t="s">
        <v>54</v>
      </c>
    </row>
    <row r="191" spans="2:10" x14ac:dyDescent="0.45">
      <c r="B191" s="8" t="s">
        <v>80</v>
      </c>
      <c r="C191" s="8" t="s">
        <v>53</v>
      </c>
      <c r="D191" s="10">
        <v>0.16500861786940943</v>
      </c>
      <c r="E191" s="8" t="s">
        <v>54</v>
      </c>
      <c r="G191" s="8" t="s">
        <v>100</v>
      </c>
      <c r="H191" s="8" t="s">
        <v>53</v>
      </c>
      <c r="I191" s="12">
        <v>0.12727350596824549</v>
      </c>
      <c r="J191" s="8" t="s">
        <v>54</v>
      </c>
    </row>
    <row r="192" spans="2:10" x14ac:dyDescent="0.45">
      <c r="B192" s="9" t="s">
        <v>80</v>
      </c>
      <c r="C192" s="9" t="s">
        <v>55</v>
      </c>
      <c r="D192" s="11">
        <v>0</v>
      </c>
      <c r="E192" s="9" t="s">
        <v>54</v>
      </c>
      <c r="G192" s="9" t="s">
        <v>100</v>
      </c>
      <c r="H192" s="9" t="s">
        <v>55</v>
      </c>
      <c r="I192" s="13">
        <v>0.13589569221568817</v>
      </c>
      <c r="J192" s="9" t="s">
        <v>54</v>
      </c>
    </row>
    <row r="193" spans="2:10" x14ac:dyDescent="0.45">
      <c r="B193" s="8" t="s">
        <v>80</v>
      </c>
      <c r="C193" s="8" t="s">
        <v>56</v>
      </c>
      <c r="D193" s="10">
        <v>7.5377796545978357E-3</v>
      </c>
      <c r="E193" s="8" t="s">
        <v>54</v>
      </c>
      <c r="G193" s="8" t="s">
        <v>100</v>
      </c>
      <c r="H193" s="8" t="s">
        <v>56</v>
      </c>
      <c r="I193" s="12">
        <v>2.4029077319016691E-2</v>
      </c>
      <c r="J193" s="8" t="s">
        <v>54</v>
      </c>
    </row>
    <row r="194" spans="2:10" x14ac:dyDescent="0.45">
      <c r="B194" s="9" t="s">
        <v>80</v>
      </c>
      <c r="C194" s="9" t="s">
        <v>57</v>
      </c>
      <c r="D194" s="11">
        <v>0.29812251124310363</v>
      </c>
      <c r="E194" s="9" t="s">
        <v>54</v>
      </c>
      <c r="G194" s="9" t="s">
        <v>100</v>
      </c>
      <c r="H194" s="9" t="s">
        <v>57</v>
      </c>
      <c r="I194" s="13">
        <v>0.10595686282772397</v>
      </c>
      <c r="J194" s="9" t="s">
        <v>54</v>
      </c>
    </row>
    <row r="195" spans="2:10" x14ac:dyDescent="0.45">
      <c r="B195" s="8" t="s">
        <v>80</v>
      </c>
      <c r="C195" s="8" t="s">
        <v>58</v>
      </c>
      <c r="D195" s="10">
        <v>6.192390977376552E-3</v>
      </c>
      <c r="E195" s="8" t="s">
        <v>54</v>
      </c>
      <c r="G195" s="8" t="s">
        <v>100</v>
      </c>
      <c r="H195" s="8" t="s">
        <v>58</v>
      </c>
      <c r="I195" s="12">
        <v>0.11239644638988468</v>
      </c>
      <c r="J195" s="8" t="s">
        <v>54</v>
      </c>
    </row>
    <row r="196" spans="2:10" x14ac:dyDescent="0.45">
      <c r="B196" s="9" t="s">
        <v>80</v>
      </c>
      <c r="C196" s="9" t="s">
        <v>59</v>
      </c>
      <c r="D196" s="11">
        <v>2.8061541145804378E-2</v>
      </c>
      <c r="E196" s="9" t="s">
        <v>54</v>
      </c>
      <c r="G196" s="9" t="s">
        <v>100</v>
      </c>
      <c r="H196" s="9" t="s">
        <v>59</v>
      </c>
      <c r="I196" s="13">
        <v>2.0331629637956202E-2</v>
      </c>
      <c r="J196" s="9" t="s">
        <v>54</v>
      </c>
    </row>
    <row r="197" spans="2:10" x14ac:dyDescent="0.45">
      <c r="B197" s="8" t="s">
        <v>80</v>
      </c>
      <c r="C197" s="8" t="s">
        <v>60</v>
      </c>
      <c r="D197" s="10">
        <v>0.3575326109506114</v>
      </c>
      <c r="E197" s="8" t="s">
        <v>54</v>
      </c>
      <c r="G197" s="8" t="s">
        <v>100</v>
      </c>
      <c r="H197" s="8" t="s">
        <v>60</v>
      </c>
      <c r="I197" s="12">
        <v>4.6622050620787558E-2</v>
      </c>
      <c r="J197" s="8" t="s">
        <v>54</v>
      </c>
    </row>
    <row r="198" spans="2:10" x14ac:dyDescent="0.45">
      <c r="B198" s="9" t="s">
        <v>80</v>
      </c>
      <c r="C198" s="9" t="s">
        <v>61</v>
      </c>
      <c r="D198" s="11">
        <v>1.9530472404912097E-2</v>
      </c>
      <c r="E198" s="9" t="s">
        <v>54</v>
      </c>
      <c r="G198" s="9" t="s">
        <v>100</v>
      </c>
      <c r="H198" s="9" t="s">
        <v>61</v>
      </c>
      <c r="I198" s="13">
        <v>5.046464273892496E-2</v>
      </c>
      <c r="J198" s="9" t="s">
        <v>54</v>
      </c>
    </row>
    <row r="199" spans="2:10" x14ac:dyDescent="0.45">
      <c r="B199" s="8" t="s">
        <v>80</v>
      </c>
      <c r="C199" s="8" t="s">
        <v>62</v>
      </c>
      <c r="D199" s="10">
        <v>4.2727426268536109E-2</v>
      </c>
      <c r="E199" s="8" t="s">
        <v>54</v>
      </c>
      <c r="G199" s="8" t="s">
        <v>100</v>
      </c>
      <c r="H199" s="8" t="s">
        <v>62</v>
      </c>
      <c r="I199" s="12">
        <v>8.5209341032500101E-3</v>
      </c>
      <c r="J199" s="8" t="s">
        <v>54</v>
      </c>
    </row>
    <row r="200" spans="2:10" x14ac:dyDescent="0.45">
      <c r="B200" s="9" t="s">
        <v>80</v>
      </c>
      <c r="C200" s="9" t="s">
        <v>63</v>
      </c>
      <c r="D200" s="11">
        <v>7.462470834065521E-2</v>
      </c>
      <c r="E200" s="9" t="s">
        <v>54</v>
      </c>
      <c r="G200" s="9" t="s">
        <v>100</v>
      </c>
      <c r="H200" s="9" t="s">
        <v>63</v>
      </c>
      <c r="I200" s="13">
        <v>0.16346663149422994</v>
      </c>
      <c r="J200" s="9" t="s">
        <v>54</v>
      </c>
    </row>
    <row r="201" spans="2:10" x14ac:dyDescent="0.45">
      <c r="B201" s="8" t="s">
        <v>80</v>
      </c>
      <c r="C201" s="8" t="s">
        <v>64</v>
      </c>
      <c r="D201" s="10">
        <v>0</v>
      </c>
      <c r="E201" s="8" t="s">
        <v>54</v>
      </c>
      <c r="G201" s="8" t="s">
        <v>100</v>
      </c>
      <c r="H201" s="8" t="s">
        <v>64</v>
      </c>
      <c r="I201" s="12">
        <v>0.17249285156844349</v>
      </c>
      <c r="J201" s="8" t="s">
        <v>54</v>
      </c>
    </row>
    <row r="202" spans="2:10" x14ac:dyDescent="0.45">
      <c r="B202" s="9" t="s">
        <v>80</v>
      </c>
      <c r="C202" s="9" t="s">
        <v>65</v>
      </c>
      <c r="D202" s="11">
        <v>6.6194114499329632E-4</v>
      </c>
      <c r="E202" s="9" t="s">
        <v>54</v>
      </c>
      <c r="G202" s="9" t="s">
        <v>100</v>
      </c>
      <c r="H202" s="9" t="s">
        <v>65</v>
      </c>
      <c r="I202" s="13">
        <v>3.254967511584491E-2</v>
      </c>
      <c r="J202" s="9" t="s">
        <v>54</v>
      </c>
    </row>
    <row r="203" spans="2:10" x14ac:dyDescent="0.45">
      <c r="B203" s="8" t="s">
        <v>81</v>
      </c>
      <c r="C203" s="8" t="s">
        <v>53</v>
      </c>
      <c r="D203" s="10">
        <v>0.15611116842422296</v>
      </c>
      <c r="E203" s="8" t="s">
        <v>54</v>
      </c>
      <c r="G203" s="8" t="s">
        <v>101</v>
      </c>
      <c r="H203" s="8" t="s">
        <v>53</v>
      </c>
      <c r="I203" s="12">
        <v>0.12017721498074961</v>
      </c>
      <c r="J203" s="8" t="s">
        <v>54</v>
      </c>
    </row>
    <row r="204" spans="2:10" x14ac:dyDescent="0.45">
      <c r="B204" s="9" t="s">
        <v>81</v>
      </c>
      <c r="C204" s="9" t="s">
        <v>55</v>
      </c>
      <c r="D204" s="11">
        <v>0</v>
      </c>
      <c r="E204" s="9" t="s">
        <v>54</v>
      </c>
      <c r="G204" s="9" t="s">
        <v>101</v>
      </c>
      <c r="H204" s="9" t="s">
        <v>55</v>
      </c>
      <c r="I204" s="13">
        <v>0.13115639235139226</v>
      </c>
      <c r="J204" s="9" t="s">
        <v>54</v>
      </c>
    </row>
    <row r="205" spans="2:10" x14ac:dyDescent="0.45">
      <c r="B205" s="8" t="s">
        <v>81</v>
      </c>
      <c r="C205" s="8" t="s">
        <v>56</v>
      </c>
      <c r="D205" s="10">
        <v>7.6465007749158109E-3</v>
      </c>
      <c r="E205" s="8" t="s">
        <v>54</v>
      </c>
      <c r="G205" s="8" t="s">
        <v>101</v>
      </c>
      <c r="H205" s="8" t="s">
        <v>56</v>
      </c>
      <c r="I205" s="12">
        <v>2.6555587238579086E-2</v>
      </c>
      <c r="J205" s="8" t="s">
        <v>54</v>
      </c>
    </row>
    <row r="206" spans="2:10" x14ac:dyDescent="0.45">
      <c r="B206" s="9" t="s">
        <v>81</v>
      </c>
      <c r="C206" s="9" t="s">
        <v>57</v>
      </c>
      <c r="D206" s="11">
        <v>0.31261927214793556</v>
      </c>
      <c r="E206" s="9" t="s">
        <v>54</v>
      </c>
      <c r="G206" s="9" t="s">
        <v>101</v>
      </c>
      <c r="H206" s="9" t="s">
        <v>57</v>
      </c>
      <c r="I206" s="13">
        <v>0.11200328027496201</v>
      </c>
      <c r="J206" s="9" t="s">
        <v>54</v>
      </c>
    </row>
    <row r="207" spans="2:10" x14ac:dyDescent="0.45">
      <c r="B207" s="8" t="s">
        <v>81</v>
      </c>
      <c r="C207" s="8" t="s">
        <v>58</v>
      </c>
      <c r="D207" s="10">
        <v>6.5885025625431548E-3</v>
      </c>
      <c r="E207" s="8" t="s">
        <v>54</v>
      </c>
      <c r="G207" s="8" t="s">
        <v>101</v>
      </c>
      <c r="H207" s="8" t="s">
        <v>58</v>
      </c>
      <c r="I207" s="12">
        <v>0.11958089495166686</v>
      </c>
      <c r="J207" s="8" t="s">
        <v>54</v>
      </c>
    </row>
    <row r="208" spans="2:10" x14ac:dyDescent="0.45">
      <c r="B208" s="9" t="s">
        <v>81</v>
      </c>
      <c r="C208" s="9" t="s">
        <v>59</v>
      </c>
      <c r="D208" s="11">
        <v>2.8824492951869948E-2</v>
      </c>
      <c r="E208" s="9" t="s">
        <v>54</v>
      </c>
      <c r="G208" s="9" t="s">
        <v>101</v>
      </c>
      <c r="H208" s="9" t="s">
        <v>59</v>
      </c>
      <c r="I208" s="13">
        <v>2.0990164578597939E-2</v>
      </c>
      <c r="J208" s="9" t="s">
        <v>54</v>
      </c>
    </row>
    <row r="209" spans="2:10" x14ac:dyDescent="0.45">
      <c r="B209" s="8" t="s">
        <v>81</v>
      </c>
      <c r="C209" s="8" t="s">
        <v>60</v>
      </c>
      <c r="D209" s="10">
        <v>0.35472577740709565</v>
      </c>
      <c r="E209" s="8" t="s">
        <v>54</v>
      </c>
      <c r="G209" s="8" t="s">
        <v>101</v>
      </c>
      <c r="H209" s="8" t="s">
        <v>60</v>
      </c>
      <c r="I209" s="12">
        <v>5.5799462514748308E-2</v>
      </c>
      <c r="J209" s="8" t="s">
        <v>54</v>
      </c>
    </row>
    <row r="210" spans="2:10" x14ac:dyDescent="0.45">
      <c r="B210" s="9" t="s">
        <v>81</v>
      </c>
      <c r="C210" s="9" t="s">
        <v>61</v>
      </c>
      <c r="D210" s="11">
        <v>2.0595739865168907E-2</v>
      </c>
      <c r="E210" s="9" t="s">
        <v>54</v>
      </c>
      <c r="G210" s="9" t="s">
        <v>101</v>
      </c>
      <c r="H210" s="9" t="s">
        <v>61</v>
      </c>
      <c r="I210" s="13">
        <v>5.8084839794147393E-2</v>
      </c>
      <c r="J210" s="9" t="s">
        <v>54</v>
      </c>
    </row>
    <row r="211" spans="2:10" x14ac:dyDescent="0.45">
      <c r="B211" s="8" t="s">
        <v>81</v>
      </c>
      <c r="C211" s="8" t="s">
        <v>62</v>
      </c>
      <c r="D211" s="10">
        <v>4.2624474006844833E-2</v>
      </c>
      <c r="E211" s="8" t="s">
        <v>54</v>
      </c>
      <c r="G211" s="8" t="s">
        <v>101</v>
      </c>
      <c r="H211" s="8" t="s">
        <v>62</v>
      </c>
      <c r="I211" s="12">
        <v>1.1663580140074396E-2</v>
      </c>
      <c r="J211" s="8" t="s">
        <v>54</v>
      </c>
    </row>
    <row r="212" spans="2:10" x14ac:dyDescent="0.45">
      <c r="B212" s="9" t="s">
        <v>81</v>
      </c>
      <c r="C212" s="9" t="s">
        <v>63</v>
      </c>
      <c r="D212" s="11">
        <v>6.958572254888469E-2</v>
      </c>
      <c r="E212" s="9" t="s">
        <v>54</v>
      </c>
      <c r="G212" s="9" t="s">
        <v>101</v>
      </c>
      <c r="H212" s="9" t="s">
        <v>63</v>
      </c>
      <c r="I212" s="13">
        <v>0.15299382218862889</v>
      </c>
      <c r="J212" s="9" t="s">
        <v>54</v>
      </c>
    </row>
    <row r="213" spans="2:10" x14ac:dyDescent="0.45">
      <c r="B213" s="8" t="s">
        <v>81</v>
      </c>
      <c r="C213" s="8" t="s">
        <v>64</v>
      </c>
      <c r="D213" s="10">
        <v>0</v>
      </c>
      <c r="E213" s="8" t="s">
        <v>54</v>
      </c>
      <c r="G213" s="8" t="s">
        <v>101</v>
      </c>
      <c r="H213" s="8" t="s">
        <v>64</v>
      </c>
      <c r="I213" s="12">
        <v>0.16062636194263219</v>
      </c>
      <c r="J213" s="8" t="s">
        <v>54</v>
      </c>
    </row>
    <row r="214" spans="2:10" x14ac:dyDescent="0.45">
      <c r="B214" s="9" t="s">
        <v>81</v>
      </c>
      <c r="C214" s="9" t="s">
        <v>65</v>
      </c>
      <c r="D214" s="11">
        <v>6.7834931051908079E-4</v>
      </c>
      <c r="E214" s="9" t="s">
        <v>54</v>
      </c>
      <c r="G214" s="9" t="s">
        <v>101</v>
      </c>
      <c r="H214" s="9" t="s">
        <v>65</v>
      </c>
      <c r="I214" s="13">
        <v>3.0368399043818932E-2</v>
      </c>
      <c r="J214" s="9" t="s">
        <v>54</v>
      </c>
    </row>
    <row r="215" spans="2:10" x14ac:dyDescent="0.45">
      <c r="B215" s="8" t="s">
        <v>82</v>
      </c>
      <c r="C215" s="8" t="s">
        <v>53</v>
      </c>
      <c r="D215" s="10">
        <v>0.15334446348951555</v>
      </c>
      <c r="E215" s="8" t="s">
        <v>54</v>
      </c>
      <c r="G215" s="8" t="s">
        <v>102</v>
      </c>
      <c r="H215" s="8" t="s">
        <v>53</v>
      </c>
      <c r="I215" s="12">
        <v>0.13080030223433761</v>
      </c>
      <c r="J215" s="8" t="s">
        <v>54</v>
      </c>
    </row>
    <row r="216" spans="2:10" x14ac:dyDescent="0.45">
      <c r="B216" s="9" t="s">
        <v>82</v>
      </c>
      <c r="C216" s="9" t="s">
        <v>55</v>
      </c>
      <c r="D216" s="11">
        <v>0</v>
      </c>
      <c r="E216" s="9" t="s">
        <v>54</v>
      </c>
      <c r="G216" s="9" t="s">
        <v>102</v>
      </c>
      <c r="H216" s="9" t="s">
        <v>55</v>
      </c>
      <c r="I216" s="13">
        <v>0.12491788154025736</v>
      </c>
      <c r="J216" s="9" t="s">
        <v>54</v>
      </c>
    </row>
    <row r="217" spans="2:10" x14ac:dyDescent="0.45">
      <c r="B217" s="8" t="s">
        <v>82</v>
      </c>
      <c r="C217" s="8" t="s">
        <v>56</v>
      </c>
      <c r="D217" s="10">
        <v>6.3883486743517128E-3</v>
      </c>
      <c r="E217" s="8" t="s">
        <v>54</v>
      </c>
      <c r="G217" s="8" t="s">
        <v>102</v>
      </c>
      <c r="H217" s="8" t="s">
        <v>56</v>
      </c>
      <c r="I217" s="12">
        <v>2.4275661210240915E-2</v>
      </c>
      <c r="J217" s="8" t="s">
        <v>54</v>
      </c>
    </row>
    <row r="218" spans="2:10" x14ac:dyDescent="0.45">
      <c r="B218" s="9" t="s">
        <v>82</v>
      </c>
      <c r="C218" s="9" t="s">
        <v>57</v>
      </c>
      <c r="D218" s="11">
        <v>0.30412219909926269</v>
      </c>
      <c r="E218" s="9" t="s">
        <v>54</v>
      </c>
      <c r="G218" s="9" t="s">
        <v>102</v>
      </c>
      <c r="H218" s="9" t="s">
        <v>57</v>
      </c>
      <c r="I218" s="13">
        <v>0.1168421208299278</v>
      </c>
      <c r="J218" s="9" t="s">
        <v>54</v>
      </c>
    </row>
    <row r="219" spans="2:10" x14ac:dyDescent="0.45">
      <c r="B219" s="8" t="s">
        <v>82</v>
      </c>
      <c r="C219" s="8" t="s">
        <v>58</v>
      </c>
      <c r="D219" s="10">
        <v>6.2348851321132655E-3</v>
      </c>
      <c r="E219" s="8" t="s">
        <v>54</v>
      </c>
      <c r="G219" s="8" t="s">
        <v>102</v>
      </c>
      <c r="H219" s="8" t="s">
        <v>58</v>
      </c>
      <c r="I219" s="12">
        <v>0.11523098601234358</v>
      </c>
      <c r="J219" s="8" t="s">
        <v>54</v>
      </c>
    </row>
    <row r="220" spans="2:10" x14ac:dyDescent="0.45">
      <c r="B220" s="9" t="s">
        <v>82</v>
      </c>
      <c r="C220" s="9" t="s">
        <v>59</v>
      </c>
      <c r="D220" s="11">
        <v>2.6303932618914623E-2</v>
      </c>
      <c r="E220" s="9" t="s">
        <v>54</v>
      </c>
      <c r="G220" s="9" t="s">
        <v>102</v>
      </c>
      <c r="H220" s="9" t="s">
        <v>59</v>
      </c>
      <c r="I220" s="13">
        <v>2.212850101076104E-2</v>
      </c>
      <c r="J220" s="9" t="s">
        <v>54</v>
      </c>
    </row>
    <row r="221" spans="2:10" x14ac:dyDescent="0.45">
      <c r="B221" s="8" t="s">
        <v>82</v>
      </c>
      <c r="C221" s="8" t="s">
        <v>60</v>
      </c>
      <c r="D221" s="10">
        <v>0.36773816180711583</v>
      </c>
      <c r="E221" s="8" t="s">
        <v>54</v>
      </c>
      <c r="G221" s="8" t="s">
        <v>102</v>
      </c>
      <c r="H221" s="8" t="s">
        <v>60</v>
      </c>
      <c r="I221" s="12">
        <v>6.2653436712275842E-2</v>
      </c>
      <c r="J221" s="8" t="s">
        <v>54</v>
      </c>
    </row>
    <row r="222" spans="2:10" x14ac:dyDescent="0.45">
      <c r="B222" s="9" t="s">
        <v>82</v>
      </c>
      <c r="C222" s="9" t="s">
        <v>61</v>
      </c>
      <c r="D222" s="11">
        <v>1.9888615066184914E-2</v>
      </c>
      <c r="E222" s="9" t="s">
        <v>54</v>
      </c>
      <c r="G222" s="9" t="s">
        <v>102</v>
      </c>
      <c r="H222" s="9" t="s">
        <v>61</v>
      </c>
      <c r="I222" s="13">
        <v>6.3243219165703385E-2</v>
      </c>
      <c r="J222" s="9" t="s">
        <v>54</v>
      </c>
    </row>
    <row r="223" spans="2:10" x14ac:dyDescent="0.45">
      <c r="B223" s="8" t="s">
        <v>82</v>
      </c>
      <c r="C223" s="8" t="s">
        <v>62</v>
      </c>
      <c r="D223" s="10">
        <v>4.1663079555854972E-2</v>
      </c>
      <c r="E223" s="8" t="s">
        <v>54</v>
      </c>
      <c r="G223" s="8" t="s">
        <v>102</v>
      </c>
      <c r="H223" s="8" t="s">
        <v>62</v>
      </c>
      <c r="I223" s="12">
        <v>1.103957367385529E-2</v>
      </c>
      <c r="J223" s="8" t="s">
        <v>54</v>
      </c>
    </row>
    <row r="224" spans="2:10" x14ac:dyDescent="0.45">
      <c r="B224" s="9" t="s">
        <v>82</v>
      </c>
      <c r="C224" s="9" t="s">
        <v>63</v>
      </c>
      <c r="D224" s="11">
        <v>7.3762455045951608E-2</v>
      </c>
      <c r="E224" s="9" t="s">
        <v>54</v>
      </c>
      <c r="G224" s="9" t="s">
        <v>102</v>
      </c>
      <c r="H224" s="9" t="s">
        <v>63</v>
      </c>
      <c r="I224" s="13">
        <v>0.14820865370964284</v>
      </c>
      <c r="J224" s="9" t="s">
        <v>54</v>
      </c>
    </row>
    <row r="225" spans="2:10" x14ac:dyDescent="0.45">
      <c r="B225" s="8" t="s">
        <v>82</v>
      </c>
      <c r="C225" s="8" t="s">
        <v>64</v>
      </c>
      <c r="D225" s="10">
        <v>0</v>
      </c>
      <c r="E225" s="8" t="s">
        <v>54</v>
      </c>
      <c r="G225" s="8" t="s">
        <v>102</v>
      </c>
      <c r="H225" s="8" t="s">
        <v>64</v>
      </c>
      <c r="I225" s="12">
        <v>0.15109978530543383</v>
      </c>
      <c r="J225" s="8" t="s">
        <v>54</v>
      </c>
    </row>
    <row r="226" spans="2:10" x14ac:dyDescent="0.45">
      <c r="B226" s="9" t="s">
        <v>82</v>
      </c>
      <c r="C226" s="9" t="s">
        <v>65</v>
      </c>
      <c r="D226" s="11">
        <v>5.5385951073383313E-4</v>
      </c>
      <c r="E226" s="9" t="s">
        <v>54</v>
      </c>
      <c r="G226" s="9" t="s">
        <v>102</v>
      </c>
      <c r="H226" s="9" t="s">
        <v>65</v>
      </c>
      <c r="I226" s="13">
        <v>2.9559878595220739E-2</v>
      </c>
      <c r="J226" s="9" t="s">
        <v>54</v>
      </c>
    </row>
    <row r="227" spans="2:10" x14ac:dyDescent="0.45">
      <c r="B227" s="8" t="s">
        <v>83</v>
      </c>
      <c r="C227" s="8" t="s">
        <v>53</v>
      </c>
      <c r="D227" s="10">
        <v>0.16335840978319419</v>
      </c>
      <c r="E227" s="8" t="s">
        <v>54</v>
      </c>
      <c r="G227" s="8" t="s">
        <v>103</v>
      </c>
      <c r="H227" s="8" t="s">
        <v>53</v>
      </c>
      <c r="I227" s="12">
        <v>0.11549413988350511</v>
      </c>
      <c r="J227" s="8" t="s">
        <v>54</v>
      </c>
    </row>
    <row r="228" spans="2:10" x14ac:dyDescent="0.45">
      <c r="B228" s="9" t="s">
        <v>83</v>
      </c>
      <c r="C228" s="9" t="s">
        <v>55</v>
      </c>
      <c r="D228" s="11">
        <v>0</v>
      </c>
      <c r="E228" s="9" t="s">
        <v>54</v>
      </c>
      <c r="G228" s="9" t="s">
        <v>103</v>
      </c>
      <c r="H228" s="9" t="s">
        <v>55</v>
      </c>
      <c r="I228" s="13">
        <v>0.12876915040791642</v>
      </c>
      <c r="J228" s="9" t="s">
        <v>54</v>
      </c>
    </row>
    <row r="229" spans="2:10" x14ac:dyDescent="0.45">
      <c r="B229" s="8" t="s">
        <v>83</v>
      </c>
      <c r="C229" s="8" t="s">
        <v>56</v>
      </c>
      <c r="D229" s="10">
        <v>6.862352187573903E-3</v>
      </c>
      <c r="E229" s="8" t="s">
        <v>54</v>
      </c>
      <c r="G229" s="8" t="s">
        <v>103</v>
      </c>
      <c r="H229" s="8" t="s">
        <v>56</v>
      </c>
      <c r="I229" s="12">
        <v>2.6012134291100678E-2</v>
      </c>
      <c r="J229" s="8" t="s">
        <v>54</v>
      </c>
    </row>
    <row r="230" spans="2:10" x14ac:dyDescent="0.45">
      <c r="B230" s="9" t="s">
        <v>83</v>
      </c>
      <c r="C230" s="9" t="s">
        <v>57</v>
      </c>
      <c r="D230" s="11">
        <v>0.29402588588819656</v>
      </c>
      <c r="E230" s="9" t="s">
        <v>54</v>
      </c>
      <c r="G230" s="9" t="s">
        <v>103</v>
      </c>
      <c r="H230" s="9" t="s">
        <v>57</v>
      </c>
      <c r="I230" s="13">
        <v>9.7535868870115242E-2</v>
      </c>
      <c r="J230" s="9" t="s">
        <v>54</v>
      </c>
    </row>
    <row r="231" spans="2:10" x14ac:dyDescent="0.45">
      <c r="B231" s="8" t="s">
        <v>83</v>
      </c>
      <c r="C231" s="8" t="s">
        <v>58</v>
      </c>
      <c r="D231" s="10">
        <v>5.1484473355099909E-3</v>
      </c>
      <c r="E231" s="8" t="s">
        <v>54</v>
      </c>
      <c r="G231" s="8" t="s">
        <v>103</v>
      </c>
      <c r="H231" s="8" t="s">
        <v>58</v>
      </c>
      <c r="I231" s="12">
        <v>0.12429257892001416</v>
      </c>
      <c r="J231" s="8" t="s">
        <v>54</v>
      </c>
    </row>
    <row r="232" spans="2:10" x14ac:dyDescent="0.45">
      <c r="B232" s="9" t="s">
        <v>83</v>
      </c>
      <c r="C232" s="9" t="s">
        <v>59</v>
      </c>
      <c r="D232" s="11">
        <v>2.4946220147590896E-2</v>
      </c>
      <c r="E232" s="9" t="s">
        <v>54</v>
      </c>
      <c r="G232" s="9" t="s">
        <v>103</v>
      </c>
      <c r="H232" s="9" t="s">
        <v>59</v>
      </c>
      <c r="I232" s="13">
        <v>2.000381332100936E-2</v>
      </c>
      <c r="J232" s="9" t="s">
        <v>54</v>
      </c>
    </row>
    <row r="233" spans="2:10" x14ac:dyDescent="0.45">
      <c r="B233" s="8" t="s">
        <v>83</v>
      </c>
      <c r="C233" s="8" t="s">
        <v>60</v>
      </c>
      <c r="D233" s="10">
        <v>0.36232157362439543</v>
      </c>
      <c r="E233" s="8" t="s">
        <v>54</v>
      </c>
      <c r="G233" s="8" t="s">
        <v>103</v>
      </c>
      <c r="H233" s="8" t="s">
        <v>60</v>
      </c>
      <c r="I233" s="12">
        <v>5.4195108405917632E-2</v>
      </c>
      <c r="J233" s="8" t="s">
        <v>54</v>
      </c>
    </row>
    <row r="234" spans="2:10" x14ac:dyDescent="0.45">
      <c r="B234" s="9" t="s">
        <v>83</v>
      </c>
      <c r="C234" s="9" t="s">
        <v>61</v>
      </c>
      <c r="D234" s="11">
        <v>1.7633106340885531E-2</v>
      </c>
      <c r="E234" s="9" t="s">
        <v>54</v>
      </c>
      <c r="G234" s="9" t="s">
        <v>103</v>
      </c>
      <c r="H234" s="9" t="s">
        <v>61</v>
      </c>
      <c r="I234" s="13">
        <v>6.3402965540948042E-2</v>
      </c>
      <c r="J234" s="9" t="s">
        <v>54</v>
      </c>
    </row>
    <row r="235" spans="2:10" x14ac:dyDescent="0.45">
      <c r="B235" s="8" t="s">
        <v>83</v>
      </c>
      <c r="C235" s="8" t="s">
        <v>62</v>
      </c>
      <c r="D235" s="10">
        <v>3.9633661339535144E-2</v>
      </c>
      <c r="E235" s="8" t="s">
        <v>54</v>
      </c>
      <c r="G235" s="8" t="s">
        <v>103</v>
      </c>
      <c r="H235" s="8" t="s">
        <v>62</v>
      </c>
      <c r="I235" s="12">
        <v>1.0098392227961281E-2</v>
      </c>
      <c r="J235" s="8" t="s">
        <v>54</v>
      </c>
    </row>
    <row r="236" spans="2:10" x14ac:dyDescent="0.45">
      <c r="B236" s="9" t="s">
        <v>83</v>
      </c>
      <c r="C236" s="9" t="s">
        <v>63</v>
      </c>
      <c r="D236" s="11">
        <v>8.5363356404277141E-2</v>
      </c>
      <c r="E236" s="9" t="s">
        <v>54</v>
      </c>
      <c r="G236" s="9" t="s">
        <v>103</v>
      </c>
      <c r="H236" s="9" t="s">
        <v>63</v>
      </c>
      <c r="I236" s="13">
        <v>0.16170256627316251</v>
      </c>
      <c r="J236" s="9" t="s">
        <v>54</v>
      </c>
    </row>
    <row r="237" spans="2:10" x14ac:dyDescent="0.45">
      <c r="B237" s="8" t="s">
        <v>83</v>
      </c>
      <c r="C237" s="8" t="s">
        <v>64</v>
      </c>
      <c r="D237" s="10">
        <v>0</v>
      </c>
      <c r="E237" s="8" t="s">
        <v>54</v>
      </c>
      <c r="G237" s="8" t="s">
        <v>103</v>
      </c>
      <c r="H237" s="8" t="s">
        <v>64</v>
      </c>
      <c r="I237" s="12">
        <v>0.1657090777953493</v>
      </c>
      <c r="J237" s="8" t="s">
        <v>54</v>
      </c>
    </row>
    <row r="238" spans="2:10" x14ac:dyDescent="0.45">
      <c r="B238" s="9" t="s">
        <v>83</v>
      </c>
      <c r="C238" s="9" t="s">
        <v>65</v>
      </c>
      <c r="D238" s="11">
        <v>7.0698694884020123E-4</v>
      </c>
      <c r="E238" s="9" t="s">
        <v>54</v>
      </c>
      <c r="G238" s="9" t="s">
        <v>103</v>
      </c>
      <c r="H238" s="9" t="s">
        <v>65</v>
      </c>
      <c r="I238" s="13">
        <v>3.2784204063002163E-2</v>
      </c>
      <c r="J238" s="9" t="s">
        <v>54</v>
      </c>
    </row>
    <row r="239" spans="2:10" x14ac:dyDescent="0.45">
      <c r="B239" s="8" t="s">
        <v>84</v>
      </c>
      <c r="C239" s="8" t="s">
        <v>53</v>
      </c>
      <c r="D239" s="10">
        <v>0.15717494299761378</v>
      </c>
      <c r="E239" s="8" t="s">
        <v>54</v>
      </c>
      <c r="G239" s="8" t="s">
        <v>104</v>
      </c>
      <c r="H239" s="8" t="s">
        <v>53</v>
      </c>
      <c r="I239" s="12">
        <v>0.12058485057512092</v>
      </c>
      <c r="J239" s="8" t="s">
        <v>54</v>
      </c>
    </row>
    <row r="240" spans="2:10" x14ac:dyDescent="0.45">
      <c r="B240" s="9" t="s">
        <v>84</v>
      </c>
      <c r="C240" s="9" t="s">
        <v>55</v>
      </c>
      <c r="D240" s="11">
        <v>0</v>
      </c>
      <c r="E240" s="9" t="s">
        <v>54</v>
      </c>
      <c r="G240" s="9" t="s">
        <v>104</v>
      </c>
      <c r="H240" s="9" t="s">
        <v>55</v>
      </c>
      <c r="I240" s="13">
        <v>0.12610358764663276</v>
      </c>
      <c r="J240" s="9" t="s">
        <v>54</v>
      </c>
    </row>
    <row r="241" spans="2:10" x14ac:dyDescent="0.45">
      <c r="B241" s="8" t="s">
        <v>84</v>
      </c>
      <c r="C241" s="8" t="s">
        <v>56</v>
      </c>
      <c r="D241" s="10">
        <v>6.1394137174750575E-3</v>
      </c>
      <c r="E241" s="8" t="s">
        <v>54</v>
      </c>
      <c r="G241" s="8" t="s">
        <v>104</v>
      </c>
      <c r="H241" s="8" t="s">
        <v>56</v>
      </c>
      <c r="I241" s="12">
        <v>2.4139560015465227E-2</v>
      </c>
      <c r="J241" s="8" t="s">
        <v>54</v>
      </c>
    </row>
    <row r="242" spans="2:10" x14ac:dyDescent="0.45">
      <c r="B242" s="9" t="s">
        <v>84</v>
      </c>
      <c r="C242" s="9" t="s">
        <v>57</v>
      </c>
      <c r="D242" s="11">
        <v>0.30289469844349082</v>
      </c>
      <c r="E242" s="9" t="s">
        <v>54</v>
      </c>
      <c r="G242" s="9" t="s">
        <v>104</v>
      </c>
      <c r="H242" s="9" t="s">
        <v>57</v>
      </c>
      <c r="I242" s="13">
        <v>0.10354798540326358</v>
      </c>
      <c r="J242" s="9" t="s">
        <v>54</v>
      </c>
    </row>
    <row r="243" spans="2:10" x14ac:dyDescent="0.45">
      <c r="B243" s="8" t="s">
        <v>84</v>
      </c>
      <c r="C243" s="8" t="s">
        <v>58</v>
      </c>
      <c r="D243" s="10">
        <v>5.9066706468528475E-3</v>
      </c>
      <c r="E243" s="8" t="s">
        <v>54</v>
      </c>
      <c r="G243" s="8" t="s">
        <v>104</v>
      </c>
      <c r="H243" s="8" t="s">
        <v>58</v>
      </c>
      <c r="I243" s="12">
        <v>0.12037870414604641</v>
      </c>
      <c r="J243" s="8" t="s">
        <v>54</v>
      </c>
    </row>
    <row r="244" spans="2:10" x14ac:dyDescent="0.45">
      <c r="B244" s="9" t="s">
        <v>84</v>
      </c>
      <c r="C244" s="9" t="s">
        <v>59</v>
      </c>
      <c r="D244" s="11">
        <v>2.5999771312713717E-2</v>
      </c>
      <c r="E244" s="9" t="s">
        <v>54</v>
      </c>
      <c r="G244" s="9" t="s">
        <v>104</v>
      </c>
      <c r="H244" s="9" t="s">
        <v>59</v>
      </c>
      <c r="I244" s="13">
        <v>1.9777246373403487E-2</v>
      </c>
      <c r="J244" s="9" t="s">
        <v>54</v>
      </c>
    </row>
    <row r="245" spans="2:10" x14ac:dyDescent="0.45">
      <c r="B245" s="8" t="s">
        <v>84</v>
      </c>
      <c r="C245" s="8" t="s">
        <v>60</v>
      </c>
      <c r="D245" s="10">
        <v>0.36416747139593703</v>
      </c>
      <c r="E245" s="8" t="s">
        <v>54</v>
      </c>
      <c r="G245" s="8" t="s">
        <v>104</v>
      </c>
      <c r="H245" s="8" t="s">
        <v>60</v>
      </c>
      <c r="I245" s="12">
        <v>5.4133113368719087E-2</v>
      </c>
      <c r="J245" s="8" t="s">
        <v>54</v>
      </c>
    </row>
    <row r="246" spans="2:10" x14ac:dyDescent="0.45">
      <c r="B246" s="9" t="s">
        <v>84</v>
      </c>
      <c r="C246" s="9" t="s">
        <v>61</v>
      </c>
      <c r="D246" s="11">
        <v>1.8596262976886158E-2</v>
      </c>
      <c r="E246" s="9" t="s">
        <v>54</v>
      </c>
      <c r="G246" s="9" t="s">
        <v>104</v>
      </c>
      <c r="H246" s="9" t="s">
        <v>61</v>
      </c>
      <c r="I246" s="13">
        <v>5.9743014472234263E-2</v>
      </c>
      <c r="J246" s="9" t="s">
        <v>54</v>
      </c>
    </row>
    <row r="247" spans="2:10" x14ac:dyDescent="0.45">
      <c r="B247" s="8" t="s">
        <v>84</v>
      </c>
      <c r="C247" s="8" t="s">
        <v>62</v>
      </c>
      <c r="D247" s="10">
        <v>4.0589213879002689E-2</v>
      </c>
      <c r="E247" s="8" t="s">
        <v>54</v>
      </c>
      <c r="G247" s="8" t="s">
        <v>104</v>
      </c>
      <c r="H247" s="8" t="s">
        <v>62</v>
      </c>
      <c r="I247" s="12">
        <v>9.1763535294169044E-3</v>
      </c>
      <c r="J247" s="8" t="s">
        <v>54</v>
      </c>
    </row>
    <row r="248" spans="2:10" x14ac:dyDescent="0.45">
      <c r="B248" s="9" t="s">
        <v>84</v>
      </c>
      <c r="C248" s="9" t="s">
        <v>63</v>
      </c>
      <c r="D248" s="11">
        <v>7.8038781570797314E-2</v>
      </c>
      <c r="E248" s="9" t="s">
        <v>54</v>
      </c>
      <c r="G248" s="9" t="s">
        <v>104</v>
      </c>
      <c r="H248" s="9" t="s">
        <v>63</v>
      </c>
      <c r="I248" s="13">
        <v>0.1630126889121338</v>
      </c>
      <c r="J248" s="9" t="s">
        <v>54</v>
      </c>
    </row>
    <row r="249" spans="2:10" x14ac:dyDescent="0.45">
      <c r="B249" s="8" t="s">
        <v>84</v>
      </c>
      <c r="C249" s="8" t="s">
        <v>64</v>
      </c>
      <c r="D249" s="10">
        <v>0</v>
      </c>
      <c r="E249" s="8" t="s">
        <v>54</v>
      </c>
      <c r="G249" s="8" t="s">
        <v>104</v>
      </c>
      <c r="H249" s="8" t="s">
        <v>64</v>
      </c>
      <c r="I249" s="12">
        <v>0.16716614740748062</v>
      </c>
      <c r="J249" s="8" t="s">
        <v>54</v>
      </c>
    </row>
    <row r="250" spans="2:10" x14ac:dyDescent="0.45">
      <c r="B250" s="9" t="s">
        <v>84</v>
      </c>
      <c r="C250" s="9" t="s">
        <v>65</v>
      </c>
      <c r="D250" s="11">
        <v>4.9277305922839352E-4</v>
      </c>
      <c r="E250" s="9" t="s">
        <v>54</v>
      </c>
      <c r="G250" s="9" t="s">
        <v>104</v>
      </c>
      <c r="H250" s="9" t="s">
        <v>65</v>
      </c>
      <c r="I250" s="13">
        <v>3.2236748150084538E-2</v>
      </c>
      <c r="J250" s="9" t="s">
        <v>54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C12D-F782-4A71-A7FD-259CF35D2A9C}">
  <dimension ref="A1:BL60"/>
  <sheetViews>
    <sheetView workbookViewId="0">
      <selection sqref="A1:L1"/>
    </sheetView>
  </sheetViews>
  <sheetFormatPr defaultRowHeight="14.25" x14ac:dyDescent="0.45"/>
  <cols>
    <col min="2" max="2" width="20" bestFit="1" customWidth="1"/>
    <col min="3" max="3" width="10.59765625" bestFit="1" customWidth="1"/>
    <col min="4" max="15" width="10.59765625" customWidth="1"/>
    <col min="17" max="17" width="10.59765625" customWidth="1"/>
    <col min="18" max="18" width="10.59765625" bestFit="1" customWidth="1"/>
    <col min="19" max="30" width="10.59765625" customWidth="1"/>
    <col min="32" max="32" width="10.59765625" customWidth="1"/>
    <col min="33" max="33" width="10.59765625" bestFit="1" customWidth="1"/>
    <col min="34" max="45" width="10.59765625" customWidth="1"/>
    <col min="47" max="47" width="20" bestFit="1" customWidth="1"/>
    <col min="48" max="59" width="10.59765625" customWidth="1"/>
    <col min="61" max="61" width="20" bestFit="1" customWidth="1"/>
    <col min="62" max="62" width="10.59765625" bestFit="1" customWidth="1"/>
    <col min="63" max="63" width="12.6640625" bestFit="1" customWidth="1"/>
    <col min="64" max="64" width="10.59765625" customWidth="1"/>
  </cols>
  <sheetData>
    <row r="1" spans="1:64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9" spans="1:64" ht="14.65" thickBot="1" x14ac:dyDescent="0.5">
      <c r="B9" s="6" t="str">
        <f>IF(A11="x","DeActivated","~TFM_DINS-TSL: attribute=FLO_EMIS; other_indexes=ACT")</f>
        <v>~TFM_DINS-TSL: attribute=FLO_EMIS; other_indexes=ACT</v>
      </c>
      <c r="Q9" s="6" t="str">
        <f>IF(A11="x","DeActivated","~TFM_INS-TSL: attribute=FLO_SHAR; limtype=FX")</f>
        <v>~TFM_INS-TSL: attribute=FLO_SHAR; limtype=FX</v>
      </c>
      <c r="AF9" s="6" t="str">
        <f>IF(A11="x","DeActivated","~TFM_INS-TSL: attribute=FLO_SHAR; limtype=FX")</f>
        <v>~TFM_INS-TSL: attribute=FLO_SHAR; limtype=FX</v>
      </c>
      <c r="AU9" s="6" t="str">
        <f>IF(A11="x","DeActivated","~TFM_DINS-TSL: attribute=NCAP_PKCNT")</f>
        <v>~TFM_DINS-TSL: attribute=NCAP_PKCNT</v>
      </c>
      <c r="BI9" s="6" t="str">
        <f>IF(A11="x","DeActivated","~TFM_DINS-AT")</f>
        <v>~TFM_DINS-AT</v>
      </c>
    </row>
    <row r="10" spans="1:64" ht="15.75" thickBot="1" x14ac:dyDescent="0.6">
      <c r="B10" s="7" t="s">
        <v>51</v>
      </c>
      <c r="C10" s="7" t="s">
        <v>48</v>
      </c>
      <c r="D10" s="7" t="s">
        <v>64</v>
      </c>
      <c r="E10" s="7" t="s">
        <v>63</v>
      </c>
      <c r="F10" s="7" t="s">
        <v>65</v>
      </c>
      <c r="G10" s="7" t="s">
        <v>58</v>
      </c>
      <c r="H10" s="7" t="s">
        <v>57</v>
      </c>
      <c r="I10" s="7" t="s">
        <v>59</v>
      </c>
      <c r="J10" s="7" t="s">
        <v>61</v>
      </c>
      <c r="K10" s="7" t="s">
        <v>60</v>
      </c>
      <c r="L10" s="7" t="s">
        <v>62</v>
      </c>
      <c r="M10" s="7" t="s">
        <v>55</v>
      </c>
      <c r="N10" s="7" t="s">
        <v>53</v>
      </c>
      <c r="O10" s="7" t="s">
        <v>56</v>
      </c>
      <c r="Q10" s="7" t="s">
        <v>51</v>
      </c>
      <c r="R10" s="7" t="s">
        <v>48</v>
      </c>
      <c r="S10" s="7" t="s">
        <v>64</v>
      </c>
      <c r="T10" s="7" t="s">
        <v>63</v>
      </c>
      <c r="U10" s="7" t="s">
        <v>65</v>
      </c>
      <c r="V10" s="7" t="s">
        <v>58</v>
      </c>
      <c r="W10" s="7" t="s">
        <v>57</v>
      </c>
      <c r="X10" s="7" t="s">
        <v>59</v>
      </c>
      <c r="Y10" s="7" t="s">
        <v>61</v>
      </c>
      <c r="Z10" s="7" t="s">
        <v>60</v>
      </c>
      <c r="AA10" s="7" t="s">
        <v>62</v>
      </c>
      <c r="AB10" s="7" t="s">
        <v>55</v>
      </c>
      <c r="AC10" s="7" t="s">
        <v>53</v>
      </c>
      <c r="AD10" s="7" t="s">
        <v>56</v>
      </c>
      <c r="AF10" s="7" t="s">
        <v>51</v>
      </c>
      <c r="AG10" s="7" t="s">
        <v>48</v>
      </c>
      <c r="AH10" s="7" t="s">
        <v>64</v>
      </c>
      <c r="AI10" s="7" t="s">
        <v>63</v>
      </c>
      <c r="AJ10" s="7" t="s">
        <v>65</v>
      </c>
      <c r="AK10" s="7" t="s">
        <v>58</v>
      </c>
      <c r="AL10" s="7" t="s">
        <v>57</v>
      </c>
      <c r="AM10" s="7" t="s">
        <v>59</v>
      </c>
      <c r="AN10" s="7" t="s">
        <v>61</v>
      </c>
      <c r="AO10" s="7" t="s">
        <v>60</v>
      </c>
      <c r="AP10" s="7" t="s">
        <v>62</v>
      </c>
      <c r="AQ10" s="7" t="s">
        <v>55</v>
      </c>
      <c r="AR10" s="7" t="s">
        <v>53</v>
      </c>
      <c r="AS10" s="7" t="s">
        <v>56</v>
      </c>
      <c r="AU10" s="7" t="s">
        <v>51</v>
      </c>
      <c r="AV10" s="7" t="s">
        <v>64</v>
      </c>
      <c r="AW10" s="7" t="s">
        <v>63</v>
      </c>
      <c r="AX10" s="7" t="s">
        <v>65</v>
      </c>
      <c r="AY10" s="7" t="s">
        <v>58</v>
      </c>
      <c r="AZ10" s="7" t="s">
        <v>57</v>
      </c>
      <c r="BA10" s="7" t="s">
        <v>59</v>
      </c>
      <c r="BB10" s="7" t="s">
        <v>61</v>
      </c>
      <c r="BC10" s="7" t="s">
        <v>60</v>
      </c>
      <c r="BD10" s="7" t="s">
        <v>62</v>
      </c>
      <c r="BE10" s="7" t="s">
        <v>55</v>
      </c>
      <c r="BF10" s="7" t="s">
        <v>53</v>
      </c>
      <c r="BG10" s="7" t="s">
        <v>56</v>
      </c>
      <c r="BI10" s="7" t="s">
        <v>51</v>
      </c>
      <c r="BJ10" s="7" t="s">
        <v>48</v>
      </c>
      <c r="BK10" s="7" t="s">
        <v>170</v>
      </c>
      <c r="BL10" s="7" t="s">
        <v>171</v>
      </c>
    </row>
    <row r="11" spans="1:64" x14ac:dyDescent="0.45">
      <c r="B11" s="8" t="s">
        <v>115</v>
      </c>
      <c r="C11" s="8" t="s">
        <v>31</v>
      </c>
      <c r="D11" s="12">
        <v>0</v>
      </c>
      <c r="E11" s="12">
        <v>0.44659254761409067</v>
      </c>
      <c r="F11" s="12">
        <v>0.83253562620274646</v>
      </c>
      <c r="G11" s="12">
        <v>0.90964993621615353</v>
      </c>
      <c r="H11" s="12">
        <v>0.26912595265232392</v>
      </c>
      <c r="I11" s="12">
        <v>0.29758670669424281</v>
      </c>
      <c r="J11" s="12">
        <v>0.80553365566809598</v>
      </c>
      <c r="K11" s="12">
        <v>0.18352841804327902</v>
      </c>
      <c r="L11" s="12">
        <v>0.19465926986663803</v>
      </c>
      <c r="M11" s="12">
        <v>0.99700299700299699</v>
      </c>
      <c r="N11" s="12">
        <v>0.39792357383093774</v>
      </c>
      <c r="O11" s="12">
        <v>0.62060676767866751</v>
      </c>
      <c r="Q11" s="8" t="s">
        <v>165</v>
      </c>
      <c r="R11" s="8" t="s">
        <v>166</v>
      </c>
      <c r="S11" s="14">
        <v>0</v>
      </c>
      <c r="T11" s="12">
        <v>0.18603470572983191</v>
      </c>
      <c r="U11" s="12">
        <v>0.11096649074515588</v>
      </c>
      <c r="V11" s="12">
        <v>0.55400149544069022</v>
      </c>
      <c r="W11" s="12">
        <v>6.9592756262186944E-2</v>
      </c>
      <c r="X11" s="12">
        <v>4.039791400074033E-3</v>
      </c>
      <c r="Y11" s="12">
        <v>0.39564789871782041</v>
      </c>
      <c r="Z11" s="12">
        <v>4.4482828147723023E-2</v>
      </c>
      <c r="AA11" s="12">
        <v>7.0161512523009345E-3</v>
      </c>
      <c r="AB11" s="12">
        <v>2.5294241502519299E-2</v>
      </c>
      <c r="AC11" s="12">
        <v>0.10543061129310441</v>
      </c>
      <c r="AD11" s="12">
        <v>2.4947132209796004E-2</v>
      </c>
      <c r="AF11" s="8" t="s">
        <v>165</v>
      </c>
      <c r="AG11" s="8" t="s">
        <v>169</v>
      </c>
      <c r="AH11" s="12">
        <v>0</v>
      </c>
      <c r="AI11" s="12">
        <v>5.3027491378762753E-2</v>
      </c>
      <c r="AJ11" s="12">
        <v>0.63683192410126965</v>
      </c>
      <c r="AK11" s="12">
        <v>0</v>
      </c>
      <c r="AL11" s="12">
        <v>4.4694582326353829E-2</v>
      </c>
      <c r="AM11" s="12">
        <v>6.4527725565039704E-2</v>
      </c>
      <c r="AN11" s="12">
        <v>5.0674311859617944E-3</v>
      </c>
      <c r="AO11" s="12">
        <v>2.5291722750098451E-2</v>
      </c>
      <c r="AP11" s="12">
        <v>3.0457434562889511E-2</v>
      </c>
      <c r="AQ11" s="12">
        <v>0</v>
      </c>
      <c r="AR11" s="12">
        <v>9.2624237360575748E-2</v>
      </c>
      <c r="AS11" s="12">
        <v>9.2772929000391621E-2</v>
      </c>
      <c r="AU11" s="8" t="s">
        <v>115</v>
      </c>
      <c r="AV11" s="12">
        <v>0</v>
      </c>
      <c r="AW11" s="12">
        <v>9.3864262253460271E-2</v>
      </c>
      <c r="AX11" s="12">
        <v>8.918967591772152E-3</v>
      </c>
      <c r="AY11" s="12">
        <v>7.8354650065597751E-3</v>
      </c>
      <c r="AZ11" s="12">
        <v>0.3350628262213175</v>
      </c>
      <c r="BA11" s="12">
        <v>0.19450789226473042</v>
      </c>
      <c r="BB11" s="12">
        <v>2.3928252685939941E-2</v>
      </c>
      <c r="BC11" s="12">
        <v>0.41381600808068447</v>
      </c>
      <c r="BD11" s="12">
        <v>0.29177103522657338</v>
      </c>
      <c r="BE11" s="10">
        <v>7.2922998108109364E-5</v>
      </c>
      <c r="BF11" s="12">
        <v>0.18335676737226564</v>
      </c>
      <c r="BG11" s="12">
        <v>6.0699826148278284E-2</v>
      </c>
      <c r="BI11" s="8" t="s">
        <v>115</v>
      </c>
      <c r="BJ11" s="8" t="s">
        <v>172</v>
      </c>
      <c r="BK11" s="8" t="s">
        <v>173</v>
      </c>
      <c r="BL11" s="12">
        <v>0.41324540199205212</v>
      </c>
    </row>
    <row r="12" spans="1:64" x14ac:dyDescent="0.45">
      <c r="B12" s="9" t="s">
        <v>116</v>
      </c>
      <c r="C12" s="9" t="s">
        <v>31</v>
      </c>
      <c r="D12" s="13">
        <v>0</v>
      </c>
      <c r="E12" s="13">
        <v>0.40780344553628128</v>
      </c>
      <c r="F12" s="13">
        <v>0.85048645449855997</v>
      </c>
      <c r="G12" s="13">
        <v>0.91659243158250614</v>
      </c>
      <c r="H12" s="13">
        <v>0.27222395887372292</v>
      </c>
      <c r="I12" s="13">
        <v>0.31879465298946819</v>
      </c>
      <c r="J12" s="13">
        <v>0.81079038306274565</v>
      </c>
      <c r="K12" s="13">
        <v>0.18161320216873494</v>
      </c>
      <c r="L12" s="13">
        <v>0.19734982965910056</v>
      </c>
      <c r="M12" s="13">
        <v>0.99900099900099903</v>
      </c>
      <c r="N12" s="13">
        <v>0.35915416112330184</v>
      </c>
      <c r="O12" s="13">
        <v>0.64101986996416871</v>
      </c>
      <c r="Q12" s="9" t="s">
        <v>167</v>
      </c>
      <c r="R12" s="9" t="s">
        <v>166</v>
      </c>
      <c r="S12" s="15">
        <v>4.8125358925744941E-3</v>
      </c>
      <c r="T12" s="13">
        <v>2.5195896310235433E-3</v>
      </c>
      <c r="U12" s="13">
        <v>8.8323384943250951E-3</v>
      </c>
      <c r="V12" s="13">
        <v>9.3772980389090488E-3</v>
      </c>
      <c r="W12" s="13">
        <v>8.2930425728576472E-3</v>
      </c>
      <c r="X12" s="13">
        <v>1.4209430009853238E-2</v>
      </c>
      <c r="Y12" s="13">
        <v>2.2658819383809779E-2</v>
      </c>
      <c r="Z12" s="13">
        <v>9.1741191369875599E-3</v>
      </c>
      <c r="AA12" s="13">
        <v>9.406498652632626E-3</v>
      </c>
      <c r="AB12" s="13">
        <v>5.7294254208830392E-3</v>
      </c>
      <c r="AC12" s="13">
        <v>4.6235169572098273E-3</v>
      </c>
      <c r="AD12" s="13">
        <v>2.6616845981241072E-3</v>
      </c>
      <c r="AF12" s="9" t="s">
        <v>167</v>
      </c>
      <c r="AG12" s="9" t="s">
        <v>169</v>
      </c>
      <c r="AH12" s="13">
        <v>1.5950576583261863E-2</v>
      </c>
      <c r="AI12" s="13">
        <v>1.5388455231628946E-2</v>
      </c>
      <c r="AJ12" s="13">
        <v>7.5003247644492982E-3</v>
      </c>
      <c r="AK12" s="13">
        <v>2.4838319461521475E-2</v>
      </c>
      <c r="AL12" s="13">
        <v>1.7287252305977885E-2</v>
      </c>
      <c r="AM12" s="13">
        <v>2.5131474484017747E-2</v>
      </c>
      <c r="AN12" s="13">
        <v>4.2862708815784099E-2</v>
      </c>
      <c r="AO12" s="13">
        <v>1.5487662594783173E-2</v>
      </c>
      <c r="AP12" s="13">
        <v>1.3843580207679805E-2</v>
      </c>
      <c r="AQ12" s="13">
        <v>1.5192751205901781E-2</v>
      </c>
      <c r="AR12" s="13">
        <v>2.0727501127228012E-2</v>
      </c>
      <c r="AS12" s="13">
        <v>8.9269549342331934E-3</v>
      </c>
      <c r="AU12" s="9" t="s">
        <v>116</v>
      </c>
      <c r="AV12" s="13">
        <v>0</v>
      </c>
      <c r="AW12" s="13">
        <v>0.11522660759881652</v>
      </c>
      <c r="AX12" s="13">
        <v>1.0121730979231847E-2</v>
      </c>
      <c r="AY12" s="13">
        <v>6.5977268543767785E-3</v>
      </c>
      <c r="AZ12" s="13">
        <v>0.33814035034257678</v>
      </c>
      <c r="BA12" s="13">
        <v>0.19136519817174047</v>
      </c>
      <c r="BB12" s="13">
        <v>2.1593803042299728E-2</v>
      </c>
      <c r="BC12" s="13">
        <v>0.42400982597156461</v>
      </c>
      <c r="BD12" s="13">
        <v>0.28629111297749193</v>
      </c>
      <c r="BE12" s="11">
        <v>7.4568944354220151E-7</v>
      </c>
      <c r="BF12" s="13">
        <v>0.20603217290161915</v>
      </c>
      <c r="BG12" s="13">
        <v>5.5848605343512492E-2</v>
      </c>
      <c r="BI12" s="9" t="s">
        <v>116</v>
      </c>
      <c r="BJ12" s="9" t="s">
        <v>172</v>
      </c>
      <c r="BK12" s="9" t="s">
        <v>173</v>
      </c>
      <c r="BL12" s="13">
        <v>0.42228891935256591</v>
      </c>
    </row>
    <row r="13" spans="1:64" x14ac:dyDescent="0.45">
      <c r="B13" s="8" t="s">
        <v>117</v>
      </c>
      <c r="C13" s="8" t="s">
        <v>31</v>
      </c>
      <c r="D13" s="12">
        <v>0</v>
      </c>
      <c r="E13" s="12">
        <v>0.42937604669733004</v>
      </c>
      <c r="F13" s="12">
        <v>0.85434566469730377</v>
      </c>
      <c r="G13" s="12">
        <v>0.91123963160459465</v>
      </c>
      <c r="H13" s="12">
        <v>0.26521460777109018</v>
      </c>
      <c r="I13" s="12">
        <v>0.31808602188429735</v>
      </c>
      <c r="J13" s="12">
        <v>0.80741992512475802</v>
      </c>
      <c r="K13" s="12">
        <v>0.17707838941015358</v>
      </c>
      <c r="L13" s="12">
        <v>0.18058404384853396</v>
      </c>
      <c r="M13" s="12">
        <v>0.99900099900099915</v>
      </c>
      <c r="N13" s="12">
        <v>0.36159526185852675</v>
      </c>
      <c r="O13" s="12">
        <v>0.65005969517714757</v>
      </c>
      <c r="Q13" s="8" t="s">
        <v>168</v>
      </c>
      <c r="R13" s="8" t="s">
        <v>166</v>
      </c>
      <c r="S13" s="14">
        <v>7.9127977088113543E-3</v>
      </c>
      <c r="T13" s="12">
        <v>4.924480989624995E-3</v>
      </c>
      <c r="U13" s="12">
        <v>1.087501122351126E-2</v>
      </c>
      <c r="V13" s="12">
        <v>9.1775710927551775E-3</v>
      </c>
      <c r="W13" s="12">
        <v>1.0428624907339371E-2</v>
      </c>
      <c r="X13" s="12">
        <v>2.2480041572122138E-3</v>
      </c>
      <c r="Y13" s="12">
        <v>1.5997040432129957E-2</v>
      </c>
      <c r="Z13" s="12">
        <v>1.6198664515112971E-2</v>
      </c>
      <c r="AA13" s="12">
        <v>1.3677720158062231E-2</v>
      </c>
      <c r="AB13" s="12">
        <v>7.3882557169969911E-3</v>
      </c>
      <c r="AC13" s="12">
        <v>7.8302929759224565E-3</v>
      </c>
      <c r="AD13" s="12">
        <v>2.9991904671132635E-3</v>
      </c>
      <c r="AF13" s="8" t="s">
        <v>168</v>
      </c>
      <c r="AG13" s="8" t="s">
        <v>169</v>
      </c>
      <c r="AH13" s="12">
        <v>1.3176106746221741E-2</v>
      </c>
      <c r="AI13" s="12">
        <v>1.9278661603686957E-2</v>
      </c>
      <c r="AJ13" s="12">
        <v>5.4924350401468801E-3</v>
      </c>
      <c r="AK13" s="12">
        <v>2.2148095935958151E-2</v>
      </c>
      <c r="AL13" s="12">
        <v>1.7934351516206332E-2</v>
      </c>
      <c r="AM13" s="12">
        <v>1.9481658740433186E-2</v>
      </c>
      <c r="AN13" s="12">
        <v>3.4753278872187279E-2</v>
      </c>
      <c r="AO13" s="12">
        <v>3.7493346308243129E-2</v>
      </c>
      <c r="AP13" s="12">
        <v>4.7398196783529287E-2</v>
      </c>
      <c r="AQ13" s="12">
        <v>1.225179453607031E-2</v>
      </c>
      <c r="AR13" s="12">
        <v>1.8963568388846871E-2</v>
      </c>
      <c r="AS13" s="12">
        <v>1.9927169978854999E-2</v>
      </c>
      <c r="AU13" s="8" t="s">
        <v>117</v>
      </c>
      <c r="AV13" s="12">
        <v>0</v>
      </c>
      <c r="AW13" s="12">
        <v>9.8428112009481664E-2</v>
      </c>
      <c r="AX13" s="12">
        <v>6.8615314390275007E-3</v>
      </c>
      <c r="AY13" s="12">
        <v>7.752866530524127E-3</v>
      </c>
      <c r="AZ13" s="12">
        <v>0.33831364789138901</v>
      </c>
      <c r="BA13" s="12">
        <v>0.1935304607466973</v>
      </c>
      <c r="BB13" s="12">
        <v>2.3048696004239259E-2</v>
      </c>
      <c r="BC13" s="12">
        <v>0.42039619137205286</v>
      </c>
      <c r="BD13" s="12">
        <v>0.29023924443240429</v>
      </c>
      <c r="BE13" s="10">
        <v>2.513153445293851E-5</v>
      </c>
      <c r="BF13" s="12">
        <v>0.19537815098554706</v>
      </c>
      <c r="BG13" s="12">
        <v>5.1810024511961927E-2</v>
      </c>
      <c r="BI13" s="8" t="s">
        <v>117</v>
      </c>
      <c r="BJ13" s="8" t="s">
        <v>172</v>
      </c>
      <c r="BK13" s="8" t="s">
        <v>173</v>
      </c>
      <c r="BL13" s="12">
        <v>0.41991118535182487</v>
      </c>
    </row>
    <row r="14" spans="1:64" x14ac:dyDescent="0.45">
      <c r="B14" s="9" t="s">
        <v>118</v>
      </c>
      <c r="C14" s="9" t="s">
        <v>31</v>
      </c>
      <c r="D14" s="13">
        <v>0</v>
      </c>
      <c r="E14" s="13">
        <v>0.46703802934014038</v>
      </c>
      <c r="F14" s="13">
        <v>0.85418811539997386</v>
      </c>
      <c r="G14" s="13">
        <v>0.90506459976118703</v>
      </c>
      <c r="H14" s="13">
        <v>0.25123180377378929</v>
      </c>
      <c r="I14" s="13">
        <v>0.3093715080736128</v>
      </c>
      <c r="J14" s="13">
        <v>0.80519977050544056</v>
      </c>
      <c r="K14" s="13">
        <v>0.17938355394767605</v>
      </c>
      <c r="L14" s="13">
        <v>0.1992239230334317</v>
      </c>
      <c r="M14" s="13">
        <v>0.99700299700299733</v>
      </c>
      <c r="N14" s="13">
        <v>0.41603619903460703</v>
      </c>
      <c r="O14" s="13">
        <v>0.64084176278607474</v>
      </c>
      <c r="AU14" s="9" t="s">
        <v>118</v>
      </c>
      <c r="AV14" s="13">
        <v>0</v>
      </c>
      <c r="AW14" s="13">
        <v>8.2458207710938106E-2</v>
      </c>
      <c r="AX14" s="13">
        <v>8.2397228904744959E-3</v>
      </c>
      <c r="AY14" s="13">
        <v>8.0334648238012032E-3</v>
      </c>
      <c r="AZ14" s="13">
        <v>0.36222373021873006</v>
      </c>
      <c r="BA14" s="13">
        <v>0.20104067205307044</v>
      </c>
      <c r="BB14" s="13">
        <v>2.6248221952279271E-2</v>
      </c>
      <c r="BC14" s="13">
        <v>0.42207847067567733</v>
      </c>
      <c r="BD14" s="13">
        <v>0.29949589414336286</v>
      </c>
      <c r="BE14" s="11">
        <v>1.0194188703223704E-4</v>
      </c>
      <c r="BF14" s="13">
        <v>0.17533642555410031</v>
      </c>
      <c r="BG14" s="13">
        <v>5.7152776185997137E-2</v>
      </c>
      <c r="BI14" s="9" t="s">
        <v>118</v>
      </c>
      <c r="BJ14" s="9" t="s">
        <v>172</v>
      </c>
      <c r="BK14" s="9" t="s">
        <v>173</v>
      </c>
      <c r="BL14" s="13">
        <v>0.42201005145045095</v>
      </c>
    </row>
    <row r="15" spans="1:64" x14ac:dyDescent="0.45">
      <c r="B15" s="8" t="s">
        <v>119</v>
      </c>
      <c r="C15" s="8" t="s">
        <v>31</v>
      </c>
      <c r="D15" s="12">
        <v>0</v>
      </c>
      <c r="E15" s="12">
        <v>0.46682484386149087</v>
      </c>
      <c r="F15" s="12">
        <v>0.86068015605209935</v>
      </c>
      <c r="G15" s="12">
        <v>0.90625704501568283</v>
      </c>
      <c r="H15" s="12">
        <v>0.24753688145448408</v>
      </c>
      <c r="I15" s="12">
        <v>0.31476331969178178</v>
      </c>
      <c r="J15" s="12">
        <v>0.79385462577139521</v>
      </c>
      <c r="K15" s="12">
        <v>0.16823653817213824</v>
      </c>
      <c r="L15" s="12">
        <v>0.18619402019252904</v>
      </c>
      <c r="M15" s="12">
        <v>0.99800199800199785</v>
      </c>
      <c r="N15" s="12">
        <v>0.39712397090840468</v>
      </c>
      <c r="O15" s="12">
        <v>0.65520060499251709</v>
      </c>
      <c r="AU15" s="8" t="s">
        <v>119</v>
      </c>
      <c r="AV15" s="12">
        <v>0</v>
      </c>
      <c r="AW15" s="12">
        <v>8.1201974029871116E-2</v>
      </c>
      <c r="AX15" s="12">
        <v>6.2912316726919833E-3</v>
      </c>
      <c r="AY15" s="12">
        <v>8.3014084394540978E-3</v>
      </c>
      <c r="AZ15" s="12">
        <v>0.37039768587381877</v>
      </c>
      <c r="BA15" s="12">
        <v>0.20411729060934469</v>
      </c>
      <c r="BB15" s="12">
        <v>2.645012346764973E-2</v>
      </c>
      <c r="BC15" s="12">
        <v>0.42458987923717778</v>
      </c>
      <c r="BD15" s="12">
        <v>0.29272056400751645</v>
      </c>
      <c r="BE15" s="10">
        <v>6.6416685944803165E-5</v>
      </c>
      <c r="BF15" s="12">
        <v>0.18401514499848065</v>
      </c>
      <c r="BG15" s="12">
        <v>5.0153077613874449E-2</v>
      </c>
      <c r="BI15" s="8" t="s">
        <v>119</v>
      </c>
      <c r="BJ15" s="8" t="s">
        <v>172</v>
      </c>
      <c r="BK15" s="8" t="s">
        <v>173</v>
      </c>
      <c r="BL15" s="12">
        <v>0.42372751412448756</v>
      </c>
    </row>
    <row r="16" spans="1:64" x14ac:dyDescent="0.45">
      <c r="B16" s="9" t="s">
        <v>120</v>
      </c>
      <c r="C16" s="9" t="s">
        <v>31</v>
      </c>
      <c r="D16" s="13">
        <v>0</v>
      </c>
      <c r="E16" s="13">
        <v>0.46656454706588402</v>
      </c>
      <c r="F16" s="13">
        <v>0.91672231599239751</v>
      </c>
      <c r="G16" s="13">
        <v>0.90975146334641388</v>
      </c>
      <c r="H16" s="13">
        <v>0.22080922754327598</v>
      </c>
      <c r="I16" s="13">
        <v>0.33229260950124578</v>
      </c>
      <c r="J16" s="13">
        <v>0.77004832376351495</v>
      </c>
      <c r="K16" s="13">
        <v>0.16205228426070953</v>
      </c>
      <c r="L16" s="13">
        <v>0.18825448883626622</v>
      </c>
      <c r="M16" s="13">
        <v>0</v>
      </c>
      <c r="N16" s="13">
        <v>0.40018786562773362</v>
      </c>
      <c r="O16" s="13">
        <v>0.7272678182330985</v>
      </c>
      <c r="AU16" s="9" t="s">
        <v>120</v>
      </c>
      <c r="AV16" s="13">
        <v>0</v>
      </c>
      <c r="AW16" s="13">
        <v>8.0036901649846198E-2</v>
      </c>
      <c r="AX16" s="13">
        <v>4.3116690800404037E-3</v>
      </c>
      <c r="AY16" s="13">
        <v>8.5647685930131286E-3</v>
      </c>
      <c r="AZ16" s="13">
        <v>0.40500660719008608</v>
      </c>
      <c r="BA16" s="13">
        <v>0.20531238564270432</v>
      </c>
      <c r="BB16" s="13">
        <v>2.6476169628911018E-2</v>
      </c>
      <c r="BC16" s="13">
        <v>0.42447118728927258</v>
      </c>
      <c r="BD16" s="13">
        <v>0.28289718569552991</v>
      </c>
      <c r="BE16" s="11">
        <v>0</v>
      </c>
      <c r="BF16" s="13">
        <v>0.17397325541518582</v>
      </c>
      <c r="BG16" s="13">
        <v>4.4319868993194081E-2</v>
      </c>
      <c r="BI16" s="9" t="s">
        <v>120</v>
      </c>
      <c r="BJ16" s="9" t="s">
        <v>172</v>
      </c>
      <c r="BK16" s="9" t="s">
        <v>173</v>
      </c>
      <c r="BL16" s="13">
        <v>0.41790948939142419</v>
      </c>
    </row>
    <row r="17" spans="2:64" x14ac:dyDescent="0.45">
      <c r="B17" s="8" t="s">
        <v>121</v>
      </c>
      <c r="C17" s="8" t="s">
        <v>31</v>
      </c>
      <c r="D17" s="12">
        <v>0</v>
      </c>
      <c r="E17" s="12">
        <v>0.48845538245298692</v>
      </c>
      <c r="F17" s="12">
        <v>0.88090305718926565</v>
      </c>
      <c r="G17" s="12">
        <v>0.90078895411982129</v>
      </c>
      <c r="H17" s="12">
        <v>0.22083548841694056</v>
      </c>
      <c r="I17" s="12">
        <v>0.28146396430965986</v>
      </c>
      <c r="J17" s="12">
        <v>0.7898250390608138</v>
      </c>
      <c r="K17" s="12">
        <v>0.16665247448540038</v>
      </c>
      <c r="L17" s="12">
        <v>0.17942522580014128</v>
      </c>
      <c r="M17" s="12">
        <v>0.99700299700299722</v>
      </c>
      <c r="N17" s="12">
        <v>0.40404671188922214</v>
      </c>
      <c r="O17" s="12">
        <v>0.66930727947822766</v>
      </c>
      <c r="AU17" s="8" t="s">
        <v>121</v>
      </c>
      <c r="AV17" s="12">
        <v>0</v>
      </c>
      <c r="AW17" s="12">
        <v>8.0128159842890928E-2</v>
      </c>
      <c r="AX17" s="12">
        <v>8.0583936047946315E-3</v>
      </c>
      <c r="AY17" s="12">
        <v>1.0637088736938196E-2</v>
      </c>
      <c r="AZ17" s="12">
        <v>0.40722495962813132</v>
      </c>
      <c r="BA17" s="12">
        <v>0.25018414720624838</v>
      </c>
      <c r="BB17" s="12">
        <v>3.0204215862639477E-2</v>
      </c>
      <c r="BC17" s="12">
        <v>0.4236364927381655</v>
      </c>
      <c r="BD17" s="12">
        <v>0.33270474013478513</v>
      </c>
      <c r="BE17" s="10">
        <v>6.4484369311561097E-5</v>
      </c>
      <c r="BF17" s="12">
        <v>0.18514354032333349</v>
      </c>
      <c r="BG17" s="12">
        <v>6.1263043413865445E-2</v>
      </c>
      <c r="BI17" s="8" t="s">
        <v>121</v>
      </c>
      <c r="BJ17" s="8" t="s">
        <v>172</v>
      </c>
      <c r="BK17" s="8" t="s">
        <v>173</v>
      </c>
      <c r="BL17" s="12">
        <v>0.42255848041020749</v>
      </c>
    </row>
    <row r="18" spans="2:64" x14ac:dyDescent="0.45">
      <c r="B18" s="9" t="s">
        <v>122</v>
      </c>
      <c r="C18" s="9" t="s">
        <v>31</v>
      </c>
      <c r="D18" s="13">
        <v>0</v>
      </c>
      <c r="E18" s="13">
        <v>0.47535328598594973</v>
      </c>
      <c r="F18" s="13">
        <v>0.89493823712156328</v>
      </c>
      <c r="G18" s="13">
        <v>0.90999393594950861</v>
      </c>
      <c r="H18" s="13">
        <v>0.21622147773995826</v>
      </c>
      <c r="I18" s="13">
        <v>0.31260618354452258</v>
      </c>
      <c r="J18" s="13">
        <v>0.78086276936053911</v>
      </c>
      <c r="K18" s="13">
        <v>0.16642122430646825</v>
      </c>
      <c r="L18" s="13">
        <v>0.19293704595504091</v>
      </c>
      <c r="M18" s="13">
        <v>0</v>
      </c>
      <c r="N18" s="13">
        <v>0.39804991979756105</v>
      </c>
      <c r="O18" s="13">
        <v>0.70074221378843538</v>
      </c>
      <c r="AU18" s="9" t="s">
        <v>122</v>
      </c>
      <c r="AV18" s="13">
        <v>0</v>
      </c>
      <c r="AW18" s="13">
        <v>8.4899274523521528E-2</v>
      </c>
      <c r="AX18" s="13">
        <v>5.3770473219895499E-3</v>
      </c>
      <c r="AY18" s="13">
        <v>8.8866087219533017E-3</v>
      </c>
      <c r="AZ18" s="13">
        <v>0.41606233793617609</v>
      </c>
      <c r="BA18" s="13">
        <v>0.22086237611421658</v>
      </c>
      <c r="BB18" s="13">
        <v>2.620009170696954E-2</v>
      </c>
      <c r="BC18" s="13">
        <v>0.42018340064165738</v>
      </c>
      <c r="BD18" s="13">
        <v>0.28700575336803608</v>
      </c>
      <c r="BE18" s="11">
        <v>0</v>
      </c>
      <c r="BF18" s="13">
        <v>0.18530996750182291</v>
      </c>
      <c r="BG18" s="13">
        <v>5.1282718527089134E-2</v>
      </c>
      <c r="BI18" s="9" t="s">
        <v>122</v>
      </c>
      <c r="BJ18" s="9" t="s">
        <v>172</v>
      </c>
      <c r="BK18" s="9" t="s">
        <v>173</v>
      </c>
      <c r="BL18" s="13">
        <v>0.4166276009604864</v>
      </c>
    </row>
    <row r="19" spans="2:64" x14ac:dyDescent="0.45">
      <c r="B19" s="8" t="s">
        <v>123</v>
      </c>
      <c r="C19" s="8" t="s">
        <v>31</v>
      </c>
      <c r="D19" s="12">
        <v>0</v>
      </c>
      <c r="E19" s="12">
        <v>0.44847629655015014</v>
      </c>
      <c r="F19" s="12">
        <v>0.92745832347017032</v>
      </c>
      <c r="G19" s="12">
        <v>0.92153685516055694</v>
      </c>
      <c r="H19" s="12">
        <v>0.24893743405684865</v>
      </c>
      <c r="I19" s="12">
        <v>0.37671777950211799</v>
      </c>
      <c r="J19" s="12">
        <v>0.77719049005442986</v>
      </c>
      <c r="K19" s="12">
        <v>0.15227839958962344</v>
      </c>
      <c r="L19" s="12">
        <v>0.18782666278167587</v>
      </c>
      <c r="M19" s="12">
        <v>0</v>
      </c>
      <c r="N19" s="12">
        <v>0.38420504848748266</v>
      </c>
      <c r="O19" s="12">
        <v>0.75837349223772954</v>
      </c>
      <c r="AU19" s="8" t="s">
        <v>123</v>
      </c>
      <c r="AV19" s="12">
        <v>0</v>
      </c>
      <c r="AW19" s="12">
        <v>9.6701668148376302E-2</v>
      </c>
      <c r="AX19" s="12">
        <v>4.5331915322637077E-3</v>
      </c>
      <c r="AY19" s="12">
        <v>8.5636379678436757E-3</v>
      </c>
      <c r="AZ19" s="12">
        <v>0.38425660006232681</v>
      </c>
      <c r="BA19" s="12">
        <v>0.17398900324417332</v>
      </c>
      <c r="BB19" s="12">
        <v>2.4839587949437969E-2</v>
      </c>
      <c r="BC19" s="12">
        <v>0.43035025399306931</v>
      </c>
      <c r="BD19" s="12">
        <v>0.25870633147112959</v>
      </c>
      <c r="BE19" s="10">
        <v>0</v>
      </c>
      <c r="BF19" s="12">
        <v>0.17936375838911936</v>
      </c>
      <c r="BG19" s="12">
        <v>3.9487223885110251E-2</v>
      </c>
      <c r="BI19" s="8" t="s">
        <v>123</v>
      </c>
      <c r="BJ19" s="8" t="s">
        <v>172</v>
      </c>
      <c r="BK19" s="8" t="s">
        <v>173</v>
      </c>
      <c r="BL19" s="12">
        <v>0.42138388644960695</v>
      </c>
    </row>
    <row r="20" spans="2:64" x14ac:dyDescent="0.45">
      <c r="B20" s="9" t="s">
        <v>124</v>
      </c>
      <c r="C20" s="9" t="s">
        <v>31</v>
      </c>
      <c r="D20" s="13">
        <v>0</v>
      </c>
      <c r="E20" s="13">
        <v>0.48020565523617614</v>
      </c>
      <c r="F20" s="13">
        <v>0.93583465834370039</v>
      </c>
      <c r="G20" s="13">
        <v>0.90844009134451231</v>
      </c>
      <c r="H20" s="13">
        <v>0.22127990863884578</v>
      </c>
      <c r="I20" s="13">
        <v>0.35627352619994795</v>
      </c>
      <c r="J20" s="13">
        <v>0.76493729354820494</v>
      </c>
      <c r="K20" s="13">
        <v>0.16442606327633461</v>
      </c>
      <c r="L20" s="13">
        <v>0.1880215482254996</v>
      </c>
      <c r="M20" s="13">
        <v>0</v>
      </c>
      <c r="N20" s="13">
        <v>0.44098788256653465</v>
      </c>
      <c r="O20" s="13">
        <v>0.76935908208623083</v>
      </c>
      <c r="AU20" s="9" t="s">
        <v>124</v>
      </c>
      <c r="AV20" s="13">
        <v>0</v>
      </c>
      <c r="AW20" s="13">
        <v>8.0873818406126091E-2</v>
      </c>
      <c r="AX20" s="13">
        <v>4.2722770313258366E-3</v>
      </c>
      <c r="AY20" s="13">
        <v>9.7595936698888896E-3</v>
      </c>
      <c r="AZ20" s="13">
        <v>0.40731617646953089</v>
      </c>
      <c r="BA20" s="13">
        <v>0.19148256503510877</v>
      </c>
      <c r="BB20" s="13">
        <v>2.7318939852886175E-2</v>
      </c>
      <c r="BC20" s="13">
        <v>0.41709294934556573</v>
      </c>
      <c r="BD20" s="13">
        <v>0.27222182457646932</v>
      </c>
      <c r="BE20" s="11">
        <v>0</v>
      </c>
      <c r="BF20" s="13">
        <v>0.15701509445211012</v>
      </c>
      <c r="BG20" s="13">
        <v>3.8956483467496757E-2</v>
      </c>
      <c r="BI20" s="9" t="s">
        <v>124</v>
      </c>
      <c r="BJ20" s="9" t="s">
        <v>172</v>
      </c>
      <c r="BK20" s="9" t="s">
        <v>173</v>
      </c>
      <c r="BL20" s="13">
        <v>0.40964298189946224</v>
      </c>
    </row>
    <row r="21" spans="2:64" x14ac:dyDescent="0.45">
      <c r="B21" s="8" t="s">
        <v>125</v>
      </c>
      <c r="C21" s="8" t="s">
        <v>31</v>
      </c>
      <c r="D21" s="12">
        <v>0</v>
      </c>
      <c r="E21" s="12">
        <v>0.46434822074651882</v>
      </c>
      <c r="F21" s="12">
        <v>0.93666007643469551</v>
      </c>
      <c r="G21" s="12">
        <v>0.90696858993387852</v>
      </c>
      <c r="H21" s="12">
        <v>0.23315814968040682</v>
      </c>
      <c r="I21" s="12">
        <v>0.36414781465496199</v>
      </c>
      <c r="J21" s="12">
        <v>0.76245777380837987</v>
      </c>
      <c r="K21" s="12">
        <v>0.15246338508217158</v>
      </c>
      <c r="L21" s="12">
        <v>0.18484473367274992</v>
      </c>
      <c r="M21" s="12">
        <v>0</v>
      </c>
      <c r="N21" s="12">
        <v>0.41757886329935867</v>
      </c>
      <c r="O21" s="12">
        <v>0.75606187053512797</v>
      </c>
      <c r="AU21" s="8" t="s">
        <v>125</v>
      </c>
      <c r="AV21" s="12">
        <v>0</v>
      </c>
      <c r="AW21" s="12">
        <v>8.7033028419416222E-2</v>
      </c>
      <c r="AX21" s="12">
        <v>4.8500927935503863E-3</v>
      </c>
      <c r="AY21" s="12">
        <v>8.8659386119832699E-3</v>
      </c>
      <c r="AZ21" s="12">
        <v>0.39683323062931086</v>
      </c>
      <c r="BA21" s="12">
        <v>0.17752573576803704</v>
      </c>
      <c r="BB21" s="12">
        <v>2.6537389454726588E-2</v>
      </c>
      <c r="BC21" s="12">
        <v>0.42710154077685952</v>
      </c>
      <c r="BD21" s="12">
        <v>0.26330803496149352</v>
      </c>
      <c r="BE21" s="10">
        <v>0</v>
      </c>
      <c r="BF21" s="12">
        <v>0.16721928480594808</v>
      </c>
      <c r="BG21" s="12">
        <v>3.9730025354388729E-2</v>
      </c>
      <c r="BI21" s="8" t="s">
        <v>125</v>
      </c>
      <c r="BJ21" s="8" t="s">
        <v>172</v>
      </c>
      <c r="BK21" s="8" t="s">
        <v>173</v>
      </c>
      <c r="BL21" s="12">
        <v>0.4117543932160565</v>
      </c>
    </row>
    <row r="22" spans="2:64" x14ac:dyDescent="0.45">
      <c r="B22" s="9" t="s">
        <v>126</v>
      </c>
      <c r="C22" s="9" t="s">
        <v>31</v>
      </c>
      <c r="D22" s="13">
        <v>0</v>
      </c>
      <c r="E22" s="13">
        <v>0.42472467371147898</v>
      </c>
      <c r="F22" s="13">
        <v>0.90703919412922362</v>
      </c>
      <c r="G22" s="13">
        <v>0.92975104688201415</v>
      </c>
      <c r="H22" s="13">
        <v>0.26455401326647765</v>
      </c>
      <c r="I22" s="13">
        <v>0.3860892357919018</v>
      </c>
      <c r="J22" s="13">
        <v>0.84387642547914676</v>
      </c>
      <c r="K22" s="13">
        <v>0.17402148762612174</v>
      </c>
      <c r="L22" s="13">
        <v>0.21494336529617294</v>
      </c>
      <c r="M22" s="13">
        <v>0</v>
      </c>
      <c r="N22" s="13">
        <v>0.33665489886221162</v>
      </c>
      <c r="O22" s="13">
        <v>0.71454143535217129</v>
      </c>
      <c r="AU22" s="9" t="s">
        <v>126</v>
      </c>
      <c r="AV22" s="13">
        <v>0</v>
      </c>
      <c r="AW22" s="13">
        <v>0.12983790424846278</v>
      </c>
      <c r="AX22" s="13">
        <v>6.8540230601360878E-3</v>
      </c>
      <c r="AY22" s="13">
        <v>5.8816441988226182E-3</v>
      </c>
      <c r="AZ22" s="13">
        <v>0.36459052293173222</v>
      </c>
      <c r="BA22" s="13">
        <v>0.16210615886751228</v>
      </c>
      <c r="BB22" s="13">
        <v>1.7360164419035422E-2</v>
      </c>
      <c r="BC22" s="13">
        <v>0.42489021781959285</v>
      </c>
      <c r="BD22" s="13">
        <v>0.24928052626350147</v>
      </c>
      <c r="BE22" s="11">
        <v>0</v>
      </c>
      <c r="BF22" s="13">
        <v>0.22213160014619743</v>
      </c>
      <c r="BG22" s="13">
        <v>4.535899368284884E-2</v>
      </c>
      <c r="BI22" s="9" t="s">
        <v>126</v>
      </c>
      <c r="BJ22" s="9" t="s">
        <v>172</v>
      </c>
      <c r="BK22" s="9" t="s">
        <v>173</v>
      </c>
      <c r="BL22" s="13">
        <v>0.42169414629867957</v>
      </c>
    </row>
    <row r="23" spans="2:64" x14ac:dyDescent="0.45">
      <c r="B23" s="8" t="s">
        <v>127</v>
      </c>
      <c r="C23" s="8" t="s">
        <v>31</v>
      </c>
      <c r="D23" s="12">
        <v>0</v>
      </c>
      <c r="E23" s="12">
        <v>0.43648853097071449</v>
      </c>
      <c r="F23" s="12">
        <v>0.91710977107775404</v>
      </c>
      <c r="G23" s="12">
        <v>0.92445624499083934</v>
      </c>
      <c r="H23" s="12">
        <v>0.2496926149871605</v>
      </c>
      <c r="I23" s="12">
        <v>0.36401476964365598</v>
      </c>
      <c r="J23" s="12">
        <v>0.81050727327964323</v>
      </c>
      <c r="K23" s="12">
        <v>0.1538246259832548</v>
      </c>
      <c r="L23" s="12">
        <v>0.197105967162192</v>
      </c>
      <c r="M23" s="12">
        <v>0</v>
      </c>
      <c r="N23" s="12">
        <v>0.33888032645576305</v>
      </c>
      <c r="O23" s="12">
        <v>0.72891977242149775</v>
      </c>
      <c r="AU23" s="8" t="s">
        <v>127</v>
      </c>
      <c r="AV23" s="12">
        <v>0</v>
      </c>
      <c r="AW23" s="12">
        <v>0.11375010612182933</v>
      </c>
      <c r="AX23" s="12">
        <v>4.0760413669756138E-3</v>
      </c>
      <c r="AY23" s="12">
        <v>6.9699594539926772E-3</v>
      </c>
      <c r="AZ23" s="12">
        <v>0.37768091639973528</v>
      </c>
      <c r="BA23" s="12">
        <v>0.16752103613462016</v>
      </c>
      <c r="BB23" s="12">
        <v>1.9297839680365178E-2</v>
      </c>
      <c r="BC23" s="12">
        <v>0.43391729770131443</v>
      </c>
      <c r="BD23" s="12">
        <v>0.24668384831597337</v>
      </c>
      <c r="BE23" s="10">
        <v>0</v>
      </c>
      <c r="BF23" s="12">
        <v>0.20716092018479215</v>
      </c>
      <c r="BG23" s="12">
        <v>3.7905088282602084E-2</v>
      </c>
      <c r="BI23" s="8" t="s">
        <v>127</v>
      </c>
      <c r="BJ23" s="8" t="s">
        <v>172</v>
      </c>
      <c r="BK23" s="8" t="s">
        <v>173</v>
      </c>
      <c r="BL23" s="12">
        <v>0.42500693504384135</v>
      </c>
    </row>
    <row r="24" spans="2:64" x14ac:dyDescent="0.45">
      <c r="B24" s="9" t="s">
        <v>128</v>
      </c>
      <c r="C24" s="9" t="s">
        <v>31</v>
      </c>
      <c r="D24" s="13">
        <v>0</v>
      </c>
      <c r="E24" s="13">
        <v>0.41418344610669183</v>
      </c>
      <c r="F24" s="13">
        <v>0.87693496091072964</v>
      </c>
      <c r="G24" s="13">
        <v>0.93194294114298515</v>
      </c>
      <c r="H24" s="13">
        <v>0.25824224947653091</v>
      </c>
      <c r="I24" s="13">
        <v>0.34500444395937285</v>
      </c>
      <c r="J24" s="13">
        <v>0.82218628159456375</v>
      </c>
      <c r="K24" s="13">
        <v>0.18253715792059461</v>
      </c>
      <c r="L24" s="13">
        <v>0.20319558724035924</v>
      </c>
      <c r="M24" s="13">
        <v>0</v>
      </c>
      <c r="N24" s="13">
        <v>0.33960244040182691</v>
      </c>
      <c r="O24" s="13">
        <v>0.67573875750608237</v>
      </c>
      <c r="AU24" s="9" t="s">
        <v>128</v>
      </c>
      <c r="AV24" s="13">
        <v>0</v>
      </c>
      <c r="AW24" s="13">
        <v>0.13147190424524655</v>
      </c>
      <c r="AX24" s="13">
        <v>9.466827891007704E-3</v>
      </c>
      <c r="AY24" s="13">
        <v>5.5405261511013836E-3</v>
      </c>
      <c r="AZ24" s="13">
        <v>0.34991626062901027</v>
      </c>
      <c r="BA24" s="13">
        <v>0.17892312731820847</v>
      </c>
      <c r="BB24" s="13">
        <v>1.8277787422143751E-2</v>
      </c>
      <c r="BC24" s="13">
        <v>0.41764775913515695</v>
      </c>
      <c r="BD24" s="13">
        <v>0.25388991945155753</v>
      </c>
      <c r="BE24" s="11">
        <v>0</v>
      </c>
      <c r="BF24" s="13">
        <v>0.22064408913885186</v>
      </c>
      <c r="BG24" s="13">
        <v>5.3593808385929878E-2</v>
      </c>
      <c r="BI24" s="9" t="s">
        <v>128</v>
      </c>
      <c r="BJ24" s="9" t="s">
        <v>172</v>
      </c>
      <c r="BK24" s="9" t="s">
        <v>173</v>
      </c>
      <c r="BL24" s="13">
        <v>0.41645945681912921</v>
      </c>
    </row>
    <row r="25" spans="2:64" x14ac:dyDescent="0.45">
      <c r="B25" s="8" t="s">
        <v>129</v>
      </c>
      <c r="C25" s="8" t="s">
        <v>31</v>
      </c>
      <c r="D25" s="12">
        <v>0</v>
      </c>
      <c r="E25" s="12">
        <v>0.41187594817647777</v>
      </c>
      <c r="F25" s="12">
        <v>0.86511782878958121</v>
      </c>
      <c r="G25" s="12">
        <v>0.92479590009356549</v>
      </c>
      <c r="H25" s="12">
        <v>0.27314366764322184</v>
      </c>
      <c r="I25" s="12">
        <v>0.33559076576714186</v>
      </c>
      <c r="J25" s="12">
        <v>0.81258824612092817</v>
      </c>
      <c r="K25" s="12">
        <v>0.1746810290670637</v>
      </c>
      <c r="L25" s="12">
        <v>0.19754555317791533</v>
      </c>
      <c r="M25" s="12">
        <v>0</v>
      </c>
      <c r="N25" s="12">
        <v>0.34380995308826501</v>
      </c>
      <c r="O25" s="12">
        <v>0.65399969741044717</v>
      </c>
      <c r="AU25" s="8" t="s">
        <v>129</v>
      </c>
      <c r="AV25" s="12">
        <v>0</v>
      </c>
      <c r="AW25" s="12">
        <v>0.11450004475438907</v>
      </c>
      <c r="AX25" s="12">
        <v>7.5468109230070095E-3</v>
      </c>
      <c r="AY25" s="12">
        <v>6.1196890271566183E-3</v>
      </c>
      <c r="AZ25" s="12">
        <v>0.34257844929532977</v>
      </c>
      <c r="BA25" s="12">
        <v>0.18185720153991533</v>
      </c>
      <c r="BB25" s="12">
        <v>2.0160071651846356E-2</v>
      </c>
      <c r="BC25" s="12">
        <v>0.42380105381963362</v>
      </c>
      <c r="BD25" s="12">
        <v>0.27290052251020275</v>
      </c>
      <c r="BE25" s="10">
        <v>0</v>
      </c>
      <c r="BF25" s="12">
        <v>0.21457119371592093</v>
      </c>
      <c r="BG25" s="12">
        <v>5.5406114479981651E-2</v>
      </c>
      <c r="BI25" s="8" t="s">
        <v>129</v>
      </c>
      <c r="BJ25" s="8" t="s">
        <v>172</v>
      </c>
      <c r="BK25" s="8" t="s">
        <v>173</v>
      </c>
      <c r="BL25" s="12">
        <v>0.42066107331382491</v>
      </c>
    </row>
    <row r="26" spans="2:64" x14ac:dyDescent="0.45">
      <c r="B26" s="9" t="s">
        <v>130</v>
      </c>
      <c r="C26" s="9" t="s">
        <v>31</v>
      </c>
      <c r="D26" s="13">
        <v>0</v>
      </c>
      <c r="E26" s="13">
        <v>0.44439860058725028</v>
      </c>
      <c r="F26" s="13">
        <v>0.87528640257629742</v>
      </c>
      <c r="G26" s="13">
        <v>0.91821381893716492</v>
      </c>
      <c r="H26" s="13">
        <v>0.26125410254073472</v>
      </c>
      <c r="I26" s="13">
        <v>0.3248226851409225</v>
      </c>
      <c r="J26" s="13">
        <v>0.80549866261460268</v>
      </c>
      <c r="K26" s="13">
        <v>0.16488266098572538</v>
      </c>
      <c r="L26" s="13">
        <v>0.1851037431634755</v>
      </c>
      <c r="M26" s="13">
        <v>0</v>
      </c>
      <c r="N26" s="13">
        <v>0.36437796605611966</v>
      </c>
      <c r="O26" s="13">
        <v>0.67293756394940352</v>
      </c>
      <c r="AU26" s="9" t="s">
        <v>130</v>
      </c>
      <c r="AV26" s="13">
        <v>0</v>
      </c>
      <c r="AW26" s="13">
        <v>9.1269801405727435E-2</v>
      </c>
      <c r="AX26" s="13">
        <v>4.4527316761514522E-3</v>
      </c>
      <c r="AY26" s="13">
        <v>7.4089644349401252E-3</v>
      </c>
      <c r="AZ26" s="13">
        <v>0.35669244579756121</v>
      </c>
      <c r="BA26" s="13">
        <v>0.18466022026733384</v>
      </c>
      <c r="BB26" s="13">
        <v>2.3367480505385761E-2</v>
      </c>
      <c r="BC26" s="13">
        <v>0.42777441032746422</v>
      </c>
      <c r="BD26" s="13">
        <v>0.28116972995917677</v>
      </c>
      <c r="BE26" s="11">
        <v>0</v>
      </c>
      <c r="BF26" s="13">
        <v>0.19959616956102452</v>
      </c>
      <c r="BG26" s="13">
        <v>5.0147779007754335E-2</v>
      </c>
      <c r="BI26" s="9" t="s">
        <v>130</v>
      </c>
      <c r="BJ26" s="9" t="s">
        <v>172</v>
      </c>
      <c r="BK26" s="9" t="s">
        <v>173</v>
      </c>
      <c r="BL26" s="13">
        <v>0.42673680784630857</v>
      </c>
    </row>
    <row r="27" spans="2:64" x14ac:dyDescent="0.45">
      <c r="B27" s="8" t="s">
        <v>131</v>
      </c>
      <c r="C27" s="8" t="s">
        <v>31</v>
      </c>
      <c r="D27" s="12">
        <v>0</v>
      </c>
      <c r="E27" s="12">
        <v>0.46771716849640821</v>
      </c>
      <c r="F27" s="12">
        <v>0.87785880879891554</v>
      </c>
      <c r="G27" s="12">
        <v>0.91710954738439621</v>
      </c>
      <c r="H27" s="12">
        <v>0.24978613090880608</v>
      </c>
      <c r="I27" s="12">
        <v>0.32914054287021688</v>
      </c>
      <c r="J27" s="12">
        <v>0.79613608363440203</v>
      </c>
      <c r="K27" s="12">
        <v>0.16386657598701865</v>
      </c>
      <c r="L27" s="12">
        <v>0.1776655416914121</v>
      </c>
      <c r="M27" s="12">
        <v>0</v>
      </c>
      <c r="N27" s="12">
        <v>0.38283821612492552</v>
      </c>
      <c r="O27" s="12">
        <v>0.69715991439061353</v>
      </c>
      <c r="AU27" s="8" t="s">
        <v>131</v>
      </c>
      <c r="AV27" s="12">
        <v>0</v>
      </c>
      <c r="AW27" s="12">
        <v>8.5170627901692483E-2</v>
      </c>
      <c r="AX27" s="12">
        <v>4.5665244289374652E-3</v>
      </c>
      <c r="AY27" s="12">
        <v>7.8888029673314253E-3</v>
      </c>
      <c r="AZ27" s="12">
        <v>0.3743175051317999</v>
      </c>
      <c r="BA27" s="12">
        <v>0.18982296637905466</v>
      </c>
      <c r="BB27" s="12">
        <v>2.4660494887933249E-2</v>
      </c>
      <c r="BC27" s="12">
        <v>0.42473410897754565</v>
      </c>
      <c r="BD27" s="12">
        <v>0.28070239118642665</v>
      </c>
      <c r="BE27" s="10">
        <v>0</v>
      </c>
      <c r="BF27" s="12">
        <v>0.18897519372812399</v>
      </c>
      <c r="BG27" s="12">
        <v>5.0909197524253741E-2</v>
      </c>
      <c r="BI27" s="8" t="s">
        <v>131</v>
      </c>
      <c r="BJ27" s="8" t="s">
        <v>172</v>
      </c>
      <c r="BK27" s="8" t="s">
        <v>173</v>
      </c>
      <c r="BL27" s="12">
        <v>0.42397090954184707</v>
      </c>
    </row>
    <row r="28" spans="2:64" x14ac:dyDescent="0.45">
      <c r="B28" s="9" t="s">
        <v>132</v>
      </c>
      <c r="C28" s="9" t="s">
        <v>31</v>
      </c>
      <c r="D28" s="13">
        <v>0</v>
      </c>
      <c r="E28" s="13">
        <v>0.46159349058253996</v>
      </c>
      <c r="F28" s="13">
        <v>0.90813312588877448</v>
      </c>
      <c r="G28" s="13">
        <v>0.92279102953620229</v>
      </c>
      <c r="H28" s="13">
        <v>0.25956487838457093</v>
      </c>
      <c r="I28" s="13">
        <v>0.36283678117727935</v>
      </c>
      <c r="J28" s="13">
        <v>0.78421277702058756</v>
      </c>
      <c r="K28" s="13">
        <v>0.14985905077774095</v>
      </c>
      <c r="L28" s="13">
        <v>0.19205384794205893</v>
      </c>
      <c r="M28" s="13">
        <v>0</v>
      </c>
      <c r="N28" s="13">
        <v>0.37197149193421586</v>
      </c>
      <c r="O28" s="13">
        <v>0.71504137816854019</v>
      </c>
      <c r="AU28" s="9" t="s">
        <v>132</v>
      </c>
      <c r="AV28" s="13">
        <v>0</v>
      </c>
      <c r="AW28" s="13">
        <v>9.0313144782288329E-2</v>
      </c>
      <c r="AX28" s="13">
        <v>3.7297344269432054E-3</v>
      </c>
      <c r="AY28" s="13">
        <v>7.4679042480531761E-3</v>
      </c>
      <c r="AZ28" s="13">
        <v>0.36426580674003012</v>
      </c>
      <c r="BA28" s="13">
        <v>0.17328208185175378</v>
      </c>
      <c r="BB28" s="13">
        <v>2.3821813841551066E-2</v>
      </c>
      <c r="BC28" s="13">
        <v>0.44046254622814718</v>
      </c>
      <c r="BD28" s="13">
        <v>0.27446333848203447</v>
      </c>
      <c r="BE28" s="11">
        <v>0</v>
      </c>
      <c r="BF28" s="13">
        <v>0.18568841944237999</v>
      </c>
      <c r="BG28" s="13">
        <v>4.2546909595308879E-2</v>
      </c>
      <c r="BI28" s="9" t="s">
        <v>132</v>
      </c>
      <c r="BJ28" s="9" t="s">
        <v>172</v>
      </c>
      <c r="BK28" s="9" t="s">
        <v>173</v>
      </c>
      <c r="BL28" s="13">
        <v>0.43115606978220977</v>
      </c>
    </row>
    <row r="29" spans="2:64" x14ac:dyDescent="0.45">
      <c r="B29" s="8" t="s">
        <v>133</v>
      </c>
      <c r="C29" s="8" t="s">
        <v>31</v>
      </c>
      <c r="D29" s="12">
        <v>0</v>
      </c>
      <c r="E29" s="12">
        <v>0.43579764595939308</v>
      </c>
      <c r="F29" s="12">
        <v>0.88435477375169347</v>
      </c>
      <c r="G29" s="12">
        <v>0.92924715777835476</v>
      </c>
      <c r="H29" s="12">
        <v>0.26379999793438952</v>
      </c>
      <c r="I29" s="12">
        <v>0.3673395532091841</v>
      </c>
      <c r="J29" s="12">
        <v>0.81187320434616339</v>
      </c>
      <c r="K29" s="12">
        <v>0.15791943154345547</v>
      </c>
      <c r="L29" s="12">
        <v>0.196761272253029</v>
      </c>
      <c r="M29" s="12">
        <v>0</v>
      </c>
      <c r="N29" s="12">
        <v>0.35416878866685886</v>
      </c>
      <c r="O29" s="12">
        <v>0.71015084048583033</v>
      </c>
      <c r="AU29" s="8" t="s">
        <v>133</v>
      </c>
      <c r="AV29" s="12">
        <v>0</v>
      </c>
      <c r="AW29" s="12">
        <v>0.10426428365664603</v>
      </c>
      <c r="AX29" s="12">
        <v>4.7493936490119555E-3</v>
      </c>
      <c r="AY29" s="12">
        <v>6.1516984365810887E-3</v>
      </c>
      <c r="AZ29" s="12">
        <v>0.35132117795153039</v>
      </c>
      <c r="BA29" s="12">
        <v>0.16394048033112024</v>
      </c>
      <c r="BB29" s="12">
        <v>2.106917787837263E-2</v>
      </c>
      <c r="BC29" s="12">
        <v>0.4329252904330243</v>
      </c>
      <c r="BD29" s="12">
        <v>0.26046276505388027</v>
      </c>
      <c r="BE29" s="10">
        <v>0</v>
      </c>
      <c r="BF29" s="12">
        <v>0.19733617012409846</v>
      </c>
      <c r="BG29" s="12">
        <v>4.5593285665225233E-2</v>
      </c>
      <c r="BI29" s="8" t="s">
        <v>133</v>
      </c>
      <c r="BJ29" s="8" t="s">
        <v>172</v>
      </c>
      <c r="BK29" s="8" t="s">
        <v>173</v>
      </c>
      <c r="BL29" s="12">
        <v>0.43192132078248796</v>
      </c>
    </row>
    <row r="30" spans="2:64" x14ac:dyDescent="0.45">
      <c r="B30" s="9" t="s">
        <v>134</v>
      </c>
      <c r="C30" s="9" t="s">
        <v>31</v>
      </c>
      <c r="D30" s="13">
        <v>0</v>
      </c>
      <c r="E30" s="13">
        <v>0.45574178782538205</v>
      </c>
      <c r="F30" s="13">
        <v>0.90677461588218844</v>
      </c>
      <c r="G30" s="13">
        <v>0.92661974549992465</v>
      </c>
      <c r="H30" s="13">
        <v>0.26165487615659355</v>
      </c>
      <c r="I30" s="13">
        <v>0.36484206743739067</v>
      </c>
      <c r="J30" s="13">
        <v>0.78943455176888944</v>
      </c>
      <c r="K30" s="13">
        <v>0.15041955410399899</v>
      </c>
      <c r="L30" s="13">
        <v>0.19235841692488623</v>
      </c>
      <c r="M30" s="13">
        <v>0</v>
      </c>
      <c r="N30" s="13">
        <v>0.35461427458922723</v>
      </c>
      <c r="O30" s="13">
        <v>0.72446557735787498</v>
      </c>
      <c r="AU30" s="9" t="s">
        <v>134</v>
      </c>
      <c r="AV30" s="13">
        <v>0</v>
      </c>
      <c r="AW30" s="13">
        <v>9.5515123274639013E-2</v>
      </c>
      <c r="AX30" s="13">
        <v>3.3171973220464343E-3</v>
      </c>
      <c r="AY30" s="13">
        <v>7.0722743239180243E-3</v>
      </c>
      <c r="AZ30" s="13">
        <v>0.36266697886637056</v>
      </c>
      <c r="BA30" s="13">
        <v>0.17121766108516634</v>
      </c>
      <c r="BB30" s="13">
        <v>2.226599061221296E-2</v>
      </c>
      <c r="BC30" s="13">
        <v>0.43603112676206068</v>
      </c>
      <c r="BD30" s="13">
        <v>0.26729428432511282</v>
      </c>
      <c r="BE30" s="11">
        <v>0</v>
      </c>
      <c r="BF30" s="13">
        <v>0.19025938521945823</v>
      </c>
      <c r="BG30" s="13">
        <v>4.0874491917700012E-2</v>
      </c>
      <c r="BI30" s="9" t="s">
        <v>134</v>
      </c>
      <c r="BJ30" s="9" t="s">
        <v>172</v>
      </c>
      <c r="BK30" s="9" t="s">
        <v>173</v>
      </c>
      <c r="BL30" s="13">
        <v>0.43211703324388612</v>
      </c>
    </row>
    <row r="31" spans="2:64" x14ac:dyDescent="0.45">
      <c r="B31" s="8" t="s">
        <v>135</v>
      </c>
      <c r="C31" s="8" t="s">
        <v>31</v>
      </c>
      <c r="D31" s="12">
        <v>0.34664096508194286</v>
      </c>
      <c r="E31" s="12">
        <v>0.35322378842703439</v>
      </c>
      <c r="F31" s="12">
        <v>0.33871164254817548</v>
      </c>
      <c r="G31" s="12">
        <v>0.33405802770842541</v>
      </c>
      <c r="H31" s="12">
        <v>0.37879258170037866</v>
      </c>
      <c r="I31" s="12">
        <v>0.38422768185563183</v>
      </c>
      <c r="J31" s="12">
        <v>0.41703153646597624</v>
      </c>
      <c r="K31" s="12">
        <v>0.46565853022585862</v>
      </c>
      <c r="L31" s="12">
        <v>0.4212930844374288</v>
      </c>
      <c r="M31" s="12">
        <v>0.37109735602126814</v>
      </c>
      <c r="N31" s="12">
        <v>0.41162272472452599</v>
      </c>
      <c r="O31" s="12">
        <v>0.38525757315279119</v>
      </c>
      <c r="AU31" s="8" t="s">
        <v>135</v>
      </c>
      <c r="AV31" s="12">
        <v>0.42175205219088946</v>
      </c>
      <c r="AW31" s="12">
        <v>0.39935266545351056</v>
      </c>
      <c r="AX31" s="12">
        <v>0.42105312575119497</v>
      </c>
      <c r="AY31" s="12">
        <v>0.30105347594712684</v>
      </c>
      <c r="AZ31" s="12">
        <v>0.25071919574454699</v>
      </c>
      <c r="BA31" s="12">
        <v>0.27262517832302113</v>
      </c>
      <c r="BB31" s="12">
        <v>0.17400065896248323</v>
      </c>
      <c r="BC31" s="12">
        <v>0.16710308453827208</v>
      </c>
      <c r="BD31" s="12">
        <v>0.18551085449136867</v>
      </c>
      <c r="BE31" s="10">
        <v>0.33549711182232955</v>
      </c>
      <c r="BF31" s="12">
        <v>0.30925691758913432</v>
      </c>
      <c r="BG31" s="12">
        <v>0.34382048575435409</v>
      </c>
      <c r="BI31" s="8" t="s">
        <v>145</v>
      </c>
      <c r="BJ31" s="8" t="s">
        <v>172</v>
      </c>
      <c r="BK31" s="8" t="s">
        <v>173</v>
      </c>
      <c r="BL31" s="12">
        <v>0.42948756100385038</v>
      </c>
    </row>
    <row r="32" spans="2:64" x14ac:dyDescent="0.45">
      <c r="B32" s="9" t="s">
        <v>136</v>
      </c>
      <c r="C32" s="9" t="s">
        <v>31</v>
      </c>
      <c r="D32" s="13">
        <v>0.29004833551324827</v>
      </c>
      <c r="E32" s="13">
        <v>0.29434117284088052</v>
      </c>
      <c r="F32" s="13">
        <v>0.26680322161443631</v>
      </c>
      <c r="G32" s="13">
        <v>0.30380958593934904</v>
      </c>
      <c r="H32" s="13">
        <v>0.3348097333203629</v>
      </c>
      <c r="I32" s="13">
        <v>0.32365786518122019</v>
      </c>
      <c r="J32" s="13">
        <v>0.3910933715713249</v>
      </c>
      <c r="K32" s="13">
        <v>0.41907594406267035</v>
      </c>
      <c r="L32" s="13">
        <v>0.38934078484232593</v>
      </c>
      <c r="M32" s="13">
        <v>0.34248427956219735</v>
      </c>
      <c r="N32" s="13">
        <v>0.34922254394279423</v>
      </c>
      <c r="O32" s="13">
        <v>0.34582794362692465</v>
      </c>
      <c r="AU32" s="9" t="s">
        <v>136</v>
      </c>
      <c r="AV32" s="13">
        <v>0.60274542889965854</v>
      </c>
      <c r="AW32" s="13">
        <v>0.59288512171888264</v>
      </c>
      <c r="AX32" s="13">
        <v>0.62233843017546842</v>
      </c>
      <c r="AY32" s="13">
        <v>0.52451514841008906</v>
      </c>
      <c r="AZ32" s="13">
        <v>0.46249069812069099</v>
      </c>
      <c r="BA32" s="13">
        <v>0.49236403413582169</v>
      </c>
      <c r="BB32" s="13">
        <v>0.33418284117811287</v>
      </c>
      <c r="BC32" s="13">
        <v>0.31233882536233537</v>
      </c>
      <c r="BD32" s="13">
        <v>0.34338341654674914</v>
      </c>
      <c r="BE32" s="11">
        <v>0.50202044448654704</v>
      </c>
      <c r="BF32" s="13">
        <v>0.49356302856206558</v>
      </c>
      <c r="BG32" s="13">
        <v>0.5126530510733569</v>
      </c>
      <c r="BI32" s="9" t="s">
        <v>146</v>
      </c>
      <c r="BJ32" s="9" t="s">
        <v>172</v>
      </c>
      <c r="BK32" s="9" t="s">
        <v>173</v>
      </c>
      <c r="BL32" s="13">
        <v>0.41665387309015284</v>
      </c>
    </row>
    <row r="33" spans="2:64" x14ac:dyDescent="0.45">
      <c r="B33" s="8" t="s">
        <v>137</v>
      </c>
      <c r="C33" s="8" t="s">
        <v>31</v>
      </c>
      <c r="D33" s="12">
        <v>0.3112673129071587</v>
      </c>
      <c r="E33" s="12">
        <v>0.31705160181555281</v>
      </c>
      <c r="F33" s="12">
        <v>0.29919775110174984</v>
      </c>
      <c r="G33" s="12">
        <v>0.31942567340083095</v>
      </c>
      <c r="H33" s="12">
        <v>0.35316759869562958</v>
      </c>
      <c r="I33" s="12">
        <v>0.34374501602154311</v>
      </c>
      <c r="J33" s="12">
        <v>0.41162860516827082</v>
      </c>
      <c r="K33" s="12">
        <v>0.43931691342728624</v>
      </c>
      <c r="L33" s="12">
        <v>0.39447298785905643</v>
      </c>
      <c r="M33" s="12">
        <v>0.35496623928035265</v>
      </c>
      <c r="N33" s="12">
        <v>0.3773608494912461</v>
      </c>
      <c r="O33" s="12">
        <v>0.35836604433185137</v>
      </c>
      <c r="AU33" s="8" t="s">
        <v>137</v>
      </c>
      <c r="AV33" s="12">
        <v>0.53145008033800167</v>
      </c>
      <c r="AW33" s="12">
        <v>0.50999932443358065</v>
      </c>
      <c r="AX33" s="12">
        <v>0.53960545863036991</v>
      </c>
      <c r="AY33" s="12">
        <v>0.41951004436141942</v>
      </c>
      <c r="AZ33" s="12">
        <v>0.35710726047565988</v>
      </c>
      <c r="BA33" s="12">
        <v>0.38598978907603632</v>
      </c>
      <c r="BB33" s="12">
        <v>0.25726174165074173</v>
      </c>
      <c r="BC33" s="12">
        <v>0.24455108382081886</v>
      </c>
      <c r="BD33" s="12">
        <v>0.27396986404260454</v>
      </c>
      <c r="BE33" s="10">
        <v>0.43268365958133626</v>
      </c>
      <c r="BF33" s="12">
        <v>0.4120534203496819</v>
      </c>
      <c r="BG33" s="12">
        <v>0.44538081579238636</v>
      </c>
      <c r="BI33" s="8" t="s">
        <v>147</v>
      </c>
      <c r="BJ33" s="8" t="s">
        <v>172</v>
      </c>
      <c r="BK33" s="8" t="s">
        <v>173</v>
      </c>
      <c r="BL33" s="12">
        <v>0.43223601868860995</v>
      </c>
    </row>
    <row r="34" spans="2:64" x14ac:dyDescent="0.45">
      <c r="B34" s="9" t="s">
        <v>138</v>
      </c>
      <c r="C34" s="9" t="s">
        <v>31</v>
      </c>
      <c r="D34" s="13">
        <v>0.29818648123534586</v>
      </c>
      <c r="E34" s="13">
        <v>0.29800660102776572</v>
      </c>
      <c r="F34" s="13">
        <v>0.27164246936123415</v>
      </c>
      <c r="G34" s="13">
        <v>0.27759633794604427</v>
      </c>
      <c r="H34" s="13">
        <v>0.33887992247093107</v>
      </c>
      <c r="I34" s="13">
        <v>0.30361813835905843</v>
      </c>
      <c r="J34" s="13">
        <v>0.35208257222216338</v>
      </c>
      <c r="K34" s="13">
        <v>0.3745032293806454</v>
      </c>
      <c r="L34" s="13">
        <v>0.37678208428856791</v>
      </c>
      <c r="M34" s="13">
        <v>0.33681709304158786</v>
      </c>
      <c r="N34" s="13">
        <v>0.33459984293416678</v>
      </c>
      <c r="O34" s="13">
        <v>0.35541875334840378</v>
      </c>
      <c r="AU34" s="9" t="s">
        <v>138</v>
      </c>
      <c r="AV34" s="13">
        <v>0.59790095524181952</v>
      </c>
      <c r="AW34" s="13">
        <v>0.61102544216049437</v>
      </c>
      <c r="AX34" s="13">
        <v>0.62874898827293024</v>
      </c>
      <c r="AY34" s="13">
        <v>0.58200558633365185</v>
      </c>
      <c r="AZ34" s="13">
        <v>0.52297314335934497</v>
      </c>
      <c r="BA34" s="13">
        <v>0.5628232174325748</v>
      </c>
      <c r="BB34" s="13">
        <v>0.37786954554253754</v>
      </c>
      <c r="BC34" s="13">
        <v>0.35053404000089744</v>
      </c>
      <c r="BD34" s="13">
        <v>0.35929804586024433</v>
      </c>
      <c r="BE34" s="11">
        <v>0.53524226895496396</v>
      </c>
      <c r="BF34" s="13">
        <v>0.53800233532167741</v>
      </c>
      <c r="BG34" s="13">
        <v>0.52151786673400502</v>
      </c>
      <c r="BI34" s="9" t="s">
        <v>148</v>
      </c>
      <c r="BJ34" s="9" t="s">
        <v>172</v>
      </c>
      <c r="BK34" s="9" t="s">
        <v>173</v>
      </c>
      <c r="BL34" s="13">
        <v>0.45649128372682257</v>
      </c>
    </row>
    <row r="35" spans="2:64" x14ac:dyDescent="0.45">
      <c r="B35" s="8" t="s">
        <v>139</v>
      </c>
      <c r="C35" s="8" t="s">
        <v>31</v>
      </c>
      <c r="D35" s="12">
        <v>0.29821534769093938</v>
      </c>
      <c r="E35" s="12">
        <v>0.29205496249012969</v>
      </c>
      <c r="F35" s="12">
        <v>0.27749249968081074</v>
      </c>
      <c r="G35" s="12">
        <v>0.29180241171006921</v>
      </c>
      <c r="H35" s="12">
        <v>0.34255779977977041</v>
      </c>
      <c r="I35" s="12">
        <v>0.32323319008558704</v>
      </c>
      <c r="J35" s="12">
        <v>0.36218534221185855</v>
      </c>
      <c r="K35" s="12">
        <v>0.4092519825205288</v>
      </c>
      <c r="L35" s="12">
        <v>0.3866073190183163</v>
      </c>
      <c r="M35" s="12">
        <v>0.34318044209045645</v>
      </c>
      <c r="N35" s="12">
        <v>0.33235162990112121</v>
      </c>
      <c r="O35" s="12">
        <v>0.34009297693532858</v>
      </c>
      <c r="AU35" s="8" t="s">
        <v>139</v>
      </c>
      <c r="AV35" s="12">
        <v>0.60569109115160202</v>
      </c>
      <c r="AW35" s="12">
        <v>0.61093178960717487</v>
      </c>
      <c r="AX35" s="12">
        <v>0.62168655034705689</v>
      </c>
      <c r="AY35" s="12">
        <v>0.56466650138685481</v>
      </c>
      <c r="AZ35" s="12">
        <v>0.50702513252916392</v>
      </c>
      <c r="BA35" s="12">
        <v>0.54588907107700602</v>
      </c>
      <c r="BB35" s="12">
        <v>0.35360383381192778</v>
      </c>
      <c r="BC35" s="12">
        <v>0.33879022543381204</v>
      </c>
      <c r="BD35" s="12">
        <v>0.35708967442923373</v>
      </c>
      <c r="BE35" s="10">
        <v>0.52040669244257587</v>
      </c>
      <c r="BF35" s="12">
        <v>0.53281204055463272</v>
      </c>
      <c r="BG35" s="12">
        <v>0.53366023279689501</v>
      </c>
      <c r="BI35" s="8" t="s">
        <v>149</v>
      </c>
      <c r="BJ35" s="8" t="s">
        <v>172</v>
      </c>
      <c r="BK35" s="8" t="s">
        <v>173</v>
      </c>
      <c r="BL35" s="12">
        <v>0.4438120434180024</v>
      </c>
    </row>
    <row r="36" spans="2:64" x14ac:dyDescent="0.45">
      <c r="B36" s="9" t="s">
        <v>140</v>
      </c>
      <c r="C36" s="9" t="s">
        <v>31</v>
      </c>
      <c r="D36" s="13">
        <v>0.30071328447206935</v>
      </c>
      <c r="E36" s="13">
        <v>0.304691486008968</v>
      </c>
      <c r="F36" s="13">
        <v>0.27433782500860532</v>
      </c>
      <c r="G36" s="13">
        <v>0.29638838402582046</v>
      </c>
      <c r="H36" s="13">
        <v>0.3404725911639383</v>
      </c>
      <c r="I36" s="13">
        <v>0.32870798009692515</v>
      </c>
      <c r="J36" s="13">
        <v>0.36361824888514577</v>
      </c>
      <c r="K36" s="13">
        <v>0.39164444418686617</v>
      </c>
      <c r="L36" s="13">
        <v>0.39707890474694169</v>
      </c>
      <c r="M36" s="13">
        <v>0.34371995934646393</v>
      </c>
      <c r="N36" s="13">
        <v>0.33932676309535953</v>
      </c>
      <c r="O36" s="13">
        <v>0.35337909456488548</v>
      </c>
      <c r="AU36" s="9" t="s">
        <v>140</v>
      </c>
      <c r="AV36" s="13">
        <v>0.5865170517568461</v>
      </c>
      <c r="AW36" s="13">
        <v>0.59074559983457975</v>
      </c>
      <c r="AX36" s="13">
        <v>0.61279089815627086</v>
      </c>
      <c r="AY36" s="13">
        <v>0.52703178265647677</v>
      </c>
      <c r="AZ36" s="13">
        <v>0.48008133028365746</v>
      </c>
      <c r="BA36" s="13">
        <v>0.50862568720184576</v>
      </c>
      <c r="BB36" s="13">
        <v>0.32993512478521914</v>
      </c>
      <c r="BC36" s="13">
        <v>0.32586018801376504</v>
      </c>
      <c r="BD36" s="13">
        <v>0.3262748564466853</v>
      </c>
      <c r="BE36" s="11">
        <v>0.49905962293632483</v>
      </c>
      <c r="BF36" s="13">
        <v>0.49983500189672408</v>
      </c>
      <c r="BG36" s="13">
        <v>0.50100851390782764</v>
      </c>
      <c r="BI36" s="9" t="s">
        <v>150</v>
      </c>
      <c r="BJ36" s="9" t="s">
        <v>172</v>
      </c>
      <c r="BK36" s="9" t="s">
        <v>173</v>
      </c>
      <c r="BL36" s="13">
        <v>0.44196701018794066</v>
      </c>
    </row>
    <row r="37" spans="2:64" x14ac:dyDescent="0.45">
      <c r="B37" s="8" t="s">
        <v>141</v>
      </c>
      <c r="C37" s="8" t="s">
        <v>31</v>
      </c>
      <c r="D37" s="12">
        <v>0.32518195291614554</v>
      </c>
      <c r="E37" s="12">
        <v>0.32674939274151094</v>
      </c>
      <c r="F37" s="12">
        <v>0.29781925446383722</v>
      </c>
      <c r="G37" s="12">
        <v>0.32440598359641076</v>
      </c>
      <c r="H37" s="12">
        <v>0.36962787375739414</v>
      </c>
      <c r="I37" s="12">
        <v>0.36297651291400307</v>
      </c>
      <c r="J37" s="12">
        <v>0.40273826892200365</v>
      </c>
      <c r="K37" s="12">
        <v>0.4385166923549772</v>
      </c>
      <c r="L37" s="12">
        <v>0.43012413015744427</v>
      </c>
      <c r="M37" s="12">
        <v>0.3296605776445603</v>
      </c>
      <c r="N37" s="12">
        <v>0.3572529394982189</v>
      </c>
      <c r="O37" s="12">
        <v>0.3515976682550358</v>
      </c>
      <c r="AU37" s="8" t="s">
        <v>141</v>
      </c>
      <c r="AV37" s="12">
        <v>0.47237120900577145</v>
      </c>
      <c r="AW37" s="12">
        <v>0.48209935273304322</v>
      </c>
      <c r="AX37" s="12">
        <v>0.51127077338671501</v>
      </c>
      <c r="AY37" s="12">
        <v>0.38248902432776316</v>
      </c>
      <c r="AZ37" s="12">
        <v>0.34343816659716575</v>
      </c>
      <c r="BA37" s="12">
        <v>0.37579000298453691</v>
      </c>
      <c r="BB37" s="12">
        <v>0.26411006549179317</v>
      </c>
      <c r="BC37" s="12">
        <v>0.2553022847995825</v>
      </c>
      <c r="BD37" s="12">
        <v>0.25559034678725495</v>
      </c>
      <c r="BE37" s="10">
        <v>0.4269034279726247</v>
      </c>
      <c r="BF37" s="12">
        <v>0.40844915200833393</v>
      </c>
      <c r="BG37" s="12">
        <v>0.43391842005688563</v>
      </c>
      <c r="BI37" s="8" t="s">
        <v>151</v>
      </c>
      <c r="BJ37" s="8" t="s">
        <v>172</v>
      </c>
      <c r="BK37" s="8" t="s">
        <v>173</v>
      </c>
      <c r="BL37" s="12">
        <v>0.45415932404300219</v>
      </c>
    </row>
    <row r="38" spans="2:64" x14ac:dyDescent="0.45">
      <c r="B38" s="9" t="s">
        <v>142</v>
      </c>
      <c r="C38" s="9" t="s">
        <v>31</v>
      </c>
      <c r="D38" s="13">
        <v>0.29275327331400308</v>
      </c>
      <c r="E38" s="13">
        <v>0.29705246459095991</v>
      </c>
      <c r="F38" s="13">
        <v>0.26339332359186168</v>
      </c>
      <c r="G38" s="13">
        <v>0.30252250655703472</v>
      </c>
      <c r="H38" s="13">
        <v>0.33978054811315306</v>
      </c>
      <c r="I38" s="13">
        <v>0.34953396222284866</v>
      </c>
      <c r="J38" s="13">
        <v>0.38893403475162586</v>
      </c>
      <c r="K38" s="13">
        <v>0.4241128873971321</v>
      </c>
      <c r="L38" s="13">
        <v>0.40522007501554008</v>
      </c>
      <c r="M38" s="13">
        <v>0.30967485507103432</v>
      </c>
      <c r="N38" s="13">
        <v>0.33830723689097425</v>
      </c>
      <c r="O38" s="13">
        <v>0.31793086172969687</v>
      </c>
      <c r="AU38" s="9" t="s">
        <v>142</v>
      </c>
      <c r="AV38" s="13">
        <v>0.59409290693671635</v>
      </c>
      <c r="AW38" s="13">
        <v>0.59826595615772049</v>
      </c>
      <c r="AX38" s="13">
        <v>0.64231446956063309</v>
      </c>
      <c r="AY38" s="13">
        <v>0.53271086082603381</v>
      </c>
      <c r="AZ38" s="13">
        <v>0.48622673231505553</v>
      </c>
      <c r="BA38" s="13">
        <v>0.52614622213353623</v>
      </c>
      <c r="BB38" s="13">
        <v>0.38467894975348821</v>
      </c>
      <c r="BC38" s="13">
        <v>0.34565799702867378</v>
      </c>
      <c r="BD38" s="13">
        <v>0.38459112411013996</v>
      </c>
      <c r="BE38" s="11">
        <v>0.53602642353854246</v>
      </c>
      <c r="BF38" s="13">
        <v>0.51255235197037452</v>
      </c>
      <c r="BG38" s="13">
        <v>0.54019361587544457</v>
      </c>
      <c r="BI38" s="9" t="s">
        <v>152</v>
      </c>
      <c r="BJ38" s="9" t="s">
        <v>172</v>
      </c>
      <c r="BK38" s="9" t="s">
        <v>173</v>
      </c>
      <c r="BL38" s="13">
        <v>0.44828542016875661</v>
      </c>
    </row>
    <row r="39" spans="2:64" x14ac:dyDescent="0.45">
      <c r="B39" s="8" t="s">
        <v>143</v>
      </c>
      <c r="C39" s="8" t="s">
        <v>31</v>
      </c>
      <c r="D39" s="12">
        <v>0.28927811571902917</v>
      </c>
      <c r="E39" s="12">
        <v>0.29764592565382042</v>
      </c>
      <c r="F39" s="12">
        <v>0.26546674570369155</v>
      </c>
      <c r="G39" s="12">
        <v>0.28520459482306809</v>
      </c>
      <c r="H39" s="12">
        <v>0.33260414440903341</v>
      </c>
      <c r="I39" s="12">
        <v>0.32767026993009724</v>
      </c>
      <c r="J39" s="12">
        <v>0.37179495743263635</v>
      </c>
      <c r="K39" s="12">
        <v>0.38539804430354685</v>
      </c>
      <c r="L39" s="12">
        <v>0.39126494405978124</v>
      </c>
      <c r="M39" s="12">
        <v>0.32015834310084024</v>
      </c>
      <c r="N39" s="12">
        <v>0.33509148246751547</v>
      </c>
      <c r="O39" s="12">
        <v>0.33063610712490471</v>
      </c>
      <c r="AU39" s="8" t="s">
        <v>143</v>
      </c>
      <c r="AV39" s="12">
        <v>0.60010060998921</v>
      </c>
      <c r="AW39" s="12">
        <v>0.61007709494946527</v>
      </c>
      <c r="AX39" s="12">
        <v>0.64206873489157001</v>
      </c>
      <c r="AY39" s="12">
        <v>0.56133618124574469</v>
      </c>
      <c r="AZ39" s="12">
        <v>0.51541836912916172</v>
      </c>
      <c r="BA39" s="12">
        <v>0.54316219240625496</v>
      </c>
      <c r="BB39" s="12">
        <v>0.37780539274249597</v>
      </c>
      <c r="BC39" s="12">
        <v>0.34574224317671248</v>
      </c>
      <c r="BD39" s="12">
        <v>0.36446174998348957</v>
      </c>
      <c r="BE39" s="10">
        <v>0.54104320824854879</v>
      </c>
      <c r="BF39" s="12">
        <v>0.52541697950311017</v>
      </c>
      <c r="BG39" s="12">
        <v>0.53242527845860277</v>
      </c>
      <c r="BI39" s="8" t="s">
        <v>153</v>
      </c>
      <c r="BJ39" s="8" t="s">
        <v>172</v>
      </c>
      <c r="BK39" s="8" t="s">
        <v>173</v>
      </c>
      <c r="BL39" s="12">
        <v>0.46812809268534256</v>
      </c>
    </row>
    <row r="40" spans="2:64" x14ac:dyDescent="0.45">
      <c r="B40" s="9" t="s">
        <v>144</v>
      </c>
      <c r="C40" s="9" t="s">
        <v>31</v>
      </c>
      <c r="D40" s="13">
        <v>0.30465736552815609</v>
      </c>
      <c r="E40" s="13">
        <v>0.31057724213356558</v>
      </c>
      <c r="F40" s="13">
        <v>0.27705551474270074</v>
      </c>
      <c r="G40" s="13">
        <v>0.31228210882207985</v>
      </c>
      <c r="H40" s="13">
        <v>0.35445165465747974</v>
      </c>
      <c r="I40" s="13">
        <v>0.35424857632447715</v>
      </c>
      <c r="J40" s="13">
        <v>0.40143238022899769</v>
      </c>
      <c r="K40" s="13">
        <v>0.41748730694483893</v>
      </c>
      <c r="L40" s="13">
        <v>0.42165379243331613</v>
      </c>
      <c r="M40" s="13">
        <v>0.32417129000543643</v>
      </c>
      <c r="N40" s="13">
        <v>0.35013698341606098</v>
      </c>
      <c r="O40" s="13">
        <v>0.33376588596748114</v>
      </c>
      <c r="AU40" s="9" t="s">
        <v>144</v>
      </c>
      <c r="AV40" s="13">
        <v>0.55953008548819871</v>
      </c>
      <c r="AW40" s="13">
        <v>0.57271849452855927</v>
      </c>
      <c r="AX40" s="13">
        <v>0.60516106263158898</v>
      </c>
      <c r="AY40" s="13">
        <v>0.48060068566116609</v>
      </c>
      <c r="AZ40" s="13">
        <v>0.44220109908764826</v>
      </c>
      <c r="BA40" s="13">
        <v>0.46564870604875197</v>
      </c>
      <c r="BB40" s="13">
        <v>0.33082688182010128</v>
      </c>
      <c r="BC40" s="13">
        <v>0.31468977588206393</v>
      </c>
      <c r="BD40" s="13">
        <v>0.32202093544478544</v>
      </c>
      <c r="BE40" s="11">
        <v>0.50981940536425163</v>
      </c>
      <c r="BF40" s="13">
        <v>0.48541323082439275</v>
      </c>
      <c r="BG40" s="13">
        <v>0.50380971639001926</v>
      </c>
      <c r="BI40" s="9" t="s">
        <v>154</v>
      </c>
      <c r="BJ40" s="9" t="s">
        <v>172</v>
      </c>
      <c r="BK40" s="9" t="s">
        <v>173</v>
      </c>
      <c r="BL40" s="13">
        <v>0.49182262691355516</v>
      </c>
    </row>
    <row r="41" spans="2:64" x14ac:dyDescent="0.45">
      <c r="B41" s="8" t="s">
        <v>145</v>
      </c>
      <c r="C41" s="8" t="s">
        <v>31</v>
      </c>
      <c r="D41" s="12">
        <v>0.3507593187279297</v>
      </c>
      <c r="E41" s="12">
        <v>0.37930651911534891</v>
      </c>
      <c r="F41" s="12">
        <v>0.37561909356990481</v>
      </c>
      <c r="G41" s="12">
        <v>0.31884151381083231</v>
      </c>
      <c r="H41" s="12">
        <v>0.37476134088285229</v>
      </c>
      <c r="I41" s="12">
        <v>0.37185439715707985</v>
      </c>
      <c r="J41" s="12">
        <v>0.33314154629214454</v>
      </c>
      <c r="K41" s="12">
        <v>0.44812984076925083</v>
      </c>
      <c r="L41" s="12">
        <v>0.43211949391754462</v>
      </c>
      <c r="M41" s="12">
        <v>0.3552539706607577</v>
      </c>
      <c r="N41" s="12">
        <v>0.41130195342877668</v>
      </c>
      <c r="O41" s="12">
        <v>0.37390683674244063</v>
      </c>
      <c r="AU41" s="8" t="s">
        <v>145</v>
      </c>
      <c r="AV41" s="12">
        <v>0.42948756100385038</v>
      </c>
      <c r="AW41" s="12">
        <v>0.3956633030110196</v>
      </c>
      <c r="AX41" s="12">
        <v>0.42887562938780699</v>
      </c>
      <c r="AY41" s="12">
        <v>0.34752292665857742</v>
      </c>
      <c r="AZ41" s="12">
        <v>0.26728490787934722</v>
      </c>
      <c r="BA41" s="12">
        <v>0.27836508763564988</v>
      </c>
      <c r="BB41" s="12">
        <v>0.18068886601432901</v>
      </c>
      <c r="BC41" s="12">
        <v>0.12382988533367435</v>
      </c>
      <c r="BD41" s="12">
        <v>0.13577404789944891</v>
      </c>
      <c r="BE41" s="10">
        <v>0.33353324145581348</v>
      </c>
      <c r="BF41" s="12">
        <v>0.27209573118912433</v>
      </c>
      <c r="BG41" s="12">
        <v>0.31878061944004399</v>
      </c>
      <c r="BI41" s="8" t="s">
        <v>155</v>
      </c>
      <c r="BJ41" s="8" t="s">
        <v>172</v>
      </c>
      <c r="BK41" s="8" t="s">
        <v>173</v>
      </c>
      <c r="BL41" s="12">
        <v>0.38186032259932551</v>
      </c>
    </row>
    <row r="42" spans="2:64" x14ac:dyDescent="0.45">
      <c r="B42" s="9" t="s">
        <v>146</v>
      </c>
      <c r="C42" s="9" t="s">
        <v>31</v>
      </c>
      <c r="D42" s="13">
        <v>0.32640097595461576</v>
      </c>
      <c r="E42" s="13">
        <v>0.36652970525711631</v>
      </c>
      <c r="F42" s="13">
        <v>0.34239645876479136</v>
      </c>
      <c r="G42" s="13">
        <v>0.33631845844293612</v>
      </c>
      <c r="H42" s="13">
        <v>0.42713354378739893</v>
      </c>
      <c r="I42" s="13">
        <v>0.37298710811476993</v>
      </c>
      <c r="J42" s="13">
        <v>0.32699376895971977</v>
      </c>
      <c r="K42" s="13">
        <v>0.45860443988032323</v>
      </c>
      <c r="L42" s="13">
        <v>0.42699245417708198</v>
      </c>
      <c r="M42" s="13">
        <v>0.35487917129688151</v>
      </c>
      <c r="N42" s="13">
        <v>0.43203984003277612</v>
      </c>
      <c r="O42" s="13">
        <v>0.37140602390614369</v>
      </c>
      <c r="AU42" s="9" t="s">
        <v>146</v>
      </c>
      <c r="AV42" s="13">
        <v>0.40790014847953276</v>
      </c>
      <c r="AW42" s="13">
        <v>0.37919067362563108</v>
      </c>
      <c r="AX42" s="13">
        <v>0.41774123659133883</v>
      </c>
      <c r="AY42" s="13">
        <v>0.320586034519246</v>
      </c>
      <c r="AZ42" s="13">
        <v>0.24906488733444093</v>
      </c>
      <c r="BA42" s="13">
        <v>0.27013681828020786</v>
      </c>
      <c r="BB42" s="13">
        <v>0.15980712762795377</v>
      </c>
      <c r="BC42" s="13">
        <v>0.11761498954536752</v>
      </c>
      <c r="BD42" s="13">
        <v>0.13820394905319389</v>
      </c>
      <c r="BE42" s="11">
        <v>0.31404909914663032</v>
      </c>
      <c r="BF42" s="13">
        <v>0.25605499214875227</v>
      </c>
      <c r="BG42" s="13">
        <v>0.31910562113178154</v>
      </c>
      <c r="BI42" s="9" t="s">
        <v>156</v>
      </c>
      <c r="BJ42" s="9" t="s">
        <v>172</v>
      </c>
      <c r="BK42" s="9" t="s">
        <v>173</v>
      </c>
      <c r="BL42" s="13">
        <v>0.40810043795875456</v>
      </c>
    </row>
    <row r="43" spans="2:64" x14ac:dyDescent="0.45">
      <c r="B43" s="8" t="s">
        <v>147</v>
      </c>
      <c r="C43" s="8" t="s">
        <v>31</v>
      </c>
      <c r="D43" s="12">
        <v>0.35256600726490078</v>
      </c>
      <c r="E43" s="12">
        <v>0.35933912573686011</v>
      </c>
      <c r="F43" s="12">
        <v>0.36064633183994504</v>
      </c>
      <c r="G43" s="12">
        <v>0.33205902982855634</v>
      </c>
      <c r="H43" s="12">
        <v>0.38853557587333726</v>
      </c>
      <c r="I43" s="12">
        <v>0.39208165067931505</v>
      </c>
      <c r="J43" s="12">
        <v>0.33565320594253106</v>
      </c>
      <c r="K43" s="12">
        <v>0.46385028387377542</v>
      </c>
      <c r="L43" s="12">
        <v>0.44938585791272539</v>
      </c>
      <c r="M43" s="12">
        <v>0.38148978993432164</v>
      </c>
      <c r="N43" s="12">
        <v>0.41403516726929712</v>
      </c>
      <c r="O43" s="12">
        <v>0.37778252599454609</v>
      </c>
      <c r="AU43" s="8" t="s">
        <v>147</v>
      </c>
      <c r="AV43" s="12">
        <v>0.4322381136532995</v>
      </c>
      <c r="AW43" s="12">
        <v>0.40838809967338185</v>
      </c>
      <c r="AX43" s="12">
        <v>0.43051049272140035</v>
      </c>
      <c r="AY43" s="12">
        <v>0.34270764973853562</v>
      </c>
      <c r="AZ43" s="12">
        <v>0.29082271959744027</v>
      </c>
      <c r="BA43" s="12">
        <v>0.2926981846879953</v>
      </c>
      <c r="BB43" s="12">
        <v>0.17868403365196753</v>
      </c>
      <c r="BC43" s="12">
        <v>0.13302852956574873</v>
      </c>
      <c r="BD43" s="12">
        <v>0.14943014301348764</v>
      </c>
      <c r="BE43" s="10">
        <v>0.33289218416732547</v>
      </c>
      <c r="BF43" s="12">
        <v>0.27766142580485431</v>
      </c>
      <c r="BG43" s="12">
        <v>0.31943428342827862</v>
      </c>
      <c r="BI43" s="8" t="s">
        <v>157</v>
      </c>
      <c r="BJ43" s="8" t="s">
        <v>172</v>
      </c>
      <c r="BK43" s="8" t="s">
        <v>173</v>
      </c>
      <c r="BL43" s="12">
        <v>0.38774898801614494</v>
      </c>
    </row>
    <row r="44" spans="2:64" x14ac:dyDescent="0.45">
      <c r="B44" s="9" t="s">
        <v>148</v>
      </c>
      <c r="C44" s="9" t="s">
        <v>31</v>
      </c>
      <c r="D44" s="13">
        <v>0.31798684779534969</v>
      </c>
      <c r="E44" s="13">
        <v>0.33882702906941997</v>
      </c>
      <c r="F44" s="13">
        <v>0.32979747931487058</v>
      </c>
      <c r="G44" s="13">
        <v>0.31996989546756566</v>
      </c>
      <c r="H44" s="13">
        <v>0.41074918865043053</v>
      </c>
      <c r="I44" s="13">
        <v>0.37593902276247038</v>
      </c>
      <c r="J44" s="13">
        <v>0.34275680307838324</v>
      </c>
      <c r="K44" s="13">
        <v>0.44695487517908522</v>
      </c>
      <c r="L44" s="13">
        <v>0.38468782971216858</v>
      </c>
      <c r="M44" s="13">
        <v>0.34219411273260031</v>
      </c>
      <c r="N44" s="13">
        <v>0.40339950605900599</v>
      </c>
      <c r="O44" s="13">
        <v>0.39235510634791565</v>
      </c>
      <c r="AU44" s="9" t="s">
        <v>148</v>
      </c>
      <c r="AV44" s="13">
        <v>0.45424382549379411</v>
      </c>
      <c r="AW44" s="13">
        <v>0.42533448969126658</v>
      </c>
      <c r="AX44" s="13">
        <v>0.45793127731197342</v>
      </c>
      <c r="AY44" s="13">
        <v>0.36835026829181267</v>
      </c>
      <c r="AZ44" s="13">
        <v>0.29849495210395988</v>
      </c>
      <c r="BA44" s="13">
        <v>0.31934457047399883</v>
      </c>
      <c r="BB44" s="13">
        <v>0.17605753702637664</v>
      </c>
      <c r="BC44" s="13">
        <v>0.12685591926977463</v>
      </c>
      <c r="BD44" s="13">
        <v>0.13170879411017819</v>
      </c>
      <c r="BE44" s="11">
        <v>0.36679377567897237</v>
      </c>
      <c r="BF44" s="13">
        <v>0.30688417890077663</v>
      </c>
      <c r="BG44" s="13">
        <v>0.34604908117843014</v>
      </c>
      <c r="BI44" s="9" t="s">
        <v>158</v>
      </c>
      <c r="BJ44" s="9" t="s">
        <v>172</v>
      </c>
      <c r="BK44" s="9" t="s">
        <v>173</v>
      </c>
      <c r="BL44" s="13">
        <v>0.41319411753678281</v>
      </c>
    </row>
    <row r="45" spans="2:64" x14ac:dyDescent="0.45">
      <c r="B45" s="8" t="s">
        <v>149</v>
      </c>
      <c r="C45" s="8" t="s">
        <v>31</v>
      </c>
      <c r="D45" s="12">
        <v>0.32671569382257948</v>
      </c>
      <c r="E45" s="12">
        <v>0.34741531970461981</v>
      </c>
      <c r="F45" s="12">
        <v>0.32458077551587988</v>
      </c>
      <c r="G45" s="12">
        <v>0.31440282747327314</v>
      </c>
      <c r="H45" s="12">
        <v>0.35489035659225793</v>
      </c>
      <c r="I45" s="12">
        <v>0.3642951087019794</v>
      </c>
      <c r="J45" s="12">
        <v>0.34328994822229042</v>
      </c>
      <c r="K45" s="12">
        <v>0.47293093793318064</v>
      </c>
      <c r="L45" s="12">
        <v>0.42164350016855667</v>
      </c>
      <c r="M45" s="12">
        <v>0.37165665577713342</v>
      </c>
      <c r="N45" s="12">
        <v>0.38893535571060978</v>
      </c>
      <c r="O45" s="12">
        <v>0.37531905207567628</v>
      </c>
      <c r="AU45" s="8" t="s">
        <v>149</v>
      </c>
      <c r="AV45" s="12">
        <v>0.44404727147559903</v>
      </c>
      <c r="AW45" s="12">
        <v>0.41572848902395809</v>
      </c>
      <c r="AX45" s="12">
        <v>0.44284784139373617</v>
      </c>
      <c r="AY45" s="12">
        <v>0.35457953071442544</v>
      </c>
      <c r="AZ45" s="12">
        <v>0.29121792738048036</v>
      </c>
      <c r="BA45" s="12">
        <v>0.31399858757038518</v>
      </c>
      <c r="BB45" s="12">
        <v>0.19281814697811248</v>
      </c>
      <c r="BC45" s="12">
        <v>0.16151209743175871</v>
      </c>
      <c r="BD45" s="12">
        <v>0.18388412999239487</v>
      </c>
      <c r="BE45" s="10">
        <v>0.34531826966398826</v>
      </c>
      <c r="BF45" s="12">
        <v>0.30733821789867327</v>
      </c>
      <c r="BG45" s="12">
        <v>0.34297814049294745</v>
      </c>
      <c r="BI45" s="8" t="s">
        <v>159</v>
      </c>
      <c r="BJ45" s="8" t="s">
        <v>172</v>
      </c>
      <c r="BK45" s="8" t="s">
        <v>173</v>
      </c>
      <c r="BL45" s="12">
        <v>0.19754873865951125</v>
      </c>
    </row>
    <row r="46" spans="2:64" x14ac:dyDescent="0.45">
      <c r="B46" s="9" t="s">
        <v>150</v>
      </c>
      <c r="C46" s="9" t="s">
        <v>31</v>
      </c>
      <c r="D46" s="13">
        <v>0.34436267024418837</v>
      </c>
      <c r="E46" s="13">
        <v>0.37443004607165725</v>
      </c>
      <c r="F46" s="13">
        <v>0.3497162416164683</v>
      </c>
      <c r="G46" s="13">
        <v>0.30713684182769529</v>
      </c>
      <c r="H46" s="13">
        <v>0.35801840035578936</v>
      </c>
      <c r="I46" s="13">
        <v>0.37522021619423179</v>
      </c>
      <c r="J46" s="13">
        <v>0.35044693682015315</v>
      </c>
      <c r="K46" s="13">
        <v>0.44272003394574799</v>
      </c>
      <c r="L46" s="13">
        <v>0.41929707724304677</v>
      </c>
      <c r="M46" s="13">
        <v>0.34634419514749298</v>
      </c>
      <c r="N46" s="13">
        <v>0.39094696856653882</v>
      </c>
      <c r="O46" s="13">
        <v>0.34730469355978966</v>
      </c>
      <c r="AU46" s="9" t="s">
        <v>150</v>
      </c>
      <c r="AV46" s="13">
        <v>0.43416088460638069</v>
      </c>
      <c r="AW46" s="13">
        <v>0.41010057027747715</v>
      </c>
      <c r="AX46" s="13">
        <v>0.44205658060160824</v>
      </c>
      <c r="AY46" s="13">
        <v>0.36548000223807225</v>
      </c>
      <c r="AZ46" s="13">
        <v>0.28563821340678203</v>
      </c>
      <c r="BA46" s="13">
        <v>0.28927390987126045</v>
      </c>
      <c r="BB46" s="13">
        <v>0.19776503264238066</v>
      </c>
      <c r="BC46" s="13">
        <v>0.15392056922192349</v>
      </c>
      <c r="BD46" s="13">
        <v>0.17149160321713947</v>
      </c>
      <c r="BE46" s="11">
        <v>0.3513715729983426</v>
      </c>
      <c r="BF46" s="13">
        <v>0.30690476130087085</v>
      </c>
      <c r="BG46" s="13">
        <v>0.35596485960444424</v>
      </c>
      <c r="BI46" s="9" t="s">
        <v>160</v>
      </c>
      <c r="BJ46" s="9" t="s">
        <v>172</v>
      </c>
      <c r="BK46" s="9" t="s">
        <v>173</v>
      </c>
      <c r="BL46" s="13">
        <v>0.47037394455849146</v>
      </c>
    </row>
    <row r="47" spans="2:64" x14ac:dyDescent="0.45">
      <c r="B47" s="8" t="s">
        <v>151</v>
      </c>
      <c r="C47" s="8" t="s">
        <v>31</v>
      </c>
      <c r="D47" s="12">
        <v>0.33970720749588595</v>
      </c>
      <c r="E47" s="12">
        <v>0.35106824399388897</v>
      </c>
      <c r="F47" s="12">
        <v>0.34307343690639314</v>
      </c>
      <c r="G47" s="12">
        <v>0.31961744548850329</v>
      </c>
      <c r="H47" s="12">
        <v>0.36726644300843914</v>
      </c>
      <c r="I47" s="12">
        <v>0.36633183689200105</v>
      </c>
      <c r="J47" s="12">
        <v>0.34683854795778302</v>
      </c>
      <c r="K47" s="12">
        <v>0.44946981914961082</v>
      </c>
      <c r="L47" s="12">
        <v>0.41285378553992996</v>
      </c>
      <c r="M47" s="12">
        <v>0.3571524436985139</v>
      </c>
      <c r="N47" s="12">
        <v>0.41462693475807089</v>
      </c>
      <c r="O47" s="12">
        <v>0.36629971901936764</v>
      </c>
      <c r="AU47" s="8" t="s">
        <v>151</v>
      </c>
      <c r="AV47" s="12">
        <v>0.45415932404300219</v>
      </c>
      <c r="AW47" s="12">
        <v>0.42599743908639748</v>
      </c>
      <c r="AX47" s="12">
        <v>0.44935143992535764</v>
      </c>
      <c r="AY47" s="12">
        <v>0.37059777749682837</v>
      </c>
      <c r="AZ47" s="12">
        <v>0.30111380423306461</v>
      </c>
      <c r="BA47" s="12">
        <v>0.32388606268130632</v>
      </c>
      <c r="BB47" s="12">
        <v>0.19581462397028529</v>
      </c>
      <c r="BC47" s="12">
        <v>0.15461117940833038</v>
      </c>
      <c r="BD47" s="12">
        <v>0.18746585255876</v>
      </c>
      <c r="BE47" s="10">
        <v>0.34856816975567706</v>
      </c>
      <c r="BF47" s="12">
        <v>0.29890828730000968</v>
      </c>
      <c r="BG47" s="12">
        <v>0.34444000501817512</v>
      </c>
      <c r="BI47" s="8" t="s">
        <v>161</v>
      </c>
      <c r="BJ47" s="8" t="s">
        <v>172</v>
      </c>
      <c r="BK47" s="8" t="s">
        <v>173</v>
      </c>
      <c r="BL47" s="12">
        <v>0.32984077422711283</v>
      </c>
    </row>
    <row r="48" spans="2:64" x14ac:dyDescent="0.45">
      <c r="B48" s="9" t="s">
        <v>152</v>
      </c>
      <c r="C48" s="9" t="s">
        <v>31</v>
      </c>
      <c r="D48" s="13">
        <v>0.33399413595301181</v>
      </c>
      <c r="E48" s="13">
        <v>0.36017702420799497</v>
      </c>
      <c r="F48" s="13">
        <v>0.33073861146064271</v>
      </c>
      <c r="G48" s="13">
        <v>0.3301009100400531</v>
      </c>
      <c r="H48" s="13">
        <v>0.38228633123073247</v>
      </c>
      <c r="I48" s="13">
        <v>0.38433666216030399</v>
      </c>
      <c r="J48" s="13">
        <v>0.37981092456108245</v>
      </c>
      <c r="K48" s="13">
        <v>0.46130660700525289</v>
      </c>
      <c r="L48" s="13">
        <v>0.39665927030440046</v>
      </c>
      <c r="M48" s="13">
        <v>0.3727744081117409</v>
      </c>
      <c r="N48" s="13">
        <v>0.40492347112720323</v>
      </c>
      <c r="O48" s="13">
        <v>0.38705162054078934</v>
      </c>
      <c r="AU48" s="9" t="s">
        <v>152</v>
      </c>
      <c r="AV48" s="13">
        <v>0.4482919707586191</v>
      </c>
      <c r="AW48" s="13">
        <v>0.40746491963358039</v>
      </c>
      <c r="AX48" s="13">
        <v>0.44116115748839285</v>
      </c>
      <c r="AY48" s="13">
        <v>0.32993471607475983</v>
      </c>
      <c r="AZ48" s="13">
        <v>0.27569131326716745</v>
      </c>
      <c r="BA48" s="13">
        <v>0.28564671492343663</v>
      </c>
      <c r="BB48" s="13">
        <v>0.18678189834992459</v>
      </c>
      <c r="BC48" s="13">
        <v>0.17247187298344169</v>
      </c>
      <c r="BD48" s="13">
        <v>0.18993950868848408</v>
      </c>
      <c r="BE48" s="11">
        <v>0.35102647680828147</v>
      </c>
      <c r="BF48" s="13">
        <v>0.31218459789698577</v>
      </c>
      <c r="BG48" s="13">
        <v>0.34171663491376214</v>
      </c>
      <c r="BI48" s="9" t="s">
        <v>162</v>
      </c>
      <c r="BJ48" s="9" t="s">
        <v>172</v>
      </c>
      <c r="BK48" s="9" t="s">
        <v>173</v>
      </c>
      <c r="BL48" s="13">
        <v>0.34306485279285243</v>
      </c>
    </row>
    <row r="49" spans="2:64" x14ac:dyDescent="0.45">
      <c r="B49" s="8" t="s">
        <v>153</v>
      </c>
      <c r="C49" s="8" t="s">
        <v>31</v>
      </c>
      <c r="D49" s="12">
        <v>0.33638011852947886</v>
      </c>
      <c r="E49" s="12">
        <v>0.34765958536988267</v>
      </c>
      <c r="F49" s="12">
        <v>0.32656071899309358</v>
      </c>
      <c r="G49" s="12">
        <v>0.31952875280547194</v>
      </c>
      <c r="H49" s="12">
        <v>0.37382001191963832</v>
      </c>
      <c r="I49" s="12">
        <v>0.36407435091616419</v>
      </c>
      <c r="J49" s="12">
        <v>0.39667683044245661</v>
      </c>
      <c r="K49" s="12">
        <v>0.46487039103558486</v>
      </c>
      <c r="L49" s="12">
        <v>0.43711060707486249</v>
      </c>
      <c r="M49" s="12">
        <v>0.34397283540127654</v>
      </c>
      <c r="N49" s="12">
        <v>0.40645401173903634</v>
      </c>
      <c r="O49" s="12">
        <v>0.37993771800915427</v>
      </c>
      <c r="AU49" s="8" t="s">
        <v>153</v>
      </c>
      <c r="AV49" s="12">
        <v>0.46768816578791061</v>
      </c>
      <c r="AW49" s="12">
        <v>0.44210059044668887</v>
      </c>
      <c r="AX49" s="12">
        <v>0.46813096866514348</v>
      </c>
      <c r="AY49" s="12">
        <v>0.35649372773726046</v>
      </c>
      <c r="AZ49" s="12">
        <v>0.29121623381964312</v>
      </c>
      <c r="BA49" s="12">
        <v>0.30883599371263548</v>
      </c>
      <c r="BB49" s="12">
        <v>0.20359591828086959</v>
      </c>
      <c r="BC49" s="12">
        <v>0.18929701902417578</v>
      </c>
      <c r="BD49" s="12">
        <v>0.20295365843172303</v>
      </c>
      <c r="BE49" s="10">
        <v>0.38069339000786756</v>
      </c>
      <c r="BF49" s="12">
        <v>0.34120715946561198</v>
      </c>
      <c r="BG49" s="12">
        <v>0.38015314310272119</v>
      </c>
      <c r="BI49" s="8" t="s">
        <v>163</v>
      </c>
      <c r="BJ49" s="8" t="s">
        <v>172</v>
      </c>
      <c r="BK49" s="8" t="s">
        <v>173</v>
      </c>
      <c r="BL49" s="12">
        <v>0.39765897939195255</v>
      </c>
    </row>
    <row r="50" spans="2:64" x14ac:dyDescent="0.45">
      <c r="B50" s="9" t="s">
        <v>154</v>
      </c>
      <c r="C50" s="9" t="s">
        <v>31</v>
      </c>
      <c r="D50" s="13">
        <v>0.33629650174765868</v>
      </c>
      <c r="E50" s="13">
        <v>0.33405333881080795</v>
      </c>
      <c r="F50" s="13">
        <v>0.31856845484988772</v>
      </c>
      <c r="G50" s="13">
        <v>0.31887436110413275</v>
      </c>
      <c r="H50" s="13">
        <v>0.35740072417947316</v>
      </c>
      <c r="I50" s="13">
        <v>0.35331081165167944</v>
      </c>
      <c r="J50" s="13">
        <v>0.35881214223209695</v>
      </c>
      <c r="K50" s="13">
        <v>0.41773113700223169</v>
      </c>
      <c r="L50" s="13">
        <v>0.38991379025286926</v>
      </c>
      <c r="M50" s="13">
        <v>0.31989972789256371</v>
      </c>
      <c r="N50" s="13">
        <v>0.34361846948583918</v>
      </c>
      <c r="O50" s="13">
        <v>0.34241824502801804</v>
      </c>
      <c r="AU50" s="9" t="s">
        <v>154</v>
      </c>
      <c r="AV50" s="13">
        <v>0.46526033497312003</v>
      </c>
      <c r="AW50" s="13">
        <v>0.46927159206622709</v>
      </c>
      <c r="AX50" s="13">
        <v>0.4918302820527376</v>
      </c>
      <c r="AY50" s="13">
        <v>0.37774489720008397</v>
      </c>
      <c r="AZ50" s="13">
        <v>0.33568842201924981</v>
      </c>
      <c r="BA50" s="13">
        <v>0.32840843252446178</v>
      </c>
      <c r="BB50" s="13">
        <v>0.23072238207887938</v>
      </c>
      <c r="BC50" s="13">
        <v>0.24656828095764916</v>
      </c>
      <c r="BD50" s="13">
        <v>0.23158155932034891</v>
      </c>
      <c r="BE50" s="11">
        <v>0.4276139051342896</v>
      </c>
      <c r="BF50" s="13">
        <v>0.40235150106773165</v>
      </c>
      <c r="BG50" s="13">
        <v>0.42009222695238363</v>
      </c>
      <c r="BI50" s="9" t="s">
        <v>164</v>
      </c>
      <c r="BJ50" s="9" t="s">
        <v>172</v>
      </c>
      <c r="BK50" s="9" t="s">
        <v>173</v>
      </c>
      <c r="BL50" s="13">
        <v>0.4115216841857684</v>
      </c>
    </row>
    <row r="51" spans="2:64" x14ac:dyDescent="0.45">
      <c r="B51" s="8" t="s">
        <v>155</v>
      </c>
      <c r="C51" s="8" t="s">
        <v>31</v>
      </c>
      <c r="D51" s="12">
        <v>0.37543075841322543</v>
      </c>
      <c r="E51" s="12">
        <v>0.40077233413293151</v>
      </c>
      <c r="F51" s="12">
        <v>0.36253843136413377</v>
      </c>
      <c r="G51" s="12">
        <v>0.3470163308377891</v>
      </c>
      <c r="H51" s="12">
        <v>0.41877840109365605</v>
      </c>
      <c r="I51" s="12">
        <v>0.37910500985701828</v>
      </c>
      <c r="J51" s="12">
        <v>0.41805021644757118</v>
      </c>
      <c r="K51" s="12">
        <v>0.50459066380086126</v>
      </c>
      <c r="L51" s="12">
        <v>0.44356969908063976</v>
      </c>
      <c r="M51" s="12">
        <v>0.36297746834987982</v>
      </c>
      <c r="N51" s="12">
        <v>0.36168196682212927</v>
      </c>
      <c r="O51" s="12">
        <v>0.38011245131666827</v>
      </c>
      <c r="AU51" s="8" t="s">
        <v>155</v>
      </c>
      <c r="AV51" s="12">
        <v>0.3510970037736641</v>
      </c>
      <c r="AW51" s="12">
        <v>0.35474805893060157</v>
      </c>
      <c r="AX51" s="12">
        <v>0.38194063215509949</v>
      </c>
      <c r="AY51" s="12">
        <v>0.2461448678113819</v>
      </c>
      <c r="AZ51" s="12">
        <v>0.22103005545128723</v>
      </c>
      <c r="BA51" s="12">
        <v>0.23017729822907987</v>
      </c>
      <c r="BB51" s="12">
        <v>0.16442739676116461</v>
      </c>
      <c r="BC51" s="12">
        <v>0.13868272978975499</v>
      </c>
      <c r="BD51" s="12">
        <v>0.1255775830711939</v>
      </c>
      <c r="BE51" s="10">
        <v>0.31314237849093318</v>
      </c>
      <c r="BF51" s="12">
        <v>0.30537402186798923</v>
      </c>
      <c r="BG51" s="12">
        <v>0.28919809832378679</v>
      </c>
      <c r="BI51" s="8" t="s">
        <v>135</v>
      </c>
      <c r="BJ51" s="8" t="s">
        <v>172</v>
      </c>
      <c r="BK51" s="8" t="s">
        <v>173</v>
      </c>
      <c r="BL51" s="12">
        <v>0.42175205219088946</v>
      </c>
    </row>
    <row r="52" spans="2:64" x14ac:dyDescent="0.45">
      <c r="B52" s="9" t="s">
        <v>156</v>
      </c>
      <c r="C52" s="9" t="s">
        <v>31</v>
      </c>
      <c r="D52" s="13">
        <v>0.372621370122308</v>
      </c>
      <c r="E52" s="13">
        <v>0.38321576704459404</v>
      </c>
      <c r="F52" s="13">
        <v>0.35962106037742203</v>
      </c>
      <c r="G52" s="13">
        <v>0.32168255569018317</v>
      </c>
      <c r="H52" s="13">
        <v>0.4110132995305133</v>
      </c>
      <c r="I52" s="13">
        <v>0.39339518623679193</v>
      </c>
      <c r="J52" s="13">
        <v>0.35606067265235941</v>
      </c>
      <c r="K52" s="13">
        <v>0.49630298320361338</v>
      </c>
      <c r="L52" s="13">
        <v>0.44982820853835331</v>
      </c>
      <c r="M52" s="13">
        <v>0.34590824002595616</v>
      </c>
      <c r="N52" s="13">
        <v>0.35368424693072986</v>
      </c>
      <c r="O52" s="13">
        <v>0.37087226962649766</v>
      </c>
      <c r="AU52" s="9" t="s">
        <v>156</v>
      </c>
      <c r="AV52" s="13">
        <v>0.39099624364222463</v>
      </c>
      <c r="AW52" s="13">
        <v>0.39069262169753965</v>
      </c>
      <c r="AX52" s="13">
        <v>0.40810043795875456</v>
      </c>
      <c r="AY52" s="13">
        <v>0.31665518721040764</v>
      </c>
      <c r="AZ52" s="13">
        <v>0.24120211196126137</v>
      </c>
      <c r="BA52" s="13">
        <v>0.25551638628275436</v>
      </c>
      <c r="BB52" s="13">
        <v>0.20949470621951752</v>
      </c>
      <c r="BC52" s="13">
        <v>0.18260758033911739</v>
      </c>
      <c r="BD52" s="13">
        <v>0.17073437039978426</v>
      </c>
      <c r="BE52" s="11">
        <v>0.36228458644215294</v>
      </c>
      <c r="BF52" s="13">
        <v>0.32975814114426782</v>
      </c>
      <c r="BG52" s="13">
        <v>0.34903837014946759</v>
      </c>
      <c r="BI52" s="9" t="s">
        <v>136</v>
      </c>
      <c r="BJ52" s="9" t="s">
        <v>172</v>
      </c>
      <c r="BK52" s="9" t="s">
        <v>173</v>
      </c>
      <c r="BL52" s="13">
        <v>0.62233843017546842</v>
      </c>
    </row>
    <row r="53" spans="2:64" x14ac:dyDescent="0.45">
      <c r="B53" s="8" t="s">
        <v>157</v>
      </c>
      <c r="C53" s="8" t="s">
        <v>31</v>
      </c>
      <c r="D53" s="12">
        <v>0.37315514121012283</v>
      </c>
      <c r="E53" s="12">
        <v>0.41391003397965093</v>
      </c>
      <c r="F53" s="12">
        <v>0.37677472025578668</v>
      </c>
      <c r="G53" s="12">
        <v>0.30564428322093568</v>
      </c>
      <c r="H53" s="12">
        <v>0.40215682426673027</v>
      </c>
      <c r="I53" s="12">
        <v>0.38300843815175273</v>
      </c>
      <c r="J53" s="12">
        <v>0.37095363877671983</v>
      </c>
      <c r="K53" s="12">
        <v>0.50607415621660978</v>
      </c>
      <c r="L53" s="12">
        <v>0.48518415084996885</v>
      </c>
      <c r="M53" s="12">
        <v>0.35360594001624474</v>
      </c>
      <c r="N53" s="12">
        <v>0.36593438384705229</v>
      </c>
      <c r="O53" s="12">
        <v>0.35651906234993852</v>
      </c>
      <c r="AU53" s="8" t="s">
        <v>157</v>
      </c>
      <c r="AV53" s="12">
        <v>0.37599218700170073</v>
      </c>
      <c r="AW53" s="12">
        <v>0.36355224442947204</v>
      </c>
      <c r="AX53" s="12">
        <v>0.38774898801614494</v>
      </c>
      <c r="AY53" s="12">
        <v>0.32159372798037505</v>
      </c>
      <c r="AZ53" s="12">
        <v>0.24891953020618118</v>
      </c>
      <c r="BA53" s="12">
        <v>0.26162384387749466</v>
      </c>
      <c r="BB53" s="12">
        <v>0.20488300853763206</v>
      </c>
      <c r="BC53" s="12">
        <v>0.16280512595917757</v>
      </c>
      <c r="BD53" s="12">
        <v>0.15300412782382372</v>
      </c>
      <c r="BE53" s="10">
        <v>0.35325045380039438</v>
      </c>
      <c r="BF53" s="12">
        <v>0.31443124203905154</v>
      </c>
      <c r="BG53" s="12">
        <v>0.33830102518871702</v>
      </c>
      <c r="BI53" s="8" t="s">
        <v>137</v>
      </c>
      <c r="BJ53" s="8" t="s">
        <v>172</v>
      </c>
      <c r="BK53" s="8" t="s">
        <v>173</v>
      </c>
      <c r="BL53" s="12">
        <v>0.53960545863036991</v>
      </c>
    </row>
    <row r="54" spans="2:64" x14ac:dyDescent="0.45">
      <c r="B54" s="9" t="s">
        <v>158</v>
      </c>
      <c r="C54" s="9" t="s">
        <v>31</v>
      </c>
      <c r="D54" s="13">
        <v>0.35977411070727067</v>
      </c>
      <c r="E54" s="13">
        <v>0.37525545213711098</v>
      </c>
      <c r="F54" s="13">
        <v>0.34207606987134243</v>
      </c>
      <c r="G54" s="13">
        <v>0.3165611593287106</v>
      </c>
      <c r="H54" s="13">
        <v>0.39321740141877709</v>
      </c>
      <c r="I54" s="13">
        <v>0.41059172596480309</v>
      </c>
      <c r="J54" s="13">
        <v>0.35506646138852543</v>
      </c>
      <c r="K54" s="13">
        <v>0.47625739575755566</v>
      </c>
      <c r="L54" s="13">
        <v>0.42699612269138304</v>
      </c>
      <c r="M54" s="13">
        <v>0.34744726038659557</v>
      </c>
      <c r="N54" s="13">
        <v>0.36797642057055913</v>
      </c>
      <c r="O54" s="13">
        <v>0.34981682489751348</v>
      </c>
      <c r="AU54" s="9" t="s">
        <v>158</v>
      </c>
      <c r="AV54" s="13">
        <v>0.39347483217372109</v>
      </c>
      <c r="AW54" s="13">
        <v>0.38340620978715967</v>
      </c>
      <c r="AX54" s="13">
        <v>0.41323895094385787</v>
      </c>
      <c r="AY54" s="13">
        <v>0.33704208049091505</v>
      </c>
      <c r="AZ54" s="13">
        <v>0.26414334142649676</v>
      </c>
      <c r="BA54" s="13">
        <v>0.26513452255725589</v>
      </c>
      <c r="BB54" s="13">
        <v>0.19497943134392404</v>
      </c>
      <c r="BC54" s="13">
        <v>0.17461895220539</v>
      </c>
      <c r="BD54" s="13">
        <v>0.17814977529316237</v>
      </c>
      <c r="BE54" s="11">
        <v>0.34774494897552749</v>
      </c>
      <c r="BF54" s="13">
        <v>0.32048698799595349</v>
      </c>
      <c r="BG54" s="13">
        <v>0.36068156564114057</v>
      </c>
      <c r="BI54" s="9" t="s">
        <v>138</v>
      </c>
      <c r="BJ54" s="9" t="s">
        <v>172</v>
      </c>
      <c r="BK54" s="9" t="s">
        <v>173</v>
      </c>
      <c r="BL54" s="13">
        <v>0.62874898827293024</v>
      </c>
    </row>
    <row r="55" spans="2:64" x14ac:dyDescent="0.45">
      <c r="B55" s="8" t="s">
        <v>159</v>
      </c>
      <c r="C55" s="8" t="s">
        <v>31</v>
      </c>
      <c r="D55" s="12">
        <v>0.47963741153422312</v>
      </c>
      <c r="E55" s="12">
        <v>0.50152031918945439</v>
      </c>
      <c r="F55" s="12">
        <v>0.45842187105274629</v>
      </c>
      <c r="G55" s="12">
        <v>0.48204290466657707</v>
      </c>
      <c r="H55" s="12">
        <v>0.47752024624471467</v>
      </c>
      <c r="I55" s="12">
        <v>0.43000149721872472</v>
      </c>
      <c r="J55" s="12">
        <v>0.46231403782235087</v>
      </c>
      <c r="K55" s="12">
        <v>0.46786226618747945</v>
      </c>
      <c r="L55" s="12">
        <v>0.36625717812128339</v>
      </c>
      <c r="M55" s="12">
        <v>0.47041381720450159</v>
      </c>
      <c r="N55" s="12">
        <v>0.48729822885161239</v>
      </c>
      <c r="O55" s="12">
        <v>0.45240683292064149</v>
      </c>
      <c r="AU55" s="8" t="s">
        <v>159</v>
      </c>
      <c r="AV55" s="12">
        <v>0.18755108536348097</v>
      </c>
      <c r="AW55" s="12">
        <v>0.18707466439667075</v>
      </c>
      <c r="AX55" s="12">
        <v>0.19754873865951125</v>
      </c>
      <c r="AY55" s="12">
        <v>0.1073856196610832</v>
      </c>
      <c r="AZ55" s="12">
        <v>0.12122161930401772</v>
      </c>
      <c r="BA55" s="12">
        <v>0.12978940057298594</v>
      </c>
      <c r="BB55" s="12">
        <v>3.6419518224876164E-2</v>
      </c>
      <c r="BC55" s="12">
        <v>5.8457739111846187E-2</v>
      </c>
      <c r="BD55" s="12">
        <v>6.9402634372388569E-2</v>
      </c>
      <c r="BE55" s="10">
        <v>0.12325627947454552</v>
      </c>
      <c r="BF55" s="12">
        <v>0.13035219078801638</v>
      </c>
      <c r="BG55" s="12">
        <v>0.15292434366895646</v>
      </c>
      <c r="BI55" s="8" t="s">
        <v>139</v>
      </c>
      <c r="BJ55" s="8" t="s">
        <v>172</v>
      </c>
      <c r="BK55" s="8" t="s">
        <v>173</v>
      </c>
      <c r="BL55" s="12">
        <v>0.62168655034705689</v>
      </c>
    </row>
    <row r="56" spans="2:64" x14ac:dyDescent="0.45">
      <c r="B56" s="9" t="s">
        <v>160</v>
      </c>
      <c r="C56" s="9" t="s">
        <v>31</v>
      </c>
      <c r="D56" s="13">
        <v>0.33969778577529458</v>
      </c>
      <c r="E56" s="13">
        <v>0.36120593834428955</v>
      </c>
      <c r="F56" s="13">
        <v>0.33811200333142027</v>
      </c>
      <c r="G56" s="13">
        <v>0.39805303559781341</v>
      </c>
      <c r="H56" s="13">
        <v>0.44893504000442513</v>
      </c>
      <c r="I56" s="13">
        <v>0.382950311560733</v>
      </c>
      <c r="J56" s="13">
        <v>0.4005901640121296</v>
      </c>
      <c r="K56" s="13">
        <v>0.48083732623581227</v>
      </c>
      <c r="L56" s="13">
        <v>0.37731484118048486</v>
      </c>
      <c r="M56" s="13">
        <v>0.37105776420871733</v>
      </c>
      <c r="N56" s="13">
        <v>0.42301129610307842</v>
      </c>
      <c r="O56" s="13">
        <v>0.38789580844317517</v>
      </c>
      <c r="AU56" s="9" t="s">
        <v>160</v>
      </c>
      <c r="AV56" s="13">
        <v>0.45436922356597143</v>
      </c>
      <c r="AW56" s="13">
        <v>0.43059295359556826</v>
      </c>
      <c r="AX56" s="13">
        <v>0.47157106867779353</v>
      </c>
      <c r="AY56" s="13">
        <v>0.28963101603570768</v>
      </c>
      <c r="AZ56" s="13">
        <v>0.27303704718827881</v>
      </c>
      <c r="BA56" s="13">
        <v>0.28815580086063181</v>
      </c>
      <c r="BB56" s="13">
        <v>0.13004081730175804</v>
      </c>
      <c r="BC56" s="13">
        <v>0.12013895745535011</v>
      </c>
      <c r="BD56" s="13">
        <v>0.12076536088474095</v>
      </c>
      <c r="BE56" s="11">
        <v>0.35403370700564007</v>
      </c>
      <c r="BF56" s="13">
        <v>0.33157129844871319</v>
      </c>
      <c r="BG56" s="13">
        <v>0.34430133503576937</v>
      </c>
      <c r="BI56" s="9" t="s">
        <v>140</v>
      </c>
      <c r="BJ56" s="9" t="s">
        <v>172</v>
      </c>
      <c r="BK56" s="9" t="s">
        <v>173</v>
      </c>
      <c r="BL56" s="13">
        <v>0.61279089815627086</v>
      </c>
    </row>
    <row r="57" spans="2:64" x14ac:dyDescent="0.45">
      <c r="B57" s="8" t="s">
        <v>161</v>
      </c>
      <c r="C57" s="8" t="s">
        <v>31</v>
      </c>
      <c r="D57" s="12">
        <v>0.36359691608157052</v>
      </c>
      <c r="E57" s="12">
        <v>0.40046957769102315</v>
      </c>
      <c r="F57" s="12">
        <v>0.36746025621849959</v>
      </c>
      <c r="G57" s="12">
        <v>0.40296466017372301</v>
      </c>
      <c r="H57" s="12">
        <v>0.43977625033317003</v>
      </c>
      <c r="I57" s="12">
        <v>0.36194928951723032</v>
      </c>
      <c r="J57" s="12">
        <v>0.38273505724164264</v>
      </c>
      <c r="K57" s="12">
        <v>0.48455730153459214</v>
      </c>
      <c r="L57" s="12">
        <v>0.40074986386562295</v>
      </c>
      <c r="M57" s="12">
        <v>0.38182946756206942</v>
      </c>
      <c r="N57" s="12">
        <v>0.43543052744710159</v>
      </c>
      <c r="O57" s="12">
        <v>0.39044476270148548</v>
      </c>
      <c r="AU57" s="8" t="s">
        <v>161</v>
      </c>
      <c r="AV57" s="12">
        <v>0.31725589769161749</v>
      </c>
      <c r="AW57" s="12">
        <v>0.30218073679002094</v>
      </c>
      <c r="AX57" s="12">
        <v>0.32989631782544893</v>
      </c>
      <c r="AY57" s="12">
        <v>0.23105180343248208</v>
      </c>
      <c r="AZ57" s="12">
        <v>0.21641048855123152</v>
      </c>
      <c r="BA57" s="12">
        <v>0.22306225925173437</v>
      </c>
      <c r="BB57" s="12">
        <v>0.11223036081097237</v>
      </c>
      <c r="BC57" s="12">
        <v>0.10781460073372755</v>
      </c>
      <c r="BD57" s="12">
        <v>0.12394874405422307</v>
      </c>
      <c r="BE57" s="10">
        <v>0.25620255742005538</v>
      </c>
      <c r="BF57" s="12">
        <v>0.2347556933343859</v>
      </c>
      <c r="BG57" s="12">
        <v>0.28530711185986041</v>
      </c>
      <c r="BI57" s="8" t="s">
        <v>141</v>
      </c>
      <c r="BJ57" s="8" t="s">
        <v>172</v>
      </c>
      <c r="BK57" s="8" t="s">
        <v>173</v>
      </c>
      <c r="BL57" s="12">
        <v>0.51127077338671501</v>
      </c>
    </row>
    <row r="58" spans="2:64" x14ac:dyDescent="0.45">
      <c r="B58" s="9" t="s">
        <v>162</v>
      </c>
      <c r="C58" s="9" t="s">
        <v>31</v>
      </c>
      <c r="D58" s="13">
        <v>0.38268626869221573</v>
      </c>
      <c r="E58" s="13">
        <v>0.4222557146200655</v>
      </c>
      <c r="F58" s="13">
        <v>0.39378589637550648</v>
      </c>
      <c r="G58" s="13">
        <v>0.3590989307758809</v>
      </c>
      <c r="H58" s="13">
        <v>0.41301068481754788</v>
      </c>
      <c r="I58" s="13">
        <v>0.38600667583711851</v>
      </c>
      <c r="J58" s="13">
        <v>0.4080615172536336</v>
      </c>
      <c r="K58" s="13">
        <v>0.46693604202790306</v>
      </c>
      <c r="L58" s="13">
        <v>0.39086258215160469</v>
      </c>
      <c r="M58" s="13">
        <v>0.39475625201263809</v>
      </c>
      <c r="N58" s="13">
        <v>0.38255927818431074</v>
      </c>
      <c r="O58" s="13">
        <v>0.3758587569677071</v>
      </c>
      <c r="AU58" s="9" t="s">
        <v>162</v>
      </c>
      <c r="AV58" s="13">
        <v>0.31888618965703625</v>
      </c>
      <c r="AW58" s="13">
        <v>0.31278464598829286</v>
      </c>
      <c r="AX58" s="13">
        <v>0.34311302084878265</v>
      </c>
      <c r="AY58" s="13">
        <v>0.23790075708449188</v>
      </c>
      <c r="AZ58" s="13">
        <v>0.24122703420953023</v>
      </c>
      <c r="BA58" s="13">
        <v>0.25127034222136996</v>
      </c>
      <c r="BB58" s="13">
        <v>0.13056913110480189</v>
      </c>
      <c r="BC58" s="13">
        <v>0.1293514925421107</v>
      </c>
      <c r="BD58" s="13">
        <v>0.12535496433575397</v>
      </c>
      <c r="BE58" s="11">
        <v>0.26073395450280418</v>
      </c>
      <c r="BF58" s="13">
        <v>0.27301199500993845</v>
      </c>
      <c r="BG58" s="13">
        <v>0.27868060097642222</v>
      </c>
      <c r="BI58" s="9" t="s">
        <v>142</v>
      </c>
      <c r="BJ58" s="9" t="s">
        <v>172</v>
      </c>
      <c r="BK58" s="9" t="s">
        <v>173</v>
      </c>
      <c r="BL58" s="13">
        <v>0.64231446956063309</v>
      </c>
    </row>
    <row r="59" spans="2:64" x14ac:dyDescent="0.45">
      <c r="B59" s="8" t="s">
        <v>163</v>
      </c>
      <c r="C59" s="8" t="s">
        <v>31</v>
      </c>
      <c r="D59" s="12">
        <v>0.35112076974005646</v>
      </c>
      <c r="E59" s="12">
        <v>0.39214895323989002</v>
      </c>
      <c r="F59" s="12">
        <v>0.33978332579664011</v>
      </c>
      <c r="G59" s="12">
        <v>0.3415866516404929</v>
      </c>
      <c r="H59" s="12">
        <v>0.41774572599388099</v>
      </c>
      <c r="I59" s="12">
        <v>0.36653999669856463</v>
      </c>
      <c r="J59" s="12">
        <v>0.35808677910538267</v>
      </c>
      <c r="K59" s="12">
        <v>0.49250475596487292</v>
      </c>
      <c r="L59" s="12">
        <v>0.44935044296212506</v>
      </c>
      <c r="M59" s="12">
        <v>0.36375303833001132</v>
      </c>
      <c r="N59" s="12">
        <v>0.42582142025364556</v>
      </c>
      <c r="O59" s="12">
        <v>0.35049042257295399</v>
      </c>
      <c r="AU59" s="8" t="s">
        <v>163</v>
      </c>
      <c r="AV59" s="12">
        <v>0.36576147827018229</v>
      </c>
      <c r="AW59" s="12">
        <v>0.35691810290078119</v>
      </c>
      <c r="AX59" s="12">
        <v>0.39799626585589143</v>
      </c>
      <c r="AY59" s="12">
        <v>0.26838086288337282</v>
      </c>
      <c r="AZ59" s="12">
        <v>0.21060598208591788</v>
      </c>
      <c r="BA59" s="12">
        <v>0.23756465588568254</v>
      </c>
      <c r="BB59" s="12">
        <v>0.1369039306215922</v>
      </c>
      <c r="BC59" s="12">
        <v>0.11702170865243842</v>
      </c>
      <c r="BD59" s="12">
        <v>0.11992818749786362</v>
      </c>
      <c r="BE59" s="10">
        <v>0.28110243720383105</v>
      </c>
      <c r="BF59" s="12">
        <v>0.2521231529537028</v>
      </c>
      <c r="BG59" s="12">
        <v>0.31231400359606015</v>
      </c>
      <c r="BI59" s="8" t="s">
        <v>143</v>
      </c>
      <c r="BJ59" s="8" t="s">
        <v>172</v>
      </c>
      <c r="BK59" s="8" t="s">
        <v>173</v>
      </c>
      <c r="BL59" s="12">
        <v>0.64206873489157001</v>
      </c>
    </row>
    <row r="60" spans="2:64" x14ac:dyDescent="0.45">
      <c r="B60" s="9" t="s">
        <v>164</v>
      </c>
      <c r="C60" s="9" t="s">
        <v>31</v>
      </c>
      <c r="D60" s="13">
        <v>0.36168083491868158</v>
      </c>
      <c r="E60" s="13">
        <v>0.38922607183063801</v>
      </c>
      <c r="F60" s="13">
        <v>0.36930814453968119</v>
      </c>
      <c r="G60" s="13">
        <v>0.34613413572587798</v>
      </c>
      <c r="H60" s="13">
        <v>0.40987205547561878</v>
      </c>
      <c r="I60" s="13">
        <v>0.39455805843669417</v>
      </c>
      <c r="J60" s="13">
        <v>0.38832151406614085</v>
      </c>
      <c r="K60" s="13">
        <v>0.46800781194847879</v>
      </c>
      <c r="L60" s="13">
        <v>0.42742301576443431</v>
      </c>
      <c r="M60" s="13">
        <v>0.37979761588705024</v>
      </c>
      <c r="N60" s="13">
        <v>0.42647486650450039</v>
      </c>
      <c r="O60" s="13">
        <v>0.36121200776947759</v>
      </c>
      <c r="AU60" s="9" t="s">
        <v>164</v>
      </c>
      <c r="AV60" s="13">
        <v>0.38800648138762034</v>
      </c>
      <c r="AW60" s="13">
        <v>0.37836596001793943</v>
      </c>
      <c r="AX60" s="13">
        <v>0.41153290174427964</v>
      </c>
      <c r="AY60" s="13">
        <v>0.27333484067689107</v>
      </c>
      <c r="AZ60" s="13">
        <v>0.23511859754093936</v>
      </c>
      <c r="BA60" s="13">
        <v>0.2469868560778716</v>
      </c>
      <c r="BB60" s="13">
        <v>0.13565395522544896</v>
      </c>
      <c r="BC60" s="13">
        <v>0.12291597606858666</v>
      </c>
      <c r="BD60" s="13">
        <v>0.11459829471193103</v>
      </c>
      <c r="BE60" s="11">
        <v>0.28948042807928426</v>
      </c>
      <c r="BF60" s="13">
        <v>0.27681174513590157</v>
      </c>
      <c r="BG60" s="13">
        <v>0.30477813229051082</v>
      </c>
      <c r="BI60" s="9" t="s">
        <v>144</v>
      </c>
      <c r="BJ60" s="9" t="s">
        <v>172</v>
      </c>
      <c r="BK60" s="9" t="s">
        <v>173</v>
      </c>
      <c r="BL60" s="13">
        <v>0.60516106263158898</v>
      </c>
    </row>
  </sheetData>
  <mergeCells count="1">
    <mergeCell ref="A1:L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75473-ECF1-478C-B5D7-1C92C3C38BE4}">
  <dimension ref="A1:H22"/>
  <sheetViews>
    <sheetView workbookViewId="0">
      <selection sqref="A1:H1"/>
    </sheetView>
  </sheetViews>
  <sheetFormatPr defaultRowHeight="14.25" x14ac:dyDescent="0.45"/>
  <cols>
    <col min="2" max="4" width="10.59765625" customWidth="1"/>
    <col min="5" max="5" width="13.06640625" bestFit="1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>
      <c r="B9" s="6" t="str">
        <f>IF(A11="x","DeActivated","~TFM_DINS-AT")</f>
        <v>~TFM_DINS-AT</v>
      </c>
    </row>
    <row r="10" spans="1:8" ht="15.75" thickBot="1" x14ac:dyDescent="0.6">
      <c r="B10" s="7" t="s">
        <v>174</v>
      </c>
      <c r="C10" s="7" t="s">
        <v>50</v>
      </c>
      <c r="D10" s="7" t="s">
        <v>49</v>
      </c>
      <c r="E10" s="7" t="s">
        <v>48</v>
      </c>
    </row>
    <row r="11" spans="1:8" x14ac:dyDescent="0.45">
      <c r="B11" s="12">
        <v>0.11426940639269406</v>
      </c>
      <c r="C11" s="12">
        <v>0.16087081189037786</v>
      </c>
      <c r="D11" s="8" t="s">
        <v>53</v>
      </c>
      <c r="E11" s="8" t="s">
        <v>175</v>
      </c>
    </row>
    <row r="12" spans="1:8" x14ac:dyDescent="0.45">
      <c r="B12" s="13">
        <v>0.11426940639269406</v>
      </c>
      <c r="C12" s="13">
        <v>5.2547713165767528E-2</v>
      </c>
      <c r="D12" s="9" t="s">
        <v>55</v>
      </c>
      <c r="E12" s="9" t="s">
        <v>175</v>
      </c>
    </row>
    <row r="13" spans="1:8" x14ac:dyDescent="0.45">
      <c r="B13" s="12">
        <v>2.0776255707762557E-2</v>
      </c>
      <c r="C13" s="12">
        <v>3.5896543437005365E-2</v>
      </c>
      <c r="D13" s="8" t="s">
        <v>56</v>
      </c>
      <c r="E13" s="8" t="s">
        <v>175</v>
      </c>
    </row>
    <row r="14" spans="1:8" x14ac:dyDescent="0.45">
      <c r="B14" s="13">
        <v>0.11552511415525114</v>
      </c>
      <c r="C14" s="13">
        <v>0.16263862301005233</v>
      </c>
      <c r="D14" s="9" t="s">
        <v>57</v>
      </c>
      <c r="E14" s="9" t="s">
        <v>175</v>
      </c>
    </row>
    <row r="15" spans="1:8" x14ac:dyDescent="0.45">
      <c r="B15" s="12">
        <v>0.11552511415525114</v>
      </c>
      <c r="C15" s="12">
        <v>5.3125160563193538E-2</v>
      </c>
      <c r="D15" s="8" t="s">
        <v>58</v>
      </c>
      <c r="E15" s="8" t="s">
        <v>175</v>
      </c>
    </row>
    <row r="16" spans="1:8" x14ac:dyDescent="0.45">
      <c r="B16" s="13">
        <v>2.1004566210045664E-2</v>
      </c>
      <c r="C16" s="13">
        <v>3.6291010947302131E-2</v>
      </c>
      <c r="D16" s="9" t="s">
        <v>59</v>
      </c>
      <c r="E16" s="9" t="s">
        <v>175</v>
      </c>
    </row>
    <row r="17" spans="2:5" x14ac:dyDescent="0.45">
      <c r="B17" s="12">
        <v>0.11552511415525114</v>
      </c>
      <c r="C17" s="12">
        <v>0.16263862301005233</v>
      </c>
      <c r="D17" s="8" t="s">
        <v>60</v>
      </c>
      <c r="E17" s="8" t="s">
        <v>175</v>
      </c>
    </row>
    <row r="18" spans="2:5" x14ac:dyDescent="0.45">
      <c r="B18" s="13">
        <v>0.11552511415525114</v>
      </c>
      <c r="C18" s="13">
        <v>5.3125160563193538E-2</v>
      </c>
      <c r="D18" s="9" t="s">
        <v>61</v>
      </c>
      <c r="E18" s="9" t="s">
        <v>175</v>
      </c>
    </row>
    <row r="19" spans="2:5" x14ac:dyDescent="0.45">
      <c r="B19" s="12">
        <v>2.1004566210045664E-2</v>
      </c>
      <c r="C19" s="12">
        <v>3.6291010947302131E-2</v>
      </c>
      <c r="D19" s="8" t="s">
        <v>62</v>
      </c>
      <c r="E19" s="8" t="s">
        <v>175</v>
      </c>
    </row>
    <row r="20" spans="2:5" x14ac:dyDescent="0.45">
      <c r="B20" s="13">
        <v>0.11301369863013698</v>
      </c>
      <c r="C20" s="13">
        <v>0.15910300077070333</v>
      </c>
      <c r="D20" s="9" t="s">
        <v>63</v>
      </c>
      <c r="E20" s="9" t="s">
        <v>175</v>
      </c>
    </row>
    <row r="21" spans="2:5" x14ac:dyDescent="0.45">
      <c r="B21" s="12">
        <v>0.11301369863013698</v>
      </c>
      <c r="C21" s="12">
        <v>5.197026576834151E-2</v>
      </c>
      <c r="D21" s="8" t="s">
        <v>64</v>
      </c>
      <c r="E21" s="8" t="s">
        <v>175</v>
      </c>
    </row>
    <row r="22" spans="2:5" x14ac:dyDescent="0.45">
      <c r="B22" s="13">
        <v>2.0547945205479451E-2</v>
      </c>
      <c r="C22" s="13">
        <v>3.5502075926708607E-2</v>
      </c>
      <c r="D22" s="9" t="s">
        <v>65</v>
      </c>
      <c r="E22" s="9" t="s">
        <v>175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F1A0-F0F2-42D7-802F-A2B0B044EFAD}">
  <dimension ref="A1:H34"/>
  <sheetViews>
    <sheetView workbookViewId="0">
      <selection sqref="A1:H1"/>
    </sheetView>
  </sheetViews>
  <sheetFormatPr defaultRowHeight="14.25" x14ac:dyDescent="0.45"/>
  <cols>
    <col min="2" max="2" width="10.59765625" bestFit="1" customWidth="1"/>
    <col min="3" max="4" width="10.59765625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>
      <c r="B9" s="6" t="str">
        <f>IF(A11="x","DeActivated","~TFM_DINS-AT")</f>
        <v>~TFM_DINS-AT</v>
      </c>
    </row>
    <row r="10" spans="1:8" ht="15.75" thickBot="1" x14ac:dyDescent="0.6">
      <c r="B10" s="7" t="s">
        <v>48</v>
      </c>
      <c r="C10" s="7" t="s">
        <v>49</v>
      </c>
      <c r="D10" s="7" t="s">
        <v>50</v>
      </c>
    </row>
    <row r="11" spans="1:8" x14ac:dyDescent="0.45">
      <c r="B11" s="8" t="s">
        <v>179</v>
      </c>
      <c r="C11" s="8" t="s">
        <v>53</v>
      </c>
      <c r="D11" s="12">
        <v>0.11905442039713914</v>
      </c>
    </row>
    <row r="12" spans="1:8" x14ac:dyDescent="0.45">
      <c r="B12" s="9" t="s">
        <v>179</v>
      </c>
      <c r="C12" s="9" t="s">
        <v>55</v>
      </c>
      <c r="D12" s="13">
        <v>0.10255806366814166</v>
      </c>
    </row>
    <row r="13" spans="1:8" x14ac:dyDescent="0.45">
      <c r="B13" s="8" t="s">
        <v>179</v>
      </c>
      <c r="C13" s="8" t="s">
        <v>56</v>
      </c>
      <c r="D13" s="12">
        <v>2.2269250910741382E-2</v>
      </c>
    </row>
    <row r="14" spans="1:8" x14ac:dyDescent="0.45">
      <c r="B14" s="9" t="s">
        <v>179</v>
      </c>
      <c r="C14" s="9" t="s">
        <v>57</v>
      </c>
      <c r="D14" s="13">
        <v>0.12362288913967295</v>
      </c>
    </row>
    <row r="15" spans="1:8" x14ac:dyDescent="0.45">
      <c r="B15" s="8" t="s">
        <v>179</v>
      </c>
      <c r="C15" s="8" t="s">
        <v>58</v>
      </c>
      <c r="D15" s="12">
        <v>0.10622549800455597</v>
      </c>
    </row>
    <row r="16" spans="1:8" x14ac:dyDescent="0.45">
      <c r="B16" s="9" t="s">
        <v>179</v>
      </c>
      <c r="C16" s="9" t="s">
        <v>59</v>
      </c>
      <c r="D16" s="13">
        <v>2.2986217550983422E-2</v>
      </c>
    </row>
    <row r="17" spans="2:4" x14ac:dyDescent="0.45">
      <c r="B17" s="8" t="s">
        <v>179</v>
      </c>
      <c r="C17" s="8" t="s">
        <v>60</v>
      </c>
      <c r="D17" s="12">
        <v>0.11818866020862354</v>
      </c>
    </row>
    <row r="18" spans="2:4" x14ac:dyDescent="0.45">
      <c r="B18" s="9" t="s">
        <v>179</v>
      </c>
      <c r="C18" s="9" t="s">
        <v>61</v>
      </c>
      <c r="D18" s="13">
        <v>9.9694257613176823E-2</v>
      </c>
    </row>
    <row r="19" spans="2:4" x14ac:dyDescent="0.45">
      <c r="B19" s="8" t="s">
        <v>179</v>
      </c>
      <c r="C19" s="8" t="s">
        <v>62</v>
      </c>
      <c r="D19" s="12">
        <v>2.2149256444750597E-2</v>
      </c>
    </row>
    <row r="20" spans="2:4" x14ac:dyDescent="0.45">
      <c r="B20" s="9" t="s">
        <v>179</v>
      </c>
      <c r="C20" s="9" t="s">
        <v>63</v>
      </c>
      <c r="D20" s="13">
        <v>0.12821225490849228</v>
      </c>
    </row>
    <row r="21" spans="2:4" x14ac:dyDescent="0.45">
      <c r="B21" s="8" t="s">
        <v>179</v>
      </c>
      <c r="C21" s="8" t="s">
        <v>64</v>
      </c>
      <c r="D21" s="12">
        <v>0.11130371449077642</v>
      </c>
    </row>
    <row r="22" spans="2:4" x14ac:dyDescent="0.45">
      <c r="B22" s="9" t="s">
        <v>179</v>
      </c>
      <c r="C22" s="9" t="s">
        <v>65</v>
      </c>
      <c r="D22" s="13">
        <v>2.3735516662945821E-2</v>
      </c>
    </row>
    <row r="23" spans="2:4" x14ac:dyDescent="0.45">
      <c r="B23" s="8" t="s">
        <v>180</v>
      </c>
      <c r="C23" s="8" t="s">
        <v>53</v>
      </c>
      <c r="D23" s="12">
        <v>0.1148716036738849</v>
      </c>
    </row>
    <row r="24" spans="2:4" x14ac:dyDescent="0.45">
      <c r="B24" s="9" t="s">
        <v>180</v>
      </c>
      <c r="C24" s="9" t="s">
        <v>55</v>
      </c>
      <c r="D24" s="13">
        <v>0.11345846473345103</v>
      </c>
    </row>
    <row r="25" spans="2:4" x14ac:dyDescent="0.45">
      <c r="B25" s="8" t="s">
        <v>180</v>
      </c>
      <c r="C25" s="8" t="s">
        <v>56</v>
      </c>
      <c r="D25" s="12">
        <v>2.0939113978062127E-2</v>
      </c>
    </row>
    <row r="26" spans="2:4" x14ac:dyDescent="0.45">
      <c r="B26" s="9" t="s">
        <v>180</v>
      </c>
      <c r="C26" s="9" t="s">
        <v>57</v>
      </c>
      <c r="D26" s="13">
        <v>0.11619120065454192</v>
      </c>
    </row>
    <row r="27" spans="2:4" x14ac:dyDescent="0.45">
      <c r="B27" s="8" t="s">
        <v>180</v>
      </c>
      <c r="C27" s="8" t="s">
        <v>58</v>
      </c>
      <c r="D27" s="12">
        <v>0.11470087577378951</v>
      </c>
    </row>
    <row r="28" spans="2:4" x14ac:dyDescent="0.45">
      <c r="B28" s="9" t="s">
        <v>180</v>
      </c>
      <c r="C28" s="9" t="s">
        <v>59</v>
      </c>
      <c r="D28" s="13">
        <v>2.116930381966883E-2</v>
      </c>
    </row>
    <row r="29" spans="2:4" x14ac:dyDescent="0.45">
      <c r="B29" s="8" t="s">
        <v>180</v>
      </c>
      <c r="C29" s="8" t="s">
        <v>60</v>
      </c>
      <c r="D29" s="12">
        <v>0.11617878515350658</v>
      </c>
    </row>
    <row r="30" spans="2:4" x14ac:dyDescent="0.45">
      <c r="B30" s="9" t="s">
        <v>180</v>
      </c>
      <c r="C30" s="9" t="s">
        <v>61</v>
      </c>
      <c r="D30" s="13">
        <v>0.11459448621301711</v>
      </c>
    </row>
    <row r="31" spans="2:4" x14ac:dyDescent="0.45">
      <c r="B31" s="8" t="s">
        <v>180</v>
      </c>
      <c r="C31" s="8" t="s">
        <v>62</v>
      </c>
      <c r="D31" s="12">
        <v>2.1179988571855705E-2</v>
      </c>
    </row>
    <row r="32" spans="2:4" x14ac:dyDescent="0.45">
      <c r="B32" s="9" t="s">
        <v>180</v>
      </c>
      <c r="C32" s="9" t="s">
        <v>63</v>
      </c>
      <c r="D32" s="13">
        <v>0.11372546497287449</v>
      </c>
    </row>
    <row r="33" spans="2:4" x14ac:dyDescent="0.45">
      <c r="B33" s="8" t="s">
        <v>180</v>
      </c>
      <c r="C33" s="8" t="s">
        <v>64</v>
      </c>
      <c r="D33" s="12">
        <v>0.11227701685292249</v>
      </c>
    </row>
    <row r="34" spans="2:4" x14ac:dyDescent="0.45">
      <c r="B34" s="9" t="s">
        <v>180</v>
      </c>
      <c r="C34" s="9" t="s">
        <v>65</v>
      </c>
      <c r="D34" s="13">
        <v>2.0713695602425357E-2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CF082-4453-40EC-A879-893710750520}">
  <dimension ref="A1:H22"/>
  <sheetViews>
    <sheetView workbookViewId="0">
      <selection sqref="A1:H1"/>
    </sheetView>
  </sheetViews>
  <sheetFormatPr defaultRowHeight="14.25" x14ac:dyDescent="0.45"/>
  <cols>
    <col min="2" max="2" width="10.59765625" bestFit="1" customWidth="1"/>
    <col min="3" max="4" width="10.59765625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>
      <c r="B9" s="6" t="str">
        <f>IF(A11="x","DeActivated","~TFM_DINS-AT")</f>
        <v>~TFM_DINS-AT</v>
      </c>
    </row>
    <row r="10" spans="1:8" ht="15.75" thickBot="1" x14ac:dyDescent="0.6">
      <c r="B10" s="7" t="s">
        <v>48</v>
      </c>
      <c r="C10" s="7" t="s">
        <v>49</v>
      </c>
      <c r="D10" s="7" t="s">
        <v>181</v>
      </c>
    </row>
    <row r="11" spans="1:8" x14ac:dyDescent="0.45">
      <c r="B11" s="8" t="s">
        <v>12</v>
      </c>
      <c r="C11" s="8" t="s">
        <v>53</v>
      </c>
      <c r="D11" s="12">
        <v>8.3291586702510134E-2</v>
      </c>
    </row>
    <row r="12" spans="1:8" x14ac:dyDescent="0.45">
      <c r="B12" s="9" t="s">
        <v>12</v>
      </c>
      <c r="C12" s="9" t="s">
        <v>55</v>
      </c>
      <c r="D12" s="13">
        <v>0.22245381752030347</v>
      </c>
    </row>
    <row r="13" spans="1:8" x14ac:dyDescent="0.45">
      <c r="B13" s="8" t="s">
        <v>12</v>
      </c>
      <c r="C13" s="8" t="s">
        <v>56</v>
      </c>
      <c r="D13" s="12">
        <v>4.818309224153694E-2</v>
      </c>
    </row>
    <row r="14" spans="1:8" x14ac:dyDescent="0.45">
      <c r="B14" s="9" t="s">
        <v>12</v>
      </c>
      <c r="C14" s="9" t="s">
        <v>57</v>
      </c>
      <c r="D14" s="13">
        <v>0.12553203441358796</v>
      </c>
    </row>
    <row r="15" spans="1:8" x14ac:dyDescent="0.45">
      <c r="B15" s="8" t="s">
        <v>12</v>
      </c>
      <c r="C15" s="8" t="s">
        <v>58</v>
      </c>
      <c r="D15" s="12">
        <v>0.27271755731017966</v>
      </c>
    </row>
    <row r="16" spans="1:8" x14ac:dyDescent="0.45">
      <c r="B16" s="9" t="s">
        <v>12</v>
      </c>
      <c r="C16" s="9" t="s">
        <v>59</v>
      </c>
      <c r="D16" s="13">
        <v>9.7197688050016717E-2</v>
      </c>
    </row>
    <row r="17" spans="2:4" x14ac:dyDescent="0.45">
      <c r="B17" s="8" t="s">
        <v>12</v>
      </c>
      <c r="C17" s="8" t="s">
        <v>60</v>
      </c>
      <c r="D17" s="12">
        <v>0.13219695277377475</v>
      </c>
    </row>
    <row r="18" spans="2:4" x14ac:dyDescent="0.45">
      <c r="B18" s="9" t="s">
        <v>12</v>
      </c>
      <c r="C18" s="9" t="s">
        <v>61</v>
      </c>
      <c r="D18" s="13">
        <v>0.27531118906943464</v>
      </c>
    </row>
    <row r="19" spans="2:4" x14ac:dyDescent="0.45">
      <c r="B19" s="8" t="s">
        <v>12</v>
      </c>
      <c r="C19" s="8" t="s">
        <v>62</v>
      </c>
      <c r="D19" s="12">
        <v>7.5608583715701894E-2</v>
      </c>
    </row>
    <row r="20" spans="2:4" x14ac:dyDescent="0.45">
      <c r="B20" s="9" t="s">
        <v>12</v>
      </c>
      <c r="C20" s="9" t="s">
        <v>63</v>
      </c>
      <c r="D20" s="13">
        <v>0.10085283825409119</v>
      </c>
    </row>
    <row r="21" spans="2:4" x14ac:dyDescent="0.45">
      <c r="B21" s="8" t="s">
        <v>12</v>
      </c>
      <c r="C21" s="8" t="s">
        <v>64</v>
      </c>
      <c r="D21" s="12">
        <v>0.214380705760159</v>
      </c>
    </row>
    <row r="22" spans="2:4" x14ac:dyDescent="0.45">
      <c r="B22" s="9" t="s">
        <v>12</v>
      </c>
      <c r="C22" s="9" t="s">
        <v>65</v>
      </c>
      <c r="D22" s="13">
        <v>5.9151060625885377E-2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B901-BC50-42D3-BF59-818924AC329E}">
  <dimension ref="A1:H126"/>
  <sheetViews>
    <sheetView tabSelected="1" workbookViewId="0"/>
  </sheetViews>
  <sheetFormatPr defaultRowHeight="14.25" x14ac:dyDescent="0.45"/>
  <cols>
    <col min="2" max="5" width="10.59765625" customWidth="1"/>
  </cols>
  <sheetData>
    <row r="1" spans="1:8" ht="22.0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</row>
    <row r="9" spans="1:8" ht="14.65" thickBot="1" x14ac:dyDescent="0.5">
      <c r="B9" s="6" t="str">
        <f>IF(A11="x","DeActivated","~TFM_INS-AT")</f>
        <v>~TFM_INS-AT</v>
      </c>
    </row>
    <row r="10" spans="1:8" ht="15.75" thickBot="1" x14ac:dyDescent="0.6">
      <c r="B10" s="18" t="s">
        <v>182</v>
      </c>
      <c r="C10" s="18" t="s">
        <v>49</v>
      </c>
      <c r="D10" s="18" t="s">
        <v>183</v>
      </c>
      <c r="E10" s="18" t="s">
        <v>184</v>
      </c>
    </row>
    <row r="11" spans="1:8" x14ac:dyDescent="0.45">
      <c r="B11" s="19">
        <v>2020</v>
      </c>
      <c r="C11" s="20" t="s">
        <v>37</v>
      </c>
      <c r="D11" s="21">
        <v>0.19110000000000002</v>
      </c>
      <c r="E11" s="20" t="s">
        <v>185</v>
      </c>
    </row>
    <row r="12" spans="1:8" x14ac:dyDescent="0.45">
      <c r="B12" s="22">
        <v>2020</v>
      </c>
      <c r="C12" s="23" t="s">
        <v>41</v>
      </c>
      <c r="D12" s="24">
        <v>0.17526666666666665</v>
      </c>
      <c r="E12" s="23" t="s">
        <v>185</v>
      </c>
    </row>
    <row r="13" spans="1:8" x14ac:dyDescent="0.45">
      <c r="B13" s="19">
        <v>2020</v>
      </c>
      <c r="C13" s="20" t="s">
        <v>43</v>
      </c>
      <c r="D13" s="21">
        <v>0.19456666666666667</v>
      </c>
      <c r="E13" s="20" t="s">
        <v>185</v>
      </c>
    </row>
    <row r="14" spans="1:8" x14ac:dyDescent="0.45">
      <c r="B14" s="22">
        <v>2020</v>
      </c>
      <c r="C14" s="23" t="s">
        <v>45</v>
      </c>
      <c r="D14" s="24">
        <v>0.1928</v>
      </c>
      <c r="E14" s="23" t="s">
        <v>185</v>
      </c>
    </row>
    <row r="15" spans="1:8" x14ac:dyDescent="0.45">
      <c r="B15" s="19">
        <v>2021</v>
      </c>
      <c r="C15" s="20" t="s">
        <v>37</v>
      </c>
      <c r="D15" s="21">
        <v>0.18889999999999998</v>
      </c>
      <c r="E15" s="20" t="s">
        <v>185</v>
      </c>
    </row>
    <row r="16" spans="1:8" x14ac:dyDescent="0.45">
      <c r="B16" s="22">
        <v>2021</v>
      </c>
      <c r="C16" s="23" t="s">
        <v>41</v>
      </c>
      <c r="D16" s="24">
        <v>0.28960000000000002</v>
      </c>
      <c r="E16" s="23" t="s">
        <v>185</v>
      </c>
    </row>
    <row r="17" spans="2:5" x14ac:dyDescent="0.45">
      <c r="B17" s="19">
        <v>2021</v>
      </c>
      <c r="C17" s="20" t="s">
        <v>43</v>
      </c>
      <c r="D17" s="21">
        <v>0.17736666666666667</v>
      </c>
      <c r="E17" s="20" t="s">
        <v>185</v>
      </c>
    </row>
    <row r="18" spans="2:5" x14ac:dyDescent="0.45">
      <c r="B18" s="22">
        <v>2021</v>
      </c>
      <c r="C18" s="23" t="s">
        <v>45</v>
      </c>
      <c r="D18" s="24">
        <v>0.20653333333333335</v>
      </c>
      <c r="E18" s="23" t="s">
        <v>185</v>
      </c>
    </row>
    <row r="19" spans="2:5" x14ac:dyDescent="0.45">
      <c r="B19" s="19">
        <v>2022</v>
      </c>
      <c r="C19" s="20" t="s">
        <v>37</v>
      </c>
      <c r="D19" s="21">
        <v>0.13536666666666666</v>
      </c>
      <c r="E19" s="20" t="s">
        <v>185</v>
      </c>
    </row>
    <row r="20" spans="2:5" x14ac:dyDescent="0.45">
      <c r="B20" s="22">
        <v>2022</v>
      </c>
      <c r="C20" s="23" t="s">
        <v>41</v>
      </c>
      <c r="D20" s="24">
        <v>0.23150000000000001</v>
      </c>
      <c r="E20" s="23" t="s">
        <v>185</v>
      </c>
    </row>
    <row r="21" spans="2:5" x14ac:dyDescent="0.45">
      <c r="B21" s="19">
        <v>2022</v>
      </c>
      <c r="C21" s="20" t="s">
        <v>43</v>
      </c>
      <c r="D21" s="21">
        <v>0.12036666666666668</v>
      </c>
      <c r="E21" s="20" t="s">
        <v>185</v>
      </c>
    </row>
    <row r="22" spans="2:5" x14ac:dyDescent="0.45">
      <c r="B22" s="22">
        <v>2022</v>
      </c>
      <c r="C22" s="23" t="s">
        <v>45</v>
      </c>
      <c r="D22" s="24">
        <v>0.23840000000000003</v>
      </c>
      <c r="E22" s="23" t="s">
        <v>185</v>
      </c>
    </row>
    <row r="23" spans="2:5" x14ac:dyDescent="0.45">
      <c r="B23" s="19">
        <v>2025</v>
      </c>
      <c r="C23" s="20" t="s">
        <v>37</v>
      </c>
      <c r="D23" s="21">
        <v>0.23916666666666667</v>
      </c>
      <c r="E23" s="20" t="s">
        <v>185</v>
      </c>
    </row>
    <row r="24" spans="2:5" x14ac:dyDescent="0.45">
      <c r="B24" s="22">
        <v>2025</v>
      </c>
      <c r="C24" s="23" t="s">
        <v>41</v>
      </c>
      <c r="D24" s="24">
        <v>0.32726666666666665</v>
      </c>
      <c r="E24" s="23" t="s">
        <v>185</v>
      </c>
    </row>
    <row r="25" spans="2:5" x14ac:dyDescent="0.45">
      <c r="B25" s="19">
        <v>2025</v>
      </c>
      <c r="C25" s="20" t="s">
        <v>43</v>
      </c>
      <c r="D25" s="21">
        <v>0.24466666666666667</v>
      </c>
      <c r="E25" s="20" t="s">
        <v>185</v>
      </c>
    </row>
    <row r="26" spans="2:5" x14ac:dyDescent="0.45">
      <c r="B26" s="22">
        <v>2025</v>
      </c>
      <c r="C26" s="23" t="s">
        <v>45</v>
      </c>
      <c r="D26" s="24">
        <v>0.32003333333333334</v>
      </c>
      <c r="E26" s="23" t="s">
        <v>185</v>
      </c>
    </row>
    <row r="27" spans="2:5" x14ac:dyDescent="0.45">
      <c r="B27" s="19">
        <v>2026</v>
      </c>
      <c r="C27" s="20" t="s">
        <v>37</v>
      </c>
      <c r="D27" s="21">
        <v>0.25303333333333333</v>
      </c>
      <c r="E27" s="20" t="s">
        <v>185</v>
      </c>
    </row>
    <row r="28" spans="2:5" x14ac:dyDescent="0.45">
      <c r="B28" s="22">
        <v>2026</v>
      </c>
      <c r="C28" s="23" t="s">
        <v>41</v>
      </c>
      <c r="D28" s="24">
        <v>0.37166666666666665</v>
      </c>
      <c r="E28" s="23" t="s">
        <v>185</v>
      </c>
    </row>
    <row r="29" spans="2:5" x14ac:dyDescent="0.45">
      <c r="B29" s="19">
        <v>2026</v>
      </c>
      <c r="C29" s="20" t="s">
        <v>43</v>
      </c>
      <c r="D29" s="21">
        <v>0.25059999999999999</v>
      </c>
      <c r="E29" s="20" t="s">
        <v>185</v>
      </c>
    </row>
    <row r="30" spans="2:5" x14ac:dyDescent="0.45">
      <c r="B30" s="22">
        <v>2026</v>
      </c>
      <c r="C30" s="23" t="s">
        <v>45</v>
      </c>
      <c r="D30" s="24">
        <v>0.34260000000000002</v>
      </c>
      <c r="E30" s="23" t="s">
        <v>185</v>
      </c>
    </row>
    <row r="31" spans="2:5" x14ac:dyDescent="0.45">
      <c r="B31" s="19">
        <v>2027</v>
      </c>
      <c r="C31" s="20" t="s">
        <v>37</v>
      </c>
      <c r="D31" s="21">
        <v>0.2286</v>
      </c>
      <c r="E31" s="20" t="s">
        <v>185</v>
      </c>
    </row>
    <row r="32" spans="2:5" x14ac:dyDescent="0.45">
      <c r="B32" s="22">
        <v>2027</v>
      </c>
      <c r="C32" s="23" t="s">
        <v>41</v>
      </c>
      <c r="D32" s="24">
        <v>0.30259999999999998</v>
      </c>
      <c r="E32" s="23" t="s">
        <v>185</v>
      </c>
    </row>
    <row r="33" spans="2:5" x14ac:dyDescent="0.45">
      <c r="B33" s="19">
        <v>2027</v>
      </c>
      <c r="C33" s="20" t="s">
        <v>43</v>
      </c>
      <c r="D33" s="21">
        <v>0.18333333333333335</v>
      </c>
      <c r="E33" s="20" t="s">
        <v>185</v>
      </c>
    </row>
    <row r="34" spans="2:5" x14ac:dyDescent="0.45">
      <c r="B34" s="22">
        <v>2027</v>
      </c>
      <c r="C34" s="23" t="s">
        <v>45</v>
      </c>
      <c r="D34" s="24">
        <v>0.29649999999999999</v>
      </c>
      <c r="E34" s="23" t="s">
        <v>185</v>
      </c>
    </row>
    <row r="35" spans="2:5" x14ac:dyDescent="0.45">
      <c r="B35" s="19">
        <v>2028</v>
      </c>
      <c r="C35" s="20" t="s">
        <v>37</v>
      </c>
      <c r="D35" s="21">
        <v>0.20660000000000001</v>
      </c>
      <c r="E35" s="20" t="s">
        <v>185</v>
      </c>
    </row>
    <row r="36" spans="2:5" x14ac:dyDescent="0.45">
      <c r="B36" s="22">
        <v>2028</v>
      </c>
      <c r="C36" s="23" t="s">
        <v>41</v>
      </c>
      <c r="D36" s="24">
        <v>0.32773333333333338</v>
      </c>
      <c r="E36" s="23" t="s">
        <v>185</v>
      </c>
    </row>
    <row r="37" spans="2:5" x14ac:dyDescent="0.45">
      <c r="B37" s="19">
        <v>2028</v>
      </c>
      <c r="C37" s="20" t="s">
        <v>43</v>
      </c>
      <c r="D37" s="21">
        <v>0.18840000000000001</v>
      </c>
      <c r="E37" s="20" t="s">
        <v>185</v>
      </c>
    </row>
    <row r="38" spans="2:5" x14ac:dyDescent="0.45">
      <c r="B38" s="22">
        <v>2028</v>
      </c>
      <c r="C38" s="23" t="s">
        <v>45</v>
      </c>
      <c r="D38" s="24">
        <v>0.28813333333333335</v>
      </c>
      <c r="E38" s="23" t="s">
        <v>185</v>
      </c>
    </row>
    <row r="39" spans="2:5" x14ac:dyDescent="0.45">
      <c r="B39" s="19">
        <v>2029</v>
      </c>
      <c r="C39" s="20" t="s">
        <v>37</v>
      </c>
      <c r="D39" s="21">
        <v>0.29533333333333334</v>
      </c>
      <c r="E39" s="20" t="s">
        <v>185</v>
      </c>
    </row>
    <row r="40" spans="2:5" x14ac:dyDescent="0.45">
      <c r="B40" s="22">
        <v>2029</v>
      </c>
      <c r="C40" s="23" t="s">
        <v>41</v>
      </c>
      <c r="D40" s="24">
        <v>0.3382</v>
      </c>
      <c r="E40" s="23" t="s">
        <v>185</v>
      </c>
    </row>
    <row r="41" spans="2:5" x14ac:dyDescent="0.45">
      <c r="B41" s="19">
        <v>2029</v>
      </c>
      <c r="C41" s="20" t="s">
        <v>43</v>
      </c>
      <c r="D41" s="21">
        <v>0.19136666666666668</v>
      </c>
      <c r="E41" s="20" t="s">
        <v>185</v>
      </c>
    </row>
    <row r="42" spans="2:5" x14ac:dyDescent="0.45">
      <c r="B42" s="22">
        <v>2029</v>
      </c>
      <c r="C42" s="23" t="s">
        <v>45</v>
      </c>
      <c r="D42" s="24">
        <v>0.30890000000000001</v>
      </c>
      <c r="E42" s="23" t="s">
        <v>185</v>
      </c>
    </row>
    <row r="43" spans="2:5" x14ac:dyDescent="0.45">
      <c r="B43" s="19">
        <v>2030</v>
      </c>
      <c r="C43" s="20" t="s">
        <v>37</v>
      </c>
      <c r="D43" s="21">
        <v>0.2288</v>
      </c>
      <c r="E43" s="20" t="s">
        <v>185</v>
      </c>
    </row>
    <row r="44" spans="2:5" x14ac:dyDescent="0.45">
      <c r="B44" s="22">
        <v>2030</v>
      </c>
      <c r="C44" s="23" t="s">
        <v>41</v>
      </c>
      <c r="D44" s="24">
        <v>0.34233333333333338</v>
      </c>
      <c r="E44" s="23" t="s">
        <v>185</v>
      </c>
    </row>
    <row r="45" spans="2:5" x14ac:dyDescent="0.45">
      <c r="B45" s="19">
        <v>2030</v>
      </c>
      <c r="C45" s="20" t="s">
        <v>43</v>
      </c>
      <c r="D45" s="21">
        <v>0.20220000000000002</v>
      </c>
      <c r="E45" s="20" t="s">
        <v>185</v>
      </c>
    </row>
    <row r="46" spans="2:5" x14ac:dyDescent="0.45">
      <c r="B46" s="22">
        <v>2030</v>
      </c>
      <c r="C46" s="23" t="s">
        <v>45</v>
      </c>
      <c r="D46" s="24">
        <v>0.31983333333333336</v>
      </c>
      <c r="E46" s="23" t="s">
        <v>185</v>
      </c>
    </row>
    <row r="47" spans="2:5" x14ac:dyDescent="0.45">
      <c r="B47" s="19">
        <v>2031</v>
      </c>
      <c r="C47" s="20" t="s">
        <v>37</v>
      </c>
      <c r="D47" s="21">
        <v>0.24779999999999999</v>
      </c>
      <c r="E47" s="20" t="s">
        <v>185</v>
      </c>
    </row>
    <row r="48" spans="2:5" x14ac:dyDescent="0.45">
      <c r="B48" s="22">
        <v>2031</v>
      </c>
      <c r="C48" s="23" t="s">
        <v>41</v>
      </c>
      <c r="D48" s="24">
        <v>0.30776666666666669</v>
      </c>
      <c r="E48" s="23" t="s">
        <v>185</v>
      </c>
    </row>
    <row r="49" spans="2:5" x14ac:dyDescent="0.45">
      <c r="B49" s="19">
        <v>2031</v>
      </c>
      <c r="C49" s="20" t="s">
        <v>43</v>
      </c>
      <c r="D49" s="21">
        <v>0.19779999999999998</v>
      </c>
      <c r="E49" s="20" t="s">
        <v>185</v>
      </c>
    </row>
    <row r="50" spans="2:5" x14ac:dyDescent="0.45">
      <c r="B50" s="22">
        <v>2031</v>
      </c>
      <c r="C50" s="23" t="s">
        <v>45</v>
      </c>
      <c r="D50" s="24">
        <v>0.30260000000000004</v>
      </c>
      <c r="E50" s="23" t="s">
        <v>185</v>
      </c>
    </row>
    <row r="51" spans="2:5" x14ac:dyDescent="0.45">
      <c r="B51" s="19">
        <v>2032</v>
      </c>
      <c r="C51" s="20" t="s">
        <v>37</v>
      </c>
      <c r="D51" s="21">
        <v>0.22766666666666668</v>
      </c>
      <c r="E51" s="20" t="s">
        <v>185</v>
      </c>
    </row>
    <row r="52" spans="2:5" x14ac:dyDescent="0.45">
      <c r="B52" s="22">
        <v>2032</v>
      </c>
      <c r="C52" s="23" t="s">
        <v>41</v>
      </c>
      <c r="D52" s="24">
        <v>0.32276666666666665</v>
      </c>
      <c r="E52" s="23" t="s">
        <v>185</v>
      </c>
    </row>
    <row r="53" spans="2:5" x14ac:dyDescent="0.45">
      <c r="B53" s="19">
        <v>2032</v>
      </c>
      <c r="C53" s="20" t="s">
        <v>43</v>
      </c>
      <c r="D53" s="21">
        <v>0.22673333333333334</v>
      </c>
      <c r="E53" s="20" t="s">
        <v>185</v>
      </c>
    </row>
    <row r="54" spans="2:5" x14ac:dyDescent="0.45">
      <c r="B54" s="22">
        <v>2032</v>
      </c>
      <c r="C54" s="23" t="s">
        <v>45</v>
      </c>
      <c r="D54" s="24">
        <v>0.31676666666666664</v>
      </c>
      <c r="E54" s="23" t="s">
        <v>185</v>
      </c>
    </row>
    <row r="55" spans="2:5" x14ac:dyDescent="0.45">
      <c r="B55" s="19">
        <v>2033</v>
      </c>
      <c r="C55" s="20" t="s">
        <v>37</v>
      </c>
      <c r="D55" s="21">
        <v>0.20950000000000002</v>
      </c>
      <c r="E55" s="20" t="s">
        <v>185</v>
      </c>
    </row>
    <row r="56" spans="2:5" x14ac:dyDescent="0.45">
      <c r="B56" s="22">
        <v>2033</v>
      </c>
      <c r="C56" s="23" t="s">
        <v>41</v>
      </c>
      <c r="D56" s="24">
        <v>0.35000000000000003</v>
      </c>
      <c r="E56" s="23" t="s">
        <v>185</v>
      </c>
    </row>
    <row r="57" spans="2:5" x14ac:dyDescent="0.45">
      <c r="B57" s="19">
        <v>2033</v>
      </c>
      <c r="C57" s="20" t="s">
        <v>43</v>
      </c>
      <c r="D57" s="21">
        <v>0.18733333333333332</v>
      </c>
      <c r="E57" s="20" t="s">
        <v>185</v>
      </c>
    </row>
    <row r="58" spans="2:5" x14ac:dyDescent="0.45">
      <c r="B58" s="22">
        <v>2033</v>
      </c>
      <c r="C58" s="23" t="s">
        <v>45</v>
      </c>
      <c r="D58" s="24">
        <v>0.29386666666666666</v>
      </c>
      <c r="E58" s="23" t="s">
        <v>185</v>
      </c>
    </row>
    <row r="59" spans="2:5" x14ac:dyDescent="0.45">
      <c r="B59" s="19">
        <v>2034</v>
      </c>
      <c r="C59" s="20" t="s">
        <v>37</v>
      </c>
      <c r="D59" s="21">
        <v>0.21740000000000001</v>
      </c>
      <c r="E59" s="20" t="s">
        <v>185</v>
      </c>
    </row>
    <row r="60" spans="2:5" x14ac:dyDescent="0.45">
      <c r="B60" s="22">
        <v>2034</v>
      </c>
      <c r="C60" s="23" t="s">
        <v>41</v>
      </c>
      <c r="D60" s="24">
        <v>0.33856666666666668</v>
      </c>
      <c r="E60" s="23" t="s">
        <v>185</v>
      </c>
    </row>
    <row r="61" spans="2:5" x14ac:dyDescent="0.45">
      <c r="B61" s="19">
        <v>2034</v>
      </c>
      <c r="C61" s="20" t="s">
        <v>43</v>
      </c>
      <c r="D61" s="21">
        <v>0.20516666666666669</v>
      </c>
      <c r="E61" s="20" t="s">
        <v>185</v>
      </c>
    </row>
    <row r="62" spans="2:5" x14ac:dyDescent="0.45">
      <c r="B62" s="22">
        <v>2034</v>
      </c>
      <c r="C62" s="23" t="s">
        <v>45</v>
      </c>
      <c r="D62" s="24">
        <v>0.29859999999999998</v>
      </c>
      <c r="E62" s="23" t="s">
        <v>185</v>
      </c>
    </row>
    <row r="63" spans="2:5" x14ac:dyDescent="0.45">
      <c r="B63" s="19">
        <v>2035</v>
      </c>
      <c r="C63" s="20" t="s">
        <v>37</v>
      </c>
      <c r="D63" s="21">
        <v>0.19193333333333337</v>
      </c>
      <c r="E63" s="20" t="s">
        <v>185</v>
      </c>
    </row>
    <row r="64" spans="2:5" x14ac:dyDescent="0.45">
      <c r="B64" s="22">
        <v>2035</v>
      </c>
      <c r="C64" s="23" t="s">
        <v>41</v>
      </c>
      <c r="D64" s="24">
        <v>0.3297666666666666</v>
      </c>
      <c r="E64" s="23" t="s">
        <v>185</v>
      </c>
    </row>
    <row r="65" spans="2:5" x14ac:dyDescent="0.45">
      <c r="B65" s="19">
        <v>2035</v>
      </c>
      <c r="C65" s="20" t="s">
        <v>43</v>
      </c>
      <c r="D65" s="21">
        <v>0.20076666666666668</v>
      </c>
      <c r="E65" s="20" t="s">
        <v>185</v>
      </c>
    </row>
    <row r="66" spans="2:5" x14ac:dyDescent="0.45">
      <c r="B66" s="22">
        <v>2035</v>
      </c>
      <c r="C66" s="23" t="s">
        <v>45</v>
      </c>
      <c r="D66" s="24">
        <v>0.30656666666666665</v>
      </c>
      <c r="E66" s="23" t="s">
        <v>185</v>
      </c>
    </row>
    <row r="67" spans="2:5" x14ac:dyDescent="0.45">
      <c r="B67" s="19">
        <v>2036</v>
      </c>
      <c r="C67" s="20" t="s">
        <v>37</v>
      </c>
      <c r="D67" s="21">
        <v>0.27233333333333332</v>
      </c>
      <c r="E67" s="20" t="s">
        <v>185</v>
      </c>
    </row>
    <row r="68" spans="2:5" x14ac:dyDescent="0.45">
      <c r="B68" s="22">
        <v>2036</v>
      </c>
      <c r="C68" s="23" t="s">
        <v>41</v>
      </c>
      <c r="D68" s="24">
        <v>0.38203333333333328</v>
      </c>
      <c r="E68" s="23" t="s">
        <v>185</v>
      </c>
    </row>
    <row r="69" spans="2:5" x14ac:dyDescent="0.45">
      <c r="B69" s="19">
        <v>2036</v>
      </c>
      <c r="C69" s="20" t="s">
        <v>43</v>
      </c>
      <c r="D69" s="21">
        <v>0.19276666666666667</v>
      </c>
      <c r="E69" s="20" t="s">
        <v>185</v>
      </c>
    </row>
    <row r="70" spans="2:5" x14ac:dyDescent="0.45">
      <c r="B70" s="22">
        <v>2036</v>
      </c>
      <c r="C70" s="23" t="s">
        <v>45</v>
      </c>
      <c r="D70" s="24">
        <v>0.37279999999999996</v>
      </c>
      <c r="E70" s="23" t="s">
        <v>185</v>
      </c>
    </row>
    <row r="71" spans="2:5" x14ac:dyDescent="0.45">
      <c r="B71" s="19">
        <v>2037</v>
      </c>
      <c r="C71" s="20" t="s">
        <v>37</v>
      </c>
      <c r="D71" s="21">
        <v>0.22156666666666669</v>
      </c>
      <c r="E71" s="20" t="s">
        <v>185</v>
      </c>
    </row>
    <row r="72" spans="2:5" x14ac:dyDescent="0.45">
      <c r="B72" s="22">
        <v>2037</v>
      </c>
      <c r="C72" s="23" t="s">
        <v>41</v>
      </c>
      <c r="D72" s="24">
        <v>0.34026666666666666</v>
      </c>
      <c r="E72" s="23" t="s">
        <v>185</v>
      </c>
    </row>
    <row r="73" spans="2:5" x14ac:dyDescent="0.45">
      <c r="B73" s="19">
        <v>2037</v>
      </c>
      <c r="C73" s="20" t="s">
        <v>43</v>
      </c>
      <c r="D73" s="21">
        <v>0.19603333333333336</v>
      </c>
      <c r="E73" s="20" t="s">
        <v>185</v>
      </c>
    </row>
    <row r="74" spans="2:5" x14ac:dyDescent="0.45">
      <c r="B74" s="22">
        <v>2037</v>
      </c>
      <c r="C74" s="23" t="s">
        <v>45</v>
      </c>
      <c r="D74" s="24">
        <v>0.30116666666666664</v>
      </c>
      <c r="E74" s="23" t="s">
        <v>185</v>
      </c>
    </row>
    <row r="75" spans="2:5" x14ac:dyDescent="0.45">
      <c r="B75" s="19">
        <v>2038</v>
      </c>
      <c r="C75" s="20" t="s">
        <v>37</v>
      </c>
      <c r="D75" s="21">
        <v>0.23713333333333333</v>
      </c>
      <c r="E75" s="20" t="s">
        <v>185</v>
      </c>
    </row>
    <row r="76" spans="2:5" x14ac:dyDescent="0.45">
      <c r="B76" s="22">
        <v>2038</v>
      </c>
      <c r="C76" s="23" t="s">
        <v>41</v>
      </c>
      <c r="D76" s="24">
        <v>0.35016666666666668</v>
      </c>
      <c r="E76" s="23" t="s">
        <v>185</v>
      </c>
    </row>
    <row r="77" spans="2:5" x14ac:dyDescent="0.45">
      <c r="B77" s="19">
        <v>2038</v>
      </c>
      <c r="C77" s="20" t="s">
        <v>43</v>
      </c>
      <c r="D77" s="21">
        <v>0.21279999999999999</v>
      </c>
      <c r="E77" s="20" t="s">
        <v>185</v>
      </c>
    </row>
    <row r="78" spans="2:5" x14ac:dyDescent="0.45">
      <c r="B78" s="22">
        <v>2038</v>
      </c>
      <c r="C78" s="23" t="s">
        <v>45</v>
      </c>
      <c r="D78" s="24">
        <v>0.3450333333333333</v>
      </c>
      <c r="E78" s="23" t="s">
        <v>185</v>
      </c>
    </row>
    <row r="79" spans="2:5" x14ac:dyDescent="0.45">
      <c r="B79" s="19">
        <v>2039</v>
      </c>
      <c r="C79" s="20" t="s">
        <v>37</v>
      </c>
      <c r="D79" s="21">
        <v>0.19233333333333333</v>
      </c>
      <c r="E79" s="20" t="s">
        <v>185</v>
      </c>
    </row>
    <row r="80" spans="2:5" x14ac:dyDescent="0.45">
      <c r="B80" s="22">
        <v>2039</v>
      </c>
      <c r="C80" s="23" t="s">
        <v>41</v>
      </c>
      <c r="D80" s="24">
        <v>0.38946666666666668</v>
      </c>
      <c r="E80" s="23" t="s">
        <v>185</v>
      </c>
    </row>
    <row r="81" spans="2:5" x14ac:dyDescent="0.45">
      <c r="B81" s="19">
        <v>2039</v>
      </c>
      <c r="C81" s="20" t="s">
        <v>43</v>
      </c>
      <c r="D81" s="21">
        <v>0.21703333333333333</v>
      </c>
      <c r="E81" s="20" t="s">
        <v>185</v>
      </c>
    </row>
    <row r="82" spans="2:5" x14ac:dyDescent="0.45">
      <c r="B82" s="22">
        <v>2039</v>
      </c>
      <c r="C82" s="23" t="s">
        <v>45</v>
      </c>
      <c r="D82" s="24">
        <v>0.32426666666666665</v>
      </c>
      <c r="E82" s="23" t="s">
        <v>185</v>
      </c>
    </row>
    <row r="83" spans="2:5" x14ac:dyDescent="0.45">
      <c r="B83" s="19">
        <v>2040</v>
      </c>
      <c r="C83" s="20" t="s">
        <v>37</v>
      </c>
      <c r="D83" s="21">
        <v>0.23723333333333332</v>
      </c>
      <c r="E83" s="20" t="s">
        <v>185</v>
      </c>
    </row>
    <row r="84" spans="2:5" x14ac:dyDescent="0.45">
      <c r="B84" s="22">
        <v>2040</v>
      </c>
      <c r="C84" s="23" t="s">
        <v>41</v>
      </c>
      <c r="D84" s="24">
        <v>0.3323666666666667</v>
      </c>
      <c r="E84" s="23" t="s">
        <v>185</v>
      </c>
    </row>
    <row r="85" spans="2:5" x14ac:dyDescent="0.45">
      <c r="B85" s="19">
        <v>2040</v>
      </c>
      <c r="C85" s="20" t="s">
        <v>43</v>
      </c>
      <c r="D85" s="21">
        <v>0.23306666666666667</v>
      </c>
      <c r="E85" s="20" t="s">
        <v>185</v>
      </c>
    </row>
    <row r="86" spans="2:5" x14ac:dyDescent="0.45">
      <c r="B86" s="22">
        <v>2040</v>
      </c>
      <c r="C86" s="23" t="s">
        <v>45</v>
      </c>
      <c r="D86" s="24">
        <v>0.30743333333333328</v>
      </c>
      <c r="E86" s="23" t="s">
        <v>185</v>
      </c>
    </row>
    <row r="87" spans="2:5" x14ac:dyDescent="0.45">
      <c r="B87" s="19">
        <v>2041</v>
      </c>
      <c r="C87" s="20" t="s">
        <v>37</v>
      </c>
      <c r="D87" s="21">
        <v>0.23903333333333335</v>
      </c>
      <c r="E87" s="20" t="s">
        <v>185</v>
      </c>
    </row>
    <row r="88" spans="2:5" x14ac:dyDescent="0.45">
      <c r="B88" s="22">
        <v>2041</v>
      </c>
      <c r="C88" s="23" t="s">
        <v>41</v>
      </c>
      <c r="D88" s="24">
        <v>0.3620666666666667</v>
      </c>
      <c r="E88" s="23" t="s">
        <v>185</v>
      </c>
    </row>
    <row r="89" spans="2:5" x14ac:dyDescent="0.45">
      <c r="B89" s="19">
        <v>2041</v>
      </c>
      <c r="C89" s="20" t="s">
        <v>43</v>
      </c>
      <c r="D89" s="21">
        <v>0.2069</v>
      </c>
      <c r="E89" s="20" t="s">
        <v>185</v>
      </c>
    </row>
    <row r="90" spans="2:5" x14ac:dyDescent="0.45">
      <c r="B90" s="22">
        <v>2041</v>
      </c>
      <c r="C90" s="23" t="s">
        <v>45</v>
      </c>
      <c r="D90" s="24">
        <v>0.31993333333333335</v>
      </c>
      <c r="E90" s="23" t="s">
        <v>185</v>
      </c>
    </row>
    <row r="91" spans="2:5" x14ac:dyDescent="0.45">
      <c r="B91" s="19">
        <v>2042</v>
      </c>
      <c r="C91" s="20" t="s">
        <v>37</v>
      </c>
      <c r="D91" s="21">
        <v>0.21929999999999997</v>
      </c>
      <c r="E91" s="20" t="s">
        <v>185</v>
      </c>
    </row>
    <row r="92" spans="2:5" x14ac:dyDescent="0.45">
      <c r="B92" s="22">
        <v>2042</v>
      </c>
      <c r="C92" s="23" t="s">
        <v>41</v>
      </c>
      <c r="D92" s="24">
        <v>0.31546666666666667</v>
      </c>
      <c r="E92" s="23" t="s">
        <v>185</v>
      </c>
    </row>
    <row r="93" spans="2:5" x14ac:dyDescent="0.45">
      <c r="B93" s="19">
        <v>2042</v>
      </c>
      <c r="C93" s="20" t="s">
        <v>43</v>
      </c>
      <c r="D93" s="21">
        <v>0.20426666666666668</v>
      </c>
      <c r="E93" s="20" t="s">
        <v>185</v>
      </c>
    </row>
    <row r="94" spans="2:5" x14ac:dyDescent="0.45">
      <c r="B94" s="22">
        <v>2042</v>
      </c>
      <c r="C94" s="23" t="s">
        <v>45</v>
      </c>
      <c r="D94" s="24">
        <v>0.31433333333333335</v>
      </c>
      <c r="E94" s="23" t="s">
        <v>185</v>
      </c>
    </row>
    <row r="95" spans="2:5" x14ac:dyDescent="0.45">
      <c r="B95" s="19">
        <v>2043</v>
      </c>
      <c r="C95" s="20" t="s">
        <v>37</v>
      </c>
      <c r="D95" s="21">
        <v>0.2215</v>
      </c>
      <c r="E95" s="20" t="s">
        <v>185</v>
      </c>
    </row>
    <row r="96" spans="2:5" x14ac:dyDescent="0.45">
      <c r="B96" s="22">
        <v>2043</v>
      </c>
      <c r="C96" s="23" t="s">
        <v>41</v>
      </c>
      <c r="D96" s="24">
        <v>0.35949999999999999</v>
      </c>
      <c r="E96" s="23" t="s">
        <v>185</v>
      </c>
    </row>
    <row r="97" spans="2:5" x14ac:dyDescent="0.45">
      <c r="B97" s="19">
        <v>2043</v>
      </c>
      <c r="C97" s="20" t="s">
        <v>43</v>
      </c>
      <c r="D97" s="21">
        <v>0.20263333333333333</v>
      </c>
      <c r="E97" s="20" t="s">
        <v>185</v>
      </c>
    </row>
    <row r="98" spans="2:5" x14ac:dyDescent="0.45">
      <c r="B98" s="22">
        <v>2043</v>
      </c>
      <c r="C98" s="23" t="s">
        <v>45</v>
      </c>
      <c r="D98" s="24">
        <v>0.28986666666666666</v>
      </c>
      <c r="E98" s="23" t="s">
        <v>185</v>
      </c>
    </row>
    <row r="99" spans="2:5" x14ac:dyDescent="0.45">
      <c r="B99" s="19">
        <v>2044</v>
      </c>
      <c r="C99" s="20" t="s">
        <v>37</v>
      </c>
      <c r="D99" s="21">
        <v>0.23450000000000001</v>
      </c>
      <c r="E99" s="20" t="s">
        <v>185</v>
      </c>
    </row>
    <row r="100" spans="2:5" x14ac:dyDescent="0.45">
      <c r="B100" s="22">
        <v>2044</v>
      </c>
      <c r="C100" s="23" t="s">
        <v>41</v>
      </c>
      <c r="D100" s="24">
        <v>0.31086666666666668</v>
      </c>
      <c r="E100" s="23" t="s">
        <v>185</v>
      </c>
    </row>
    <row r="101" spans="2:5" x14ac:dyDescent="0.45">
      <c r="B101" s="19">
        <v>2044</v>
      </c>
      <c r="C101" s="20" t="s">
        <v>43</v>
      </c>
      <c r="D101" s="21">
        <v>0.13103333333333333</v>
      </c>
      <c r="E101" s="20" t="s">
        <v>185</v>
      </c>
    </row>
    <row r="102" spans="2:5" x14ac:dyDescent="0.45">
      <c r="B102" s="22">
        <v>2044</v>
      </c>
      <c r="C102" s="23" t="s">
        <v>45</v>
      </c>
      <c r="D102" s="24">
        <v>0.29596666666666666</v>
      </c>
      <c r="E102" s="23" t="s">
        <v>185</v>
      </c>
    </row>
    <row r="103" spans="2:5" x14ac:dyDescent="0.45">
      <c r="B103" s="19">
        <v>2045</v>
      </c>
      <c r="C103" s="20" t="s">
        <v>37</v>
      </c>
      <c r="D103" s="21">
        <v>0.17756666666666668</v>
      </c>
      <c r="E103" s="20" t="s">
        <v>185</v>
      </c>
    </row>
    <row r="104" spans="2:5" x14ac:dyDescent="0.45">
      <c r="B104" s="22">
        <v>2045</v>
      </c>
      <c r="C104" s="23" t="s">
        <v>41</v>
      </c>
      <c r="D104" s="24">
        <v>0.32653333333333329</v>
      </c>
      <c r="E104" s="23" t="s">
        <v>185</v>
      </c>
    </row>
    <row r="105" spans="2:5" x14ac:dyDescent="0.45">
      <c r="B105" s="19">
        <v>2045</v>
      </c>
      <c r="C105" s="20" t="s">
        <v>43</v>
      </c>
      <c r="D105" s="21">
        <v>0.19526666666666667</v>
      </c>
      <c r="E105" s="20" t="s">
        <v>185</v>
      </c>
    </row>
    <row r="106" spans="2:5" x14ac:dyDescent="0.45">
      <c r="B106" s="22">
        <v>2045</v>
      </c>
      <c r="C106" s="23" t="s">
        <v>45</v>
      </c>
      <c r="D106" s="24">
        <v>0.28610000000000002</v>
      </c>
      <c r="E106" s="23" t="s">
        <v>185</v>
      </c>
    </row>
    <row r="107" spans="2:5" x14ac:dyDescent="0.45">
      <c r="B107" s="19">
        <v>2046</v>
      </c>
      <c r="C107" s="20" t="s">
        <v>37</v>
      </c>
      <c r="D107" s="21">
        <v>0.25856666666666667</v>
      </c>
      <c r="E107" s="20" t="s">
        <v>185</v>
      </c>
    </row>
    <row r="108" spans="2:5" x14ac:dyDescent="0.45">
      <c r="B108" s="22">
        <v>2046</v>
      </c>
      <c r="C108" s="23" t="s">
        <v>41</v>
      </c>
      <c r="D108" s="24">
        <v>0.32569999999999999</v>
      </c>
      <c r="E108" s="23" t="s">
        <v>185</v>
      </c>
    </row>
    <row r="109" spans="2:5" x14ac:dyDescent="0.45">
      <c r="B109" s="19">
        <v>2046</v>
      </c>
      <c r="C109" s="20" t="s">
        <v>43</v>
      </c>
      <c r="D109" s="21">
        <v>0.18556666666666666</v>
      </c>
      <c r="E109" s="20" t="s">
        <v>185</v>
      </c>
    </row>
    <row r="110" spans="2:5" x14ac:dyDescent="0.45">
      <c r="B110" s="22">
        <v>2046</v>
      </c>
      <c r="C110" s="23" t="s">
        <v>45</v>
      </c>
      <c r="D110" s="24">
        <v>0.32646666666666663</v>
      </c>
      <c r="E110" s="23" t="s">
        <v>185</v>
      </c>
    </row>
    <row r="111" spans="2:5" x14ac:dyDescent="0.45">
      <c r="B111" s="19">
        <v>2047</v>
      </c>
      <c r="C111" s="20" t="s">
        <v>37</v>
      </c>
      <c r="D111" s="21">
        <v>0.2177</v>
      </c>
      <c r="E111" s="20" t="s">
        <v>185</v>
      </c>
    </row>
    <row r="112" spans="2:5" x14ac:dyDescent="0.45">
      <c r="B112" s="22">
        <v>2047</v>
      </c>
      <c r="C112" s="23" t="s">
        <v>41</v>
      </c>
      <c r="D112" s="24">
        <v>0.31966666666666671</v>
      </c>
      <c r="E112" s="23" t="s">
        <v>185</v>
      </c>
    </row>
    <row r="113" spans="2:5" x14ac:dyDescent="0.45">
      <c r="B113" s="19">
        <v>2047</v>
      </c>
      <c r="C113" s="20" t="s">
        <v>43</v>
      </c>
      <c r="D113" s="21">
        <v>0.1623</v>
      </c>
      <c r="E113" s="20" t="s">
        <v>185</v>
      </c>
    </row>
    <row r="114" spans="2:5" x14ac:dyDescent="0.45">
      <c r="B114" s="22">
        <v>2047</v>
      </c>
      <c r="C114" s="23" t="s">
        <v>45</v>
      </c>
      <c r="D114" s="24">
        <v>0.31430000000000002</v>
      </c>
      <c r="E114" s="23" t="s">
        <v>185</v>
      </c>
    </row>
    <row r="115" spans="2:5" x14ac:dyDescent="0.45">
      <c r="B115" s="19">
        <v>2048</v>
      </c>
      <c r="C115" s="20" t="s">
        <v>37</v>
      </c>
      <c r="D115" s="21">
        <v>0.2359</v>
      </c>
      <c r="E115" s="20" t="s">
        <v>185</v>
      </c>
    </row>
    <row r="116" spans="2:5" x14ac:dyDescent="0.45">
      <c r="B116" s="22">
        <v>2048</v>
      </c>
      <c r="C116" s="23" t="s">
        <v>41</v>
      </c>
      <c r="D116" s="24">
        <v>0.32293333333333335</v>
      </c>
      <c r="E116" s="23" t="s">
        <v>185</v>
      </c>
    </row>
    <row r="117" spans="2:5" x14ac:dyDescent="0.45">
      <c r="B117" s="19">
        <v>2048</v>
      </c>
      <c r="C117" s="20" t="s">
        <v>43</v>
      </c>
      <c r="D117" s="21">
        <v>0.20363333333333333</v>
      </c>
      <c r="E117" s="20" t="s">
        <v>185</v>
      </c>
    </row>
    <row r="118" spans="2:5" x14ac:dyDescent="0.45">
      <c r="B118" s="22">
        <v>2048</v>
      </c>
      <c r="C118" s="23" t="s">
        <v>45</v>
      </c>
      <c r="D118" s="24">
        <v>0.28489999999999999</v>
      </c>
      <c r="E118" s="23" t="s">
        <v>185</v>
      </c>
    </row>
    <row r="119" spans="2:5" x14ac:dyDescent="0.45">
      <c r="B119" s="19">
        <v>2049</v>
      </c>
      <c r="C119" s="20" t="s">
        <v>37</v>
      </c>
      <c r="D119" s="21">
        <v>0.23019999999999999</v>
      </c>
      <c r="E119" s="20" t="s">
        <v>185</v>
      </c>
    </row>
    <row r="120" spans="2:5" x14ac:dyDescent="0.45">
      <c r="B120" s="22">
        <v>2049</v>
      </c>
      <c r="C120" s="23" t="s">
        <v>41</v>
      </c>
      <c r="D120" s="24">
        <v>0.35413333333333336</v>
      </c>
      <c r="E120" s="23" t="s">
        <v>185</v>
      </c>
    </row>
    <row r="121" spans="2:5" x14ac:dyDescent="0.45">
      <c r="B121" s="19">
        <v>2049</v>
      </c>
      <c r="C121" s="20" t="s">
        <v>43</v>
      </c>
      <c r="D121" s="21">
        <v>0.18579999999999999</v>
      </c>
      <c r="E121" s="20" t="s">
        <v>185</v>
      </c>
    </row>
    <row r="122" spans="2:5" x14ac:dyDescent="0.45">
      <c r="B122" s="22">
        <v>2049</v>
      </c>
      <c r="C122" s="23" t="s">
        <v>45</v>
      </c>
      <c r="D122" s="24">
        <v>0.31936666666666669</v>
      </c>
      <c r="E122" s="23" t="s">
        <v>185</v>
      </c>
    </row>
    <row r="123" spans="2:5" x14ac:dyDescent="0.45">
      <c r="B123" s="19">
        <v>2050</v>
      </c>
      <c r="C123" s="20" t="s">
        <v>37</v>
      </c>
      <c r="D123" s="21">
        <v>0.21529999999999996</v>
      </c>
      <c r="E123" s="20" t="s">
        <v>185</v>
      </c>
    </row>
    <row r="124" spans="2:5" x14ac:dyDescent="0.45">
      <c r="B124" s="22">
        <v>2050</v>
      </c>
      <c r="C124" s="23" t="s">
        <v>41</v>
      </c>
      <c r="D124" s="24">
        <v>0.3557333333333334</v>
      </c>
      <c r="E124" s="23" t="s">
        <v>185</v>
      </c>
    </row>
    <row r="125" spans="2:5" x14ac:dyDescent="0.45">
      <c r="B125" s="19">
        <v>2050</v>
      </c>
      <c r="C125" s="20" t="s">
        <v>43</v>
      </c>
      <c r="D125" s="21">
        <v>0.17353333333333334</v>
      </c>
      <c r="E125" s="20" t="s">
        <v>185</v>
      </c>
    </row>
    <row r="126" spans="2:5" x14ac:dyDescent="0.45">
      <c r="B126" s="22">
        <v>2050</v>
      </c>
      <c r="C126" s="23" t="s">
        <v>45</v>
      </c>
      <c r="D126" s="24">
        <v>0.30760000000000004</v>
      </c>
      <c r="E126" s="23" t="s">
        <v>185</v>
      </c>
    </row>
  </sheetData>
  <mergeCells count="1">
    <mergeCell ref="A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2026-06-09T09:22:00Z</dcterms:modified>
</cp:coreProperties>
</file>