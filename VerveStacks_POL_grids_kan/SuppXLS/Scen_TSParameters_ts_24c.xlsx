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A9AF8799-8D57-480B-8E2F-AC2016E9E98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<sst xmlns="http://schemas.openxmlformats.org/spreadsheetml/2006/main" count="4547" uniqueCount="203">
  <si>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</si>
  <si>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</si>
  <si>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</si>
  <si>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</si>
  <si>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</si>
  <si>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</si>
  <si>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</si>
  <si>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</si>
  <si>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</si>
  <si>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</si>
  <si>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</si>
  <si>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</si>
  <si>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</si>
  <si>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</si>
  <si>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</si>
  <si>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</si>
  <si>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</si>
  <si>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</si>
  <si>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</si>
  <si>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</si>
  <si>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</si>
  <si>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</si>
  <si>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</si>
  <si>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</si>
  <si>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</si>
  <si>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</si>
  <si>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</si>
  <si>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</si>
  <si>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</si>
  <si>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</si>
  <si>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</si>
  <si>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</si>
  <si>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</si>
  <si>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</si>
  <si>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</si>
  <si>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</si>
  <si>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</si>
  <si>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</si>
  <si>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</si>
  <si>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</si>
  <si>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</si>
  <si>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</si>
  <si>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</si>
  <si>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</si>
  <si>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</si>
  <si>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</si>
  <si>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</si>
  <si>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</si>
  <si>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</si>
  <si>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VERVESTACKS - the open USE platform · Powered by data · Shaped by vision · Guided by intuition · Fueled by passion</t>
  </si>
  <si>
    <t>ts_24c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</si>
  <si>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</si>
  <si>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</si>
  <si>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</si>
  <si>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</si>
  <si>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</si>
  <si>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</si>
  <si>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</si>
  <si>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</si>
  <si>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</si>
  <si>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</si>
  <si>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</si>
  <si>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</si>
  <si>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</si>
  <si>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</si>
  <si>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</si>
  <si>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</si>
  <si>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</si>
  <si>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</si>
  <si>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</si>
  <si>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</si>
  <si>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</si>
  <si>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</si>
  <si>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</si>
  <si>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</si>
  <si>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</si>
  <si>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</si>
  <si>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</si>
  <si>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</si>
  <si>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</si>
  <si>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</si>
  <si>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</si>
  <si>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</si>
  <si>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</si>
  <si>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</si>
  <si>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</si>
  <si>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</si>
  <si>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</si>
  <si>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</si>
  <si>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</si>
  <si>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</si>
  <si>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</si>
  <si>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</si>
  <si>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</si>
  <si>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</si>
  <si>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</si>
  <si>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</si>
  <si>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</si>
  <si>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</si>
  <si>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</si>
  <si>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</si>
  <si>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</si>
  <si>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</si>
  <si>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</si>
  <si>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</si>
  <si>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</si>
  <si>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</si>
  <si>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</si>
  <si>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</si>
  <si>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</si>
  <si>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</si>
  <si>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</si>
  <si>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</si>
  <si>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</si>
  <si>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</si>
  <si>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</si>
  <si>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</si>
  <si>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</si>
  <si>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</si>
  <si>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</si>
  <si>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</si>
  <si>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</si>
  <si>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</si>
  <si>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</si>
  <si>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</si>
  <si>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</si>
  <si>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</si>
  <si>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</si>
  <si>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</si>
  <si>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</si>
  <si>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</si>
  <si>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</si>
  <si>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</si>
  <si>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</si>
  <si>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</si>
  <si>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</si>
  <si>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</si>
  <si>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</si>
  <si>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</si>
  <si>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</si>
  <si>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</si>
  <si>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</si>
  <si>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</si>
  <si>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</si>
  <si>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</si>
  <si>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</si>
  <si>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</si>
  <si>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</si>
  <si>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</si>
  <si>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</si>
  <si>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</si>
  <si>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</si>
  <si>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</si>
  <si>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</si>
  <si>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</si>
  <si>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</si>
  <si>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</si>
  <si>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</si>
  <si>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</si>
  <si>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</si>
  <si>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</si>
  <si>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</si>
  <si>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</si>
  <si>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</si>
  <si>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</si>
  <si>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</si>
  <si>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</si>
  <si>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</si>
  <si>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</si>
  <si>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</si>
  <si>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</si>
  <si>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</si>
  <si>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</si>
  <si>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</si>
  <si>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</si>
  <si>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</si>
  <si>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</si>
  <si>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</si>
  <si>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</si>
  <si>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</si>
  <si>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</si>
  <si>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</si>
  <si>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</si>
  <si>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</si>
  <si>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</si>
  <si>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</si>
  <si>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</si>
  <si>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</si>
  <si>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</si>
  <si>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</si>
  <si>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</si>
  <si>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</si>
  <si>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</si>
  <si>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S02aH02,S02aH03,S03aH04,S03aH02,S04aH02,S03aH05,S03aH03,S04aH05,S01aH04,S01aH02,S04aH04,S02aH04,S02aH05,S01aH03,S01aH05,S04aH03</t>
  </si>
  <si>
    <t>N</t>
  </si>
  <si>
    <t>S03aH01,S01aH01,S04aH01,S04aH06,S03aH06,S02aH06,S01aH06,S02aH01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</si>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</sst>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"/>
  </numFmts>
  <fonts count="9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5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7" fillId="0" borderId="0" xfId="0" applyFont="1"/>
    <xf numFmtId="0" fontId="8" fillId="5" borderId="5" xfId="0" applyFont="1" applyFill="1" applyBorder="1"/>
    <xf numFmtId="0" fontId="5" fillId="6" borderId="4" xfId="0" applyFont="1" applyFill="1" applyBorder="1"/>
    <xf numFmtId="0" fontId="5" fillId="0" borderId="4" xfId="0" applyFont="1" applyBorder="1"/>
    <xf numFmtId="164" fontId="5" fillId="6" borderId="4" xfId="0" applyNumberFormat="1" applyFont="1" applyFill="1" applyBorder="1"/>
    <xf numFmtId="164" fontId="5" fillId="0" borderId="4" xfId="0" applyNumberFormat="1" applyFont="1" applyBorder="1"/>
    <xf numFmtId="165" fontId="5" fillId="6" borderId="4" xfId="0" applyNumberFormat="1" applyFont="1" applyFill="1" applyBorder="1"/>
    <xf numFmtId="165" fontId="5" fillId="0" borderId="4" xfId="0" applyNumberFormat="1" applyFont="1" applyBorder="1"/>
    <xf numFmtId="166" fontId="5" fillId="6" borderId="4" xfId="0" applyNumberFormat="1" applyFont="1" applyFill="1" applyBorder="1"/>
    <xf numFmtId="166" fontId="5" fillId="0" borderId="4" xfId="0" applyNumberFormat="1" applyFont="1" applyBorder="1"/>
    <xf numFmtId="0" fontId="5" fillId="3" borderId="4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8" fillId="5" borderId="5" xfId="0" applyFont="1" applyFill="1" applyBorder="1" applyAlignment="1"/>
    <xf numFmtId="167" fontId="5" fillId="6" borderId="4" xfId="0" applyNumberFormat="1" applyFont="1" applyFill="1" applyBorder="1" applyAlignment="1"/>
    <xf numFmtId="0" fontId="5" fillId="6" borderId="4" xfId="0" applyFont="1" applyFill="1" applyBorder="1" applyAlignment="1"/>
    <xf numFmtId="165" fontId="5" fillId="6" borderId="4" xfId="0" applyNumberFormat="1" applyFont="1" applyFill="1" applyBorder="1" applyAlignment="1"/>
    <xf numFmtId="167" fontId="5" fillId="0" borderId="4" xfId="0" applyNumberFormat="1" applyFont="1" applyBorder="1" applyAlignment="1"/>
    <xf numFmtId="0" fontId="5" fillId="0" borderId="4" xfId="0" applyFont="1" applyBorder="1" applyAlignment="1"/>
    <xf numFmtId="165" fontId="5" fillId="0" borderId="4" xfId="0" applyNumberFormat="1" applyFont="1" applyBorder="1" applyAlignment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F262B48-54BF-514B-23DA-39FB342841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C3A947-2711-A719-2213-6A70525903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E3664B-2EF9-C86B-DA3B-BAF07612485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63500</xdr:colOff>
      <xdr:row>0</xdr:row>
      <xdr:rowOff>12700</xdr:rowOff>
    </xdr:from>
    <xdr:to>
      <xdr:col>25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ECA5707-05D6-D0ED-43EF-B3243FE8608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083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E3B6B4-016C-74D3-640F-EEFCA316DAA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2E988A-36D7-AE9D-8F43-4FB947D235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9E9935-DB69-D93C-C92D-F0C9E5634F3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358DFB-8D80-C187-0053-6C44650301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:N32"/>
  <sheetViews>
    <sheetView workbookViewId="0">
      <selection activeCell="C29" sqref="C29"/>
    </sheetView>
  </sheetViews>
  <sheetFormatPr defaultRowHeight="14.25" x14ac:dyDescent="0.45"/>
  <cols>
    <col min="3" max="3" width="10.59765625" customWidth="1"/>
    <col min="4" max="4" width="30.59765625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/>
    <row r="10" spans="1:8" ht="15.75" thickBot="1" x14ac:dyDescent="0.6">
      <c r="A10" t="str">
        <f>IFERROR([1]Veda!D5,"ts_24c")</f>
        <v>ts_24c</v>
      </c>
      <c r="B10" s="5"/>
      <c r="C10" s="7" t="s">
        <v>191</v>
      </c>
      <c r="D10" s="7" t="s">
        <v>50</v>
      </c>
    </row>
    <row r="11" spans="1:8" x14ac:dyDescent="0.45">
      <c r="B11" s="5"/>
      <c r="C11" s="8" t="s">
        <v>192</v>
      </c>
      <c r="D11" s="8" t="s">
        <v>193</v>
      </c>
    </row>
    <row r="12" spans="1:8" x14ac:dyDescent="0.45">
      <c r="B12" s="5"/>
      <c r="C12" s="16" t="s">
        <v>194</v>
      </c>
      <c r="D12" s="9" t="s">
        <v>195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S03aH01,S01aH01,S04aH01,S04aH06,S03aH06,S02aH06,S01aH06,S02aH01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S02aH02,S02aH03,S03aH04,S03aH02,S04aH02,S03aH05,S03aH03,S04aH05,S01aH04,S01aH02,S04aH04,S02aH04,S02aH05,S01aH03,S01aH05,S04aH03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37A2-732B-424D-932C-900ADEDEC447}">
  <dimension ref="A1:H16"/>
  <sheetViews>
    <sheetView workbookViewId="0">
      <selection sqref="A1:H1"/>
    </sheetView>
  </sheetViews>
  <sheetFormatPr defaultRowHeight="14.25" x14ac:dyDescent="0.45"/>
  <cols>
    <col min="3" max="5" width="10.59765625" customWidth="1"/>
    <col min="6" max="6" width="12.1328125" bestFit="1" customWidth="1"/>
    <col min="7" max="7" width="10.59765625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C9" s="6" t="str">
        <f>IF(A11="x","DeActivated","~TimeSlices")</f>
        <v>~TimeSlices</v>
      </c>
    </row>
    <row r="10" spans="1:8" ht="15.75" thickBot="1" x14ac:dyDescent="0.6">
      <c r="A10" t="s">
        <v>50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</row>
    <row r="11" spans="1:8" x14ac:dyDescent="0.45">
      <c r="A11" t="str">
        <f>IFERROR(IF([1]Veda!D5=A10,"ok","x"),"")</f>
        <v/>
      </c>
      <c r="C11" s="8" t="s">
        <v>37</v>
      </c>
      <c r="D11" s="8" t="s">
        <v>38</v>
      </c>
      <c r="E11" s="8" t="s">
        <v>39</v>
      </c>
      <c r="F11" s="8" t="s">
        <v>40</v>
      </c>
      <c r="G11" s="8" t="s">
        <v>38</v>
      </c>
    </row>
    <row r="12" spans="1:8" x14ac:dyDescent="0.45">
      <c r="C12" s="9" t="s">
        <v>41</v>
      </c>
      <c r="D12" s="9"/>
      <c r="E12" s="9" t="s">
        <v>42</v>
      </c>
      <c r="F12" s="9"/>
      <c r="G12" s="9" t="s">
        <v>38</v>
      </c>
    </row>
    <row r="13" spans="1:8" x14ac:dyDescent="0.45">
      <c r="C13" s="8" t="s">
        <v>43</v>
      </c>
      <c r="D13" s="8"/>
      <c r="E13" s="8" t="s">
        <v>44</v>
      </c>
      <c r="F13" s="8"/>
      <c r="G13" s="8" t="s">
        <v>38</v>
      </c>
    </row>
    <row r="14" spans="1:8" x14ac:dyDescent="0.45">
      <c r="C14" s="9" t="s">
        <v>45</v>
      </c>
      <c r="D14" s="9"/>
      <c r="E14" s="9" t="s">
        <v>46</v>
      </c>
      <c r="F14" s="9"/>
      <c r="G14" s="9" t="s">
        <v>38</v>
      </c>
    </row>
    <row r="15" spans="1:8" x14ac:dyDescent="0.45">
      <c r="C15" s="8"/>
      <c r="D15" s="8"/>
      <c r="E15" s="8" t="s">
        <v>47</v>
      </c>
      <c r="F15" s="8"/>
      <c r="G15" s="8" t="s">
        <v>38</v>
      </c>
    </row>
    <row r="16" spans="1:8" x14ac:dyDescent="0.45">
      <c r="C16" s="9"/>
      <c r="D16" s="9"/>
      <c r="E16" s="9" t="s">
        <v>48</v>
      </c>
      <c r="F16" s="9"/>
      <c r="G16" s="9" t="s">
        <v>38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934DD-11C7-49A4-B9B3-FE21D7E2B3D6}">
  <dimension ref="A1:O490"/>
  <sheetViews>
    <sheetView workbookViewId="0">
      <selection sqref="A1:H1"/>
    </sheetView>
  </sheetViews>
  <sheetFormatPr defaultRowHeight="14.25" x14ac:dyDescent="0.45"/>
  <cols>
    <col min="2" max="2" width="12.53125" bestFit="1" customWidth="1"/>
    <col min="3" max="5" width="10.59765625" customWidth="1"/>
    <col min="7" max="7" width="13.19921875" bestFit="1" customWidth="1"/>
    <col min="8" max="10" width="10.59765625" customWidth="1"/>
    <col min="12" max="12" width="12.796875" bestFit="1" customWidth="1"/>
    <col min="13" max="15" width="10.59765625" customWidth="1"/>
  </cols>
  <sheetData>
    <row r="1" spans="1:15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15" ht="14.65" thickBot="1" x14ac:dyDescent="0.5">
      <c r="B9" s="6" t="str">
        <f>IF(A11="x","DeActivated","~TFM_DINS-AT")</f>
        <v>~TFM_DINS-AT</v>
      </c>
      <c r="G9" s="6" t="str">
        <f>IF(A11="x","DeActivated","~TFM_DINS-AT")</f>
        <v>~TFM_DINS-AT</v>
      </c>
      <c r="L9" s="6" t="str">
        <f>IF(A11="x","DeActivated","~TFM_DINS-AT")</f>
        <v>~TFM_DINS-AT</v>
      </c>
    </row>
    <row r="10" spans="1:15" ht="15.75" thickBot="1" x14ac:dyDescent="0.6">
      <c r="B10" s="7" t="s">
        <v>51</v>
      </c>
      <c r="C10" s="7" t="s">
        <v>52</v>
      </c>
      <c r="D10" s="7" t="s">
        <v>53</v>
      </c>
      <c r="E10" s="7" t="s">
        <v>54</v>
      </c>
      <c r="G10" s="7" t="s">
        <v>51</v>
      </c>
      <c r="H10" s="7" t="s">
        <v>52</v>
      </c>
      <c r="I10" s="7" t="s">
        <v>53</v>
      </c>
      <c r="J10" s="7" t="s">
        <v>54</v>
      </c>
      <c r="L10" s="7" t="s">
        <v>51</v>
      </c>
      <c r="M10" s="7" t="s">
        <v>52</v>
      </c>
      <c r="N10" s="7" t="s">
        <v>53</v>
      </c>
      <c r="O10" s="7" t="s">
        <v>54</v>
      </c>
    </row>
    <row r="11" spans="1:15" x14ac:dyDescent="0.45">
      <c r="B11" s="8" t="s">
        <v>55</v>
      </c>
      <c r="C11" s="8" t="s">
        <v>56</v>
      </c>
      <c r="D11" s="10">
        <v>0</v>
      </c>
      <c r="E11" s="8" t="s">
        <v>57</v>
      </c>
      <c r="G11" s="8" t="s">
        <v>100</v>
      </c>
      <c r="H11" s="8" t="s">
        <v>56</v>
      </c>
      <c r="I11" s="12">
        <v>0.11956278541841053</v>
      </c>
      <c r="J11" s="8" t="s">
        <v>57</v>
      </c>
      <c r="L11" s="8" t="s">
        <v>120</v>
      </c>
      <c r="M11" s="8" t="s">
        <v>56</v>
      </c>
      <c r="N11" s="12">
        <v>0.11730352100613828</v>
      </c>
      <c r="O11" s="8" t="s">
        <v>57</v>
      </c>
    </row>
    <row r="12" spans="1:15" x14ac:dyDescent="0.45">
      <c r="B12" s="9" t="s">
        <v>55</v>
      </c>
      <c r="C12" s="9" t="s">
        <v>58</v>
      </c>
      <c r="D12" s="11">
        <v>2.886377869921911E-4</v>
      </c>
      <c r="E12" s="9" t="s">
        <v>57</v>
      </c>
      <c r="G12" s="9" t="s">
        <v>100</v>
      </c>
      <c r="H12" s="9" t="s">
        <v>58</v>
      </c>
      <c r="I12" s="13">
        <v>5.9502319623566662E-2</v>
      </c>
      <c r="J12" s="9" t="s">
        <v>57</v>
      </c>
      <c r="L12" s="9" t="s">
        <v>120</v>
      </c>
      <c r="M12" s="9" t="s">
        <v>58</v>
      </c>
      <c r="N12" s="13">
        <v>5.7467555324676872E-2</v>
      </c>
      <c r="O12" s="9" t="s">
        <v>57</v>
      </c>
    </row>
    <row r="13" spans="1:15" x14ac:dyDescent="0.45">
      <c r="B13" s="8" t="s">
        <v>55</v>
      </c>
      <c r="C13" s="8" t="s">
        <v>59</v>
      </c>
      <c r="D13" s="10">
        <v>2.6662828786478004E-2</v>
      </c>
      <c r="E13" s="8" t="s">
        <v>57</v>
      </c>
      <c r="G13" s="8" t="s">
        <v>100</v>
      </c>
      <c r="H13" s="8" t="s">
        <v>59</v>
      </c>
      <c r="I13" s="12">
        <v>4.233117018760673E-2</v>
      </c>
      <c r="J13" s="8" t="s">
        <v>57</v>
      </c>
      <c r="L13" s="8" t="s">
        <v>120</v>
      </c>
      <c r="M13" s="8" t="s">
        <v>59</v>
      </c>
      <c r="N13" s="12">
        <v>4.2174763669265258E-2</v>
      </c>
      <c r="O13" s="8" t="s">
        <v>57</v>
      </c>
    </row>
    <row r="14" spans="1:15" x14ac:dyDescent="0.45">
      <c r="B14" s="9" t="s">
        <v>55</v>
      </c>
      <c r="C14" s="9" t="s">
        <v>60</v>
      </c>
      <c r="D14" s="11">
        <v>3.826110857568351E-2</v>
      </c>
      <c r="E14" s="9" t="s">
        <v>57</v>
      </c>
      <c r="G14" s="9" t="s">
        <v>100</v>
      </c>
      <c r="H14" s="9" t="s">
        <v>60</v>
      </c>
      <c r="I14" s="13">
        <v>3.8541454446855049E-2</v>
      </c>
      <c r="J14" s="9" t="s">
        <v>57</v>
      </c>
      <c r="L14" s="9" t="s">
        <v>120</v>
      </c>
      <c r="M14" s="9" t="s">
        <v>60</v>
      </c>
      <c r="N14" s="13">
        <v>3.9921370283267865E-2</v>
      </c>
      <c r="O14" s="9" t="s">
        <v>57</v>
      </c>
    </row>
    <row r="15" spans="1:15" x14ac:dyDescent="0.45">
      <c r="B15" s="8" t="s">
        <v>55</v>
      </c>
      <c r="C15" s="8" t="s">
        <v>61</v>
      </c>
      <c r="D15" s="10">
        <v>1.5671175525323933E-2</v>
      </c>
      <c r="E15" s="8" t="s">
        <v>57</v>
      </c>
      <c r="G15" s="8" t="s">
        <v>100</v>
      </c>
      <c r="H15" s="8" t="s">
        <v>61</v>
      </c>
      <c r="I15" s="12">
        <v>4.1932762518258317E-2</v>
      </c>
      <c r="J15" s="8" t="s">
        <v>57</v>
      </c>
      <c r="L15" s="8" t="s">
        <v>120</v>
      </c>
      <c r="M15" s="8" t="s">
        <v>61</v>
      </c>
      <c r="N15" s="12">
        <v>4.2152320709938865E-2</v>
      </c>
      <c r="O15" s="8" t="s">
        <v>57</v>
      </c>
    </row>
    <row r="16" spans="1:15" x14ac:dyDescent="0.45">
      <c r="B16" s="9" t="s">
        <v>55</v>
      </c>
      <c r="C16" s="9" t="s">
        <v>62</v>
      </c>
      <c r="D16" s="11">
        <v>3.4620477319853018E-6</v>
      </c>
      <c r="E16" s="9" t="s">
        <v>57</v>
      </c>
      <c r="G16" s="9" t="s">
        <v>100</v>
      </c>
      <c r="H16" s="9" t="s">
        <v>62</v>
      </c>
      <c r="I16" s="13">
        <v>4.6717589337845859E-2</v>
      </c>
      <c r="J16" s="9" t="s">
        <v>57</v>
      </c>
      <c r="L16" s="9" t="s">
        <v>120</v>
      </c>
      <c r="M16" s="9" t="s">
        <v>62</v>
      </c>
      <c r="N16" s="13">
        <v>4.4825566494419614E-2</v>
      </c>
      <c r="O16" s="9" t="s">
        <v>57</v>
      </c>
    </row>
    <row r="17" spans="2:15" x14ac:dyDescent="0.45">
      <c r="B17" s="8" t="s">
        <v>55</v>
      </c>
      <c r="C17" s="8" t="s">
        <v>63</v>
      </c>
      <c r="D17" s="10">
        <v>0</v>
      </c>
      <c r="E17" s="8" t="s">
        <v>57</v>
      </c>
      <c r="G17" s="8" t="s">
        <v>100</v>
      </c>
      <c r="H17" s="8" t="s">
        <v>63</v>
      </c>
      <c r="I17" s="12">
        <v>0.10142141642184767</v>
      </c>
      <c r="J17" s="8" t="s">
        <v>57</v>
      </c>
      <c r="L17" s="8" t="s">
        <v>120</v>
      </c>
      <c r="M17" s="8" t="s">
        <v>63</v>
      </c>
      <c r="N17" s="12">
        <v>8.627257404370707E-2</v>
      </c>
      <c r="O17" s="8" t="s">
        <v>57</v>
      </c>
    </row>
    <row r="18" spans="2:15" x14ac:dyDescent="0.45">
      <c r="B18" s="9" t="s">
        <v>55</v>
      </c>
      <c r="C18" s="9" t="s">
        <v>64</v>
      </c>
      <c r="D18" s="11">
        <v>4.411552378153262E-2</v>
      </c>
      <c r="E18" s="9" t="s">
        <v>57</v>
      </c>
      <c r="G18" s="9" t="s">
        <v>100</v>
      </c>
      <c r="H18" s="9" t="s">
        <v>64</v>
      </c>
      <c r="I18" s="13">
        <v>4.382014850696065E-2</v>
      </c>
      <c r="J18" s="9" t="s">
        <v>57</v>
      </c>
      <c r="L18" s="9" t="s">
        <v>120</v>
      </c>
      <c r="M18" s="9" t="s">
        <v>64</v>
      </c>
      <c r="N18" s="13">
        <v>3.9403478643390152E-2</v>
      </c>
      <c r="O18" s="9" t="s">
        <v>57</v>
      </c>
    </row>
    <row r="19" spans="2:15" x14ac:dyDescent="0.45">
      <c r="B19" s="8" t="s">
        <v>55</v>
      </c>
      <c r="C19" s="8" t="s">
        <v>65</v>
      </c>
      <c r="D19" s="10">
        <v>9.833603694832603E-2</v>
      </c>
      <c r="E19" s="8" t="s">
        <v>57</v>
      </c>
      <c r="G19" s="8" t="s">
        <v>100</v>
      </c>
      <c r="H19" s="8" t="s">
        <v>65</v>
      </c>
      <c r="I19" s="12">
        <v>2.7281293528313946E-2</v>
      </c>
      <c r="J19" s="8" t="s">
        <v>57</v>
      </c>
      <c r="L19" s="8" t="s">
        <v>120</v>
      </c>
      <c r="M19" s="8" t="s">
        <v>65</v>
      </c>
      <c r="N19" s="12">
        <v>2.5282608716076658E-2</v>
      </c>
      <c r="O19" s="8" t="s">
        <v>57</v>
      </c>
    </row>
    <row r="20" spans="2:15" x14ac:dyDescent="0.45">
      <c r="B20" s="9" t="s">
        <v>55</v>
      </c>
      <c r="C20" s="9" t="s">
        <v>66</v>
      </c>
      <c r="D20" s="11">
        <v>9.6585944089758027E-2</v>
      </c>
      <c r="E20" s="9" t="s">
        <v>57</v>
      </c>
      <c r="G20" s="9" t="s">
        <v>100</v>
      </c>
      <c r="H20" s="9" t="s">
        <v>66</v>
      </c>
      <c r="I20" s="13">
        <v>2.7548223439425208E-2</v>
      </c>
      <c r="J20" s="9" t="s">
        <v>57</v>
      </c>
      <c r="L20" s="9" t="s">
        <v>120</v>
      </c>
      <c r="M20" s="9" t="s">
        <v>66</v>
      </c>
      <c r="N20" s="13">
        <v>2.5852372917249112E-2</v>
      </c>
      <c r="O20" s="9" t="s">
        <v>57</v>
      </c>
    </row>
    <row r="21" spans="2:15" x14ac:dyDescent="0.45">
      <c r="B21" s="8" t="s">
        <v>55</v>
      </c>
      <c r="C21" s="8" t="s">
        <v>67</v>
      </c>
      <c r="D21" s="10">
        <v>7.0885625319559442E-2</v>
      </c>
      <c r="E21" s="8" t="s">
        <v>57</v>
      </c>
      <c r="G21" s="8" t="s">
        <v>100</v>
      </c>
      <c r="H21" s="8" t="s">
        <v>67</v>
      </c>
      <c r="I21" s="12">
        <v>2.8590141661899084E-2</v>
      </c>
      <c r="J21" s="8" t="s">
        <v>57</v>
      </c>
      <c r="L21" s="8" t="s">
        <v>120</v>
      </c>
      <c r="M21" s="8" t="s">
        <v>67</v>
      </c>
      <c r="N21" s="12">
        <v>2.7778679617093682E-2</v>
      </c>
      <c r="O21" s="8" t="s">
        <v>57</v>
      </c>
    </row>
    <row r="22" spans="2:15" x14ac:dyDescent="0.45">
      <c r="B22" s="9" t="s">
        <v>55</v>
      </c>
      <c r="C22" s="9" t="s">
        <v>68</v>
      </c>
      <c r="D22" s="11">
        <v>1.7628868992700539E-2</v>
      </c>
      <c r="E22" s="9" t="s">
        <v>57</v>
      </c>
      <c r="G22" s="9" t="s">
        <v>100</v>
      </c>
      <c r="H22" s="9" t="s">
        <v>68</v>
      </c>
      <c r="I22" s="13">
        <v>3.3883961500266513E-2</v>
      </c>
      <c r="J22" s="9" t="s">
        <v>57</v>
      </c>
      <c r="L22" s="9" t="s">
        <v>120</v>
      </c>
      <c r="M22" s="9" t="s">
        <v>68</v>
      </c>
      <c r="N22" s="13">
        <v>3.0870262282128084E-2</v>
      </c>
      <c r="O22" s="9" t="s">
        <v>57</v>
      </c>
    </row>
    <row r="23" spans="2:15" x14ac:dyDescent="0.45">
      <c r="B23" s="8" t="s">
        <v>55</v>
      </c>
      <c r="C23" s="8" t="s">
        <v>69</v>
      </c>
      <c r="D23" s="10">
        <v>0</v>
      </c>
      <c r="E23" s="8" t="s">
        <v>57</v>
      </c>
      <c r="G23" s="8" t="s">
        <v>100</v>
      </c>
      <c r="H23" s="8" t="s">
        <v>69</v>
      </c>
      <c r="I23" s="12">
        <v>5.4608122622768283E-2</v>
      </c>
      <c r="J23" s="8" t="s">
        <v>57</v>
      </c>
      <c r="L23" s="8" t="s">
        <v>120</v>
      </c>
      <c r="M23" s="8" t="s">
        <v>69</v>
      </c>
      <c r="N23" s="12">
        <v>4.9485949509469926E-2</v>
      </c>
      <c r="O23" s="8" t="s">
        <v>57</v>
      </c>
    </row>
    <row r="24" spans="2:15" x14ac:dyDescent="0.45">
      <c r="B24" s="9" t="s">
        <v>55</v>
      </c>
      <c r="C24" s="9" t="s">
        <v>70</v>
      </c>
      <c r="D24" s="11">
        <v>6.9596119219040256E-2</v>
      </c>
      <c r="E24" s="9" t="s">
        <v>57</v>
      </c>
      <c r="G24" s="9" t="s">
        <v>100</v>
      </c>
      <c r="H24" s="9" t="s">
        <v>70</v>
      </c>
      <c r="I24" s="13">
        <v>1.7832385921365497E-2</v>
      </c>
      <c r="J24" s="9" t="s">
        <v>57</v>
      </c>
      <c r="L24" s="9" t="s">
        <v>120</v>
      </c>
      <c r="M24" s="9" t="s">
        <v>70</v>
      </c>
      <c r="N24" s="13">
        <v>2.2677556409586096E-2</v>
      </c>
      <c r="O24" s="9" t="s">
        <v>57</v>
      </c>
    </row>
    <row r="25" spans="2:15" x14ac:dyDescent="0.45">
      <c r="B25" s="8" t="s">
        <v>55</v>
      </c>
      <c r="C25" s="8" t="s">
        <v>71</v>
      </c>
      <c r="D25" s="10">
        <v>0.11563633010284727</v>
      </c>
      <c r="E25" s="8" t="s">
        <v>57</v>
      </c>
      <c r="G25" s="8" t="s">
        <v>100</v>
      </c>
      <c r="H25" s="8" t="s">
        <v>71</v>
      </c>
      <c r="I25" s="12">
        <v>1.2411269697978134E-2</v>
      </c>
      <c r="J25" s="8" t="s">
        <v>57</v>
      </c>
      <c r="L25" s="8" t="s">
        <v>120</v>
      </c>
      <c r="M25" s="8" t="s">
        <v>71</v>
      </c>
      <c r="N25" s="12">
        <v>1.631761742595585E-2</v>
      </c>
      <c r="O25" s="8" t="s">
        <v>57</v>
      </c>
    </row>
    <row r="26" spans="2:15" x14ac:dyDescent="0.45">
      <c r="B26" s="9" t="s">
        <v>55</v>
      </c>
      <c r="C26" s="9" t="s">
        <v>72</v>
      </c>
      <c r="D26" s="11">
        <v>0.1117348435753798</v>
      </c>
      <c r="E26" s="9" t="s">
        <v>57</v>
      </c>
      <c r="G26" s="9" t="s">
        <v>100</v>
      </c>
      <c r="H26" s="9" t="s">
        <v>72</v>
      </c>
      <c r="I26" s="13">
        <v>1.3941287056916182E-2</v>
      </c>
      <c r="J26" s="9" t="s">
        <v>57</v>
      </c>
      <c r="L26" s="9" t="s">
        <v>120</v>
      </c>
      <c r="M26" s="9" t="s">
        <v>72</v>
      </c>
      <c r="N26" s="13">
        <v>1.8345144105987359E-2</v>
      </c>
      <c r="O26" s="9" t="s">
        <v>57</v>
      </c>
    </row>
    <row r="27" spans="2:15" x14ac:dyDescent="0.45">
      <c r="B27" s="8" t="s">
        <v>55</v>
      </c>
      <c r="C27" s="8" t="s">
        <v>73</v>
      </c>
      <c r="D27" s="10">
        <v>9.1259216813462898E-2</v>
      </c>
      <c r="E27" s="8" t="s">
        <v>57</v>
      </c>
      <c r="G27" s="8" t="s">
        <v>100</v>
      </c>
      <c r="H27" s="8" t="s">
        <v>73</v>
      </c>
      <c r="I27" s="12">
        <v>1.5250438011441594E-2</v>
      </c>
      <c r="J27" s="8" t="s">
        <v>57</v>
      </c>
      <c r="L27" s="8" t="s">
        <v>120</v>
      </c>
      <c r="M27" s="8" t="s">
        <v>73</v>
      </c>
      <c r="N27" s="12">
        <v>2.0888991536987696E-2</v>
      </c>
      <c r="O27" s="8" t="s">
        <v>57</v>
      </c>
    </row>
    <row r="28" spans="2:15" x14ac:dyDescent="0.45">
      <c r="B28" s="9" t="s">
        <v>55</v>
      </c>
      <c r="C28" s="9" t="s">
        <v>74</v>
      </c>
      <c r="D28" s="11">
        <v>3.6769461539659827E-2</v>
      </c>
      <c r="E28" s="9" t="s">
        <v>57</v>
      </c>
      <c r="G28" s="9" t="s">
        <v>100</v>
      </c>
      <c r="H28" s="9" t="s">
        <v>74</v>
      </c>
      <c r="I28" s="13">
        <v>1.5846213598196074E-2</v>
      </c>
      <c r="J28" s="9" t="s">
        <v>57</v>
      </c>
      <c r="L28" s="9" t="s">
        <v>120</v>
      </c>
      <c r="M28" s="9" t="s">
        <v>74</v>
      </c>
      <c r="N28" s="13">
        <v>1.9053685088070111E-2</v>
      </c>
      <c r="O28" s="9" t="s">
        <v>57</v>
      </c>
    </row>
    <row r="29" spans="2:15" x14ac:dyDescent="0.45">
      <c r="B29" s="8" t="s">
        <v>55</v>
      </c>
      <c r="C29" s="8" t="s">
        <v>75</v>
      </c>
      <c r="D29" s="10">
        <v>0</v>
      </c>
      <c r="E29" s="8" t="s">
        <v>57</v>
      </c>
      <c r="G29" s="8" t="s">
        <v>100</v>
      </c>
      <c r="H29" s="8" t="s">
        <v>75</v>
      </c>
      <c r="I29" s="12">
        <v>9.4358164138901565E-2</v>
      </c>
      <c r="J29" s="8" t="s">
        <v>57</v>
      </c>
      <c r="L29" s="8" t="s">
        <v>120</v>
      </c>
      <c r="M29" s="8" t="s">
        <v>75</v>
      </c>
      <c r="N29" s="12">
        <v>9.398863479532997E-2</v>
      </c>
      <c r="O29" s="8" t="s">
        <v>57</v>
      </c>
    </row>
    <row r="30" spans="2:15" x14ac:dyDescent="0.45">
      <c r="B30" s="9" t="s">
        <v>55</v>
      </c>
      <c r="C30" s="9" t="s">
        <v>76</v>
      </c>
      <c r="D30" s="11">
        <v>1.3659515355795621E-2</v>
      </c>
      <c r="E30" s="9" t="s">
        <v>57</v>
      </c>
      <c r="G30" s="9" t="s">
        <v>100</v>
      </c>
      <c r="H30" s="9" t="s">
        <v>76</v>
      </c>
      <c r="I30" s="13">
        <v>4.1841165021229497E-2</v>
      </c>
      <c r="J30" s="9" t="s">
        <v>57</v>
      </c>
      <c r="L30" s="9" t="s">
        <v>120</v>
      </c>
      <c r="M30" s="9" t="s">
        <v>76</v>
      </c>
      <c r="N30" s="13">
        <v>4.389541370944381E-2</v>
      </c>
      <c r="O30" s="9" t="s">
        <v>57</v>
      </c>
    </row>
    <row r="31" spans="2:15" x14ac:dyDescent="0.45">
      <c r="B31" s="8" t="s">
        <v>55</v>
      </c>
      <c r="C31" s="8" t="s">
        <v>77</v>
      </c>
      <c r="D31" s="10">
        <v>5.3204115042542376E-2</v>
      </c>
      <c r="E31" s="8" t="s">
        <v>57</v>
      </c>
      <c r="G31" s="8" t="s">
        <v>100</v>
      </c>
      <c r="H31" s="8" t="s">
        <v>77</v>
      </c>
      <c r="I31" s="12">
        <v>2.7764626885672765E-2</v>
      </c>
      <c r="J31" s="8" t="s">
        <v>57</v>
      </c>
      <c r="L31" s="8" t="s">
        <v>120</v>
      </c>
      <c r="M31" s="8" t="s">
        <v>77</v>
      </c>
      <c r="N31" s="12">
        <v>3.1970274661579312E-2</v>
      </c>
      <c r="O31" s="8" t="s">
        <v>57</v>
      </c>
    </row>
    <row r="32" spans="2:15" x14ac:dyDescent="0.45">
      <c r="B32" s="9" t="s">
        <v>55</v>
      </c>
      <c r="C32" s="9" t="s">
        <v>78</v>
      </c>
      <c r="D32" s="11">
        <v>5.9489646410343183E-2</v>
      </c>
      <c r="E32" s="9" t="s">
        <v>57</v>
      </c>
      <c r="G32" s="9" t="s">
        <v>100</v>
      </c>
      <c r="H32" s="9" t="s">
        <v>78</v>
      </c>
      <c r="I32" s="13">
        <v>2.7666946262202226E-2</v>
      </c>
      <c r="J32" s="9" t="s">
        <v>57</v>
      </c>
      <c r="L32" s="9" t="s">
        <v>120</v>
      </c>
      <c r="M32" s="9" t="s">
        <v>78</v>
      </c>
      <c r="N32" s="13">
        <v>3.2110754467168705E-2</v>
      </c>
      <c r="O32" s="9" t="s">
        <v>57</v>
      </c>
    </row>
    <row r="33" spans="2:15" x14ac:dyDescent="0.45">
      <c r="B33" s="8" t="s">
        <v>55</v>
      </c>
      <c r="C33" s="8" t="s">
        <v>79</v>
      </c>
      <c r="D33" s="10">
        <v>3.7542466494057361E-2</v>
      </c>
      <c r="E33" s="8" t="s">
        <v>57</v>
      </c>
      <c r="G33" s="8" t="s">
        <v>100</v>
      </c>
      <c r="H33" s="8" t="s">
        <v>79</v>
      </c>
      <c r="I33" s="12">
        <v>3.0418186365304994E-2</v>
      </c>
      <c r="J33" s="8" t="s">
        <v>57</v>
      </c>
      <c r="L33" s="8" t="s">
        <v>120</v>
      </c>
      <c r="M33" s="8" t="s">
        <v>79</v>
      </c>
      <c r="N33" s="12">
        <v>3.4760571393210843E-2</v>
      </c>
      <c r="O33" s="8" t="s">
        <v>57</v>
      </c>
    </row>
    <row r="34" spans="2:15" x14ac:dyDescent="0.45">
      <c r="B34" s="9" t="s">
        <v>55</v>
      </c>
      <c r="C34" s="9" t="s">
        <v>80</v>
      </c>
      <c r="D34" s="11">
        <v>2.6690735927857134E-3</v>
      </c>
      <c r="E34" s="9" t="s">
        <v>57</v>
      </c>
      <c r="G34" s="9" t="s">
        <v>100</v>
      </c>
      <c r="H34" s="9" t="s">
        <v>80</v>
      </c>
      <c r="I34" s="13">
        <v>3.6927927826768736E-2</v>
      </c>
      <c r="J34" s="9" t="s">
        <v>57</v>
      </c>
      <c r="L34" s="9" t="s">
        <v>120</v>
      </c>
      <c r="M34" s="9" t="s">
        <v>80</v>
      </c>
      <c r="N34" s="13">
        <v>3.7200333189862864E-2</v>
      </c>
      <c r="O34" s="9" t="s">
        <v>57</v>
      </c>
    </row>
    <row r="35" spans="2:15" x14ac:dyDescent="0.45">
      <c r="B35" s="8" t="s">
        <v>81</v>
      </c>
      <c r="C35" s="8" t="s">
        <v>56</v>
      </c>
      <c r="D35" s="10">
        <v>0</v>
      </c>
      <c r="E35" s="8" t="s">
        <v>57</v>
      </c>
      <c r="G35" s="8" t="s">
        <v>101</v>
      </c>
      <c r="H35" s="8" t="s">
        <v>56</v>
      </c>
      <c r="I35" s="12">
        <v>0.12076383941476725</v>
      </c>
      <c r="J35" s="8" t="s">
        <v>57</v>
      </c>
      <c r="L35" s="8" t="s">
        <v>121</v>
      </c>
      <c r="M35" s="8" t="s">
        <v>56</v>
      </c>
      <c r="N35" s="12">
        <v>0.10298995987707794</v>
      </c>
      <c r="O35" s="8" t="s">
        <v>57</v>
      </c>
    </row>
    <row r="36" spans="2:15" x14ac:dyDescent="0.45">
      <c r="B36" s="9" t="s">
        <v>81</v>
      </c>
      <c r="C36" s="9" t="s">
        <v>58</v>
      </c>
      <c r="D36" s="11">
        <v>7.7909925145441599E-4</v>
      </c>
      <c r="E36" s="9" t="s">
        <v>57</v>
      </c>
      <c r="G36" s="9" t="s">
        <v>101</v>
      </c>
      <c r="H36" s="9" t="s">
        <v>58</v>
      </c>
      <c r="I36" s="13">
        <v>6.0123565071812407E-2</v>
      </c>
      <c r="J36" s="9" t="s">
        <v>57</v>
      </c>
      <c r="L36" s="9" t="s">
        <v>121</v>
      </c>
      <c r="M36" s="9" t="s">
        <v>58</v>
      </c>
      <c r="N36" s="13">
        <v>5.0797131413510048E-2</v>
      </c>
      <c r="O36" s="9" t="s">
        <v>57</v>
      </c>
    </row>
    <row r="37" spans="2:15" x14ac:dyDescent="0.45">
      <c r="B37" s="8" t="s">
        <v>81</v>
      </c>
      <c r="C37" s="8" t="s">
        <v>59</v>
      </c>
      <c r="D37" s="10">
        <v>3.0790262776159216E-2</v>
      </c>
      <c r="E37" s="8" t="s">
        <v>57</v>
      </c>
      <c r="G37" s="8" t="s">
        <v>101</v>
      </c>
      <c r="H37" s="8" t="s">
        <v>59</v>
      </c>
      <c r="I37" s="12">
        <v>4.1532585149130836E-2</v>
      </c>
      <c r="J37" s="8" t="s">
        <v>57</v>
      </c>
      <c r="L37" s="8" t="s">
        <v>121</v>
      </c>
      <c r="M37" s="8" t="s">
        <v>59</v>
      </c>
      <c r="N37" s="12">
        <v>3.8911240590627054E-2</v>
      </c>
      <c r="O37" s="8" t="s">
        <v>57</v>
      </c>
    </row>
    <row r="38" spans="2:15" x14ac:dyDescent="0.45">
      <c r="B38" s="9" t="s">
        <v>81</v>
      </c>
      <c r="C38" s="9" t="s">
        <v>60</v>
      </c>
      <c r="D38" s="11">
        <v>4.4377318034353151E-2</v>
      </c>
      <c r="E38" s="9" t="s">
        <v>57</v>
      </c>
      <c r="G38" s="9" t="s">
        <v>101</v>
      </c>
      <c r="H38" s="9" t="s">
        <v>60</v>
      </c>
      <c r="I38" s="13">
        <v>4.0099823325129499E-2</v>
      </c>
      <c r="J38" s="9" t="s">
        <v>57</v>
      </c>
      <c r="L38" s="9" t="s">
        <v>121</v>
      </c>
      <c r="M38" s="9" t="s">
        <v>60</v>
      </c>
      <c r="N38" s="13">
        <v>3.7226205603755121E-2</v>
      </c>
      <c r="O38" s="9" t="s">
        <v>57</v>
      </c>
    </row>
    <row r="39" spans="2:15" x14ac:dyDescent="0.45">
      <c r="B39" s="8" t="s">
        <v>81</v>
      </c>
      <c r="C39" s="8" t="s">
        <v>61</v>
      </c>
      <c r="D39" s="10">
        <v>1.9049141561217293E-2</v>
      </c>
      <c r="E39" s="8" t="s">
        <v>57</v>
      </c>
      <c r="G39" s="8" t="s">
        <v>101</v>
      </c>
      <c r="H39" s="8" t="s">
        <v>61</v>
      </c>
      <c r="I39" s="12">
        <v>4.4009966732505915E-2</v>
      </c>
      <c r="J39" s="8" t="s">
        <v>57</v>
      </c>
      <c r="L39" s="8" t="s">
        <v>121</v>
      </c>
      <c r="M39" s="8" t="s">
        <v>61</v>
      </c>
      <c r="N39" s="12">
        <v>3.8863781271687665E-2</v>
      </c>
      <c r="O39" s="8" t="s">
        <v>57</v>
      </c>
    </row>
    <row r="40" spans="2:15" x14ac:dyDescent="0.45">
      <c r="B40" s="9" t="s">
        <v>81</v>
      </c>
      <c r="C40" s="9" t="s">
        <v>62</v>
      </c>
      <c r="D40" s="11">
        <v>0</v>
      </c>
      <c r="E40" s="9" t="s">
        <v>57</v>
      </c>
      <c r="G40" s="9" t="s">
        <v>101</v>
      </c>
      <c r="H40" s="9" t="s">
        <v>62</v>
      </c>
      <c r="I40" s="13">
        <v>4.7185855808865862E-2</v>
      </c>
      <c r="J40" s="9" t="s">
        <v>57</v>
      </c>
      <c r="L40" s="9" t="s">
        <v>121</v>
      </c>
      <c r="M40" s="9" t="s">
        <v>62</v>
      </c>
      <c r="N40" s="13">
        <v>4.0263552146047633E-2</v>
      </c>
      <c r="O40" s="9" t="s">
        <v>57</v>
      </c>
    </row>
    <row r="41" spans="2:15" x14ac:dyDescent="0.45">
      <c r="B41" s="8" t="s">
        <v>81</v>
      </c>
      <c r="C41" s="8" t="s">
        <v>63</v>
      </c>
      <c r="D41" s="10">
        <v>0</v>
      </c>
      <c r="E41" s="8" t="s">
        <v>57</v>
      </c>
      <c r="G41" s="8" t="s">
        <v>101</v>
      </c>
      <c r="H41" s="8" t="s">
        <v>63</v>
      </c>
      <c r="I41" s="12">
        <v>9.8092484909059974E-2</v>
      </c>
      <c r="J41" s="8" t="s">
        <v>57</v>
      </c>
      <c r="L41" s="8" t="s">
        <v>121</v>
      </c>
      <c r="M41" s="8" t="s">
        <v>63</v>
      </c>
      <c r="N41" s="12">
        <v>9.2323383127985409E-2</v>
      </c>
      <c r="O41" s="8" t="s">
        <v>57</v>
      </c>
    </row>
    <row r="42" spans="2:15" x14ac:dyDescent="0.45">
      <c r="B42" s="9" t="s">
        <v>81</v>
      </c>
      <c r="C42" s="9" t="s">
        <v>64</v>
      </c>
      <c r="D42" s="11">
        <v>4.3621056227276925E-2</v>
      </c>
      <c r="E42" s="9" t="s">
        <v>57</v>
      </c>
      <c r="G42" s="9" t="s">
        <v>101</v>
      </c>
      <c r="H42" s="9" t="s">
        <v>64</v>
      </c>
      <c r="I42" s="13">
        <v>4.283616651879734E-2</v>
      </c>
      <c r="J42" s="9" t="s">
        <v>57</v>
      </c>
      <c r="L42" s="9" t="s">
        <v>121</v>
      </c>
      <c r="M42" s="9" t="s">
        <v>64</v>
      </c>
      <c r="N42" s="13">
        <v>4.4495579344443918E-2</v>
      </c>
      <c r="O42" s="9" t="s">
        <v>57</v>
      </c>
    </row>
    <row r="43" spans="2:15" x14ac:dyDescent="0.45">
      <c r="B43" s="8" t="s">
        <v>81</v>
      </c>
      <c r="C43" s="8" t="s">
        <v>65</v>
      </c>
      <c r="D43" s="10">
        <v>9.1242959511784502E-2</v>
      </c>
      <c r="E43" s="8" t="s">
        <v>57</v>
      </c>
      <c r="G43" s="8" t="s">
        <v>101</v>
      </c>
      <c r="H43" s="8" t="s">
        <v>65</v>
      </c>
      <c r="I43" s="12">
        <v>2.6825407107575069E-2</v>
      </c>
      <c r="J43" s="8" t="s">
        <v>57</v>
      </c>
      <c r="L43" s="8" t="s">
        <v>121</v>
      </c>
      <c r="M43" s="8" t="s">
        <v>65</v>
      </c>
      <c r="N43" s="12">
        <v>3.0587109990881253E-2</v>
      </c>
      <c r="O43" s="8" t="s">
        <v>57</v>
      </c>
    </row>
    <row r="44" spans="2:15" x14ac:dyDescent="0.45">
      <c r="B44" s="9" t="s">
        <v>81</v>
      </c>
      <c r="C44" s="9" t="s">
        <v>66</v>
      </c>
      <c r="D44" s="11">
        <v>9.5299181579316286E-2</v>
      </c>
      <c r="E44" s="9" t="s">
        <v>57</v>
      </c>
      <c r="G44" s="9" t="s">
        <v>101</v>
      </c>
      <c r="H44" s="9" t="s">
        <v>66</v>
      </c>
      <c r="I44" s="13">
        <v>2.706736999337659E-2</v>
      </c>
      <c r="J44" s="9" t="s">
        <v>57</v>
      </c>
      <c r="L44" s="9" t="s">
        <v>121</v>
      </c>
      <c r="M44" s="9" t="s">
        <v>66</v>
      </c>
      <c r="N44" s="13">
        <v>2.7705097452870382E-2</v>
      </c>
      <c r="O44" s="9" t="s">
        <v>57</v>
      </c>
    </row>
    <row r="45" spans="2:15" x14ac:dyDescent="0.45">
      <c r="B45" s="8" t="s">
        <v>81</v>
      </c>
      <c r="C45" s="8" t="s">
        <v>67</v>
      </c>
      <c r="D45" s="10">
        <v>6.9582412116775544E-2</v>
      </c>
      <c r="E45" s="8" t="s">
        <v>57</v>
      </c>
      <c r="G45" s="8" t="s">
        <v>101</v>
      </c>
      <c r="H45" s="8" t="s">
        <v>67</v>
      </c>
      <c r="I45" s="12">
        <v>2.9429689530144788E-2</v>
      </c>
      <c r="J45" s="8" t="s">
        <v>57</v>
      </c>
      <c r="L45" s="8" t="s">
        <v>121</v>
      </c>
      <c r="M45" s="8" t="s">
        <v>67</v>
      </c>
      <c r="N45" s="12">
        <v>3.0680770600749366E-2</v>
      </c>
      <c r="O45" s="8" t="s">
        <v>57</v>
      </c>
    </row>
    <row r="46" spans="2:15" x14ac:dyDescent="0.45">
      <c r="B46" s="9" t="s">
        <v>81</v>
      </c>
      <c r="C46" s="9" t="s">
        <v>68</v>
      </c>
      <c r="D46" s="11">
        <v>1.5075418626712835E-2</v>
      </c>
      <c r="E46" s="9" t="s">
        <v>57</v>
      </c>
      <c r="G46" s="9" t="s">
        <v>101</v>
      </c>
      <c r="H46" s="9" t="s">
        <v>68</v>
      </c>
      <c r="I46" s="13">
        <v>3.4983913799755302E-2</v>
      </c>
      <c r="J46" s="9" t="s">
        <v>57</v>
      </c>
      <c r="L46" s="9" t="s">
        <v>121</v>
      </c>
      <c r="M46" s="9" t="s">
        <v>68</v>
      </c>
      <c r="N46" s="13">
        <v>3.4064693979621453E-2</v>
      </c>
      <c r="O46" s="9" t="s">
        <v>57</v>
      </c>
    </row>
    <row r="47" spans="2:15" x14ac:dyDescent="0.45">
      <c r="B47" s="8" t="s">
        <v>81</v>
      </c>
      <c r="C47" s="8" t="s">
        <v>69</v>
      </c>
      <c r="D47" s="10">
        <v>0</v>
      </c>
      <c r="E47" s="8" t="s">
        <v>57</v>
      </c>
      <c r="G47" s="8" t="s">
        <v>101</v>
      </c>
      <c r="H47" s="8" t="s">
        <v>69</v>
      </c>
      <c r="I47" s="12">
        <v>4.9478947194072677E-2</v>
      </c>
      <c r="J47" s="8" t="s">
        <v>57</v>
      </c>
      <c r="L47" s="8" t="s">
        <v>121</v>
      </c>
      <c r="M47" s="8" t="s">
        <v>69</v>
      </c>
      <c r="N47" s="12">
        <v>5.8642321211988438E-2</v>
      </c>
      <c r="O47" s="8" t="s">
        <v>57</v>
      </c>
    </row>
    <row r="48" spans="2:15" x14ac:dyDescent="0.45">
      <c r="B48" s="9" t="s">
        <v>81</v>
      </c>
      <c r="C48" s="9" t="s">
        <v>70</v>
      </c>
      <c r="D48" s="11">
        <v>7.0857998225011029E-2</v>
      </c>
      <c r="E48" s="9" t="s">
        <v>57</v>
      </c>
      <c r="G48" s="9" t="s">
        <v>101</v>
      </c>
      <c r="H48" s="9" t="s">
        <v>70</v>
      </c>
      <c r="I48" s="13">
        <v>1.7839674677226164E-2</v>
      </c>
      <c r="J48" s="9" t="s">
        <v>57</v>
      </c>
      <c r="L48" s="9" t="s">
        <v>121</v>
      </c>
      <c r="M48" s="9" t="s">
        <v>70</v>
      </c>
      <c r="N48" s="13">
        <v>2.84413169889947E-2</v>
      </c>
      <c r="O48" s="9" t="s">
        <v>57</v>
      </c>
    </row>
    <row r="49" spans="2:15" x14ac:dyDescent="0.45">
      <c r="B49" s="8" t="s">
        <v>81</v>
      </c>
      <c r="C49" s="8" t="s">
        <v>71</v>
      </c>
      <c r="D49" s="10">
        <v>0.1121327024107196</v>
      </c>
      <c r="E49" s="8" t="s">
        <v>57</v>
      </c>
      <c r="G49" s="8" t="s">
        <v>101</v>
      </c>
      <c r="H49" s="8" t="s">
        <v>71</v>
      </c>
      <c r="I49" s="12">
        <v>1.2616005620047025E-2</v>
      </c>
      <c r="J49" s="8" t="s">
        <v>57</v>
      </c>
      <c r="L49" s="8" t="s">
        <v>121</v>
      </c>
      <c r="M49" s="8" t="s">
        <v>71</v>
      </c>
      <c r="N49" s="12">
        <v>1.959304818556935E-2</v>
      </c>
      <c r="O49" s="8" t="s">
        <v>57</v>
      </c>
    </row>
    <row r="50" spans="2:15" x14ac:dyDescent="0.45">
      <c r="B50" s="9" t="s">
        <v>81</v>
      </c>
      <c r="C50" s="9" t="s">
        <v>72</v>
      </c>
      <c r="D50" s="11">
        <v>0.10819241778394888</v>
      </c>
      <c r="E50" s="9" t="s">
        <v>57</v>
      </c>
      <c r="G50" s="9" t="s">
        <v>101</v>
      </c>
      <c r="H50" s="9" t="s">
        <v>72</v>
      </c>
      <c r="I50" s="13">
        <v>1.3254102591116789E-2</v>
      </c>
      <c r="J50" s="9" t="s">
        <v>57</v>
      </c>
      <c r="L50" s="9" t="s">
        <v>121</v>
      </c>
      <c r="M50" s="9" t="s">
        <v>72</v>
      </c>
      <c r="N50" s="13">
        <v>1.9690215209419947E-2</v>
      </c>
      <c r="O50" s="9" t="s">
        <v>57</v>
      </c>
    </row>
    <row r="51" spans="2:15" x14ac:dyDescent="0.45">
      <c r="B51" s="8" t="s">
        <v>81</v>
      </c>
      <c r="C51" s="8" t="s">
        <v>73</v>
      </c>
      <c r="D51" s="10">
        <v>8.9293435908688407E-2</v>
      </c>
      <c r="E51" s="8" t="s">
        <v>57</v>
      </c>
      <c r="G51" s="8" t="s">
        <v>101</v>
      </c>
      <c r="H51" s="8" t="s">
        <v>73</v>
      </c>
      <c r="I51" s="12">
        <v>1.622971611030434E-2</v>
      </c>
      <c r="J51" s="8" t="s">
        <v>57</v>
      </c>
      <c r="L51" s="8" t="s">
        <v>121</v>
      </c>
      <c r="M51" s="8" t="s">
        <v>73</v>
      </c>
      <c r="N51" s="12">
        <v>2.2412253490744105E-2</v>
      </c>
      <c r="O51" s="8" t="s">
        <v>57</v>
      </c>
    </row>
    <row r="52" spans="2:15" x14ac:dyDescent="0.45">
      <c r="B52" s="9" t="s">
        <v>81</v>
      </c>
      <c r="C52" s="9" t="s">
        <v>74</v>
      </c>
      <c r="D52" s="11">
        <v>3.2328829103209417E-2</v>
      </c>
      <c r="E52" s="9" t="s">
        <v>57</v>
      </c>
      <c r="G52" s="9" t="s">
        <v>101</v>
      </c>
      <c r="H52" s="9" t="s">
        <v>74</v>
      </c>
      <c r="I52" s="13">
        <v>1.7336251460250949E-2</v>
      </c>
      <c r="J52" s="9" t="s">
        <v>57</v>
      </c>
      <c r="L52" s="9" t="s">
        <v>121</v>
      </c>
      <c r="M52" s="9" t="s">
        <v>74</v>
      </c>
      <c r="N52" s="13">
        <v>2.2351467815827517E-2</v>
      </c>
      <c r="O52" s="9" t="s">
        <v>57</v>
      </c>
    </row>
    <row r="53" spans="2:15" x14ac:dyDescent="0.45">
      <c r="B53" s="8" t="s">
        <v>81</v>
      </c>
      <c r="C53" s="8" t="s">
        <v>75</v>
      </c>
      <c r="D53" s="10">
        <v>0</v>
      </c>
      <c r="E53" s="8" t="s">
        <v>57</v>
      </c>
      <c r="G53" s="8" t="s">
        <v>101</v>
      </c>
      <c r="H53" s="8" t="s">
        <v>75</v>
      </c>
      <c r="I53" s="12">
        <v>9.390572686804631E-2</v>
      </c>
      <c r="J53" s="8" t="s">
        <v>57</v>
      </c>
      <c r="L53" s="8" t="s">
        <v>121</v>
      </c>
      <c r="M53" s="8" t="s">
        <v>75</v>
      </c>
      <c r="N53" s="12">
        <v>8.6602121173891974E-2</v>
      </c>
      <c r="O53" s="8" t="s">
        <v>57</v>
      </c>
    </row>
    <row r="54" spans="2:15" x14ac:dyDescent="0.45">
      <c r="B54" s="9" t="s">
        <v>81</v>
      </c>
      <c r="C54" s="9" t="s">
        <v>76</v>
      </c>
      <c r="D54" s="11">
        <v>1.6607751800102735E-2</v>
      </c>
      <c r="E54" s="9" t="s">
        <v>57</v>
      </c>
      <c r="G54" s="9" t="s">
        <v>101</v>
      </c>
      <c r="H54" s="9" t="s">
        <v>76</v>
      </c>
      <c r="I54" s="13">
        <v>3.9759793889477361E-2</v>
      </c>
      <c r="J54" s="9" t="s">
        <v>57</v>
      </c>
      <c r="L54" s="9" t="s">
        <v>121</v>
      </c>
      <c r="M54" s="9" t="s">
        <v>76</v>
      </c>
      <c r="N54" s="13">
        <v>4.2889112172566336E-2</v>
      </c>
      <c r="O54" s="9" t="s">
        <v>57</v>
      </c>
    </row>
    <row r="55" spans="2:15" x14ac:dyDescent="0.45">
      <c r="B55" s="8" t="s">
        <v>81</v>
      </c>
      <c r="C55" s="8" t="s">
        <v>77</v>
      </c>
      <c r="D55" s="10">
        <v>5.8352083409563417E-2</v>
      </c>
      <c r="E55" s="8" t="s">
        <v>57</v>
      </c>
      <c r="G55" s="8" t="s">
        <v>101</v>
      </c>
      <c r="H55" s="8" t="s">
        <v>77</v>
      </c>
      <c r="I55" s="12">
        <v>2.6937130719207711E-2</v>
      </c>
      <c r="J55" s="8" t="s">
        <v>57</v>
      </c>
      <c r="L55" s="8" t="s">
        <v>121</v>
      </c>
      <c r="M55" s="8" t="s">
        <v>77</v>
      </c>
      <c r="N55" s="12">
        <v>3.2539464358413872E-2</v>
      </c>
      <c r="O55" s="8" t="s">
        <v>57</v>
      </c>
    </row>
    <row r="56" spans="2:15" x14ac:dyDescent="0.45">
      <c r="B56" s="9" t="s">
        <v>81</v>
      </c>
      <c r="C56" s="9" t="s">
        <v>78</v>
      </c>
      <c r="D56" s="11">
        <v>6.2953618614342857E-2</v>
      </c>
      <c r="E56" s="9" t="s">
        <v>57</v>
      </c>
      <c r="G56" s="9" t="s">
        <v>101</v>
      </c>
      <c r="H56" s="9" t="s">
        <v>78</v>
      </c>
      <c r="I56" s="13">
        <v>2.8796086457855023E-2</v>
      </c>
      <c r="J56" s="9" t="s">
        <v>57</v>
      </c>
      <c r="L56" s="9" t="s">
        <v>121</v>
      </c>
      <c r="M56" s="9" t="s">
        <v>78</v>
      </c>
      <c r="N56" s="13">
        <v>3.1528208772491094E-2</v>
      </c>
      <c r="O56" s="9" t="s">
        <v>57</v>
      </c>
    </row>
    <row r="57" spans="2:15" x14ac:dyDescent="0.45">
      <c r="B57" s="8" t="s">
        <v>81</v>
      </c>
      <c r="C57" s="8" t="s">
        <v>79</v>
      </c>
      <c r="D57" s="10">
        <v>3.7595092404563706E-2</v>
      </c>
      <c r="E57" s="8" t="s">
        <v>57</v>
      </c>
      <c r="G57" s="8" t="s">
        <v>101</v>
      </c>
      <c r="H57" s="8" t="s">
        <v>79</v>
      </c>
      <c r="I57" s="12">
        <v>3.2402448613803841E-2</v>
      </c>
      <c r="J57" s="8" t="s">
        <v>57</v>
      </c>
      <c r="L57" s="8" t="s">
        <v>121</v>
      </c>
      <c r="M57" s="8" t="s">
        <v>79</v>
      </c>
      <c r="N57" s="12">
        <v>3.2394668408281875E-2</v>
      </c>
      <c r="O57" s="8" t="s">
        <v>57</v>
      </c>
    </row>
    <row r="58" spans="2:15" x14ac:dyDescent="0.45">
      <c r="B58" s="9" t="s">
        <v>81</v>
      </c>
      <c r="C58" s="9" t="s">
        <v>80</v>
      </c>
      <c r="D58" s="11">
        <v>1.8692206547992276E-3</v>
      </c>
      <c r="E58" s="9" t="s">
        <v>57</v>
      </c>
      <c r="G58" s="9" t="s">
        <v>101</v>
      </c>
      <c r="H58" s="9" t="s">
        <v>80</v>
      </c>
      <c r="I58" s="13">
        <v>3.8493448437671905E-2</v>
      </c>
      <c r="J58" s="9" t="s">
        <v>57</v>
      </c>
      <c r="L58" s="9" t="s">
        <v>121</v>
      </c>
      <c r="M58" s="9" t="s">
        <v>80</v>
      </c>
      <c r="N58" s="13">
        <v>3.4007296812556001E-2</v>
      </c>
      <c r="O58" s="9" t="s">
        <v>57</v>
      </c>
    </row>
    <row r="59" spans="2:15" x14ac:dyDescent="0.45">
      <c r="B59" s="8" t="s">
        <v>82</v>
      </c>
      <c r="C59" s="8" t="s">
        <v>56</v>
      </c>
      <c r="D59" s="10">
        <v>0</v>
      </c>
      <c r="E59" s="8" t="s">
        <v>57</v>
      </c>
      <c r="G59" s="8" t="s">
        <v>102</v>
      </c>
      <c r="H59" s="8" t="s">
        <v>56</v>
      </c>
      <c r="I59" s="12">
        <v>0.1184036184508597</v>
      </c>
      <c r="J59" s="8" t="s">
        <v>57</v>
      </c>
      <c r="L59" s="8" t="s">
        <v>122</v>
      </c>
      <c r="M59" s="8" t="s">
        <v>56</v>
      </c>
      <c r="N59" s="12">
        <v>0.10992366708695966</v>
      </c>
      <c r="O59" s="8" t="s">
        <v>57</v>
      </c>
    </row>
    <row r="60" spans="2:15" x14ac:dyDescent="0.45">
      <c r="B60" s="9" t="s">
        <v>82</v>
      </c>
      <c r="C60" s="9" t="s">
        <v>58</v>
      </c>
      <c r="D60" s="11">
        <v>5.0066600413036866E-4</v>
      </c>
      <c r="E60" s="9" t="s">
        <v>57</v>
      </c>
      <c r="G60" s="9" t="s">
        <v>102</v>
      </c>
      <c r="H60" s="9" t="s">
        <v>58</v>
      </c>
      <c r="I60" s="13">
        <v>5.9793795666992347E-2</v>
      </c>
      <c r="J60" s="9" t="s">
        <v>57</v>
      </c>
      <c r="L60" s="9" t="s">
        <v>122</v>
      </c>
      <c r="M60" s="9" t="s">
        <v>58</v>
      </c>
      <c r="N60" s="13">
        <v>5.367023130344338E-2</v>
      </c>
      <c r="O60" s="9" t="s">
        <v>57</v>
      </c>
    </row>
    <row r="61" spans="2:15" x14ac:dyDescent="0.45">
      <c r="B61" s="8" t="s">
        <v>82</v>
      </c>
      <c r="C61" s="8" t="s">
        <v>59</v>
      </c>
      <c r="D61" s="10">
        <v>2.7646284007295872E-2</v>
      </c>
      <c r="E61" s="8" t="s">
        <v>57</v>
      </c>
      <c r="G61" s="8" t="s">
        <v>102</v>
      </c>
      <c r="H61" s="8" t="s">
        <v>59</v>
      </c>
      <c r="I61" s="12">
        <v>4.2821463765322809E-2</v>
      </c>
      <c r="J61" s="8" t="s">
        <v>57</v>
      </c>
      <c r="L61" s="8" t="s">
        <v>122</v>
      </c>
      <c r="M61" s="8" t="s">
        <v>59</v>
      </c>
      <c r="N61" s="12">
        <v>4.0240873959644534E-2</v>
      </c>
      <c r="O61" s="8" t="s">
        <v>57</v>
      </c>
    </row>
    <row r="62" spans="2:15" x14ac:dyDescent="0.45">
      <c r="B62" s="9" t="s">
        <v>82</v>
      </c>
      <c r="C62" s="9" t="s">
        <v>60</v>
      </c>
      <c r="D62" s="11">
        <v>3.9821655220808029E-2</v>
      </c>
      <c r="E62" s="9" t="s">
        <v>57</v>
      </c>
      <c r="G62" s="9" t="s">
        <v>102</v>
      </c>
      <c r="H62" s="9" t="s">
        <v>60</v>
      </c>
      <c r="I62" s="13">
        <v>3.9417440136639753E-2</v>
      </c>
      <c r="J62" s="9" t="s">
        <v>57</v>
      </c>
      <c r="L62" s="9" t="s">
        <v>122</v>
      </c>
      <c r="M62" s="9" t="s">
        <v>60</v>
      </c>
      <c r="N62" s="13">
        <v>3.8349793647502795E-2</v>
      </c>
      <c r="O62" s="9" t="s">
        <v>57</v>
      </c>
    </row>
    <row r="63" spans="2:15" x14ac:dyDescent="0.45">
      <c r="B63" s="8" t="s">
        <v>82</v>
      </c>
      <c r="C63" s="8" t="s">
        <v>61</v>
      </c>
      <c r="D63" s="10">
        <v>1.4836123069418766E-2</v>
      </c>
      <c r="E63" s="8" t="s">
        <v>57</v>
      </c>
      <c r="G63" s="8" t="s">
        <v>102</v>
      </c>
      <c r="H63" s="8" t="s">
        <v>61</v>
      </c>
      <c r="I63" s="12">
        <v>4.1998022728686871E-2</v>
      </c>
      <c r="J63" s="8" t="s">
        <v>57</v>
      </c>
      <c r="L63" s="8" t="s">
        <v>122</v>
      </c>
      <c r="M63" s="8" t="s">
        <v>61</v>
      </c>
      <c r="N63" s="12">
        <v>4.0422581657615982E-2</v>
      </c>
      <c r="O63" s="8" t="s">
        <v>57</v>
      </c>
    </row>
    <row r="64" spans="2:15" x14ac:dyDescent="0.45">
      <c r="B64" s="9" t="s">
        <v>82</v>
      </c>
      <c r="C64" s="9" t="s">
        <v>62</v>
      </c>
      <c r="D64" s="11">
        <v>0</v>
      </c>
      <c r="E64" s="9" t="s">
        <v>57</v>
      </c>
      <c r="G64" s="9" t="s">
        <v>102</v>
      </c>
      <c r="H64" s="9" t="s">
        <v>62</v>
      </c>
      <c r="I64" s="13">
        <v>4.5188527474967086E-2</v>
      </c>
      <c r="J64" s="9" t="s">
        <v>57</v>
      </c>
      <c r="L64" s="9" t="s">
        <v>122</v>
      </c>
      <c r="M64" s="9" t="s">
        <v>62</v>
      </c>
      <c r="N64" s="13">
        <v>4.2511297305040711E-2</v>
      </c>
      <c r="O64" s="9" t="s">
        <v>57</v>
      </c>
    </row>
    <row r="65" spans="2:15" x14ac:dyDescent="0.45">
      <c r="B65" s="8" t="s">
        <v>82</v>
      </c>
      <c r="C65" s="8" t="s">
        <v>63</v>
      </c>
      <c r="D65" s="10">
        <v>0</v>
      </c>
      <c r="E65" s="8" t="s">
        <v>57</v>
      </c>
      <c r="G65" s="8" t="s">
        <v>102</v>
      </c>
      <c r="H65" s="8" t="s">
        <v>63</v>
      </c>
      <c r="I65" s="12">
        <v>9.701182729523937E-2</v>
      </c>
      <c r="J65" s="8" t="s">
        <v>57</v>
      </c>
      <c r="L65" s="8" t="s">
        <v>122</v>
      </c>
      <c r="M65" s="8" t="s">
        <v>63</v>
      </c>
      <c r="N65" s="12">
        <v>8.9435573920212855E-2</v>
      </c>
      <c r="O65" s="8" t="s">
        <v>57</v>
      </c>
    </row>
    <row r="66" spans="2:15" x14ac:dyDescent="0.45">
      <c r="B66" s="9" t="s">
        <v>82</v>
      </c>
      <c r="C66" s="9" t="s">
        <v>64</v>
      </c>
      <c r="D66" s="11">
        <v>4.6080191297197662E-2</v>
      </c>
      <c r="E66" s="9" t="s">
        <v>57</v>
      </c>
      <c r="G66" s="9" t="s">
        <v>102</v>
      </c>
      <c r="H66" s="9" t="s">
        <v>64</v>
      </c>
      <c r="I66" s="13">
        <v>4.3399443286130289E-2</v>
      </c>
      <c r="J66" s="9" t="s">
        <v>57</v>
      </c>
      <c r="L66" s="9" t="s">
        <v>122</v>
      </c>
      <c r="M66" s="9" t="s">
        <v>64</v>
      </c>
      <c r="N66" s="13">
        <v>4.2472023375884349E-2</v>
      </c>
      <c r="O66" s="9" t="s">
        <v>57</v>
      </c>
    </row>
    <row r="67" spans="2:15" x14ac:dyDescent="0.45">
      <c r="B67" s="8" t="s">
        <v>82</v>
      </c>
      <c r="C67" s="8" t="s">
        <v>65</v>
      </c>
      <c r="D67" s="10">
        <v>9.4779529183016145E-2</v>
      </c>
      <c r="E67" s="8" t="s">
        <v>57</v>
      </c>
      <c r="G67" s="8" t="s">
        <v>102</v>
      </c>
      <c r="H67" s="8" t="s">
        <v>65</v>
      </c>
      <c r="I67" s="12">
        <v>2.8929445673403623E-2</v>
      </c>
      <c r="J67" s="8" t="s">
        <v>57</v>
      </c>
      <c r="L67" s="8" t="s">
        <v>122</v>
      </c>
      <c r="M67" s="8" t="s">
        <v>65</v>
      </c>
      <c r="N67" s="12">
        <v>2.8021783896846151E-2</v>
      </c>
      <c r="O67" s="8" t="s">
        <v>57</v>
      </c>
    </row>
    <row r="68" spans="2:15" x14ac:dyDescent="0.45">
      <c r="B68" s="9" t="s">
        <v>82</v>
      </c>
      <c r="C68" s="9" t="s">
        <v>66</v>
      </c>
      <c r="D68" s="11">
        <v>9.6107134350401469E-2</v>
      </c>
      <c r="E68" s="9" t="s">
        <v>57</v>
      </c>
      <c r="G68" s="9" t="s">
        <v>102</v>
      </c>
      <c r="H68" s="9" t="s">
        <v>66</v>
      </c>
      <c r="I68" s="13">
        <v>3.1062063541289271E-2</v>
      </c>
      <c r="J68" s="9" t="s">
        <v>57</v>
      </c>
      <c r="L68" s="9" t="s">
        <v>122</v>
      </c>
      <c r="M68" s="9" t="s">
        <v>66</v>
      </c>
      <c r="N68" s="13">
        <v>2.5829696231625274E-2</v>
      </c>
      <c r="O68" s="9" t="s">
        <v>57</v>
      </c>
    </row>
    <row r="69" spans="2:15" x14ac:dyDescent="0.45">
      <c r="B69" s="8" t="s">
        <v>82</v>
      </c>
      <c r="C69" s="8" t="s">
        <v>67</v>
      </c>
      <c r="D69" s="10">
        <v>7.043157460394428E-2</v>
      </c>
      <c r="E69" s="8" t="s">
        <v>57</v>
      </c>
      <c r="G69" s="8" t="s">
        <v>102</v>
      </c>
      <c r="H69" s="8" t="s">
        <v>67</v>
      </c>
      <c r="I69" s="12">
        <v>3.084397456453055E-2</v>
      </c>
      <c r="J69" s="8" t="s">
        <v>57</v>
      </c>
      <c r="L69" s="8" t="s">
        <v>122</v>
      </c>
      <c r="M69" s="8" t="s">
        <v>67</v>
      </c>
      <c r="N69" s="12">
        <v>2.8868043437002291E-2</v>
      </c>
      <c r="O69" s="8" t="s">
        <v>57</v>
      </c>
    </row>
    <row r="70" spans="2:15" x14ac:dyDescent="0.45">
      <c r="B70" s="9" t="s">
        <v>82</v>
      </c>
      <c r="C70" s="9" t="s">
        <v>68</v>
      </c>
      <c r="D70" s="11">
        <v>1.6363353011479322E-2</v>
      </c>
      <c r="E70" s="9" t="s">
        <v>57</v>
      </c>
      <c r="G70" s="9" t="s">
        <v>102</v>
      </c>
      <c r="H70" s="9" t="s">
        <v>68</v>
      </c>
      <c r="I70" s="13">
        <v>3.4325406415765952E-2</v>
      </c>
      <c r="J70" s="9" t="s">
        <v>57</v>
      </c>
      <c r="L70" s="9" t="s">
        <v>122</v>
      </c>
      <c r="M70" s="9" t="s">
        <v>68</v>
      </c>
      <c r="N70" s="13">
        <v>3.2334446569240859E-2</v>
      </c>
      <c r="O70" s="9" t="s">
        <v>57</v>
      </c>
    </row>
    <row r="71" spans="2:15" x14ac:dyDescent="0.45">
      <c r="B71" s="8" t="s">
        <v>82</v>
      </c>
      <c r="C71" s="8" t="s">
        <v>69</v>
      </c>
      <c r="D71" s="10">
        <v>0</v>
      </c>
      <c r="E71" s="8" t="s">
        <v>57</v>
      </c>
      <c r="G71" s="8" t="s">
        <v>102</v>
      </c>
      <c r="H71" s="8" t="s">
        <v>69</v>
      </c>
      <c r="I71" s="12">
        <v>5.2052507884412985E-2</v>
      </c>
      <c r="J71" s="8" t="s">
        <v>57</v>
      </c>
      <c r="L71" s="8" t="s">
        <v>122</v>
      </c>
      <c r="M71" s="8" t="s">
        <v>69</v>
      </c>
      <c r="N71" s="12">
        <v>5.4393545863982921E-2</v>
      </c>
      <c r="O71" s="8" t="s">
        <v>57</v>
      </c>
    </row>
    <row r="72" spans="2:15" x14ac:dyDescent="0.45">
      <c r="B72" s="9" t="s">
        <v>82</v>
      </c>
      <c r="C72" s="9" t="s">
        <v>70</v>
      </c>
      <c r="D72" s="11">
        <v>7.2652385563552663E-2</v>
      </c>
      <c r="E72" s="9" t="s">
        <v>57</v>
      </c>
      <c r="G72" s="9" t="s">
        <v>102</v>
      </c>
      <c r="H72" s="9" t="s">
        <v>70</v>
      </c>
      <c r="I72" s="13">
        <v>1.7212655707837532E-2</v>
      </c>
      <c r="J72" s="9" t="s">
        <v>57</v>
      </c>
      <c r="L72" s="9" t="s">
        <v>122</v>
      </c>
      <c r="M72" s="9" t="s">
        <v>70</v>
      </c>
      <c r="N72" s="13">
        <v>2.6305124454196298E-2</v>
      </c>
      <c r="O72" s="9" t="s">
        <v>57</v>
      </c>
    </row>
    <row r="73" spans="2:15" x14ac:dyDescent="0.45">
      <c r="B73" s="8" t="s">
        <v>82</v>
      </c>
      <c r="C73" s="8" t="s">
        <v>71</v>
      </c>
      <c r="D73" s="10">
        <v>0.11427948290406079</v>
      </c>
      <c r="E73" s="8" t="s">
        <v>57</v>
      </c>
      <c r="G73" s="8" t="s">
        <v>102</v>
      </c>
      <c r="H73" s="8" t="s">
        <v>71</v>
      </c>
      <c r="I73" s="12">
        <v>1.2911968507818916E-2</v>
      </c>
      <c r="J73" s="8" t="s">
        <v>57</v>
      </c>
      <c r="L73" s="8" t="s">
        <v>122</v>
      </c>
      <c r="M73" s="8" t="s">
        <v>71</v>
      </c>
      <c r="N73" s="12">
        <v>1.8215180723428603E-2</v>
      </c>
      <c r="O73" s="8" t="s">
        <v>57</v>
      </c>
    </row>
    <row r="74" spans="2:15" x14ac:dyDescent="0.45">
      <c r="B74" s="9" t="s">
        <v>82</v>
      </c>
      <c r="C74" s="9" t="s">
        <v>72</v>
      </c>
      <c r="D74" s="11">
        <v>0.11011199002536672</v>
      </c>
      <c r="E74" s="9" t="s">
        <v>57</v>
      </c>
      <c r="G74" s="9" t="s">
        <v>102</v>
      </c>
      <c r="H74" s="9" t="s">
        <v>72</v>
      </c>
      <c r="I74" s="13">
        <v>1.5049437409537356E-2</v>
      </c>
      <c r="J74" s="9" t="s">
        <v>57</v>
      </c>
      <c r="L74" s="9" t="s">
        <v>122</v>
      </c>
      <c r="M74" s="9" t="s">
        <v>72</v>
      </c>
      <c r="N74" s="13">
        <v>1.8890404559371566E-2</v>
      </c>
      <c r="O74" s="9" t="s">
        <v>57</v>
      </c>
    </row>
    <row r="75" spans="2:15" x14ac:dyDescent="0.45">
      <c r="B75" s="8" t="s">
        <v>82</v>
      </c>
      <c r="C75" s="8" t="s">
        <v>73</v>
      </c>
      <c r="D75" s="10">
        <v>8.9898220518402364E-2</v>
      </c>
      <c r="E75" s="8" t="s">
        <v>57</v>
      </c>
      <c r="G75" s="8" t="s">
        <v>102</v>
      </c>
      <c r="H75" s="8" t="s">
        <v>73</v>
      </c>
      <c r="I75" s="12">
        <v>1.6808202450658092E-2</v>
      </c>
      <c r="J75" s="8" t="s">
        <v>57</v>
      </c>
      <c r="L75" s="8" t="s">
        <v>122</v>
      </c>
      <c r="M75" s="8" t="s">
        <v>73</v>
      </c>
      <c r="N75" s="12">
        <v>2.2022591699521747E-2</v>
      </c>
      <c r="O75" s="8" t="s">
        <v>57</v>
      </c>
    </row>
    <row r="76" spans="2:15" x14ac:dyDescent="0.45">
      <c r="B76" s="9" t="s">
        <v>82</v>
      </c>
      <c r="C76" s="9" t="s">
        <v>74</v>
      </c>
      <c r="D76" s="11">
        <v>3.4445554055259703E-2</v>
      </c>
      <c r="E76" s="9" t="s">
        <v>57</v>
      </c>
      <c r="G76" s="9" t="s">
        <v>102</v>
      </c>
      <c r="H76" s="9" t="s">
        <v>74</v>
      </c>
      <c r="I76" s="13">
        <v>1.7014042255276186E-2</v>
      </c>
      <c r="J76" s="9" t="s">
        <v>57</v>
      </c>
      <c r="L76" s="9" t="s">
        <v>122</v>
      </c>
      <c r="M76" s="9" t="s">
        <v>74</v>
      </c>
      <c r="N76" s="13">
        <v>2.105027220292208E-2</v>
      </c>
      <c r="O76" s="9" t="s">
        <v>57</v>
      </c>
    </row>
    <row r="77" spans="2:15" x14ac:dyDescent="0.45">
      <c r="B77" s="8" t="s">
        <v>82</v>
      </c>
      <c r="C77" s="8" t="s">
        <v>75</v>
      </c>
      <c r="D77" s="10">
        <v>0</v>
      </c>
      <c r="E77" s="8" t="s">
        <v>57</v>
      </c>
      <c r="G77" s="8" t="s">
        <v>102</v>
      </c>
      <c r="H77" s="8" t="s">
        <v>75</v>
      </c>
      <c r="I77" s="12">
        <v>9.2778158166696212E-2</v>
      </c>
      <c r="J77" s="8" t="s">
        <v>57</v>
      </c>
      <c r="L77" s="8" t="s">
        <v>122</v>
      </c>
      <c r="M77" s="8" t="s">
        <v>75</v>
      </c>
      <c r="N77" s="12">
        <v>9.0103599430638295E-2</v>
      </c>
      <c r="O77" s="8" t="s">
        <v>57</v>
      </c>
    </row>
    <row r="78" spans="2:15" x14ac:dyDescent="0.45">
      <c r="B78" s="9" t="s">
        <v>82</v>
      </c>
      <c r="C78" s="9" t="s">
        <v>76</v>
      </c>
      <c r="D78" s="11">
        <v>1.6185575872137672E-2</v>
      </c>
      <c r="E78" s="9" t="s">
        <v>57</v>
      </c>
      <c r="G78" s="9" t="s">
        <v>102</v>
      </c>
      <c r="H78" s="9" t="s">
        <v>76</v>
      </c>
      <c r="I78" s="13">
        <v>4.1492161745334016E-2</v>
      </c>
      <c r="J78" s="9" t="s">
        <v>57</v>
      </c>
      <c r="L78" s="9" t="s">
        <v>122</v>
      </c>
      <c r="M78" s="9" t="s">
        <v>76</v>
      </c>
      <c r="N78" s="13">
        <v>4.3593750002722281E-2</v>
      </c>
      <c r="O78" s="9" t="s">
        <v>57</v>
      </c>
    </row>
    <row r="79" spans="2:15" x14ac:dyDescent="0.45">
      <c r="B79" s="8" t="s">
        <v>82</v>
      </c>
      <c r="C79" s="8" t="s">
        <v>77</v>
      </c>
      <c r="D79" s="10">
        <v>5.7821486655232415E-2</v>
      </c>
      <c r="E79" s="8" t="s">
        <v>57</v>
      </c>
      <c r="G79" s="8" t="s">
        <v>102</v>
      </c>
      <c r="H79" s="8" t="s">
        <v>77</v>
      </c>
      <c r="I79" s="12">
        <v>2.7271772162937722E-2</v>
      </c>
      <c r="J79" s="8" t="s">
        <v>57</v>
      </c>
      <c r="L79" s="8" t="s">
        <v>122</v>
      </c>
      <c r="M79" s="8" t="s">
        <v>77</v>
      </c>
      <c r="N79" s="12">
        <v>3.231844921327727E-2</v>
      </c>
      <c r="O79" s="8" t="s">
        <v>57</v>
      </c>
    </row>
    <row r="80" spans="2:15" x14ac:dyDescent="0.45">
      <c r="B80" s="9" t="s">
        <v>82</v>
      </c>
      <c r="C80" s="9" t="s">
        <v>78</v>
      </c>
      <c r="D80" s="11">
        <v>6.0794587392118529E-2</v>
      </c>
      <c r="E80" s="9" t="s">
        <v>57</v>
      </c>
      <c r="G80" s="9" t="s">
        <v>102</v>
      </c>
      <c r="H80" s="9" t="s">
        <v>78</v>
      </c>
      <c r="I80" s="13">
        <v>2.7882105273313564E-2</v>
      </c>
      <c r="J80" s="9" t="s">
        <v>57</v>
      </c>
      <c r="L80" s="9" t="s">
        <v>122</v>
      </c>
      <c r="M80" s="9" t="s">
        <v>78</v>
      </c>
      <c r="N80" s="13">
        <v>3.1547385941692936E-2</v>
      </c>
      <c r="O80" s="9" t="s">
        <v>57</v>
      </c>
    </row>
    <row r="81" spans="2:15" x14ac:dyDescent="0.45">
      <c r="B81" s="8" t="s">
        <v>82</v>
      </c>
      <c r="C81" s="8" t="s">
        <v>79</v>
      </c>
      <c r="D81" s="10">
        <v>3.5419684780925151E-2</v>
      </c>
      <c r="E81" s="8" t="s">
        <v>57</v>
      </c>
      <c r="G81" s="8" t="s">
        <v>102</v>
      </c>
      <c r="H81" s="8" t="s">
        <v>79</v>
      </c>
      <c r="I81" s="12">
        <v>3.1042231980622406E-2</v>
      </c>
      <c r="J81" s="8" t="s">
        <v>57</v>
      </c>
      <c r="L81" s="8" t="s">
        <v>122</v>
      </c>
      <c r="M81" s="8" t="s">
        <v>79</v>
      </c>
      <c r="N81" s="12">
        <v>3.3720652914942903E-2</v>
      </c>
      <c r="O81" s="8" t="s">
        <v>57</v>
      </c>
    </row>
    <row r="82" spans="2:15" x14ac:dyDescent="0.45">
      <c r="B82" s="9" t="s">
        <v>82</v>
      </c>
      <c r="C82" s="9" t="s">
        <v>80</v>
      </c>
      <c r="D82" s="11">
        <v>1.8245214852518651E-3</v>
      </c>
      <c r="E82" s="9" t="s">
        <v>57</v>
      </c>
      <c r="G82" s="9" t="s">
        <v>102</v>
      </c>
      <c r="H82" s="9" t="s">
        <v>80</v>
      </c>
      <c r="I82" s="13">
        <v>3.5289727455724687E-2</v>
      </c>
      <c r="J82" s="9" t="s">
        <v>57</v>
      </c>
      <c r="L82" s="9" t="s">
        <v>122</v>
      </c>
      <c r="M82" s="9" t="s">
        <v>80</v>
      </c>
      <c r="N82" s="13">
        <v>3.575903060228499E-2</v>
      </c>
      <c r="O82" s="9" t="s">
        <v>57</v>
      </c>
    </row>
    <row r="83" spans="2:15" x14ac:dyDescent="0.45">
      <c r="B83" s="8" t="s">
        <v>83</v>
      </c>
      <c r="C83" s="8" t="s">
        <v>56</v>
      </c>
      <c r="D83" s="10">
        <v>0</v>
      </c>
      <c r="E83" s="8" t="s">
        <v>57</v>
      </c>
      <c r="G83" s="8" t="s">
        <v>103</v>
      </c>
      <c r="H83" s="8" t="s">
        <v>56</v>
      </c>
      <c r="I83" s="12">
        <v>0.11825472099015019</v>
      </c>
      <c r="J83" s="8" t="s">
        <v>57</v>
      </c>
      <c r="L83" s="8" t="s">
        <v>123</v>
      </c>
      <c r="M83" s="8" t="s">
        <v>56</v>
      </c>
      <c r="N83" s="12">
        <v>9.4347231196802037E-2</v>
      </c>
      <c r="O83" s="8" t="s">
        <v>57</v>
      </c>
    </row>
    <row r="84" spans="2:15" x14ac:dyDescent="0.45">
      <c r="B84" s="9" t="s">
        <v>83</v>
      </c>
      <c r="C84" s="9" t="s">
        <v>58</v>
      </c>
      <c r="D84" s="11">
        <v>3.3399334107021036E-4</v>
      </c>
      <c r="E84" s="9" t="s">
        <v>57</v>
      </c>
      <c r="G84" s="9" t="s">
        <v>103</v>
      </c>
      <c r="H84" s="9" t="s">
        <v>58</v>
      </c>
      <c r="I84" s="13">
        <v>5.8797196660750395E-2</v>
      </c>
      <c r="J84" s="9" t="s">
        <v>57</v>
      </c>
      <c r="L84" s="9" t="s">
        <v>123</v>
      </c>
      <c r="M84" s="9" t="s">
        <v>58</v>
      </c>
      <c r="N84" s="13">
        <v>4.8542719881037102E-2</v>
      </c>
      <c r="O84" s="9" t="s">
        <v>57</v>
      </c>
    </row>
    <row r="85" spans="2:15" x14ac:dyDescent="0.45">
      <c r="B85" s="8" t="s">
        <v>83</v>
      </c>
      <c r="C85" s="8" t="s">
        <v>59</v>
      </c>
      <c r="D85" s="10">
        <v>2.3122643758803615E-2</v>
      </c>
      <c r="E85" s="8" t="s">
        <v>57</v>
      </c>
      <c r="G85" s="8" t="s">
        <v>103</v>
      </c>
      <c r="H85" s="8" t="s">
        <v>59</v>
      </c>
      <c r="I85" s="12">
        <v>4.1240789273752632E-2</v>
      </c>
      <c r="J85" s="8" t="s">
        <v>57</v>
      </c>
      <c r="L85" s="8" t="s">
        <v>123</v>
      </c>
      <c r="M85" s="8" t="s">
        <v>59</v>
      </c>
      <c r="N85" s="12">
        <v>3.6463811439647199E-2</v>
      </c>
      <c r="O85" s="8" t="s">
        <v>57</v>
      </c>
    </row>
    <row r="86" spans="2:15" x14ac:dyDescent="0.45">
      <c r="B86" s="9" t="s">
        <v>83</v>
      </c>
      <c r="C86" s="9" t="s">
        <v>60</v>
      </c>
      <c r="D86" s="11">
        <v>3.3149658050761623E-2</v>
      </c>
      <c r="E86" s="9" t="s">
        <v>57</v>
      </c>
      <c r="G86" s="9" t="s">
        <v>103</v>
      </c>
      <c r="H86" s="9" t="s">
        <v>60</v>
      </c>
      <c r="I86" s="13">
        <v>3.9573468548249044E-2</v>
      </c>
      <c r="J86" s="9" t="s">
        <v>57</v>
      </c>
      <c r="L86" s="9" t="s">
        <v>123</v>
      </c>
      <c r="M86" s="9" t="s">
        <v>60</v>
      </c>
      <c r="N86" s="13">
        <v>3.6589157386377497E-2</v>
      </c>
      <c r="O86" s="9" t="s">
        <v>57</v>
      </c>
    </row>
    <row r="87" spans="2:15" x14ac:dyDescent="0.45">
      <c r="B87" s="8" t="s">
        <v>83</v>
      </c>
      <c r="C87" s="8" t="s">
        <v>61</v>
      </c>
      <c r="D87" s="10">
        <v>1.3260988091970691E-2</v>
      </c>
      <c r="E87" s="8" t="s">
        <v>57</v>
      </c>
      <c r="G87" s="8" t="s">
        <v>103</v>
      </c>
      <c r="H87" s="8" t="s">
        <v>61</v>
      </c>
      <c r="I87" s="12">
        <v>4.2643468624047422E-2</v>
      </c>
      <c r="J87" s="8" t="s">
        <v>57</v>
      </c>
      <c r="L87" s="8" t="s">
        <v>123</v>
      </c>
      <c r="M87" s="8" t="s">
        <v>61</v>
      </c>
      <c r="N87" s="12">
        <v>3.7376441301114685E-2</v>
      </c>
      <c r="O87" s="8" t="s">
        <v>57</v>
      </c>
    </row>
    <row r="88" spans="2:15" x14ac:dyDescent="0.45">
      <c r="B88" s="9" t="s">
        <v>83</v>
      </c>
      <c r="C88" s="9" t="s">
        <v>62</v>
      </c>
      <c r="D88" s="11">
        <v>0</v>
      </c>
      <c r="E88" s="9" t="s">
        <v>57</v>
      </c>
      <c r="G88" s="9" t="s">
        <v>103</v>
      </c>
      <c r="H88" s="9" t="s">
        <v>62</v>
      </c>
      <c r="I88" s="13">
        <v>4.5491654212299594E-2</v>
      </c>
      <c r="J88" s="9" t="s">
        <v>57</v>
      </c>
      <c r="L88" s="9" t="s">
        <v>123</v>
      </c>
      <c r="M88" s="9" t="s">
        <v>62</v>
      </c>
      <c r="N88" s="13">
        <v>3.7516543237701566E-2</v>
      </c>
      <c r="O88" s="9" t="s">
        <v>57</v>
      </c>
    </row>
    <row r="89" spans="2:15" x14ac:dyDescent="0.45">
      <c r="B89" s="8" t="s">
        <v>83</v>
      </c>
      <c r="C89" s="8" t="s">
        <v>63</v>
      </c>
      <c r="D89" s="10">
        <v>0</v>
      </c>
      <c r="E89" s="8" t="s">
        <v>57</v>
      </c>
      <c r="G89" s="8" t="s">
        <v>103</v>
      </c>
      <c r="H89" s="8" t="s">
        <v>63</v>
      </c>
      <c r="I89" s="12">
        <v>9.8547239182461929E-2</v>
      </c>
      <c r="J89" s="8" t="s">
        <v>57</v>
      </c>
      <c r="L89" s="8" t="s">
        <v>123</v>
      </c>
      <c r="M89" s="8" t="s">
        <v>63</v>
      </c>
      <c r="N89" s="12">
        <v>9.5422255055722813E-2</v>
      </c>
      <c r="O89" s="8" t="s">
        <v>57</v>
      </c>
    </row>
    <row r="90" spans="2:15" x14ac:dyDescent="0.45">
      <c r="B90" s="9" t="s">
        <v>83</v>
      </c>
      <c r="C90" s="9" t="s">
        <v>64</v>
      </c>
      <c r="D90" s="11">
        <v>4.7450977630606496E-2</v>
      </c>
      <c r="E90" s="9" t="s">
        <v>57</v>
      </c>
      <c r="G90" s="9" t="s">
        <v>103</v>
      </c>
      <c r="H90" s="9" t="s">
        <v>64</v>
      </c>
      <c r="I90" s="13">
        <v>4.3640083415919614E-2</v>
      </c>
      <c r="J90" s="9" t="s">
        <v>57</v>
      </c>
      <c r="L90" s="9" t="s">
        <v>123</v>
      </c>
      <c r="M90" s="9" t="s">
        <v>64</v>
      </c>
      <c r="N90" s="13">
        <v>4.3919445234325109E-2</v>
      </c>
      <c r="O90" s="9" t="s">
        <v>57</v>
      </c>
    </row>
    <row r="91" spans="2:15" x14ac:dyDescent="0.45">
      <c r="B91" s="8" t="s">
        <v>83</v>
      </c>
      <c r="C91" s="8" t="s">
        <v>65</v>
      </c>
      <c r="D91" s="10">
        <v>0.10468501869091146</v>
      </c>
      <c r="E91" s="8" t="s">
        <v>57</v>
      </c>
      <c r="G91" s="8" t="s">
        <v>103</v>
      </c>
      <c r="H91" s="8" t="s">
        <v>65</v>
      </c>
      <c r="I91" s="12">
        <v>2.8255454471333992E-2</v>
      </c>
      <c r="J91" s="8" t="s">
        <v>57</v>
      </c>
      <c r="L91" s="8" t="s">
        <v>123</v>
      </c>
      <c r="M91" s="8" t="s">
        <v>65</v>
      </c>
      <c r="N91" s="12">
        <v>3.1761326716939091E-2</v>
      </c>
      <c r="O91" s="8" t="s">
        <v>57</v>
      </c>
    </row>
    <row r="92" spans="2:15" x14ac:dyDescent="0.45">
      <c r="B92" s="9" t="s">
        <v>83</v>
      </c>
      <c r="C92" s="9" t="s">
        <v>66</v>
      </c>
      <c r="D92" s="11">
        <v>0.10151283988194434</v>
      </c>
      <c r="E92" s="9" t="s">
        <v>57</v>
      </c>
      <c r="G92" s="9" t="s">
        <v>103</v>
      </c>
      <c r="H92" s="9" t="s">
        <v>66</v>
      </c>
      <c r="I92" s="13">
        <v>2.9265698094287244E-2</v>
      </c>
      <c r="J92" s="9" t="s">
        <v>57</v>
      </c>
      <c r="L92" s="9" t="s">
        <v>123</v>
      </c>
      <c r="M92" s="9" t="s">
        <v>66</v>
      </c>
      <c r="N92" s="13">
        <v>3.1055545570778841E-2</v>
      </c>
      <c r="O92" s="9" t="s">
        <v>57</v>
      </c>
    </row>
    <row r="93" spans="2:15" x14ac:dyDescent="0.45">
      <c r="B93" s="8" t="s">
        <v>83</v>
      </c>
      <c r="C93" s="8" t="s">
        <v>67</v>
      </c>
      <c r="D93" s="10">
        <v>7.4896712953072694E-2</v>
      </c>
      <c r="E93" s="8" t="s">
        <v>57</v>
      </c>
      <c r="G93" s="8" t="s">
        <v>103</v>
      </c>
      <c r="H93" s="8" t="s">
        <v>67</v>
      </c>
      <c r="I93" s="12">
        <v>3.0574322518142797E-2</v>
      </c>
      <c r="J93" s="8" t="s">
        <v>57</v>
      </c>
      <c r="L93" s="8" t="s">
        <v>123</v>
      </c>
      <c r="M93" s="8" t="s">
        <v>67</v>
      </c>
      <c r="N93" s="12">
        <v>3.335915832406592E-2</v>
      </c>
      <c r="O93" s="8" t="s">
        <v>57</v>
      </c>
    </row>
    <row r="94" spans="2:15" x14ac:dyDescent="0.45">
      <c r="B94" s="9" t="s">
        <v>83</v>
      </c>
      <c r="C94" s="9" t="s">
        <v>68</v>
      </c>
      <c r="D94" s="11">
        <v>1.751918802536577E-2</v>
      </c>
      <c r="E94" s="9" t="s">
        <v>57</v>
      </c>
      <c r="G94" s="9" t="s">
        <v>103</v>
      </c>
      <c r="H94" s="9" t="s">
        <v>68</v>
      </c>
      <c r="I94" s="13">
        <v>3.6005690342395334E-2</v>
      </c>
      <c r="J94" s="9" t="s">
        <v>57</v>
      </c>
      <c r="L94" s="9" t="s">
        <v>123</v>
      </c>
      <c r="M94" s="9" t="s">
        <v>68</v>
      </c>
      <c r="N94" s="13">
        <v>3.5733772144878537E-2</v>
      </c>
      <c r="O94" s="9" t="s">
        <v>57</v>
      </c>
    </row>
    <row r="95" spans="2:15" x14ac:dyDescent="0.45">
      <c r="B95" s="8" t="s">
        <v>83</v>
      </c>
      <c r="C95" s="8" t="s">
        <v>69</v>
      </c>
      <c r="D95" s="10">
        <v>0</v>
      </c>
      <c r="E95" s="8" t="s">
        <v>57</v>
      </c>
      <c r="G95" s="8" t="s">
        <v>103</v>
      </c>
      <c r="H95" s="8" t="s">
        <v>69</v>
      </c>
      <c r="I95" s="12">
        <v>4.8535658867776492E-2</v>
      </c>
      <c r="J95" s="8" t="s">
        <v>57</v>
      </c>
      <c r="L95" s="8" t="s">
        <v>123</v>
      </c>
      <c r="M95" s="8" t="s">
        <v>69</v>
      </c>
      <c r="N95" s="12">
        <v>6.2742330307395872E-2</v>
      </c>
      <c r="O95" s="8" t="s">
        <v>57</v>
      </c>
    </row>
    <row r="96" spans="2:15" x14ac:dyDescent="0.45">
      <c r="B96" s="9" t="s">
        <v>83</v>
      </c>
      <c r="C96" s="9" t="s">
        <v>70</v>
      </c>
      <c r="D96" s="11">
        <v>7.0547326683345069E-2</v>
      </c>
      <c r="E96" s="9" t="s">
        <v>57</v>
      </c>
      <c r="G96" s="9" t="s">
        <v>103</v>
      </c>
      <c r="H96" s="9" t="s">
        <v>70</v>
      </c>
      <c r="I96" s="13">
        <v>1.7178446576843927E-2</v>
      </c>
      <c r="J96" s="9" t="s">
        <v>57</v>
      </c>
      <c r="L96" s="9" t="s">
        <v>123</v>
      </c>
      <c r="M96" s="9" t="s">
        <v>70</v>
      </c>
      <c r="N96" s="13">
        <v>2.9302145709474137E-2</v>
      </c>
      <c r="O96" s="9" t="s">
        <v>57</v>
      </c>
    </row>
    <row r="97" spans="2:15" x14ac:dyDescent="0.45">
      <c r="B97" s="8" t="s">
        <v>83</v>
      </c>
      <c r="C97" s="8" t="s">
        <v>71</v>
      </c>
      <c r="D97" s="10">
        <v>0.11334714704974926</v>
      </c>
      <c r="E97" s="8" t="s">
        <v>57</v>
      </c>
      <c r="G97" s="8" t="s">
        <v>103</v>
      </c>
      <c r="H97" s="8" t="s">
        <v>71</v>
      </c>
      <c r="I97" s="12">
        <v>1.2089839309329732E-2</v>
      </c>
      <c r="J97" s="8" t="s">
        <v>57</v>
      </c>
      <c r="L97" s="8" t="s">
        <v>123</v>
      </c>
      <c r="M97" s="8" t="s">
        <v>71</v>
      </c>
      <c r="N97" s="12">
        <v>2.1289366162163401E-2</v>
      </c>
      <c r="O97" s="8" t="s">
        <v>57</v>
      </c>
    </row>
    <row r="98" spans="2:15" x14ac:dyDescent="0.45">
      <c r="B98" s="9" t="s">
        <v>83</v>
      </c>
      <c r="C98" s="9" t="s">
        <v>72</v>
      </c>
      <c r="D98" s="11">
        <v>0.11318854172273909</v>
      </c>
      <c r="E98" s="9" t="s">
        <v>57</v>
      </c>
      <c r="G98" s="9" t="s">
        <v>103</v>
      </c>
      <c r="H98" s="9" t="s">
        <v>72</v>
      </c>
      <c r="I98" s="13">
        <v>1.300702512406582E-2</v>
      </c>
      <c r="J98" s="9" t="s">
        <v>57</v>
      </c>
      <c r="L98" s="9" t="s">
        <v>123</v>
      </c>
      <c r="M98" s="9" t="s">
        <v>72</v>
      </c>
      <c r="N98" s="13">
        <v>2.117828186507625E-2</v>
      </c>
      <c r="O98" s="9" t="s">
        <v>57</v>
      </c>
    </row>
    <row r="99" spans="2:15" x14ac:dyDescent="0.45">
      <c r="B99" s="8" t="s">
        <v>83</v>
      </c>
      <c r="C99" s="8" t="s">
        <v>73</v>
      </c>
      <c r="D99" s="10">
        <v>9.2382800765025225E-2</v>
      </c>
      <c r="E99" s="8" t="s">
        <v>57</v>
      </c>
      <c r="G99" s="8" t="s">
        <v>103</v>
      </c>
      <c r="H99" s="8" t="s">
        <v>73</v>
      </c>
      <c r="I99" s="12">
        <v>1.397133014663799E-2</v>
      </c>
      <c r="J99" s="8" t="s">
        <v>57</v>
      </c>
      <c r="L99" s="8" t="s">
        <v>123</v>
      </c>
      <c r="M99" s="8" t="s">
        <v>73</v>
      </c>
      <c r="N99" s="12">
        <v>2.186824469785293E-2</v>
      </c>
      <c r="O99" s="8" t="s">
        <v>57</v>
      </c>
    </row>
    <row r="100" spans="2:15" x14ac:dyDescent="0.45">
      <c r="B100" s="9" t="s">
        <v>83</v>
      </c>
      <c r="C100" s="9" t="s">
        <v>74</v>
      </c>
      <c r="D100" s="11">
        <v>3.8238959072857182E-2</v>
      </c>
      <c r="E100" s="9" t="s">
        <v>57</v>
      </c>
      <c r="G100" s="9" t="s">
        <v>103</v>
      </c>
      <c r="H100" s="9" t="s">
        <v>74</v>
      </c>
      <c r="I100" s="13">
        <v>1.5287014429145745E-2</v>
      </c>
      <c r="J100" s="9" t="s">
        <v>57</v>
      </c>
      <c r="L100" s="9" t="s">
        <v>123</v>
      </c>
      <c r="M100" s="9" t="s">
        <v>74</v>
      </c>
      <c r="N100" s="13">
        <v>2.1950426198819338E-2</v>
      </c>
      <c r="O100" s="9" t="s">
        <v>57</v>
      </c>
    </row>
    <row r="101" spans="2:15" x14ac:dyDescent="0.45">
      <c r="B101" s="8" t="s">
        <v>83</v>
      </c>
      <c r="C101" s="8" t="s">
        <v>75</v>
      </c>
      <c r="D101" s="10">
        <v>0</v>
      </c>
      <c r="E101" s="8" t="s">
        <v>57</v>
      </c>
      <c r="G101" s="8" t="s">
        <v>103</v>
      </c>
      <c r="H101" s="8" t="s">
        <v>75</v>
      </c>
      <c r="I101" s="12">
        <v>9.7266897344294057E-2</v>
      </c>
      <c r="J101" s="8" t="s">
        <v>57</v>
      </c>
      <c r="L101" s="8" t="s">
        <v>123</v>
      </c>
      <c r="M101" s="8" t="s">
        <v>75</v>
      </c>
      <c r="N101" s="12">
        <v>8.6838845842840268E-2</v>
      </c>
      <c r="O101" s="8" t="s">
        <v>57</v>
      </c>
    </row>
    <row r="102" spans="2:15" x14ac:dyDescent="0.45">
      <c r="B102" s="9" t="s">
        <v>83</v>
      </c>
      <c r="C102" s="9" t="s">
        <v>76</v>
      </c>
      <c r="D102" s="11">
        <v>1.2812070352528395E-2</v>
      </c>
      <c r="E102" s="9" t="s">
        <v>57</v>
      </c>
      <c r="G102" s="9" t="s">
        <v>103</v>
      </c>
      <c r="H102" s="9" t="s">
        <v>76</v>
      </c>
      <c r="I102" s="13">
        <v>4.357850023588894E-2</v>
      </c>
      <c r="J102" s="9" t="s">
        <v>57</v>
      </c>
      <c r="L102" s="9" t="s">
        <v>123</v>
      </c>
      <c r="M102" s="9" t="s">
        <v>76</v>
      </c>
      <c r="N102" s="13">
        <v>4.3450185811981581E-2</v>
      </c>
      <c r="O102" s="9" t="s">
        <v>57</v>
      </c>
    </row>
    <row r="103" spans="2:15" x14ac:dyDescent="0.45">
      <c r="B103" s="8" t="s">
        <v>83</v>
      </c>
      <c r="C103" s="8" t="s">
        <v>77</v>
      </c>
      <c r="D103" s="10">
        <v>5.0245671802022676E-2</v>
      </c>
      <c r="E103" s="8" t="s">
        <v>57</v>
      </c>
      <c r="G103" s="8" t="s">
        <v>103</v>
      </c>
      <c r="H103" s="8" t="s">
        <v>77</v>
      </c>
      <c r="I103" s="12">
        <v>2.8684170593351307E-2</v>
      </c>
      <c r="J103" s="8" t="s">
        <v>57</v>
      </c>
      <c r="L103" s="8" t="s">
        <v>123</v>
      </c>
      <c r="M103" s="8" t="s">
        <v>77</v>
      </c>
      <c r="N103" s="12">
        <v>3.3547318942299391E-2</v>
      </c>
      <c r="O103" s="8" t="s">
        <v>57</v>
      </c>
    </row>
    <row r="104" spans="2:15" x14ac:dyDescent="0.45">
      <c r="B104" s="9" t="s">
        <v>83</v>
      </c>
      <c r="C104" s="9" t="s">
        <v>78</v>
      </c>
      <c r="D104" s="11">
        <v>5.6342206557175804E-2</v>
      </c>
      <c r="E104" s="9" t="s">
        <v>57</v>
      </c>
      <c r="G104" s="9" t="s">
        <v>103</v>
      </c>
      <c r="H104" s="9" t="s">
        <v>78</v>
      </c>
      <c r="I104" s="13">
        <v>2.9371948321753487E-2</v>
      </c>
      <c r="J104" s="9" t="s">
        <v>57</v>
      </c>
      <c r="L104" s="9" t="s">
        <v>123</v>
      </c>
      <c r="M104" s="9" t="s">
        <v>78</v>
      </c>
      <c r="N104" s="13">
        <v>3.2174512727481022E-2</v>
      </c>
      <c r="O104" s="9" t="s">
        <v>57</v>
      </c>
    </row>
    <row r="105" spans="2:15" x14ac:dyDescent="0.45">
      <c r="B105" s="8" t="s">
        <v>83</v>
      </c>
      <c r="C105" s="8" t="s">
        <v>79</v>
      </c>
      <c r="D105" s="10">
        <v>3.4469816725973421E-2</v>
      </c>
      <c r="E105" s="8" t="s">
        <v>57</v>
      </c>
      <c r="G105" s="8" t="s">
        <v>103</v>
      </c>
      <c r="H105" s="8" t="s">
        <v>79</v>
      </c>
      <c r="I105" s="12">
        <v>3.2386303987183909E-2</v>
      </c>
      <c r="J105" s="8" t="s">
        <v>57</v>
      </c>
      <c r="L105" s="8" t="s">
        <v>123</v>
      </c>
      <c r="M105" s="8" t="s">
        <v>79</v>
      </c>
      <c r="N105" s="12">
        <v>3.1596071524033507E-2</v>
      </c>
      <c r="O105" s="8" t="s">
        <v>57</v>
      </c>
    </row>
    <row r="106" spans="2:15" x14ac:dyDescent="0.45">
      <c r="B106" s="9" t="s">
        <v>83</v>
      </c>
      <c r="C106" s="9" t="s">
        <v>80</v>
      </c>
      <c r="D106" s="11">
        <v>2.4934388440782285E-3</v>
      </c>
      <c r="E106" s="9" t="s">
        <v>57</v>
      </c>
      <c r="G106" s="9" t="s">
        <v>103</v>
      </c>
      <c r="H106" s="9" t="s">
        <v>80</v>
      </c>
      <c r="I106" s="13">
        <v>3.6353078729938405E-2</v>
      </c>
      <c r="J106" s="9" t="s">
        <v>57</v>
      </c>
      <c r="L106" s="9" t="s">
        <v>123</v>
      </c>
      <c r="M106" s="9" t="s">
        <v>80</v>
      </c>
      <c r="N106" s="13">
        <v>3.1974862721192474E-2</v>
      </c>
      <c r="O106" s="9" t="s">
        <v>57</v>
      </c>
    </row>
    <row r="107" spans="2:15" x14ac:dyDescent="0.45">
      <c r="B107" s="8" t="s">
        <v>84</v>
      </c>
      <c r="C107" s="8" t="s">
        <v>56</v>
      </c>
      <c r="D107" s="10">
        <v>0</v>
      </c>
      <c r="E107" s="8" t="s">
        <v>57</v>
      </c>
      <c r="G107" s="8" t="s">
        <v>104</v>
      </c>
      <c r="H107" s="8" t="s">
        <v>56</v>
      </c>
      <c r="I107" s="12">
        <v>0.11542533816091194</v>
      </c>
      <c r="J107" s="8" t="s">
        <v>57</v>
      </c>
      <c r="L107" s="8" t="s">
        <v>124</v>
      </c>
      <c r="M107" s="8" t="s">
        <v>56</v>
      </c>
      <c r="N107" s="12">
        <v>9.810377374942722E-2</v>
      </c>
      <c r="O107" s="8" t="s">
        <v>57</v>
      </c>
    </row>
    <row r="108" spans="2:15" x14ac:dyDescent="0.45">
      <c r="B108" s="9" t="s">
        <v>84</v>
      </c>
      <c r="C108" s="9" t="s">
        <v>58</v>
      </c>
      <c r="D108" s="11">
        <v>4.3088948751414711E-4</v>
      </c>
      <c r="E108" s="9" t="s">
        <v>57</v>
      </c>
      <c r="G108" s="9" t="s">
        <v>104</v>
      </c>
      <c r="H108" s="9" t="s">
        <v>58</v>
      </c>
      <c r="I108" s="13">
        <v>5.8253965656412401E-2</v>
      </c>
      <c r="J108" s="9" t="s">
        <v>57</v>
      </c>
      <c r="L108" s="9" t="s">
        <v>124</v>
      </c>
      <c r="M108" s="9" t="s">
        <v>58</v>
      </c>
      <c r="N108" s="13">
        <v>4.9477992447416637E-2</v>
      </c>
      <c r="O108" s="9" t="s">
        <v>57</v>
      </c>
    </row>
    <row r="109" spans="2:15" x14ac:dyDescent="0.45">
      <c r="B109" s="8" t="s">
        <v>84</v>
      </c>
      <c r="C109" s="8" t="s">
        <v>59</v>
      </c>
      <c r="D109" s="10">
        <v>2.3735052064540164E-2</v>
      </c>
      <c r="E109" s="8" t="s">
        <v>57</v>
      </c>
      <c r="G109" s="8" t="s">
        <v>104</v>
      </c>
      <c r="H109" s="8" t="s">
        <v>59</v>
      </c>
      <c r="I109" s="12">
        <v>4.1162834234894877E-2</v>
      </c>
      <c r="J109" s="8" t="s">
        <v>57</v>
      </c>
      <c r="L109" s="8" t="s">
        <v>124</v>
      </c>
      <c r="M109" s="8" t="s">
        <v>59</v>
      </c>
      <c r="N109" s="12">
        <v>3.8014801757969029E-2</v>
      </c>
      <c r="O109" s="8" t="s">
        <v>57</v>
      </c>
    </row>
    <row r="110" spans="2:15" x14ac:dyDescent="0.45">
      <c r="B110" s="9" t="s">
        <v>84</v>
      </c>
      <c r="C110" s="9" t="s">
        <v>60</v>
      </c>
      <c r="D110" s="11">
        <v>3.2046920474095339E-2</v>
      </c>
      <c r="E110" s="9" t="s">
        <v>57</v>
      </c>
      <c r="G110" s="9" t="s">
        <v>104</v>
      </c>
      <c r="H110" s="9" t="s">
        <v>60</v>
      </c>
      <c r="I110" s="13">
        <v>3.8008285273596364E-2</v>
      </c>
      <c r="J110" s="9" t="s">
        <v>57</v>
      </c>
      <c r="L110" s="9" t="s">
        <v>124</v>
      </c>
      <c r="M110" s="9" t="s">
        <v>60</v>
      </c>
      <c r="N110" s="13">
        <v>3.6806493538728662E-2</v>
      </c>
      <c r="O110" s="9" t="s">
        <v>57</v>
      </c>
    </row>
    <row r="111" spans="2:15" x14ac:dyDescent="0.45">
      <c r="B111" s="8" t="s">
        <v>84</v>
      </c>
      <c r="C111" s="8" t="s">
        <v>61</v>
      </c>
      <c r="D111" s="10">
        <v>1.1382782577225499E-2</v>
      </c>
      <c r="E111" s="8" t="s">
        <v>57</v>
      </c>
      <c r="G111" s="8" t="s">
        <v>104</v>
      </c>
      <c r="H111" s="8" t="s">
        <v>61</v>
      </c>
      <c r="I111" s="12">
        <v>4.1078218864477878E-2</v>
      </c>
      <c r="J111" s="8" t="s">
        <v>57</v>
      </c>
      <c r="L111" s="8" t="s">
        <v>124</v>
      </c>
      <c r="M111" s="8" t="s">
        <v>61</v>
      </c>
      <c r="N111" s="12">
        <v>3.7312170486242829E-2</v>
      </c>
      <c r="O111" s="8" t="s">
        <v>57</v>
      </c>
    </row>
    <row r="112" spans="2:15" x14ac:dyDescent="0.45">
      <c r="B112" s="9" t="s">
        <v>84</v>
      </c>
      <c r="C112" s="9" t="s">
        <v>62</v>
      </c>
      <c r="D112" s="11">
        <v>0</v>
      </c>
      <c r="E112" s="9" t="s">
        <v>57</v>
      </c>
      <c r="G112" s="9" t="s">
        <v>104</v>
      </c>
      <c r="H112" s="9" t="s">
        <v>62</v>
      </c>
      <c r="I112" s="13">
        <v>4.453255149952233E-2</v>
      </c>
      <c r="J112" s="9" t="s">
        <v>57</v>
      </c>
      <c r="L112" s="9" t="s">
        <v>124</v>
      </c>
      <c r="M112" s="9" t="s">
        <v>62</v>
      </c>
      <c r="N112" s="13">
        <v>3.8160356760893958E-2</v>
      </c>
      <c r="O112" s="9" t="s">
        <v>57</v>
      </c>
    </row>
    <row r="113" spans="2:15" x14ac:dyDescent="0.45">
      <c r="B113" s="8" t="s">
        <v>84</v>
      </c>
      <c r="C113" s="8" t="s">
        <v>63</v>
      </c>
      <c r="D113" s="10">
        <v>0</v>
      </c>
      <c r="E113" s="8" t="s">
        <v>57</v>
      </c>
      <c r="G113" s="8" t="s">
        <v>104</v>
      </c>
      <c r="H113" s="8" t="s">
        <v>63</v>
      </c>
      <c r="I113" s="12">
        <v>9.4913788562520363E-2</v>
      </c>
      <c r="J113" s="8" t="s">
        <v>57</v>
      </c>
      <c r="L113" s="8" t="s">
        <v>124</v>
      </c>
      <c r="M113" s="8" t="s">
        <v>63</v>
      </c>
      <c r="N113" s="12">
        <v>9.4327096879022243E-2</v>
      </c>
      <c r="O113" s="8" t="s">
        <v>57</v>
      </c>
    </row>
    <row r="114" spans="2:15" x14ac:dyDescent="0.45">
      <c r="B114" s="9" t="s">
        <v>84</v>
      </c>
      <c r="C114" s="9" t="s">
        <v>64</v>
      </c>
      <c r="D114" s="11">
        <v>4.88591808257108E-2</v>
      </c>
      <c r="E114" s="9" t="s">
        <v>57</v>
      </c>
      <c r="G114" s="9" t="s">
        <v>104</v>
      </c>
      <c r="H114" s="9" t="s">
        <v>64</v>
      </c>
      <c r="I114" s="13">
        <v>4.1351522594305155E-2</v>
      </c>
      <c r="J114" s="9" t="s">
        <v>57</v>
      </c>
      <c r="L114" s="9" t="s">
        <v>124</v>
      </c>
      <c r="M114" s="9" t="s">
        <v>64</v>
      </c>
      <c r="N114" s="13">
        <v>4.356747896045908E-2</v>
      </c>
      <c r="O114" s="9" t="s">
        <v>57</v>
      </c>
    </row>
    <row r="115" spans="2:15" x14ac:dyDescent="0.45">
      <c r="B115" s="8" t="s">
        <v>84</v>
      </c>
      <c r="C115" s="8" t="s">
        <v>65</v>
      </c>
      <c r="D115" s="10">
        <v>0.10536492415942117</v>
      </c>
      <c r="E115" s="8" t="s">
        <v>57</v>
      </c>
      <c r="G115" s="8" t="s">
        <v>104</v>
      </c>
      <c r="H115" s="8" t="s">
        <v>65</v>
      </c>
      <c r="I115" s="12">
        <v>2.7182120011560746E-2</v>
      </c>
      <c r="J115" s="8" t="s">
        <v>57</v>
      </c>
      <c r="L115" s="8" t="s">
        <v>124</v>
      </c>
      <c r="M115" s="8" t="s">
        <v>65</v>
      </c>
      <c r="N115" s="12">
        <v>3.1474052526488577E-2</v>
      </c>
      <c r="O115" s="8" t="s">
        <v>57</v>
      </c>
    </row>
    <row r="116" spans="2:15" x14ac:dyDescent="0.45">
      <c r="B116" s="9" t="s">
        <v>84</v>
      </c>
      <c r="C116" s="9" t="s">
        <v>66</v>
      </c>
      <c r="D116" s="11">
        <v>0.10288430124381027</v>
      </c>
      <c r="E116" s="9" t="s">
        <v>57</v>
      </c>
      <c r="G116" s="9" t="s">
        <v>104</v>
      </c>
      <c r="H116" s="9" t="s">
        <v>66</v>
      </c>
      <c r="I116" s="13">
        <v>2.9261823507531121E-2</v>
      </c>
      <c r="J116" s="9" t="s">
        <v>57</v>
      </c>
      <c r="L116" s="9" t="s">
        <v>124</v>
      </c>
      <c r="M116" s="9" t="s">
        <v>66</v>
      </c>
      <c r="N116" s="13">
        <v>3.0292126158679433E-2</v>
      </c>
      <c r="O116" s="9" t="s">
        <v>57</v>
      </c>
    </row>
    <row r="117" spans="2:15" x14ac:dyDescent="0.45">
      <c r="B117" s="8" t="s">
        <v>84</v>
      </c>
      <c r="C117" s="8" t="s">
        <v>67</v>
      </c>
      <c r="D117" s="10">
        <v>7.4853567421306069E-2</v>
      </c>
      <c r="E117" s="8" t="s">
        <v>57</v>
      </c>
      <c r="G117" s="8" t="s">
        <v>104</v>
      </c>
      <c r="H117" s="8" t="s">
        <v>67</v>
      </c>
      <c r="I117" s="12">
        <v>3.0781233617724352E-2</v>
      </c>
      <c r="J117" s="8" t="s">
        <v>57</v>
      </c>
      <c r="L117" s="8" t="s">
        <v>124</v>
      </c>
      <c r="M117" s="8" t="s">
        <v>67</v>
      </c>
      <c r="N117" s="12">
        <v>3.2969594736660952E-2</v>
      </c>
      <c r="O117" s="8" t="s">
        <v>57</v>
      </c>
    </row>
    <row r="118" spans="2:15" x14ac:dyDescent="0.45">
      <c r="B118" s="9" t="s">
        <v>84</v>
      </c>
      <c r="C118" s="9" t="s">
        <v>68</v>
      </c>
      <c r="D118" s="11">
        <v>1.6952283168290609E-2</v>
      </c>
      <c r="E118" s="9" t="s">
        <v>57</v>
      </c>
      <c r="G118" s="9" t="s">
        <v>104</v>
      </c>
      <c r="H118" s="9" t="s">
        <v>68</v>
      </c>
      <c r="I118" s="13">
        <v>3.5138344510162969E-2</v>
      </c>
      <c r="J118" s="9" t="s">
        <v>57</v>
      </c>
      <c r="L118" s="9" t="s">
        <v>124</v>
      </c>
      <c r="M118" s="9" t="s">
        <v>68</v>
      </c>
      <c r="N118" s="13">
        <v>3.5519075670862078E-2</v>
      </c>
      <c r="O118" s="9" t="s">
        <v>57</v>
      </c>
    </row>
    <row r="119" spans="2:15" x14ac:dyDescent="0.45">
      <c r="B119" s="8" t="s">
        <v>84</v>
      </c>
      <c r="C119" s="8" t="s">
        <v>69</v>
      </c>
      <c r="D119" s="10">
        <v>0</v>
      </c>
      <c r="E119" s="8" t="s">
        <v>57</v>
      </c>
      <c r="G119" s="8" t="s">
        <v>104</v>
      </c>
      <c r="H119" s="8" t="s">
        <v>69</v>
      </c>
      <c r="I119" s="12">
        <v>5.258176313447066E-2</v>
      </c>
      <c r="J119" s="8" t="s">
        <v>57</v>
      </c>
      <c r="L119" s="8" t="s">
        <v>124</v>
      </c>
      <c r="M119" s="8" t="s">
        <v>69</v>
      </c>
      <c r="N119" s="12">
        <v>5.9310935061468645E-2</v>
      </c>
      <c r="O119" s="8" t="s">
        <v>57</v>
      </c>
    </row>
    <row r="120" spans="2:15" x14ac:dyDescent="0.45">
      <c r="B120" s="9" t="s">
        <v>84</v>
      </c>
      <c r="C120" s="9" t="s">
        <v>70</v>
      </c>
      <c r="D120" s="11">
        <v>7.4121577522012247E-2</v>
      </c>
      <c r="E120" s="9" t="s">
        <v>57</v>
      </c>
      <c r="G120" s="9" t="s">
        <v>104</v>
      </c>
      <c r="H120" s="9" t="s">
        <v>70</v>
      </c>
      <c r="I120" s="13">
        <v>2.0060210828377514E-2</v>
      </c>
      <c r="J120" s="9" t="s">
        <v>57</v>
      </c>
      <c r="L120" s="9" t="s">
        <v>124</v>
      </c>
      <c r="M120" s="9" t="s">
        <v>70</v>
      </c>
      <c r="N120" s="13">
        <v>2.8073274577203707E-2</v>
      </c>
      <c r="O120" s="9" t="s">
        <v>57</v>
      </c>
    </row>
    <row r="121" spans="2:15" x14ac:dyDescent="0.45">
      <c r="B121" s="8" t="s">
        <v>84</v>
      </c>
      <c r="C121" s="8" t="s">
        <v>71</v>
      </c>
      <c r="D121" s="10">
        <v>0.11219264395197576</v>
      </c>
      <c r="E121" s="8" t="s">
        <v>57</v>
      </c>
      <c r="G121" s="8" t="s">
        <v>104</v>
      </c>
      <c r="H121" s="8" t="s">
        <v>71</v>
      </c>
      <c r="I121" s="12">
        <v>1.4735823043301522E-2</v>
      </c>
      <c r="J121" s="8" t="s">
        <v>57</v>
      </c>
      <c r="L121" s="8" t="s">
        <v>124</v>
      </c>
      <c r="M121" s="8" t="s">
        <v>71</v>
      </c>
      <c r="N121" s="12">
        <v>2.0183268914708903E-2</v>
      </c>
      <c r="O121" s="8" t="s">
        <v>57</v>
      </c>
    </row>
    <row r="122" spans="2:15" x14ac:dyDescent="0.45">
      <c r="B122" s="9" t="s">
        <v>84</v>
      </c>
      <c r="C122" s="9" t="s">
        <v>72</v>
      </c>
      <c r="D122" s="11">
        <v>0.10998952892224012</v>
      </c>
      <c r="E122" s="9" t="s">
        <v>57</v>
      </c>
      <c r="G122" s="9" t="s">
        <v>104</v>
      </c>
      <c r="H122" s="9" t="s">
        <v>72</v>
      </c>
      <c r="I122" s="13">
        <v>1.7109688226681144E-2</v>
      </c>
      <c r="J122" s="9" t="s">
        <v>57</v>
      </c>
      <c r="L122" s="9" t="s">
        <v>124</v>
      </c>
      <c r="M122" s="9" t="s">
        <v>72</v>
      </c>
      <c r="N122" s="13">
        <v>2.1015574213457004E-2</v>
      </c>
      <c r="O122" s="9" t="s">
        <v>57</v>
      </c>
    </row>
    <row r="123" spans="2:15" x14ac:dyDescent="0.45">
      <c r="B123" s="8" t="s">
        <v>84</v>
      </c>
      <c r="C123" s="8" t="s">
        <v>73</v>
      </c>
      <c r="D123" s="10">
        <v>9.0704821093788579E-2</v>
      </c>
      <c r="E123" s="8" t="s">
        <v>57</v>
      </c>
      <c r="G123" s="8" t="s">
        <v>104</v>
      </c>
      <c r="H123" s="8" t="s">
        <v>73</v>
      </c>
      <c r="I123" s="12">
        <v>1.9492522297351503E-2</v>
      </c>
      <c r="J123" s="8" t="s">
        <v>57</v>
      </c>
      <c r="L123" s="8" t="s">
        <v>124</v>
      </c>
      <c r="M123" s="8" t="s">
        <v>73</v>
      </c>
      <c r="N123" s="12">
        <v>2.2883551343768026E-2</v>
      </c>
      <c r="O123" s="8" t="s">
        <v>57</v>
      </c>
    </row>
    <row r="124" spans="2:15" x14ac:dyDescent="0.45">
      <c r="B124" s="9" t="s">
        <v>84</v>
      </c>
      <c r="C124" s="9" t="s">
        <v>74</v>
      </c>
      <c r="D124" s="11">
        <v>3.6126061933050339E-2</v>
      </c>
      <c r="E124" s="9" t="s">
        <v>57</v>
      </c>
      <c r="G124" s="9" t="s">
        <v>104</v>
      </c>
      <c r="H124" s="9" t="s">
        <v>74</v>
      </c>
      <c r="I124" s="13">
        <v>1.8698290048233326E-2</v>
      </c>
      <c r="J124" s="9" t="s">
        <v>57</v>
      </c>
      <c r="L124" s="9" t="s">
        <v>124</v>
      </c>
      <c r="M124" s="9" t="s">
        <v>74</v>
      </c>
      <c r="N124" s="13">
        <v>2.1961623790004169E-2</v>
      </c>
      <c r="O124" s="9" t="s">
        <v>57</v>
      </c>
    </row>
    <row r="125" spans="2:15" x14ac:dyDescent="0.45">
      <c r="B125" s="8" t="s">
        <v>84</v>
      </c>
      <c r="C125" s="8" t="s">
        <v>75</v>
      </c>
      <c r="D125" s="10">
        <v>0</v>
      </c>
      <c r="E125" s="8" t="s">
        <v>57</v>
      </c>
      <c r="G125" s="8" t="s">
        <v>104</v>
      </c>
      <c r="H125" s="8" t="s">
        <v>75</v>
      </c>
      <c r="I125" s="12">
        <v>9.1239351947302372E-2</v>
      </c>
      <c r="J125" s="8" t="s">
        <v>57</v>
      </c>
      <c r="L125" s="8" t="s">
        <v>124</v>
      </c>
      <c r="M125" s="8" t="s">
        <v>75</v>
      </c>
      <c r="N125" s="12">
        <v>8.530795168491441E-2</v>
      </c>
      <c r="O125" s="8" t="s">
        <v>57</v>
      </c>
    </row>
    <row r="126" spans="2:15" x14ac:dyDescent="0.45">
      <c r="B126" s="9" t="s">
        <v>84</v>
      </c>
      <c r="C126" s="9" t="s">
        <v>76</v>
      </c>
      <c r="D126" s="11">
        <v>1.6492207091872747E-2</v>
      </c>
      <c r="E126" s="9" t="s">
        <v>57</v>
      </c>
      <c r="G126" s="9" t="s">
        <v>104</v>
      </c>
      <c r="H126" s="9" t="s">
        <v>76</v>
      </c>
      <c r="I126" s="13">
        <v>4.2803843187548631E-2</v>
      </c>
      <c r="J126" s="9" t="s">
        <v>57</v>
      </c>
      <c r="L126" s="9" t="s">
        <v>124</v>
      </c>
      <c r="M126" s="9" t="s">
        <v>76</v>
      </c>
      <c r="N126" s="13">
        <v>4.3362745476161188E-2</v>
      </c>
      <c r="O126" s="9" t="s">
        <v>57</v>
      </c>
    </row>
    <row r="127" spans="2:15" x14ac:dyDescent="0.45">
      <c r="B127" s="8" t="s">
        <v>84</v>
      </c>
      <c r="C127" s="8" t="s">
        <v>77</v>
      </c>
      <c r="D127" s="10">
        <v>5.485221899436641E-2</v>
      </c>
      <c r="E127" s="8" t="s">
        <v>57</v>
      </c>
      <c r="G127" s="8" t="s">
        <v>104</v>
      </c>
      <c r="H127" s="8" t="s">
        <v>77</v>
      </c>
      <c r="I127" s="12">
        <v>2.9683677611796359E-2</v>
      </c>
      <c r="J127" s="8" t="s">
        <v>57</v>
      </c>
      <c r="L127" s="8" t="s">
        <v>124</v>
      </c>
      <c r="M127" s="8" t="s">
        <v>77</v>
      </c>
      <c r="N127" s="12">
        <v>3.3509642781887596E-2</v>
      </c>
      <c r="O127" s="8" t="s">
        <v>57</v>
      </c>
    </row>
    <row r="128" spans="2:15" x14ac:dyDescent="0.45">
      <c r="B128" s="9" t="s">
        <v>84</v>
      </c>
      <c r="C128" s="9" t="s">
        <v>78</v>
      </c>
      <c r="D128" s="11">
        <v>5.5248193520271993E-2</v>
      </c>
      <c r="E128" s="9" t="s">
        <v>57</v>
      </c>
      <c r="G128" s="9" t="s">
        <v>104</v>
      </c>
      <c r="H128" s="9" t="s">
        <v>78</v>
      </c>
      <c r="I128" s="13">
        <v>2.9315464450953056E-2</v>
      </c>
      <c r="J128" s="9" t="s">
        <v>57</v>
      </c>
      <c r="L128" s="9" t="s">
        <v>124</v>
      </c>
      <c r="M128" s="9" t="s">
        <v>78</v>
      </c>
      <c r="N128" s="13">
        <v>3.2807680802995426E-2</v>
      </c>
      <c r="O128" s="9" t="s">
        <v>57</v>
      </c>
    </row>
    <row r="129" spans="2:15" x14ac:dyDescent="0.45">
      <c r="B129" s="8" t="s">
        <v>84</v>
      </c>
      <c r="C129" s="8" t="s">
        <v>79</v>
      </c>
      <c r="D129" s="10">
        <v>3.1733493599967653E-2</v>
      </c>
      <c r="E129" s="8" t="s">
        <v>57</v>
      </c>
      <c r="G129" s="8" t="s">
        <v>104</v>
      </c>
      <c r="H129" s="8" t="s">
        <v>79</v>
      </c>
      <c r="I129" s="12">
        <v>3.2127209722843365E-2</v>
      </c>
      <c r="J129" s="8" t="s">
        <v>57</v>
      </c>
      <c r="L129" s="8" t="s">
        <v>124</v>
      </c>
      <c r="M129" s="8" t="s">
        <v>79</v>
      </c>
      <c r="N129" s="12">
        <v>3.2532567676076894E-2</v>
      </c>
      <c r="O129" s="8" t="s">
        <v>57</v>
      </c>
    </row>
    <row r="130" spans="2:15" x14ac:dyDescent="0.45">
      <c r="B130" s="9" t="s">
        <v>84</v>
      </c>
      <c r="C130" s="9" t="s">
        <v>80</v>
      </c>
      <c r="D130" s="11">
        <v>2.0293519485407386E-3</v>
      </c>
      <c r="E130" s="9" t="s">
        <v>57</v>
      </c>
      <c r="G130" s="9" t="s">
        <v>104</v>
      </c>
      <c r="H130" s="9" t="s">
        <v>80</v>
      </c>
      <c r="I130" s="13">
        <v>3.5062129007524527E-2</v>
      </c>
      <c r="J130" s="9" t="s">
        <v>57</v>
      </c>
      <c r="L130" s="9" t="s">
        <v>124</v>
      </c>
      <c r="M130" s="9" t="s">
        <v>80</v>
      </c>
      <c r="N130" s="13">
        <v>3.302617000450276E-2</v>
      </c>
      <c r="O130" s="9" t="s">
        <v>57</v>
      </c>
    </row>
    <row r="131" spans="2:15" x14ac:dyDescent="0.45">
      <c r="B131" s="8" t="s">
        <v>85</v>
      </c>
      <c r="C131" s="8" t="s">
        <v>56</v>
      </c>
      <c r="D131" s="10">
        <v>0</v>
      </c>
      <c r="E131" s="8" t="s">
        <v>57</v>
      </c>
      <c r="G131" s="8" t="s">
        <v>105</v>
      </c>
      <c r="H131" s="8" t="s">
        <v>56</v>
      </c>
      <c r="I131" s="12">
        <v>0.11336015767182715</v>
      </c>
      <c r="J131" s="8" t="s">
        <v>57</v>
      </c>
      <c r="L131" s="8" t="s">
        <v>125</v>
      </c>
      <c r="M131" s="8" t="s">
        <v>56</v>
      </c>
      <c r="N131" s="12">
        <v>9.9470467815291216E-2</v>
      </c>
      <c r="O131" s="8" t="s">
        <v>57</v>
      </c>
    </row>
    <row r="132" spans="2:15" x14ac:dyDescent="0.45">
      <c r="B132" s="9" t="s">
        <v>85</v>
      </c>
      <c r="C132" s="9" t="s">
        <v>58</v>
      </c>
      <c r="D132" s="11">
        <v>1.056632404288862E-3</v>
      </c>
      <c r="E132" s="9" t="s">
        <v>57</v>
      </c>
      <c r="G132" s="9" t="s">
        <v>105</v>
      </c>
      <c r="H132" s="9" t="s">
        <v>58</v>
      </c>
      <c r="I132" s="13">
        <v>5.6173181436349078E-2</v>
      </c>
      <c r="J132" s="9" t="s">
        <v>57</v>
      </c>
      <c r="L132" s="9" t="s">
        <v>125</v>
      </c>
      <c r="M132" s="9" t="s">
        <v>58</v>
      </c>
      <c r="N132" s="13">
        <v>5.0393432316437253E-2</v>
      </c>
      <c r="O132" s="9" t="s">
        <v>57</v>
      </c>
    </row>
    <row r="133" spans="2:15" x14ac:dyDescent="0.45">
      <c r="B133" s="8" t="s">
        <v>85</v>
      </c>
      <c r="C133" s="8" t="s">
        <v>59</v>
      </c>
      <c r="D133" s="10">
        <v>2.4630723406489689E-2</v>
      </c>
      <c r="E133" s="8" t="s">
        <v>57</v>
      </c>
      <c r="G133" s="8" t="s">
        <v>105</v>
      </c>
      <c r="H133" s="8" t="s">
        <v>59</v>
      </c>
      <c r="I133" s="12">
        <v>4.0365884812208062E-2</v>
      </c>
      <c r="J133" s="8" t="s">
        <v>57</v>
      </c>
      <c r="L133" s="8" t="s">
        <v>125</v>
      </c>
      <c r="M133" s="8" t="s">
        <v>59</v>
      </c>
      <c r="N133" s="12">
        <v>3.8182447123438296E-2</v>
      </c>
      <c r="O133" s="8" t="s">
        <v>57</v>
      </c>
    </row>
    <row r="134" spans="2:15" x14ac:dyDescent="0.45">
      <c r="B134" s="9" t="s">
        <v>85</v>
      </c>
      <c r="C134" s="9" t="s">
        <v>60</v>
      </c>
      <c r="D134" s="11">
        <v>3.0503301832691246E-2</v>
      </c>
      <c r="E134" s="9" t="s">
        <v>57</v>
      </c>
      <c r="G134" s="9" t="s">
        <v>105</v>
      </c>
      <c r="H134" s="9" t="s">
        <v>60</v>
      </c>
      <c r="I134" s="13">
        <v>3.8359823320797015E-2</v>
      </c>
      <c r="J134" s="9" t="s">
        <v>57</v>
      </c>
      <c r="L134" s="9" t="s">
        <v>125</v>
      </c>
      <c r="M134" s="9" t="s">
        <v>60</v>
      </c>
      <c r="N134" s="13">
        <v>3.7337467027044595E-2</v>
      </c>
      <c r="O134" s="9" t="s">
        <v>57</v>
      </c>
    </row>
    <row r="135" spans="2:15" x14ac:dyDescent="0.45">
      <c r="B135" s="8" t="s">
        <v>85</v>
      </c>
      <c r="C135" s="8" t="s">
        <v>61</v>
      </c>
      <c r="D135" s="10">
        <v>9.0219911034858623E-3</v>
      </c>
      <c r="E135" s="8" t="s">
        <v>57</v>
      </c>
      <c r="G135" s="8" t="s">
        <v>105</v>
      </c>
      <c r="H135" s="8" t="s">
        <v>61</v>
      </c>
      <c r="I135" s="12">
        <v>4.1627629277802315E-2</v>
      </c>
      <c r="J135" s="8" t="s">
        <v>57</v>
      </c>
      <c r="L135" s="8" t="s">
        <v>125</v>
      </c>
      <c r="M135" s="8" t="s">
        <v>61</v>
      </c>
      <c r="N135" s="12">
        <v>3.8614713553813441E-2</v>
      </c>
      <c r="O135" s="8" t="s">
        <v>57</v>
      </c>
    </row>
    <row r="136" spans="2:15" x14ac:dyDescent="0.45">
      <c r="B136" s="9" t="s">
        <v>85</v>
      </c>
      <c r="C136" s="9" t="s">
        <v>62</v>
      </c>
      <c r="D136" s="11">
        <v>0</v>
      </c>
      <c r="E136" s="9" t="s">
        <v>57</v>
      </c>
      <c r="G136" s="9" t="s">
        <v>105</v>
      </c>
      <c r="H136" s="9" t="s">
        <v>62</v>
      </c>
      <c r="I136" s="13">
        <v>4.4352128025700585E-2</v>
      </c>
      <c r="J136" s="9" t="s">
        <v>57</v>
      </c>
      <c r="L136" s="9" t="s">
        <v>125</v>
      </c>
      <c r="M136" s="9" t="s">
        <v>62</v>
      </c>
      <c r="N136" s="13">
        <v>3.9519148824647916E-2</v>
      </c>
      <c r="O136" s="9" t="s">
        <v>57</v>
      </c>
    </row>
    <row r="137" spans="2:15" x14ac:dyDescent="0.45">
      <c r="B137" s="8" t="s">
        <v>85</v>
      </c>
      <c r="C137" s="8" t="s">
        <v>63</v>
      </c>
      <c r="D137" s="10">
        <v>9.3265561241735604E-5</v>
      </c>
      <c r="E137" s="8" t="s">
        <v>57</v>
      </c>
      <c r="G137" s="8" t="s">
        <v>105</v>
      </c>
      <c r="H137" s="8" t="s">
        <v>63</v>
      </c>
      <c r="I137" s="12">
        <v>9.9744680297840935E-2</v>
      </c>
      <c r="J137" s="8" t="s">
        <v>57</v>
      </c>
      <c r="L137" s="8" t="s">
        <v>125</v>
      </c>
      <c r="M137" s="8" t="s">
        <v>63</v>
      </c>
      <c r="N137" s="12">
        <v>9.2995504320861691E-2</v>
      </c>
      <c r="O137" s="8" t="s">
        <v>57</v>
      </c>
    </row>
    <row r="138" spans="2:15" x14ac:dyDescent="0.45">
      <c r="B138" s="9" t="s">
        <v>85</v>
      </c>
      <c r="C138" s="9" t="s">
        <v>64</v>
      </c>
      <c r="D138" s="11">
        <v>6.1243390901706267E-2</v>
      </c>
      <c r="E138" s="9" t="s">
        <v>57</v>
      </c>
      <c r="G138" s="9" t="s">
        <v>105</v>
      </c>
      <c r="H138" s="9" t="s">
        <v>64</v>
      </c>
      <c r="I138" s="13">
        <v>4.4895999855655296E-2</v>
      </c>
      <c r="J138" s="9" t="s">
        <v>57</v>
      </c>
      <c r="L138" s="9" t="s">
        <v>125</v>
      </c>
      <c r="M138" s="9" t="s">
        <v>64</v>
      </c>
      <c r="N138" s="13">
        <v>4.3281887071487203E-2</v>
      </c>
      <c r="O138" s="9" t="s">
        <v>57</v>
      </c>
    </row>
    <row r="139" spans="2:15" x14ac:dyDescent="0.45">
      <c r="B139" s="8" t="s">
        <v>85</v>
      </c>
      <c r="C139" s="8" t="s">
        <v>65</v>
      </c>
      <c r="D139" s="10">
        <v>0.11179385219971535</v>
      </c>
      <c r="E139" s="8" t="s">
        <v>57</v>
      </c>
      <c r="G139" s="8" t="s">
        <v>105</v>
      </c>
      <c r="H139" s="8" t="s">
        <v>65</v>
      </c>
      <c r="I139" s="12">
        <v>2.6760997242260148E-2</v>
      </c>
      <c r="J139" s="8" t="s">
        <v>57</v>
      </c>
      <c r="L139" s="8" t="s">
        <v>125</v>
      </c>
      <c r="M139" s="8" t="s">
        <v>65</v>
      </c>
      <c r="N139" s="12">
        <v>3.1241817765947814E-2</v>
      </c>
      <c r="O139" s="8" t="s">
        <v>57</v>
      </c>
    </row>
    <row r="140" spans="2:15" x14ac:dyDescent="0.45">
      <c r="B140" s="9" t="s">
        <v>85</v>
      </c>
      <c r="C140" s="9" t="s">
        <v>66</v>
      </c>
      <c r="D140" s="11">
        <v>0.10564499997595854</v>
      </c>
      <c r="E140" s="9" t="s">
        <v>57</v>
      </c>
      <c r="G140" s="9" t="s">
        <v>105</v>
      </c>
      <c r="H140" s="9" t="s">
        <v>66</v>
      </c>
      <c r="I140" s="13">
        <v>2.6704128287362666E-2</v>
      </c>
      <c r="J140" s="9" t="s">
        <v>57</v>
      </c>
      <c r="L140" s="9" t="s">
        <v>125</v>
      </c>
      <c r="M140" s="9" t="s">
        <v>66</v>
      </c>
      <c r="N140" s="13">
        <v>3.0405770203396965E-2</v>
      </c>
      <c r="O140" s="9" t="s">
        <v>57</v>
      </c>
    </row>
    <row r="141" spans="2:15" x14ac:dyDescent="0.45">
      <c r="B141" s="8" t="s">
        <v>85</v>
      </c>
      <c r="C141" s="8" t="s">
        <v>67</v>
      </c>
      <c r="D141" s="10">
        <v>7.8196982768197462E-2</v>
      </c>
      <c r="E141" s="8" t="s">
        <v>57</v>
      </c>
      <c r="G141" s="8" t="s">
        <v>105</v>
      </c>
      <c r="H141" s="8" t="s">
        <v>67</v>
      </c>
      <c r="I141" s="12">
        <v>2.8723945665654074E-2</v>
      </c>
      <c r="J141" s="8" t="s">
        <v>57</v>
      </c>
      <c r="L141" s="8" t="s">
        <v>125</v>
      </c>
      <c r="M141" s="8" t="s">
        <v>67</v>
      </c>
      <c r="N141" s="12">
        <v>3.2589523256815828E-2</v>
      </c>
      <c r="O141" s="8" t="s">
        <v>57</v>
      </c>
    </row>
    <row r="142" spans="2:15" x14ac:dyDescent="0.45">
      <c r="B142" s="9" t="s">
        <v>85</v>
      </c>
      <c r="C142" s="9" t="s">
        <v>68</v>
      </c>
      <c r="D142" s="11">
        <v>1.4934971252471955E-2</v>
      </c>
      <c r="E142" s="9" t="s">
        <v>57</v>
      </c>
      <c r="G142" s="9" t="s">
        <v>105</v>
      </c>
      <c r="H142" s="9" t="s">
        <v>68</v>
      </c>
      <c r="I142" s="13">
        <v>3.3202697537587068E-2</v>
      </c>
      <c r="J142" s="9" t="s">
        <v>57</v>
      </c>
      <c r="L142" s="9" t="s">
        <v>125</v>
      </c>
      <c r="M142" s="9" t="s">
        <v>68</v>
      </c>
      <c r="N142" s="13">
        <v>3.4223006754966402E-2</v>
      </c>
      <c r="O142" s="9" t="s">
        <v>57</v>
      </c>
    </row>
    <row r="143" spans="2:15" x14ac:dyDescent="0.45">
      <c r="B143" s="8" t="s">
        <v>85</v>
      </c>
      <c r="C143" s="8" t="s">
        <v>69</v>
      </c>
      <c r="D143" s="10">
        <v>1.1667786578062778E-3</v>
      </c>
      <c r="E143" s="8" t="s">
        <v>57</v>
      </c>
      <c r="G143" s="8" t="s">
        <v>105</v>
      </c>
      <c r="H143" s="8" t="s">
        <v>69</v>
      </c>
      <c r="I143" s="12">
        <v>5.4203715734772805E-2</v>
      </c>
      <c r="J143" s="8" t="s">
        <v>57</v>
      </c>
      <c r="L143" s="8" t="s">
        <v>125</v>
      </c>
      <c r="M143" s="8" t="s">
        <v>69</v>
      </c>
      <c r="N143" s="12">
        <v>5.8302016678717671E-2</v>
      </c>
      <c r="O143" s="8" t="s">
        <v>57</v>
      </c>
    </row>
    <row r="144" spans="2:15" x14ac:dyDescent="0.45">
      <c r="B144" s="9" t="s">
        <v>85</v>
      </c>
      <c r="C144" s="9" t="s">
        <v>70</v>
      </c>
      <c r="D144" s="11">
        <v>7.9680767985267589E-2</v>
      </c>
      <c r="E144" s="9" t="s">
        <v>57</v>
      </c>
      <c r="G144" s="9" t="s">
        <v>105</v>
      </c>
      <c r="H144" s="9" t="s">
        <v>70</v>
      </c>
      <c r="I144" s="13">
        <v>1.9949000056382532E-2</v>
      </c>
      <c r="J144" s="9" t="s">
        <v>57</v>
      </c>
      <c r="L144" s="9" t="s">
        <v>125</v>
      </c>
      <c r="M144" s="9" t="s">
        <v>70</v>
      </c>
      <c r="N144" s="13">
        <v>2.842983059273026E-2</v>
      </c>
      <c r="O144" s="9" t="s">
        <v>57</v>
      </c>
    </row>
    <row r="145" spans="2:15" x14ac:dyDescent="0.45">
      <c r="B145" s="8" t="s">
        <v>85</v>
      </c>
      <c r="C145" s="8" t="s">
        <v>71</v>
      </c>
      <c r="D145" s="10">
        <v>0.10873573335789836</v>
      </c>
      <c r="E145" s="8" t="s">
        <v>57</v>
      </c>
      <c r="G145" s="8" t="s">
        <v>105</v>
      </c>
      <c r="H145" s="8" t="s">
        <v>71</v>
      </c>
      <c r="I145" s="12">
        <v>1.459377404360873E-2</v>
      </c>
      <c r="J145" s="8" t="s">
        <v>57</v>
      </c>
      <c r="L145" s="8" t="s">
        <v>125</v>
      </c>
      <c r="M145" s="8" t="s">
        <v>71</v>
      </c>
      <c r="N145" s="12">
        <v>2.0484069708667705E-2</v>
      </c>
      <c r="O145" s="8" t="s">
        <v>57</v>
      </c>
    </row>
    <row r="146" spans="2:15" x14ac:dyDescent="0.45">
      <c r="B146" s="9" t="s">
        <v>85</v>
      </c>
      <c r="C146" s="9" t="s">
        <v>72</v>
      </c>
      <c r="D146" s="11">
        <v>0.10591277929390298</v>
      </c>
      <c r="E146" s="9" t="s">
        <v>57</v>
      </c>
      <c r="G146" s="9" t="s">
        <v>105</v>
      </c>
      <c r="H146" s="9" t="s">
        <v>72</v>
      </c>
      <c r="I146" s="13">
        <v>1.627658064335321E-2</v>
      </c>
      <c r="J146" s="9" t="s">
        <v>57</v>
      </c>
      <c r="L146" s="9" t="s">
        <v>125</v>
      </c>
      <c r="M146" s="9" t="s">
        <v>72</v>
      </c>
      <c r="N146" s="13">
        <v>2.1591042971602255E-2</v>
      </c>
      <c r="O146" s="9" t="s">
        <v>57</v>
      </c>
    </row>
    <row r="147" spans="2:15" x14ac:dyDescent="0.45">
      <c r="B147" s="8" t="s">
        <v>85</v>
      </c>
      <c r="C147" s="8" t="s">
        <v>73</v>
      </c>
      <c r="D147" s="10">
        <v>8.7284064661611954E-2</v>
      </c>
      <c r="E147" s="8" t="s">
        <v>57</v>
      </c>
      <c r="G147" s="8" t="s">
        <v>105</v>
      </c>
      <c r="H147" s="8" t="s">
        <v>73</v>
      </c>
      <c r="I147" s="12">
        <v>1.7871317045179816E-2</v>
      </c>
      <c r="J147" s="8" t="s">
        <v>57</v>
      </c>
      <c r="L147" s="8" t="s">
        <v>125</v>
      </c>
      <c r="M147" s="8" t="s">
        <v>73</v>
      </c>
      <c r="N147" s="12">
        <v>2.2402453040629475E-2</v>
      </c>
      <c r="O147" s="8" t="s">
        <v>57</v>
      </c>
    </row>
    <row r="148" spans="2:15" x14ac:dyDescent="0.45">
      <c r="B148" s="9" t="s">
        <v>85</v>
      </c>
      <c r="C148" s="9" t="s">
        <v>74</v>
      </c>
      <c r="D148" s="11">
        <v>3.1590449059095096E-2</v>
      </c>
      <c r="E148" s="9" t="s">
        <v>57</v>
      </c>
      <c r="G148" s="9" t="s">
        <v>105</v>
      </c>
      <c r="H148" s="9" t="s">
        <v>74</v>
      </c>
      <c r="I148" s="13">
        <v>1.8580175361212776E-2</v>
      </c>
      <c r="J148" s="9" t="s">
        <v>57</v>
      </c>
      <c r="L148" s="9" t="s">
        <v>125</v>
      </c>
      <c r="M148" s="9" t="s">
        <v>74</v>
      </c>
      <c r="N148" s="13">
        <v>2.0962463810447703E-2</v>
      </c>
      <c r="O148" s="9" t="s">
        <v>57</v>
      </c>
    </row>
    <row r="149" spans="2:15" x14ac:dyDescent="0.45">
      <c r="B149" s="8" t="s">
        <v>85</v>
      </c>
      <c r="C149" s="8" t="s">
        <v>75</v>
      </c>
      <c r="D149" s="10">
        <v>0</v>
      </c>
      <c r="E149" s="8" t="s">
        <v>57</v>
      </c>
      <c r="G149" s="8" t="s">
        <v>105</v>
      </c>
      <c r="H149" s="8" t="s">
        <v>75</v>
      </c>
      <c r="I149" s="12">
        <v>9.2151167345960822E-2</v>
      </c>
      <c r="J149" s="8" t="s">
        <v>57</v>
      </c>
      <c r="L149" s="8" t="s">
        <v>125</v>
      </c>
      <c r="M149" s="8" t="s">
        <v>75</v>
      </c>
      <c r="N149" s="12">
        <v>8.6266505377779718E-2</v>
      </c>
      <c r="O149" s="8" t="s">
        <v>57</v>
      </c>
    </row>
    <row r="150" spans="2:15" x14ac:dyDescent="0.45">
      <c r="B150" s="9" t="s">
        <v>85</v>
      </c>
      <c r="C150" s="9" t="s">
        <v>76</v>
      </c>
      <c r="D150" s="11">
        <v>1.6721192188947642E-2</v>
      </c>
      <c r="E150" s="9" t="s">
        <v>57</v>
      </c>
      <c r="G150" s="9" t="s">
        <v>105</v>
      </c>
      <c r="H150" s="9" t="s">
        <v>76</v>
      </c>
      <c r="I150" s="13">
        <v>4.2514032627477064E-2</v>
      </c>
      <c r="J150" s="9" t="s">
        <v>57</v>
      </c>
      <c r="L150" s="9" t="s">
        <v>125</v>
      </c>
      <c r="M150" s="9" t="s">
        <v>76</v>
      </c>
      <c r="N150" s="13">
        <v>4.308924358063837E-2</v>
      </c>
      <c r="O150" s="9" t="s">
        <v>57</v>
      </c>
    </row>
    <row r="151" spans="2:15" x14ac:dyDescent="0.45">
      <c r="B151" s="8" t="s">
        <v>85</v>
      </c>
      <c r="C151" s="8" t="s">
        <v>77</v>
      </c>
      <c r="D151" s="10">
        <v>5.119772810341016E-2</v>
      </c>
      <c r="E151" s="8" t="s">
        <v>57</v>
      </c>
      <c r="G151" s="8" t="s">
        <v>105</v>
      </c>
      <c r="H151" s="8" t="s">
        <v>77</v>
      </c>
      <c r="I151" s="12">
        <v>2.9016254465527021E-2</v>
      </c>
      <c r="J151" s="8" t="s">
        <v>57</v>
      </c>
      <c r="L151" s="8" t="s">
        <v>125</v>
      </c>
      <c r="M151" s="8" t="s">
        <v>77</v>
      </c>
      <c r="N151" s="12">
        <v>3.3079870261170589E-2</v>
      </c>
      <c r="O151" s="8" t="s">
        <v>57</v>
      </c>
    </row>
    <row r="152" spans="2:15" x14ac:dyDescent="0.45">
      <c r="B152" s="9" t="s">
        <v>85</v>
      </c>
      <c r="C152" s="9" t="s">
        <v>78</v>
      </c>
      <c r="D152" s="11">
        <v>5.1255363199061203E-2</v>
      </c>
      <c r="E152" s="9" t="s">
        <v>57</v>
      </c>
      <c r="G152" s="9" t="s">
        <v>105</v>
      </c>
      <c r="H152" s="9" t="s">
        <v>78</v>
      </c>
      <c r="I152" s="13">
        <v>3.0321324865511215E-2</v>
      </c>
      <c r="J152" s="9" t="s">
        <v>57</v>
      </c>
      <c r="L152" s="9" t="s">
        <v>125</v>
      </c>
      <c r="M152" s="9" t="s">
        <v>78</v>
      </c>
      <c r="N152" s="13">
        <v>3.2072843250347476E-2</v>
      </c>
      <c r="O152" s="9" t="s">
        <v>57</v>
      </c>
    </row>
    <row r="153" spans="2:15" x14ac:dyDescent="0.45">
      <c r="B153" s="8" t="s">
        <v>85</v>
      </c>
      <c r="C153" s="8" t="s">
        <v>79</v>
      </c>
      <c r="D153" s="10">
        <v>2.7735960785918324E-2</v>
      </c>
      <c r="E153" s="8" t="s">
        <v>57</v>
      </c>
      <c r="G153" s="8" t="s">
        <v>105</v>
      </c>
      <c r="H153" s="8" t="s">
        <v>79</v>
      </c>
      <c r="I153" s="12">
        <v>3.2547578110475379E-2</v>
      </c>
      <c r="J153" s="8" t="s">
        <v>57</v>
      </c>
      <c r="L153" s="8" t="s">
        <v>125</v>
      </c>
      <c r="M153" s="8" t="s">
        <v>79</v>
      </c>
      <c r="N153" s="12">
        <v>3.2171609174958544E-2</v>
      </c>
      <c r="O153" s="8" t="s">
        <v>57</v>
      </c>
    </row>
    <row r="154" spans="2:15" x14ac:dyDescent="0.45">
      <c r="B154" s="9" t="s">
        <v>85</v>
      </c>
      <c r="C154" s="9" t="s">
        <v>80</v>
      </c>
      <c r="D154" s="11">
        <v>1.5990713008328576E-3</v>
      </c>
      <c r="E154" s="9" t="s">
        <v>57</v>
      </c>
      <c r="G154" s="9" t="s">
        <v>105</v>
      </c>
      <c r="H154" s="9" t="s">
        <v>80</v>
      </c>
      <c r="I154" s="13">
        <v>3.7703826269494353E-2</v>
      </c>
      <c r="J154" s="9" t="s">
        <v>57</v>
      </c>
      <c r="L154" s="9" t="s">
        <v>125</v>
      </c>
      <c r="M154" s="9" t="s">
        <v>80</v>
      </c>
      <c r="N154" s="13">
        <v>3.2892865518159745E-2</v>
      </c>
      <c r="O154" s="9" t="s">
        <v>57</v>
      </c>
    </row>
    <row r="155" spans="2:15" x14ac:dyDescent="0.45">
      <c r="B155" s="8" t="s">
        <v>86</v>
      </c>
      <c r="C155" s="8" t="s">
        <v>56</v>
      </c>
      <c r="D155" s="10">
        <v>0</v>
      </c>
      <c r="E155" s="8" t="s">
        <v>57</v>
      </c>
      <c r="G155" s="8" t="s">
        <v>106</v>
      </c>
      <c r="H155" s="8" t="s">
        <v>56</v>
      </c>
      <c r="I155" s="12">
        <v>0.11678638967732204</v>
      </c>
      <c r="J155" s="8" t="s">
        <v>57</v>
      </c>
      <c r="L155" s="8" t="s">
        <v>126</v>
      </c>
      <c r="M155" s="8" t="s">
        <v>56</v>
      </c>
      <c r="N155" s="12">
        <v>0.10038410526579745</v>
      </c>
      <c r="O155" s="8" t="s">
        <v>57</v>
      </c>
    </row>
    <row r="156" spans="2:15" x14ac:dyDescent="0.45">
      <c r="B156" s="9" t="s">
        <v>86</v>
      </c>
      <c r="C156" s="9" t="s">
        <v>58</v>
      </c>
      <c r="D156" s="11">
        <v>5.2264294840353661E-4</v>
      </c>
      <c r="E156" s="9" t="s">
        <v>57</v>
      </c>
      <c r="G156" s="9" t="s">
        <v>106</v>
      </c>
      <c r="H156" s="9" t="s">
        <v>58</v>
      </c>
      <c r="I156" s="13">
        <v>5.8753222378641709E-2</v>
      </c>
      <c r="J156" s="9" t="s">
        <v>57</v>
      </c>
      <c r="L156" s="9" t="s">
        <v>126</v>
      </c>
      <c r="M156" s="9" t="s">
        <v>58</v>
      </c>
      <c r="N156" s="13">
        <v>5.0618937517524061E-2</v>
      </c>
      <c r="O156" s="9" t="s">
        <v>57</v>
      </c>
    </row>
    <row r="157" spans="2:15" x14ac:dyDescent="0.45">
      <c r="B157" s="8" t="s">
        <v>86</v>
      </c>
      <c r="C157" s="8" t="s">
        <v>59</v>
      </c>
      <c r="D157" s="10">
        <v>2.1031330221397523E-2</v>
      </c>
      <c r="E157" s="8" t="s">
        <v>57</v>
      </c>
      <c r="G157" s="8" t="s">
        <v>106</v>
      </c>
      <c r="H157" s="8" t="s">
        <v>59</v>
      </c>
      <c r="I157" s="12">
        <v>4.2013090731314692E-2</v>
      </c>
      <c r="J157" s="8" t="s">
        <v>57</v>
      </c>
      <c r="L157" s="8" t="s">
        <v>126</v>
      </c>
      <c r="M157" s="8" t="s">
        <v>59</v>
      </c>
      <c r="N157" s="12">
        <v>3.8545881582047165E-2</v>
      </c>
      <c r="O157" s="8" t="s">
        <v>57</v>
      </c>
    </row>
    <row r="158" spans="2:15" x14ac:dyDescent="0.45">
      <c r="B158" s="9" t="s">
        <v>86</v>
      </c>
      <c r="C158" s="9" t="s">
        <v>60</v>
      </c>
      <c r="D158" s="11">
        <v>3.0617248123148796E-2</v>
      </c>
      <c r="E158" s="9" t="s">
        <v>57</v>
      </c>
      <c r="G158" s="9" t="s">
        <v>106</v>
      </c>
      <c r="H158" s="9" t="s">
        <v>60</v>
      </c>
      <c r="I158" s="13">
        <v>3.8401267550173319E-2</v>
      </c>
      <c r="J158" s="9" t="s">
        <v>57</v>
      </c>
      <c r="L158" s="9" t="s">
        <v>126</v>
      </c>
      <c r="M158" s="9" t="s">
        <v>60</v>
      </c>
      <c r="N158" s="13">
        <v>3.9785765891237668E-2</v>
      </c>
      <c r="O158" s="9" t="s">
        <v>57</v>
      </c>
    </row>
    <row r="159" spans="2:15" x14ac:dyDescent="0.45">
      <c r="B159" s="8" t="s">
        <v>86</v>
      </c>
      <c r="C159" s="8" t="s">
        <v>61</v>
      </c>
      <c r="D159" s="10">
        <v>1.1596949416111056E-2</v>
      </c>
      <c r="E159" s="8" t="s">
        <v>57</v>
      </c>
      <c r="G159" s="8" t="s">
        <v>106</v>
      </c>
      <c r="H159" s="8" t="s">
        <v>61</v>
      </c>
      <c r="I159" s="12">
        <v>4.0799282184313515E-2</v>
      </c>
      <c r="J159" s="8" t="s">
        <v>57</v>
      </c>
      <c r="L159" s="8" t="s">
        <v>126</v>
      </c>
      <c r="M159" s="8" t="s">
        <v>61</v>
      </c>
      <c r="N159" s="12">
        <v>4.0643603581319541E-2</v>
      </c>
      <c r="O159" s="8" t="s">
        <v>57</v>
      </c>
    </row>
    <row r="160" spans="2:15" x14ac:dyDescent="0.45">
      <c r="B160" s="9" t="s">
        <v>86</v>
      </c>
      <c r="C160" s="9" t="s">
        <v>62</v>
      </c>
      <c r="D160" s="11">
        <v>0</v>
      </c>
      <c r="E160" s="9" t="s">
        <v>57</v>
      </c>
      <c r="G160" s="9" t="s">
        <v>106</v>
      </c>
      <c r="H160" s="9" t="s">
        <v>62</v>
      </c>
      <c r="I160" s="13">
        <v>4.4362291366428837E-2</v>
      </c>
      <c r="J160" s="9" t="s">
        <v>57</v>
      </c>
      <c r="L160" s="9" t="s">
        <v>126</v>
      </c>
      <c r="M160" s="9" t="s">
        <v>62</v>
      </c>
      <c r="N160" s="13">
        <v>4.1552956332694728E-2</v>
      </c>
      <c r="O160" s="9" t="s">
        <v>57</v>
      </c>
    </row>
    <row r="161" spans="2:15" x14ac:dyDescent="0.45">
      <c r="B161" s="8" t="s">
        <v>86</v>
      </c>
      <c r="C161" s="8" t="s">
        <v>63</v>
      </c>
      <c r="D161" s="10">
        <v>0</v>
      </c>
      <c r="E161" s="8" t="s">
        <v>57</v>
      </c>
      <c r="G161" s="8" t="s">
        <v>106</v>
      </c>
      <c r="H161" s="8" t="s">
        <v>63</v>
      </c>
      <c r="I161" s="12">
        <v>9.8516064572907749E-2</v>
      </c>
      <c r="J161" s="8" t="s">
        <v>57</v>
      </c>
      <c r="L161" s="8" t="s">
        <v>126</v>
      </c>
      <c r="M161" s="8" t="s">
        <v>63</v>
      </c>
      <c r="N161" s="12">
        <v>8.4533745266307775E-2</v>
      </c>
      <c r="O161" s="8" t="s">
        <v>57</v>
      </c>
    </row>
    <row r="162" spans="2:15" x14ac:dyDescent="0.45">
      <c r="B162" s="9" t="s">
        <v>86</v>
      </c>
      <c r="C162" s="9" t="s">
        <v>64</v>
      </c>
      <c r="D162" s="11">
        <v>5.2321486752148906E-2</v>
      </c>
      <c r="E162" s="9" t="s">
        <v>57</v>
      </c>
      <c r="G162" s="9" t="s">
        <v>106</v>
      </c>
      <c r="H162" s="9" t="s">
        <v>64</v>
      </c>
      <c r="I162" s="13">
        <v>4.3160638784557843E-2</v>
      </c>
      <c r="J162" s="9" t="s">
        <v>57</v>
      </c>
      <c r="L162" s="9" t="s">
        <v>126</v>
      </c>
      <c r="M162" s="9" t="s">
        <v>64</v>
      </c>
      <c r="N162" s="13">
        <v>3.8790533750750311E-2</v>
      </c>
      <c r="O162" s="9" t="s">
        <v>57</v>
      </c>
    </row>
    <row r="163" spans="2:15" x14ac:dyDescent="0.45">
      <c r="B163" s="8" t="s">
        <v>86</v>
      </c>
      <c r="C163" s="8" t="s">
        <v>65</v>
      </c>
      <c r="D163" s="10">
        <v>0.10956955458633114</v>
      </c>
      <c r="E163" s="8" t="s">
        <v>57</v>
      </c>
      <c r="G163" s="8" t="s">
        <v>106</v>
      </c>
      <c r="H163" s="8" t="s">
        <v>65</v>
      </c>
      <c r="I163" s="12">
        <v>2.8002862280269089E-2</v>
      </c>
      <c r="J163" s="8" t="s">
        <v>57</v>
      </c>
      <c r="L163" s="8" t="s">
        <v>126</v>
      </c>
      <c r="M163" s="8" t="s">
        <v>65</v>
      </c>
      <c r="N163" s="12">
        <v>2.7667135270261305E-2</v>
      </c>
      <c r="O163" s="8" t="s">
        <v>57</v>
      </c>
    </row>
    <row r="164" spans="2:15" x14ac:dyDescent="0.45">
      <c r="B164" s="9" t="s">
        <v>86</v>
      </c>
      <c r="C164" s="9" t="s">
        <v>66</v>
      </c>
      <c r="D164" s="11">
        <v>0.10449799091450539</v>
      </c>
      <c r="E164" s="9" t="s">
        <v>57</v>
      </c>
      <c r="G164" s="9" t="s">
        <v>106</v>
      </c>
      <c r="H164" s="9" t="s">
        <v>66</v>
      </c>
      <c r="I164" s="13">
        <v>2.9397844783144046E-2</v>
      </c>
      <c r="J164" s="9" t="s">
        <v>57</v>
      </c>
      <c r="L164" s="9" t="s">
        <v>126</v>
      </c>
      <c r="M164" s="9" t="s">
        <v>66</v>
      </c>
      <c r="N164" s="13">
        <v>2.8323223278360649E-2</v>
      </c>
      <c r="O164" s="9" t="s">
        <v>57</v>
      </c>
    </row>
    <row r="165" spans="2:15" x14ac:dyDescent="0.45">
      <c r="B165" s="8" t="s">
        <v>86</v>
      </c>
      <c r="C165" s="8" t="s">
        <v>67</v>
      </c>
      <c r="D165" s="10">
        <v>8.3482143651661081E-2</v>
      </c>
      <c r="E165" s="8" t="s">
        <v>57</v>
      </c>
      <c r="G165" s="8" t="s">
        <v>106</v>
      </c>
      <c r="H165" s="8" t="s">
        <v>67</v>
      </c>
      <c r="I165" s="12">
        <v>3.0736154630234686E-2</v>
      </c>
      <c r="J165" s="8" t="s">
        <v>57</v>
      </c>
      <c r="L165" s="8" t="s">
        <v>126</v>
      </c>
      <c r="M165" s="8" t="s">
        <v>67</v>
      </c>
      <c r="N165" s="12">
        <v>2.9805323689062645E-2</v>
      </c>
      <c r="O165" s="8" t="s">
        <v>57</v>
      </c>
    </row>
    <row r="166" spans="2:15" x14ac:dyDescent="0.45">
      <c r="B166" s="9" t="s">
        <v>86</v>
      </c>
      <c r="C166" s="9" t="s">
        <v>68</v>
      </c>
      <c r="D166" s="11">
        <v>2.030110701795261E-2</v>
      </c>
      <c r="E166" s="9" t="s">
        <v>57</v>
      </c>
      <c r="G166" s="9" t="s">
        <v>106</v>
      </c>
      <c r="H166" s="9" t="s">
        <v>68</v>
      </c>
      <c r="I166" s="13">
        <v>3.5046175063836879E-2</v>
      </c>
      <c r="J166" s="9" t="s">
        <v>57</v>
      </c>
      <c r="L166" s="9" t="s">
        <v>126</v>
      </c>
      <c r="M166" s="9" t="s">
        <v>68</v>
      </c>
      <c r="N166" s="13">
        <v>3.2359979263760281E-2</v>
      </c>
      <c r="O166" s="9" t="s">
        <v>57</v>
      </c>
    </row>
    <row r="167" spans="2:15" x14ac:dyDescent="0.45">
      <c r="B167" s="8" t="s">
        <v>86</v>
      </c>
      <c r="C167" s="8" t="s">
        <v>69</v>
      </c>
      <c r="D167" s="10">
        <v>1.9218976728926336E-6</v>
      </c>
      <c r="E167" s="8" t="s">
        <v>57</v>
      </c>
      <c r="G167" s="8" t="s">
        <v>106</v>
      </c>
      <c r="H167" s="8" t="s">
        <v>69</v>
      </c>
      <c r="I167" s="12">
        <v>5.2789832982168536E-2</v>
      </c>
      <c r="J167" s="8" t="s">
        <v>57</v>
      </c>
      <c r="L167" s="8" t="s">
        <v>126</v>
      </c>
      <c r="M167" s="8" t="s">
        <v>69</v>
      </c>
      <c r="N167" s="12">
        <v>5.8357424636936404E-2</v>
      </c>
      <c r="O167" s="8" t="s">
        <v>57</v>
      </c>
    </row>
    <row r="168" spans="2:15" x14ac:dyDescent="0.45">
      <c r="B168" s="9" t="s">
        <v>86</v>
      </c>
      <c r="C168" s="9" t="s">
        <v>70</v>
      </c>
      <c r="D168" s="11">
        <v>6.9399356812589366E-2</v>
      </c>
      <c r="E168" s="9" t="s">
        <v>57</v>
      </c>
      <c r="G168" s="9" t="s">
        <v>106</v>
      </c>
      <c r="H168" s="9" t="s">
        <v>70</v>
      </c>
      <c r="I168" s="13">
        <v>1.8447559384063034E-2</v>
      </c>
      <c r="J168" s="9" t="s">
        <v>57</v>
      </c>
      <c r="L168" s="9" t="s">
        <v>126</v>
      </c>
      <c r="M168" s="9" t="s">
        <v>70</v>
      </c>
      <c r="N168" s="13">
        <v>2.8650537628269714E-2</v>
      </c>
      <c r="O168" s="9" t="s">
        <v>57</v>
      </c>
    </row>
    <row r="169" spans="2:15" x14ac:dyDescent="0.45">
      <c r="B169" s="8" t="s">
        <v>86</v>
      </c>
      <c r="C169" s="8" t="s">
        <v>71</v>
      </c>
      <c r="D169" s="10">
        <v>0.10338113004282556</v>
      </c>
      <c r="E169" s="8" t="s">
        <v>57</v>
      </c>
      <c r="G169" s="8" t="s">
        <v>106</v>
      </c>
      <c r="H169" s="8" t="s">
        <v>71</v>
      </c>
      <c r="I169" s="12">
        <v>1.380906649148971E-2</v>
      </c>
      <c r="J169" s="8" t="s">
        <v>57</v>
      </c>
      <c r="L169" s="8" t="s">
        <v>126</v>
      </c>
      <c r="M169" s="8" t="s">
        <v>71</v>
      </c>
      <c r="N169" s="12">
        <v>2.1589946957219445E-2</v>
      </c>
      <c r="O169" s="8" t="s">
        <v>57</v>
      </c>
    </row>
    <row r="170" spans="2:15" x14ac:dyDescent="0.45">
      <c r="B170" s="9" t="s">
        <v>86</v>
      </c>
      <c r="C170" s="9" t="s">
        <v>72</v>
      </c>
      <c r="D170" s="11">
        <v>0.10546214892497606</v>
      </c>
      <c r="E170" s="9" t="s">
        <v>57</v>
      </c>
      <c r="G170" s="9" t="s">
        <v>106</v>
      </c>
      <c r="H170" s="9" t="s">
        <v>72</v>
      </c>
      <c r="I170" s="13">
        <v>1.612423203034611E-2</v>
      </c>
      <c r="J170" s="9" t="s">
        <v>57</v>
      </c>
      <c r="L170" s="9" t="s">
        <v>126</v>
      </c>
      <c r="M170" s="9" t="s">
        <v>72</v>
      </c>
      <c r="N170" s="13">
        <v>2.0446290732834185E-2</v>
      </c>
      <c r="O170" s="9" t="s">
        <v>57</v>
      </c>
    </row>
    <row r="171" spans="2:15" x14ac:dyDescent="0.45">
      <c r="B171" s="8" t="s">
        <v>86</v>
      </c>
      <c r="C171" s="8" t="s">
        <v>73</v>
      </c>
      <c r="D171" s="10">
        <v>9.2894953296001601E-2</v>
      </c>
      <c r="E171" s="8" t="s">
        <v>57</v>
      </c>
      <c r="G171" s="8" t="s">
        <v>106</v>
      </c>
      <c r="H171" s="8" t="s">
        <v>73</v>
      </c>
      <c r="I171" s="12">
        <v>1.9524084140112589E-2</v>
      </c>
      <c r="J171" s="8" t="s">
        <v>57</v>
      </c>
      <c r="L171" s="8" t="s">
        <v>126</v>
      </c>
      <c r="M171" s="8" t="s">
        <v>73</v>
      </c>
      <c r="N171" s="12">
        <v>2.1248306392731744E-2</v>
      </c>
      <c r="O171" s="8" t="s">
        <v>57</v>
      </c>
    </row>
    <row r="172" spans="2:15" x14ac:dyDescent="0.45">
      <c r="B172" s="9" t="s">
        <v>86</v>
      </c>
      <c r="C172" s="9" t="s">
        <v>74</v>
      </c>
      <c r="D172" s="11">
        <v>3.9762824753706474E-2</v>
      </c>
      <c r="E172" s="9" t="s">
        <v>57</v>
      </c>
      <c r="G172" s="9" t="s">
        <v>106</v>
      </c>
      <c r="H172" s="9" t="s">
        <v>74</v>
      </c>
      <c r="I172" s="13">
        <v>1.869936423619661E-2</v>
      </c>
      <c r="J172" s="9" t="s">
        <v>57</v>
      </c>
      <c r="L172" s="9" t="s">
        <v>126</v>
      </c>
      <c r="M172" s="9" t="s">
        <v>74</v>
      </c>
      <c r="N172" s="13">
        <v>2.1755357424133516E-2</v>
      </c>
      <c r="O172" s="9" t="s">
        <v>57</v>
      </c>
    </row>
    <row r="173" spans="2:15" x14ac:dyDescent="0.45">
      <c r="B173" s="8" t="s">
        <v>86</v>
      </c>
      <c r="C173" s="8" t="s">
        <v>75</v>
      </c>
      <c r="D173" s="10">
        <v>0</v>
      </c>
      <c r="E173" s="8" t="s">
        <v>57</v>
      </c>
      <c r="G173" s="8" t="s">
        <v>106</v>
      </c>
      <c r="H173" s="8" t="s">
        <v>75</v>
      </c>
      <c r="I173" s="12">
        <v>9.0854704356286911E-2</v>
      </c>
      <c r="J173" s="8" t="s">
        <v>57</v>
      </c>
      <c r="L173" s="8" t="s">
        <v>126</v>
      </c>
      <c r="M173" s="8" t="s">
        <v>75</v>
      </c>
      <c r="N173" s="12">
        <v>9.2643561887824272E-2</v>
      </c>
      <c r="O173" s="8" t="s">
        <v>57</v>
      </c>
    </row>
    <row r="174" spans="2:15" x14ac:dyDescent="0.45">
      <c r="B174" s="9" t="s">
        <v>86</v>
      </c>
      <c r="C174" s="9" t="s">
        <v>76</v>
      </c>
      <c r="D174" s="11">
        <v>1.6146436317613477E-2</v>
      </c>
      <c r="E174" s="9" t="s">
        <v>57</v>
      </c>
      <c r="G174" s="9" t="s">
        <v>106</v>
      </c>
      <c r="H174" s="9" t="s">
        <v>76</v>
      </c>
      <c r="I174" s="13">
        <v>4.0330578304332523E-2</v>
      </c>
      <c r="J174" s="9" t="s">
        <v>57</v>
      </c>
      <c r="L174" s="9" t="s">
        <v>126</v>
      </c>
      <c r="M174" s="9" t="s">
        <v>76</v>
      </c>
      <c r="N174" s="13">
        <v>4.4405897437267916E-2</v>
      </c>
      <c r="O174" s="9" t="s">
        <v>57</v>
      </c>
    </row>
    <row r="175" spans="2:15" x14ac:dyDescent="0.45">
      <c r="B175" s="8" t="s">
        <v>86</v>
      </c>
      <c r="C175" s="8" t="s">
        <v>77</v>
      </c>
      <c r="D175" s="10">
        <v>5.2117371275237467E-2</v>
      </c>
      <c r="E175" s="8" t="s">
        <v>57</v>
      </c>
      <c r="G175" s="8" t="s">
        <v>106</v>
      </c>
      <c r="H175" s="8" t="s">
        <v>77</v>
      </c>
      <c r="I175" s="12">
        <v>2.8083543068460316E-2</v>
      </c>
      <c r="J175" s="8" t="s">
        <v>57</v>
      </c>
      <c r="L175" s="8" t="s">
        <v>126</v>
      </c>
      <c r="M175" s="8" t="s">
        <v>77</v>
      </c>
      <c r="N175" s="12">
        <v>3.4219885098907978E-2</v>
      </c>
      <c r="O175" s="8" t="s">
        <v>57</v>
      </c>
    </row>
    <row r="176" spans="2:15" x14ac:dyDescent="0.45">
      <c r="B176" s="9" t="s">
        <v>86</v>
      </c>
      <c r="C176" s="9" t="s">
        <v>78</v>
      </c>
      <c r="D176" s="11">
        <v>5.1688406195472505E-2</v>
      </c>
      <c r="E176" s="9" t="s">
        <v>57</v>
      </c>
      <c r="G176" s="9" t="s">
        <v>106</v>
      </c>
      <c r="H176" s="9" t="s">
        <v>78</v>
      </c>
      <c r="I176" s="13">
        <v>2.9018752281539179E-2</v>
      </c>
      <c r="J176" s="9" t="s">
        <v>57</v>
      </c>
      <c r="L176" s="9" t="s">
        <v>126</v>
      </c>
      <c r="M176" s="9" t="s">
        <v>78</v>
      </c>
      <c r="N176" s="13">
        <v>3.2978416543448769E-2</v>
      </c>
      <c r="O176" s="9" t="s">
        <v>57</v>
      </c>
    </row>
    <row r="177" spans="2:15" x14ac:dyDescent="0.45">
      <c r="B177" s="8" t="s">
        <v>86</v>
      </c>
      <c r="C177" s="8" t="s">
        <v>79</v>
      </c>
      <c r="D177" s="10">
        <v>3.2815542814405067E-2</v>
      </c>
      <c r="E177" s="8" t="s">
        <v>57</v>
      </c>
      <c r="G177" s="8" t="s">
        <v>106</v>
      </c>
      <c r="H177" s="8" t="s">
        <v>79</v>
      </c>
      <c r="I177" s="12">
        <v>3.0998135879178965E-2</v>
      </c>
      <c r="J177" s="8" t="s">
        <v>57</v>
      </c>
      <c r="L177" s="8" t="s">
        <v>126</v>
      </c>
      <c r="M177" s="8" t="s">
        <v>79</v>
      </c>
      <c r="N177" s="12">
        <v>3.3550528227380971E-2</v>
      </c>
      <c r="O177" s="8" t="s">
        <v>57</v>
      </c>
    </row>
    <row r="178" spans="2:15" x14ac:dyDescent="0.45">
      <c r="B178" s="9" t="s">
        <v>86</v>
      </c>
      <c r="C178" s="9" t="s">
        <v>80</v>
      </c>
      <c r="D178" s="11">
        <v>2.3894540378369186E-3</v>
      </c>
      <c r="E178" s="9" t="s">
        <v>57</v>
      </c>
      <c r="G178" s="9" t="s">
        <v>106</v>
      </c>
      <c r="H178" s="9" t="s">
        <v>80</v>
      </c>
      <c r="I178" s="13">
        <v>3.5344862842684177E-2</v>
      </c>
      <c r="J178" s="9" t="s">
        <v>57</v>
      </c>
      <c r="L178" s="9" t="s">
        <v>126</v>
      </c>
      <c r="M178" s="9" t="s">
        <v>80</v>
      </c>
      <c r="N178" s="13">
        <v>3.714265634392297E-2</v>
      </c>
      <c r="O178" s="9" t="s">
        <v>57</v>
      </c>
    </row>
    <row r="179" spans="2:15" x14ac:dyDescent="0.45">
      <c r="B179" s="8" t="s">
        <v>87</v>
      </c>
      <c r="C179" s="8" t="s">
        <v>56</v>
      </c>
      <c r="D179" s="10">
        <v>0</v>
      </c>
      <c r="E179" s="8" t="s">
        <v>57</v>
      </c>
      <c r="G179" s="8" t="s">
        <v>107</v>
      </c>
      <c r="H179" s="8" t="s">
        <v>56</v>
      </c>
      <c r="I179" s="12">
        <v>0.1184263416795425</v>
      </c>
      <c r="J179" s="8" t="s">
        <v>57</v>
      </c>
      <c r="L179" s="8" t="s">
        <v>127</v>
      </c>
      <c r="M179" s="8" t="s">
        <v>56</v>
      </c>
      <c r="N179" s="12">
        <v>9.6319882286011183E-2</v>
      </c>
      <c r="O179" s="8" t="s">
        <v>57</v>
      </c>
    </row>
    <row r="180" spans="2:15" x14ac:dyDescent="0.45">
      <c r="B180" s="9" t="s">
        <v>87</v>
      </c>
      <c r="C180" s="9" t="s">
        <v>58</v>
      </c>
      <c r="D180" s="11">
        <v>7.8925422233523689E-4</v>
      </c>
      <c r="E180" s="9" t="s">
        <v>57</v>
      </c>
      <c r="G180" s="9" t="s">
        <v>107</v>
      </c>
      <c r="H180" s="9" t="s">
        <v>58</v>
      </c>
      <c r="I180" s="13">
        <v>5.8177624591877836E-2</v>
      </c>
      <c r="J180" s="9" t="s">
        <v>57</v>
      </c>
      <c r="L180" s="9" t="s">
        <v>127</v>
      </c>
      <c r="M180" s="9" t="s">
        <v>58</v>
      </c>
      <c r="N180" s="13">
        <v>4.7376143513295797E-2</v>
      </c>
      <c r="O180" s="9" t="s">
        <v>57</v>
      </c>
    </row>
    <row r="181" spans="2:15" x14ac:dyDescent="0.45">
      <c r="B181" s="8" t="s">
        <v>87</v>
      </c>
      <c r="C181" s="8" t="s">
        <v>59</v>
      </c>
      <c r="D181" s="10">
        <v>2.4606397764607216E-2</v>
      </c>
      <c r="E181" s="8" t="s">
        <v>57</v>
      </c>
      <c r="G181" s="8" t="s">
        <v>107</v>
      </c>
      <c r="H181" s="8" t="s">
        <v>59</v>
      </c>
      <c r="I181" s="12">
        <v>4.0623272026655971E-2</v>
      </c>
      <c r="J181" s="8" t="s">
        <v>57</v>
      </c>
      <c r="L181" s="8" t="s">
        <v>127</v>
      </c>
      <c r="M181" s="8" t="s">
        <v>59</v>
      </c>
      <c r="N181" s="12">
        <v>3.5998123860986671E-2</v>
      </c>
      <c r="O181" s="8" t="s">
        <v>57</v>
      </c>
    </row>
    <row r="182" spans="2:15" x14ac:dyDescent="0.45">
      <c r="B182" s="9" t="s">
        <v>87</v>
      </c>
      <c r="C182" s="9" t="s">
        <v>60</v>
      </c>
      <c r="D182" s="11">
        <v>3.1904156358130799E-2</v>
      </c>
      <c r="E182" s="9" t="s">
        <v>57</v>
      </c>
      <c r="G182" s="9" t="s">
        <v>107</v>
      </c>
      <c r="H182" s="9" t="s">
        <v>60</v>
      </c>
      <c r="I182" s="13">
        <v>3.7789534029061669E-2</v>
      </c>
      <c r="J182" s="9" t="s">
        <v>57</v>
      </c>
      <c r="L182" s="9" t="s">
        <v>127</v>
      </c>
      <c r="M182" s="9" t="s">
        <v>60</v>
      </c>
      <c r="N182" s="13">
        <v>3.7836018189326408E-2</v>
      </c>
      <c r="O182" s="9" t="s">
        <v>57</v>
      </c>
    </row>
    <row r="183" spans="2:15" x14ac:dyDescent="0.45">
      <c r="B183" s="8" t="s">
        <v>87</v>
      </c>
      <c r="C183" s="8" t="s">
        <v>61</v>
      </c>
      <c r="D183" s="10">
        <v>1.0439255236453214E-2</v>
      </c>
      <c r="E183" s="8" t="s">
        <v>57</v>
      </c>
      <c r="G183" s="8" t="s">
        <v>107</v>
      </c>
      <c r="H183" s="8" t="s">
        <v>61</v>
      </c>
      <c r="I183" s="12">
        <v>4.0959936744625357E-2</v>
      </c>
      <c r="J183" s="8" t="s">
        <v>57</v>
      </c>
      <c r="L183" s="8" t="s">
        <v>127</v>
      </c>
      <c r="M183" s="8" t="s">
        <v>61</v>
      </c>
      <c r="N183" s="12">
        <v>3.8911477212012997E-2</v>
      </c>
      <c r="O183" s="8" t="s">
        <v>57</v>
      </c>
    </row>
    <row r="184" spans="2:15" x14ac:dyDescent="0.45">
      <c r="B184" s="9" t="s">
        <v>87</v>
      </c>
      <c r="C184" s="9" t="s">
        <v>62</v>
      </c>
      <c r="D184" s="11">
        <v>0</v>
      </c>
      <c r="E184" s="9" t="s">
        <v>57</v>
      </c>
      <c r="G184" s="9" t="s">
        <v>107</v>
      </c>
      <c r="H184" s="9" t="s">
        <v>62</v>
      </c>
      <c r="I184" s="13">
        <v>4.5109300784961823E-2</v>
      </c>
      <c r="J184" s="9" t="s">
        <v>57</v>
      </c>
      <c r="L184" s="9" t="s">
        <v>127</v>
      </c>
      <c r="M184" s="9" t="s">
        <v>62</v>
      </c>
      <c r="N184" s="13">
        <v>3.9336628166413125E-2</v>
      </c>
      <c r="O184" s="9" t="s">
        <v>57</v>
      </c>
    </row>
    <row r="185" spans="2:15" x14ac:dyDescent="0.45">
      <c r="B185" s="8" t="s">
        <v>87</v>
      </c>
      <c r="C185" s="8" t="s">
        <v>63</v>
      </c>
      <c r="D185" s="10">
        <v>0</v>
      </c>
      <c r="E185" s="8" t="s">
        <v>57</v>
      </c>
      <c r="G185" s="8" t="s">
        <v>107</v>
      </c>
      <c r="H185" s="8" t="s">
        <v>63</v>
      </c>
      <c r="I185" s="12">
        <v>8.9968402122860683E-2</v>
      </c>
      <c r="J185" s="8" t="s">
        <v>57</v>
      </c>
      <c r="L185" s="8" t="s">
        <v>127</v>
      </c>
      <c r="M185" s="8" t="s">
        <v>63</v>
      </c>
      <c r="N185" s="12">
        <v>8.9815087455482653E-2</v>
      </c>
      <c r="O185" s="8" t="s">
        <v>57</v>
      </c>
    </row>
    <row r="186" spans="2:15" x14ac:dyDescent="0.45">
      <c r="B186" s="9" t="s">
        <v>87</v>
      </c>
      <c r="C186" s="9" t="s">
        <v>64</v>
      </c>
      <c r="D186" s="11">
        <v>5.5679123228666139E-2</v>
      </c>
      <c r="E186" s="9" t="s">
        <v>57</v>
      </c>
      <c r="G186" s="9" t="s">
        <v>107</v>
      </c>
      <c r="H186" s="9" t="s">
        <v>64</v>
      </c>
      <c r="I186" s="13">
        <v>3.9094588295021077E-2</v>
      </c>
      <c r="J186" s="9" t="s">
        <v>57</v>
      </c>
      <c r="L186" s="9" t="s">
        <v>127</v>
      </c>
      <c r="M186" s="9" t="s">
        <v>64</v>
      </c>
      <c r="N186" s="13">
        <v>4.107659947096972E-2</v>
      </c>
      <c r="O186" s="9" t="s">
        <v>57</v>
      </c>
    </row>
    <row r="187" spans="2:15" x14ac:dyDescent="0.45">
      <c r="B187" s="8" t="s">
        <v>87</v>
      </c>
      <c r="C187" s="8" t="s">
        <v>65</v>
      </c>
      <c r="D187" s="10">
        <v>0.11265669060894476</v>
      </c>
      <c r="E187" s="8" t="s">
        <v>57</v>
      </c>
      <c r="G187" s="8" t="s">
        <v>107</v>
      </c>
      <c r="H187" s="8" t="s">
        <v>65</v>
      </c>
      <c r="I187" s="12">
        <v>2.6591721746311029E-2</v>
      </c>
      <c r="J187" s="8" t="s">
        <v>57</v>
      </c>
      <c r="L187" s="8" t="s">
        <v>127</v>
      </c>
      <c r="M187" s="8" t="s">
        <v>65</v>
      </c>
      <c r="N187" s="12">
        <v>3.0435214161584324E-2</v>
      </c>
      <c r="O187" s="8" t="s">
        <v>57</v>
      </c>
    </row>
    <row r="188" spans="2:15" x14ac:dyDescent="0.45">
      <c r="B188" s="9" t="s">
        <v>87</v>
      </c>
      <c r="C188" s="9" t="s">
        <v>66</v>
      </c>
      <c r="D188" s="11">
        <v>0.10895677310104238</v>
      </c>
      <c r="E188" s="9" t="s">
        <v>57</v>
      </c>
      <c r="G188" s="9" t="s">
        <v>107</v>
      </c>
      <c r="H188" s="9" t="s">
        <v>66</v>
      </c>
      <c r="I188" s="13">
        <v>2.8231632314323265E-2</v>
      </c>
      <c r="J188" s="9" t="s">
        <v>57</v>
      </c>
      <c r="L188" s="9" t="s">
        <v>127</v>
      </c>
      <c r="M188" s="9" t="s">
        <v>66</v>
      </c>
      <c r="N188" s="13">
        <v>3.0222980703629995E-2</v>
      </c>
      <c r="O188" s="9" t="s">
        <v>57</v>
      </c>
    </row>
    <row r="189" spans="2:15" x14ac:dyDescent="0.45">
      <c r="B189" s="8" t="s">
        <v>87</v>
      </c>
      <c r="C189" s="8" t="s">
        <v>67</v>
      </c>
      <c r="D189" s="10">
        <v>8.1228960308119769E-2</v>
      </c>
      <c r="E189" s="8" t="s">
        <v>57</v>
      </c>
      <c r="G189" s="8" t="s">
        <v>107</v>
      </c>
      <c r="H189" s="8" t="s">
        <v>67</v>
      </c>
      <c r="I189" s="12">
        <v>2.8822917289847406E-2</v>
      </c>
      <c r="J189" s="8" t="s">
        <v>57</v>
      </c>
      <c r="L189" s="8" t="s">
        <v>127</v>
      </c>
      <c r="M189" s="8" t="s">
        <v>67</v>
      </c>
      <c r="N189" s="12">
        <v>3.1786319649334108E-2</v>
      </c>
      <c r="O189" s="8" t="s">
        <v>57</v>
      </c>
    </row>
    <row r="190" spans="2:15" x14ac:dyDescent="0.45">
      <c r="B190" s="9" t="s">
        <v>87</v>
      </c>
      <c r="C190" s="9" t="s">
        <v>68</v>
      </c>
      <c r="D190" s="11">
        <v>1.6503047726622699E-2</v>
      </c>
      <c r="E190" s="9" t="s">
        <v>57</v>
      </c>
      <c r="G190" s="9" t="s">
        <v>107</v>
      </c>
      <c r="H190" s="9" t="s">
        <v>68</v>
      </c>
      <c r="I190" s="13">
        <v>3.2244882682649911E-2</v>
      </c>
      <c r="J190" s="9" t="s">
        <v>57</v>
      </c>
      <c r="L190" s="9" t="s">
        <v>127</v>
      </c>
      <c r="M190" s="9" t="s">
        <v>68</v>
      </c>
      <c r="N190" s="13">
        <v>3.4084604570729496E-2</v>
      </c>
      <c r="O190" s="9" t="s">
        <v>57</v>
      </c>
    </row>
    <row r="191" spans="2:15" x14ac:dyDescent="0.45">
      <c r="B191" s="8" t="s">
        <v>87</v>
      </c>
      <c r="C191" s="8" t="s">
        <v>69</v>
      </c>
      <c r="D191" s="10">
        <v>3.8473556800697667E-4</v>
      </c>
      <c r="E191" s="8" t="s">
        <v>57</v>
      </c>
      <c r="G191" s="8" t="s">
        <v>107</v>
      </c>
      <c r="H191" s="8" t="s">
        <v>69</v>
      </c>
      <c r="I191" s="12">
        <v>5.1180901102833451E-2</v>
      </c>
      <c r="J191" s="8" t="s">
        <v>57</v>
      </c>
      <c r="L191" s="8" t="s">
        <v>127</v>
      </c>
      <c r="M191" s="8" t="s">
        <v>69</v>
      </c>
      <c r="N191" s="12">
        <v>6.4040339984740069E-2</v>
      </c>
      <c r="O191" s="8" t="s">
        <v>57</v>
      </c>
    </row>
    <row r="192" spans="2:15" x14ac:dyDescent="0.45">
      <c r="B192" s="9" t="s">
        <v>87</v>
      </c>
      <c r="C192" s="9" t="s">
        <v>70</v>
      </c>
      <c r="D192" s="11">
        <v>7.4306883543619778E-2</v>
      </c>
      <c r="E192" s="9" t="s">
        <v>57</v>
      </c>
      <c r="G192" s="9" t="s">
        <v>107</v>
      </c>
      <c r="H192" s="9" t="s">
        <v>70</v>
      </c>
      <c r="I192" s="13">
        <v>2.1700877463027686E-2</v>
      </c>
      <c r="J192" s="9" t="s">
        <v>57</v>
      </c>
      <c r="L192" s="9" t="s">
        <v>127</v>
      </c>
      <c r="M192" s="9" t="s">
        <v>70</v>
      </c>
      <c r="N192" s="13">
        <v>3.0189857153754742E-2</v>
      </c>
      <c r="O192" s="9" t="s">
        <v>57</v>
      </c>
    </row>
    <row r="193" spans="2:15" x14ac:dyDescent="0.45">
      <c r="B193" s="8" t="s">
        <v>87</v>
      </c>
      <c r="C193" s="8" t="s">
        <v>71</v>
      </c>
      <c r="D193" s="10">
        <v>0.10640129218458422</v>
      </c>
      <c r="E193" s="8" t="s">
        <v>57</v>
      </c>
      <c r="G193" s="8" t="s">
        <v>107</v>
      </c>
      <c r="H193" s="8" t="s">
        <v>71</v>
      </c>
      <c r="I193" s="12">
        <v>1.5991744467337903E-2</v>
      </c>
      <c r="J193" s="8" t="s">
        <v>57</v>
      </c>
      <c r="L193" s="8" t="s">
        <v>127</v>
      </c>
      <c r="M193" s="8" t="s">
        <v>71</v>
      </c>
      <c r="N193" s="12">
        <v>2.1870407920786827E-2</v>
      </c>
      <c r="O193" s="8" t="s">
        <v>57</v>
      </c>
    </row>
    <row r="194" spans="2:15" x14ac:dyDescent="0.45">
      <c r="B194" s="9" t="s">
        <v>87</v>
      </c>
      <c r="C194" s="9" t="s">
        <v>72</v>
      </c>
      <c r="D194" s="11">
        <v>0.10281296974523199</v>
      </c>
      <c r="E194" s="9" t="s">
        <v>57</v>
      </c>
      <c r="G194" s="9" t="s">
        <v>107</v>
      </c>
      <c r="H194" s="9" t="s">
        <v>72</v>
      </c>
      <c r="I194" s="13">
        <v>1.8152984202120862E-2</v>
      </c>
      <c r="J194" s="9" t="s">
        <v>57</v>
      </c>
      <c r="L194" s="9" t="s">
        <v>127</v>
      </c>
      <c r="M194" s="9" t="s">
        <v>72</v>
      </c>
      <c r="N194" s="13">
        <v>2.0375831102143256E-2</v>
      </c>
      <c r="O194" s="9" t="s">
        <v>57</v>
      </c>
    </row>
    <row r="195" spans="2:15" x14ac:dyDescent="0.45">
      <c r="B195" s="8" t="s">
        <v>87</v>
      </c>
      <c r="C195" s="8" t="s">
        <v>73</v>
      </c>
      <c r="D195" s="10">
        <v>8.5477636243540808E-2</v>
      </c>
      <c r="E195" s="8" t="s">
        <v>57</v>
      </c>
      <c r="G195" s="8" t="s">
        <v>107</v>
      </c>
      <c r="H195" s="8" t="s">
        <v>73</v>
      </c>
      <c r="I195" s="12">
        <v>2.1212333665042136E-2</v>
      </c>
      <c r="J195" s="8" t="s">
        <v>57</v>
      </c>
      <c r="L195" s="8" t="s">
        <v>127</v>
      </c>
      <c r="M195" s="8" t="s">
        <v>73</v>
      </c>
      <c r="N195" s="12">
        <v>2.2781970763580354E-2</v>
      </c>
      <c r="O195" s="8" t="s">
        <v>57</v>
      </c>
    </row>
    <row r="196" spans="2:15" x14ac:dyDescent="0.45">
      <c r="B196" s="9" t="s">
        <v>87</v>
      </c>
      <c r="C196" s="9" t="s">
        <v>74</v>
      </c>
      <c r="D196" s="11">
        <v>3.2621078529167638E-2</v>
      </c>
      <c r="E196" s="9" t="s">
        <v>57</v>
      </c>
      <c r="G196" s="9" t="s">
        <v>107</v>
      </c>
      <c r="H196" s="9" t="s">
        <v>74</v>
      </c>
      <c r="I196" s="13">
        <v>1.8454685067839066E-2</v>
      </c>
      <c r="J196" s="9" t="s">
        <v>57</v>
      </c>
      <c r="L196" s="9" t="s">
        <v>127</v>
      </c>
      <c r="M196" s="9" t="s">
        <v>74</v>
      </c>
      <c r="N196" s="13">
        <v>2.556497787168922E-2</v>
      </c>
      <c r="O196" s="9" t="s">
        <v>57</v>
      </c>
    </row>
    <row r="197" spans="2:15" x14ac:dyDescent="0.45">
      <c r="B197" s="8" t="s">
        <v>87</v>
      </c>
      <c r="C197" s="8" t="s">
        <v>75</v>
      </c>
      <c r="D197" s="10">
        <v>0</v>
      </c>
      <c r="E197" s="8" t="s">
        <v>57</v>
      </c>
      <c r="G197" s="8" t="s">
        <v>107</v>
      </c>
      <c r="H197" s="8" t="s">
        <v>75</v>
      </c>
      <c r="I197" s="12">
        <v>9.431044057970743E-2</v>
      </c>
      <c r="J197" s="8" t="s">
        <v>57</v>
      </c>
      <c r="L197" s="8" t="s">
        <v>127</v>
      </c>
      <c r="M197" s="8" t="s">
        <v>75</v>
      </c>
      <c r="N197" s="12">
        <v>8.8445431699242821E-2</v>
      </c>
      <c r="O197" s="8" t="s">
        <v>57</v>
      </c>
    </row>
    <row r="198" spans="2:15" x14ac:dyDescent="0.45">
      <c r="B198" s="9" t="s">
        <v>87</v>
      </c>
      <c r="C198" s="9" t="s">
        <v>76</v>
      </c>
      <c r="D198" s="11">
        <v>1.7265111152255604E-2</v>
      </c>
      <c r="E198" s="9" t="s">
        <v>57</v>
      </c>
      <c r="G198" s="9" t="s">
        <v>107</v>
      </c>
      <c r="H198" s="9" t="s">
        <v>76</v>
      </c>
      <c r="I198" s="13">
        <v>4.352180257651788E-2</v>
      </c>
      <c r="J198" s="9" t="s">
        <v>57</v>
      </c>
      <c r="L198" s="9" t="s">
        <v>127</v>
      </c>
      <c r="M198" s="9" t="s">
        <v>76</v>
      </c>
      <c r="N198" s="13">
        <v>4.2501258637996378E-2</v>
      </c>
      <c r="O198" s="9" t="s">
        <v>57</v>
      </c>
    </row>
    <row r="199" spans="2:15" x14ac:dyDescent="0.45">
      <c r="B199" s="8" t="s">
        <v>87</v>
      </c>
      <c r="C199" s="8" t="s">
        <v>77</v>
      </c>
      <c r="D199" s="10">
        <v>5.3993140465325877E-2</v>
      </c>
      <c r="E199" s="8" t="s">
        <v>57</v>
      </c>
      <c r="G199" s="8" t="s">
        <v>107</v>
      </c>
      <c r="H199" s="8" t="s">
        <v>77</v>
      </c>
      <c r="I199" s="12">
        <v>3.0523652508721005E-2</v>
      </c>
      <c r="J199" s="8" t="s">
        <v>57</v>
      </c>
      <c r="L199" s="8" t="s">
        <v>127</v>
      </c>
      <c r="M199" s="8" t="s">
        <v>77</v>
      </c>
      <c r="N199" s="12">
        <v>3.2699881408635244E-2</v>
      </c>
      <c r="O199" s="8" t="s">
        <v>57</v>
      </c>
    </row>
    <row r="200" spans="2:15" x14ac:dyDescent="0.45">
      <c r="B200" s="9" t="s">
        <v>87</v>
      </c>
      <c r="C200" s="9" t="s">
        <v>78</v>
      </c>
      <c r="D200" s="11">
        <v>5.2271277562692883E-2</v>
      </c>
      <c r="E200" s="9" t="s">
        <v>57</v>
      </c>
      <c r="G200" s="9" t="s">
        <v>107</v>
      </c>
      <c r="H200" s="9" t="s">
        <v>78</v>
      </c>
      <c r="I200" s="13">
        <v>3.0914579883796374E-2</v>
      </c>
      <c r="J200" s="9" t="s">
        <v>57</v>
      </c>
      <c r="L200" s="9" t="s">
        <v>127</v>
      </c>
      <c r="M200" s="9" t="s">
        <v>78</v>
      </c>
      <c r="N200" s="13">
        <v>3.1349690482573196E-2</v>
      </c>
      <c r="O200" s="9" t="s">
        <v>57</v>
      </c>
    </row>
    <row r="201" spans="2:15" x14ac:dyDescent="0.45">
      <c r="B201" s="8" t="s">
        <v>87</v>
      </c>
      <c r="C201" s="8" t="s">
        <v>79</v>
      </c>
      <c r="D201" s="10">
        <v>2.9875750011461377E-2</v>
      </c>
      <c r="E201" s="8" t="s">
        <v>57</v>
      </c>
      <c r="G201" s="8" t="s">
        <v>107</v>
      </c>
      <c r="H201" s="8" t="s">
        <v>79</v>
      </c>
      <c r="I201" s="12">
        <v>3.2326489272754576E-2</v>
      </c>
      <c r="J201" s="8" t="s">
        <v>57</v>
      </c>
      <c r="L201" s="8" t="s">
        <v>127</v>
      </c>
      <c r="M201" s="8" t="s">
        <v>79</v>
      </c>
      <c r="N201" s="12">
        <v>3.188062766737039E-2</v>
      </c>
      <c r="O201" s="8" t="s">
        <v>57</v>
      </c>
    </row>
    <row r="202" spans="2:15" x14ac:dyDescent="0.45">
      <c r="B202" s="9" t="s">
        <v>87</v>
      </c>
      <c r="C202" s="9" t="s">
        <v>80</v>
      </c>
      <c r="D202" s="11">
        <v>1.8264664391915853E-3</v>
      </c>
      <c r="E202" s="9" t="s">
        <v>57</v>
      </c>
      <c r="G202" s="9" t="s">
        <v>107</v>
      </c>
      <c r="H202" s="9" t="s">
        <v>80</v>
      </c>
      <c r="I202" s="13">
        <v>3.5669354902562088E-2</v>
      </c>
      <c r="J202" s="9" t="s">
        <v>57</v>
      </c>
      <c r="L202" s="9" t="s">
        <v>127</v>
      </c>
      <c r="M202" s="9" t="s">
        <v>80</v>
      </c>
      <c r="N202" s="13">
        <v>3.5100646067710982E-2</v>
      </c>
      <c r="O202" s="9" t="s">
        <v>57</v>
      </c>
    </row>
    <row r="203" spans="2:15" x14ac:dyDescent="0.45">
      <c r="B203" s="8" t="s">
        <v>88</v>
      </c>
      <c r="C203" s="8" t="s">
        <v>56</v>
      </c>
      <c r="D203" s="10">
        <v>0</v>
      </c>
      <c r="E203" s="8" t="s">
        <v>57</v>
      </c>
      <c r="G203" s="8" t="s">
        <v>108</v>
      </c>
      <c r="H203" s="8" t="s">
        <v>56</v>
      </c>
      <c r="I203" s="12">
        <v>0.11507157519372825</v>
      </c>
      <c r="J203" s="8" t="s">
        <v>57</v>
      </c>
      <c r="L203" s="8" t="s">
        <v>128</v>
      </c>
      <c r="M203" s="8" t="s">
        <v>56</v>
      </c>
      <c r="N203" s="12">
        <v>9.5282099178346139E-2</v>
      </c>
      <c r="O203" s="8" t="s">
        <v>57</v>
      </c>
    </row>
    <row r="204" spans="2:15" x14ac:dyDescent="0.45">
      <c r="B204" s="9" t="s">
        <v>88</v>
      </c>
      <c r="C204" s="9" t="s">
        <v>58</v>
      </c>
      <c r="D204" s="11">
        <v>1.6093669346959655E-3</v>
      </c>
      <c r="E204" s="9" t="s">
        <v>57</v>
      </c>
      <c r="G204" s="9" t="s">
        <v>108</v>
      </c>
      <c r="H204" s="9" t="s">
        <v>58</v>
      </c>
      <c r="I204" s="13">
        <v>5.6403555404015225E-2</v>
      </c>
      <c r="J204" s="9" t="s">
        <v>57</v>
      </c>
      <c r="L204" s="9" t="s">
        <v>128</v>
      </c>
      <c r="M204" s="9" t="s">
        <v>58</v>
      </c>
      <c r="N204" s="13">
        <v>4.8477187791919805E-2</v>
      </c>
      <c r="O204" s="9" t="s">
        <v>57</v>
      </c>
    </row>
    <row r="205" spans="2:15" x14ac:dyDescent="0.45">
      <c r="B205" s="8" t="s">
        <v>88</v>
      </c>
      <c r="C205" s="8" t="s">
        <v>59</v>
      </c>
      <c r="D205" s="10">
        <v>3.0051303068382662E-2</v>
      </c>
      <c r="E205" s="8" t="s">
        <v>57</v>
      </c>
      <c r="G205" s="8" t="s">
        <v>108</v>
      </c>
      <c r="H205" s="8" t="s">
        <v>59</v>
      </c>
      <c r="I205" s="12">
        <v>4.1286629011598457E-2</v>
      </c>
      <c r="J205" s="8" t="s">
        <v>57</v>
      </c>
      <c r="L205" s="8" t="s">
        <v>128</v>
      </c>
      <c r="M205" s="8" t="s">
        <v>59</v>
      </c>
      <c r="N205" s="12">
        <v>3.6144785753512577E-2</v>
      </c>
      <c r="O205" s="8" t="s">
        <v>57</v>
      </c>
    </row>
    <row r="206" spans="2:15" x14ac:dyDescent="0.45">
      <c r="B206" s="9" t="s">
        <v>88</v>
      </c>
      <c r="C206" s="9" t="s">
        <v>60</v>
      </c>
      <c r="D206" s="11">
        <v>3.6446703863784152E-2</v>
      </c>
      <c r="E206" s="9" t="s">
        <v>57</v>
      </c>
      <c r="G206" s="9" t="s">
        <v>108</v>
      </c>
      <c r="H206" s="9" t="s">
        <v>60</v>
      </c>
      <c r="I206" s="13">
        <v>3.8879050006235767E-2</v>
      </c>
      <c r="J206" s="9" t="s">
        <v>57</v>
      </c>
      <c r="L206" s="9" t="s">
        <v>128</v>
      </c>
      <c r="M206" s="9" t="s">
        <v>60</v>
      </c>
      <c r="N206" s="13">
        <v>3.7138994396979277E-2</v>
      </c>
      <c r="O206" s="9" t="s">
        <v>57</v>
      </c>
    </row>
    <row r="207" spans="2:15" x14ac:dyDescent="0.45">
      <c r="B207" s="8" t="s">
        <v>88</v>
      </c>
      <c r="C207" s="8" t="s">
        <v>61</v>
      </c>
      <c r="D207" s="10">
        <v>1.096232107587927E-2</v>
      </c>
      <c r="E207" s="8" t="s">
        <v>57</v>
      </c>
      <c r="G207" s="8" t="s">
        <v>108</v>
      </c>
      <c r="H207" s="8" t="s">
        <v>61</v>
      </c>
      <c r="I207" s="12">
        <v>4.1304621978057739E-2</v>
      </c>
      <c r="J207" s="8" t="s">
        <v>57</v>
      </c>
      <c r="L207" s="8" t="s">
        <v>128</v>
      </c>
      <c r="M207" s="8" t="s">
        <v>61</v>
      </c>
      <c r="N207" s="12">
        <v>3.8447190767870162E-2</v>
      </c>
      <c r="O207" s="8" t="s">
        <v>57</v>
      </c>
    </row>
    <row r="208" spans="2:15" x14ac:dyDescent="0.45">
      <c r="B208" s="9" t="s">
        <v>88</v>
      </c>
      <c r="C208" s="9" t="s">
        <v>62</v>
      </c>
      <c r="D208" s="11">
        <v>0</v>
      </c>
      <c r="E208" s="9" t="s">
        <v>57</v>
      </c>
      <c r="G208" s="9" t="s">
        <v>108</v>
      </c>
      <c r="H208" s="9" t="s">
        <v>62</v>
      </c>
      <c r="I208" s="13">
        <v>4.3903505840935421E-2</v>
      </c>
      <c r="J208" s="9" t="s">
        <v>57</v>
      </c>
      <c r="L208" s="9" t="s">
        <v>128</v>
      </c>
      <c r="M208" s="9" t="s">
        <v>62</v>
      </c>
      <c r="N208" s="13">
        <v>3.8589151367800056E-2</v>
      </c>
      <c r="O208" s="9" t="s">
        <v>57</v>
      </c>
    </row>
    <row r="209" spans="2:15" x14ac:dyDescent="0.45">
      <c r="B209" s="8" t="s">
        <v>88</v>
      </c>
      <c r="C209" s="8" t="s">
        <v>63</v>
      </c>
      <c r="D209" s="10">
        <v>1.1824381343060884E-4</v>
      </c>
      <c r="E209" s="8" t="s">
        <v>57</v>
      </c>
      <c r="G209" s="8" t="s">
        <v>108</v>
      </c>
      <c r="H209" s="8" t="s">
        <v>63</v>
      </c>
      <c r="I209" s="12">
        <v>9.0391852835412345E-2</v>
      </c>
      <c r="J209" s="8" t="s">
        <v>57</v>
      </c>
      <c r="L209" s="8" t="s">
        <v>128</v>
      </c>
      <c r="M209" s="8" t="s">
        <v>63</v>
      </c>
      <c r="N209" s="12">
        <v>9.2936884709681811E-2</v>
      </c>
      <c r="O209" s="8" t="s">
        <v>57</v>
      </c>
    </row>
    <row r="210" spans="2:15" x14ac:dyDescent="0.45">
      <c r="B210" s="9" t="s">
        <v>88</v>
      </c>
      <c r="C210" s="9" t="s">
        <v>64</v>
      </c>
      <c r="D210" s="11">
        <v>6.5744597686315867E-2</v>
      </c>
      <c r="E210" s="9" t="s">
        <v>57</v>
      </c>
      <c r="G210" s="9" t="s">
        <v>108</v>
      </c>
      <c r="H210" s="9" t="s">
        <v>64</v>
      </c>
      <c r="I210" s="13">
        <v>4.0086332220840314E-2</v>
      </c>
      <c r="J210" s="9" t="s">
        <v>57</v>
      </c>
      <c r="L210" s="9" t="s">
        <v>128</v>
      </c>
      <c r="M210" s="9" t="s">
        <v>64</v>
      </c>
      <c r="N210" s="13">
        <v>4.3201512640851092E-2</v>
      </c>
      <c r="O210" s="9" t="s">
        <v>57</v>
      </c>
    </row>
    <row r="211" spans="2:15" x14ac:dyDescent="0.45">
      <c r="B211" s="8" t="s">
        <v>88</v>
      </c>
      <c r="C211" s="8" t="s">
        <v>65</v>
      </c>
      <c r="D211" s="10">
        <v>0.10462346114946525</v>
      </c>
      <c r="E211" s="8" t="s">
        <v>57</v>
      </c>
      <c r="G211" s="8" t="s">
        <v>108</v>
      </c>
      <c r="H211" s="8" t="s">
        <v>65</v>
      </c>
      <c r="I211" s="12">
        <v>2.5585831995362015E-2</v>
      </c>
      <c r="J211" s="8" t="s">
        <v>57</v>
      </c>
      <c r="L211" s="8" t="s">
        <v>128</v>
      </c>
      <c r="M211" s="8" t="s">
        <v>65</v>
      </c>
      <c r="N211" s="12">
        <v>3.1583031780504159E-2</v>
      </c>
      <c r="O211" s="8" t="s">
        <v>57</v>
      </c>
    </row>
    <row r="212" spans="2:15" x14ac:dyDescent="0.45">
      <c r="B212" s="9" t="s">
        <v>88</v>
      </c>
      <c r="C212" s="9" t="s">
        <v>66</v>
      </c>
      <c r="D212" s="11">
        <v>9.9952207382336261E-2</v>
      </c>
      <c r="E212" s="9" t="s">
        <v>57</v>
      </c>
      <c r="G212" s="9" t="s">
        <v>108</v>
      </c>
      <c r="H212" s="9" t="s">
        <v>66</v>
      </c>
      <c r="I212" s="13">
        <v>2.7585555391715255E-2</v>
      </c>
      <c r="J212" s="9" t="s">
        <v>57</v>
      </c>
      <c r="L212" s="9" t="s">
        <v>128</v>
      </c>
      <c r="M212" s="9" t="s">
        <v>66</v>
      </c>
      <c r="N212" s="13">
        <v>3.1217797175393341E-2</v>
      </c>
      <c r="O212" s="9" t="s">
        <v>57</v>
      </c>
    </row>
    <row r="213" spans="2:15" x14ac:dyDescent="0.45">
      <c r="B213" s="8" t="s">
        <v>88</v>
      </c>
      <c r="C213" s="8" t="s">
        <v>67</v>
      </c>
      <c r="D213" s="10">
        <v>6.9578585594423537E-2</v>
      </c>
      <c r="E213" s="8" t="s">
        <v>57</v>
      </c>
      <c r="G213" s="8" t="s">
        <v>108</v>
      </c>
      <c r="H213" s="8" t="s">
        <v>67</v>
      </c>
      <c r="I213" s="12">
        <v>2.8117902150537125E-2</v>
      </c>
      <c r="J213" s="8" t="s">
        <v>57</v>
      </c>
      <c r="L213" s="8" t="s">
        <v>128</v>
      </c>
      <c r="M213" s="8" t="s">
        <v>67</v>
      </c>
      <c r="N213" s="12">
        <v>3.2809815127523033E-2</v>
      </c>
      <c r="O213" s="8" t="s">
        <v>57</v>
      </c>
    </row>
    <row r="214" spans="2:15" x14ac:dyDescent="0.45">
      <c r="B214" s="9" t="s">
        <v>88</v>
      </c>
      <c r="C214" s="9" t="s">
        <v>68</v>
      </c>
      <c r="D214" s="11">
        <v>1.1759327746171371E-2</v>
      </c>
      <c r="E214" s="9" t="s">
        <v>57</v>
      </c>
      <c r="G214" s="9" t="s">
        <v>108</v>
      </c>
      <c r="H214" s="9" t="s">
        <v>68</v>
      </c>
      <c r="I214" s="13">
        <v>3.1838000771033603E-2</v>
      </c>
      <c r="J214" s="9" t="s">
        <v>57</v>
      </c>
      <c r="L214" s="9" t="s">
        <v>128</v>
      </c>
      <c r="M214" s="9" t="s">
        <v>68</v>
      </c>
      <c r="N214" s="13">
        <v>3.456424532335553E-2</v>
      </c>
      <c r="O214" s="9" t="s">
        <v>57</v>
      </c>
    </row>
    <row r="215" spans="2:15" x14ac:dyDescent="0.45">
      <c r="B215" s="8" t="s">
        <v>88</v>
      </c>
      <c r="C215" s="8" t="s">
        <v>69</v>
      </c>
      <c r="D215" s="10">
        <v>1.7198913470912027E-3</v>
      </c>
      <c r="E215" s="8" t="s">
        <v>57</v>
      </c>
      <c r="G215" s="8" t="s">
        <v>108</v>
      </c>
      <c r="H215" s="8" t="s">
        <v>69</v>
      </c>
      <c r="I215" s="12">
        <v>5.146239755303475E-2</v>
      </c>
      <c r="J215" s="8" t="s">
        <v>57</v>
      </c>
      <c r="L215" s="8" t="s">
        <v>128</v>
      </c>
      <c r="M215" s="8" t="s">
        <v>69</v>
      </c>
      <c r="N215" s="12">
        <v>6.3320836433097744E-2</v>
      </c>
      <c r="O215" s="8" t="s">
        <v>57</v>
      </c>
    </row>
    <row r="216" spans="2:15" x14ac:dyDescent="0.45">
      <c r="B216" s="9" t="s">
        <v>88</v>
      </c>
      <c r="C216" s="9" t="s">
        <v>70</v>
      </c>
      <c r="D216" s="11">
        <v>8.9132250491117671E-2</v>
      </c>
      <c r="E216" s="9" t="s">
        <v>57</v>
      </c>
      <c r="G216" s="9" t="s">
        <v>108</v>
      </c>
      <c r="H216" s="9" t="s">
        <v>70</v>
      </c>
      <c r="I216" s="13">
        <v>2.1693006674700456E-2</v>
      </c>
      <c r="J216" s="9" t="s">
        <v>57</v>
      </c>
      <c r="L216" s="9" t="s">
        <v>128</v>
      </c>
      <c r="M216" s="9" t="s">
        <v>70</v>
      </c>
      <c r="N216" s="13">
        <v>2.9567573594945173E-2</v>
      </c>
      <c r="O216" s="9" t="s">
        <v>57</v>
      </c>
    </row>
    <row r="217" spans="2:15" x14ac:dyDescent="0.45">
      <c r="B217" s="8" t="s">
        <v>88</v>
      </c>
      <c r="C217" s="8" t="s">
        <v>71</v>
      </c>
      <c r="D217" s="10">
        <v>0.11157826364817981</v>
      </c>
      <c r="E217" s="8" t="s">
        <v>57</v>
      </c>
      <c r="G217" s="8" t="s">
        <v>108</v>
      </c>
      <c r="H217" s="8" t="s">
        <v>71</v>
      </c>
      <c r="I217" s="12">
        <v>1.6035470855923984E-2</v>
      </c>
      <c r="J217" s="8" t="s">
        <v>57</v>
      </c>
      <c r="L217" s="8" t="s">
        <v>128</v>
      </c>
      <c r="M217" s="8" t="s">
        <v>71</v>
      </c>
      <c r="N217" s="12">
        <v>2.1419597752559631E-2</v>
      </c>
      <c r="O217" s="8" t="s">
        <v>57</v>
      </c>
    </row>
    <row r="218" spans="2:15" x14ac:dyDescent="0.45">
      <c r="B218" s="9" t="s">
        <v>88</v>
      </c>
      <c r="C218" s="9" t="s">
        <v>72</v>
      </c>
      <c r="D218" s="11">
        <v>0.10455747665329458</v>
      </c>
      <c r="E218" s="9" t="s">
        <v>57</v>
      </c>
      <c r="G218" s="9" t="s">
        <v>108</v>
      </c>
      <c r="H218" s="9" t="s">
        <v>72</v>
      </c>
      <c r="I218" s="13">
        <v>1.944631489661821E-2</v>
      </c>
      <c r="J218" s="9" t="s">
        <v>57</v>
      </c>
      <c r="L218" s="9" t="s">
        <v>128</v>
      </c>
      <c r="M218" s="9" t="s">
        <v>72</v>
      </c>
      <c r="N218" s="13">
        <v>2.036780096229885E-2</v>
      </c>
      <c r="O218" s="9" t="s">
        <v>57</v>
      </c>
    </row>
    <row r="219" spans="2:15" x14ac:dyDescent="0.45">
      <c r="B219" s="8" t="s">
        <v>88</v>
      </c>
      <c r="C219" s="8" t="s">
        <v>73</v>
      </c>
      <c r="D219" s="10">
        <v>8.3607273564025059E-2</v>
      </c>
      <c r="E219" s="8" t="s">
        <v>57</v>
      </c>
      <c r="G219" s="8" t="s">
        <v>108</v>
      </c>
      <c r="H219" s="8" t="s">
        <v>73</v>
      </c>
      <c r="I219" s="12">
        <v>2.090376722854102E-2</v>
      </c>
      <c r="J219" s="8" t="s">
        <v>57</v>
      </c>
      <c r="L219" s="8" t="s">
        <v>128</v>
      </c>
      <c r="M219" s="8" t="s">
        <v>73</v>
      </c>
      <c r="N219" s="12">
        <v>2.1890967948694929E-2</v>
      </c>
      <c r="O219" s="8" t="s">
        <v>57</v>
      </c>
    </row>
    <row r="220" spans="2:15" x14ac:dyDescent="0.45">
      <c r="B220" s="9" t="s">
        <v>88</v>
      </c>
      <c r="C220" s="9" t="s">
        <v>74</v>
      </c>
      <c r="D220" s="11">
        <v>2.5637210113257501E-2</v>
      </c>
      <c r="E220" s="9" t="s">
        <v>57</v>
      </c>
      <c r="G220" s="9" t="s">
        <v>108</v>
      </c>
      <c r="H220" s="9" t="s">
        <v>74</v>
      </c>
      <c r="I220" s="13">
        <v>1.9209906920898558E-2</v>
      </c>
      <c r="J220" s="9" t="s">
        <v>57</v>
      </c>
      <c r="L220" s="9" t="s">
        <v>128</v>
      </c>
      <c r="M220" s="9" t="s">
        <v>74</v>
      </c>
      <c r="N220" s="13">
        <v>2.2366256551732709E-2</v>
      </c>
      <c r="O220" s="9" t="s">
        <v>57</v>
      </c>
    </row>
    <row r="221" spans="2:15" x14ac:dyDescent="0.45">
      <c r="B221" s="8" t="s">
        <v>88</v>
      </c>
      <c r="C221" s="8" t="s">
        <v>75</v>
      </c>
      <c r="D221" s="10">
        <v>0</v>
      </c>
      <c r="E221" s="8" t="s">
        <v>57</v>
      </c>
      <c r="G221" s="8" t="s">
        <v>108</v>
      </c>
      <c r="H221" s="8" t="s">
        <v>75</v>
      </c>
      <c r="I221" s="12">
        <v>9.4607839896159146E-2</v>
      </c>
      <c r="J221" s="8" t="s">
        <v>57</v>
      </c>
      <c r="L221" s="8" t="s">
        <v>128</v>
      </c>
      <c r="M221" s="8" t="s">
        <v>75</v>
      </c>
      <c r="N221" s="12">
        <v>8.8264588892584706E-2</v>
      </c>
      <c r="O221" s="8" t="s">
        <v>57</v>
      </c>
    </row>
    <row r="222" spans="2:15" x14ac:dyDescent="0.45">
      <c r="B222" s="9" t="s">
        <v>88</v>
      </c>
      <c r="C222" s="9" t="s">
        <v>76</v>
      </c>
      <c r="D222" s="11">
        <v>2.0216757978724686E-2</v>
      </c>
      <c r="E222" s="9" t="s">
        <v>57</v>
      </c>
      <c r="G222" s="9" t="s">
        <v>108</v>
      </c>
      <c r="H222" s="9" t="s">
        <v>76</v>
      </c>
      <c r="I222" s="13">
        <v>4.333921299025522E-2</v>
      </c>
      <c r="J222" s="9" t="s">
        <v>57</v>
      </c>
      <c r="L222" s="9" t="s">
        <v>128</v>
      </c>
      <c r="M222" s="9" t="s">
        <v>76</v>
      </c>
      <c r="N222" s="13">
        <v>4.3045134732032794E-2</v>
      </c>
      <c r="O222" s="9" t="s">
        <v>57</v>
      </c>
    </row>
    <row r="223" spans="2:15" x14ac:dyDescent="0.45">
      <c r="B223" s="8" t="s">
        <v>88</v>
      </c>
      <c r="C223" s="8" t="s">
        <v>77</v>
      </c>
      <c r="D223" s="10">
        <v>5.3544310678438803E-2</v>
      </c>
      <c r="E223" s="8" t="s">
        <v>57</v>
      </c>
      <c r="G223" s="8" t="s">
        <v>108</v>
      </c>
      <c r="H223" s="8" t="s">
        <v>77</v>
      </c>
      <c r="I223" s="12">
        <v>3.1065075990833576E-2</v>
      </c>
      <c r="J223" s="8" t="s">
        <v>57</v>
      </c>
      <c r="L223" s="8" t="s">
        <v>128</v>
      </c>
      <c r="M223" s="8" t="s">
        <v>77</v>
      </c>
      <c r="N223" s="12">
        <v>3.2650886394600669E-2</v>
      </c>
      <c r="O223" s="8" t="s">
        <v>57</v>
      </c>
    </row>
    <row r="224" spans="2:15" x14ac:dyDescent="0.45">
      <c r="B224" s="9" t="s">
        <v>88</v>
      </c>
      <c r="C224" s="9" t="s">
        <v>78</v>
      </c>
      <c r="D224" s="11">
        <v>5.1600661303943952E-2</v>
      </c>
      <c r="E224" s="9" t="s">
        <v>57</v>
      </c>
      <c r="G224" s="9" t="s">
        <v>108</v>
      </c>
      <c r="H224" s="9" t="s">
        <v>78</v>
      </c>
      <c r="I224" s="13">
        <v>3.1540113011614308E-2</v>
      </c>
      <c r="J224" s="9" t="s">
        <v>57</v>
      </c>
      <c r="L224" s="9" t="s">
        <v>128</v>
      </c>
      <c r="M224" s="9" t="s">
        <v>78</v>
      </c>
      <c r="N224" s="13">
        <v>3.1603422342658435E-2</v>
      </c>
      <c r="O224" s="9" t="s">
        <v>57</v>
      </c>
    </row>
    <row r="225" spans="2:15" x14ac:dyDescent="0.45">
      <c r="B225" s="8" t="s">
        <v>88</v>
      </c>
      <c r="C225" s="8" t="s">
        <v>79</v>
      </c>
      <c r="D225" s="10">
        <v>2.6381235269282013E-2</v>
      </c>
      <c r="E225" s="8" t="s">
        <v>57</v>
      </c>
      <c r="G225" s="8" t="s">
        <v>108</v>
      </c>
      <c r="H225" s="8" t="s">
        <v>79</v>
      </c>
      <c r="I225" s="12">
        <v>3.3424975647620078E-2</v>
      </c>
      <c r="J225" s="8" t="s">
        <v>57</v>
      </c>
      <c r="L225" s="8" t="s">
        <v>128</v>
      </c>
      <c r="M225" s="8" t="s">
        <v>79</v>
      </c>
      <c r="N225" s="12">
        <v>3.1637977054992328E-2</v>
      </c>
      <c r="O225" s="8" t="s">
        <v>57</v>
      </c>
    </row>
    <row r="226" spans="2:15" x14ac:dyDescent="0.45">
      <c r="B226" s="9" t="s">
        <v>88</v>
      </c>
      <c r="C226" s="9" t="s">
        <v>80</v>
      </c>
      <c r="D226" s="11">
        <v>1.1785506377571676E-3</v>
      </c>
      <c r="E226" s="9" t="s">
        <v>57</v>
      </c>
      <c r="G226" s="9" t="s">
        <v>108</v>
      </c>
      <c r="H226" s="9" t="s">
        <v>80</v>
      </c>
      <c r="I226" s="13">
        <v>3.6817505534331656E-2</v>
      </c>
      <c r="J226" s="9" t="s">
        <v>57</v>
      </c>
      <c r="L226" s="9" t="s">
        <v>128</v>
      </c>
      <c r="M226" s="9" t="s">
        <v>80</v>
      </c>
      <c r="N226" s="13">
        <v>3.3472261326068446E-2</v>
      </c>
      <c r="O226" s="9" t="s">
        <v>57</v>
      </c>
    </row>
    <row r="227" spans="2:15" x14ac:dyDescent="0.45">
      <c r="B227" s="8" t="s">
        <v>89</v>
      </c>
      <c r="C227" s="8" t="s">
        <v>56</v>
      </c>
      <c r="D227" s="10">
        <v>0</v>
      </c>
      <c r="E227" s="8" t="s">
        <v>57</v>
      </c>
      <c r="G227" s="8" t="s">
        <v>109</v>
      </c>
      <c r="H227" s="8" t="s">
        <v>56</v>
      </c>
      <c r="I227" s="12">
        <v>0.10184961874628379</v>
      </c>
      <c r="J227" s="8" t="s">
        <v>57</v>
      </c>
      <c r="L227" s="8" t="s">
        <v>129</v>
      </c>
      <c r="M227" s="8" t="s">
        <v>56</v>
      </c>
      <c r="N227" s="12">
        <v>9.7671890983220364E-2</v>
      </c>
      <c r="O227" s="8" t="s">
        <v>57</v>
      </c>
    </row>
    <row r="228" spans="2:15" x14ac:dyDescent="0.45">
      <c r="B228" s="9" t="s">
        <v>89</v>
      </c>
      <c r="C228" s="9" t="s">
        <v>58</v>
      </c>
      <c r="D228" s="11">
        <v>1.2935834152192187E-3</v>
      </c>
      <c r="E228" s="9" t="s">
        <v>57</v>
      </c>
      <c r="G228" s="9" t="s">
        <v>109</v>
      </c>
      <c r="H228" s="9" t="s">
        <v>58</v>
      </c>
      <c r="I228" s="13">
        <v>5.1883347606452301E-2</v>
      </c>
      <c r="J228" s="9" t="s">
        <v>57</v>
      </c>
      <c r="L228" s="9" t="s">
        <v>129</v>
      </c>
      <c r="M228" s="9" t="s">
        <v>58</v>
      </c>
      <c r="N228" s="13">
        <v>4.9591058114728109E-2</v>
      </c>
      <c r="O228" s="9" t="s">
        <v>57</v>
      </c>
    </row>
    <row r="229" spans="2:15" x14ac:dyDescent="0.45">
      <c r="B229" s="8" t="s">
        <v>89</v>
      </c>
      <c r="C229" s="8" t="s">
        <v>59</v>
      </c>
      <c r="D229" s="10">
        <v>2.6231881125720644E-2</v>
      </c>
      <c r="E229" s="8" t="s">
        <v>57</v>
      </c>
      <c r="G229" s="8" t="s">
        <v>109</v>
      </c>
      <c r="H229" s="8" t="s">
        <v>59</v>
      </c>
      <c r="I229" s="12">
        <v>3.9158778413728237E-2</v>
      </c>
      <c r="J229" s="8" t="s">
        <v>57</v>
      </c>
      <c r="L229" s="8" t="s">
        <v>129</v>
      </c>
      <c r="M229" s="8" t="s">
        <v>59</v>
      </c>
      <c r="N229" s="12">
        <v>3.7414935747100204E-2</v>
      </c>
      <c r="O229" s="8" t="s">
        <v>57</v>
      </c>
    </row>
    <row r="230" spans="2:15" x14ac:dyDescent="0.45">
      <c r="B230" s="9" t="s">
        <v>89</v>
      </c>
      <c r="C230" s="9" t="s">
        <v>60</v>
      </c>
      <c r="D230" s="11">
        <v>3.0827412429326323E-2</v>
      </c>
      <c r="E230" s="9" t="s">
        <v>57</v>
      </c>
      <c r="G230" s="9" t="s">
        <v>109</v>
      </c>
      <c r="H230" s="9" t="s">
        <v>60</v>
      </c>
      <c r="I230" s="13">
        <v>3.9183898820145897E-2</v>
      </c>
      <c r="J230" s="9" t="s">
        <v>57</v>
      </c>
      <c r="L230" s="9" t="s">
        <v>129</v>
      </c>
      <c r="M230" s="9" t="s">
        <v>60</v>
      </c>
      <c r="N230" s="13">
        <v>3.8684603353039568E-2</v>
      </c>
      <c r="O230" s="9" t="s">
        <v>57</v>
      </c>
    </row>
    <row r="231" spans="2:15" x14ac:dyDescent="0.45">
      <c r="B231" s="8" t="s">
        <v>89</v>
      </c>
      <c r="C231" s="8" t="s">
        <v>61</v>
      </c>
      <c r="D231" s="10">
        <v>8.8831670656315219E-3</v>
      </c>
      <c r="E231" s="8" t="s">
        <v>57</v>
      </c>
      <c r="G231" s="8" t="s">
        <v>109</v>
      </c>
      <c r="H231" s="8" t="s">
        <v>61</v>
      </c>
      <c r="I231" s="12">
        <v>4.0008111976115118E-2</v>
      </c>
      <c r="J231" s="8" t="s">
        <v>57</v>
      </c>
      <c r="L231" s="8" t="s">
        <v>129</v>
      </c>
      <c r="M231" s="8" t="s">
        <v>61</v>
      </c>
      <c r="N231" s="12">
        <v>3.9916030539643758E-2</v>
      </c>
      <c r="O231" s="8" t="s">
        <v>57</v>
      </c>
    </row>
    <row r="232" spans="2:15" x14ac:dyDescent="0.45">
      <c r="B232" s="9" t="s">
        <v>89</v>
      </c>
      <c r="C232" s="9" t="s">
        <v>62</v>
      </c>
      <c r="D232" s="11">
        <v>0</v>
      </c>
      <c r="E232" s="9" t="s">
        <v>57</v>
      </c>
      <c r="G232" s="9" t="s">
        <v>109</v>
      </c>
      <c r="H232" s="9" t="s">
        <v>62</v>
      </c>
      <c r="I232" s="13">
        <v>4.18555692684019E-2</v>
      </c>
      <c r="J232" s="9" t="s">
        <v>57</v>
      </c>
      <c r="L232" s="9" t="s">
        <v>129</v>
      </c>
      <c r="M232" s="9" t="s">
        <v>62</v>
      </c>
      <c r="N232" s="13">
        <v>4.0400965883749987E-2</v>
      </c>
      <c r="O232" s="9" t="s">
        <v>57</v>
      </c>
    </row>
    <row r="233" spans="2:15" x14ac:dyDescent="0.45">
      <c r="B233" s="8" t="s">
        <v>89</v>
      </c>
      <c r="C233" s="8" t="s">
        <v>63</v>
      </c>
      <c r="D233" s="10">
        <v>3.4851934652206537E-4</v>
      </c>
      <c r="E233" s="8" t="s">
        <v>57</v>
      </c>
      <c r="G233" s="8" t="s">
        <v>109</v>
      </c>
      <c r="H233" s="8" t="s">
        <v>63</v>
      </c>
      <c r="I233" s="12">
        <v>8.730768881370557E-2</v>
      </c>
      <c r="J233" s="8" t="s">
        <v>57</v>
      </c>
      <c r="L233" s="8" t="s">
        <v>129</v>
      </c>
      <c r="M233" s="8" t="s">
        <v>63</v>
      </c>
      <c r="N233" s="12">
        <v>8.7861620828520337E-2</v>
      </c>
      <c r="O233" s="8" t="s">
        <v>57</v>
      </c>
    </row>
    <row r="234" spans="2:15" x14ac:dyDescent="0.45">
      <c r="B234" s="9" t="s">
        <v>89</v>
      </c>
      <c r="C234" s="9" t="s">
        <v>64</v>
      </c>
      <c r="D234" s="11">
        <v>6.8370079047381682E-2</v>
      </c>
      <c r="E234" s="9" t="s">
        <v>57</v>
      </c>
      <c r="G234" s="9" t="s">
        <v>109</v>
      </c>
      <c r="H234" s="9" t="s">
        <v>64</v>
      </c>
      <c r="I234" s="13">
        <v>4.0256396835843471E-2</v>
      </c>
      <c r="J234" s="9" t="s">
        <v>57</v>
      </c>
      <c r="L234" s="9" t="s">
        <v>129</v>
      </c>
      <c r="M234" s="9" t="s">
        <v>64</v>
      </c>
      <c r="N234" s="13">
        <v>4.0826931790919389E-2</v>
      </c>
      <c r="O234" s="9" t="s">
        <v>57</v>
      </c>
    </row>
    <row r="235" spans="2:15" x14ac:dyDescent="0.45">
      <c r="B235" s="8" t="s">
        <v>89</v>
      </c>
      <c r="C235" s="8" t="s">
        <v>65</v>
      </c>
      <c r="D235" s="10">
        <v>0.11378665499066901</v>
      </c>
      <c r="E235" s="8" t="s">
        <v>57</v>
      </c>
      <c r="G235" s="8" t="s">
        <v>109</v>
      </c>
      <c r="H235" s="8" t="s">
        <v>65</v>
      </c>
      <c r="I235" s="12">
        <v>2.7701841196752175E-2</v>
      </c>
      <c r="J235" s="8" t="s">
        <v>57</v>
      </c>
      <c r="L235" s="8" t="s">
        <v>129</v>
      </c>
      <c r="M235" s="8" t="s">
        <v>65</v>
      </c>
      <c r="N235" s="12">
        <v>2.9738321010926681E-2</v>
      </c>
      <c r="O235" s="8" t="s">
        <v>57</v>
      </c>
    </row>
    <row r="236" spans="2:15" x14ac:dyDescent="0.45">
      <c r="B236" s="9" t="s">
        <v>89</v>
      </c>
      <c r="C236" s="9" t="s">
        <v>66</v>
      </c>
      <c r="D236" s="11">
        <v>0.10666100723558794</v>
      </c>
      <c r="E236" s="9" t="s">
        <v>57</v>
      </c>
      <c r="G236" s="9" t="s">
        <v>109</v>
      </c>
      <c r="H236" s="9" t="s">
        <v>66</v>
      </c>
      <c r="I236" s="13">
        <v>2.8724261244371281E-2</v>
      </c>
      <c r="J236" s="9" t="s">
        <v>57</v>
      </c>
      <c r="L236" s="9" t="s">
        <v>129</v>
      </c>
      <c r="M236" s="9" t="s">
        <v>66</v>
      </c>
      <c r="N236" s="13">
        <v>2.9731450979862347E-2</v>
      </c>
      <c r="O236" s="9" t="s">
        <v>57</v>
      </c>
    </row>
    <row r="237" spans="2:15" x14ac:dyDescent="0.45">
      <c r="B237" s="8" t="s">
        <v>89</v>
      </c>
      <c r="C237" s="8" t="s">
        <v>67</v>
      </c>
      <c r="D237" s="10">
        <v>7.743997422623837E-2</v>
      </c>
      <c r="E237" s="8" t="s">
        <v>57</v>
      </c>
      <c r="G237" s="8" t="s">
        <v>109</v>
      </c>
      <c r="H237" s="8" t="s">
        <v>67</v>
      </c>
      <c r="I237" s="12">
        <v>2.8583651894687735E-2</v>
      </c>
      <c r="J237" s="8" t="s">
        <v>57</v>
      </c>
      <c r="L237" s="8" t="s">
        <v>129</v>
      </c>
      <c r="M237" s="8" t="s">
        <v>67</v>
      </c>
      <c r="N237" s="12">
        <v>3.1028700270724578E-2</v>
      </c>
      <c r="O237" s="8" t="s">
        <v>57</v>
      </c>
    </row>
    <row r="238" spans="2:15" x14ac:dyDescent="0.45">
      <c r="B238" s="9" t="s">
        <v>89</v>
      </c>
      <c r="C238" s="9" t="s">
        <v>68</v>
      </c>
      <c r="D238" s="11">
        <v>1.3777198236998647E-2</v>
      </c>
      <c r="E238" s="9" t="s">
        <v>57</v>
      </c>
      <c r="G238" s="9" t="s">
        <v>109</v>
      </c>
      <c r="H238" s="9" t="s">
        <v>68</v>
      </c>
      <c r="I238" s="13">
        <v>2.9735561097202545E-2</v>
      </c>
      <c r="J238" s="9" t="s">
        <v>57</v>
      </c>
      <c r="L238" s="9" t="s">
        <v>129</v>
      </c>
      <c r="M238" s="9" t="s">
        <v>68</v>
      </c>
      <c r="N238" s="13">
        <v>3.2564478337905774E-2</v>
      </c>
      <c r="O238" s="9" t="s">
        <v>57</v>
      </c>
    </row>
    <row r="239" spans="2:15" x14ac:dyDescent="0.45">
      <c r="B239" s="8" t="s">
        <v>89</v>
      </c>
      <c r="C239" s="8" t="s">
        <v>69</v>
      </c>
      <c r="D239" s="10">
        <v>2.0191393391025981E-3</v>
      </c>
      <c r="E239" s="8" t="s">
        <v>57</v>
      </c>
      <c r="G239" s="8" t="s">
        <v>109</v>
      </c>
      <c r="H239" s="8" t="s">
        <v>69</v>
      </c>
      <c r="I239" s="12">
        <v>5.3497141345584483E-2</v>
      </c>
      <c r="J239" s="8" t="s">
        <v>57</v>
      </c>
      <c r="L239" s="8" t="s">
        <v>129</v>
      </c>
      <c r="M239" s="8" t="s">
        <v>69</v>
      </c>
      <c r="N239" s="12">
        <v>6.0741494606799985E-2</v>
      </c>
      <c r="O239" s="8" t="s">
        <v>57</v>
      </c>
    </row>
    <row r="240" spans="2:15" x14ac:dyDescent="0.45">
      <c r="B240" s="9" t="s">
        <v>89</v>
      </c>
      <c r="C240" s="9" t="s">
        <v>70</v>
      </c>
      <c r="D240" s="11">
        <v>8.0461430222529648E-2</v>
      </c>
      <c r="E240" s="9" t="s">
        <v>57</v>
      </c>
      <c r="G240" s="9" t="s">
        <v>109</v>
      </c>
      <c r="H240" s="9" t="s">
        <v>70</v>
      </c>
      <c r="I240" s="13">
        <v>2.5965445003970113E-2</v>
      </c>
      <c r="J240" s="9" t="s">
        <v>57</v>
      </c>
      <c r="L240" s="9" t="s">
        <v>129</v>
      </c>
      <c r="M240" s="9" t="s">
        <v>70</v>
      </c>
      <c r="N240" s="13">
        <v>2.9125154916873619E-2</v>
      </c>
      <c r="O240" s="9" t="s">
        <v>57</v>
      </c>
    </row>
    <row r="241" spans="2:15" x14ac:dyDescent="0.45">
      <c r="B241" s="8" t="s">
        <v>89</v>
      </c>
      <c r="C241" s="8" t="s">
        <v>71</v>
      </c>
      <c r="D241" s="10">
        <v>0.10945361509018796</v>
      </c>
      <c r="E241" s="8" t="s">
        <v>57</v>
      </c>
      <c r="G241" s="8" t="s">
        <v>109</v>
      </c>
      <c r="H241" s="8" t="s">
        <v>71</v>
      </c>
      <c r="I241" s="12">
        <v>2.0592762461425676E-2</v>
      </c>
      <c r="J241" s="8" t="s">
        <v>57</v>
      </c>
      <c r="L241" s="8" t="s">
        <v>129</v>
      </c>
      <c r="M241" s="8" t="s">
        <v>71</v>
      </c>
      <c r="N241" s="12">
        <v>2.1743682385438431E-2</v>
      </c>
      <c r="O241" s="8" t="s">
        <v>57</v>
      </c>
    </row>
    <row r="242" spans="2:15" x14ac:dyDescent="0.45">
      <c r="B242" s="9" t="s">
        <v>89</v>
      </c>
      <c r="C242" s="9" t="s">
        <v>72</v>
      </c>
      <c r="D242" s="11">
        <v>0.10685614493055701</v>
      </c>
      <c r="E242" s="9" t="s">
        <v>57</v>
      </c>
      <c r="G242" s="9" t="s">
        <v>109</v>
      </c>
      <c r="H242" s="9" t="s">
        <v>72</v>
      </c>
      <c r="I242" s="13">
        <v>2.2402974870943868E-2</v>
      </c>
      <c r="J242" s="9" t="s">
        <v>57</v>
      </c>
      <c r="L242" s="9" t="s">
        <v>129</v>
      </c>
      <c r="M242" s="9" t="s">
        <v>72</v>
      </c>
      <c r="N242" s="13">
        <v>2.0706968162085098E-2</v>
      </c>
      <c r="O242" s="9" t="s">
        <v>57</v>
      </c>
    </row>
    <row r="243" spans="2:15" x14ac:dyDescent="0.45">
      <c r="B243" s="8" t="s">
        <v>89</v>
      </c>
      <c r="C243" s="8" t="s">
        <v>73</v>
      </c>
      <c r="D243" s="10">
        <v>8.6716804969308003E-2</v>
      </c>
      <c r="E243" s="8" t="s">
        <v>57</v>
      </c>
      <c r="G243" s="8" t="s">
        <v>109</v>
      </c>
      <c r="H243" s="8" t="s">
        <v>73</v>
      </c>
      <c r="I243" s="12">
        <v>2.2167407472418237E-2</v>
      </c>
      <c r="J243" s="8" t="s">
        <v>57</v>
      </c>
      <c r="L243" s="8" t="s">
        <v>129</v>
      </c>
      <c r="M243" s="8" t="s">
        <v>73</v>
      </c>
      <c r="N243" s="12">
        <v>2.1693781830973008E-2</v>
      </c>
      <c r="O243" s="8" t="s">
        <v>57</v>
      </c>
    </row>
    <row r="244" spans="2:15" x14ac:dyDescent="0.45">
      <c r="B244" s="9" t="s">
        <v>89</v>
      </c>
      <c r="C244" s="9" t="s">
        <v>74</v>
      </c>
      <c r="D244" s="11">
        <v>3.0243659495511725E-2</v>
      </c>
      <c r="E244" s="9" t="s">
        <v>57</v>
      </c>
      <c r="G244" s="9" t="s">
        <v>109</v>
      </c>
      <c r="H244" s="9" t="s">
        <v>74</v>
      </c>
      <c r="I244" s="13">
        <v>1.8157191692001348E-2</v>
      </c>
      <c r="J244" s="9" t="s">
        <v>57</v>
      </c>
      <c r="L244" s="9" t="s">
        <v>129</v>
      </c>
      <c r="M244" s="9" t="s">
        <v>74</v>
      </c>
      <c r="N244" s="13">
        <v>2.1925174641139102E-2</v>
      </c>
      <c r="O244" s="9" t="s">
        <v>57</v>
      </c>
    </row>
    <row r="245" spans="2:15" x14ac:dyDescent="0.45">
      <c r="B245" s="8" t="s">
        <v>89</v>
      </c>
      <c r="C245" s="8" t="s">
        <v>75</v>
      </c>
      <c r="D245" s="10">
        <v>0</v>
      </c>
      <c r="E245" s="8" t="s">
        <v>57</v>
      </c>
      <c r="G245" s="8" t="s">
        <v>109</v>
      </c>
      <c r="H245" s="8" t="s">
        <v>75</v>
      </c>
      <c r="I245" s="12">
        <v>9.6244195323072199E-2</v>
      </c>
      <c r="J245" s="8" t="s">
        <v>57</v>
      </c>
      <c r="L245" s="8" t="s">
        <v>129</v>
      </c>
      <c r="M245" s="8" t="s">
        <v>75</v>
      </c>
      <c r="N245" s="12">
        <v>9.1449130907787321E-2</v>
      </c>
      <c r="O245" s="8" t="s">
        <v>57</v>
      </c>
    </row>
    <row r="246" spans="2:15" x14ac:dyDescent="0.45">
      <c r="B246" s="9" t="s">
        <v>89</v>
      </c>
      <c r="C246" s="9" t="s">
        <v>76</v>
      </c>
      <c r="D246" s="11">
        <v>1.6998198577538339E-2</v>
      </c>
      <c r="E246" s="9" t="s">
        <v>57</v>
      </c>
      <c r="G246" s="9" t="s">
        <v>109</v>
      </c>
      <c r="H246" s="9" t="s">
        <v>76</v>
      </c>
      <c r="I246" s="13">
        <v>4.5832833644151368E-2</v>
      </c>
      <c r="J246" s="9" t="s">
        <v>57</v>
      </c>
      <c r="L246" s="9" t="s">
        <v>129</v>
      </c>
      <c r="M246" s="9" t="s">
        <v>76</v>
      </c>
      <c r="N246" s="13">
        <v>4.3641585771335985E-2</v>
      </c>
      <c r="O246" s="9" t="s">
        <v>57</v>
      </c>
    </row>
    <row r="247" spans="2:15" x14ac:dyDescent="0.45">
      <c r="B247" s="8" t="s">
        <v>89</v>
      </c>
      <c r="C247" s="8" t="s">
        <v>77</v>
      </c>
      <c r="D247" s="10">
        <v>4.695180028760889E-2</v>
      </c>
      <c r="E247" s="8" t="s">
        <v>57</v>
      </c>
      <c r="G247" s="8" t="s">
        <v>109</v>
      </c>
      <c r="H247" s="8" t="s">
        <v>77</v>
      </c>
      <c r="I247" s="12">
        <v>3.3782912944182411E-2</v>
      </c>
      <c r="J247" s="8" t="s">
        <v>57</v>
      </c>
      <c r="L247" s="8" t="s">
        <v>129</v>
      </c>
      <c r="M247" s="8" t="s">
        <v>77</v>
      </c>
      <c r="N247" s="12">
        <v>3.3176654073395276E-2</v>
      </c>
      <c r="O247" s="8" t="s">
        <v>57</v>
      </c>
    </row>
    <row r="248" spans="2:15" x14ac:dyDescent="0.45">
      <c r="B248" s="9" t="s">
        <v>89</v>
      </c>
      <c r="C248" s="9" t="s">
        <v>78</v>
      </c>
      <c r="D248" s="11">
        <v>4.6305484763614686E-2</v>
      </c>
      <c r="E248" s="9" t="s">
        <v>57</v>
      </c>
      <c r="G248" s="9" t="s">
        <v>109</v>
      </c>
      <c r="H248" s="9" t="s">
        <v>78</v>
      </c>
      <c r="I248" s="13">
        <v>3.4015254030963796E-2</v>
      </c>
      <c r="J248" s="9" t="s">
        <v>57</v>
      </c>
      <c r="L248" s="9" t="s">
        <v>129</v>
      </c>
      <c r="M248" s="9" t="s">
        <v>78</v>
      </c>
      <c r="N248" s="13">
        <v>3.2399633896181335E-2</v>
      </c>
      <c r="O248" s="9" t="s">
        <v>57</v>
      </c>
    </row>
    <row r="249" spans="2:15" x14ac:dyDescent="0.45">
      <c r="B249" s="8" t="s">
        <v>89</v>
      </c>
      <c r="C249" s="8" t="s">
        <v>79</v>
      </c>
      <c r="D249" s="10">
        <v>2.4985557415477859E-2</v>
      </c>
      <c r="E249" s="8" t="s">
        <v>57</v>
      </c>
      <c r="G249" s="8" t="s">
        <v>109</v>
      </c>
      <c r="H249" s="8" t="s">
        <v>79</v>
      </c>
      <c r="I249" s="12">
        <v>3.4097539674405514E-2</v>
      </c>
      <c r="J249" s="8" t="s">
        <v>57</v>
      </c>
      <c r="L249" s="8" t="s">
        <v>129</v>
      </c>
      <c r="M249" s="8" t="s">
        <v>79</v>
      </c>
      <c r="N249" s="12">
        <v>3.256146281847383E-2</v>
      </c>
      <c r="O249" s="8" t="s">
        <v>57</v>
      </c>
    </row>
    <row r="250" spans="2:15" x14ac:dyDescent="0.45">
      <c r="B250" s="9" t="s">
        <v>89</v>
      </c>
      <c r="C250" s="9" t="s">
        <v>80</v>
      </c>
      <c r="D250" s="11">
        <v>1.3886877892669916E-3</v>
      </c>
      <c r="E250" s="9" t="s">
        <v>57</v>
      </c>
      <c r="G250" s="9" t="s">
        <v>109</v>
      </c>
      <c r="H250" s="9" t="s">
        <v>80</v>
      </c>
      <c r="I250" s="13">
        <v>3.6995615623192556E-2</v>
      </c>
      <c r="J250" s="9" t="s">
        <v>57</v>
      </c>
      <c r="L250" s="9" t="s">
        <v>129</v>
      </c>
      <c r="M250" s="9" t="s">
        <v>80</v>
      </c>
      <c r="N250" s="13">
        <v>3.540428814917633E-2</v>
      </c>
      <c r="O250" s="9" t="s">
        <v>57</v>
      </c>
    </row>
    <row r="251" spans="2:15" x14ac:dyDescent="0.45">
      <c r="B251" s="8" t="s">
        <v>90</v>
      </c>
      <c r="C251" s="8" t="s">
        <v>56</v>
      </c>
      <c r="D251" s="10">
        <v>0</v>
      </c>
      <c r="E251" s="8" t="s">
        <v>57</v>
      </c>
      <c r="G251" s="8" t="s">
        <v>110</v>
      </c>
      <c r="H251" s="8" t="s">
        <v>56</v>
      </c>
      <c r="I251" s="12">
        <v>0.10836391684388573</v>
      </c>
      <c r="J251" s="8" t="s">
        <v>57</v>
      </c>
    </row>
    <row r="252" spans="2:15" x14ac:dyDescent="0.45">
      <c r="B252" s="9" t="s">
        <v>90</v>
      </c>
      <c r="C252" s="9" t="s">
        <v>58</v>
      </c>
      <c r="D252" s="11">
        <v>1.1076724473383459E-3</v>
      </c>
      <c r="E252" s="9" t="s">
        <v>57</v>
      </c>
      <c r="G252" s="9" t="s">
        <v>110</v>
      </c>
      <c r="H252" s="9" t="s">
        <v>58</v>
      </c>
      <c r="I252" s="13">
        <v>5.4820349336589136E-2</v>
      </c>
      <c r="J252" s="9" t="s">
        <v>57</v>
      </c>
    </row>
    <row r="253" spans="2:15" x14ac:dyDescent="0.45">
      <c r="B253" s="8" t="s">
        <v>90</v>
      </c>
      <c r="C253" s="8" t="s">
        <v>59</v>
      </c>
      <c r="D253" s="10">
        <v>2.7176057564794822E-2</v>
      </c>
      <c r="E253" s="8" t="s">
        <v>57</v>
      </c>
      <c r="G253" s="8" t="s">
        <v>110</v>
      </c>
      <c r="H253" s="8" t="s">
        <v>59</v>
      </c>
      <c r="I253" s="12">
        <v>4.2201542954729152E-2</v>
      </c>
      <c r="J253" s="8" t="s">
        <v>57</v>
      </c>
    </row>
    <row r="254" spans="2:15" x14ac:dyDescent="0.45">
      <c r="B254" s="9" t="s">
        <v>90</v>
      </c>
      <c r="C254" s="9" t="s">
        <v>60</v>
      </c>
      <c r="D254" s="11">
        <v>3.3309455971159037E-2</v>
      </c>
      <c r="E254" s="9" t="s">
        <v>57</v>
      </c>
      <c r="G254" s="9" t="s">
        <v>110</v>
      </c>
      <c r="H254" s="9" t="s">
        <v>60</v>
      </c>
      <c r="I254" s="13">
        <v>4.133376186595366E-2</v>
      </c>
      <c r="J254" s="9" t="s">
        <v>57</v>
      </c>
    </row>
    <row r="255" spans="2:15" x14ac:dyDescent="0.45">
      <c r="B255" s="8" t="s">
        <v>90</v>
      </c>
      <c r="C255" s="8" t="s">
        <v>61</v>
      </c>
      <c r="D255" s="10">
        <v>1.0193781433546593E-2</v>
      </c>
      <c r="E255" s="8" t="s">
        <v>57</v>
      </c>
      <c r="G255" s="8" t="s">
        <v>110</v>
      </c>
      <c r="H255" s="8" t="s">
        <v>61</v>
      </c>
      <c r="I255" s="12">
        <v>4.3719699801286177E-2</v>
      </c>
      <c r="J255" s="8" t="s">
        <v>57</v>
      </c>
    </row>
    <row r="256" spans="2:15" x14ac:dyDescent="0.45">
      <c r="B256" s="9" t="s">
        <v>90</v>
      </c>
      <c r="C256" s="9" t="s">
        <v>62</v>
      </c>
      <c r="D256" s="11">
        <v>0</v>
      </c>
      <c r="E256" s="9" t="s">
        <v>57</v>
      </c>
      <c r="G256" s="9" t="s">
        <v>110</v>
      </c>
      <c r="H256" s="9" t="s">
        <v>62</v>
      </c>
      <c r="I256" s="13">
        <v>4.5566737533321841E-2</v>
      </c>
      <c r="J256" s="9" t="s">
        <v>57</v>
      </c>
    </row>
    <row r="257" spans="2:10" x14ac:dyDescent="0.45">
      <c r="B257" s="8" t="s">
        <v>90</v>
      </c>
      <c r="C257" s="8" t="s">
        <v>63</v>
      </c>
      <c r="D257" s="10">
        <v>2.591425465353599E-4</v>
      </c>
      <c r="E257" s="8" t="s">
        <v>57</v>
      </c>
      <c r="G257" s="8" t="s">
        <v>110</v>
      </c>
      <c r="H257" s="8" t="s">
        <v>63</v>
      </c>
      <c r="I257" s="12">
        <v>7.9505689958406539E-2</v>
      </c>
      <c r="J257" s="8" t="s">
        <v>57</v>
      </c>
    </row>
    <row r="258" spans="2:10" x14ac:dyDescent="0.45">
      <c r="B258" s="9" t="s">
        <v>90</v>
      </c>
      <c r="C258" s="9" t="s">
        <v>64</v>
      </c>
      <c r="D258" s="11">
        <v>6.6287274944214603E-2</v>
      </c>
      <c r="E258" s="9" t="s">
        <v>57</v>
      </c>
      <c r="G258" s="9" t="s">
        <v>110</v>
      </c>
      <c r="H258" s="9" t="s">
        <v>64</v>
      </c>
      <c r="I258" s="13">
        <v>3.5823837039453119E-2</v>
      </c>
      <c r="J258" s="9" t="s">
        <v>57</v>
      </c>
    </row>
    <row r="259" spans="2:10" x14ac:dyDescent="0.45">
      <c r="B259" s="8" t="s">
        <v>90</v>
      </c>
      <c r="C259" s="8" t="s">
        <v>65</v>
      </c>
      <c r="D259" s="10">
        <v>0.1101243007645689</v>
      </c>
      <c r="E259" s="8" t="s">
        <v>57</v>
      </c>
      <c r="G259" s="8" t="s">
        <v>110</v>
      </c>
      <c r="H259" s="8" t="s">
        <v>65</v>
      </c>
      <c r="I259" s="12">
        <v>2.5404488181590707E-2</v>
      </c>
      <c r="J259" s="8" t="s">
        <v>57</v>
      </c>
    </row>
    <row r="260" spans="2:10" x14ac:dyDescent="0.45">
      <c r="B260" s="9" t="s">
        <v>90</v>
      </c>
      <c r="C260" s="9" t="s">
        <v>66</v>
      </c>
      <c r="D260" s="11">
        <v>0.10398758139918342</v>
      </c>
      <c r="E260" s="9" t="s">
        <v>57</v>
      </c>
      <c r="G260" s="9" t="s">
        <v>110</v>
      </c>
      <c r="H260" s="9" t="s">
        <v>66</v>
      </c>
      <c r="I260" s="13">
        <v>2.7156335607095197E-2</v>
      </c>
      <c r="J260" s="9" t="s">
        <v>57</v>
      </c>
    </row>
    <row r="261" spans="2:10" x14ac:dyDescent="0.45">
      <c r="B261" s="8" t="s">
        <v>90</v>
      </c>
      <c r="C261" s="8" t="s">
        <v>67</v>
      </c>
      <c r="D261" s="10">
        <v>7.28925774907664E-2</v>
      </c>
      <c r="E261" s="8" t="s">
        <v>57</v>
      </c>
      <c r="G261" s="8" t="s">
        <v>110</v>
      </c>
      <c r="H261" s="8" t="s">
        <v>67</v>
      </c>
      <c r="I261" s="12">
        <v>2.7766270141037778E-2</v>
      </c>
      <c r="J261" s="8" t="s">
        <v>57</v>
      </c>
    </row>
    <row r="262" spans="2:10" x14ac:dyDescent="0.45">
      <c r="B262" s="9" t="s">
        <v>90</v>
      </c>
      <c r="C262" s="9" t="s">
        <v>68</v>
      </c>
      <c r="D262" s="11">
        <v>1.2026660232155225E-2</v>
      </c>
      <c r="E262" s="9" t="s">
        <v>57</v>
      </c>
      <c r="G262" s="9" t="s">
        <v>110</v>
      </c>
      <c r="H262" s="9" t="s">
        <v>68</v>
      </c>
      <c r="I262" s="13">
        <v>2.98546470868385E-2</v>
      </c>
      <c r="J262" s="9" t="s">
        <v>57</v>
      </c>
    </row>
    <row r="263" spans="2:10" x14ac:dyDescent="0.45">
      <c r="B263" s="8" t="s">
        <v>90</v>
      </c>
      <c r="C263" s="8" t="s">
        <v>69</v>
      </c>
      <c r="D263" s="10">
        <v>2.0239934906059061E-3</v>
      </c>
      <c r="E263" s="8" t="s">
        <v>57</v>
      </c>
      <c r="G263" s="8" t="s">
        <v>110</v>
      </c>
      <c r="H263" s="8" t="s">
        <v>69</v>
      </c>
      <c r="I263" s="12">
        <v>5.423129396647728E-2</v>
      </c>
      <c r="J263" s="8" t="s">
        <v>57</v>
      </c>
    </row>
    <row r="264" spans="2:10" x14ac:dyDescent="0.45">
      <c r="B264" s="9" t="s">
        <v>90</v>
      </c>
      <c r="C264" s="9" t="s">
        <v>70</v>
      </c>
      <c r="D264" s="11">
        <v>8.5825694795525945E-2</v>
      </c>
      <c r="E264" s="9" t="s">
        <v>57</v>
      </c>
      <c r="G264" s="9" t="s">
        <v>110</v>
      </c>
      <c r="H264" s="9" t="s">
        <v>70</v>
      </c>
      <c r="I264" s="13">
        <v>2.4945266498705432E-2</v>
      </c>
      <c r="J264" s="9" t="s">
        <v>57</v>
      </c>
    </row>
    <row r="265" spans="2:10" x14ac:dyDescent="0.45">
      <c r="B265" s="8" t="s">
        <v>90</v>
      </c>
      <c r="C265" s="8" t="s">
        <v>71</v>
      </c>
      <c r="D265" s="10">
        <v>0.11096590727508465</v>
      </c>
      <c r="E265" s="8" t="s">
        <v>57</v>
      </c>
      <c r="G265" s="8" t="s">
        <v>110</v>
      </c>
      <c r="H265" s="8" t="s">
        <v>71</v>
      </c>
      <c r="I265" s="12">
        <v>1.6175298792024388E-2</v>
      </c>
      <c r="J265" s="8" t="s">
        <v>57</v>
      </c>
    </row>
    <row r="266" spans="2:10" x14ac:dyDescent="0.45">
      <c r="B266" s="9" t="s">
        <v>90</v>
      </c>
      <c r="C266" s="9" t="s">
        <v>72</v>
      </c>
      <c r="D266" s="11">
        <v>0.10676254323756397</v>
      </c>
      <c r="E266" s="9" t="s">
        <v>57</v>
      </c>
      <c r="G266" s="9" t="s">
        <v>110</v>
      </c>
      <c r="H266" s="9" t="s">
        <v>72</v>
      </c>
      <c r="I266" s="13">
        <v>1.5898268851444297E-2</v>
      </c>
      <c r="J266" s="9" t="s">
        <v>57</v>
      </c>
    </row>
    <row r="267" spans="2:10" x14ac:dyDescent="0.45">
      <c r="B267" s="8" t="s">
        <v>90</v>
      </c>
      <c r="C267" s="8" t="s">
        <v>73</v>
      </c>
      <c r="D267" s="10">
        <v>8.5533494303371191E-2</v>
      </c>
      <c r="E267" s="8" t="s">
        <v>57</v>
      </c>
      <c r="G267" s="8" t="s">
        <v>110</v>
      </c>
      <c r="H267" s="8" t="s">
        <v>73</v>
      </c>
      <c r="I267" s="12">
        <v>1.6642625657501336E-2</v>
      </c>
      <c r="J267" s="8" t="s">
        <v>57</v>
      </c>
    </row>
    <row r="268" spans="2:10" x14ac:dyDescent="0.45">
      <c r="B268" s="9" t="s">
        <v>90</v>
      </c>
      <c r="C268" s="9" t="s">
        <v>74</v>
      </c>
      <c r="D268" s="11">
        <v>2.7499637324350901E-2</v>
      </c>
      <c r="E268" s="9" t="s">
        <v>57</v>
      </c>
      <c r="G268" s="9" t="s">
        <v>110</v>
      </c>
      <c r="H268" s="9" t="s">
        <v>74</v>
      </c>
      <c r="I268" s="13">
        <v>1.6508086877433017E-2</v>
      </c>
      <c r="J268" s="9" t="s">
        <v>57</v>
      </c>
    </row>
    <row r="269" spans="2:10" x14ac:dyDescent="0.45">
      <c r="B269" s="8" t="s">
        <v>90</v>
      </c>
      <c r="C269" s="8" t="s">
        <v>75</v>
      </c>
      <c r="D269" s="10">
        <v>0</v>
      </c>
      <c r="E269" s="8" t="s">
        <v>57</v>
      </c>
      <c r="G269" s="8" t="s">
        <v>110</v>
      </c>
      <c r="H269" s="8" t="s">
        <v>75</v>
      </c>
      <c r="I269" s="12">
        <v>9.9023952035370497E-2</v>
      </c>
      <c r="J269" s="8" t="s">
        <v>57</v>
      </c>
    </row>
    <row r="270" spans="2:10" x14ac:dyDescent="0.45">
      <c r="B270" s="9" t="s">
        <v>90</v>
      </c>
      <c r="C270" s="9" t="s">
        <v>76</v>
      </c>
      <c r="D270" s="11">
        <v>1.8752053353178942E-2</v>
      </c>
      <c r="E270" s="9" t="s">
        <v>57</v>
      </c>
      <c r="G270" s="9" t="s">
        <v>110</v>
      </c>
      <c r="H270" s="9" t="s">
        <v>76</v>
      </c>
      <c r="I270" s="13">
        <v>5.3000597813439895E-2</v>
      </c>
      <c r="J270" s="9" t="s">
        <v>57</v>
      </c>
    </row>
    <row r="271" spans="2:10" x14ac:dyDescent="0.45">
      <c r="B271" s="8" t="s">
        <v>90</v>
      </c>
      <c r="C271" s="8" t="s">
        <v>77</v>
      </c>
      <c r="D271" s="10">
        <v>4.9232877913246639E-2</v>
      </c>
      <c r="E271" s="8" t="s">
        <v>57</v>
      </c>
      <c r="G271" s="8" t="s">
        <v>110</v>
      </c>
      <c r="H271" s="8" t="s">
        <v>77</v>
      </c>
      <c r="I271" s="12">
        <v>3.7755263276870774E-2</v>
      </c>
      <c r="J271" s="8" t="s">
        <v>57</v>
      </c>
    </row>
    <row r="272" spans="2:10" x14ac:dyDescent="0.45">
      <c r="B272" s="9" t="s">
        <v>90</v>
      </c>
      <c r="C272" s="9" t="s">
        <v>78</v>
      </c>
      <c r="D272" s="11">
        <v>4.8653953162361367E-2</v>
      </c>
      <c r="E272" s="9" t="s">
        <v>57</v>
      </c>
      <c r="G272" s="9" t="s">
        <v>110</v>
      </c>
      <c r="H272" s="9" t="s">
        <v>78</v>
      </c>
      <c r="I272" s="13">
        <v>3.4157890216576663E-2</v>
      </c>
      <c r="J272" s="9" t="s">
        <v>57</v>
      </c>
    </row>
    <row r="273" spans="2:10" x14ac:dyDescent="0.45">
      <c r="B273" s="8" t="s">
        <v>90</v>
      </c>
      <c r="C273" s="8" t="s">
        <v>79</v>
      </c>
      <c r="D273" s="10">
        <v>2.611133525016655E-2</v>
      </c>
      <c r="E273" s="8" t="s">
        <v>57</v>
      </c>
      <c r="G273" s="8" t="s">
        <v>110</v>
      </c>
      <c r="H273" s="8" t="s">
        <v>79</v>
      </c>
      <c r="I273" s="12">
        <v>3.2981757732120379E-2</v>
      </c>
      <c r="J273" s="8" t="s">
        <v>57</v>
      </c>
    </row>
    <row r="274" spans="2:10" x14ac:dyDescent="0.45">
      <c r="B274" s="9" t="s">
        <v>90</v>
      </c>
      <c r="C274" s="9" t="s">
        <v>80</v>
      </c>
      <c r="D274" s="11">
        <v>1.274005100279089E-3</v>
      </c>
      <c r="E274" s="9" t="s">
        <v>57</v>
      </c>
      <c r="G274" s="9" t="s">
        <v>110</v>
      </c>
      <c r="H274" s="9" t="s">
        <v>80</v>
      </c>
      <c r="I274" s="13">
        <v>3.716242193184733E-2</v>
      </c>
      <c r="J274" s="9" t="s">
        <v>57</v>
      </c>
    </row>
    <row r="275" spans="2:10" x14ac:dyDescent="0.45">
      <c r="B275" s="8" t="s">
        <v>91</v>
      </c>
      <c r="C275" s="8" t="s">
        <v>56</v>
      </c>
      <c r="D275" s="10">
        <v>0</v>
      </c>
      <c r="E275" s="8" t="s">
        <v>57</v>
      </c>
      <c r="G275" s="8" t="s">
        <v>111</v>
      </c>
      <c r="H275" s="8" t="s">
        <v>56</v>
      </c>
      <c r="I275" s="12">
        <v>0.10485549921095706</v>
      </c>
      <c r="J275" s="8" t="s">
        <v>57</v>
      </c>
    </row>
    <row r="276" spans="2:10" x14ac:dyDescent="0.45">
      <c r="B276" s="9" t="s">
        <v>91</v>
      </c>
      <c r="C276" s="9" t="s">
        <v>58</v>
      </c>
      <c r="D276" s="11">
        <v>3.1919386499890991E-3</v>
      </c>
      <c r="E276" s="9" t="s">
        <v>57</v>
      </c>
      <c r="G276" s="9" t="s">
        <v>111</v>
      </c>
      <c r="H276" s="9" t="s">
        <v>58</v>
      </c>
      <c r="I276" s="13">
        <v>5.3789991076518565E-2</v>
      </c>
      <c r="J276" s="9" t="s">
        <v>57</v>
      </c>
    </row>
    <row r="277" spans="2:10" x14ac:dyDescent="0.45">
      <c r="B277" s="8" t="s">
        <v>91</v>
      </c>
      <c r="C277" s="8" t="s">
        <v>59</v>
      </c>
      <c r="D277" s="10">
        <v>3.9443973512029662E-2</v>
      </c>
      <c r="E277" s="8" t="s">
        <v>57</v>
      </c>
      <c r="G277" s="8" t="s">
        <v>111</v>
      </c>
      <c r="H277" s="8" t="s">
        <v>59</v>
      </c>
      <c r="I277" s="12">
        <v>4.0722903014517892E-2</v>
      </c>
      <c r="J277" s="8" t="s">
        <v>57</v>
      </c>
    </row>
    <row r="278" spans="2:10" x14ac:dyDescent="0.45">
      <c r="B278" s="9" t="s">
        <v>91</v>
      </c>
      <c r="C278" s="9" t="s">
        <v>60</v>
      </c>
      <c r="D278" s="11">
        <v>4.5219963202878681E-2</v>
      </c>
      <c r="E278" s="9" t="s">
        <v>57</v>
      </c>
      <c r="G278" s="9" t="s">
        <v>111</v>
      </c>
      <c r="H278" s="9" t="s">
        <v>60</v>
      </c>
      <c r="I278" s="13">
        <v>3.8883119344411278E-2</v>
      </c>
      <c r="J278" s="9" t="s">
        <v>57</v>
      </c>
    </row>
    <row r="279" spans="2:10" x14ac:dyDescent="0.45">
      <c r="B279" s="8" t="s">
        <v>91</v>
      </c>
      <c r="C279" s="8" t="s">
        <v>61</v>
      </c>
      <c r="D279" s="10">
        <v>1.5257208891574526E-2</v>
      </c>
      <c r="E279" s="8" t="s">
        <v>57</v>
      </c>
      <c r="G279" s="8" t="s">
        <v>111</v>
      </c>
      <c r="H279" s="8" t="s">
        <v>61</v>
      </c>
      <c r="I279" s="12">
        <v>3.9674543505678256E-2</v>
      </c>
      <c r="J279" s="8" t="s">
        <v>57</v>
      </c>
    </row>
    <row r="280" spans="2:10" x14ac:dyDescent="0.45">
      <c r="B280" s="9" t="s">
        <v>91</v>
      </c>
      <c r="C280" s="9" t="s">
        <v>62</v>
      </c>
      <c r="D280" s="11">
        <v>0</v>
      </c>
      <c r="E280" s="9" t="s">
        <v>57</v>
      </c>
      <c r="G280" s="9" t="s">
        <v>111</v>
      </c>
      <c r="H280" s="9" t="s">
        <v>62</v>
      </c>
      <c r="I280" s="13">
        <v>4.262201499154207E-2</v>
      </c>
      <c r="J280" s="9" t="s">
        <v>57</v>
      </c>
    </row>
    <row r="281" spans="2:10" x14ac:dyDescent="0.45">
      <c r="B281" s="8" t="s">
        <v>91</v>
      </c>
      <c r="C281" s="8" t="s">
        <v>63</v>
      </c>
      <c r="D281" s="10">
        <v>0</v>
      </c>
      <c r="E281" s="8" t="s">
        <v>57</v>
      </c>
      <c r="G281" s="8" t="s">
        <v>111</v>
      </c>
      <c r="H281" s="8" t="s">
        <v>63</v>
      </c>
      <c r="I281" s="12">
        <v>8.9997050300728632E-2</v>
      </c>
      <c r="J281" s="8" t="s">
        <v>57</v>
      </c>
    </row>
    <row r="282" spans="2:10" x14ac:dyDescent="0.45">
      <c r="B282" s="9" t="s">
        <v>91</v>
      </c>
      <c r="C282" s="9" t="s">
        <v>64</v>
      </c>
      <c r="D282" s="11">
        <v>5.7573785158762547E-2</v>
      </c>
      <c r="E282" s="9" t="s">
        <v>57</v>
      </c>
      <c r="G282" s="9" t="s">
        <v>111</v>
      </c>
      <c r="H282" s="9" t="s">
        <v>64</v>
      </c>
      <c r="I282" s="13">
        <v>3.7298535863692639E-2</v>
      </c>
      <c r="J282" s="9" t="s">
        <v>57</v>
      </c>
    </row>
    <row r="283" spans="2:10" x14ac:dyDescent="0.45">
      <c r="B283" s="8" t="s">
        <v>91</v>
      </c>
      <c r="C283" s="8" t="s">
        <v>65</v>
      </c>
      <c r="D283" s="10">
        <v>9.7786830642415321E-2</v>
      </c>
      <c r="E283" s="8" t="s">
        <v>57</v>
      </c>
      <c r="G283" s="8" t="s">
        <v>111</v>
      </c>
      <c r="H283" s="8" t="s">
        <v>65</v>
      </c>
      <c r="I283" s="12">
        <v>2.2065749630674474E-2</v>
      </c>
      <c r="J283" s="8" t="s">
        <v>57</v>
      </c>
    </row>
    <row r="284" spans="2:10" x14ac:dyDescent="0.45">
      <c r="B284" s="9" t="s">
        <v>91</v>
      </c>
      <c r="C284" s="9" t="s">
        <v>66</v>
      </c>
      <c r="D284" s="11">
        <v>9.2840742685310507E-2</v>
      </c>
      <c r="E284" s="9" t="s">
        <v>57</v>
      </c>
      <c r="G284" s="9" t="s">
        <v>111</v>
      </c>
      <c r="H284" s="9" t="s">
        <v>66</v>
      </c>
      <c r="I284" s="13">
        <v>2.5454007823326564E-2</v>
      </c>
      <c r="J284" s="9" t="s">
        <v>57</v>
      </c>
    </row>
    <row r="285" spans="2:10" x14ac:dyDescent="0.45">
      <c r="B285" s="8" t="s">
        <v>91</v>
      </c>
      <c r="C285" s="8" t="s">
        <v>67</v>
      </c>
      <c r="D285" s="10">
        <v>6.3496692155623535E-2</v>
      </c>
      <c r="E285" s="8" t="s">
        <v>57</v>
      </c>
      <c r="G285" s="8" t="s">
        <v>111</v>
      </c>
      <c r="H285" s="8" t="s">
        <v>67</v>
      </c>
      <c r="I285" s="12">
        <v>2.6574155521460616E-2</v>
      </c>
      <c r="J285" s="8" t="s">
        <v>57</v>
      </c>
    </row>
    <row r="286" spans="2:10" x14ac:dyDescent="0.45">
      <c r="B286" s="9" t="s">
        <v>91</v>
      </c>
      <c r="C286" s="9" t="s">
        <v>68</v>
      </c>
      <c r="D286" s="11">
        <v>9.897835039593704E-3</v>
      </c>
      <c r="E286" s="9" t="s">
        <v>57</v>
      </c>
      <c r="G286" s="9" t="s">
        <v>111</v>
      </c>
      <c r="H286" s="9" t="s">
        <v>68</v>
      </c>
      <c r="I286" s="13">
        <v>2.9968391823742311E-2</v>
      </c>
      <c r="J286" s="9" t="s">
        <v>57</v>
      </c>
    </row>
    <row r="287" spans="2:10" x14ac:dyDescent="0.45">
      <c r="B287" s="8" t="s">
        <v>91</v>
      </c>
      <c r="C287" s="8" t="s">
        <v>69</v>
      </c>
      <c r="D287" s="10">
        <v>0</v>
      </c>
      <c r="E287" s="8" t="s">
        <v>57</v>
      </c>
      <c r="G287" s="8" t="s">
        <v>111</v>
      </c>
      <c r="H287" s="8" t="s">
        <v>69</v>
      </c>
      <c r="I287" s="12">
        <v>6.0330660020445272E-2</v>
      </c>
      <c r="J287" s="8" t="s">
        <v>57</v>
      </c>
    </row>
    <row r="288" spans="2:10" x14ac:dyDescent="0.45">
      <c r="B288" s="9" t="s">
        <v>91</v>
      </c>
      <c r="C288" s="9" t="s">
        <v>70</v>
      </c>
      <c r="D288" s="11">
        <v>7.8821314262607509E-2</v>
      </c>
      <c r="E288" s="9" t="s">
        <v>57</v>
      </c>
      <c r="G288" s="9" t="s">
        <v>111</v>
      </c>
      <c r="H288" s="9" t="s">
        <v>70</v>
      </c>
      <c r="I288" s="13">
        <v>2.5519790145856893E-2</v>
      </c>
      <c r="J288" s="9" t="s">
        <v>57</v>
      </c>
    </row>
    <row r="289" spans="2:10" x14ac:dyDescent="0.45">
      <c r="B289" s="8" t="s">
        <v>91</v>
      </c>
      <c r="C289" s="8" t="s">
        <v>71</v>
      </c>
      <c r="D289" s="10">
        <v>0.10794818442465212</v>
      </c>
      <c r="E289" s="8" t="s">
        <v>57</v>
      </c>
      <c r="G289" s="8" t="s">
        <v>111</v>
      </c>
      <c r="H289" s="8" t="s">
        <v>71</v>
      </c>
      <c r="I289" s="12">
        <v>1.8332106216308635E-2</v>
      </c>
      <c r="J289" s="8" t="s">
        <v>57</v>
      </c>
    </row>
    <row r="290" spans="2:10" x14ac:dyDescent="0.45">
      <c r="B290" s="9" t="s">
        <v>91</v>
      </c>
      <c r="C290" s="9" t="s">
        <v>72</v>
      </c>
      <c r="D290" s="11">
        <v>0.10376952500761236</v>
      </c>
      <c r="E290" s="9" t="s">
        <v>57</v>
      </c>
      <c r="G290" s="9" t="s">
        <v>111</v>
      </c>
      <c r="H290" s="9" t="s">
        <v>72</v>
      </c>
      <c r="I290" s="13">
        <v>1.9759353540035118E-2</v>
      </c>
      <c r="J290" s="9" t="s">
        <v>57</v>
      </c>
    </row>
    <row r="291" spans="2:10" x14ac:dyDescent="0.45">
      <c r="B291" s="8" t="s">
        <v>91</v>
      </c>
      <c r="C291" s="8" t="s">
        <v>73</v>
      </c>
      <c r="D291" s="10">
        <v>7.9726827801605116E-2</v>
      </c>
      <c r="E291" s="8" t="s">
        <v>57</v>
      </c>
      <c r="G291" s="8" t="s">
        <v>111</v>
      </c>
      <c r="H291" s="8" t="s">
        <v>73</v>
      </c>
      <c r="I291" s="12">
        <v>1.9613802517211135E-2</v>
      </c>
      <c r="J291" s="8" t="s">
        <v>57</v>
      </c>
    </row>
    <row r="292" spans="2:10" x14ac:dyDescent="0.45">
      <c r="B292" s="9" t="s">
        <v>91</v>
      </c>
      <c r="C292" s="9" t="s">
        <v>74</v>
      </c>
      <c r="D292" s="11">
        <v>2.1791635147382183E-2</v>
      </c>
      <c r="E292" s="9" t="s">
        <v>57</v>
      </c>
      <c r="G292" s="9" t="s">
        <v>111</v>
      </c>
      <c r="H292" s="9" t="s">
        <v>74</v>
      </c>
      <c r="I292" s="13">
        <v>1.8442483877205505E-2</v>
      </c>
      <c r="J292" s="9" t="s">
        <v>57</v>
      </c>
    </row>
    <row r="293" spans="2:10" x14ac:dyDescent="0.45">
      <c r="B293" s="8" t="s">
        <v>91</v>
      </c>
      <c r="C293" s="8" t="s">
        <v>75</v>
      </c>
      <c r="D293" s="10">
        <v>0</v>
      </c>
      <c r="E293" s="8" t="s">
        <v>57</v>
      </c>
      <c r="G293" s="8" t="s">
        <v>111</v>
      </c>
      <c r="H293" s="8" t="s">
        <v>75</v>
      </c>
      <c r="I293" s="12">
        <v>9.9450756483913716E-2</v>
      </c>
      <c r="J293" s="8" t="s">
        <v>57</v>
      </c>
    </row>
    <row r="294" spans="2:10" x14ac:dyDescent="0.45">
      <c r="B294" s="9" t="s">
        <v>91</v>
      </c>
      <c r="C294" s="9" t="s">
        <v>76</v>
      </c>
      <c r="D294" s="11">
        <v>2.4200478846490198E-2</v>
      </c>
      <c r="E294" s="9" t="s">
        <v>57</v>
      </c>
      <c r="G294" s="9" t="s">
        <v>111</v>
      </c>
      <c r="H294" s="9" t="s">
        <v>76</v>
      </c>
      <c r="I294" s="13">
        <v>4.7865022182217089E-2</v>
      </c>
      <c r="J294" s="9" t="s">
        <v>57</v>
      </c>
    </row>
    <row r="295" spans="2:10" x14ac:dyDescent="0.45">
      <c r="B295" s="8" t="s">
        <v>91</v>
      </c>
      <c r="C295" s="8" t="s">
        <v>77</v>
      </c>
      <c r="D295" s="10">
        <v>6.3834243782129221E-2</v>
      </c>
      <c r="E295" s="8" t="s">
        <v>57</v>
      </c>
      <c r="G295" s="8" t="s">
        <v>111</v>
      </c>
      <c r="H295" s="8" t="s">
        <v>77</v>
      </c>
      <c r="I295" s="12">
        <v>3.3058835832357455E-2</v>
      </c>
      <c r="J295" s="8" t="s">
        <v>57</v>
      </c>
    </row>
    <row r="296" spans="2:10" x14ac:dyDescent="0.45">
      <c r="B296" s="9" t="s">
        <v>91</v>
      </c>
      <c r="C296" s="9" t="s">
        <v>78</v>
      </c>
      <c r="D296" s="11">
        <v>6.1986127026064722E-2</v>
      </c>
      <c r="E296" s="9" t="s">
        <v>57</v>
      </c>
      <c r="G296" s="9" t="s">
        <v>111</v>
      </c>
      <c r="H296" s="9" t="s">
        <v>78</v>
      </c>
      <c r="I296" s="13">
        <v>3.3052602507954054E-2</v>
      </c>
      <c r="J296" s="9" t="s">
        <v>57</v>
      </c>
    </row>
    <row r="297" spans="2:10" x14ac:dyDescent="0.45">
      <c r="B297" s="8" t="s">
        <v>91</v>
      </c>
      <c r="C297" s="8" t="s">
        <v>79</v>
      </c>
      <c r="D297" s="10">
        <v>3.17549799645825E-2</v>
      </c>
      <c r="E297" s="8" t="s">
        <v>57</v>
      </c>
      <c r="G297" s="8" t="s">
        <v>111</v>
      </c>
      <c r="H297" s="8" t="s">
        <v>79</v>
      </c>
      <c r="I297" s="12">
        <v>3.4633548394228914E-2</v>
      </c>
      <c r="J297" s="8" t="s">
        <v>57</v>
      </c>
    </row>
    <row r="298" spans="2:10" x14ac:dyDescent="0.45">
      <c r="B298" s="9" t="s">
        <v>91</v>
      </c>
      <c r="C298" s="9" t="s">
        <v>80</v>
      </c>
      <c r="D298" s="11">
        <v>1.4577137986977763E-3</v>
      </c>
      <c r="E298" s="9" t="s">
        <v>57</v>
      </c>
      <c r="G298" s="9" t="s">
        <v>111</v>
      </c>
      <c r="H298" s="9" t="s">
        <v>80</v>
      </c>
      <c r="I298" s="13">
        <v>3.8035076175015274E-2</v>
      </c>
      <c r="J298" s="9" t="s">
        <v>57</v>
      </c>
    </row>
    <row r="299" spans="2:10" x14ac:dyDescent="0.45">
      <c r="B299" s="8" t="s">
        <v>92</v>
      </c>
      <c r="C299" s="8" t="s">
        <v>56</v>
      </c>
      <c r="D299" s="10">
        <v>0</v>
      </c>
      <c r="E299" s="8" t="s">
        <v>57</v>
      </c>
      <c r="G299" s="8" t="s">
        <v>112</v>
      </c>
      <c r="H299" s="8" t="s">
        <v>56</v>
      </c>
      <c r="I299" s="12">
        <v>0.1045705257561325</v>
      </c>
      <c r="J299" s="8" t="s">
        <v>57</v>
      </c>
    </row>
    <row r="300" spans="2:10" x14ac:dyDescent="0.45">
      <c r="B300" s="9" t="s">
        <v>92</v>
      </c>
      <c r="C300" s="9" t="s">
        <v>58</v>
      </c>
      <c r="D300" s="11">
        <v>2.8388516928711015E-3</v>
      </c>
      <c r="E300" s="9" t="s">
        <v>57</v>
      </c>
      <c r="G300" s="9" t="s">
        <v>112</v>
      </c>
      <c r="H300" s="9" t="s">
        <v>58</v>
      </c>
      <c r="I300" s="13">
        <v>5.1497677759969336E-2</v>
      </c>
      <c r="J300" s="9" t="s">
        <v>57</v>
      </c>
    </row>
    <row r="301" spans="2:10" x14ac:dyDescent="0.45">
      <c r="B301" s="8" t="s">
        <v>92</v>
      </c>
      <c r="C301" s="8" t="s">
        <v>59</v>
      </c>
      <c r="D301" s="10">
        <v>3.5772498537951058E-2</v>
      </c>
      <c r="E301" s="8" t="s">
        <v>57</v>
      </c>
      <c r="G301" s="8" t="s">
        <v>112</v>
      </c>
      <c r="H301" s="8" t="s">
        <v>59</v>
      </c>
      <c r="I301" s="12">
        <v>3.8175661976079731E-2</v>
      </c>
      <c r="J301" s="8" t="s">
        <v>57</v>
      </c>
    </row>
    <row r="302" spans="2:10" x14ac:dyDescent="0.45">
      <c r="B302" s="9" t="s">
        <v>92</v>
      </c>
      <c r="C302" s="9" t="s">
        <v>60</v>
      </c>
      <c r="D302" s="11">
        <v>4.0285281621600909E-2</v>
      </c>
      <c r="E302" s="9" t="s">
        <v>57</v>
      </c>
      <c r="G302" s="9" t="s">
        <v>112</v>
      </c>
      <c r="H302" s="9" t="s">
        <v>60</v>
      </c>
      <c r="I302" s="13">
        <v>3.7336356418395319E-2</v>
      </c>
      <c r="J302" s="9" t="s">
        <v>57</v>
      </c>
    </row>
    <row r="303" spans="2:10" x14ac:dyDescent="0.45">
      <c r="B303" s="8" t="s">
        <v>92</v>
      </c>
      <c r="C303" s="8" t="s">
        <v>61</v>
      </c>
      <c r="D303" s="10">
        <v>1.165383405752147E-2</v>
      </c>
      <c r="E303" s="8" t="s">
        <v>57</v>
      </c>
      <c r="G303" s="8" t="s">
        <v>112</v>
      </c>
      <c r="H303" s="8" t="s">
        <v>61</v>
      </c>
      <c r="I303" s="12">
        <v>3.974564042644492E-2</v>
      </c>
      <c r="J303" s="8" t="s">
        <v>57</v>
      </c>
    </row>
    <row r="304" spans="2:10" x14ac:dyDescent="0.45">
      <c r="B304" s="9" t="s">
        <v>92</v>
      </c>
      <c r="C304" s="9" t="s">
        <v>62</v>
      </c>
      <c r="D304" s="11">
        <v>0</v>
      </c>
      <c r="E304" s="9" t="s">
        <v>57</v>
      </c>
      <c r="G304" s="9" t="s">
        <v>112</v>
      </c>
      <c r="H304" s="9" t="s">
        <v>62</v>
      </c>
      <c r="I304" s="13">
        <v>4.2225513836301687E-2</v>
      </c>
      <c r="J304" s="9" t="s">
        <v>57</v>
      </c>
    </row>
    <row r="305" spans="2:10" x14ac:dyDescent="0.45">
      <c r="B305" s="8" t="s">
        <v>92</v>
      </c>
      <c r="C305" s="8" t="s">
        <v>63</v>
      </c>
      <c r="D305" s="10">
        <v>8.3244976152868723E-6</v>
      </c>
      <c r="E305" s="8" t="s">
        <v>57</v>
      </c>
      <c r="G305" s="8" t="s">
        <v>112</v>
      </c>
      <c r="H305" s="8" t="s">
        <v>63</v>
      </c>
      <c r="I305" s="12">
        <v>9.4462468503361E-2</v>
      </c>
      <c r="J305" s="8" t="s">
        <v>57</v>
      </c>
    </row>
    <row r="306" spans="2:10" x14ac:dyDescent="0.45">
      <c r="B306" s="9" t="s">
        <v>92</v>
      </c>
      <c r="C306" s="9" t="s">
        <v>64</v>
      </c>
      <c r="D306" s="11">
        <v>6.2785242609764161E-2</v>
      </c>
      <c r="E306" s="9" t="s">
        <v>57</v>
      </c>
      <c r="G306" s="9" t="s">
        <v>112</v>
      </c>
      <c r="H306" s="9" t="s">
        <v>64</v>
      </c>
      <c r="I306" s="13">
        <v>3.878822363653503E-2</v>
      </c>
      <c r="J306" s="9" t="s">
        <v>57</v>
      </c>
    </row>
    <row r="307" spans="2:10" x14ac:dyDescent="0.45">
      <c r="B307" s="8" t="s">
        <v>92</v>
      </c>
      <c r="C307" s="8" t="s">
        <v>65</v>
      </c>
      <c r="D307" s="10">
        <v>0.10059010396718175</v>
      </c>
      <c r="E307" s="8" t="s">
        <v>57</v>
      </c>
      <c r="G307" s="8" t="s">
        <v>112</v>
      </c>
      <c r="H307" s="8" t="s">
        <v>65</v>
      </c>
      <c r="I307" s="12">
        <v>2.3666950931737523E-2</v>
      </c>
      <c r="J307" s="8" t="s">
        <v>57</v>
      </c>
    </row>
    <row r="308" spans="2:10" x14ac:dyDescent="0.45">
      <c r="B308" s="9" t="s">
        <v>92</v>
      </c>
      <c r="C308" s="9" t="s">
        <v>66</v>
      </c>
      <c r="D308" s="11">
        <v>9.5719519647489384E-2</v>
      </c>
      <c r="E308" s="9" t="s">
        <v>57</v>
      </c>
      <c r="G308" s="9" t="s">
        <v>112</v>
      </c>
      <c r="H308" s="9" t="s">
        <v>66</v>
      </c>
      <c r="I308" s="13">
        <v>2.718290121653151E-2</v>
      </c>
      <c r="J308" s="9" t="s">
        <v>57</v>
      </c>
    </row>
    <row r="309" spans="2:10" x14ac:dyDescent="0.45">
      <c r="B309" s="8" t="s">
        <v>92</v>
      </c>
      <c r="C309" s="8" t="s">
        <v>67</v>
      </c>
      <c r="D309" s="10">
        <v>6.6217449655880792E-2</v>
      </c>
      <c r="E309" s="8" t="s">
        <v>57</v>
      </c>
      <c r="G309" s="8" t="s">
        <v>112</v>
      </c>
      <c r="H309" s="8" t="s">
        <v>67</v>
      </c>
      <c r="I309" s="12">
        <v>2.8787827078371759E-2</v>
      </c>
      <c r="J309" s="8" t="s">
        <v>57</v>
      </c>
    </row>
    <row r="310" spans="2:10" x14ac:dyDescent="0.45">
      <c r="B310" s="9" t="s">
        <v>92</v>
      </c>
      <c r="C310" s="9" t="s">
        <v>68</v>
      </c>
      <c r="D310" s="11">
        <v>1.0282711267951803E-2</v>
      </c>
      <c r="E310" s="9" t="s">
        <v>57</v>
      </c>
      <c r="G310" s="9" t="s">
        <v>112</v>
      </c>
      <c r="H310" s="9" t="s">
        <v>68</v>
      </c>
      <c r="I310" s="13">
        <v>3.1674678588095598E-2</v>
      </c>
      <c r="J310" s="9" t="s">
        <v>57</v>
      </c>
    </row>
    <row r="311" spans="2:10" x14ac:dyDescent="0.45">
      <c r="B311" s="8" t="s">
        <v>92</v>
      </c>
      <c r="C311" s="8" t="s">
        <v>69</v>
      </c>
      <c r="D311" s="10">
        <v>5.7619684891429483E-4</v>
      </c>
      <c r="E311" s="8" t="s">
        <v>57</v>
      </c>
      <c r="G311" s="8" t="s">
        <v>112</v>
      </c>
      <c r="H311" s="8" t="s">
        <v>69</v>
      </c>
      <c r="I311" s="12">
        <v>6.130800624102533E-2</v>
      </c>
      <c r="J311" s="8" t="s">
        <v>57</v>
      </c>
    </row>
    <row r="312" spans="2:10" x14ac:dyDescent="0.45">
      <c r="B312" s="9" t="s">
        <v>92</v>
      </c>
      <c r="C312" s="9" t="s">
        <v>70</v>
      </c>
      <c r="D312" s="11">
        <v>8.4435687898577069E-2</v>
      </c>
      <c r="E312" s="9" t="s">
        <v>57</v>
      </c>
      <c r="G312" s="9" t="s">
        <v>112</v>
      </c>
      <c r="H312" s="9" t="s">
        <v>70</v>
      </c>
      <c r="I312" s="13">
        <v>2.465909437810939E-2</v>
      </c>
      <c r="J312" s="9" t="s">
        <v>57</v>
      </c>
    </row>
    <row r="313" spans="2:10" x14ac:dyDescent="0.45">
      <c r="B313" s="8" t="s">
        <v>92</v>
      </c>
      <c r="C313" s="8" t="s">
        <v>71</v>
      </c>
      <c r="D313" s="10">
        <v>0.11109549948167073</v>
      </c>
      <c r="E313" s="8" t="s">
        <v>57</v>
      </c>
      <c r="G313" s="8" t="s">
        <v>112</v>
      </c>
      <c r="H313" s="8" t="s">
        <v>71</v>
      </c>
      <c r="I313" s="12">
        <v>1.6871342840060668E-2</v>
      </c>
      <c r="J313" s="8" t="s">
        <v>57</v>
      </c>
    </row>
    <row r="314" spans="2:10" x14ac:dyDescent="0.45">
      <c r="B314" s="9" t="s">
        <v>92</v>
      </c>
      <c r="C314" s="9" t="s">
        <v>72</v>
      </c>
      <c r="D314" s="11">
        <v>0.10497925755121139</v>
      </c>
      <c r="E314" s="9" t="s">
        <v>57</v>
      </c>
      <c r="G314" s="9" t="s">
        <v>112</v>
      </c>
      <c r="H314" s="9" t="s">
        <v>72</v>
      </c>
      <c r="I314" s="13">
        <v>1.7607716400146883E-2</v>
      </c>
      <c r="J314" s="9" t="s">
        <v>57</v>
      </c>
    </row>
    <row r="315" spans="2:10" x14ac:dyDescent="0.45">
      <c r="B315" s="8" t="s">
        <v>92</v>
      </c>
      <c r="C315" s="8" t="s">
        <v>73</v>
      </c>
      <c r="D315" s="10">
        <v>7.9641009326512108E-2</v>
      </c>
      <c r="E315" s="8" t="s">
        <v>57</v>
      </c>
      <c r="G315" s="8" t="s">
        <v>112</v>
      </c>
      <c r="H315" s="8" t="s">
        <v>73</v>
      </c>
      <c r="I315" s="12">
        <v>1.8250860506586773E-2</v>
      </c>
      <c r="J315" s="8" t="s">
        <v>57</v>
      </c>
    </row>
    <row r="316" spans="2:10" x14ac:dyDescent="0.45">
      <c r="B316" s="9" t="s">
        <v>92</v>
      </c>
      <c r="C316" s="9" t="s">
        <v>74</v>
      </c>
      <c r="D316" s="11">
        <v>2.1944346549929973E-2</v>
      </c>
      <c r="E316" s="9" t="s">
        <v>57</v>
      </c>
      <c r="G316" s="9" t="s">
        <v>112</v>
      </c>
      <c r="H316" s="9" t="s">
        <v>74</v>
      </c>
      <c r="I316" s="13">
        <v>1.7797643892627002E-2</v>
      </c>
      <c r="J316" s="9" t="s">
        <v>57</v>
      </c>
    </row>
    <row r="317" spans="2:10" x14ac:dyDescent="0.45">
      <c r="B317" s="8" t="s">
        <v>92</v>
      </c>
      <c r="C317" s="8" t="s">
        <v>75</v>
      </c>
      <c r="D317" s="10">
        <v>0</v>
      </c>
      <c r="E317" s="8" t="s">
        <v>57</v>
      </c>
      <c r="G317" s="8" t="s">
        <v>112</v>
      </c>
      <c r="H317" s="8" t="s">
        <v>75</v>
      </c>
      <c r="I317" s="12">
        <v>0.10004736866172664</v>
      </c>
      <c r="J317" s="8" t="s">
        <v>57</v>
      </c>
    </row>
    <row r="318" spans="2:10" x14ac:dyDescent="0.45">
      <c r="B318" s="9" t="s">
        <v>92</v>
      </c>
      <c r="C318" s="9" t="s">
        <v>76</v>
      </c>
      <c r="D318" s="11">
        <v>2.365863305666107E-2</v>
      </c>
      <c r="E318" s="9" t="s">
        <v>57</v>
      </c>
      <c r="G318" s="9" t="s">
        <v>112</v>
      </c>
      <c r="H318" s="9" t="s">
        <v>76</v>
      </c>
      <c r="I318" s="13">
        <v>4.7595298229817631E-2</v>
      </c>
      <c r="J318" s="9" t="s">
        <v>57</v>
      </c>
    </row>
    <row r="319" spans="2:10" x14ac:dyDescent="0.45">
      <c r="B319" s="8" t="s">
        <v>92</v>
      </c>
      <c r="C319" s="8" t="s">
        <v>77</v>
      </c>
      <c r="D319" s="10">
        <v>6.1635849224516634E-2</v>
      </c>
      <c r="E319" s="8" t="s">
        <v>57</v>
      </c>
      <c r="G319" s="8" t="s">
        <v>112</v>
      </c>
      <c r="H319" s="8" t="s">
        <v>77</v>
      </c>
      <c r="I319" s="12">
        <v>3.2368982178818534E-2</v>
      </c>
      <c r="J319" s="8" t="s">
        <v>57</v>
      </c>
    </row>
    <row r="320" spans="2:10" x14ac:dyDescent="0.45">
      <c r="B320" s="9" t="s">
        <v>92</v>
      </c>
      <c r="C320" s="9" t="s">
        <v>78</v>
      </c>
      <c r="D320" s="11">
        <v>5.7607812389467584E-2</v>
      </c>
      <c r="E320" s="9" t="s">
        <v>57</v>
      </c>
      <c r="G320" s="9" t="s">
        <v>112</v>
      </c>
      <c r="H320" s="9" t="s">
        <v>78</v>
      </c>
      <c r="I320" s="13">
        <v>3.2835782238904543E-2</v>
      </c>
      <c r="J320" s="9" t="s">
        <v>57</v>
      </c>
    </row>
    <row r="321" spans="2:10" x14ac:dyDescent="0.45">
      <c r="B321" s="8" t="s">
        <v>92</v>
      </c>
      <c r="C321" s="8" t="s">
        <v>79</v>
      </c>
      <c r="D321" s="10">
        <v>2.6993562422358251E-2</v>
      </c>
      <c r="E321" s="8" t="s">
        <v>57</v>
      </c>
      <c r="G321" s="8" t="s">
        <v>112</v>
      </c>
      <c r="H321" s="8" t="s">
        <v>79</v>
      </c>
      <c r="I321" s="12">
        <v>3.3902561580937615E-2</v>
      </c>
      <c r="J321" s="8" t="s">
        <v>57</v>
      </c>
    </row>
    <row r="322" spans="2:10" x14ac:dyDescent="0.45">
      <c r="B322" s="9" t="s">
        <v>92</v>
      </c>
      <c r="C322" s="9" t="s">
        <v>80</v>
      </c>
      <c r="D322" s="11">
        <v>1.2783276943538209E-3</v>
      </c>
      <c r="E322" s="9" t="s">
        <v>57</v>
      </c>
      <c r="G322" s="9" t="s">
        <v>112</v>
      </c>
      <c r="H322" s="9" t="s">
        <v>80</v>
      </c>
      <c r="I322" s="13">
        <v>3.8640916723282008E-2</v>
      </c>
      <c r="J322" s="9" t="s">
        <v>57</v>
      </c>
    </row>
    <row r="323" spans="2:10" x14ac:dyDescent="0.45">
      <c r="B323" s="8" t="s">
        <v>93</v>
      </c>
      <c r="C323" s="8" t="s">
        <v>56</v>
      </c>
      <c r="D323" s="10">
        <v>0</v>
      </c>
      <c r="E323" s="8" t="s">
        <v>57</v>
      </c>
      <c r="G323" s="8" t="s">
        <v>113</v>
      </c>
      <c r="H323" s="8" t="s">
        <v>56</v>
      </c>
      <c r="I323" s="12">
        <v>0.10540613148426144</v>
      </c>
      <c r="J323" s="8" t="s">
        <v>57</v>
      </c>
    </row>
    <row r="324" spans="2:10" x14ac:dyDescent="0.45">
      <c r="B324" s="9" t="s">
        <v>93</v>
      </c>
      <c r="C324" s="9" t="s">
        <v>58</v>
      </c>
      <c r="D324" s="11">
        <v>1.5512938878912885E-3</v>
      </c>
      <c r="E324" s="9" t="s">
        <v>57</v>
      </c>
      <c r="G324" s="9" t="s">
        <v>113</v>
      </c>
      <c r="H324" s="9" t="s">
        <v>58</v>
      </c>
      <c r="I324" s="13">
        <v>5.2833769429116273E-2</v>
      </c>
      <c r="J324" s="9" t="s">
        <v>57</v>
      </c>
    </row>
    <row r="325" spans="2:10" x14ac:dyDescent="0.45">
      <c r="B325" s="8" t="s">
        <v>93</v>
      </c>
      <c r="C325" s="8" t="s">
        <v>59</v>
      </c>
      <c r="D325" s="10">
        <v>3.8392008884824198E-2</v>
      </c>
      <c r="E325" s="8" t="s">
        <v>57</v>
      </c>
      <c r="G325" s="8" t="s">
        <v>113</v>
      </c>
      <c r="H325" s="8" t="s">
        <v>59</v>
      </c>
      <c r="I325" s="12">
        <v>3.8718315745510067E-2</v>
      </c>
      <c r="J325" s="8" t="s">
        <v>57</v>
      </c>
    </row>
    <row r="326" spans="2:10" x14ac:dyDescent="0.45">
      <c r="B326" s="9" t="s">
        <v>93</v>
      </c>
      <c r="C326" s="9" t="s">
        <v>60</v>
      </c>
      <c r="D326" s="11">
        <v>4.7977995194066855E-2</v>
      </c>
      <c r="E326" s="9" t="s">
        <v>57</v>
      </c>
      <c r="G326" s="9" t="s">
        <v>113</v>
      </c>
      <c r="H326" s="9" t="s">
        <v>60</v>
      </c>
      <c r="I326" s="13">
        <v>3.8715062371091326E-2</v>
      </c>
      <c r="J326" s="9" t="s">
        <v>57</v>
      </c>
    </row>
    <row r="327" spans="2:10" x14ac:dyDescent="0.45">
      <c r="B327" s="8" t="s">
        <v>93</v>
      </c>
      <c r="C327" s="8" t="s">
        <v>61</v>
      </c>
      <c r="D327" s="10">
        <v>1.816203349268547E-2</v>
      </c>
      <c r="E327" s="8" t="s">
        <v>57</v>
      </c>
      <c r="G327" s="8" t="s">
        <v>113</v>
      </c>
      <c r="H327" s="8" t="s">
        <v>61</v>
      </c>
      <c r="I327" s="12">
        <v>4.0194336570693587E-2</v>
      </c>
      <c r="J327" s="8" t="s">
        <v>57</v>
      </c>
    </row>
    <row r="328" spans="2:10" x14ac:dyDescent="0.45">
      <c r="B328" s="9" t="s">
        <v>93</v>
      </c>
      <c r="C328" s="9" t="s">
        <v>62</v>
      </c>
      <c r="D328" s="11">
        <v>0</v>
      </c>
      <c r="E328" s="9" t="s">
        <v>57</v>
      </c>
      <c r="G328" s="9" t="s">
        <v>113</v>
      </c>
      <c r="H328" s="9" t="s">
        <v>62</v>
      </c>
      <c r="I328" s="13">
        <v>4.3391823072689503E-2</v>
      </c>
      <c r="J328" s="9" t="s">
        <v>57</v>
      </c>
    </row>
    <row r="329" spans="2:10" x14ac:dyDescent="0.45">
      <c r="B329" s="8" t="s">
        <v>93</v>
      </c>
      <c r="C329" s="8" t="s">
        <v>63</v>
      </c>
      <c r="D329" s="10">
        <v>0</v>
      </c>
      <c r="E329" s="8" t="s">
        <v>57</v>
      </c>
      <c r="G329" s="8" t="s">
        <v>113</v>
      </c>
      <c r="H329" s="8" t="s">
        <v>63</v>
      </c>
      <c r="I329" s="12">
        <v>9.555698490885646E-2</v>
      </c>
      <c r="J329" s="8" t="s">
        <v>57</v>
      </c>
    </row>
    <row r="330" spans="2:10" x14ac:dyDescent="0.45">
      <c r="B330" s="9" t="s">
        <v>93</v>
      </c>
      <c r="C330" s="9" t="s">
        <v>64</v>
      </c>
      <c r="D330" s="11">
        <v>4.9579338497711151E-2</v>
      </c>
      <c r="E330" s="9" t="s">
        <v>57</v>
      </c>
      <c r="G330" s="9" t="s">
        <v>113</v>
      </c>
      <c r="H330" s="9" t="s">
        <v>64</v>
      </c>
      <c r="I330" s="13">
        <v>4.2344986722009696E-2</v>
      </c>
      <c r="J330" s="9" t="s">
        <v>57</v>
      </c>
    </row>
    <row r="331" spans="2:10" x14ac:dyDescent="0.45">
      <c r="B331" s="8" t="s">
        <v>93</v>
      </c>
      <c r="C331" s="8" t="s">
        <v>65</v>
      </c>
      <c r="D331" s="10">
        <v>9.4169027571280095E-2</v>
      </c>
      <c r="E331" s="8" t="s">
        <v>57</v>
      </c>
      <c r="G331" s="8" t="s">
        <v>113</v>
      </c>
      <c r="H331" s="8" t="s">
        <v>65</v>
      </c>
      <c r="I331" s="12">
        <v>2.4893076198405424E-2</v>
      </c>
      <c r="J331" s="8" t="s">
        <v>57</v>
      </c>
    </row>
    <row r="332" spans="2:10" x14ac:dyDescent="0.45">
      <c r="B332" s="9" t="s">
        <v>93</v>
      </c>
      <c r="C332" s="9" t="s">
        <v>66</v>
      </c>
      <c r="D332" s="11">
        <v>9.4400225598059537E-2</v>
      </c>
      <c r="E332" s="9" t="s">
        <v>57</v>
      </c>
      <c r="G332" s="9" t="s">
        <v>113</v>
      </c>
      <c r="H332" s="9" t="s">
        <v>66</v>
      </c>
      <c r="I332" s="13">
        <v>2.6808209989175911E-2</v>
      </c>
      <c r="J332" s="9" t="s">
        <v>57</v>
      </c>
    </row>
    <row r="333" spans="2:10" x14ac:dyDescent="0.45">
      <c r="B333" s="8" t="s">
        <v>93</v>
      </c>
      <c r="C333" s="8" t="s">
        <v>67</v>
      </c>
      <c r="D333" s="10">
        <v>6.5260688290061653E-2</v>
      </c>
      <c r="E333" s="8" t="s">
        <v>57</v>
      </c>
      <c r="G333" s="8" t="s">
        <v>113</v>
      </c>
      <c r="H333" s="8" t="s">
        <v>67</v>
      </c>
      <c r="I333" s="12">
        <v>2.7637444214350104E-2</v>
      </c>
      <c r="J333" s="8" t="s">
        <v>57</v>
      </c>
    </row>
    <row r="334" spans="2:10" x14ac:dyDescent="0.45">
      <c r="B334" s="9" t="s">
        <v>93</v>
      </c>
      <c r="C334" s="9" t="s">
        <v>68</v>
      </c>
      <c r="D334" s="11">
        <v>1.2475849418897384E-2</v>
      </c>
      <c r="E334" s="9" t="s">
        <v>57</v>
      </c>
      <c r="G334" s="9" t="s">
        <v>113</v>
      </c>
      <c r="H334" s="9" t="s">
        <v>68</v>
      </c>
      <c r="I334" s="13">
        <v>3.1500857785678703E-2</v>
      </c>
      <c r="J334" s="9" t="s">
        <v>57</v>
      </c>
    </row>
    <row r="335" spans="2:10" x14ac:dyDescent="0.45">
      <c r="B335" s="8" t="s">
        <v>93</v>
      </c>
      <c r="C335" s="8" t="s">
        <v>69</v>
      </c>
      <c r="D335" s="10">
        <v>0</v>
      </c>
      <c r="E335" s="8" t="s">
        <v>57</v>
      </c>
      <c r="G335" s="8" t="s">
        <v>113</v>
      </c>
      <c r="H335" s="8" t="s">
        <v>69</v>
      </c>
      <c r="I335" s="12">
        <v>5.4739753598090982E-2</v>
      </c>
      <c r="J335" s="8" t="s">
        <v>57</v>
      </c>
    </row>
    <row r="336" spans="2:10" x14ac:dyDescent="0.45">
      <c r="B336" s="9" t="s">
        <v>93</v>
      </c>
      <c r="C336" s="9" t="s">
        <v>70</v>
      </c>
      <c r="D336" s="11">
        <v>7.3680407052705496E-2</v>
      </c>
      <c r="E336" s="9" t="s">
        <v>57</v>
      </c>
      <c r="G336" s="9" t="s">
        <v>113</v>
      </c>
      <c r="H336" s="9" t="s">
        <v>70</v>
      </c>
      <c r="I336" s="13">
        <v>2.2748693348050672E-2</v>
      </c>
      <c r="J336" s="9" t="s">
        <v>57</v>
      </c>
    </row>
    <row r="337" spans="2:10" x14ac:dyDescent="0.45">
      <c r="B337" s="8" t="s">
        <v>93</v>
      </c>
      <c r="C337" s="8" t="s">
        <v>71</v>
      </c>
      <c r="D337" s="10">
        <v>0.10908172596393313</v>
      </c>
      <c r="E337" s="8" t="s">
        <v>57</v>
      </c>
      <c r="G337" s="8" t="s">
        <v>113</v>
      </c>
      <c r="H337" s="8" t="s">
        <v>71</v>
      </c>
      <c r="I337" s="12">
        <v>1.745746569177695E-2</v>
      </c>
      <c r="J337" s="8" t="s">
        <v>57</v>
      </c>
    </row>
    <row r="338" spans="2:10" x14ac:dyDescent="0.45">
      <c r="B338" s="9" t="s">
        <v>93</v>
      </c>
      <c r="C338" s="9" t="s">
        <v>72</v>
      </c>
      <c r="D338" s="11">
        <v>0.10382716743712482</v>
      </c>
      <c r="E338" s="9" t="s">
        <v>57</v>
      </c>
      <c r="G338" s="9" t="s">
        <v>113</v>
      </c>
      <c r="H338" s="9" t="s">
        <v>72</v>
      </c>
      <c r="I338" s="13">
        <v>1.9305004994708792E-2</v>
      </c>
      <c r="J338" s="9" t="s">
        <v>57</v>
      </c>
    </row>
    <row r="339" spans="2:10" x14ac:dyDescent="0.45">
      <c r="B339" s="8" t="s">
        <v>93</v>
      </c>
      <c r="C339" s="8" t="s">
        <v>73</v>
      </c>
      <c r="D339" s="10">
        <v>8.0520634519154935E-2</v>
      </c>
      <c r="E339" s="8" t="s">
        <v>57</v>
      </c>
      <c r="G339" s="8" t="s">
        <v>113</v>
      </c>
      <c r="H339" s="8" t="s">
        <v>73</v>
      </c>
      <c r="I339" s="12">
        <v>2.0044468488298908E-2</v>
      </c>
      <c r="J339" s="8" t="s">
        <v>57</v>
      </c>
    </row>
    <row r="340" spans="2:10" x14ac:dyDescent="0.45">
      <c r="B340" s="9" t="s">
        <v>93</v>
      </c>
      <c r="C340" s="9" t="s">
        <v>74</v>
      </c>
      <c r="D340" s="11">
        <v>2.5387052432841721E-2</v>
      </c>
      <c r="E340" s="9" t="s">
        <v>57</v>
      </c>
      <c r="G340" s="9" t="s">
        <v>113</v>
      </c>
      <c r="H340" s="9" t="s">
        <v>74</v>
      </c>
      <c r="I340" s="13">
        <v>1.9681687673224629E-2</v>
      </c>
      <c r="J340" s="9" t="s">
        <v>57</v>
      </c>
    </row>
    <row r="341" spans="2:10" x14ac:dyDescent="0.45">
      <c r="B341" s="8" t="s">
        <v>93</v>
      </c>
      <c r="C341" s="8" t="s">
        <v>75</v>
      </c>
      <c r="D341" s="10">
        <v>0</v>
      </c>
      <c r="E341" s="8" t="s">
        <v>57</v>
      </c>
      <c r="G341" s="8" t="s">
        <v>113</v>
      </c>
      <c r="H341" s="8" t="s">
        <v>75</v>
      </c>
      <c r="I341" s="12">
        <v>9.4519612049481144E-2</v>
      </c>
      <c r="J341" s="8" t="s">
        <v>57</v>
      </c>
    </row>
    <row r="342" spans="2:10" x14ac:dyDescent="0.45">
      <c r="B342" s="9" t="s">
        <v>93</v>
      </c>
      <c r="C342" s="9" t="s">
        <v>76</v>
      </c>
      <c r="D342" s="11">
        <v>2.1017555766305752E-2</v>
      </c>
      <c r="E342" s="9" t="s">
        <v>57</v>
      </c>
      <c r="G342" s="9" t="s">
        <v>113</v>
      </c>
      <c r="H342" s="9" t="s">
        <v>76</v>
      </c>
      <c r="I342" s="13">
        <v>4.4614708349497961E-2</v>
      </c>
      <c r="J342" s="9" t="s">
        <v>57</v>
      </c>
    </row>
    <row r="343" spans="2:10" x14ac:dyDescent="0.45">
      <c r="B343" s="8" t="s">
        <v>93</v>
      </c>
      <c r="C343" s="8" t="s">
        <v>77</v>
      </c>
      <c r="D343" s="10">
        <v>6.2085303939235656E-2</v>
      </c>
      <c r="E343" s="8" t="s">
        <v>57</v>
      </c>
      <c r="G343" s="8" t="s">
        <v>113</v>
      </c>
      <c r="H343" s="8" t="s">
        <v>77</v>
      </c>
      <c r="I343" s="12">
        <v>3.1678878294314212E-2</v>
      </c>
      <c r="J343" s="8" t="s">
        <v>57</v>
      </c>
    </row>
    <row r="344" spans="2:10" x14ac:dyDescent="0.45">
      <c r="B344" s="9" t="s">
        <v>93</v>
      </c>
      <c r="C344" s="9" t="s">
        <v>78</v>
      </c>
      <c r="D344" s="11">
        <v>6.4398871977441555E-2</v>
      </c>
      <c r="E344" s="9" t="s">
        <v>57</v>
      </c>
      <c r="G344" s="9" t="s">
        <v>113</v>
      </c>
      <c r="H344" s="9" t="s">
        <v>78</v>
      </c>
      <c r="I344" s="13">
        <v>3.3440332966471066E-2</v>
      </c>
      <c r="J344" s="9" t="s">
        <v>57</v>
      </c>
    </row>
    <row r="345" spans="2:10" x14ac:dyDescent="0.45">
      <c r="B345" s="8" t="s">
        <v>93</v>
      </c>
      <c r="C345" s="8" t="s">
        <v>79</v>
      </c>
      <c r="D345" s="10">
        <v>3.61616195456433E-2</v>
      </c>
      <c r="E345" s="8" t="s">
        <v>57</v>
      </c>
      <c r="G345" s="8" t="s">
        <v>113</v>
      </c>
      <c r="H345" s="8" t="s">
        <v>79</v>
      </c>
      <c r="I345" s="12">
        <v>3.4966928961560402E-2</v>
      </c>
      <c r="J345" s="8" t="s">
        <v>57</v>
      </c>
    </row>
    <row r="346" spans="2:10" x14ac:dyDescent="0.45">
      <c r="B346" s="9" t="s">
        <v>93</v>
      </c>
      <c r="C346" s="9" t="s">
        <v>80</v>
      </c>
      <c r="D346" s="11">
        <v>1.871200530133039E-3</v>
      </c>
      <c r="E346" s="9" t="s">
        <v>57</v>
      </c>
      <c r="G346" s="9" t="s">
        <v>113</v>
      </c>
      <c r="H346" s="9" t="s">
        <v>80</v>
      </c>
      <c r="I346" s="13">
        <v>3.8801467092688682E-2</v>
      </c>
      <c r="J346" s="9" t="s">
        <v>57</v>
      </c>
    </row>
    <row r="347" spans="2:10" x14ac:dyDescent="0.45">
      <c r="B347" s="8" t="s">
        <v>94</v>
      </c>
      <c r="C347" s="8" t="s">
        <v>56</v>
      </c>
      <c r="D347" s="10">
        <v>0</v>
      </c>
      <c r="E347" s="8" t="s">
        <v>57</v>
      </c>
      <c r="G347" s="8" t="s">
        <v>114</v>
      </c>
      <c r="H347" s="8" t="s">
        <v>56</v>
      </c>
      <c r="I347" s="12">
        <v>0.12667143645023388</v>
      </c>
      <c r="J347" s="8" t="s">
        <v>57</v>
      </c>
    </row>
    <row r="348" spans="2:10" x14ac:dyDescent="0.45">
      <c r="B348" s="9" t="s">
        <v>94</v>
      </c>
      <c r="C348" s="9" t="s">
        <v>58</v>
      </c>
      <c r="D348" s="11">
        <v>8.7451754117986915E-4</v>
      </c>
      <c r="E348" s="9" t="s">
        <v>57</v>
      </c>
      <c r="G348" s="9" t="s">
        <v>114</v>
      </c>
      <c r="H348" s="9" t="s">
        <v>58</v>
      </c>
      <c r="I348" s="13">
        <v>6.4899043804354212E-2</v>
      </c>
      <c r="J348" s="9" t="s">
        <v>57</v>
      </c>
    </row>
    <row r="349" spans="2:10" x14ac:dyDescent="0.45">
      <c r="B349" s="8" t="s">
        <v>94</v>
      </c>
      <c r="C349" s="8" t="s">
        <v>59</v>
      </c>
      <c r="D349" s="10">
        <v>3.3173892133505731E-2</v>
      </c>
      <c r="E349" s="8" t="s">
        <v>57</v>
      </c>
      <c r="G349" s="8" t="s">
        <v>114</v>
      </c>
      <c r="H349" s="8" t="s">
        <v>59</v>
      </c>
      <c r="I349" s="12">
        <v>4.6260231359069537E-2</v>
      </c>
      <c r="J349" s="8" t="s">
        <v>57</v>
      </c>
    </row>
    <row r="350" spans="2:10" x14ac:dyDescent="0.45">
      <c r="B350" s="9" t="s">
        <v>94</v>
      </c>
      <c r="C350" s="9" t="s">
        <v>60</v>
      </c>
      <c r="D350" s="11">
        <v>4.3409848094609578E-2</v>
      </c>
      <c r="E350" s="9" t="s">
        <v>57</v>
      </c>
      <c r="G350" s="9" t="s">
        <v>114</v>
      </c>
      <c r="H350" s="9" t="s">
        <v>60</v>
      </c>
      <c r="I350" s="13">
        <v>4.7789133880531721E-2</v>
      </c>
      <c r="J350" s="9" t="s">
        <v>57</v>
      </c>
    </row>
    <row r="351" spans="2:10" x14ac:dyDescent="0.45">
      <c r="B351" s="8" t="s">
        <v>94</v>
      </c>
      <c r="C351" s="8" t="s">
        <v>61</v>
      </c>
      <c r="D351" s="10">
        <v>1.6152551675862201E-2</v>
      </c>
      <c r="E351" s="8" t="s">
        <v>57</v>
      </c>
      <c r="G351" s="8" t="s">
        <v>114</v>
      </c>
      <c r="H351" s="8" t="s">
        <v>61</v>
      </c>
      <c r="I351" s="12">
        <v>5.0418584143953053E-2</v>
      </c>
      <c r="J351" s="8" t="s">
        <v>57</v>
      </c>
    </row>
    <row r="352" spans="2:10" x14ac:dyDescent="0.45">
      <c r="B352" s="9" t="s">
        <v>94</v>
      </c>
      <c r="C352" s="9" t="s">
        <v>62</v>
      </c>
      <c r="D352" s="11">
        <v>0</v>
      </c>
      <c r="E352" s="9" t="s">
        <v>57</v>
      </c>
      <c r="G352" s="9" t="s">
        <v>114</v>
      </c>
      <c r="H352" s="9" t="s">
        <v>62</v>
      </c>
      <c r="I352" s="13">
        <v>5.0254570932115737E-2</v>
      </c>
      <c r="J352" s="9" t="s">
        <v>57</v>
      </c>
    </row>
    <row r="353" spans="2:10" x14ac:dyDescent="0.45">
      <c r="B353" s="8" t="s">
        <v>94</v>
      </c>
      <c r="C353" s="8" t="s">
        <v>63</v>
      </c>
      <c r="D353" s="10">
        <v>0</v>
      </c>
      <c r="E353" s="8" t="s">
        <v>57</v>
      </c>
      <c r="G353" s="8" t="s">
        <v>114</v>
      </c>
      <c r="H353" s="8" t="s">
        <v>63</v>
      </c>
      <c r="I353" s="12">
        <v>7.3282987325146459E-2</v>
      </c>
      <c r="J353" s="8" t="s">
        <v>57</v>
      </c>
    </row>
    <row r="354" spans="2:10" x14ac:dyDescent="0.45">
      <c r="B354" s="9" t="s">
        <v>94</v>
      </c>
      <c r="C354" s="9" t="s">
        <v>64</v>
      </c>
      <c r="D354" s="11">
        <v>4.8900867971327588E-2</v>
      </c>
      <c r="E354" s="9" t="s">
        <v>57</v>
      </c>
      <c r="G354" s="9" t="s">
        <v>114</v>
      </c>
      <c r="H354" s="9" t="s">
        <v>64</v>
      </c>
      <c r="I354" s="13">
        <v>3.5144883106658559E-2</v>
      </c>
      <c r="J354" s="9" t="s">
        <v>57</v>
      </c>
    </row>
    <row r="355" spans="2:10" x14ac:dyDescent="0.45">
      <c r="B355" s="8" t="s">
        <v>94</v>
      </c>
      <c r="C355" s="8" t="s">
        <v>65</v>
      </c>
      <c r="D355" s="10">
        <v>9.2332882303181957E-2</v>
      </c>
      <c r="E355" s="8" t="s">
        <v>57</v>
      </c>
      <c r="G355" s="8" t="s">
        <v>114</v>
      </c>
      <c r="H355" s="8" t="s">
        <v>65</v>
      </c>
      <c r="I355" s="12">
        <v>2.8267086889078981E-2</v>
      </c>
      <c r="J355" s="8" t="s">
        <v>57</v>
      </c>
    </row>
    <row r="356" spans="2:10" x14ac:dyDescent="0.45">
      <c r="B356" s="9" t="s">
        <v>94</v>
      </c>
      <c r="C356" s="9" t="s">
        <v>66</v>
      </c>
      <c r="D356" s="11">
        <v>9.3158409125478236E-2</v>
      </c>
      <c r="E356" s="9" t="s">
        <v>57</v>
      </c>
      <c r="G356" s="9" t="s">
        <v>114</v>
      </c>
      <c r="H356" s="9" t="s">
        <v>66</v>
      </c>
      <c r="I356" s="13">
        <v>3.6078515428244355E-2</v>
      </c>
      <c r="J356" s="9" t="s">
        <v>57</v>
      </c>
    </row>
    <row r="357" spans="2:10" x14ac:dyDescent="0.45">
      <c r="B357" s="8" t="s">
        <v>94</v>
      </c>
      <c r="C357" s="8" t="s">
        <v>67</v>
      </c>
      <c r="D357" s="10">
        <v>6.764027464532979E-2</v>
      </c>
      <c r="E357" s="8" t="s">
        <v>57</v>
      </c>
      <c r="G357" s="8" t="s">
        <v>114</v>
      </c>
      <c r="H357" s="8" t="s">
        <v>67</v>
      </c>
      <c r="I357" s="12">
        <v>3.7630454286430838E-2</v>
      </c>
      <c r="J357" s="8" t="s">
        <v>57</v>
      </c>
    </row>
    <row r="358" spans="2:10" x14ac:dyDescent="0.45">
      <c r="B358" s="9" t="s">
        <v>94</v>
      </c>
      <c r="C358" s="9" t="s">
        <v>68</v>
      </c>
      <c r="D358" s="11">
        <v>1.3240018654179174E-2</v>
      </c>
      <c r="E358" s="9" t="s">
        <v>57</v>
      </c>
      <c r="G358" s="9" t="s">
        <v>114</v>
      </c>
      <c r="H358" s="9" t="s">
        <v>68</v>
      </c>
      <c r="I358" s="13">
        <v>3.2177190074114674E-2</v>
      </c>
      <c r="J358" s="9" t="s">
        <v>57</v>
      </c>
    </row>
    <row r="359" spans="2:10" x14ac:dyDescent="0.45">
      <c r="B359" s="8" t="s">
        <v>94</v>
      </c>
      <c r="C359" s="8" t="s">
        <v>69</v>
      </c>
      <c r="D359" s="10">
        <v>0</v>
      </c>
      <c r="E359" s="8" t="s">
        <v>57</v>
      </c>
      <c r="G359" s="8" t="s">
        <v>114</v>
      </c>
      <c r="H359" s="8" t="s">
        <v>69</v>
      </c>
      <c r="I359" s="12">
        <v>2.2594761311082637E-2</v>
      </c>
      <c r="J359" s="8" t="s">
        <v>57</v>
      </c>
    </row>
    <row r="360" spans="2:10" x14ac:dyDescent="0.45">
      <c r="B360" s="9" t="s">
        <v>94</v>
      </c>
      <c r="C360" s="9" t="s">
        <v>70</v>
      </c>
      <c r="D360" s="11">
        <v>7.3523020401908029E-2</v>
      </c>
      <c r="E360" s="9" t="s">
        <v>57</v>
      </c>
      <c r="G360" s="9" t="s">
        <v>114</v>
      </c>
      <c r="H360" s="9" t="s">
        <v>70</v>
      </c>
      <c r="I360" s="13">
        <v>1.2209777733330646E-2</v>
      </c>
      <c r="J360" s="9" t="s">
        <v>57</v>
      </c>
    </row>
    <row r="361" spans="2:10" x14ac:dyDescent="0.45">
      <c r="B361" s="8" t="s">
        <v>94</v>
      </c>
      <c r="C361" s="8" t="s">
        <v>71</v>
      </c>
      <c r="D361" s="10">
        <v>0.11238338224128752</v>
      </c>
      <c r="E361" s="8" t="s">
        <v>57</v>
      </c>
      <c r="G361" s="8" t="s">
        <v>114</v>
      </c>
      <c r="H361" s="8" t="s">
        <v>71</v>
      </c>
      <c r="I361" s="12">
        <v>1.5173513013109685E-2</v>
      </c>
      <c r="J361" s="8" t="s">
        <v>57</v>
      </c>
    </row>
    <row r="362" spans="2:10" x14ac:dyDescent="0.45">
      <c r="B362" s="9" t="s">
        <v>94</v>
      </c>
      <c r="C362" s="9" t="s">
        <v>72</v>
      </c>
      <c r="D362" s="11">
        <v>0.10679203684729069</v>
      </c>
      <c r="E362" s="9" t="s">
        <v>57</v>
      </c>
      <c r="G362" s="9" t="s">
        <v>114</v>
      </c>
      <c r="H362" s="9" t="s">
        <v>72</v>
      </c>
      <c r="I362" s="13">
        <v>1.7698534870464706E-2</v>
      </c>
      <c r="J362" s="9" t="s">
        <v>57</v>
      </c>
    </row>
    <row r="363" spans="2:10" x14ac:dyDescent="0.45">
      <c r="B363" s="8" t="s">
        <v>94</v>
      </c>
      <c r="C363" s="8" t="s">
        <v>73</v>
      </c>
      <c r="D363" s="10">
        <v>8.5908432251717667E-2</v>
      </c>
      <c r="E363" s="8" t="s">
        <v>57</v>
      </c>
      <c r="G363" s="8" t="s">
        <v>114</v>
      </c>
      <c r="H363" s="8" t="s">
        <v>73</v>
      </c>
      <c r="I363" s="12">
        <v>2.0407433724159239E-2</v>
      </c>
      <c r="J363" s="8" t="s">
        <v>57</v>
      </c>
    </row>
    <row r="364" spans="2:10" x14ac:dyDescent="0.45">
      <c r="B364" s="9" t="s">
        <v>94</v>
      </c>
      <c r="C364" s="9" t="s">
        <v>74</v>
      </c>
      <c r="D364" s="11">
        <v>2.9007157117531018E-2</v>
      </c>
      <c r="E364" s="9" t="s">
        <v>57</v>
      </c>
      <c r="G364" s="9" t="s">
        <v>114</v>
      </c>
      <c r="H364" s="9" t="s">
        <v>74</v>
      </c>
      <c r="I364" s="13">
        <v>1.5309836199502267E-2</v>
      </c>
      <c r="J364" s="9" t="s">
        <v>57</v>
      </c>
    </row>
    <row r="365" spans="2:10" x14ac:dyDescent="0.45">
      <c r="B365" s="8" t="s">
        <v>94</v>
      </c>
      <c r="C365" s="8" t="s">
        <v>75</v>
      </c>
      <c r="D365" s="10">
        <v>0</v>
      </c>
      <c r="E365" s="8" t="s">
        <v>57</v>
      </c>
      <c r="G365" s="8" t="s">
        <v>114</v>
      </c>
      <c r="H365" s="8" t="s">
        <v>75</v>
      </c>
      <c r="I365" s="12">
        <v>8.2404388191983147E-2</v>
      </c>
      <c r="J365" s="8" t="s">
        <v>57</v>
      </c>
    </row>
    <row r="366" spans="2:10" x14ac:dyDescent="0.45">
      <c r="B366" s="9" t="s">
        <v>94</v>
      </c>
      <c r="C366" s="9" t="s">
        <v>76</v>
      </c>
      <c r="D366" s="11">
        <v>1.9770575138341882E-2</v>
      </c>
      <c r="E366" s="9" t="s">
        <v>57</v>
      </c>
      <c r="G366" s="9" t="s">
        <v>114</v>
      </c>
      <c r="H366" s="9" t="s">
        <v>76</v>
      </c>
      <c r="I366" s="13">
        <v>3.7976982483677563E-2</v>
      </c>
      <c r="J366" s="9" t="s">
        <v>57</v>
      </c>
    </row>
    <row r="367" spans="2:10" x14ac:dyDescent="0.45">
      <c r="B367" s="8" t="s">
        <v>94</v>
      </c>
      <c r="C367" s="8" t="s">
        <v>77</v>
      </c>
      <c r="D367" s="10">
        <v>6.0979381749360316E-2</v>
      </c>
      <c r="E367" s="8" t="s">
        <v>57</v>
      </c>
      <c r="G367" s="8" t="s">
        <v>114</v>
      </c>
      <c r="H367" s="8" t="s">
        <v>77</v>
      </c>
      <c r="I367" s="12">
        <v>3.0119860711821593E-2</v>
      </c>
      <c r="J367" s="8" t="s">
        <v>57</v>
      </c>
    </row>
    <row r="368" spans="2:10" x14ac:dyDescent="0.45">
      <c r="B368" s="9" t="s">
        <v>94</v>
      </c>
      <c r="C368" s="9" t="s">
        <v>78</v>
      </c>
      <c r="D368" s="11">
        <v>6.3694746028732444E-2</v>
      </c>
      <c r="E368" s="9" t="s">
        <v>57</v>
      </c>
      <c r="G368" s="9" t="s">
        <v>114</v>
      </c>
      <c r="H368" s="9" t="s">
        <v>78</v>
      </c>
      <c r="I368" s="13">
        <v>3.7996871109582921E-2</v>
      </c>
      <c r="J368" s="9" t="s">
        <v>57</v>
      </c>
    </row>
    <row r="369" spans="2:10" x14ac:dyDescent="0.45">
      <c r="B369" s="8" t="s">
        <v>94</v>
      </c>
      <c r="C369" s="8" t="s">
        <v>79</v>
      </c>
      <c r="D369" s="10">
        <v>3.7166601763698681E-2</v>
      </c>
      <c r="E369" s="8" t="s">
        <v>57</v>
      </c>
      <c r="G369" s="8" t="s">
        <v>114</v>
      </c>
      <c r="H369" s="8" t="s">
        <v>79</v>
      </c>
      <c r="I369" s="12">
        <v>4.0602860223378438E-2</v>
      </c>
      <c r="J369" s="8" t="s">
        <v>57</v>
      </c>
    </row>
    <row r="370" spans="2:10" x14ac:dyDescent="0.45">
      <c r="B370" s="9" t="s">
        <v>94</v>
      </c>
      <c r="C370" s="9" t="s">
        <v>80</v>
      </c>
      <c r="D370" s="11">
        <v>1.8914043154779194E-3</v>
      </c>
      <c r="E370" s="9" t="s">
        <v>57</v>
      </c>
      <c r="G370" s="9" t="s">
        <v>114</v>
      </c>
      <c r="H370" s="9" t="s">
        <v>80</v>
      </c>
      <c r="I370" s="13">
        <v>3.8631062747976376E-2</v>
      </c>
      <c r="J370" s="9" t="s">
        <v>57</v>
      </c>
    </row>
    <row r="371" spans="2:10" x14ac:dyDescent="0.45">
      <c r="B371" s="8" t="s">
        <v>95</v>
      </c>
      <c r="C371" s="8" t="s">
        <v>56</v>
      </c>
      <c r="D371" s="10">
        <v>0</v>
      </c>
      <c r="E371" s="8" t="s">
        <v>57</v>
      </c>
      <c r="G371" s="8" t="s">
        <v>115</v>
      </c>
      <c r="H371" s="8" t="s">
        <v>56</v>
      </c>
      <c r="I371" s="12">
        <v>0.12433803653717619</v>
      </c>
      <c r="J371" s="8" t="s">
        <v>57</v>
      </c>
    </row>
    <row r="372" spans="2:10" x14ac:dyDescent="0.45">
      <c r="B372" s="9" t="s">
        <v>95</v>
      </c>
      <c r="C372" s="9" t="s">
        <v>58</v>
      </c>
      <c r="D372" s="11">
        <v>8.5942734801638932E-4</v>
      </c>
      <c r="E372" s="9" t="s">
        <v>57</v>
      </c>
      <c r="G372" s="9" t="s">
        <v>115</v>
      </c>
      <c r="H372" s="9" t="s">
        <v>58</v>
      </c>
      <c r="I372" s="13">
        <v>6.136385784675906E-2</v>
      </c>
      <c r="J372" s="9" t="s">
        <v>57</v>
      </c>
    </row>
    <row r="373" spans="2:10" x14ac:dyDescent="0.45">
      <c r="B373" s="8" t="s">
        <v>95</v>
      </c>
      <c r="C373" s="8" t="s">
        <v>59</v>
      </c>
      <c r="D373" s="10">
        <v>2.7222680954529278E-2</v>
      </c>
      <c r="E373" s="8" t="s">
        <v>57</v>
      </c>
      <c r="G373" s="8" t="s">
        <v>115</v>
      </c>
      <c r="H373" s="8" t="s">
        <v>59</v>
      </c>
      <c r="I373" s="12">
        <v>4.3743961293244156E-2</v>
      </c>
      <c r="J373" s="8" t="s">
        <v>57</v>
      </c>
    </row>
    <row r="374" spans="2:10" x14ac:dyDescent="0.45">
      <c r="B374" s="9" t="s">
        <v>95</v>
      </c>
      <c r="C374" s="9" t="s">
        <v>60</v>
      </c>
      <c r="D374" s="11">
        <v>3.6057364308755634E-2</v>
      </c>
      <c r="E374" s="9" t="s">
        <v>57</v>
      </c>
      <c r="G374" s="9" t="s">
        <v>115</v>
      </c>
      <c r="H374" s="9" t="s">
        <v>60</v>
      </c>
      <c r="I374" s="13">
        <v>4.3232689698407704E-2</v>
      </c>
      <c r="J374" s="9" t="s">
        <v>57</v>
      </c>
    </row>
    <row r="375" spans="2:10" x14ac:dyDescent="0.45">
      <c r="B375" s="8" t="s">
        <v>95</v>
      </c>
      <c r="C375" s="8" t="s">
        <v>61</v>
      </c>
      <c r="D375" s="10">
        <v>1.1147176874347201E-2</v>
      </c>
      <c r="E375" s="8" t="s">
        <v>57</v>
      </c>
      <c r="G375" s="8" t="s">
        <v>115</v>
      </c>
      <c r="H375" s="8" t="s">
        <v>61</v>
      </c>
      <c r="I375" s="12">
        <v>4.6650924645851972E-2</v>
      </c>
      <c r="J375" s="8" t="s">
        <v>57</v>
      </c>
    </row>
    <row r="376" spans="2:10" x14ac:dyDescent="0.45">
      <c r="B376" s="9" t="s">
        <v>95</v>
      </c>
      <c r="C376" s="9" t="s">
        <v>62</v>
      </c>
      <c r="D376" s="11">
        <v>0</v>
      </c>
      <c r="E376" s="9" t="s">
        <v>57</v>
      </c>
      <c r="G376" s="9" t="s">
        <v>115</v>
      </c>
      <c r="H376" s="9" t="s">
        <v>62</v>
      </c>
      <c r="I376" s="13">
        <v>4.9179688157079252E-2</v>
      </c>
      <c r="J376" s="9" t="s">
        <v>57</v>
      </c>
    </row>
    <row r="377" spans="2:10" x14ac:dyDescent="0.45">
      <c r="B377" s="8" t="s">
        <v>95</v>
      </c>
      <c r="C377" s="8" t="s">
        <v>63</v>
      </c>
      <c r="D377" s="10">
        <v>0</v>
      </c>
      <c r="E377" s="8" t="s">
        <v>57</v>
      </c>
      <c r="G377" s="8" t="s">
        <v>115</v>
      </c>
      <c r="H377" s="8" t="s">
        <v>63</v>
      </c>
      <c r="I377" s="12">
        <v>8.0575942044820631E-2</v>
      </c>
      <c r="J377" s="8" t="s">
        <v>57</v>
      </c>
    </row>
    <row r="378" spans="2:10" x14ac:dyDescent="0.45">
      <c r="B378" s="9" t="s">
        <v>95</v>
      </c>
      <c r="C378" s="9" t="s">
        <v>64</v>
      </c>
      <c r="D378" s="11">
        <v>5.0829918772524949E-2</v>
      </c>
      <c r="E378" s="9" t="s">
        <v>57</v>
      </c>
      <c r="G378" s="9" t="s">
        <v>115</v>
      </c>
      <c r="H378" s="9" t="s">
        <v>64</v>
      </c>
      <c r="I378" s="13">
        <v>3.8944422228522436E-2</v>
      </c>
      <c r="J378" s="9" t="s">
        <v>57</v>
      </c>
    </row>
    <row r="379" spans="2:10" x14ac:dyDescent="0.45">
      <c r="B379" s="8" t="s">
        <v>95</v>
      </c>
      <c r="C379" s="8" t="s">
        <v>65</v>
      </c>
      <c r="D379" s="10">
        <v>9.9617657534191148E-2</v>
      </c>
      <c r="E379" s="8" t="s">
        <v>57</v>
      </c>
      <c r="G379" s="8" t="s">
        <v>115</v>
      </c>
      <c r="H379" s="8" t="s">
        <v>65</v>
      </c>
      <c r="I379" s="12">
        <v>2.7961204798127925E-2</v>
      </c>
      <c r="J379" s="8" t="s">
        <v>57</v>
      </c>
    </row>
    <row r="380" spans="2:10" x14ac:dyDescent="0.45">
      <c r="B380" s="9" t="s">
        <v>95</v>
      </c>
      <c r="C380" s="9" t="s">
        <v>66</v>
      </c>
      <c r="D380" s="11">
        <v>9.8032467158950087E-2</v>
      </c>
      <c r="E380" s="9" t="s">
        <v>57</v>
      </c>
      <c r="G380" s="9" t="s">
        <v>115</v>
      </c>
      <c r="H380" s="9" t="s">
        <v>66</v>
      </c>
      <c r="I380" s="13">
        <v>2.90098528554881E-2</v>
      </c>
      <c r="J380" s="9" t="s">
        <v>57</v>
      </c>
    </row>
    <row r="381" spans="2:10" x14ac:dyDescent="0.45">
      <c r="B381" s="8" t="s">
        <v>95</v>
      </c>
      <c r="C381" s="8" t="s">
        <v>67</v>
      </c>
      <c r="D381" s="10">
        <v>6.9217977604469835E-2</v>
      </c>
      <c r="E381" s="8" t="s">
        <v>57</v>
      </c>
      <c r="G381" s="8" t="s">
        <v>115</v>
      </c>
      <c r="H381" s="8" t="s">
        <v>67</v>
      </c>
      <c r="I381" s="12">
        <v>3.0094749111956285E-2</v>
      </c>
      <c r="J381" s="8" t="s">
        <v>57</v>
      </c>
    </row>
    <row r="382" spans="2:10" x14ac:dyDescent="0.45">
      <c r="B382" s="9" t="s">
        <v>95</v>
      </c>
      <c r="C382" s="9" t="s">
        <v>68</v>
      </c>
      <c r="D382" s="11">
        <v>1.467842229614855E-2</v>
      </c>
      <c r="E382" s="9" t="s">
        <v>57</v>
      </c>
      <c r="G382" s="9" t="s">
        <v>115</v>
      </c>
      <c r="H382" s="9" t="s">
        <v>68</v>
      </c>
      <c r="I382" s="13">
        <v>3.2098767816649477E-2</v>
      </c>
      <c r="J382" s="9" t="s">
        <v>57</v>
      </c>
    </row>
    <row r="383" spans="2:10" x14ac:dyDescent="0.45">
      <c r="B383" s="8" t="s">
        <v>95</v>
      </c>
      <c r="C383" s="8" t="s">
        <v>69</v>
      </c>
      <c r="D383" s="10">
        <v>0</v>
      </c>
      <c r="E383" s="8" t="s">
        <v>57</v>
      </c>
      <c r="G383" s="8" t="s">
        <v>115</v>
      </c>
      <c r="H383" s="8" t="s">
        <v>69</v>
      </c>
      <c r="I383" s="12">
        <v>3.6323106575204045E-2</v>
      </c>
      <c r="J383" s="8" t="s">
        <v>57</v>
      </c>
    </row>
    <row r="384" spans="2:10" x14ac:dyDescent="0.45">
      <c r="B384" s="9" t="s">
        <v>95</v>
      </c>
      <c r="C384" s="9" t="s">
        <v>70</v>
      </c>
      <c r="D384" s="11">
        <v>7.7837874989590258E-2</v>
      </c>
      <c r="E384" s="9" t="s">
        <v>57</v>
      </c>
      <c r="G384" s="9" t="s">
        <v>115</v>
      </c>
      <c r="H384" s="9" t="s">
        <v>70</v>
      </c>
      <c r="I384" s="13">
        <v>1.6253048108362859E-2</v>
      </c>
      <c r="J384" s="9" t="s">
        <v>57</v>
      </c>
    </row>
    <row r="385" spans="2:10" x14ac:dyDescent="0.45">
      <c r="B385" s="8" t="s">
        <v>95</v>
      </c>
      <c r="C385" s="8" t="s">
        <v>71</v>
      </c>
      <c r="D385" s="10">
        <v>0.11395031071837582</v>
      </c>
      <c r="E385" s="8" t="s">
        <v>57</v>
      </c>
      <c r="G385" s="8" t="s">
        <v>115</v>
      </c>
      <c r="H385" s="8" t="s">
        <v>71</v>
      </c>
      <c r="I385" s="12">
        <v>1.2269118436377617E-2</v>
      </c>
      <c r="J385" s="8" t="s">
        <v>57</v>
      </c>
    </row>
    <row r="386" spans="2:10" x14ac:dyDescent="0.45">
      <c r="B386" s="9" t="s">
        <v>95</v>
      </c>
      <c r="C386" s="9" t="s">
        <v>72</v>
      </c>
      <c r="D386" s="11">
        <v>0.10834147347716086</v>
      </c>
      <c r="E386" s="9" t="s">
        <v>57</v>
      </c>
      <c r="G386" s="9" t="s">
        <v>115</v>
      </c>
      <c r="H386" s="9" t="s">
        <v>72</v>
      </c>
      <c r="I386" s="13">
        <v>1.3062473524681657E-2</v>
      </c>
      <c r="J386" s="9" t="s">
        <v>57</v>
      </c>
    </row>
    <row r="387" spans="2:10" x14ac:dyDescent="0.45">
      <c r="B387" s="8" t="s">
        <v>95</v>
      </c>
      <c r="C387" s="8" t="s">
        <v>73</v>
      </c>
      <c r="D387" s="10">
        <v>8.795077833541301E-2</v>
      </c>
      <c r="E387" s="8" t="s">
        <v>57</v>
      </c>
      <c r="G387" s="8" t="s">
        <v>115</v>
      </c>
      <c r="H387" s="8" t="s">
        <v>73</v>
      </c>
      <c r="I387" s="12">
        <v>1.3794404877521694E-2</v>
      </c>
      <c r="J387" s="8" t="s">
        <v>57</v>
      </c>
    </row>
    <row r="388" spans="2:10" x14ac:dyDescent="0.45">
      <c r="B388" s="9" t="s">
        <v>95</v>
      </c>
      <c r="C388" s="9" t="s">
        <v>74</v>
      </c>
      <c r="D388" s="11">
        <v>3.1710072103519685E-2</v>
      </c>
      <c r="E388" s="9" t="s">
        <v>57</v>
      </c>
      <c r="G388" s="9" t="s">
        <v>115</v>
      </c>
      <c r="H388" s="9" t="s">
        <v>74</v>
      </c>
      <c r="I388" s="13">
        <v>1.3905475940814656E-2</v>
      </c>
      <c r="J388" s="9" t="s">
        <v>57</v>
      </c>
    </row>
    <row r="389" spans="2:10" x14ac:dyDescent="0.45">
      <c r="B389" s="8" t="s">
        <v>95</v>
      </c>
      <c r="C389" s="8" t="s">
        <v>75</v>
      </c>
      <c r="D389" s="10">
        <v>0</v>
      </c>
      <c r="E389" s="8" t="s">
        <v>57</v>
      </c>
      <c r="G389" s="8" t="s">
        <v>115</v>
      </c>
      <c r="H389" s="8" t="s">
        <v>75</v>
      </c>
      <c r="I389" s="12">
        <v>9.884235805761997E-2</v>
      </c>
      <c r="J389" s="8" t="s">
        <v>57</v>
      </c>
    </row>
    <row r="390" spans="2:10" x14ac:dyDescent="0.45">
      <c r="B390" s="9" t="s">
        <v>95</v>
      </c>
      <c r="C390" s="9" t="s">
        <v>76</v>
      </c>
      <c r="D390" s="11">
        <v>1.897374264207128E-2</v>
      </c>
      <c r="E390" s="9" t="s">
        <v>57</v>
      </c>
      <c r="G390" s="9" t="s">
        <v>115</v>
      </c>
      <c r="H390" s="9" t="s">
        <v>76</v>
      </c>
      <c r="I390" s="13">
        <v>4.6761315835621042E-2</v>
      </c>
      <c r="J390" s="9" t="s">
        <v>57</v>
      </c>
    </row>
    <row r="391" spans="2:10" x14ac:dyDescent="0.45">
      <c r="B391" s="8" t="s">
        <v>95</v>
      </c>
      <c r="C391" s="8" t="s">
        <v>77</v>
      </c>
      <c r="D391" s="10">
        <v>5.9993754577635297E-2</v>
      </c>
      <c r="E391" s="8" t="s">
        <v>57</v>
      </c>
      <c r="G391" s="8" t="s">
        <v>115</v>
      </c>
      <c r="H391" s="8" t="s">
        <v>77</v>
      </c>
      <c r="I391" s="12">
        <v>3.436839997267447E-2</v>
      </c>
      <c r="J391" s="8" t="s">
        <v>57</v>
      </c>
    </row>
    <row r="392" spans="2:10" x14ac:dyDescent="0.45">
      <c r="B392" s="9" t="s">
        <v>95</v>
      </c>
      <c r="C392" s="9" t="s">
        <v>78</v>
      </c>
      <c r="D392" s="11">
        <v>5.8265824826317265E-2</v>
      </c>
      <c r="E392" s="9" t="s">
        <v>57</v>
      </c>
      <c r="G392" s="9" t="s">
        <v>115</v>
      </c>
      <c r="H392" s="9" t="s">
        <v>78</v>
      </c>
      <c r="I392" s="13">
        <v>3.4547962872159964E-2</v>
      </c>
      <c r="J392" s="9" t="s">
        <v>57</v>
      </c>
    </row>
    <row r="393" spans="2:10" x14ac:dyDescent="0.45">
      <c r="B393" s="8" t="s">
        <v>95</v>
      </c>
      <c r="C393" s="8" t="s">
        <v>79</v>
      </c>
      <c r="D393" s="10">
        <v>3.350873864363605E-2</v>
      </c>
      <c r="E393" s="8" t="s">
        <v>57</v>
      </c>
      <c r="G393" s="8" t="s">
        <v>115</v>
      </c>
      <c r="H393" s="8" t="s">
        <v>79</v>
      </c>
      <c r="I393" s="12">
        <v>3.5209560932948324E-2</v>
      </c>
      <c r="J393" s="8" t="s">
        <v>57</v>
      </c>
    </row>
    <row r="394" spans="2:10" x14ac:dyDescent="0.45">
      <c r="B394" s="9" t="s">
        <v>95</v>
      </c>
      <c r="C394" s="9" t="s">
        <v>80</v>
      </c>
      <c r="D394" s="11">
        <v>1.8043368343473682E-3</v>
      </c>
      <c r="E394" s="9" t="s">
        <v>57</v>
      </c>
      <c r="G394" s="9" t="s">
        <v>115</v>
      </c>
      <c r="H394" s="9" t="s">
        <v>80</v>
      </c>
      <c r="I394" s="13">
        <v>3.7468677831926603E-2</v>
      </c>
      <c r="J394" s="9" t="s">
        <v>57</v>
      </c>
    </row>
    <row r="395" spans="2:10" x14ac:dyDescent="0.45">
      <c r="B395" s="8" t="s">
        <v>96</v>
      </c>
      <c r="C395" s="8" t="s">
        <v>56</v>
      </c>
      <c r="D395" s="10">
        <v>0</v>
      </c>
      <c r="E395" s="8" t="s">
        <v>57</v>
      </c>
      <c r="G395" s="8" t="s">
        <v>116</v>
      </c>
      <c r="H395" s="8" t="s">
        <v>56</v>
      </c>
      <c r="I395" s="12">
        <v>0.11571759558730718</v>
      </c>
      <c r="J395" s="8" t="s">
        <v>57</v>
      </c>
    </row>
    <row r="396" spans="2:10" x14ac:dyDescent="0.45">
      <c r="B396" s="9" t="s">
        <v>96</v>
      </c>
      <c r="C396" s="9" t="s">
        <v>58</v>
      </c>
      <c r="D396" s="11">
        <v>6.9556965445075557E-4</v>
      </c>
      <c r="E396" s="9" t="s">
        <v>57</v>
      </c>
      <c r="G396" s="9" t="s">
        <v>116</v>
      </c>
      <c r="H396" s="9" t="s">
        <v>58</v>
      </c>
      <c r="I396" s="13">
        <v>5.8919485552814066E-2</v>
      </c>
      <c r="J396" s="9" t="s">
        <v>57</v>
      </c>
    </row>
    <row r="397" spans="2:10" x14ac:dyDescent="0.45">
      <c r="B397" s="8" t="s">
        <v>96</v>
      </c>
      <c r="C397" s="8" t="s">
        <v>59</v>
      </c>
      <c r="D397" s="10">
        <v>2.5858278806058198E-2</v>
      </c>
      <c r="E397" s="8" t="s">
        <v>57</v>
      </c>
      <c r="G397" s="8" t="s">
        <v>116</v>
      </c>
      <c r="H397" s="8" t="s">
        <v>59</v>
      </c>
      <c r="I397" s="12">
        <v>4.0697761692452566E-2</v>
      </c>
      <c r="J397" s="8" t="s">
        <v>57</v>
      </c>
    </row>
    <row r="398" spans="2:10" x14ac:dyDescent="0.45">
      <c r="B398" s="9" t="s">
        <v>96</v>
      </c>
      <c r="C398" s="9" t="s">
        <v>60</v>
      </c>
      <c r="D398" s="11">
        <v>3.3321134348854697E-2</v>
      </c>
      <c r="E398" s="9" t="s">
        <v>57</v>
      </c>
      <c r="G398" s="9" t="s">
        <v>116</v>
      </c>
      <c r="H398" s="9" t="s">
        <v>60</v>
      </c>
      <c r="I398" s="13">
        <v>3.9799084835238377E-2</v>
      </c>
      <c r="J398" s="9" t="s">
        <v>57</v>
      </c>
    </row>
    <row r="399" spans="2:10" x14ac:dyDescent="0.45">
      <c r="B399" s="8" t="s">
        <v>96</v>
      </c>
      <c r="C399" s="8" t="s">
        <v>61</v>
      </c>
      <c r="D399" s="10">
        <v>1.0389089050040124E-2</v>
      </c>
      <c r="E399" s="8" t="s">
        <v>57</v>
      </c>
      <c r="G399" s="8" t="s">
        <v>116</v>
      </c>
      <c r="H399" s="8" t="s">
        <v>61</v>
      </c>
      <c r="I399" s="12">
        <v>4.3462861602512615E-2</v>
      </c>
      <c r="J399" s="8" t="s">
        <v>57</v>
      </c>
    </row>
    <row r="400" spans="2:10" x14ac:dyDescent="0.45">
      <c r="B400" s="9" t="s">
        <v>96</v>
      </c>
      <c r="C400" s="9" t="s">
        <v>62</v>
      </c>
      <c r="D400" s="11">
        <v>0</v>
      </c>
      <c r="E400" s="9" t="s">
        <v>57</v>
      </c>
      <c r="G400" s="9" t="s">
        <v>116</v>
      </c>
      <c r="H400" s="9" t="s">
        <v>62</v>
      </c>
      <c r="I400" s="13">
        <v>4.5391793904755208E-2</v>
      </c>
      <c r="J400" s="9" t="s">
        <v>57</v>
      </c>
    </row>
    <row r="401" spans="2:10" x14ac:dyDescent="0.45">
      <c r="B401" s="8" t="s">
        <v>96</v>
      </c>
      <c r="C401" s="8" t="s">
        <v>63</v>
      </c>
      <c r="D401" s="10">
        <v>0</v>
      </c>
      <c r="E401" s="8" t="s">
        <v>57</v>
      </c>
      <c r="G401" s="8" t="s">
        <v>116</v>
      </c>
      <c r="H401" s="8" t="s">
        <v>63</v>
      </c>
      <c r="I401" s="12">
        <v>8.5852267458526185E-2</v>
      </c>
      <c r="J401" s="8" t="s">
        <v>57</v>
      </c>
    </row>
    <row r="402" spans="2:10" x14ac:dyDescent="0.45">
      <c r="B402" s="9" t="s">
        <v>96</v>
      </c>
      <c r="C402" s="9" t="s">
        <v>64</v>
      </c>
      <c r="D402" s="11">
        <v>5.2206672267968955E-2</v>
      </c>
      <c r="E402" s="9" t="s">
        <v>57</v>
      </c>
      <c r="G402" s="9" t="s">
        <v>116</v>
      </c>
      <c r="H402" s="9" t="s">
        <v>64</v>
      </c>
      <c r="I402" s="13">
        <v>4.1721911072263723E-2</v>
      </c>
      <c r="J402" s="9" t="s">
        <v>57</v>
      </c>
    </row>
    <row r="403" spans="2:10" x14ac:dyDescent="0.45">
      <c r="B403" s="8" t="s">
        <v>96</v>
      </c>
      <c r="C403" s="8" t="s">
        <v>65</v>
      </c>
      <c r="D403" s="10">
        <v>0.10509533401557083</v>
      </c>
      <c r="E403" s="8" t="s">
        <v>57</v>
      </c>
      <c r="G403" s="8" t="s">
        <v>116</v>
      </c>
      <c r="H403" s="8" t="s">
        <v>65</v>
      </c>
      <c r="I403" s="12">
        <v>2.9680863738997663E-2</v>
      </c>
      <c r="J403" s="8" t="s">
        <v>57</v>
      </c>
    </row>
    <row r="404" spans="2:10" x14ac:dyDescent="0.45">
      <c r="B404" s="9" t="s">
        <v>96</v>
      </c>
      <c r="C404" s="9" t="s">
        <v>66</v>
      </c>
      <c r="D404" s="11">
        <v>0.10332837849239702</v>
      </c>
      <c r="E404" s="9" t="s">
        <v>57</v>
      </c>
      <c r="G404" s="9" t="s">
        <v>116</v>
      </c>
      <c r="H404" s="9" t="s">
        <v>66</v>
      </c>
      <c r="I404" s="13">
        <v>3.0597356153630816E-2</v>
      </c>
      <c r="J404" s="9" t="s">
        <v>57</v>
      </c>
    </row>
    <row r="405" spans="2:10" x14ac:dyDescent="0.45">
      <c r="B405" s="8" t="s">
        <v>96</v>
      </c>
      <c r="C405" s="8" t="s">
        <v>67</v>
      </c>
      <c r="D405" s="10">
        <v>7.2142410076128455E-2</v>
      </c>
      <c r="E405" s="8" t="s">
        <v>57</v>
      </c>
      <c r="G405" s="8" t="s">
        <v>116</v>
      </c>
      <c r="H405" s="8" t="s">
        <v>67</v>
      </c>
      <c r="I405" s="12">
        <v>3.1162704747177916E-2</v>
      </c>
      <c r="J405" s="8" t="s">
        <v>57</v>
      </c>
    </row>
    <row r="406" spans="2:10" x14ac:dyDescent="0.45">
      <c r="B406" s="9" t="s">
        <v>96</v>
      </c>
      <c r="C406" s="9" t="s">
        <v>68</v>
      </c>
      <c r="D406" s="11">
        <v>1.5259472810283368E-2</v>
      </c>
      <c r="E406" s="9" t="s">
        <v>57</v>
      </c>
      <c r="G406" s="9" t="s">
        <v>116</v>
      </c>
      <c r="H406" s="9" t="s">
        <v>68</v>
      </c>
      <c r="I406" s="13">
        <v>3.3559236634630514E-2</v>
      </c>
      <c r="J406" s="9" t="s">
        <v>57</v>
      </c>
    </row>
    <row r="407" spans="2:10" x14ac:dyDescent="0.45">
      <c r="B407" s="8" t="s">
        <v>96</v>
      </c>
      <c r="C407" s="8" t="s">
        <v>69</v>
      </c>
      <c r="D407" s="10">
        <v>6.9977608612445701E-6</v>
      </c>
      <c r="E407" s="8" t="s">
        <v>57</v>
      </c>
      <c r="G407" s="8" t="s">
        <v>116</v>
      </c>
      <c r="H407" s="8" t="s">
        <v>69</v>
      </c>
      <c r="I407" s="12">
        <v>4.1341601694042489E-2</v>
      </c>
      <c r="J407" s="8" t="s">
        <v>57</v>
      </c>
    </row>
    <row r="408" spans="2:10" x14ac:dyDescent="0.45">
      <c r="B408" s="9" t="s">
        <v>96</v>
      </c>
      <c r="C408" s="9" t="s">
        <v>70</v>
      </c>
      <c r="D408" s="11">
        <v>7.9578602683721286E-2</v>
      </c>
      <c r="E408" s="9" t="s">
        <v>57</v>
      </c>
      <c r="G408" s="9" t="s">
        <v>116</v>
      </c>
      <c r="H408" s="9" t="s">
        <v>70</v>
      </c>
      <c r="I408" s="13">
        <v>1.882646995515776E-2</v>
      </c>
      <c r="J408" s="9" t="s">
        <v>57</v>
      </c>
    </row>
    <row r="409" spans="2:10" x14ac:dyDescent="0.45">
      <c r="B409" s="8" t="s">
        <v>96</v>
      </c>
      <c r="C409" s="8" t="s">
        <v>71</v>
      </c>
      <c r="D409" s="10">
        <v>0.11210487469614046</v>
      </c>
      <c r="E409" s="8" t="s">
        <v>57</v>
      </c>
      <c r="G409" s="8" t="s">
        <v>116</v>
      </c>
      <c r="H409" s="8" t="s">
        <v>71</v>
      </c>
      <c r="I409" s="12">
        <v>1.4605819010338153E-2</v>
      </c>
      <c r="J409" s="8" t="s">
        <v>57</v>
      </c>
    </row>
    <row r="410" spans="2:10" x14ac:dyDescent="0.45">
      <c r="B410" s="9" t="s">
        <v>96</v>
      </c>
      <c r="C410" s="9" t="s">
        <v>72</v>
      </c>
      <c r="D410" s="11">
        <v>0.10679148336631419</v>
      </c>
      <c r="E410" s="9" t="s">
        <v>57</v>
      </c>
      <c r="G410" s="9" t="s">
        <v>116</v>
      </c>
      <c r="H410" s="9" t="s">
        <v>72</v>
      </c>
      <c r="I410" s="13">
        <v>1.4917791000722144E-2</v>
      </c>
      <c r="J410" s="9" t="s">
        <v>57</v>
      </c>
    </row>
    <row r="411" spans="2:10" x14ac:dyDescent="0.45">
      <c r="B411" s="8" t="s">
        <v>96</v>
      </c>
      <c r="C411" s="8" t="s">
        <v>73</v>
      </c>
      <c r="D411" s="10">
        <v>8.7155325801978614E-2</v>
      </c>
      <c r="E411" s="8" t="s">
        <v>57</v>
      </c>
      <c r="G411" s="8" t="s">
        <v>116</v>
      </c>
      <c r="H411" s="8" t="s">
        <v>73</v>
      </c>
      <c r="I411" s="12">
        <v>1.8341778897026585E-2</v>
      </c>
      <c r="J411" s="8" t="s">
        <v>57</v>
      </c>
    </row>
    <row r="412" spans="2:10" x14ac:dyDescent="0.45">
      <c r="B412" s="9" t="s">
        <v>96</v>
      </c>
      <c r="C412" s="9" t="s">
        <v>74</v>
      </c>
      <c r="D412" s="11">
        <v>3.2308706970093602E-2</v>
      </c>
      <c r="E412" s="9" t="s">
        <v>57</v>
      </c>
      <c r="G412" s="9" t="s">
        <v>116</v>
      </c>
      <c r="H412" s="9" t="s">
        <v>74</v>
      </c>
      <c r="I412" s="13">
        <v>1.7514421891682966E-2</v>
      </c>
      <c r="J412" s="9" t="s">
        <v>57</v>
      </c>
    </row>
    <row r="413" spans="2:10" x14ac:dyDescent="0.45">
      <c r="B413" s="8" t="s">
        <v>96</v>
      </c>
      <c r="C413" s="8" t="s">
        <v>75</v>
      </c>
      <c r="D413" s="10">
        <v>0</v>
      </c>
      <c r="E413" s="8" t="s">
        <v>57</v>
      </c>
      <c r="G413" s="8" t="s">
        <v>116</v>
      </c>
      <c r="H413" s="8" t="s">
        <v>75</v>
      </c>
      <c r="I413" s="12">
        <v>9.3263080115909988E-2</v>
      </c>
      <c r="J413" s="8" t="s">
        <v>57</v>
      </c>
    </row>
    <row r="414" spans="2:10" x14ac:dyDescent="0.45">
      <c r="B414" s="9" t="s">
        <v>96</v>
      </c>
      <c r="C414" s="9" t="s">
        <v>76</v>
      </c>
      <c r="D414" s="11">
        <v>1.8825333933101963E-2</v>
      </c>
      <c r="E414" s="9" t="s">
        <v>57</v>
      </c>
      <c r="G414" s="9" t="s">
        <v>116</v>
      </c>
      <c r="H414" s="9" t="s">
        <v>76</v>
      </c>
      <c r="I414" s="13">
        <v>4.1887390082312882E-2</v>
      </c>
      <c r="J414" s="9" t="s">
        <v>57</v>
      </c>
    </row>
    <row r="415" spans="2:10" x14ac:dyDescent="0.45">
      <c r="B415" s="8" t="s">
        <v>96</v>
      </c>
      <c r="C415" s="8" t="s">
        <v>77</v>
      </c>
      <c r="D415" s="10">
        <v>5.7636421447660964E-2</v>
      </c>
      <c r="E415" s="8" t="s">
        <v>57</v>
      </c>
      <c r="G415" s="8" t="s">
        <v>116</v>
      </c>
      <c r="H415" s="8" t="s">
        <v>77</v>
      </c>
      <c r="I415" s="12">
        <v>3.0681287328016272E-2</v>
      </c>
      <c r="J415" s="8" t="s">
        <v>57</v>
      </c>
    </row>
    <row r="416" spans="2:10" x14ac:dyDescent="0.45">
      <c r="B416" s="9" t="s">
        <v>96</v>
      </c>
      <c r="C416" s="9" t="s">
        <v>78</v>
      </c>
      <c r="D416" s="11">
        <v>5.4398617787172247E-2</v>
      </c>
      <c r="E416" s="9" t="s">
        <v>57</v>
      </c>
      <c r="G416" s="9" t="s">
        <v>116</v>
      </c>
      <c r="H416" s="9" t="s">
        <v>78</v>
      </c>
      <c r="I416" s="13">
        <v>3.3768344790533131E-2</v>
      </c>
      <c r="J416" s="9" t="s">
        <v>57</v>
      </c>
    </row>
    <row r="417" spans="2:10" x14ac:dyDescent="0.45">
      <c r="B417" s="8" t="s">
        <v>96</v>
      </c>
      <c r="C417" s="8" t="s">
        <v>79</v>
      </c>
      <c r="D417" s="10">
        <v>3.1002187302678869E-2</v>
      </c>
      <c r="E417" s="8" t="s">
        <v>57</v>
      </c>
      <c r="G417" s="8" t="s">
        <v>116</v>
      </c>
      <c r="H417" s="8" t="s">
        <v>79</v>
      </c>
      <c r="I417" s="12">
        <v>3.7256146488197445E-2</v>
      </c>
      <c r="J417" s="8" t="s">
        <v>57</v>
      </c>
    </row>
    <row r="418" spans="2:10" x14ac:dyDescent="0.45">
      <c r="B418" s="9" t="s">
        <v>96</v>
      </c>
      <c r="C418" s="9" t="s">
        <v>80</v>
      </c>
      <c r="D418" s="11">
        <v>1.8951087285247162E-3</v>
      </c>
      <c r="E418" s="9" t="s">
        <v>57</v>
      </c>
      <c r="G418" s="9" t="s">
        <v>116</v>
      </c>
      <c r="H418" s="9" t="s">
        <v>80</v>
      </c>
      <c r="I418" s="13">
        <v>4.1032945765751241E-2</v>
      </c>
      <c r="J418" s="9" t="s">
        <v>57</v>
      </c>
    </row>
    <row r="419" spans="2:10" x14ac:dyDescent="0.45">
      <c r="B419" s="8" t="s">
        <v>97</v>
      </c>
      <c r="C419" s="8" t="s">
        <v>56</v>
      </c>
      <c r="D419" s="10">
        <v>0</v>
      </c>
      <c r="E419" s="8" t="s">
        <v>57</v>
      </c>
      <c r="G419" s="8" t="s">
        <v>117</v>
      </c>
      <c r="H419" s="8" t="s">
        <v>56</v>
      </c>
      <c r="I419" s="12">
        <v>0.10805843627386727</v>
      </c>
      <c r="J419" s="8" t="s">
        <v>57</v>
      </c>
    </row>
    <row r="420" spans="2:10" x14ac:dyDescent="0.45">
      <c r="B420" s="9" t="s">
        <v>97</v>
      </c>
      <c r="C420" s="9" t="s">
        <v>58</v>
      </c>
      <c r="D420" s="11">
        <v>1.0062934291106042E-3</v>
      </c>
      <c r="E420" s="9" t="s">
        <v>57</v>
      </c>
      <c r="G420" s="9" t="s">
        <v>117</v>
      </c>
      <c r="H420" s="9" t="s">
        <v>58</v>
      </c>
      <c r="I420" s="13">
        <v>5.3255923064793931E-2</v>
      </c>
      <c r="J420" s="9" t="s">
        <v>57</v>
      </c>
    </row>
    <row r="421" spans="2:10" x14ac:dyDescent="0.45">
      <c r="B421" s="8" t="s">
        <v>97</v>
      </c>
      <c r="C421" s="8" t="s">
        <v>59</v>
      </c>
      <c r="D421" s="10">
        <v>2.8844692015684407E-2</v>
      </c>
      <c r="E421" s="8" t="s">
        <v>57</v>
      </c>
      <c r="G421" s="8" t="s">
        <v>117</v>
      </c>
      <c r="H421" s="8" t="s">
        <v>59</v>
      </c>
      <c r="I421" s="12">
        <v>3.9759275549041975E-2</v>
      </c>
      <c r="J421" s="8" t="s">
        <v>57</v>
      </c>
    </row>
    <row r="422" spans="2:10" x14ac:dyDescent="0.45">
      <c r="B422" s="9" t="s">
        <v>97</v>
      </c>
      <c r="C422" s="9" t="s">
        <v>60</v>
      </c>
      <c r="D422" s="11">
        <v>3.4680687233901289E-2</v>
      </c>
      <c r="E422" s="9" t="s">
        <v>57</v>
      </c>
      <c r="G422" s="9" t="s">
        <v>117</v>
      </c>
      <c r="H422" s="9" t="s">
        <v>60</v>
      </c>
      <c r="I422" s="13">
        <v>4.0008767765597919E-2</v>
      </c>
      <c r="J422" s="9" t="s">
        <v>57</v>
      </c>
    </row>
    <row r="423" spans="2:10" x14ac:dyDescent="0.45">
      <c r="B423" s="8" t="s">
        <v>97</v>
      </c>
      <c r="C423" s="8" t="s">
        <v>61</v>
      </c>
      <c r="D423" s="10">
        <v>9.7846418779891503E-3</v>
      </c>
      <c r="E423" s="8" t="s">
        <v>57</v>
      </c>
      <c r="G423" s="8" t="s">
        <v>117</v>
      </c>
      <c r="H423" s="8" t="s">
        <v>61</v>
      </c>
      <c r="I423" s="12">
        <v>4.3177633386554642E-2</v>
      </c>
      <c r="J423" s="8" t="s">
        <v>57</v>
      </c>
    </row>
    <row r="424" spans="2:10" x14ac:dyDescent="0.45">
      <c r="B424" s="9" t="s">
        <v>97</v>
      </c>
      <c r="C424" s="9" t="s">
        <v>62</v>
      </c>
      <c r="D424" s="11">
        <v>0</v>
      </c>
      <c r="E424" s="9" t="s">
        <v>57</v>
      </c>
      <c r="G424" s="9" t="s">
        <v>117</v>
      </c>
      <c r="H424" s="9" t="s">
        <v>62</v>
      </c>
      <c r="I424" s="13">
        <v>4.4608281570441673E-2</v>
      </c>
      <c r="J424" s="9" t="s">
        <v>57</v>
      </c>
    </row>
    <row r="425" spans="2:10" x14ac:dyDescent="0.45">
      <c r="B425" s="8" t="s">
        <v>97</v>
      </c>
      <c r="C425" s="8" t="s">
        <v>63</v>
      </c>
      <c r="D425" s="10">
        <v>9.468516257938369E-7</v>
      </c>
      <c r="E425" s="8" t="s">
        <v>57</v>
      </c>
      <c r="G425" s="8" t="s">
        <v>117</v>
      </c>
      <c r="H425" s="8" t="s">
        <v>63</v>
      </c>
      <c r="I425" s="12">
        <v>8.2365233001411867E-2</v>
      </c>
      <c r="J425" s="8" t="s">
        <v>57</v>
      </c>
    </row>
    <row r="426" spans="2:10" x14ac:dyDescent="0.45">
      <c r="B426" s="9" t="s">
        <v>97</v>
      </c>
      <c r="C426" s="9" t="s">
        <v>64</v>
      </c>
      <c r="D426" s="11">
        <v>5.7972937103666418E-2</v>
      </c>
      <c r="E426" s="9" t="s">
        <v>57</v>
      </c>
      <c r="G426" s="9" t="s">
        <v>117</v>
      </c>
      <c r="H426" s="9" t="s">
        <v>64</v>
      </c>
      <c r="I426" s="13">
        <v>3.9402396018757758E-2</v>
      </c>
      <c r="J426" s="9" t="s">
        <v>57</v>
      </c>
    </row>
    <row r="427" spans="2:10" x14ac:dyDescent="0.45">
      <c r="B427" s="8" t="s">
        <v>97</v>
      </c>
      <c r="C427" s="8" t="s">
        <v>65</v>
      </c>
      <c r="D427" s="10">
        <v>0.10209992969264051</v>
      </c>
      <c r="E427" s="8" t="s">
        <v>57</v>
      </c>
      <c r="G427" s="8" t="s">
        <v>117</v>
      </c>
      <c r="H427" s="8" t="s">
        <v>65</v>
      </c>
      <c r="I427" s="12">
        <v>3.0895957920058295E-2</v>
      </c>
      <c r="J427" s="8" t="s">
        <v>57</v>
      </c>
    </row>
    <row r="428" spans="2:10" x14ac:dyDescent="0.45">
      <c r="B428" s="9" t="s">
        <v>97</v>
      </c>
      <c r="C428" s="9" t="s">
        <v>66</v>
      </c>
      <c r="D428" s="11">
        <v>9.685290928164754E-2</v>
      </c>
      <c r="E428" s="9" t="s">
        <v>57</v>
      </c>
      <c r="G428" s="9" t="s">
        <v>117</v>
      </c>
      <c r="H428" s="9" t="s">
        <v>66</v>
      </c>
      <c r="I428" s="13">
        <v>3.3245062034876947E-2</v>
      </c>
      <c r="J428" s="9" t="s">
        <v>57</v>
      </c>
    </row>
    <row r="429" spans="2:10" x14ac:dyDescent="0.45">
      <c r="B429" s="8" t="s">
        <v>97</v>
      </c>
      <c r="C429" s="8" t="s">
        <v>67</v>
      </c>
      <c r="D429" s="10">
        <v>6.7208245076513781E-2</v>
      </c>
      <c r="E429" s="8" t="s">
        <v>57</v>
      </c>
      <c r="G429" s="8" t="s">
        <v>117</v>
      </c>
      <c r="H429" s="8" t="s">
        <v>67</v>
      </c>
      <c r="I429" s="12">
        <v>3.4099410637941578E-2</v>
      </c>
      <c r="J429" s="8" t="s">
        <v>57</v>
      </c>
    </row>
    <row r="430" spans="2:10" x14ac:dyDescent="0.45">
      <c r="B430" s="9" t="s">
        <v>97</v>
      </c>
      <c r="C430" s="9" t="s">
        <v>68</v>
      </c>
      <c r="D430" s="11">
        <v>1.252604884419658E-2</v>
      </c>
      <c r="E430" s="9" t="s">
        <v>57</v>
      </c>
      <c r="G430" s="9" t="s">
        <v>117</v>
      </c>
      <c r="H430" s="9" t="s">
        <v>68</v>
      </c>
      <c r="I430" s="13">
        <v>3.4193548239985959E-2</v>
      </c>
      <c r="J430" s="9" t="s">
        <v>57</v>
      </c>
    </row>
    <row r="431" spans="2:10" x14ac:dyDescent="0.45">
      <c r="B431" s="8" t="s">
        <v>97</v>
      </c>
      <c r="C431" s="8" t="s">
        <v>69</v>
      </c>
      <c r="D431" s="10">
        <v>5.6317189560690993E-4</v>
      </c>
      <c r="E431" s="8" t="s">
        <v>57</v>
      </c>
      <c r="G431" s="8" t="s">
        <v>117</v>
      </c>
      <c r="H431" s="8" t="s">
        <v>69</v>
      </c>
      <c r="I431" s="12">
        <v>4.6341386544867004E-2</v>
      </c>
      <c r="J431" s="8" t="s">
        <v>57</v>
      </c>
    </row>
    <row r="432" spans="2:10" x14ac:dyDescent="0.45">
      <c r="B432" s="9" t="s">
        <v>97</v>
      </c>
      <c r="C432" s="9" t="s">
        <v>70</v>
      </c>
      <c r="D432" s="11">
        <v>8.6652674210558625E-2</v>
      </c>
      <c r="E432" s="9" t="s">
        <v>57</v>
      </c>
      <c r="G432" s="9" t="s">
        <v>117</v>
      </c>
      <c r="H432" s="9" t="s">
        <v>70</v>
      </c>
      <c r="I432" s="13">
        <v>2.1743026847863483E-2</v>
      </c>
      <c r="J432" s="9" t="s">
        <v>57</v>
      </c>
    </row>
    <row r="433" spans="2:10" x14ac:dyDescent="0.45">
      <c r="B433" s="8" t="s">
        <v>97</v>
      </c>
      <c r="C433" s="8" t="s">
        <v>71</v>
      </c>
      <c r="D433" s="10">
        <v>0.11480484878575149</v>
      </c>
      <c r="E433" s="8" t="s">
        <v>57</v>
      </c>
      <c r="G433" s="8" t="s">
        <v>117</v>
      </c>
      <c r="H433" s="8" t="s">
        <v>71</v>
      </c>
      <c r="I433" s="12">
        <v>1.7144083579427604E-2</v>
      </c>
      <c r="J433" s="8" t="s">
        <v>57</v>
      </c>
    </row>
    <row r="434" spans="2:10" x14ac:dyDescent="0.45">
      <c r="B434" s="9" t="s">
        <v>97</v>
      </c>
      <c r="C434" s="9" t="s">
        <v>72</v>
      </c>
      <c r="D434" s="11">
        <v>0.11064026425872074</v>
      </c>
      <c r="E434" s="9" t="s">
        <v>57</v>
      </c>
      <c r="G434" s="9" t="s">
        <v>117</v>
      </c>
      <c r="H434" s="9" t="s">
        <v>72</v>
      </c>
      <c r="I434" s="13">
        <v>1.7425623210246707E-2</v>
      </c>
      <c r="J434" s="9" t="s">
        <v>57</v>
      </c>
    </row>
    <row r="435" spans="2:10" x14ac:dyDescent="0.45">
      <c r="B435" s="8" t="s">
        <v>97</v>
      </c>
      <c r="C435" s="8" t="s">
        <v>73</v>
      </c>
      <c r="D435" s="10">
        <v>8.8267929267263456E-2</v>
      </c>
      <c r="E435" s="8" t="s">
        <v>57</v>
      </c>
      <c r="G435" s="8" t="s">
        <v>117</v>
      </c>
      <c r="H435" s="8" t="s">
        <v>73</v>
      </c>
      <c r="I435" s="12">
        <v>1.7836946266015417E-2</v>
      </c>
      <c r="J435" s="8" t="s">
        <v>57</v>
      </c>
    </row>
    <row r="436" spans="2:10" x14ac:dyDescent="0.45">
      <c r="B436" s="9" t="s">
        <v>97</v>
      </c>
      <c r="C436" s="9" t="s">
        <v>74</v>
      </c>
      <c r="D436" s="11">
        <v>2.8360968011254487E-2</v>
      </c>
      <c r="E436" s="9" t="s">
        <v>57</v>
      </c>
      <c r="G436" s="9" t="s">
        <v>117</v>
      </c>
      <c r="H436" s="9" t="s">
        <v>74</v>
      </c>
      <c r="I436" s="13">
        <v>1.6445163103414314E-2</v>
      </c>
      <c r="J436" s="9" t="s">
        <v>57</v>
      </c>
    </row>
    <row r="437" spans="2:10" x14ac:dyDescent="0.45">
      <c r="B437" s="8" t="s">
        <v>97</v>
      </c>
      <c r="C437" s="8" t="s">
        <v>75</v>
      </c>
      <c r="D437" s="10">
        <v>0</v>
      </c>
      <c r="E437" s="8" t="s">
        <v>57</v>
      </c>
      <c r="G437" s="8" t="s">
        <v>117</v>
      </c>
      <c r="H437" s="8" t="s">
        <v>75</v>
      </c>
      <c r="I437" s="12">
        <v>8.931875882994704E-2</v>
      </c>
      <c r="J437" s="8" t="s">
        <v>57</v>
      </c>
    </row>
    <row r="438" spans="2:10" x14ac:dyDescent="0.45">
      <c r="B438" s="9" t="s">
        <v>97</v>
      </c>
      <c r="C438" s="9" t="s">
        <v>76</v>
      </c>
      <c r="D438" s="11">
        <v>1.9330067290560214E-2</v>
      </c>
      <c r="E438" s="9" t="s">
        <v>57</v>
      </c>
      <c r="G438" s="9" t="s">
        <v>117</v>
      </c>
      <c r="H438" s="9" t="s">
        <v>76</v>
      </c>
      <c r="I438" s="13">
        <v>4.4209341998775312E-2</v>
      </c>
      <c r="J438" s="9" t="s">
        <v>57</v>
      </c>
    </row>
    <row r="439" spans="2:10" x14ac:dyDescent="0.45">
      <c r="B439" s="8" t="s">
        <v>97</v>
      </c>
      <c r="C439" s="8" t="s">
        <v>77</v>
      </c>
      <c r="D439" s="10">
        <v>5.4502323619453334E-2</v>
      </c>
      <c r="E439" s="8" t="s">
        <v>57</v>
      </c>
      <c r="G439" s="8" t="s">
        <v>117</v>
      </c>
      <c r="H439" s="8" t="s">
        <v>77</v>
      </c>
      <c r="I439" s="12">
        <v>3.6325937152061685E-2</v>
      </c>
      <c r="J439" s="8" t="s">
        <v>57</v>
      </c>
    </row>
    <row r="440" spans="2:10" x14ac:dyDescent="0.45">
      <c r="B440" s="9" t="s">
        <v>97</v>
      </c>
      <c r="C440" s="9" t="s">
        <v>78</v>
      </c>
      <c r="D440" s="11">
        <v>5.5069791193614361E-2</v>
      </c>
      <c r="E440" s="9" t="s">
        <v>57</v>
      </c>
      <c r="G440" s="9" t="s">
        <v>117</v>
      </c>
      <c r="H440" s="9" t="s">
        <v>78</v>
      </c>
      <c r="I440" s="13">
        <v>3.6853522959576099E-2</v>
      </c>
      <c r="J440" s="9" t="s">
        <v>57</v>
      </c>
    </row>
    <row r="441" spans="2:10" x14ac:dyDescent="0.45">
      <c r="B441" s="8" t="s">
        <v>97</v>
      </c>
      <c r="C441" s="8" t="s">
        <v>79</v>
      </c>
      <c r="D441" s="10">
        <v>2.9361933185352011E-2</v>
      </c>
      <c r="E441" s="8" t="s">
        <v>57</v>
      </c>
      <c r="G441" s="8" t="s">
        <v>117</v>
      </c>
      <c r="H441" s="8" t="s">
        <v>79</v>
      </c>
      <c r="I441" s="12">
        <v>3.6077982463041398E-2</v>
      </c>
      <c r="J441" s="8" t="s">
        <v>57</v>
      </c>
    </row>
    <row r="442" spans="2:10" x14ac:dyDescent="0.45">
      <c r="B442" s="9" t="s">
        <v>97</v>
      </c>
      <c r="C442" s="9" t="s">
        <v>80</v>
      </c>
      <c r="D442" s="11">
        <v>1.4686968748873403E-3</v>
      </c>
      <c r="E442" s="9" t="s">
        <v>57</v>
      </c>
      <c r="G442" s="9" t="s">
        <v>117</v>
      </c>
      <c r="H442" s="9" t="s">
        <v>80</v>
      </c>
      <c r="I442" s="13">
        <v>3.7208301581434372E-2</v>
      </c>
      <c r="J442" s="9" t="s">
        <v>57</v>
      </c>
    </row>
    <row r="443" spans="2:10" x14ac:dyDescent="0.45">
      <c r="B443" s="8" t="s">
        <v>98</v>
      </c>
      <c r="C443" s="8" t="s">
        <v>56</v>
      </c>
      <c r="D443" s="10">
        <v>0</v>
      </c>
      <c r="E443" s="8" t="s">
        <v>57</v>
      </c>
      <c r="G443" s="8" t="s">
        <v>118</v>
      </c>
      <c r="H443" s="8" t="s">
        <v>56</v>
      </c>
      <c r="I443" s="12">
        <v>0.11870770198752442</v>
      </c>
      <c r="J443" s="8" t="s">
        <v>57</v>
      </c>
    </row>
    <row r="444" spans="2:10" x14ac:dyDescent="0.45">
      <c r="B444" s="9" t="s">
        <v>98</v>
      </c>
      <c r="C444" s="9" t="s">
        <v>58</v>
      </c>
      <c r="D444" s="11">
        <v>1.2910787409097766E-3</v>
      </c>
      <c r="E444" s="9" t="s">
        <v>57</v>
      </c>
      <c r="G444" s="9" t="s">
        <v>118</v>
      </c>
      <c r="H444" s="9" t="s">
        <v>58</v>
      </c>
      <c r="I444" s="13">
        <v>5.927300303369297E-2</v>
      </c>
      <c r="J444" s="9" t="s">
        <v>57</v>
      </c>
    </row>
    <row r="445" spans="2:10" x14ac:dyDescent="0.45">
      <c r="B445" s="8" t="s">
        <v>98</v>
      </c>
      <c r="C445" s="8" t="s">
        <v>59</v>
      </c>
      <c r="D445" s="10">
        <v>3.3387658288294396E-2</v>
      </c>
      <c r="E445" s="8" t="s">
        <v>57</v>
      </c>
      <c r="G445" s="8" t="s">
        <v>118</v>
      </c>
      <c r="H445" s="8" t="s">
        <v>59</v>
      </c>
      <c r="I445" s="12">
        <v>4.308488046909608E-2</v>
      </c>
      <c r="J445" s="8" t="s">
        <v>57</v>
      </c>
    </row>
    <row r="446" spans="2:10" x14ac:dyDescent="0.45">
      <c r="B446" s="9" t="s">
        <v>98</v>
      </c>
      <c r="C446" s="9" t="s">
        <v>60</v>
      </c>
      <c r="D446" s="11">
        <v>3.9172464215239275E-2</v>
      </c>
      <c r="E446" s="9" t="s">
        <v>57</v>
      </c>
      <c r="G446" s="9" t="s">
        <v>118</v>
      </c>
      <c r="H446" s="9" t="s">
        <v>60</v>
      </c>
      <c r="I446" s="13">
        <v>4.2911485838609167E-2</v>
      </c>
      <c r="J446" s="9" t="s">
        <v>57</v>
      </c>
    </row>
    <row r="447" spans="2:10" x14ac:dyDescent="0.45">
      <c r="B447" s="8" t="s">
        <v>98</v>
      </c>
      <c r="C447" s="8" t="s">
        <v>61</v>
      </c>
      <c r="D447" s="10">
        <v>1.2219142108673888E-2</v>
      </c>
      <c r="E447" s="8" t="s">
        <v>57</v>
      </c>
      <c r="G447" s="8" t="s">
        <v>118</v>
      </c>
      <c r="H447" s="8" t="s">
        <v>61</v>
      </c>
      <c r="I447" s="12">
        <v>4.7387299403187297E-2</v>
      </c>
      <c r="J447" s="8" t="s">
        <v>57</v>
      </c>
    </row>
    <row r="448" spans="2:10" x14ac:dyDescent="0.45">
      <c r="B448" s="9" t="s">
        <v>98</v>
      </c>
      <c r="C448" s="9" t="s">
        <v>62</v>
      </c>
      <c r="D448" s="11">
        <v>0</v>
      </c>
      <c r="E448" s="9" t="s">
        <v>57</v>
      </c>
      <c r="G448" s="9" t="s">
        <v>118</v>
      </c>
      <c r="H448" s="9" t="s">
        <v>62</v>
      </c>
      <c r="I448" s="13">
        <v>4.8831477399404077E-2</v>
      </c>
      <c r="J448" s="9" t="s">
        <v>57</v>
      </c>
    </row>
    <row r="449" spans="2:10" x14ac:dyDescent="0.45">
      <c r="B449" s="8" t="s">
        <v>98</v>
      </c>
      <c r="C449" s="8" t="s">
        <v>63</v>
      </c>
      <c r="D449" s="10">
        <v>0</v>
      </c>
      <c r="E449" s="8" t="s">
        <v>57</v>
      </c>
      <c r="G449" s="8" t="s">
        <v>118</v>
      </c>
      <c r="H449" s="8" t="s">
        <v>63</v>
      </c>
      <c r="I449" s="12">
        <v>9.0699314990751081E-2</v>
      </c>
      <c r="J449" s="8" t="s">
        <v>57</v>
      </c>
    </row>
    <row r="450" spans="2:10" x14ac:dyDescent="0.45">
      <c r="B450" s="9" t="s">
        <v>98</v>
      </c>
      <c r="C450" s="9" t="s">
        <v>64</v>
      </c>
      <c r="D450" s="11">
        <v>5.4504830903757899E-2</v>
      </c>
      <c r="E450" s="9" t="s">
        <v>57</v>
      </c>
      <c r="G450" s="9" t="s">
        <v>118</v>
      </c>
      <c r="H450" s="9" t="s">
        <v>64</v>
      </c>
      <c r="I450" s="13">
        <v>3.8193688904274894E-2</v>
      </c>
      <c r="J450" s="9" t="s">
        <v>57</v>
      </c>
    </row>
    <row r="451" spans="2:10" x14ac:dyDescent="0.45">
      <c r="B451" s="8" t="s">
        <v>98</v>
      </c>
      <c r="C451" s="8" t="s">
        <v>65</v>
      </c>
      <c r="D451" s="10">
        <v>9.8146183538796686E-2</v>
      </c>
      <c r="E451" s="8" t="s">
        <v>57</v>
      </c>
      <c r="G451" s="8" t="s">
        <v>118</v>
      </c>
      <c r="H451" s="8" t="s">
        <v>65</v>
      </c>
      <c r="I451" s="12">
        <v>2.4112597428410588E-2</v>
      </c>
      <c r="J451" s="8" t="s">
        <v>57</v>
      </c>
    </row>
    <row r="452" spans="2:10" x14ac:dyDescent="0.45">
      <c r="B452" s="9" t="s">
        <v>98</v>
      </c>
      <c r="C452" s="9" t="s">
        <v>66</v>
      </c>
      <c r="D452" s="11">
        <v>9.4428564138753612E-2</v>
      </c>
      <c r="E452" s="9" t="s">
        <v>57</v>
      </c>
      <c r="G452" s="9" t="s">
        <v>118</v>
      </c>
      <c r="H452" s="9" t="s">
        <v>66</v>
      </c>
      <c r="I452" s="13">
        <v>2.6289441725665091E-2</v>
      </c>
      <c r="J452" s="9" t="s">
        <v>57</v>
      </c>
    </row>
    <row r="453" spans="2:10" x14ac:dyDescent="0.45">
      <c r="B453" s="8" t="s">
        <v>98</v>
      </c>
      <c r="C453" s="8" t="s">
        <v>67</v>
      </c>
      <c r="D453" s="10">
        <v>6.5396697647930921E-2</v>
      </c>
      <c r="E453" s="8" t="s">
        <v>57</v>
      </c>
      <c r="G453" s="8" t="s">
        <v>118</v>
      </c>
      <c r="H453" s="8" t="s">
        <v>67</v>
      </c>
      <c r="I453" s="12">
        <v>2.9238309303214458E-2</v>
      </c>
      <c r="J453" s="8" t="s">
        <v>57</v>
      </c>
    </row>
    <row r="454" spans="2:10" x14ac:dyDescent="0.45">
      <c r="B454" s="9" t="s">
        <v>98</v>
      </c>
      <c r="C454" s="9" t="s">
        <v>68</v>
      </c>
      <c r="D454" s="11">
        <v>1.164427714205833E-2</v>
      </c>
      <c r="E454" s="9" t="s">
        <v>57</v>
      </c>
      <c r="G454" s="9" t="s">
        <v>118</v>
      </c>
      <c r="H454" s="9" t="s">
        <v>68</v>
      </c>
      <c r="I454" s="13">
        <v>3.329890875882266E-2</v>
      </c>
      <c r="J454" s="9" t="s">
        <v>57</v>
      </c>
    </row>
    <row r="455" spans="2:10" x14ac:dyDescent="0.45">
      <c r="B455" s="8" t="s">
        <v>98</v>
      </c>
      <c r="C455" s="8" t="s">
        <v>69</v>
      </c>
      <c r="D455" s="10">
        <v>0</v>
      </c>
      <c r="E455" s="8" t="s">
        <v>57</v>
      </c>
      <c r="G455" s="8" t="s">
        <v>118</v>
      </c>
      <c r="H455" s="8" t="s">
        <v>69</v>
      </c>
      <c r="I455" s="12">
        <v>4.6924753455110199E-2</v>
      </c>
      <c r="J455" s="8" t="s">
        <v>57</v>
      </c>
    </row>
    <row r="456" spans="2:10" x14ac:dyDescent="0.45">
      <c r="B456" s="9" t="s">
        <v>98</v>
      </c>
      <c r="C456" s="9" t="s">
        <v>70</v>
      </c>
      <c r="D456" s="11">
        <v>8.2575697655695307E-2</v>
      </c>
      <c r="E456" s="9" t="s">
        <v>57</v>
      </c>
      <c r="G456" s="9" t="s">
        <v>118</v>
      </c>
      <c r="H456" s="9" t="s">
        <v>70</v>
      </c>
      <c r="I456" s="13">
        <v>1.9491867825024916E-2</v>
      </c>
      <c r="J456" s="9" t="s">
        <v>57</v>
      </c>
    </row>
    <row r="457" spans="2:10" x14ac:dyDescent="0.45">
      <c r="B457" s="8" t="s">
        <v>98</v>
      </c>
      <c r="C457" s="8" t="s">
        <v>71</v>
      </c>
      <c r="D457" s="10">
        <v>0.11411178372060723</v>
      </c>
      <c r="E457" s="8" t="s">
        <v>57</v>
      </c>
      <c r="G457" s="8" t="s">
        <v>118</v>
      </c>
      <c r="H457" s="8" t="s">
        <v>71</v>
      </c>
      <c r="I457" s="12">
        <v>1.4589703713304385E-2</v>
      </c>
      <c r="J457" s="8" t="s">
        <v>57</v>
      </c>
    </row>
    <row r="458" spans="2:10" x14ac:dyDescent="0.45">
      <c r="B458" s="9" t="s">
        <v>98</v>
      </c>
      <c r="C458" s="9" t="s">
        <v>72</v>
      </c>
      <c r="D458" s="11">
        <v>0.10983433781633746</v>
      </c>
      <c r="E458" s="9" t="s">
        <v>57</v>
      </c>
      <c r="G458" s="9" t="s">
        <v>118</v>
      </c>
      <c r="H458" s="9" t="s">
        <v>72</v>
      </c>
      <c r="I458" s="13">
        <v>1.4460717574836643E-2</v>
      </c>
      <c r="J458" s="9" t="s">
        <v>57</v>
      </c>
    </row>
    <row r="459" spans="2:10" x14ac:dyDescent="0.45">
      <c r="B459" s="8" t="s">
        <v>98</v>
      </c>
      <c r="C459" s="8" t="s">
        <v>73</v>
      </c>
      <c r="D459" s="10">
        <v>8.6354399689784311E-2</v>
      </c>
      <c r="E459" s="8" t="s">
        <v>57</v>
      </c>
      <c r="G459" s="8" t="s">
        <v>118</v>
      </c>
      <c r="H459" s="8" t="s">
        <v>73</v>
      </c>
      <c r="I459" s="12">
        <v>1.6144009779812413E-2</v>
      </c>
      <c r="J459" s="8" t="s">
        <v>57</v>
      </c>
    </row>
    <row r="460" spans="2:10" x14ac:dyDescent="0.45">
      <c r="B460" s="9" t="s">
        <v>98</v>
      </c>
      <c r="C460" s="9" t="s">
        <v>74</v>
      </c>
      <c r="D460" s="11">
        <v>2.67121224223918E-2</v>
      </c>
      <c r="E460" s="9" t="s">
        <v>57</v>
      </c>
      <c r="G460" s="9" t="s">
        <v>118</v>
      </c>
      <c r="H460" s="9" t="s">
        <v>74</v>
      </c>
      <c r="I460" s="13">
        <v>1.6085413826738396E-2</v>
      </c>
      <c r="J460" s="9" t="s">
        <v>57</v>
      </c>
    </row>
    <row r="461" spans="2:10" x14ac:dyDescent="0.45">
      <c r="B461" s="8" t="s">
        <v>98</v>
      </c>
      <c r="C461" s="8" t="s">
        <v>75</v>
      </c>
      <c r="D461" s="10">
        <v>0</v>
      </c>
      <c r="E461" s="8" t="s">
        <v>57</v>
      </c>
      <c r="G461" s="8" t="s">
        <v>118</v>
      </c>
      <c r="H461" s="8" t="s">
        <v>75</v>
      </c>
      <c r="I461" s="12">
        <v>9.1663575817946832E-2</v>
      </c>
      <c r="J461" s="8" t="s">
        <v>57</v>
      </c>
    </row>
    <row r="462" spans="2:10" x14ac:dyDescent="0.45">
      <c r="B462" s="9" t="s">
        <v>98</v>
      </c>
      <c r="C462" s="9" t="s">
        <v>76</v>
      </c>
      <c r="D462" s="11">
        <v>2.034191247430419E-2</v>
      </c>
      <c r="E462" s="9" t="s">
        <v>57</v>
      </c>
      <c r="G462" s="9" t="s">
        <v>118</v>
      </c>
      <c r="H462" s="9" t="s">
        <v>76</v>
      </c>
      <c r="I462" s="13">
        <v>4.1241748158983557E-2</v>
      </c>
      <c r="J462" s="9" t="s">
        <v>57</v>
      </c>
    </row>
    <row r="463" spans="2:10" x14ac:dyDescent="0.45">
      <c r="B463" s="8" t="s">
        <v>98</v>
      </c>
      <c r="C463" s="8" t="s">
        <v>77</v>
      </c>
      <c r="D463" s="10">
        <v>5.9295745154757745E-2</v>
      </c>
      <c r="E463" s="8" t="s">
        <v>57</v>
      </c>
      <c r="G463" s="8" t="s">
        <v>118</v>
      </c>
      <c r="H463" s="8" t="s">
        <v>77</v>
      </c>
      <c r="I463" s="12">
        <v>2.9427385720504233E-2</v>
      </c>
      <c r="J463" s="8" t="s">
        <v>57</v>
      </c>
    </row>
    <row r="464" spans="2:10" x14ac:dyDescent="0.45">
      <c r="B464" s="9" t="s">
        <v>98</v>
      </c>
      <c r="C464" s="9" t="s">
        <v>78</v>
      </c>
      <c r="D464" s="11">
        <v>5.7989539229029823E-2</v>
      </c>
      <c r="E464" s="9" t="s">
        <v>57</v>
      </c>
      <c r="G464" s="9" t="s">
        <v>118</v>
      </c>
      <c r="H464" s="9" t="s">
        <v>78</v>
      </c>
      <c r="I464" s="13">
        <v>3.1851824628316851E-2</v>
      </c>
      <c r="J464" s="9" t="s">
        <v>57</v>
      </c>
    </row>
    <row r="465" spans="2:10" x14ac:dyDescent="0.45">
      <c r="B465" s="8" t="s">
        <v>98</v>
      </c>
      <c r="C465" s="8" t="s">
        <v>79</v>
      </c>
      <c r="D465" s="10">
        <v>3.0943151421302002E-2</v>
      </c>
      <c r="E465" s="8" t="s">
        <v>57</v>
      </c>
      <c r="G465" s="8" t="s">
        <v>118</v>
      </c>
      <c r="H465" s="8" t="s">
        <v>79</v>
      </c>
      <c r="I465" s="12">
        <v>3.6155882188374948E-2</v>
      </c>
      <c r="J465" s="8" t="s">
        <v>57</v>
      </c>
    </row>
    <row r="466" spans="2:10" x14ac:dyDescent="0.45">
      <c r="B466" s="9" t="s">
        <v>98</v>
      </c>
      <c r="C466" s="9" t="s">
        <v>80</v>
      </c>
      <c r="D466" s="11">
        <v>1.6504136913743184E-3</v>
      </c>
      <c r="E466" s="9" t="s">
        <v>57</v>
      </c>
      <c r="G466" s="9" t="s">
        <v>118</v>
      </c>
      <c r="H466" s="9" t="s">
        <v>80</v>
      </c>
      <c r="I466" s="13">
        <v>3.9935008068395797E-2</v>
      </c>
      <c r="J466" s="9" t="s">
        <v>57</v>
      </c>
    </row>
    <row r="467" spans="2:10" x14ac:dyDescent="0.45">
      <c r="B467" s="8" t="s">
        <v>99</v>
      </c>
      <c r="C467" s="8" t="s">
        <v>56</v>
      </c>
      <c r="D467" s="10">
        <v>0</v>
      </c>
      <c r="E467" s="8" t="s">
        <v>57</v>
      </c>
      <c r="G467" s="8" t="s">
        <v>119</v>
      </c>
      <c r="H467" s="8" t="s">
        <v>56</v>
      </c>
      <c r="I467" s="12">
        <v>0.12016263048798867</v>
      </c>
      <c r="J467" s="8" t="s">
        <v>57</v>
      </c>
    </row>
    <row r="468" spans="2:10" x14ac:dyDescent="0.45">
      <c r="B468" s="9" t="s">
        <v>99</v>
      </c>
      <c r="C468" s="9" t="s">
        <v>58</v>
      </c>
      <c r="D468" s="11">
        <v>1.3341028691204282E-3</v>
      </c>
      <c r="E468" s="9" t="s">
        <v>57</v>
      </c>
      <c r="G468" s="9" t="s">
        <v>119</v>
      </c>
      <c r="H468" s="9" t="s">
        <v>58</v>
      </c>
      <c r="I468" s="13">
        <v>6.1163430316478549E-2</v>
      </c>
      <c r="J468" s="9" t="s">
        <v>57</v>
      </c>
    </row>
    <row r="469" spans="2:10" x14ac:dyDescent="0.45">
      <c r="B469" s="8" t="s">
        <v>99</v>
      </c>
      <c r="C469" s="8" t="s">
        <v>59</v>
      </c>
      <c r="D469" s="10">
        <v>3.1212164802397475E-2</v>
      </c>
      <c r="E469" s="8" t="s">
        <v>57</v>
      </c>
      <c r="G469" s="8" t="s">
        <v>119</v>
      </c>
      <c r="H469" s="8" t="s">
        <v>59</v>
      </c>
      <c r="I469" s="12">
        <v>4.3756793271903786E-2</v>
      </c>
      <c r="J469" s="8" t="s">
        <v>57</v>
      </c>
    </row>
    <row r="470" spans="2:10" x14ac:dyDescent="0.45">
      <c r="B470" s="9" t="s">
        <v>99</v>
      </c>
      <c r="C470" s="9" t="s">
        <v>60</v>
      </c>
      <c r="D470" s="11">
        <v>3.6236275335900389E-2</v>
      </c>
      <c r="E470" s="9" t="s">
        <v>57</v>
      </c>
      <c r="G470" s="9" t="s">
        <v>119</v>
      </c>
      <c r="H470" s="9" t="s">
        <v>60</v>
      </c>
      <c r="I470" s="13">
        <v>4.2353192484585488E-2</v>
      </c>
      <c r="J470" s="9" t="s">
        <v>57</v>
      </c>
    </row>
    <row r="471" spans="2:10" x14ac:dyDescent="0.45">
      <c r="B471" s="8" t="s">
        <v>99</v>
      </c>
      <c r="C471" s="8" t="s">
        <v>61</v>
      </c>
      <c r="D471" s="10">
        <v>9.7490116226074241E-3</v>
      </c>
      <c r="E471" s="8" t="s">
        <v>57</v>
      </c>
      <c r="G471" s="8" t="s">
        <v>119</v>
      </c>
      <c r="H471" s="8" t="s">
        <v>61</v>
      </c>
      <c r="I471" s="12">
        <v>4.6998003601776007E-2</v>
      </c>
      <c r="J471" s="8" t="s">
        <v>57</v>
      </c>
    </row>
    <row r="472" spans="2:10" x14ac:dyDescent="0.45">
      <c r="B472" s="9" t="s">
        <v>99</v>
      </c>
      <c r="C472" s="9" t="s">
        <v>62</v>
      </c>
      <c r="D472" s="11">
        <v>0</v>
      </c>
      <c r="E472" s="9" t="s">
        <v>57</v>
      </c>
      <c r="G472" s="9" t="s">
        <v>119</v>
      </c>
      <c r="H472" s="9" t="s">
        <v>62</v>
      </c>
      <c r="I472" s="13">
        <v>4.7981534306966465E-2</v>
      </c>
      <c r="J472" s="9" t="s">
        <v>57</v>
      </c>
    </row>
    <row r="473" spans="2:10" x14ac:dyDescent="0.45">
      <c r="B473" s="8" t="s">
        <v>99</v>
      </c>
      <c r="C473" s="8" t="s">
        <v>63</v>
      </c>
      <c r="D473" s="10">
        <v>4.5309519905715763E-7</v>
      </c>
      <c r="E473" s="8" t="s">
        <v>57</v>
      </c>
      <c r="G473" s="8" t="s">
        <v>119</v>
      </c>
      <c r="H473" s="8" t="s">
        <v>63</v>
      </c>
      <c r="I473" s="12">
        <v>8.8165477180946417E-2</v>
      </c>
      <c r="J473" s="8" t="s">
        <v>57</v>
      </c>
    </row>
    <row r="474" spans="2:10" x14ac:dyDescent="0.45">
      <c r="B474" s="9" t="s">
        <v>99</v>
      </c>
      <c r="C474" s="9" t="s">
        <v>64</v>
      </c>
      <c r="D474" s="11">
        <v>6.0381705038800866E-2</v>
      </c>
      <c r="E474" s="9" t="s">
        <v>57</v>
      </c>
      <c r="G474" s="9" t="s">
        <v>119</v>
      </c>
      <c r="H474" s="9" t="s">
        <v>64</v>
      </c>
      <c r="I474" s="13">
        <v>3.8032301716515178E-2</v>
      </c>
      <c r="J474" s="9" t="s">
        <v>57</v>
      </c>
    </row>
    <row r="475" spans="2:10" x14ac:dyDescent="0.45">
      <c r="B475" s="8" t="s">
        <v>99</v>
      </c>
      <c r="C475" s="8" t="s">
        <v>65</v>
      </c>
      <c r="D475" s="10">
        <v>9.9901604618731848E-2</v>
      </c>
      <c r="E475" s="8" t="s">
        <v>57</v>
      </c>
      <c r="G475" s="8" t="s">
        <v>119</v>
      </c>
      <c r="H475" s="8" t="s">
        <v>65</v>
      </c>
      <c r="I475" s="12">
        <v>2.6761225086271913E-2</v>
      </c>
      <c r="J475" s="8" t="s">
        <v>57</v>
      </c>
    </row>
    <row r="476" spans="2:10" x14ac:dyDescent="0.45">
      <c r="B476" s="9" t="s">
        <v>99</v>
      </c>
      <c r="C476" s="9" t="s">
        <v>66</v>
      </c>
      <c r="D476" s="11">
        <v>9.5433015152630599E-2</v>
      </c>
      <c r="E476" s="9" t="s">
        <v>57</v>
      </c>
      <c r="G476" s="9" t="s">
        <v>119</v>
      </c>
      <c r="H476" s="9" t="s">
        <v>66</v>
      </c>
      <c r="I476" s="13">
        <v>2.8598202506496147E-2</v>
      </c>
      <c r="J476" s="9" t="s">
        <v>57</v>
      </c>
    </row>
    <row r="477" spans="2:10" x14ac:dyDescent="0.45">
      <c r="B477" s="8" t="s">
        <v>99</v>
      </c>
      <c r="C477" s="8" t="s">
        <v>67</v>
      </c>
      <c r="D477" s="10">
        <v>6.7597408815545379E-2</v>
      </c>
      <c r="E477" s="8" t="s">
        <v>57</v>
      </c>
      <c r="G477" s="8" t="s">
        <v>119</v>
      </c>
      <c r="H477" s="8" t="s">
        <v>67</v>
      </c>
      <c r="I477" s="12">
        <v>2.9877061509452515E-2</v>
      </c>
      <c r="J477" s="8" t="s">
        <v>57</v>
      </c>
    </row>
    <row r="478" spans="2:10" x14ac:dyDescent="0.45">
      <c r="B478" s="9" t="s">
        <v>99</v>
      </c>
      <c r="C478" s="9" t="s">
        <v>68</v>
      </c>
      <c r="D478" s="11">
        <v>1.1486953682149642E-2</v>
      </c>
      <c r="E478" s="9" t="s">
        <v>57</v>
      </c>
      <c r="G478" s="9" t="s">
        <v>119</v>
      </c>
      <c r="H478" s="9" t="s">
        <v>68</v>
      </c>
      <c r="I478" s="13">
        <v>3.2269667923031313E-2</v>
      </c>
      <c r="J478" s="9" t="s">
        <v>57</v>
      </c>
    </row>
    <row r="479" spans="2:10" x14ac:dyDescent="0.45">
      <c r="B479" s="8" t="s">
        <v>99</v>
      </c>
      <c r="C479" s="8" t="s">
        <v>69</v>
      </c>
      <c r="D479" s="10">
        <v>6.9881726058336317E-4</v>
      </c>
      <c r="E479" s="8" t="s">
        <v>57</v>
      </c>
      <c r="G479" s="8" t="s">
        <v>119</v>
      </c>
      <c r="H479" s="8" t="s">
        <v>69</v>
      </c>
      <c r="I479" s="12">
        <v>4.388445507869064E-2</v>
      </c>
      <c r="J479" s="8" t="s">
        <v>57</v>
      </c>
    </row>
    <row r="480" spans="2:10" x14ac:dyDescent="0.45">
      <c r="B480" s="9" t="s">
        <v>99</v>
      </c>
      <c r="C480" s="9" t="s">
        <v>70</v>
      </c>
      <c r="D480" s="11">
        <v>8.7410667549936594E-2</v>
      </c>
      <c r="E480" s="9" t="s">
        <v>57</v>
      </c>
      <c r="G480" s="9" t="s">
        <v>119</v>
      </c>
      <c r="H480" s="9" t="s">
        <v>70</v>
      </c>
      <c r="I480" s="13">
        <v>1.9792409670315821E-2</v>
      </c>
      <c r="J480" s="9" t="s">
        <v>57</v>
      </c>
    </row>
    <row r="481" spans="2:10" x14ac:dyDescent="0.45">
      <c r="B481" s="8" t="s">
        <v>99</v>
      </c>
      <c r="C481" s="8" t="s">
        <v>71</v>
      </c>
      <c r="D481" s="10">
        <v>0.11380352871545214</v>
      </c>
      <c r="E481" s="8" t="s">
        <v>57</v>
      </c>
      <c r="G481" s="8" t="s">
        <v>119</v>
      </c>
      <c r="H481" s="8" t="s">
        <v>71</v>
      </c>
      <c r="I481" s="12">
        <v>1.5405796301816075E-2</v>
      </c>
      <c r="J481" s="8" t="s">
        <v>57</v>
      </c>
    </row>
    <row r="482" spans="2:10" x14ac:dyDescent="0.45">
      <c r="B482" s="9" t="s">
        <v>99</v>
      </c>
      <c r="C482" s="9" t="s">
        <v>72</v>
      </c>
      <c r="D482" s="11">
        <v>0.10896931087222318</v>
      </c>
      <c r="E482" s="9" t="s">
        <v>57</v>
      </c>
      <c r="G482" s="9" t="s">
        <v>119</v>
      </c>
      <c r="H482" s="9" t="s">
        <v>72</v>
      </c>
      <c r="I482" s="13">
        <v>1.426859121643809E-2</v>
      </c>
      <c r="J482" s="9" t="s">
        <v>57</v>
      </c>
    </row>
    <row r="483" spans="2:10" x14ac:dyDescent="0.45">
      <c r="B483" s="8" t="s">
        <v>99</v>
      </c>
      <c r="C483" s="8" t="s">
        <v>73</v>
      </c>
      <c r="D483" s="10">
        <v>8.5894975376463623E-2</v>
      </c>
      <c r="E483" s="8" t="s">
        <v>57</v>
      </c>
      <c r="G483" s="8" t="s">
        <v>119</v>
      </c>
      <c r="H483" s="8" t="s">
        <v>73</v>
      </c>
      <c r="I483" s="12">
        <v>1.4716486689825737E-2</v>
      </c>
      <c r="J483" s="8" t="s">
        <v>57</v>
      </c>
    </row>
    <row r="484" spans="2:10" x14ac:dyDescent="0.45">
      <c r="B484" s="9" t="s">
        <v>99</v>
      </c>
      <c r="C484" s="9" t="s">
        <v>74</v>
      </c>
      <c r="D484" s="11">
        <v>2.6575648477166935E-2</v>
      </c>
      <c r="E484" s="9" t="s">
        <v>57</v>
      </c>
      <c r="G484" s="9" t="s">
        <v>119</v>
      </c>
      <c r="H484" s="9" t="s">
        <v>74</v>
      </c>
      <c r="I484" s="13">
        <v>1.498474241328389E-2</v>
      </c>
      <c r="J484" s="9" t="s">
        <v>57</v>
      </c>
    </row>
    <row r="485" spans="2:10" x14ac:dyDescent="0.45">
      <c r="B485" s="8" t="s">
        <v>99</v>
      </c>
      <c r="C485" s="8" t="s">
        <v>75</v>
      </c>
      <c r="D485" s="10">
        <v>0</v>
      </c>
      <c r="E485" s="8" t="s">
        <v>57</v>
      </c>
      <c r="G485" s="8" t="s">
        <v>119</v>
      </c>
      <c r="H485" s="8" t="s">
        <v>75</v>
      </c>
      <c r="I485" s="12">
        <v>9.0825059812445028E-2</v>
      </c>
      <c r="J485" s="8" t="s">
        <v>57</v>
      </c>
    </row>
    <row r="486" spans="2:10" x14ac:dyDescent="0.45">
      <c r="B486" s="9" t="s">
        <v>99</v>
      </c>
      <c r="C486" s="9" t="s">
        <v>76</v>
      </c>
      <c r="D486" s="11">
        <v>2.0576501054518814E-2</v>
      </c>
      <c r="E486" s="9" t="s">
        <v>57</v>
      </c>
      <c r="G486" s="9" t="s">
        <v>119</v>
      </c>
      <c r="H486" s="9" t="s">
        <v>76</v>
      </c>
      <c r="I486" s="13">
        <v>4.3456460307508021E-2</v>
      </c>
      <c r="J486" s="9" t="s">
        <v>57</v>
      </c>
    </row>
    <row r="487" spans="2:10" x14ac:dyDescent="0.45">
      <c r="B487" s="8" t="s">
        <v>99</v>
      </c>
      <c r="C487" s="8" t="s">
        <v>77</v>
      </c>
      <c r="D487" s="10">
        <v>5.7547464540979282E-2</v>
      </c>
      <c r="E487" s="8" t="s">
        <v>57</v>
      </c>
      <c r="G487" s="8" t="s">
        <v>119</v>
      </c>
      <c r="H487" s="8" t="s">
        <v>77</v>
      </c>
      <c r="I487" s="12">
        <v>3.1326442881418455E-2</v>
      </c>
      <c r="J487" s="8" t="s">
        <v>57</v>
      </c>
    </row>
    <row r="488" spans="2:10" x14ac:dyDescent="0.45">
      <c r="B488" s="9" t="s">
        <v>99</v>
      </c>
      <c r="C488" s="9" t="s">
        <v>78</v>
      </c>
      <c r="D488" s="11">
        <v>5.5466845463004455E-2</v>
      </c>
      <c r="E488" s="9" t="s">
        <v>57</v>
      </c>
      <c r="G488" s="9" t="s">
        <v>119</v>
      </c>
      <c r="H488" s="9" t="s">
        <v>78</v>
      </c>
      <c r="I488" s="13">
        <v>3.3806737777050046E-2</v>
      </c>
      <c r="J488" s="9" t="s">
        <v>57</v>
      </c>
    </row>
    <row r="489" spans="2:10" x14ac:dyDescent="0.45">
      <c r="B489" s="8" t="s">
        <v>99</v>
      </c>
      <c r="C489" s="8" t="s">
        <v>79</v>
      </c>
      <c r="D489" s="10">
        <v>2.8404097970391142E-2</v>
      </c>
      <c r="E489" s="8" t="s">
        <v>57</v>
      </c>
      <c r="G489" s="8" t="s">
        <v>119</v>
      </c>
      <c r="H489" s="8" t="s">
        <v>79</v>
      </c>
      <c r="I489" s="12">
        <v>3.488526115669438E-2</v>
      </c>
      <c r="J489" s="8" t="s">
        <v>57</v>
      </c>
    </row>
    <row r="490" spans="2:10" x14ac:dyDescent="0.45">
      <c r="B490" s="9" t="s">
        <v>99</v>
      </c>
      <c r="C490" s="9" t="s">
        <v>80</v>
      </c>
      <c r="D490" s="11">
        <v>1.319447686195139E-3</v>
      </c>
      <c r="E490" s="9" t="s">
        <v>57</v>
      </c>
      <c r="G490" s="9" t="s">
        <v>119</v>
      </c>
      <c r="H490" s="9" t="s">
        <v>80</v>
      </c>
      <c r="I490" s="13">
        <v>3.6528036302102974E-2</v>
      </c>
      <c r="J490" s="9" t="s">
        <v>57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13438-7CF2-477B-8F13-D6B191B6336B}">
  <dimension ref="A1:DH60"/>
  <sheetViews>
    <sheetView workbookViewId="0">
      <selection sqref="A1:X1"/>
    </sheetView>
  </sheetViews>
  <sheetFormatPr defaultRowHeight="14.25" x14ac:dyDescent="0.45"/>
  <cols>
    <col min="2" max="2" width="20" bestFit="1" customWidth="1"/>
    <col min="3" max="3" width="10.59765625" bestFit="1" customWidth="1"/>
    <col min="4" max="27" width="10.59765625" customWidth="1"/>
    <col min="29" max="29" width="10.59765625" customWidth="1"/>
    <col min="30" max="30" width="10.59765625" bestFit="1" customWidth="1"/>
    <col min="31" max="54" width="10.59765625" customWidth="1"/>
    <col min="56" max="56" width="10.59765625" customWidth="1"/>
    <col min="57" max="57" width="10.59765625" bestFit="1" customWidth="1"/>
    <col min="58" max="81" width="10.59765625" customWidth="1"/>
    <col min="83" max="83" width="20" bestFit="1" customWidth="1"/>
    <col min="84" max="107" width="10.59765625" customWidth="1"/>
    <col min="109" max="109" width="20" bestFit="1" customWidth="1"/>
    <col min="110" max="110" width="10.59765625" bestFit="1" customWidth="1"/>
    <col min="111" max="111" width="12.6640625" bestFit="1" customWidth="1"/>
    <col min="112" max="112" width="10.59765625" customWidth="1"/>
  </cols>
  <sheetData>
    <row r="1" spans="1:112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9" spans="1:112" ht="14.65" thickBot="1" x14ac:dyDescent="0.5">
      <c r="B9" s="6" t="str">
        <f>IF(A11="x","DeActivated","~TFM_DINS-TSL: attribute=FLO_EMIS; other_indexes=ACT")</f>
        <v>~TFM_DINS-TSL: attribute=FLO_EMIS; other_indexes=ACT</v>
      </c>
      <c r="AC9" s="6" t="str">
        <f>IF(A11="x","DeActivated","~TFM_INS-TSL: attribute=FLO_SHAR; limtype=FX")</f>
        <v>~TFM_INS-TSL: attribute=FLO_SHAR; limtype=FX</v>
      </c>
      <c r="BD9" s="6" t="str">
        <f>IF(A11="x","DeActivated","~TFM_INS-TSL: attribute=FLO_SHAR; limtype=FX")</f>
        <v>~TFM_INS-TSL: attribute=FLO_SHAR; limtype=FX</v>
      </c>
      <c r="CE9" s="6" t="str">
        <f>IF(A11="x","DeActivated","~TFM_DINS-TSL: attribute=NCAP_PKCNT")</f>
        <v>~TFM_DINS-TSL: attribute=NCAP_PKCNT</v>
      </c>
      <c r="DE9" s="6" t="str">
        <f>IF(A11="x","DeActivated","~TFM_DINS-AT")</f>
        <v>~TFM_DINS-AT</v>
      </c>
    </row>
    <row r="10" spans="1:112" ht="15.75" thickBot="1" x14ac:dyDescent="0.6">
      <c r="B10" s="7" t="s">
        <v>54</v>
      </c>
      <c r="C10" s="7" t="s">
        <v>51</v>
      </c>
      <c r="D10" s="7" t="s">
        <v>56</v>
      </c>
      <c r="E10" s="7" t="s">
        <v>58</v>
      </c>
      <c r="F10" s="7" t="s">
        <v>59</v>
      </c>
      <c r="G10" s="7" t="s">
        <v>60</v>
      </c>
      <c r="H10" s="7" t="s">
        <v>61</v>
      </c>
      <c r="I10" s="7" t="s">
        <v>62</v>
      </c>
      <c r="J10" s="7" t="s">
        <v>63</v>
      </c>
      <c r="K10" s="7" t="s">
        <v>64</v>
      </c>
      <c r="L10" s="7" t="s">
        <v>65</v>
      </c>
      <c r="M10" s="7" t="s">
        <v>66</v>
      </c>
      <c r="N10" s="7" t="s">
        <v>67</v>
      </c>
      <c r="O10" s="7" t="s">
        <v>68</v>
      </c>
      <c r="P10" s="7" t="s">
        <v>69</v>
      </c>
      <c r="Q10" s="7" t="s">
        <v>70</v>
      </c>
      <c r="R10" s="7" t="s">
        <v>71</v>
      </c>
      <c r="S10" s="7" t="s">
        <v>72</v>
      </c>
      <c r="T10" s="7" t="s">
        <v>73</v>
      </c>
      <c r="U10" s="7" t="s">
        <v>74</v>
      </c>
      <c r="V10" s="7" t="s">
        <v>75</v>
      </c>
      <c r="W10" s="7" t="s">
        <v>76</v>
      </c>
      <c r="X10" s="7" t="s">
        <v>77</v>
      </c>
      <c r="Y10" s="7" t="s">
        <v>78</v>
      </c>
      <c r="Z10" s="7" t="s">
        <v>79</v>
      </c>
      <c r="AA10" s="7" t="s">
        <v>80</v>
      </c>
      <c r="AC10" s="7" t="s">
        <v>54</v>
      </c>
      <c r="AD10" s="7" t="s">
        <v>51</v>
      </c>
      <c r="AE10" s="7" t="s">
        <v>56</v>
      </c>
      <c r="AF10" s="7" t="s">
        <v>58</v>
      </c>
      <c r="AG10" s="7" t="s">
        <v>59</v>
      </c>
      <c r="AH10" s="7" t="s">
        <v>60</v>
      </c>
      <c r="AI10" s="7" t="s">
        <v>61</v>
      </c>
      <c r="AJ10" s="7" t="s">
        <v>62</v>
      </c>
      <c r="AK10" s="7" t="s">
        <v>63</v>
      </c>
      <c r="AL10" s="7" t="s">
        <v>64</v>
      </c>
      <c r="AM10" s="7" t="s">
        <v>65</v>
      </c>
      <c r="AN10" s="7" t="s">
        <v>66</v>
      </c>
      <c r="AO10" s="7" t="s">
        <v>67</v>
      </c>
      <c r="AP10" s="7" t="s">
        <v>68</v>
      </c>
      <c r="AQ10" s="7" t="s">
        <v>69</v>
      </c>
      <c r="AR10" s="7" t="s">
        <v>70</v>
      </c>
      <c r="AS10" s="7" t="s">
        <v>71</v>
      </c>
      <c r="AT10" s="7" t="s">
        <v>72</v>
      </c>
      <c r="AU10" s="7" t="s">
        <v>73</v>
      </c>
      <c r="AV10" s="7" t="s">
        <v>74</v>
      </c>
      <c r="AW10" s="7" t="s">
        <v>75</v>
      </c>
      <c r="AX10" s="7" t="s">
        <v>76</v>
      </c>
      <c r="AY10" s="7" t="s">
        <v>77</v>
      </c>
      <c r="AZ10" s="7" t="s">
        <v>78</v>
      </c>
      <c r="BA10" s="7" t="s">
        <v>79</v>
      </c>
      <c r="BB10" s="7" t="s">
        <v>80</v>
      </c>
      <c r="BD10" s="7" t="s">
        <v>54</v>
      </c>
      <c r="BE10" s="7" t="s">
        <v>51</v>
      </c>
      <c r="BF10" s="7" t="s">
        <v>56</v>
      </c>
      <c r="BG10" s="7" t="s">
        <v>58</v>
      </c>
      <c r="BH10" s="7" t="s">
        <v>59</v>
      </c>
      <c r="BI10" s="7" t="s">
        <v>60</v>
      </c>
      <c r="BJ10" s="7" t="s">
        <v>61</v>
      </c>
      <c r="BK10" s="7" t="s">
        <v>62</v>
      </c>
      <c r="BL10" s="7" t="s">
        <v>63</v>
      </c>
      <c r="BM10" s="7" t="s">
        <v>64</v>
      </c>
      <c r="BN10" s="7" t="s">
        <v>65</v>
      </c>
      <c r="BO10" s="7" t="s">
        <v>66</v>
      </c>
      <c r="BP10" s="7" t="s">
        <v>67</v>
      </c>
      <c r="BQ10" s="7" t="s">
        <v>68</v>
      </c>
      <c r="BR10" s="7" t="s">
        <v>69</v>
      </c>
      <c r="BS10" s="7" t="s">
        <v>70</v>
      </c>
      <c r="BT10" s="7" t="s">
        <v>71</v>
      </c>
      <c r="BU10" s="7" t="s">
        <v>72</v>
      </c>
      <c r="BV10" s="7" t="s">
        <v>73</v>
      </c>
      <c r="BW10" s="7" t="s">
        <v>74</v>
      </c>
      <c r="BX10" s="7" t="s">
        <v>75</v>
      </c>
      <c r="BY10" s="7" t="s">
        <v>76</v>
      </c>
      <c r="BZ10" s="7" t="s">
        <v>77</v>
      </c>
      <c r="CA10" s="7" t="s">
        <v>78</v>
      </c>
      <c r="CB10" s="7" t="s">
        <v>79</v>
      </c>
      <c r="CC10" s="7" t="s">
        <v>80</v>
      </c>
      <c r="CE10" s="7" t="s">
        <v>54</v>
      </c>
      <c r="CF10" s="7" t="s">
        <v>56</v>
      </c>
      <c r="CG10" s="7" t="s">
        <v>58</v>
      </c>
      <c r="CH10" s="7" t="s">
        <v>59</v>
      </c>
      <c r="CI10" s="7" t="s">
        <v>60</v>
      </c>
      <c r="CJ10" s="7" t="s">
        <v>61</v>
      </c>
      <c r="CK10" s="7" t="s">
        <v>62</v>
      </c>
      <c r="CL10" s="7" t="s">
        <v>63</v>
      </c>
      <c r="CM10" s="7" t="s">
        <v>64</v>
      </c>
      <c r="CN10" s="7" t="s">
        <v>65</v>
      </c>
      <c r="CO10" s="7" t="s">
        <v>66</v>
      </c>
      <c r="CP10" s="7" t="s">
        <v>67</v>
      </c>
      <c r="CQ10" s="7" t="s">
        <v>68</v>
      </c>
      <c r="CR10" s="7" t="s">
        <v>69</v>
      </c>
      <c r="CS10" s="7" t="s">
        <v>70</v>
      </c>
      <c r="CT10" s="7" t="s">
        <v>71</v>
      </c>
      <c r="CU10" s="7" t="s">
        <v>72</v>
      </c>
      <c r="CV10" s="7" t="s">
        <v>73</v>
      </c>
      <c r="CW10" s="7" t="s">
        <v>74</v>
      </c>
      <c r="CX10" s="7" t="s">
        <v>75</v>
      </c>
      <c r="CY10" s="7" t="s">
        <v>76</v>
      </c>
      <c r="CZ10" s="7" t="s">
        <v>77</v>
      </c>
      <c r="DA10" s="7" t="s">
        <v>78</v>
      </c>
      <c r="DB10" s="7" t="s">
        <v>79</v>
      </c>
      <c r="DC10" s="7" t="s">
        <v>80</v>
      </c>
      <c r="DE10" s="7" t="s">
        <v>54</v>
      </c>
      <c r="DF10" s="7" t="s">
        <v>51</v>
      </c>
      <c r="DG10" s="7" t="s">
        <v>185</v>
      </c>
      <c r="DH10" s="7" t="s">
        <v>186</v>
      </c>
    </row>
    <row r="11" spans="1:112" x14ac:dyDescent="0.45">
      <c r="B11" s="8" t="s">
        <v>130</v>
      </c>
      <c r="C11" s="8" t="s">
        <v>31</v>
      </c>
      <c r="D11" s="12">
        <v>0</v>
      </c>
      <c r="E11" s="12">
        <v>0.95771913167992007</v>
      </c>
      <c r="F11" s="12">
        <v>0.33270071509224408</v>
      </c>
      <c r="G11" s="12">
        <v>0.23108599221039294</v>
      </c>
      <c r="H11" s="12">
        <v>0.46352664382257369</v>
      </c>
      <c r="I11" s="12">
        <v>0.99629629629629624</v>
      </c>
      <c r="J11" s="12">
        <v>0</v>
      </c>
      <c r="K11" s="12">
        <v>0.50316005869620406</v>
      </c>
      <c r="L11" s="12">
        <v>0.22278170545949111</v>
      </c>
      <c r="M11" s="12">
        <v>0.17154294779855253</v>
      </c>
      <c r="N11" s="12">
        <v>0.25248328314216911</v>
      </c>
      <c r="O11" s="12">
        <v>0.54260007399498944</v>
      </c>
      <c r="P11" s="12">
        <v>0</v>
      </c>
      <c r="Q11" s="12">
        <v>0.34018853535753113</v>
      </c>
      <c r="R11" s="12">
        <v>0.14454476589543105</v>
      </c>
      <c r="S11" s="12">
        <v>0.12018365721097012</v>
      </c>
      <c r="T11" s="12">
        <v>0.16250531866594578</v>
      </c>
      <c r="U11" s="12">
        <v>0.33162975653707288</v>
      </c>
      <c r="V11" s="12">
        <v>0</v>
      </c>
      <c r="W11" s="12">
        <v>0.73995825047683284</v>
      </c>
      <c r="X11" s="12">
        <v>0.32851763731286554</v>
      </c>
      <c r="Y11" s="12">
        <v>0.26313408308180025</v>
      </c>
      <c r="Z11" s="12">
        <v>0.40500467651116989</v>
      </c>
      <c r="AA11" s="12">
        <v>0.89664451016431046</v>
      </c>
      <c r="AC11" s="8" t="s">
        <v>180</v>
      </c>
      <c r="AD11" s="8" t="s">
        <v>181</v>
      </c>
      <c r="AE11" s="14">
        <v>0</v>
      </c>
      <c r="AF11" s="12">
        <v>0.78433415813502005</v>
      </c>
      <c r="AG11" s="12">
        <v>0.15191056972017244</v>
      </c>
      <c r="AH11" s="12">
        <v>4.3302521422710911E-2</v>
      </c>
      <c r="AI11" s="12">
        <v>4.9955251894244004E-2</v>
      </c>
      <c r="AJ11" s="12">
        <v>0</v>
      </c>
      <c r="AK11" s="12">
        <v>0.96248975643370871</v>
      </c>
      <c r="AL11" s="12">
        <v>0.24995805591568832</v>
      </c>
      <c r="AM11" s="12">
        <v>6.7407894966135903E-2</v>
      </c>
      <c r="AN11" s="12">
        <v>1.0987746049799833E-3</v>
      </c>
      <c r="AO11" s="10">
        <v>7.5243759309160079E-4</v>
      </c>
      <c r="AP11" s="12">
        <v>9.3429627801484574E-2</v>
      </c>
      <c r="AQ11" s="12">
        <v>0.88675092760953633</v>
      </c>
      <c r="AR11" s="10">
        <v>0.13839803845961743</v>
      </c>
      <c r="AS11" s="12">
        <v>3.9957577572136235E-2</v>
      </c>
      <c r="AT11" s="12">
        <v>3.5567154260441585E-3</v>
      </c>
      <c r="AU11" s="12">
        <v>5.6325027055194954E-3</v>
      </c>
      <c r="AV11" s="12">
        <v>7.2943083366615494E-2</v>
      </c>
      <c r="AW11" s="14">
        <v>0</v>
      </c>
      <c r="AX11" s="12">
        <v>0.45850402693331699</v>
      </c>
      <c r="AY11" s="12">
        <v>0.13074792393125426</v>
      </c>
      <c r="AZ11" s="14">
        <v>7.7155602171518584E-5</v>
      </c>
      <c r="BA11" s="14">
        <v>8.1271797684181728E-3</v>
      </c>
      <c r="BB11" s="12">
        <v>7.7358756495716718E-2</v>
      </c>
      <c r="BD11" s="8" t="s">
        <v>180</v>
      </c>
      <c r="BE11" s="8" t="s">
        <v>184</v>
      </c>
      <c r="BF11" s="12">
        <v>0</v>
      </c>
      <c r="BG11" s="12">
        <v>0</v>
      </c>
      <c r="BH11" s="12">
        <v>0</v>
      </c>
      <c r="BI11" s="12">
        <v>6.6697172627272691E-2</v>
      </c>
      <c r="BJ11" s="12">
        <v>0.26236907371343698</v>
      </c>
      <c r="BK11" s="12">
        <v>0</v>
      </c>
      <c r="BL11" s="12">
        <v>0</v>
      </c>
      <c r="BM11" s="12">
        <v>0</v>
      </c>
      <c r="BN11" s="12">
        <v>1.4864574309612411E-2</v>
      </c>
      <c r="BO11" s="12">
        <v>6.8854766217429822E-2</v>
      </c>
      <c r="BP11" s="12">
        <v>8.9979913845625162E-2</v>
      </c>
      <c r="BQ11" s="12">
        <v>2.5691308525893283E-2</v>
      </c>
      <c r="BR11" s="12">
        <v>0</v>
      </c>
      <c r="BS11" s="12">
        <v>0</v>
      </c>
      <c r="BT11" s="12">
        <v>1.2692652104878918E-2</v>
      </c>
      <c r="BU11" s="12">
        <v>4.3060888417514244E-2</v>
      </c>
      <c r="BV11" s="12">
        <v>4.4794176953265048E-2</v>
      </c>
      <c r="BW11" s="12">
        <v>7.5741616007362926E-3</v>
      </c>
      <c r="BX11" s="12">
        <v>0</v>
      </c>
      <c r="BY11" s="12">
        <v>0</v>
      </c>
      <c r="BZ11" s="12">
        <v>2.3240619945885267E-2</v>
      </c>
      <c r="CA11" s="12">
        <v>0.13432162300804021</v>
      </c>
      <c r="CB11" s="12">
        <v>0.16466008547934008</v>
      </c>
      <c r="CC11" s="12">
        <v>4.8456646614319816E-2</v>
      </c>
      <c r="CE11" s="8" t="s">
        <v>130</v>
      </c>
      <c r="CF11" s="12">
        <v>0</v>
      </c>
      <c r="CG11" s="10">
        <v>9.3701215004307289E-4</v>
      </c>
      <c r="CH11" s="12">
        <v>0.11540828749551538</v>
      </c>
      <c r="CI11" s="12">
        <v>0.16561067296201512</v>
      </c>
      <c r="CJ11" s="12">
        <v>6.7831644755431506E-2</v>
      </c>
      <c r="CK11" s="10">
        <v>1.4985244183047341E-5</v>
      </c>
      <c r="CL11" s="10">
        <v>0</v>
      </c>
      <c r="CM11" s="12">
        <v>0.14010000741463252</v>
      </c>
      <c r="CN11" s="12">
        <v>0.41638795370722392</v>
      </c>
      <c r="CO11" s="12">
        <v>0.40897747015723412</v>
      </c>
      <c r="CP11" s="12">
        <v>0.30015365058466276</v>
      </c>
      <c r="CQ11" s="12">
        <v>7.4646578343406225E-2</v>
      </c>
      <c r="CR11" s="10">
        <v>0</v>
      </c>
      <c r="CS11" s="12">
        <v>0.22102008505901161</v>
      </c>
      <c r="CT11" s="12">
        <v>0.4896432311080367</v>
      </c>
      <c r="CU11" s="12">
        <v>0.47312302099989328</v>
      </c>
      <c r="CV11" s="12">
        <v>0.38642230991929927</v>
      </c>
      <c r="CW11" s="12">
        <v>0.15569430418942726</v>
      </c>
      <c r="CX11" s="12">
        <v>0</v>
      </c>
      <c r="CY11" s="12">
        <v>4.3855942021377048E-2</v>
      </c>
      <c r="CZ11" s="12">
        <v>0.22775982151903659</v>
      </c>
      <c r="DA11" s="12">
        <v>0.25466735491824655</v>
      </c>
      <c r="DB11" s="12">
        <v>0.16071436318851925</v>
      </c>
      <c r="DC11" s="12">
        <v>1.1425953135917414E-2</v>
      </c>
      <c r="DE11" s="8" t="s">
        <v>130</v>
      </c>
      <c r="DF11" s="8" t="s">
        <v>187</v>
      </c>
      <c r="DG11" s="8" t="s">
        <v>188</v>
      </c>
      <c r="DH11" s="12">
        <v>0.47723223346975913</v>
      </c>
    </row>
    <row r="12" spans="1:112" x14ac:dyDescent="0.45">
      <c r="B12" s="9" t="s">
        <v>131</v>
      </c>
      <c r="C12" s="9" t="s">
        <v>31</v>
      </c>
      <c r="D12" s="13">
        <v>0</v>
      </c>
      <c r="E12" s="13">
        <v>0.93986172539282664</v>
      </c>
      <c r="F12" s="13">
        <v>0.29817787488962194</v>
      </c>
      <c r="G12" s="13">
        <v>0.20139815561807053</v>
      </c>
      <c r="H12" s="13">
        <v>0.42441095122493799</v>
      </c>
      <c r="I12" s="13">
        <v>0</v>
      </c>
      <c r="J12" s="13">
        <v>0</v>
      </c>
      <c r="K12" s="13">
        <v>0.49600803820674116</v>
      </c>
      <c r="L12" s="13">
        <v>0.24146159269647616</v>
      </c>
      <c r="M12" s="13">
        <v>0.1730937179426596</v>
      </c>
      <c r="N12" s="13">
        <v>0.25010163465111973</v>
      </c>
      <c r="O12" s="13">
        <v>0.5851061254644635</v>
      </c>
      <c r="P12" s="13">
        <v>0</v>
      </c>
      <c r="Q12" s="13">
        <v>0.34373619365884217</v>
      </c>
      <c r="R12" s="13">
        <v>0.15307849629276118</v>
      </c>
      <c r="S12" s="13">
        <v>0.12227438224110022</v>
      </c>
      <c r="T12" s="13">
        <v>0.1572642478951958</v>
      </c>
      <c r="U12" s="13">
        <v>0.35101364817082203</v>
      </c>
      <c r="V12" s="13">
        <v>0</v>
      </c>
      <c r="W12" s="13">
        <v>0.70578132636290181</v>
      </c>
      <c r="X12" s="13">
        <v>0.29726229558700729</v>
      </c>
      <c r="Y12" s="13">
        <v>0.22195662554192908</v>
      </c>
      <c r="Z12" s="13">
        <v>0.37730346265780956</v>
      </c>
      <c r="AA12" s="13">
        <v>0.91557214387885633</v>
      </c>
      <c r="AC12" s="9" t="s">
        <v>182</v>
      </c>
      <c r="AD12" s="9" t="s">
        <v>181</v>
      </c>
      <c r="AE12" s="15">
        <v>5.5084086294680543E-3</v>
      </c>
      <c r="AF12" s="13">
        <v>3.7964320829682748E-3</v>
      </c>
      <c r="AG12" s="13">
        <v>3.4748667269467494E-3</v>
      </c>
      <c r="AH12" s="13">
        <v>1.6120793358453632E-3</v>
      </c>
      <c r="AI12" s="13">
        <v>5.5896236368427089E-3</v>
      </c>
      <c r="AJ12" s="13">
        <v>2.0620529178097618E-3</v>
      </c>
      <c r="AK12" s="13">
        <v>7.9936096347944813E-3</v>
      </c>
      <c r="AL12" s="13">
        <v>3.8354106348134852E-3</v>
      </c>
      <c r="AM12" s="13">
        <v>2.9934049395980104E-3</v>
      </c>
      <c r="AN12" s="13">
        <v>1.4824241528974293E-2</v>
      </c>
      <c r="AO12" s="11">
        <v>1.4416429118076566E-2</v>
      </c>
      <c r="AP12" s="13">
        <v>1.4607624377769071E-2</v>
      </c>
      <c r="AQ12" s="13">
        <v>2.6903893532390567E-2</v>
      </c>
      <c r="AR12" s="11">
        <v>3.0307975268596394E-5</v>
      </c>
      <c r="AS12" s="13">
        <v>4.2273865787974081E-3</v>
      </c>
      <c r="AT12" s="13">
        <v>1.3452750356734773E-2</v>
      </c>
      <c r="AU12" s="13">
        <v>1.0374733057415306E-2</v>
      </c>
      <c r="AV12" s="13">
        <v>1.4713274531734268E-2</v>
      </c>
      <c r="AW12" s="15">
        <v>4.0805723723736816E-3</v>
      </c>
      <c r="AX12" s="13">
        <v>3.1120794226271627E-3</v>
      </c>
      <c r="AY12" s="13">
        <v>9.788316940177599E-3</v>
      </c>
      <c r="AZ12" s="15">
        <v>5.4688110229418547E-3</v>
      </c>
      <c r="BA12" s="15">
        <v>1.6025929878984142E-3</v>
      </c>
      <c r="BB12" s="13">
        <v>8.5200991411339359E-3</v>
      </c>
      <c r="BD12" s="9" t="s">
        <v>182</v>
      </c>
      <c r="BE12" s="9" t="s">
        <v>184</v>
      </c>
      <c r="BF12" s="13">
        <v>1.192893216582871E-2</v>
      </c>
      <c r="BG12" s="13">
        <v>1.5996236163594513E-2</v>
      </c>
      <c r="BH12" s="13">
        <v>1.922291157977218E-2</v>
      </c>
      <c r="BI12" s="13">
        <v>1.2577675947368281E-2</v>
      </c>
      <c r="BJ12" s="13">
        <v>8.3159135861520569E-3</v>
      </c>
      <c r="BK12" s="13">
        <v>2.0055289339086631E-2</v>
      </c>
      <c r="BL12" s="13">
        <v>2.386997557877275E-2</v>
      </c>
      <c r="BM12" s="13">
        <v>2.3743007942783622E-2</v>
      </c>
      <c r="BN12" s="13">
        <v>2.1887953629838378E-2</v>
      </c>
      <c r="BO12" s="13">
        <v>4.0252865265054619E-3</v>
      </c>
      <c r="BP12" s="13">
        <v>1.6817132185485362E-2</v>
      </c>
      <c r="BQ12" s="13">
        <v>2.8500119067058242E-2</v>
      </c>
      <c r="BR12" s="13">
        <v>4.3705738479396343E-2</v>
      </c>
      <c r="BS12" s="13">
        <v>4.1899488507573891E-2</v>
      </c>
      <c r="BT12" s="13">
        <v>1.4279314832199403E-2</v>
      </c>
      <c r="BU12" s="13">
        <v>4.0547567319135797E-3</v>
      </c>
      <c r="BV12" s="13">
        <v>1.2328209362005613E-2</v>
      </c>
      <c r="BW12" s="13">
        <v>2.8108852241601825E-2</v>
      </c>
      <c r="BX12" s="13">
        <v>1.9946199454849125E-2</v>
      </c>
      <c r="BY12" s="13">
        <v>1.0602363519376977E-2</v>
      </c>
      <c r="BZ12" s="13">
        <v>1.6584421655317521E-2</v>
      </c>
      <c r="CA12" s="13">
        <v>2.9129903154004263E-2</v>
      </c>
      <c r="CB12" s="13">
        <v>2.5009058867686191E-2</v>
      </c>
      <c r="CC12" s="13">
        <v>1.1585298706563109E-3</v>
      </c>
      <c r="CE12" s="9" t="s">
        <v>131</v>
      </c>
      <c r="CF12" s="13">
        <v>0</v>
      </c>
      <c r="CG12" s="11">
        <v>2.6403115682416467E-3</v>
      </c>
      <c r="CH12" s="13">
        <v>0.13912799401844431</v>
      </c>
      <c r="CI12" s="13">
        <v>0.20052207033512848</v>
      </c>
      <c r="CJ12" s="13">
        <v>8.6074902070586795E-2</v>
      </c>
      <c r="CK12" s="11">
        <v>0</v>
      </c>
      <c r="CL12" s="11">
        <v>0</v>
      </c>
      <c r="CM12" s="13">
        <v>0.14461496965428877</v>
      </c>
      <c r="CN12" s="13">
        <v>0.40332502884889238</v>
      </c>
      <c r="CO12" s="13">
        <v>0.4212549150686995</v>
      </c>
      <c r="CP12" s="13">
        <v>0.3075780150549518</v>
      </c>
      <c r="CQ12" s="13">
        <v>6.6638496658394566E-2</v>
      </c>
      <c r="CR12" s="11">
        <v>0</v>
      </c>
      <c r="CS12" s="13">
        <v>0.2349124058272099</v>
      </c>
      <c r="CT12" s="13">
        <v>0.49566482363898523</v>
      </c>
      <c r="CU12" s="13">
        <v>0.47824742048515739</v>
      </c>
      <c r="CV12" s="13">
        <v>0.39470746901011078</v>
      </c>
      <c r="CW12" s="13">
        <v>0.14290446079863062</v>
      </c>
      <c r="CX12" s="13">
        <v>0</v>
      </c>
      <c r="CY12" s="13">
        <v>5.5663992684247141E-2</v>
      </c>
      <c r="CZ12" s="13">
        <v>0.26077059139739994</v>
      </c>
      <c r="DA12" s="13">
        <v>0.28133446823902153</v>
      </c>
      <c r="DB12" s="13">
        <v>0.16800933072376353</v>
      </c>
      <c r="DC12" s="13">
        <v>8.3533911237236615E-3</v>
      </c>
      <c r="DE12" s="9" t="s">
        <v>131</v>
      </c>
      <c r="DF12" s="9" t="s">
        <v>187</v>
      </c>
      <c r="DG12" s="9" t="s">
        <v>188</v>
      </c>
      <c r="DH12" s="13">
        <v>0.46019131892170617</v>
      </c>
    </row>
    <row r="13" spans="1:112" x14ac:dyDescent="0.45">
      <c r="B13" s="8" t="s">
        <v>132</v>
      </c>
      <c r="C13" s="8" t="s">
        <v>31</v>
      </c>
      <c r="D13" s="12">
        <v>0</v>
      </c>
      <c r="E13" s="12">
        <v>0.94168534772585366</v>
      </c>
      <c r="F13" s="12">
        <v>0.31052693901749107</v>
      </c>
      <c r="G13" s="12">
        <v>0.21542372157355105</v>
      </c>
      <c r="H13" s="12">
        <v>0.46371147392902645</v>
      </c>
      <c r="I13" s="12">
        <v>0</v>
      </c>
      <c r="J13" s="12">
        <v>0</v>
      </c>
      <c r="K13" s="12">
        <v>0.48611038236116239</v>
      </c>
      <c r="L13" s="12">
        <v>0.22553395477146079</v>
      </c>
      <c r="M13" s="12">
        <v>0.17446192790589943</v>
      </c>
      <c r="N13" s="12">
        <v>0.25120937554772566</v>
      </c>
      <c r="O13" s="12">
        <v>0.57377699351260614</v>
      </c>
      <c r="P13" s="12">
        <v>0</v>
      </c>
      <c r="Q13" s="12">
        <v>0.3310125085891289</v>
      </c>
      <c r="R13" s="12">
        <v>0.141669167714436</v>
      </c>
      <c r="S13" s="12">
        <v>0.11642239595601546</v>
      </c>
      <c r="T13" s="12">
        <v>0.15777798177428001</v>
      </c>
      <c r="U13" s="12">
        <v>0.32521130668760329</v>
      </c>
      <c r="V13" s="12">
        <v>0</v>
      </c>
      <c r="W13" s="12">
        <v>0.6864624948035728</v>
      </c>
      <c r="X13" s="12">
        <v>0.28230491270521302</v>
      </c>
      <c r="Y13" s="12">
        <v>0.24508300768063565</v>
      </c>
      <c r="Z13" s="12">
        <v>0.39816454698360276</v>
      </c>
      <c r="AA13" s="12">
        <v>0.91585312228393623</v>
      </c>
      <c r="AC13" s="8" t="s">
        <v>183</v>
      </c>
      <c r="AD13" s="8" t="s">
        <v>181</v>
      </c>
      <c r="AE13" s="14">
        <v>7.6980717583196743E-3</v>
      </c>
      <c r="AF13" s="12">
        <v>3.7726509291637232E-3</v>
      </c>
      <c r="AG13" s="12">
        <v>1.0201955695666351E-2</v>
      </c>
      <c r="AH13" s="12">
        <v>1.74278433409449E-3</v>
      </c>
      <c r="AI13" s="12">
        <v>4.5372655254880311E-3</v>
      </c>
      <c r="AJ13" s="12">
        <v>1.2334123851778334E-2</v>
      </c>
      <c r="AK13" s="12">
        <v>8.5804848730547372E-3</v>
      </c>
      <c r="AL13" s="12">
        <v>1.3549645872738924E-2</v>
      </c>
      <c r="AM13" s="12">
        <v>2.7532961400132277E-3</v>
      </c>
      <c r="AN13" s="12">
        <v>9.5363050864162493E-3</v>
      </c>
      <c r="AO13" s="10">
        <v>9.8581880154002422E-3</v>
      </c>
      <c r="AP13" s="12">
        <v>7.8155682719605601E-3</v>
      </c>
      <c r="AQ13" s="12">
        <v>1.8356388181634691E-2</v>
      </c>
      <c r="AR13" s="10">
        <v>8.011005602403861E-3</v>
      </c>
      <c r="AS13" s="12">
        <v>1.3600147175488629E-2</v>
      </c>
      <c r="AT13" s="12">
        <v>1.6076966040676315E-2</v>
      </c>
      <c r="AU13" s="12">
        <v>1.8885519306793715E-2</v>
      </c>
      <c r="AV13" s="12">
        <v>1.0806793878210924E-2</v>
      </c>
      <c r="AW13" s="14">
        <v>8.1778477128008308E-3</v>
      </c>
      <c r="AX13" s="12">
        <v>9.6704808159768646E-3</v>
      </c>
      <c r="AY13" s="12">
        <v>9.6749324849943873E-3</v>
      </c>
      <c r="AZ13" s="14">
        <v>3.0256808882693428E-3</v>
      </c>
      <c r="BA13" s="14">
        <v>5.1210205432281617E-3</v>
      </c>
      <c r="BB13" s="12">
        <v>5.1052119626456335E-3</v>
      </c>
      <c r="BD13" s="8" t="s">
        <v>183</v>
      </c>
      <c r="BE13" s="8" t="s">
        <v>184</v>
      </c>
      <c r="BF13" s="12">
        <v>1.3470539756647708E-2</v>
      </c>
      <c r="BG13" s="12">
        <v>2.3048265372373717E-2</v>
      </c>
      <c r="BH13" s="12">
        <v>1.0307809322342295E-2</v>
      </c>
      <c r="BI13" s="12">
        <v>2.1334163761805521E-2</v>
      </c>
      <c r="BJ13" s="12">
        <v>1.6373794253045384E-2</v>
      </c>
      <c r="BK13" s="12">
        <v>7.8651127284984149E-3</v>
      </c>
      <c r="BL13" s="12">
        <v>2.0570462821408963E-2</v>
      </c>
      <c r="BM13" s="12">
        <v>2.6569795728505353E-2</v>
      </c>
      <c r="BN13" s="12">
        <v>2.4173287382053831E-2</v>
      </c>
      <c r="BO13" s="12">
        <v>1.1892285222689149E-2</v>
      </c>
      <c r="BP13" s="12">
        <v>9.7201665871976695E-3</v>
      </c>
      <c r="BQ13" s="12">
        <v>2.3709859026270867E-2</v>
      </c>
      <c r="BR13" s="12">
        <v>2.8842597224205842E-2</v>
      </c>
      <c r="BS13" s="12">
        <v>3.3035205071412402E-2</v>
      </c>
      <c r="BT13" s="12">
        <v>3.5054573901294808E-2</v>
      </c>
      <c r="BU13" s="12">
        <v>5.6437549634243328E-2</v>
      </c>
      <c r="BV13" s="12">
        <v>3.8128533365411235E-2</v>
      </c>
      <c r="BW13" s="12">
        <v>4.4028279280318834E-2</v>
      </c>
      <c r="BX13" s="12">
        <v>1.0760739887818062E-2</v>
      </c>
      <c r="BY13" s="12">
        <v>1.2536294509504404E-2</v>
      </c>
      <c r="BZ13" s="12">
        <v>2.1239863889177049E-2</v>
      </c>
      <c r="CA13" s="12">
        <v>2.6124853970543999E-2</v>
      </c>
      <c r="CB13" s="12">
        <v>1.732382675463293E-2</v>
      </c>
      <c r="CC13" s="12">
        <v>1.766543856623037E-2</v>
      </c>
      <c r="CE13" s="8" t="s">
        <v>132</v>
      </c>
      <c r="CF13" s="12">
        <v>0</v>
      </c>
      <c r="CG13" s="10">
        <v>1.6573521439757742E-3</v>
      </c>
      <c r="CH13" s="12">
        <v>0.12202313903068995</v>
      </c>
      <c r="CI13" s="12">
        <v>0.17576189878388435</v>
      </c>
      <c r="CJ13" s="12">
        <v>6.5482590987575778E-2</v>
      </c>
      <c r="CK13" s="10">
        <v>0</v>
      </c>
      <c r="CL13" s="10">
        <v>0</v>
      </c>
      <c r="CM13" s="12">
        <v>0.14922295869307248</v>
      </c>
      <c r="CN13" s="12">
        <v>0.40923677817822457</v>
      </c>
      <c r="CO13" s="12">
        <v>0.41496907993237686</v>
      </c>
      <c r="CP13" s="12">
        <v>0.30410776379022514</v>
      </c>
      <c r="CQ13" s="12">
        <v>7.0653293219889848E-2</v>
      </c>
      <c r="CR13" s="10">
        <v>0</v>
      </c>
      <c r="CS13" s="12">
        <v>0.23527254607040898</v>
      </c>
      <c r="CT13" s="12">
        <v>0.49343321072238172</v>
      </c>
      <c r="CU13" s="12">
        <v>0.47543890991229631</v>
      </c>
      <c r="CV13" s="12">
        <v>0.3881603806858645</v>
      </c>
      <c r="CW13" s="12">
        <v>0.14872818725358616</v>
      </c>
      <c r="CX13" s="12">
        <v>0</v>
      </c>
      <c r="CY13" s="12">
        <v>5.2990249485886792E-2</v>
      </c>
      <c r="CZ13" s="12">
        <v>0.2524037474444602</v>
      </c>
      <c r="DA13" s="12">
        <v>0.26538199845337018</v>
      </c>
      <c r="DB13" s="12">
        <v>0.15461486186464241</v>
      </c>
      <c r="DC13" s="12">
        <v>7.9644451709861043E-3</v>
      </c>
      <c r="DE13" s="8" t="s">
        <v>132</v>
      </c>
      <c r="DF13" s="8" t="s">
        <v>187</v>
      </c>
      <c r="DG13" s="8" t="s">
        <v>188</v>
      </c>
      <c r="DH13" s="12">
        <v>0.47119571981581482</v>
      </c>
    </row>
    <row r="14" spans="1:112" x14ac:dyDescent="0.45">
      <c r="B14" s="9" t="s">
        <v>133</v>
      </c>
      <c r="C14" s="9" t="s">
        <v>31</v>
      </c>
      <c r="D14" s="13">
        <v>0</v>
      </c>
      <c r="E14" s="13">
        <v>0.96377327308040506</v>
      </c>
      <c r="F14" s="13">
        <v>0.37596023403561929</v>
      </c>
      <c r="G14" s="13">
        <v>0.24847019488586528</v>
      </c>
      <c r="H14" s="13">
        <v>0.49798106221295868</v>
      </c>
      <c r="I14" s="13">
        <v>0</v>
      </c>
      <c r="J14" s="13">
        <v>0</v>
      </c>
      <c r="K14" s="13">
        <v>0.48473748100188419</v>
      </c>
      <c r="L14" s="13">
        <v>0.19009562662712831</v>
      </c>
      <c r="M14" s="13">
        <v>0.16208241043798813</v>
      </c>
      <c r="N14" s="13">
        <v>0.24435494577886208</v>
      </c>
      <c r="O14" s="13">
        <v>0.53471063745074177</v>
      </c>
      <c r="P14" s="13">
        <v>0</v>
      </c>
      <c r="Q14" s="13">
        <v>0.34021800689973086</v>
      </c>
      <c r="R14" s="13">
        <v>0.13978217154710135</v>
      </c>
      <c r="S14" s="13">
        <v>0.11615298251355453</v>
      </c>
      <c r="T14" s="13">
        <v>0.16642960980348734</v>
      </c>
      <c r="U14" s="13">
        <v>0.32112334148011812</v>
      </c>
      <c r="V14" s="13">
        <v>0</v>
      </c>
      <c r="W14" s="13">
        <v>0.75090319772408576</v>
      </c>
      <c r="X14" s="13">
        <v>0.35870201249688904</v>
      </c>
      <c r="Y14" s="13">
        <v>0.27875454918568121</v>
      </c>
      <c r="Z14" s="13">
        <v>0.41377811026922595</v>
      </c>
      <c r="AA14" s="13">
        <v>0.89929275476105874</v>
      </c>
      <c r="CE14" s="9" t="s">
        <v>133</v>
      </c>
      <c r="CF14" s="13">
        <v>0</v>
      </c>
      <c r="CG14" s="11">
        <v>1.1036977038906849E-3</v>
      </c>
      <c r="CH14" s="13">
        <v>0.10187991070999253</v>
      </c>
      <c r="CI14" s="13">
        <v>0.14605960449451316</v>
      </c>
      <c r="CJ14" s="13">
        <v>5.8428798057396154E-2</v>
      </c>
      <c r="CK14" s="11">
        <v>0</v>
      </c>
      <c r="CL14" s="11">
        <v>0</v>
      </c>
      <c r="CM14" s="13">
        <v>0.1533953439383009</v>
      </c>
      <c r="CN14" s="13">
        <v>0.45122201899368458</v>
      </c>
      <c r="CO14" s="13">
        <v>0.4375490317344734</v>
      </c>
      <c r="CP14" s="13">
        <v>0.32282600182226395</v>
      </c>
      <c r="CQ14" s="13">
        <v>7.5512652056505064E-2</v>
      </c>
      <c r="CR14" s="11">
        <v>0</v>
      </c>
      <c r="CS14" s="13">
        <v>0.22805918825873248</v>
      </c>
      <c r="CT14" s="13">
        <v>0.48855824050592844</v>
      </c>
      <c r="CU14" s="13">
        <v>0.48787460671790772</v>
      </c>
      <c r="CV14" s="13">
        <v>0.39819598260343075</v>
      </c>
      <c r="CW14" s="13">
        <v>0.1648207215591726</v>
      </c>
      <c r="CX14" s="13">
        <v>0</v>
      </c>
      <c r="CY14" s="13">
        <v>4.1872873268113633E-2</v>
      </c>
      <c r="CZ14" s="13">
        <v>0.2189529706229591</v>
      </c>
      <c r="DA14" s="13">
        <v>0.24551952545790026</v>
      </c>
      <c r="DB14" s="13">
        <v>0.15020734121574669</v>
      </c>
      <c r="DC14" s="13">
        <v>1.086552975405989E-2</v>
      </c>
      <c r="DE14" s="9" t="s">
        <v>133</v>
      </c>
      <c r="DF14" s="9" t="s">
        <v>187</v>
      </c>
      <c r="DG14" s="9" t="s">
        <v>188</v>
      </c>
      <c r="DH14" s="13">
        <v>0.47527863625786126</v>
      </c>
    </row>
    <row r="15" spans="1:112" x14ac:dyDescent="0.45">
      <c r="B15" s="8" t="s">
        <v>134</v>
      </c>
      <c r="C15" s="8" t="s">
        <v>31</v>
      </c>
      <c r="D15" s="12">
        <v>0</v>
      </c>
      <c r="E15" s="12">
        <v>0.94593008459714256</v>
      </c>
      <c r="F15" s="12">
        <v>0.3618422716655848</v>
      </c>
      <c r="G15" s="12">
        <v>0.2468918903023718</v>
      </c>
      <c r="H15" s="12">
        <v>0.52636619483614722</v>
      </c>
      <c r="I15" s="12">
        <v>0</v>
      </c>
      <c r="J15" s="12">
        <v>0</v>
      </c>
      <c r="K15" s="12">
        <v>0.48112623448095104</v>
      </c>
      <c r="L15" s="12">
        <v>0.19406397139179146</v>
      </c>
      <c r="M15" s="12">
        <v>0.15216491755989148</v>
      </c>
      <c r="N15" s="12">
        <v>0.23636553097619775</v>
      </c>
      <c r="O15" s="12">
        <v>0.5630453166592766</v>
      </c>
      <c r="P15" s="12">
        <v>0</v>
      </c>
      <c r="Q15" s="12">
        <v>0.31547186451584119</v>
      </c>
      <c r="R15" s="12">
        <v>0.13744713182096113</v>
      </c>
      <c r="S15" s="12">
        <v>0.11252852590436803</v>
      </c>
      <c r="T15" s="12">
        <v>0.15299369336973012</v>
      </c>
      <c r="U15" s="12">
        <v>0.31522603640594782</v>
      </c>
      <c r="V15" s="12">
        <v>0</v>
      </c>
      <c r="W15" s="12">
        <v>0.71134112912349112</v>
      </c>
      <c r="X15" s="12">
        <v>0.33224038617534529</v>
      </c>
      <c r="Y15" s="12">
        <v>0.27323497076025649</v>
      </c>
      <c r="Z15" s="12">
        <v>0.43554887961000682</v>
      </c>
      <c r="AA15" s="12">
        <v>0.91075514584681339</v>
      </c>
      <c r="CE15" s="8" t="s">
        <v>134</v>
      </c>
      <c r="CF15" s="12">
        <v>0</v>
      </c>
      <c r="CG15" s="10">
        <v>1.4435157035495613E-3</v>
      </c>
      <c r="CH15" s="12">
        <v>0.10601920406518857</v>
      </c>
      <c r="CI15" s="12">
        <v>0.14314647350110235</v>
      </c>
      <c r="CJ15" s="12">
        <v>5.0844360720298389E-2</v>
      </c>
      <c r="CK15" s="10">
        <v>0</v>
      </c>
      <c r="CL15" s="10">
        <v>0</v>
      </c>
      <c r="CM15" s="12">
        <v>0.16012401733324239</v>
      </c>
      <c r="CN15" s="12">
        <v>0.46041036457003082</v>
      </c>
      <c r="CO15" s="12">
        <v>0.44957085123057139</v>
      </c>
      <c r="CP15" s="12">
        <v>0.32708568378663211</v>
      </c>
      <c r="CQ15" s="12">
        <v>7.4075950190006318E-2</v>
      </c>
      <c r="CR15" s="10">
        <v>0</v>
      </c>
      <c r="CS15" s="12">
        <v>0.24291534494283645</v>
      </c>
      <c r="CT15" s="12">
        <v>0.4902452739001581</v>
      </c>
      <c r="CU15" s="12">
        <v>0.4806183795411248</v>
      </c>
      <c r="CV15" s="12">
        <v>0.39635049406825329</v>
      </c>
      <c r="CW15" s="12">
        <v>0.15785911182272702</v>
      </c>
      <c r="CX15" s="12">
        <v>0</v>
      </c>
      <c r="CY15" s="12">
        <v>5.4643122794047559E-2</v>
      </c>
      <c r="CZ15" s="12">
        <v>0.24232022808010126</v>
      </c>
      <c r="DA15" s="12">
        <v>0.24406952171289317</v>
      </c>
      <c r="DB15" s="12">
        <v>0.14018881182750989</v>
      </c>
      <c r="DC15" s="12">
        <v>8.9650525729085846E-3</v>
      </c>
      <c r="DE15" s="8" t="s">
        <v>134</v>
      </c>
      <c r="DF15" s="8" t="s">
        <v>187</v>
      </c>
      <c r="DG15" s="8" t="s">
        <v>188</v>
      </c>
      <c r="DH15" s="12">
        <v>0.46529995587009387</v>
      </c>
    </row>
    <row r="16" spans="1:112" x14ac:dyDescent="0.45">
      <c r="B16" s="9" t="s">
        <v>135</v>
      </c>
      <c r="C16" s="9" t="s">
        <v>31</v>
      </c>
      <c r="D16" s="13">
        <v>0</v>
      </c>
      <c r="E16" s="13">
        <v>0.93066758166643071</v>
      </c>
      <c r="F16" s="13">
        <v>0.33278875843367434</v>
      </c>
      <c r="G16" s="13">
        <v>0.25805686112582427</v>
      </c>
      <c r="H16" s="13">
        <v>0.58708931935871955</v>
      </c>
      <c r="I16" s="13">
        <v>0</v>
      </c>
      <c r="J16" s="13">
        <v>0.9932065217391306</v>
      </c>
      <c r="K16" s="13">
        <v>0.4342586207665281</v>
      </c>
      <c r="L16" s="13">
        <v>0.16111001997413951</v>
      </c>
      <c r="M16" s="13">
        <v>0.13694137886931487</v>
      </c>
      <c r="N16" s="13">
        <v>0.23585933943904921</v>
      </c>
      <c r="O16" s="13">
        <v>0.62232719242122281</v>
      </c>
      <c r="P16" s="13">
        <v>0.94779515325809371</v>
      </c>
      <c r="Q16" s="13">
        <v>0.28140858308870659</v>
      </c>
      <c r="R16" s="13">
        <v>0.13792905947247583</v>
      </c>
      <c r="S16" s="13">
        <v>0.1165711592788707</v>
      </c>
      <c r="T16" s="13">
        <v>0.14914744183834949</v>
      </c>
      <c r="U16" s="13">
        <v>0.35630566864609359</v>
      </c>
      <c r="V16" s="13">
        <v>0</v>
      </c>
      <c r="W16" s="13">
        <v>0.69076464388004866</v>
      </c>
      <c r="X16" s="13">
        <v>0.31886656825393006</v>
      </c>
      <c r="Y16" s="13">
        <v>0.28273851817855794</v>
      </c>
      <c r="Z16" s="13">
        <v>0.48733001052403707</v>
      </c>
      <c r="AA16" s="13">
        <v>0.93959439985970195</v>
      </c>
      <c r="CE16" s="9" t="s">
        <v>135</v>
      </c>
      <c r="CF16" s="13">
        <v>0</v>
      </c>
      <c r="CG16" s="11">
        <v>3.6012075058526332E-3</v>
      </c>
      <c r="CH16" s="13">
        <v>0.11192835609431984</v>
      </c>
      <c r="CI16" s="13">
        <v>0.13861486620739757</v>
      </c>
      <c r="CJ16" s="13">
        <v>4.0998253126608743E-2</v>
      </c>
      <c r="CK16" s="11">
        <v>0</v>
      </c>
      <c r="CL16" s="11">
        <v>1.554784548020344E-4</v>
      </c>
      <c r="CM16" s="13">
        <v>0.2041917221632121</v>
      </c>
      <c r="CN16" s="13">
        <v>0.49697616612066681</v>
      </c>
      <c r="CO16" s="13">
        <v>0.46964163077657584</v>
      </c>
      <c r="CP16" s="13">
        <v>0.34762230600048655</v>
      </c>
      <c r="CQ16" s="13">
        <v>6.639295997168243E-2</v>
      </c>
      <c r="CR16" s="11">
        <v>1.9450796242089477E-3</v>
      </c>
      <c r="CS16" s="13">
        <v>0.26566382100416708</v>
      </c>
      <c r="CT16" s="13">
        <v>0.48338139192116536</v>
      </c>
      <c r="CU16" s="13">
        <v>0.47083203558131137</v>
      </c>
      <c r="CV16" s="13">
        <v>0.38801865187955958</v>
      </c>
      <c r="CW16" s="13">
        <v>0.14043437944487688</v>
      </c>
      <c r="CX16" s="13">
        <v>0</v>
      </c>
      <c r="CY16" s="13">
        <v>5.636280222384598E-2</v>
      </c>
      <c r="CZ16" s="13">
        <v>0.23009901772515168</v>
      </c>
      <c r="DA16" s="13">
        <v>0.23035804833817053</v>
      </c>
      <c r="DB16" s="13">
        <v>0.12465430730857059</v>
      </c>
      <c r="DC16" s="13">
        <v>7.1867395141233439E-3</v>
      </c>
      <c r="DE16" s="9" t="s">
        <v>135</v>
      </c>
      <c r="DF16" s="9" t="s">
        <v>187</v>
      </c>
      <c r="DG16" s="9" t="s">
        <v>188</v>
      </c>
      <c r="DH16" s="13">
        <v>0.4525053270396443</v>
      </c>
    </row>
    <row r="17" spans="2:112" x14ac:dyDescent="0.45">
      <c r="B17" s="8" t="s">
        <v>136</v>
      </c>
      <c r="C17" s="8" t="s">
        <v>31</v>
      </c>
      <c r="D17" s="12">
        <v>0</v>
      </c>
      <c r="E17" s="12">
        <v>0.95230942280179109</v>
      </c>
      <c r="F17" s="12">
        <v>0.38790389783920415</v>
      </c>
      <c r="G17" s="12">
        <v>0.2790098813008548</v>
      </c>
      <c r="H17" s="12">
        <v>0.53635738004345979</v>
      </c>
      <c r="I17" s="12">
        <v>0</v>
      </c>
      <c r="J17" s="12">
        <v>0</v>
      </c>
      <c r="K17" s="12">
        <v>0.44412705984110684</v>
      </c>
      <c r="L17" s="12">
        <v>0.14772561541676335</v>
      </c>
      <c r="M17" s="12">
        <v>0.12776412501690873</v>
      </c>
      <c r="N17" s="12">
        <v>0.20921461234188515</v>
      </c>
      <c r="O17" s="12">
        <v>0.54822599117448645</v>
      </c>
      <c r="P17" s="12">
        <v>0.98641304347826086</v>
      </c>
      <c r="Q17" s="12">
        <v>0.30746415729514803</v>
      </c>
      <c r="R17" s="12">
        <v>0.13968995355501265</v>
      </c>
      <c r="S17" s="12">
        <v>0.10409791744830608</v>
      </c>
      <c r="T17" s="12">
        <v>0.14293166097837692</v>
      </c>
      <c r="U17" s="12">
        <v>0.31373316290343778</v>
      </c>
      <c r="V17" s="12">
        <v>0</v>
      </c>
      <c r="W17" s="12">
        <v>0.71946962628130917</v>
      </c>
      <c r="X17" s="12">
        <v>0.32897014286411519</v>
      </c>
      <c r="Y17" s="12">
        <v>0.2808287659932871</v>
      </c>
      <c r="Z17" s="12">
        <v>0.44529825302873582</v>
      </c>
      <c r="AA17" s="12">
        <v>0.90186157169352077</v>
      </c>
      <c r="CE17" s="8" t="s">
        <v>136</v>
      </c>
      <c r="CF17" s="12">
        <v>0</v>
      </c>
      <c r="CG17" s="10">
        <v>1.8390284478325999E-3</v>
      </c>
      <c r="CH17" s="12">
        <v>9.8670841323073633E-2</v>
      </c>
      <c r="CI17" s="12">
        <v>0.1436442488185915</v>
      </c>
      <c r="CJ17" s="12">
        <v>5.4408387088354528E-2</v>
      </c>
      <c r="CK17" s="10">
        <v>0</v>
      </c>
      <c r="CL17" s="10">
        <v>0</v>
      </c>
      <c r="CM17" s="12">
        <v>0.18010182372865935</v>
      </c>
      <c r="CN17" s="12">
        <v>0.50288266716923002</v>
      </c>
      <c r="CO17" s="12">
        <v>0.47960611488575033</v>
      </c>
      <c r="CP17" s="12">
        <v>0.38315135275533346</v>
      </c>
      <c r="CQ17" s="12">
        <v>9.3174375694227485E-2</v>
      </c>
      <c r="CR17" s="10">
        <v>3.3077928150963087E-6</v>
      </c>
      <c r="CS17" s="12">
        <v>0.23888752983553088</v>
      </c>
      <c r="CT17" s="12">
        <v>0.4744801474021027</v>
      </c>
      <c r="CU17" s="12">
        <v>0.48403123419657185</v>
      </c>
      <c r="CV17" s="12">
        <v>0.42635257628292023</v>
      </c>
      <c r="CW17" s="12">
        <v>0.18249627318299885</v>
      </c>
      <c r="CX17" s="12">
        <v>0</v>
      </c>
      <c r="CY17" s="12">
        <v>5.6190274452206722E-2</v>
      </c>
      <c r="CZ17" s="12">
        <v>0.24182751232345356</v>
      </c>
      <c r="DA17" s="12">
        <v>0.23983709040510026</v>
      </c>
      <c r="DB17" s="12">
        <v>0.15226595068354593</v>
      </c>
      <c r="DC17" s="12">
        <v>1.1087200133900086E-2</v>
      </c>
      <c r="DE17" s="8" t="s">
        <v>136</v>
      </c>
      <c r="DF17" s="8" t="s">
        <v>187</v>
      </c>
      <c r="DG17" s="8" t="s">
        <v>188</v>
      </c>
      <c r="DH17" s="12">
        <v>0.46959011123980954</v>
      </c>
    </row>
    <row r="18" spans="2:112" x14ac:dyDescent="0.45">
      <c r="B18" s="9" t="s">
        <v>137</v>
      </c>
      <c r="C18" s="9" t="s">
        <v>31</v>
      </c>
      <c r="D18" s="13">
        <v>0</v>
      </c>
      <c r="E18" s="13">
        <v>0.94062321334300059</v>
      </c>
      <c r="F18" s="13">
        <v>0.35162739208061683</v>
      </c>
      <c r="G18" s="13">
        <v>0.2664707871729215</v>
      </c>
      <c r="H18" s="13">
        <v>0.56651232732370316</v>
      </c>
      <c r="I18" s="13">
        <v>0</v>
      </c>
      <c r="J18" s="13">
        <v>0</v>
      </c>
      <c r="K18" s="13">
        <v>0.44894622163844206</v>
      </c>
      <c r="L18" s="13">
        <v>0.14959363192969952</v>
      </c>
      <c r="M18" s="13">
        <v>0.11980943157175743</v>
      </c>
      <c r="N18" s="13">
        <v>0.2228988174233284</v>
      </c>
      <c r="O18" s="13">
        <v>0.60120108129214223</v>
      </c>
      <c r="P18" s="13">
        <v>0.9617443781916839</v>
      </c>
      <c r="Q18" s="13">
        <v>0.29512614982729451</v>
      </c>
      <c r="R18" s="13">
        <v>0.13643261178878538</v>
      </c>
      <c r="S18" s="13">
        <v>0.11875720548720514</v>
      </c>
      <c r="T18" s="13">
        <v>0.15364981238958167</v>
      </c>
      <c r="U18" s="13">
        <v>0.3427181404787919</v>
      </c>
      <c r="V18" s="13">
        <v>0</v>
      </c>
      <c r="W18" s="13">
        <v>0.69570118788309054</v>
      </c>
      <c r="X18" s="13">
        <v>0.30765385652989025</v>
      </c>
      <c r="Y18" s="13">
        <v>0.2850065485198453</v>
      </c>
      <c r="Z18" s="13">
        <v>0.46847015666889885</v>
      </c>
      <c r="AA18" s="13">
        <v>0.93313438514450675</v>
      </c>
      <c r="CE18" s="9" t="s">
        <v>137</v>
      </c>
      <c r="CF18" s="13">
        <v>0</v>
      </c>
      <c r="CG18" s="11">
        <v>2.7516099831657792E-3</v>
      </c>
      <c r="CH18" s="13">
        <v>0.11438175064135857</v>
      </c>
      <c r="CI18" s="13">
        <v>0.1483050583790676</v>
      </c>
      <c r="CJ18" s="13">
        <v>4.8526415802924772E-2</v>
      </c>
      <c r="CK18" s="11">
        <v>0</v>
      </c>
      <c r="CL18" s="11">
        <v>0</v>
      </c>
      <c r="CM18" s="13">
        <v>0.18989653156498684</v>
      </c>
      <c r="CN18" s="13">
        <v>0.51229529881711666</v>
      </c>
      <c r="CO18" s="13">
        <v>0.49547028527318931</v>
      </c>
      <c r="CP18" s="13">
        <v>0.36938076441549489</v>
      </c>
      <c r="CQ18" s="13">
        <v>7.504599789683547E-2</v>
      </c>
      <c r="CR18" s="11">
        <v>6.5608028375521731E-4</v>
      </c>
      <c r="CS18" s="13">
        <v>0.25342747223921813</v>
      </c>
      <c r="CT18" s="13">
        <v>0.48384948536648192</v>
      </c>
      <c r="CU18" s="13">
        <v>0.46753193949873439</v>
      </c>
      <c r="CV18" s="13">
        <v>0.38870120331840013</v>
      </c>
      <c r="CW18" s="13">
        <v>0.14834116893106822</v>
      </c>
      <c r="CX18" s="13">
        <v>0</v>
      </c>
      <c r="CY18" s="13">
        <v>5.9530627212913793E-2</v>
      </c>
      <c r="CZ18" s="13">
        <v>0.24822664920411899</v>
      </c>
      <c r="DA18" s="13">
        <v>0.24031060181317401</v>
      </c>
      <c r="DB18" s="13">
        <v>0.137349990274551</v>
      </c>
      <c r="DC18" s="13">
        <v>8.3969489490144187E-3</v>
      </c>
      <c r="DE18" s="9" t="s">
        <v>137</v>
      </c>
      <c r="DF18" s="9" t="s">
        <v>187</v>
      </c>
      <c r="DG18" s="9" t="s">
        <v>188</v>
      </c>
      <c r="DH18" s="13">
        <v>0.46365922990252728</v>
      </c>
    </row>
    <row r="19" spans="2:112" x14ac:dyDescent="0.45">
      <c r="B19" s="8" t="s">
        <v>138</v>
      </c>
      <c r="C19" s="8" t="s">
        <v>31</v>
      </c>
      <c r="D19" s="12">
        <v>0</v>
      </c>
      <c r="E19" s="12">
        <v>0.89798361497840729</v>
      </c>
      <c r="F19" s="12">
        <v>0.30253075242414962</v>
      </c>
      <c r="G19" s="12">
        <v>0.23828050946165255</v>
      </c>
      <c r="H19" s="12">
        <v>0.60814957382834944</v>
      </c>
      <c r="I19" s="12">
        <v>0</v>
      </c>
      <c r="J19" s="12">
        <v>0.99136256858654936</v>
      </c>
      <c r="K19" s="12">
        <v>0.43232524015238399</v>
      </c>
      <c r="L19" s="12">
        <v>0.20729323299817881</v>
      </c>
      <c r="M19" s="12">
        <v>0.17481956964108686</v>
      </c>
      <c r="N19" s="12">
        <v>0.28083575493518587</v>
      </c>
      <c r="O19" s="12">
        <v>0.67020977675453552</v>
      </c>
      <c r="P19" s="12">
        <v>0.94613243684328618</v>
      </c>
      <c r="Q19" s="12">
        <v>0.25135209584080154</v>
      </c>
      <c r="R19" s="12">
        <v>0.12791247067724582</v>
      </c>
      <c r="S19" s="12">
        <v>0.11897305790436581</v>
      </c>
      <c r="T19" s="12">
        <v>0.16115700926310361</v>
      </c>
      <c r="U19" s="12">
        <v>0.39443720019286965</v>
      </c>
      <c r="V19" s="12">
        <v>0</v>
      </c>
      <c r="W19" s="12">
        <v>0.65288602896544679</v>
      </c>
      <c r="X19" s="12">
        <v>0.30239618595893591</v>
      </c>
      <c r="Y19" s="12">
        <v>0.27762231175922547</v>
      </c>
      <c r="Z19" s="12">
        <v>0.49646390171980553</v>
      </c>
      <c r="AA19" s="12">
        <v>0.95289279418031725</v>
      </c>
      <c r="CE19" s="8" t="s">
        <v>138</v>
      </c>
      <c r="CF19" s="12">
        <v>0</v>
      </c>
      <c r="CG19" s="10">
        <v>5.4588052922769767E-3</v>
      </c>
      <c r="CH19" s="12">
        <v>0.13590786015951636</v>
      </c>
      <c r="CI19" s="12">
        <v>0.16483123945483771</v>
      </c>
      <c r="CJ19" s="12">
        <v>4.9577404228165554E-2</v>
      </c>
      <c r="CK19" s="10">
        <v>0</v>
      </c>
      <c r="CL19" s="10">
        <v>1.9617589543678528E-4</v>
      </c>
      <c r="CM19" s="12">
        <v>0.2181510380467066</v>
      </c>
      <c r="CN19" s="12">
        <v>0.46287639252516455</v>
      </c>
      <c r="CO19" s="12">
        <v>0.44220977465052458</v>
      </c>
      <c r="CP19" s="12">
        <v>0.30783042678104683</v>
      </c>
      <c r="CQ19" s="12">
        <v>5.2025761199897949E-2</v>
      </c>
      <c r="CR19" s="10">
        <v>2.8534366008721363E-3</v>
      </c>
      <c r="CS19" s="12">
        <v>0.29575499208087097</v>
      </c>
      <c r="CT19" s="12">
        <v>0.4936459145421338</v>
      </c>
      <c r="CU19" s="12">
        <v>0.46258446311263596</v>
      </c>
      <c r="CV19" s="12">
        <v>0.36989631915248755</v>
      </c>
      <c r="CW19" s="12">
        <v>0.11342445758586868</v>
      </c>
      <c r="CX19" s="12">
        <v>0</v>
      </c>
      <c r="CY19" s="12">
        <v>6.7819589823813572E-2</v>
      </c>
      <c r="CZ19" s="12">
        <v>0.23949459429858819</v>
      </c>
      <c r="DA19" s="12">
        <v>0.23080098124231269</v>
      </c>
      <c r="DB19" s="12">
        <v>0.11799877816816301</v>
      </c>
      <c r="DC19" s="12">
        <v>5.2714565426958447E-3</v>
      </c>
      <c r="DE19" s="8" t="s">
        <v>138</v>
      </c>
      <c r="DF19" s="8" t="s">
        <v>187</v>
      </c>
      <c r="DG19" s="8" t="s">
        <v>188</v>
      </c>
      <c r="DH19" s="12">
        <v>0.43322108076997556</v>
      </c>
    </row>
    <row r="20" spans="2:112" x14ac:dyDescent="0.45">
      <c r="B20" s="9" t="s">
        <v>139</v>
      </c>
      <c r="C20" s="9" t="s">
        <v>31</v>
      </c>
      <c r="D20" s="13">
        <v>0</v>
      </c>
      <c r="E20" s="13">
        <v>0.92883156328552541</v>
      </c>
      <c r="F20" s="13">
        <v>0.34502648146619397</v>
      </c>
      <c r="G20" s="13">
        <v>0.28414067422828976</v>
      </c>
      <c r="H20" s="13">
        <v>0.61662465417784007</v>
      </c>
      <c r="I20" s="13">
        <v>0</v>
      </c>
      <c r="J20" s="13">
        <v>0.98505133061508143</v>
      </c>
      <c r="K20" s="13">
        <v>0.40833679467923639</v>
      </c>
      <c r="L20" s="13">
        <v>0.17083160943992654</v>
      </c>
      <c r="M20" s="13">
        <v>0.14273912939785935</v>
      </c>
      <c r="N20" s="13">
        <v>0.25545077280995632</v>
      </c>
      <c r="O20" s="13">
        <v>0.64639224327168243</v>
      </c>
      <c r="P20" s="13">
        <v>0.94275086042561274</v>
      </c>
      <c r="Q20" s="13">
        <v>0.29354689216499408</v>
      </c>
      <c r="R20" s="13">
        <v>0.13855330195484991</v>
      </c>
      <c r="S20" s="13">
        <v>0.10843805348302328</v>
      </c>
      <c r="T20" s="13">
        <v>0.15196237600689597</v>
      </c>
      <c r="U20" s="13">
        <v>0.36078796029532512</v>
      </c>
      <c r="V20" s="13">
        <v>0</v>
      </c>
      <c r="W20" s="13">
        <v>0.70426998248853656</v>
      </c>
      <c r="X20" s="13">
        <v>0.36898597096367625</v>
      </c>
      <c r="Y20" s="13">
        <v>0.33193184235866402</v>
      </c>
      <c r="Z20" s="13">
        <v>0.53267014392101253</v>
      </c>
      <c r="AA20" s="13">
        <v>0.94680411074729032</v>
      </c>
      <c r="CE20" s="9" t="s">
        <v>139</v>
      </c>
      <c r="CF20" s="13">
        <v>0</v>
      </c>
      <c r="CG20" s="11">
        <v>4.3200058928859189E-3</v>
      </c>
      <c r="CH20" s="13">
        <v>0.11680409598262294</v>
      </c>
      <c r="CI20" s="13">
        <v>0.1372668632887461</v>
      </c>
      <c r="CJ20" s="13">
        <v>3.9554551714796021E-2</v>
      </c>
      <c r="CK20" s="11">
        <v>0</v>
      </c>
      <c r="CL20" s="11">
        <v>5.693003853640289E-4</v>
      </c>
      <c r="CM20" s="13">
        <v>0.22336270704891395</v>
      </c>
      <c r="CN20" s="13">
        <v>0.49564947393909187</v>
      </c>
      <c r="CO20" s="13">
        <v>0.46461047765634816</v>
      </c>
      <c r="CP20" s="13">
        <v>0.33732499202335681</v>
      </c>
      <c r="CQ20" s="13">
        <v>6.0012846489625203E-2</v>
      </c>
      <c r="CR20" s="11">
        <v>3.2982295396964513E-3</v>
      </c>
      <c r="CS20" s="13">
        <v>0.26286473729358345</v>
      </c>
      <c r="CT20" s="13">
        <v>0.47677494996783487</v>
      </c>
      <c r="CU20" s="13">
        <v>0.46546048854615818</v>
      </c>
      <c r="CV20" s="13">
        <v>0.37773444318440486</v>
      </c>
      <c r="CW20" s="13">
        <v>0.13173999991627025</v>
      </c>
      <c r="CX20" s="13">
        <v>0</v>
      </c>
      <c r="CY20" s="13">
        <v>5.6142780294841141E-2</v>
      </c>
      <c r="CZ20" s="13">
        <v>0.20676736976726767</v>
      </c>
      <c r="DA20" s="13">
        <v>0.20392111126136533</v>
      </c>
      <c r="DB20" s="13">
        <v>0.11003194674796792</v>
      </c>
      <c r="DC20" s="13">
        <v>6.1155337996791521E-3</v>
      </c>
      <c r="DE20" s="9" t="s">
        <v>139</v>
      </c>
      <c r="DF20" s="9" t="s">
        <v>187</v>
      </c>
      <c r="DG20" s="9" t="s">
        <v>188</v>
      </c>
      <c r="DH20" s="13">
        <v>0.43683759487125445</v>
      </c>
    </row>
    <row r="21" spans="2:112" x14ac:dyDescent="0.45">
      <c r="B21" s="8" t="s">
        <v>140</v>
      </c>
      <c r="C21" s="8" t="s">
        <v>31</v>
      </c>
      <c r="D21" s="12">
        <v>0</v>
      </c>
      <c r="E21" s="12">
        <v>0.91438013843033539</v>
      </c>
      <c r="F21" s="12">
        <v>0.31860555224566334</v>
      </c>
      <c r="G21" s="12">
        <v>0.25341128040414329</v>
      </c>
      <c r="H21" s="12">
        <v>0.61101172123910408</v>
      </c>
      <c r="I21" s="12">
        <v>0</v>
      </c>
      <c r="J21" s="12">
        <v>0.9809782608695653</v>
      </c>
      <c r="K21" s="12">
        <v>0.41423866468889886</v>
      </c>
      <c r="L21" s="12">
        <v>0.18069242739556543</v>
      </c>
      <c r="M21" s="12">
        <v>0.15710181532895598</v>
      </c>
      <c r="N21" s="12">
        <v>0.27372254144742847</v>
      </c>
      <c r="O21" s="12">
        <v>0.65256686149529963</v>
      </c>
      <c r="P21" s="12">
        <v>0.93808049921164294</v>
      </c>
      <c r="Q21" s="12">
        <v>0.26332089922382379</v>
      </c>
      <c r="R21" s="12">
        <v>0.13326732910623812</v>
      </c>
      <c r="S21" s="12">
        <v>0.10451354853939154</v>
      </c>
      <c r="T21" s="12">
        <v>0.14671422145233831</v>
      </c>
      <c r="U21" s="12">
        <v>0.36862944423164357</v>
      </c>
      <c r="V21" s="12">
        <v>0</v>
      </c>
      <c r="W21" s="12">
        <v>0.68270339027465188</v>
      </c>
      <c r="X21" s="12">
        <v>0.34030255081369565</v>
      </c>
      <c r="Y21" s="12">
        <v>0.32359052754155804</v>
      </c>
      <c r="Z21" s="12">
        <v>0.50827042112165866</v>
      </c>
      <c r="AA21" s="12">
        <v>0.94969260901178998</v>
      </c>
      <c r="CE21" s="8" t="s">
        <v>140</v>
      </c>
      <c r="CF21" s="12">
        <v>0</v>
      </c>
      <c r="CG21" s="10">
        <v>3.730445895435136E-3</v>
      </c>
      <c r="CH21" s="12">
        <v>0.12203223993435186</v>
      </c>
      <c r="CI21" s="12">
        <v>0.14957384872561438</v>
      </c>
      <c r="CJ21" s="12">
        <v>4.5774482879680008E-2</v>
      </c>
      <c r="CK21" s="10">
        <v>0</v>
      </c>
      <c r="CL21" s="10">
        <v>4.268868738935965E-4</v>
      </c>
      <c r="CM21" s="12">
        <v>0.21839075025065369</v>
      </c>
      <c r="CN21" s="12">
        <v>0.48375556615841608</v>
      </c>
      <c r="CO21" s="12">
        <v>0.45679809963788842</v>
      </c>
      <c r="CP21" s="12">
        <v>0.32020353226285431</v>
      </c>
      <c r="CQ21" s="12">
        <v>5.2830881006356543E-2</v>
      </c>
      <c r="CR21" s="10">
        <v>3.3341350756073114E-3</v>
      </c>
      <c r="CS21" s="12">
        <v>0.28276223291653696</v>
      </c>
      <c r="CT21" s="12">
        <v>0.48745258698988131</v>
      </c>
      <c r="CU21" s="12">
        <v>0.46898799075069247</v>
      </c>
      <c r="CV21" s="12">
        <v>0.37573272815319969</v>
      </c>
      <c r="CW21" s="12">
        <v>0.12080079083936923</v>
      </c>
      <c r="CX21" s="12">
        <v>0</v>
      </c>
      <c r="CY21" s="12">
        <v>6.2459620281710738E-2</v>
      </c>
      <c r="CZ21" s="12">
        <v>0.2186474765844533</v>
      </c>
      <c r="DA21" s="12">
        <v>0.2160764216049659</v>
      </c>
      <c r="DB21" s="12">
        <v>0.11596270225680803</v>
      </c>
      <c r="DC21" s="12">
        <v>5.6579670362271696E-3</v>
      </c>
      <c r="DE21" s="8" t="s">
        <v>140</v>
      </c>
      <c r="DF21" s="8" t="s">
        <v>187</v>
      </c>
      <c r="DG21" s="8" t="s">
        <v>188</v>
      </c>
      <c r="DH21" s="12">
        <v>0.42858606224831203</v>
      </c>
    </row>
    <row r="22" spans="2:112" x14ac:dyDescent="0.45">
      <c r="B22" s="9" t="s">
        <v>141</v>
      </c>
      <c r="C22" s="9" t="s">
        <v>31</v>
      </c>
      <c r="D22" s="13">
        <v>0</v>
      </c>
      <c r="E22" s="13">
        <v>0.88044164885743947</v>
      </c>
      <c r="F22" s="13">
        <v>0.29417820885405754</v>
      </c>
      <c r="G22" s="13">
        <v>0.22877249550563947</v>
      </c>
      <c r="H22" s="13">
        <v>0.55888790185626536</v>
      </c>
      <c r="I22" s="13">
        <v>0</v>
      </c>
      <c r="J22" s="13">
        <v>0</v>
      </c>
      <c r="K22" s="13">
        <v>0.44890365263237803</v>
      </c>
      <c r="L22" s="13">
        <v>0.21859062243133184</v>
      </c>
      <c r="M22" s="13">
        <v>0.1940164025301726</v>
      </c>
      <c r="N22" s="13">
        <v>0.27942211003704398</v>
      </c>
      <c r="O22" s="13">
        <v>0.67385825531459831</v>
      </c>
      <c r="P22" s="13">
        <v>0</v>
      </c>
      <c r="Q22" s="13">
        <v>0.2979749568421014</v>
      </c>
      <c r="R22" s="13">
        <v>0.14429481009591452</v>
      </c>
      <c r="S22" s="13">
        <v>0.1247647542673148</v>
      </c>
      <c r="T22" s="13">
        <v>0.17316752843815783</v>
      </c>
      <c r="U22" s="13">
        <v>0.45740723928287824</v>
      </c>
      <c r="V22" s="13">
        <v>0</v>
      </c>
      <c r="W22" s="13">
        <v>0.61510840357239271</v>
      </c>
      <c r="X22" s="13">
        <v>0.24727885986585113</v>
      </c>
      <c r="Y22" s="13">
        <v>0.2282930946435254</v>
      </c>
      <c r="Z22" s="13">
        <v>0.42105567768084579</v>
      </c>
      <c r="AA22" s="13">
        <v>0.94421292133550672</v>
      </c>
      <c r="CE22" s="9" t="s">
        <v>141</v>
      </c>
      <c r="CF22" s="13">
        <v>0</v>
      </c>
      <c r="CG22" s="11">
        <v>1.115895268835638E-2</v>
      </c>
      <c r="CH22" s="13">
        <v>0.18386044032645574</v>
      </c>
      <c r="CI22" s="13">
        <v>0.21078409718259589</v>
      </c>
      <c r="CJ22" s="13">
        <v>7.1118523190927402E-2</v>
      </c>
      <c r="CK22" s="11">
        <v>0</v>
      </c>
      <c r="CL22" s="11">
        <v>0</v>
      </c>
      <c r="CM22" s="13">
        <v>0.19690120127362579</v>
      </c>
      <c r="CN22" s="13">
        <v>0.44590535707961237</v>
      </c>
      <c r="CO22" s="13">
        <v>0.42335132703107792</v>
      </c>
      <c r="CP22" s="13">
        <v>0.28954323402262377</v>
      </c>
      <c r="CQ22" s="13">
        <v>4.5133865558894211E-2</v>
      </c>
      <c r="CR22" s="11">
        <v>0</v>
      </c>
      <c r="CS22" s="13">
        <v>0.2695673286284061</v>
      </c>
      <c r="CT22" s="13">
        <v>0.49224086112360221</v>
      </c>
      <c r="CU22" s="13">
        <v>0.47318628488641101</v>
      </c>
      <c r="CV22" s="13">
        <v>0.36355222258608838</v>
      </c>
      <c r="CW22" s="13">
        <v>9.9369278949994977E-2</v>
      </c>
      <c r="CX22" s="13">
        <v>0</v>
      </c>
      <c r="CY22" s="13">
        <v>8.3674664018221517E-2</v>
      </c>
      <c r="CZ22" s="13">
        <v>0.29428116885389971</v>
      </c>
      <c r="DA22" s="13">
        <v>0.28576119701857272</v>
      </c>
      <c r="DB22" s="13">
        <v>0.14639309667087594</v>
      </c>
      <c r="DC22" s="13">
        <v>6.7201817569793919E-3</v>
      </c>
      <c r="DE22" s="9" t="s">
        <v>141</v>
      </c>
      <c r="DF22" s="9" t="s">
        <v>187</v>
      </c>
      <c r="DG22" s="9" t="s">
        <v>188</v>
      </c>
      <c r="DH22" s="13">
        <v>0.45151133975097046</v>
      </c>
    </row>
    <row r="23" spans="2:112" x14ac:dyDescent="0.45">
      <c r="B23" s="8" t="s">
        <v>142</v>
      </c>
      <c r="C23" s="8" t="s">
        <v>31</v>
      </c>
      <c r="D23" s="12">
        <v>0</v>
      </c>
      <c r="E23" s="12">
        <v>0.86705882699935866</v>
      </c>
      <c r="F23" s="12">
        <v>0.29929334219727644</v>
      </c>
      <c r="G23" s="12">
        <v>0.23155965854235186</v>
      </c>
      <c r="H23" s="12">
        <v>0.58058414877049425</v>
      </c>
      <c r="I23" s="12">
        <v>0</v>
      </c>
      <c r="J23" s="12">
        <v>0.99320652173913038</v>
      </c>
      <c r="K23" s="12">
        <v>0.42520278719414473</v>
      </c>
      <c r="L23" s="12">
        <v>0.2091379530072999</v>
      </c>
      <c r="M23" s="12">
        <v>0.18603392437148511</v>
      </c>
      <c r="N23" s="12">
        <v>0.26723406766297753</v>
      </c>
      <c r="O23" s="12">
        <v>0.67207191391493237</v>
      </c>
      <c r="P23" s="12">
        <v>0.9518873429877992</v>
      </c>
      <c r="Q23" s="12">
        <v>0.26379482721194403</v>
      </c>
      <c r="R23" s="12">
        <v>0.12089627003421546</v>
      </c>
      <c r="S23" s="12">
        <v>0.11455203667457077</v>
      </c>
      <c r="T23" s="12">
        <v>0.16464441258946022</v>
      </c>
      <c r="U23" s="12">
        <v>0.4476750077856006</v>
      </c>
      <c r="V23" s="12">
        <v>0</v>
      </c>
      <c r="W23" s="12">
        <v>0.60824376365355504</v>
      </c>
      <c r="X23" s="12">
        <v>0.24537438560811212</v>
      </c>
      <c r="Y23" s="12">
        <v>0.226801462054917</v>
      </c>
      <c r="Z23" s="12">
        <v>0.43433582258568154</v>
      </c>
      <c r="AA23" s="12">
        <v>0.95064473080325729</v>
      </c>
      <c r="CE23" s="8" t="s">
        <v>142</v>
      </c>
      <c r="CF23" s="12">
        <v>0</v>
      </c>
      <c r="CG23" s="10">
        <v>9.8709018571916159E-3</v>
      </c>
      <c r="CH23" s="12">
        <v>0.16584490747502556</v>
      </c>
      <c r="CI23" s="12">
        <v>0.18676662453565435</v>
      </c>
      <c r="CJ23" s="12">
        <v>5.4028348871089239E-2</v>
      </c>
      <c r="CK23" s="10">
        <v>0</v>
      </c>
      <c r="CL23" s="10">
        <v>1.4157835072115243E-5</v>
      </c>
      <c r="CM23" s="12">
        <v>0.21356318444957614</v>
      </c>
      <c r="CN23" s="12">
        <v>0.45620790352210161</v>
      </c>
      <c r="CO23" s="12">
        <v>0.43411826474273008</v>
      </c>
      <c r="CP23" s="12">
        <v>0.30031705597943875</v>
      </c>
      <c r="CQ23" s="12">
        <v>4.663534448285165E-2</v>
      </c>
      <c r="CR23" s="10">
        <v>9.7996303596994505E-4</v>
      </c>
      <c r="CS23" s="12">
        <v>0.287206891926644</v>
      </c>
      <c r="CT23" s="12">
        <v>0.50385319142138785</v>
      </c>
      <c r="CU23" s="12">
        <v>0.47611410180438957</v>
      </c>
      <c r="CV23" s="12">
        <v>0.36119714033784167</v>
      </c>
      <c r="CW23" s="12">
        <v>9.9524545048409921E-2</v>
      </c>
      <c r="CX23" s="12">
        <v>0</v>
      </c>
      <c r="CY23" s="12">
        <v>8.1358867512897823E-2</v>
      </c>
      <c r="CZ23" s="12">
        <v>0.28260989714791268</v>
      </c>
      <c r="DA23" s="12">
        <v>0.26414072555404727</v>
      </c>
      <c r="DB23" s="12">
        <v>0.12376965671471613</v>
      </c>
      <c r="DC23" s="12">
        <v>5.8613300987659881E-3</v>
      </c>
      <c r="DE23" s="8" t="s">
        <v>142</v>
      </c>
      <c r="DF23" s="8" t="s">
        <v>187</v>
      </c>
      <c r="DG23" s="8" t="s">
        <v>188</v>
      </c>
      <c r="DH23" s="12">
        <v>0.42360456733647384</v>
      </c>
    </row>
    <row r="24" spans="2:112" x14ac:dyDescent="0.45">
      <c r="B24" s="9" t="s">
        <v>143</v>
      </c>
      <c r="C24" s="9" t="s">
        <v>31</v>
      </c>
      <c r="D24" s="13">
        <v>0</v>
      </c>
      <c r="E24" s="13">
        <v>0.90382195237259644</v>
      </c>
      <c r="F24" s="13">
        <v>0.27490202248260837</v>
      </c>
      <c r="G24" s="13">
        <v>0.19835368917040525</v>
      </c>
      <c r="H24" s="13">
        <v>0.50406511208790761</v>
      </c>
      <c r="I24" s="13">
        <v>0</v>
      </c>
      <c r="J24" s="13">
        <v>0</v>
      </c>
      <c r="K24" s="13">
        <v>0.47879094404613964</v>
      </c>
      <c r="L24" s="13">
        <v>0.2171136987614827</v>
      </c>
      <c r="M24" s="13">
        <v>0.16364897751043983</v>
      </c>
      <c r="N24" s="13">
        <v>0.2675429955675811</v>
      </c>
      <c r="O24" s="13">
        <v>0.63675625200830976</v>
      </c>
      <c r="P24" s="13">
        <v>0</v>
      </c>
      <c r="Q24" s="13">
        <v>0.32993328433269908</v>
      </c>
      <c r="R24" s="13">
        <v>0.15313665275730259</v>
      </c>
      <c r="S24" s="13">
        <v>0.12811196069782868</v>
      </c>
      <c r="T24" s="13">
        <v>0.16642360575182649</v>
      </c>
      <c r="U24" s="13">
        <v>0.40002153026637438</v>
      </c>
      <c r="V24" s="13">
        <v>0</v>
      </c>
      <c r="W24" s="13">
        <v>0.63581698747496584</v>
      </c>
      <c r="X24" s="13">
        <v>0.26081434732025899</v>
      </c>
      <c r="Y24" s="13">
        <v>0.22822100681594715</v>
      </c>
      <c r="Z24" s="13">
        <v>0.39526424209105326</v>
      </c>
      <c r="AA24" s="13">
        <v>0.92717295459234828</v>
      </c>
      <c r="CE24" s="9" t="s">
        <v>143</v>
      </c>
      <c r="CF24" s="13">
        <v>0</v>
      </c>
      <c r="CG24" s="11">
        <v>5.3562581641168521E-3</v>
      </c>
      <c r="CH24" s="13">
        <v>0.17674494186760401</v>
      </c>
      <c r="CI24" s="13">
        <v>0.22087585978996527</v>
      </c>
      <c r="CJ24" s="13">
        <v>8.36123882835174E-2</v>
      </c>
      <c r="CK24" s="11">
        <v>0</v>
      </c>
      <c r="CL24" s="11">
        <v>0</v>
      </c>
      <c r="CM24" s="13">
        <v>0.16746452807910012</v>
      </c>
      <c r="CN24" s="13">
        <v>0.42410063653485325</v>
      </c>
      <c r="CO24" s="13">
        <v>0.42514186243313007</v>
      </c>
      <c r="CP24" s="13">
        <v>0.29390873154730135</v>
      </c>
      <c r="CQ24" s="13">
        <v>5.6186368451796843E-2</v>
      </c>
      <c r="CR24" s="11">
        <v>0</v>
      </c>
      <c r="CS24" s="13">
        <v>0.24887090004895795</v>
      </c>
      <c r="CT24" s="13">
        <v>0.49126162400484907</v>
      </c>
      <c r="CU24" s="13">
        <v>0.46759713820305776</v>
      </c>
      <c r="CV24" s="13">
        <v>0.36263358807560503</v>
      </c>
      <c r="CW24" s="13">
        <v>0.11433339999568512</v>
      </c>
      <c r="CX24" s="13">
        <v>0</v>
      </c>
      <c r="CY24" s="13">
        <v>7.1771288872939557E-2</v>
      </c>
      <c r="CZ24" s="13">
        <v>0.28268065251943136</v>
      </c>
      <c r="DA24" s="13">
        <v>0.29321456120945288</v>
      </c>
      <c r="DB24" s="13">
        <v>0.16464750207757003</v>
      </c>
      <c r="DC24" s="13">
        <v>8.5197647960362916E-3</v>
      </c>
      <c r="DE24" s="9" t="s">
        <v>143</v>
      </c>
      <c r="DF24" s="9" t="s">
        <v>187</v>
      </c>
      <c r="DG24" s="9" t="s">
        <v>188</v>
      </c>
      <c r="DH24" s="13">
        <v>0.43471458566520127</v>
      </c>
    </row>
    <row r="25" spans="2:112" x14ac:dyDescent="0.45">
      <c r="B25" s="8" t="s">
        <v>144</v>
      </c>
      <c r="C25" s="8" t="s">
        <v>31</v>
      </c>
      <c r="D25" s="12">
        <v>0</v>
      </c>
      <c r="E25" s="12">
        <v>0.92527565853033678</v>
      </c>
      <c r="F25" s="12">
        <v>0.2856512082054779</v>
      </c>
      <c r="G25" s="12">
        <v>0.19894331232862875</v>
      </c>
      <c r="H25" s="12">
        <v>0.4604349870403131</v>
      </c>
      <c r="I25" s="12">
        <v>0</v>
      </c>
      <c r="J25" s="12">
        <v>0</v>
      </c>
      <c r="K25" s="12">
        <v>0.48810016796015532</v>
      </c>
      <c r="L25" s="12">
        <v>0.24023512671460329</v>
      </c>
      <c r="M25" s="12">
        <v>0.18148253254234673</v>
      </c>
      <c r="N25" s="12">
        <v>0.26007870000824496</v>
      </c>
      <c r="O25" s="12">
        <v>0.61768959620396335</v>
      </c>
      <c r="P25" s="12">
        <v>0</v>
      </c>
      <c r="Q25" s="12">
        <v>0.32727829190658031</v>
      </c>
      <c r="R25" s="12">
        <v>0.14171897622033566</v>
      </c>
      <c r="S25" s="12">
        <v>0.12114336113905148</v>
      </c>
      <c r="T25" s="12">
        <v>0.15128454846442863</v>
      </c>
      <c r="U25" s="12">
        <v>0.37513301681538097</v>
      </c>
      <c r="V25" s="12">
        <v>0</v>
      </c>
      <c r="W25" s="12">
        <v>0.65924369890529788</v>
      </c>
      <c r="X25" s="12">
        <v>0.26808962356980415</v>
      </c>
      <c r="Y25" s="12">
        <v>0.22274044700801807</v>
      </c>
      <c r="Z25" s="12">
        <v>0.38335583793645639</v>
      </c>
      <c r="AA25" s="12">
        <v>0.92150967838646436</v>
      </c>
      <c r="CE25" s="8" t="s">
        <v>144</v>
      </c>
      <c r="CF25" s="12">
        <v>0</v>
      </c>
      <c r="CG25" s="10">
        <v>2.976832796635603E-3</v>
      </c>
      <c r="CH25" s="12">
        <v>0.15056397833840637</v>
      </c>
      <c r="CI25" s="12">
        <v>0.19702118165353802</v>
      </c>
      <c r="CJ25" s="12">
        <v>7.3310434327306051E-2</v>
      </c>
      <c r="CK25" s="10">
        <v>0</v>
      </c>
      <c r="CL25" s="10">
        <v>0</v>
      </c>
      <c r="CM25" s="12">
        <v>0.16283852752552647</v>
      </c>
      <c r="CN25" s="12">
        <v>0.40995456645755735</v>
      </c>
      <c r="CO25" s="12">
        <v>0.41361987487306096</v>
      </c>
      <c r="CP25" s="12">
        <v>0.30032030600154547</v>
      </c>
      <c r="CQ25" s="12">
        <v>5.8785190842861233E-2</v>
      </c>
      <c r="CR25" s="10">
        <v>0</v>
      </c>
      <c r="CS25" s="12">
        <v>0.24482960892423833</v>
      </c>
      <c r="CT25" s="12">
        <v>0.49897804113251698</v>
      </c>
      <c r="CU25" s="12">
        <v>0.47415267535021821</v>
      </c>
      <c r="CV25" s="12">
        <v>0.38143024695317734</v>
      </c>
      <c r="CW25" s="12">
        <v>0.12879069973399793</v>
      </c>
      <c r="CX25" s="12">
        <v>0</v>
      </c>
      <c r="CY25" s="12">
        <v>6.6558930864061713E-2</v>
      </c>
      <c r="CZ25" s="12">
        <v>0.27372142190020926</v>
      </c>
      <c r="DA25" s="12">
        <v>0.28591002319796788</v>
      </c>
      <c r="DB25" s="12">
        <v>0.16683171901894767</v>
      </c>
      <c r="DC25" s="12">
        <v>8.4900480091574387E-3</v>
      </c>
      <c r="DE25" s="8" t="s">
        <v>144</v>
      </c>
      <c r="DF25" s="8" t="s">
        <v>187</v>
      </c>
      <c r="DG25" s="8" t="s">
        <v>188</v>
      </c>
      <c r="DH25" s="12">
        <v>0.45567651569592976</v>
      </c>
    </row>
    <row r="26" spans="2:112" x14ac:dyDescent="0.45">
      <c r="B26" s="9" t="s">
        <v>145</v>
      </c>
      <c r="C26" s="9" t="s">
        <v>31</v>
      </c>
      <c r="D26" s="13">
        <v>0</v>
      </c>
      <c r="E26" s="13">
        <v>0.93423430078459291</v>
      </c>
      <c r="F26" s="13">
        <v>0.31776358920656123</v>
      </c>
      <c r="G26" s="13">
        <v>0.21851269908402296</v>
      </c>
      <c r="H26" s="13">
        <v>0.52963432961647849</v>
      </c>
      <c r="I26" s="13">
        <v>0</v>
      </c>
      <c r="J26" s="13">
        <v>0</v>
      </c>
      <c r="K26" s="13">
        <v>0.48565553130337835</v>
      </c>
      <c r="L26" s="13">
        <v>0.22192557537024873</v>
      </c>
      <c r="M26" s="13">
        <v>0.17526793164253954</v>
      </c>
      <c r="N26" s="13">
        <v>0.25382331302180239</v>
      </c>
      <c r="O26" s="13">
        <v>0.60064747025262621</v>
      </c>
      <c r="P26" s="13">
        <v>0</v>
      </c>
      <c r="Q26" s="13">
        <v>0.31599289577579776</v>
      </c>
      <c r="R26" s="13">
        <v>0.14115146998526792</v>
      </c>
      <c r="S26" s="13">
        <v>0.10641048268347299</v>
      </c>
      <c r="T26" s="13">
        <v>0.14892081580710245</v>
      </c>
      <c r="U26" s="13">
        <v>0.3421904312934434</v>
      </c>
      <c r="V26" s="13">
        <v>0</v>
      </c>
      <c r="W26" s="13">
        <v>0.6877443614053762</v>
      </c>
      <c r="X26" s="13">
        <v>0.28198268079347277</v>
      </c>
      <c r="Y26" s="13">
        <v>0.23834799078884075</v>
      </c>
      <c r="Z26" s="13">
        <v>0.42122742938219648</v>
      </c>
      <c r="AA26" s="13">
        <v>0.92926342400794615</v>
      </c>
      <c r="CE26" s="9" t="s">
        <v>145</v>
      </c>
      <c r="CF26" s="13">
        <v>0</v>
      </c>
      <c r="CG26" s="11">
        <v>2.8905888422317135E-3</v>
      </c>
      <c r="CH26" s="13">
        <v>0.12208063583178022</v>
      </c>
      <c r="CI26" s="13">
        <v>0.16169994309464372</v>
      </c>
      <c r="CJ26" s="13">
        <v>4.9989728889035273E-2</v>
      </c>
      <c r="CK26" s="11">
        <v>0</v>
      </c>
      <c r="CL26" s="11">
        <v>0</v>
      </c>
      <c r="CM26" s="13">
        <v>0.16724427122400817</v>
      </c>
      <c r="CN26" s="13">
        <v>0.43702561897079933</v>
      </c>
      <c r="CO26" s="13">
        <v>0.43007134176659489</v>
      </c>
      <c r="CP26" s="13">
        <v>0.30366132124837231</v>
      </c>
      <c r="CQ26" s="13">
        <v>6.4394674079616604E-2</v>
      </c>
      <c r="CR26" s="11">
        <v>0</v>
      </c>
      <c r="CS26" s="13">
        <v>0.25610780010327405</v>
      </c>
      <c r="CT26" s="13">
        <v>0.49990339369825904</v>
      </c>
      <c r="CU26" s="13">
        <v>0.47529725832304087</v>
      </c>
      <c r="CV26" s="13">
        <v>0.38584267380313608</v>
      </c>
      <c r="CW26" s="13">
        <v>0.13911302706443313</v>
      </c>
      <c r="CX26" s="13">
        <v>0</v>
      </c>
      <c r="CY26" s="13">
        <v>6.3114809437565103E-2</v>
      </c>
      <c r="CZ26" s="13">
        <v>0.26608662712054476</v>
      </c>
      <c r="DA26" s="13">
        <v>0.25842284607089444</v>
      </c>
      <c r="DB26" s="13">
        <v>0.14861925724636679</v>
      </c>
      <c r="DC26" s="13">
        <v>8.0026647076999174E-3</v>
      </c>
      <c r="DE26" s="9" t="s">
        <v>145</v>
      </c>
      <c r="DF26" s="9" t="s">
        <v>187</v>
      </c>
      <c r="DG26" s="9" t="s">
        <v>188</v>
      </c>
      <c r="DH26" s="13">
        <v>0.47162752863607965</v>
      </c>
    </row>
    <row r="27" spans="2:112" x14ac:dyDescent="0.45">
      <c r="B27" s="8" t="s">
        <v>146</v>
      </c>
      <c r="C27" s="8" t="s">
        <v>31</v>
      </c>
      <c r="D27" s="12">
        <v>0</v>
      </c>
      <c r="E27" s="12">
        <v>0.9357786300086417</v>
      </c>
      <c r="F27" s="12">
        <v>0.35120179818443181</v>
      </c>
      <c r="G27" s="12">
        <v>0.25141534049271641</v>
      </c>
      <c r="H27" s="12">
        <v>0.56688544917035499</v>
      </c>
      <c r="I27" s="12">
        <v>0</v>
      </c>
      <c r="J27" s="12">
        <v>0</v>
      </c>
      <c r="K27" s="12">
        <v>0.47775445601102684</v>
      </c>
      <c r="L27" s="12">
        <v>0.19799965583021409</v>
      </c>
      <c r="M27" s="12">
        <v>0.15446595348954961</v>
      </c>
      <c r="N27" s="12">
        <v>0.24940416354203615</v>
      </c>
      <c r="O27" s="12">
        <v>0.60821294090119338</v>
      </c>
      <c r="P27" s="12">
        <v>0.97503375277729876</v>
      </c>
      <c r="Q27" s="12">
        <v>0.30617538985300968</v>
      </c>
      <c r="R27" s="12">
        <v>0.13604577874053564</v>
      </c>
      <c r="S27" s="12">
        <v>0.11306233794272419</v>
      </c>
      <c r="T27" s="12">
        <v>0.1542631688202861</v>
      </c>
      <c r="U27" s="12">
        <v>0.33870777894493448</v>
      </c>
      <c r="V27" s="12">
        <v>0</v>
      </c>
      <c r="W27" s="12">
        <v>0.69961651202463238</v>
      </c>
      <c r="X27" s="12">
        <v>0.30946562064638161</v>
      </c>
      <c r="Y27" s="12">
        <v>0.25542771205086884</v>
      </c>
      <c r="Z27" s="12">
        <v>0.4535453220617735</v>
      </c>
      <c r="AA27" s="12">
        <v>0.93782090856038891</v>
      </c>
      <c r="CE27" s="8" t="s">
        <v>146</v>
      </c>
      <c r="CF27" s="12">
        <v>0</v>
      </c>
      <c r="CG27" s="10">
        <v>2.3412243292813234E-3</v>
      </c>
      <c r="CH27" s="12">
        <v>0.11604882619917713</v>
      </c>
      <c r="CI27" s="12">
        <v>0.14954121880315249</v>
      </c>
      <c r="CJ27" s="12">
        <v>4.6624974484126037E-2</v>
      </c>
      <c r="CK27" s="10">
        <v>0</v>
      </c>
      <c r="CL27" s="10">
        <v>0</v>
      </c>
      <c r="CM27" s="12">
        <v>0.17190285725463381</v>
      </c>
      <c r="CN27" s="12">
        <v>0.46140176894569401</v>
      </c>
      <c r="CO27" s="12">
        <v>0.45364427512660616</v>
      </c>
      <c r="CP27" s="12">
        <v>0.31672800640416249</v>
      </c>
      <c r="CQ27" s="12">
        <v>6.6993913800210331E-2</v>
      </c>
      <c r="CR27" s="10">
        <v>1.1520894113477536E-5</v>
      </c>
      <c r="CS27" s="12">
        <v>0.26203143359620146</v>
      </c>
      <c r="CT27" s="12">
        <v>0.4921758703823233</v>
      </c>
      <c r="CU27" s="12">
        <v>0.46884840126443345</v>
      </c>
      <c r="CV27" s="12">
        <v>0.38263945659198528</v>
      </c>
      <c r="CW27" s="12">
        <v>0.14184544621306028</v>
      </c>
      <c r="CX27" s="12">
        <v>0</v>
      </c>
      <c r="CY27" s="12">
        <v>6.2668053785090758E-2</v>
      </c>
      <c r="CZ27" s="12">
        <v>0.25582280927730755</v>
      </c>
      <c r="DA27" s="12">
        <v>0.24145161815353608</v>
      </c>
      <c r="DB27" s="12">
        <v>0.13760511930315975</v>
      </c>
      <c r="DC27" s="12">
        <v>8.4115569051661544E-3</v>
      </c>
      <c r="DE27" s="8" t="s">
        <v>146</v>
      </c>
      <c r="DF27" s="8" t="s">
        <v>187</v>
      </c>
      <c r="DG27" s="8" t="s">
        <v>188</v>
      </c>
      <c r="DH27" s="12">
        <v>0.47622186190182525</v>
      </c>
    </row>
    <row r="28" spans="2:112" x14ac:dyDescent="0.45">
      <c r="B28" s="9" t="s">
        <v>147</v>
      </c>
      <c r="C28" s="9" t="s">
        <v>31</v>
      </c>
      <c r="D28" s="13">
        <v>0</v>
      </c>
      <c r="E28" s="13">
        <v>0.92868101325888031</v>
      </c>
      <c r="F28" s="13">
        <v>0.33202314576361208</v>
      </c>
      <c r="G28" s="13">
        <v>0.24381871173112646</v>
      </c>
      <c r="H28" s="13">
        <v>0.57815821159629655</v>
      </c>
      <c r="I28" s="13">
        <v>0</v>
      </c>
      <c r="J28" s="13">
        <v>0.99728260869565255</v>
      </c>
      <c r="K28" s="13">
        <v>0.46533664130563357</v>
      </c>
      <c r="L28" s="13">
        <v>0.21451622434040477</v>
      </c>
      <c r="M28" s="13">
        <v>0.18007709465533267</v>
      </c>
      <c r="N28" s="13">
        <v>0.27846275353399197</v>
      </c>
      <c r="O28" s="13">
        <v>0.6410852568088552</v>
      </c>
      <c r="P28" s="13">
        <v>0.95637969766258268</v>
      </c>
      <c r="Q28" s="13">
        <v>0.27451306577738699</v>
      </c>
      <c r="R28" s="13">
        <v>0.12039418066715173</v>
      </c>
      <c r="S28" s="13">
        <v>0.10255907649061086</v>
      </c>
      <c r="T28" s="13">
        <v>0.15628308022387696</v>
      </c>
      <c r="U28" s="13">
        <v>0.37417808581127371</v>
      </c>
      <c r="V28" s="13">
        <v>0</v>
      </c>
      <c r="W28" s="13">
        <v>0.66569252947456403</v>
      </c>
      <c r="X28" s="13">
        <v>0.28784369280426775</v>
      </c>
      <c r="Y28" s="13">
        <v>0.26308311270622675</v>
      </c>
      <c r="Z28" s="13">
        <v>0.45347206801832285</v>
      </c>
      <c r="AA28" s="13">
        <v>0.94337513779945537</v>
      </c>
      <c r="CE28" s="9" t="s">
        <v>147</v>
      </c>
      <c r="CF28" s="13">
        <v>0</v>
      </c>
      <c r="CG28" s="11">
        <v>3.3882303846220498E-3</v>
      </c>
      <c r="CH28" s="13">
        <v>0.12949498174236804</v>
      </c>
      <c r="CI28" s="13">
        <v>0.15569502207632652</v>
      </c>
      <c r="CJ28" s="13">
        <v>4.3927042821495378E-2</v>
      </c>
      <c r="CK28" s="11">
        <v>0</v>
      </c>
      <c r="CL28" s="11">
        <v>1.5593905985401273E-6</v>
      </c>
      <c r="CM28" s="13">
        <v>0.19095378964665652</v>
      </c>
      <c r="CN28" s="13">
        <v>0.44840160418538627</v>
      </c>
      <c r="CO28" s="13">
        <v>0.42535778450240075</v>
      </c>
      <c r="CP28" s="13">
        <v>0.29516459999056821</v>
      </c>
      <c r="CQ28" s="13">
        <v>5.5011794941981336E-2</v>
      </c>
      <c r="CR28" s="11">
        <v>9.2750008073878907E-4</v>
      </c>
      <c r="CS28" s="13">
        <v>0.28542035905365226</v>
      </c>
      <c r="CT28" s="13">
        <v>0.50419895996757291</v>
      </c>
      <c r="CU28" s="13">
        <v>0.485908973007662</v>
      </c>
      <c r="CV28" s="13">
        <v>0.38765434217939609</v>
      </c>
      <c r="CW28" s="13">
        <v>0.12455545846877895</v>
      </c>
      <c r="CX28" s="13">
        <v>0</v>
      </c>
      <c r="CY28" s="13">
        <v>6.4369891767543763E-2</v>
      </c>
      <c r="CZ28" s="13">
        <v>0.24199320293638285</v>
      </c>
      <c r="DA28" s="13">
        <v>0.24451278901481474</v>
      </c>
      <c r="DB28" s="13">
        <v>0.1303685381478176</v>
      </c>
      <c r="DC28" s="13">
        <v>6.5210918965257934E-3</v>
      </c>
      <c r="DE28" s="9" t="s">
        <v>147</v>
      </c>
      <c r="DF28" s="9" t="s">
        <v>187</v>
      </c>
      <c r="DG28" s="9" t="s">
        <v>188</v>
      </c>
      <c r="DH28" s="13">
        <v>0.44920085111757052</v>
      </c>
    </row>
    <row r="29" spans="2:112" x14ac:dyDescent="0.45">
      <c r="B29" s="8" t="s">
        <v>148</v>
      </c>
      <c r="C29" s="8" t="s">
        <v>31</v>
      </c>
      <c r="D29" s="12">
        <v>0</v>
      </c>
      <c r="E29" s="12">
        <v>0.92129590290714758</v>
      </c>
      <c r="F29" s="12">
        <v>0.29519422154369812</v>
      </c>
      <c r="G29" s="12">
        <v>0.22887510662762328</v>
      </c>
      <c r="H29" s="12">
        <v>0.54345497445399193</v>
      </c>
      <c r="I29" s="12">
        <v>0</v>
      </c>
      <c r="J29" s="12">
        <v>0</v>
      </c>
      <c r="K29" s="12">
        <v>0.48056981488362277</v>
      </c>
      <c r="L29" s="12">
        <v>0.22822861142889272</v>
      </c>
      <c r="M29" s="12">
        <v>0.17952458637753985</v>
      </c>
      <c r="N29" s="12">
        <v>0.26970510108338669</v>
      </c>
      <c r="O29" s="12">
        <v>0.65936046734065623</v>
      </c>
      <c r="P29" s="12">
        <v>0</v>
      </c>
      <c r="Q29" s="12">
        <v>0.28965907340642921</v>
      </c>
      <c r="R29" s="12">
        <v>0.13219575796363259</v>
      </c>
      <c r="S29" s="12">
        <v>0.1026970738056676</v>
      </c>
      <c r="T29" s="12">
        <v>0.15302007532420694</v>
      </c>
      <c r="U29" s="12">
        <v>0.38116469660288299</v>
      </c>
      <c r="V29" s="12">
        <v>0</v>
      </c>
      <c r="W29" s="12">
        <v>0.65862109827093762</v>
      </c>
      <c r="X29" s="12">
        <v>0.26559902865956042</v>
      </c>
      <c r="Y29" s="12">
        <v>0.22781299001894556</v>
      </c>
      <c r="Z29" s="12">
        <v>0.43693064326413789</v>
      </c>
      <c r="AA29" s="12">
        <v>0.93956356228700089</v>
      </c>
      <c r="CE29" s="8" t="s">
        <v>148</v>
      </c>
      <c r="CF29" s="12">
        <v>0</v>
      </c>
      <c r="CG29" s="10">
        <v>4.3366013916596455E-3</v>
      </c>
      <c r="CH29" s="12">
        <v>0.14952763742898861</v>
      </c>
      <c r="CI29" s="12">
        <v>0.17543506572995873</v>
      </c>
      <c r="CJ29" s="12">
        <v>5.472379749254986E-2</v>
      </c>
      <c r="CK29" s="10">
        <v>0</v>
      </c>
      <c r="CL29" s="10">
        <v>0</v>
      </c>
      <c r="CM29" s="12">
        <v>0.17909623393569465</v>
      </c>
      <c r="CN29" s="12">
        <v>0.42999520239463257</v>
      </c>
      <c r="CO29" s="12">
        <v>0.41370767649490342</v>
      </c>
      <c r="CP29" s="12">
        <v>0.28651410811044786</v>
      </c>
      <c r="CQ29" s="12">
        <v>5.1015568062912318E-2</v>
      </c>
      <c r="CR29" s="10">
        <v>0</v>
      </c>
      <c r="CS29" s="12">
        <v>0.27133368216225312</v>
      </c>
      <c r="CT29" s="12">
        <v>0.49994322517043077</v>
      </c>
      <c r="CU29" s="12">
        <v>0.48120300368630642</v>
      </c>
      <c r="CV29" s="12">
        <v>0.37833338224096841</v>
      </c>
      <c r="CW29" s="12">
        <v>0.11703037319699931</v>
      </c>
      <c r="CX29" s="12">
        <v>0</v>
      </c>
      <c r="CY29" s="12">
        <v>6.7575563091716598E-2</v>
      </c>
      <c r="CZ29" s="12">
        <v>0.26263957058034632</v>
      </c>
      <c r="DA29" s="12">
        <v>0.25685397226250206</v>
      </c>
      <c r="DB29" s="12">
        <v>0.13705698411383074</v>
      </c>
      <c r="DC29" s="12">
        <v>7.3102031528765616E-3</v>
      </c>
      <c r="DE29" s="8" t="s">
        <v>148</v>
      </c>
      <c r="DF29" s="8" t="s">
        <v>187</v>
      </c>
      <c r="DG29" s="8" t="s">
        <v>188</v>
      </c>
      <c r="DH29" s="12">
        <v>0.43544118607114773</v>
      </c>
    </row>
    <row r="30" spans="2:112" x14ac:dyDescent="0.45">
      <c r="B30" s="9" t="s">
        <v>149</v>
      </c>
      <c r="C30" s="9" t="s">
        <v>31</v>
      </c>
      <c r="D30" s="13">
        <v>0</v>
      </c>
      <c r="E30" s="13">
        <v>0.91380842417940766</v>
      </c>
      <c r="F30" s="13">
        <v>0.31833607046015228</v>
      </c>
      <c r="G30" s="13">
        <v>0.24230304961326715</v>
      </c>
      <c r="H30" s="13">
        <v>0.57167077021568824</v>
      </c>
      <c r="I30" s="13">
        <v>0</v>
      </c>
      <c r="J30" s="13">
        <v>0.99864130434782605</v>
      </c>
      <c r="K30" s="13">
        <v>0.45729754235182696</v>
      </c>
      <c r="L30" s="13">
        <v>0.22279522308676661</v>
      </c>
      <c r="M30" s="13">
        <v>0.18556875564897313</v>
      </c>
      <c r="N30" s="13">
        <v>0.27292818934292357</v>
      </c>
      <c r="O30" s="13">
        <v>0.65648576784681834</v>
      </c>
      <c r="P30" s="13">
        <v>0.95865838466663766</v>
      </c>
      <c r="Q30" s="13">
        <v>0.26635053644679096</v>
      </c>
      <c r="R30" s="13">
        <v>0.12322707795029841</v>
      </c>
      <c r="S30" s="13">
        <v>0.10817876975692262</v>
      </c>
      <c r="T30" s="13">
        <v>0.16055808893656137</v>
      </c>
      <c r="U30" s="13">
        <v>0.38404088299611538</v>
      </c>
      <c r="V30" s="13">
        <v>0</v>
      </c>
      <c r="W30" s="13">
        <v>0.64155002745439593</v>
      </c>
      <c r="X30" s="13">
        <v>0.27434920919501127</v>
      </c>
      <c r="Y30" s="13">
        <v>0.23870847997915459</v>
      </c>
      <c r="Z30" s="13">
        <v>0.4368901270679364</v>
      </c>
      <c r="AA30" s="13">
        <v>0.94596518993501633</v>
      </c>
      <c r="CE30" s="9" t="s">
        <v>149</v>
      </c>
      <c r="CF30" s="13">
        <v>0</v>
      </c>
      <c r="CG30" s="11">
        <v>4.4903859716989908E-3</v>
      </c>
      <c r="CH30" s="13">
        <v>0.14007382311025371</v>
      </c>
      <c r="CI30" s="13">
        <v>0.16262100542239483</v>
      </c>
      <c r="CJ30" s="13">
        <v>4.3751573726793419E-2</v>
      </c>
      <c r="CK30" s="11">
        <v>0</v>
      </c>
      <c r="CL30" s="11">
        <v>7.4594790948747028E-7</v>
      </c>
      <c r="CM30" s="13">
        <v>0.19881740852125249</v>
      </c>
      <c r="CN30" s="13">
        <v>0.43859152645982763</v>
      </c>
      <c r="CO30" s="13">
        <v>0.41897336834775889</v>
      </c>
      <c r="CP30" s="13">
        <v>0.29676851368191171</v>
      </c>
      <c r="CQ30" s="13">
        <v>5.0430426708908883E-2</v>
      </c>
      <c r="CR30" s="11">
        <v>1.1504895124261985E-3</v>
      </c>
      <c r="CS30" s="13">
        <v>0.28781503252058982</v>
      </c>
      <c r="CT30" s="13">
        <v>0.499624240935026</v>
      </c>
      <c r="CU30" s="13">
        <v>0.47840088830527688</v>
      </c>
      <c r="CV30" s="13">
        <v>0.37709913178440302</v>
      </c>
      <c r="CW30" s="13">
        <v>0.11667334350378324</v>
      </c>
      <c r="CX30" s="13">
        <v>0</v>
      </c>
      <c r="CY30" s="13">
        <v>6.8496281953887711E-2</v>
      </c>
      <c r="CZ30" s="13">
        <v>0.25542323556282276</v>
      </c>
      <c r="DA30" s="13">
        <v>0.2461884506577183</v>
      </c>
      <c r="DB30" s="13">
        <v>0.12607100355697534</v>
      </c>
      <c r="DC30" s="13">
        <v>5.8563413671136409E-3</v>
      </c>
      <c r="DE30" s="9" t="s">
        <v>149</v>
      </c>
      <c r="DF30" s="9" t="s">
        <v>187</v>
      </c>
      <c r="DG30" s="9" t="s">
        <v>188</v>
      </c>
      <c r="DH30" s="13">
        <v>0.44141185942327849</v>
      </c>
    </row>
    <row r="31" spans="2:112" x14ac:dyDescent="0.45">
      <c r="B31" s="8" t="s">
        <v>150</v>
      </c>
      <c r="C31" s="8" t="s">
        <v>31</v>
      </c>
      <c r="D31" s="12">
        <v>0.34691623470323124</v>
      </c>
      <c r="E31" s="12">
        <v>0.3563048108757037</v>
      </c>
      <c r="F31" s="12">
        <v>0.34559379679584057</v>
      </c>
      <c r="G31" s="12">
        <v>0.3600363436271577</v>
      </c>
      <c r="H31" s="12">
        <v>0.34887064800184708</v>
      </c>
      <c r="I31" s="12">
        <v>0.33582328413186768</v>
      </c>
      <c r="J31" s="12">
        <v>0.32941955722982813</v>
      </c>
      <c r="K31" s="12">
        <v>0.33733671912853863</v>
      </c>
      <c r="L31" s="12">
        <v>0.38791217357896324</v>
      </c>
      <c r="M31" s="12">
        <v>0.39650875856489459</v>
      </c>
      <c r="N31" s="12">
        <v>0.38602843396030057</v>
      </c>
      <c r="O31" s="12">
        <v>0.37060118726063851</v>
      </c>
      <c r="P31" s="12">
        <v>0.42002200955966956</v>
      </c>
      <c r="Q31" s="12">
        <v>0.45450343272569876</v>
      </c>
      <c r="R31" s="12">
        <v>0.4819374381732679</v>
      </c>
      <c r="S31" s="12">
        <v>0.46995755761120289</v>
      </c>
      <c r="T31" s="12">
        <v>0.42737594544376301</v>
      </c>
      <c r="U31" s="12">
        <v>0.41326069435346219</v>
      </c>
      <c r="V31" s="12">
        <v>0.37303038576872388</v>
      </c>
      <c r="W31" s="12">
        <v>0.38327134291192366</v>
      </c>
      <c r="X31" s="12">
        <v>0.41180176667574325</v>
      </c>
      <c r="Y31" s="12">
        <v>0.42948466595488188</v>
      </c>
      <c r="Z31" s="12">
        <v>0.41630686041671405</v>
      </c>
      <c r="AA31" s="12">
        <v>0.36360544695394986</v>
      </c>
      <c r="CE31" s="8" t="s">
        <v>150</v>
      </c>
      <c r="CF31" s="12">
        <v>0.42107814545863659</v>
      </c>
      <c r="CG31" s="10">
        <v>0.41257639007937846</v>
      </c>
      <c r="CH31" s="12">
        <v>0.40371328711906168</v>
      </c>
      <c r="CI31" s="12">
        <v>0.38214292674508482</v>
      </c>
      <c r="CJ31" s="12">
        <v>0.40349845435903986</v>
      </c>
      <c r="CK31" s="10">
        <v>0.42908780564487486</v>
      </c>
      <c r="CL31" s="10">
        <v>0.30295567443154142</v>
      </c>
      <c r="CM31" s="12">
        <v>0.27673933645029225</v>
      </c>
      <c r="CN31" s="12">
        <v>0.23675379605071525</v>
      </c>
      <c r="CO31" s="12">
        <v>0.2420892358779988</v>
      </c>
      <c r="CP31" s="12">
        <v>0.2601277392882948</v>
      </c>
      <c r="CQ31" s="12">
        <v>0.28907823011664252</v>
      </c>
      <c r="CR31" s="10">
        <v>0.1737753784989822</v>
      </c>
      <c r="CS31" s="12">
        <v>0.15926948912049099</v>
      </c>
      <c r="CT31" s="12">
        <v>0.15280297660271852</v>
      </c>
      <c r="CU31" s="12">
        <v>0.17178933372599772</v>
      </c>
      <c r="CV31" s="12">
        <v>0.19561067046488509</v>
      </c>
      <c r="CW31" s="12">
        <v>0.17842432021214005</v>
      </c>
      <c r="CX31" s="12">
        <v>0.33367841344369925</v>
      </c>
      <c r="CY31" s="12">
        <v>0.31167496018890534</v>
      </c>
      <c r="CZ31" s="12">
        <v>0.30266894998287991</v>
      </c>
      <c r="DA31" s="12">
        <v>0.30399890024766879</v>
      </c>
      <c r="DB31" s="12">
        <v>0.32908524420754315</v>
      </c>
      <c r="DC31" s="12">
        <v>0.35218295447177311</v>
      </c>
      <c r="DE31" s="8" t="s">
        <v>160</v>
      </c>
      <c r="DF31" s="8" t="s">
        <v>187</v>
      </c>
      <c r="DG31" s="8" t="s">
        <v>188</v>
      </c>
      <c r="DH31" s="12">
        <v>0.44328178316793598</v>
      </c>
    </row>
    <row r="32" spans="2:112" x14ac:dyDescent="0.45">
      <c r="B32" s="9" t="s">
        <v>151</v>
      </c>
      <c r="C32" s="9" t="s">
        <v>31</v>
      </c>
      <c r="D32" s="13">
        <v>0.29319945012932369</v>
      </c>
      <c r="E32" s="13">
        <v>0.30457303677948044</v>
      </c>
      <c r="F32" s="13">
        <v>0.2814327551469768</v>
      </c>
      <c r="G32" s="13">
        <v>0.306855596836214</v>
      </c>
      <c r="H32" s="13">
        <v>0.27997404310016483</v>
      </c>
      <c r="I32" s="13">
        <v>0.26495803684128078</v>
      </c>
      <c r="J32" s="13">
        <v>0.29928617921976247</v>
      </c>
      <c r="K32" s="13">
        <v>0.29967102496050374</v>
      </c>
      <c r="L32" s="13">
        <v>0.34062508607613678</v>
      </c>
      <c r="M32" s="13">
        <v>0.35689219990028748</v>
      </c>
      <c r="N32" s="13">
        <v>0.33530424323007518</v>
      </c>
      <c r="O32" s="13">
        <v>0.32449944313499002</v>
      </c>
      <c r="P32" s="13">
        <v>0.39360917533246664</v>
      </c>
      <c r="Q32" s="13">
        <v>0.40219912771312438</v>
      </c>
      <c r="R32" s="13">
        <v>0.42630601025630405</v>
      </c>
      <c r="S32" s="13">
        <v>0.43551755996569669</v>
      </c>
      <c r="T32" s="13">
        <v>0.40091891393565748</v>
      </c>
      <c r="U32" s="13">
        <v>0.38260132434399236</v>
      </c>
      <c r="V32" s="13">
        <v>0.34460447917199261</v>
      </c>
      <c r="W32" s="13">
        <v>0.34274896360666401</v>
      </c>
      <c r="X32" s="13">
        <v>0.33856680663487293</v>
      </c>
      <c r="Y32" s="13">
        <v>0.36075277668531225</v>
      </c>
      <c r="Z32" s="13">
        <v>0.35601115426934482</v>
      </c>
      <c r="AA32" s="13">
        <v>0.33562682663867932</v>
      </c>
      <c r="CE32" s="9" t="s">
        <v>151</v>
      </c>
      <c r="CF32" s="13">
        <v>0.59969972935804683</v>
      </c>
      <c r="CG32" s="11">
        <v>0.59157273188970616</v>
      </c>
      <c r="CH32" s="13">
        <v>0.60420285573560983</v>
      </c>
      <c r="CI32" s="13">
        <v>0.57803810396648536</v>
      </c>
      <c r="CJ32" s="13">
        <v>0.60346592071120064</v>
      </c>
      <c r="CK32" s="11">
        <v>0.6252011711639337</v>
      </c>
      <c r="CL32" s="11">
        <v>0.52590264673686904</v>
      </c>
      <c r="CM32" s="13">
        <v>0.50692126203594945</v>
      </c>
      <c r="CN32" s="13">
        <v>0.46462312667310046</v>
      </c>
      <c r="CO32" s="13">
        <v>0.42084489208601816</v>
      </c>
      <c r="CP32" s="13">
        <v>0.46604584642060215</v>
      </c>
      <c r="CQ32" s="13">
        <v>0.51744818751076982</v>
      </c>
      <c r="CR32" s="11">
        <v>0.33404486373106035</v>
      </c>
      <c r="CS32" s="13">
        <v>0.32402113905335561</v>
      </c>
      <c r="CT32" s="13">
        <v>0.2976215573079603</v>
      </c>
      <c r="CU32" s="13">
        <v>0.29909754004854755</v>
      </c>
      <c r="CV32" s="13">
        <v>0.34044573991344967</v>
      </c>
      <c r="CW32" s="13">
        <v>0.33952239572221687</v>
      </c>
      <c r="CX32" s="13">
        <v>0.49873357998615464</v>
      </c>
      <c r="CY32" s="13">
        <v>0.49398883459913001</v>
      </c>
      <c r="CZ32" s="13">
        <v>0.49971134903166969</v>
      </c>
      <c r="DA32" s="13">
        <v>0.48418141013989391</v>
      </c>
      <c r="DB32" s="13">
        <v>0.49748770518867963</v>
      </c>
      <c r="DC32" s="13">
        <v>0.52225297810498805</v>
      </c>
      <c r="DE32" s="9" t="s">
        <v>161</v>
      </c>
      <c r="DF32" s="9" t="s">
        <v>187</v>
      </c>
      <c r="DG32" s="9" t="s">
        <v>188</v>
      </c>
      <c r="DH32" s="13">
        <v>0.42207324731918372</v>
      </c>
    </row>
    <row r="33" spans="2:112" x14ac:dyDescent="0.45">
      <c r="B33" s="8" t="s">
        <v>152</v>
      </c>
      <c r="C33" s="8" t="s">
        <v>31</v>
      </c>
      <c r="D33" s="12">
        <v>0.31274113943242365</v>
      </c>
      <c r="E33" s="12">
        <v>0.32410347344785911</v>
      </c>
      <c r="F33" s="12">
        <v>0.30901727152704878</v>
      </c>
      <c r="G33" s="12">
        <v>0.32560435002534821</v>
      </c>
      <c r="H33" s="12">
        <v>0.30722219395174072</v>
      </c>
      <c r="I33" s="12">
        <v>0.29452032045265814</v>
      </c>
      <c r="J33" s="12">
        <v>0.31352432008142261</v>
      </c>
      <c r="K33" s="12">
        <v>0.31594845423441192</v>
      </c>
      <c r="L33" s="12">
        <v>0.36253974873990052</v>
      </c>
      <c r="M33" s="12">
        <v>0.37454488225415045</v>
      </c>
      <c r="N33" s="12">
        <v>0.34973464913351326</v>
      </c>
      <c r="O33" s="12">
        <v>0.34972617853906901</v>
      </c>
      <c r="P33" s="12">
        <v>0.41482155106821217</v>
      </c>
      <c r="Q33" s="12">
        <v>0.42699825408895997</v>
      </c>
      <c r="R33" s="12">
        <v>0.45221366334331886</v>
      </c>
      <c r="S33" s="12">
        <v>0.45530623936391351</v>
      </c>
      <c r="T33" s="12">
        <v>0.4024890575880683</v>
      </c>
      <c r="U33" s="12">
        <v>0.39800646078788943</v>
      </c>
      <c r="V33" s="12">
        <v>0.3575092851143935</v>
      </c>
      <c r="W33" s="12">
        <v>0.36248137086273619</v>
      </c>
      <c r="X33" s="12">
        <v>0.37119921579360671</v>
      </c>
      <c r="Y33" s="12">
        <v>0.39316840502385675</v>
      </c>
      <c r="Z33" s="12">
        <v>0.37973588962316629</v>
      </c>
      <c r="AA33" s="12">
        <v>0.3437006752679283</v>
      </c>
      <c r="CE33" s="8" t="s">
        <v>152</v>
      </c>
      <c r="CF33" s="12">
        <v>0.52977236341992717</v>
      </c>
      <c r="CG33" s="10">
        <v>0.51732272105562582</v>
      </c>
      <c r="CH33" s="12">
        <v>0.51717107501079262</v>
      </c>
      <c r="CI33" s="12">
        <v>0.49286712875597516</v>
      </c>
      <c r="CJ33" s="12">
        <v>0.51950636140620921</v>
      </c>
      <c r="CK33" s="10">
        <v>0.54635029421576531</v>
      </c>
      <c r="CL33" s="10">
        <v>0.42166064714670126</v>
      </c>
      <c r="CM33" s="12">
        <v>0.40048450694310916</v>
      </c>
      <c r="CN33" s="12">
        <v>0.35230376502278321</v>
      </c>
      <c r="CO33" s="12">
        <v>0.32474375169314512</v>
      </c>
      <c r="CP33" s="12">
        <v>0.36294335967817609</v>
      </c>
      <c r="CQ33" s="12">
        <v>0.40652469907719502</v>
      </c>
      <c r="CR33" s="10">
        <v>0.25644848849599944</v>
      </c>
      <c r="CS33" s="12">
        <v>0.24804080332790535</v>
      </c>
      <c r="CT33" s="12">
        <v>0.22901028617798255</v>
      </c>
      <c r="CU33" s="12">
        <v>0.2374995351319939</v>
      </c>
      <c r="CV33" s="12">
        <v>0.27687894531847557</v>
      </c>
      <c r="CW33" s="12">
        <v>0.26465446236913437</v>
      </c>
      <c r="CX33" s="12">
        <v>0.42947842137055398</v>
      </c>
      <c r="CY33" s="12">
        <v>0.41557884593066396</v>
      </c>
      <c r="CZ33" s="12">
        <v>0.41078866658588548</v>
      </c>
      <c r="DA33" s="12">
        <v>0.40098794715478869</v>
      </c>
      <c r="DB33" s="12">
        <v>0.42861159444630947</v>
      </c>
      <c r="DC33" s="12">
        <v>0.45452071052597803</v>
      </c>
      <c r="DE33" s="8" t="s">
        <v>162</v>
      </c>
      <c r="DF33" s="8" t="s">
        <v>187</v>
      </c>
      <c r="DG33" s="8" t="s">
        <v>188</v>
      </c>
      <c r="DH33" s="12">
        <v>0.43546879210436829</v>
      </c>
    </row>
    <row r="34" spans="2:112" x14ac:dyDescent="0.45">
      <c r="B34" s="9" t="s">
        <v>153</v>
      </c>
      <c r="C34" s="9" t="s">
        <v>31</v>
      </c>
      <c r="D34" s="13">
        <v>0.30188063546359545</v>
      </c>
      <c r="E34" s="13">
        <v>0.29868234268044008</v>
      </c>
      <c r="F34" s="13">
        <v>0.30662377581394978</v>
      </c>
      <c r="G34" s="13">
        <v>0.30314700159181723</v>
      </c>
      <c r="H34" s="13">
        <v>0.27411356269489523</v>
      </c>
      <c r="I34" s="13">
        <v>0.27959286779219039</v>
      </c>
      <c r="J34" s="13">
        <v>0.2731582547753208</v>
      </c>
      <c r="K34" s="13">
        <v>0.32658408616787438</v>
      </c>
      <c r="L34" s="13">
        <v>0.33731200577370674</v>
      </c>
      <c r="M34" s="13">
        <v>0.35377769817057358</v>
      </c>
      <c r="N34" s="13">
        <v>0.32201175138883426</v>
      </c>
      <c r="O34" s="13">
        <v>0.28543295760066406</v>
      </c>
      <c r="P34" s="13">
        <v>0.34738435784610983</v>
      </c>
      <c r="Q34" s="13">
        <v>0.34706945667786876</v>
      </c>
      <c r="R34" s="13">
        <v>0.37792291365269565</v>
      </c>
      <c r="S34" s="13">
        <v>0.38990512983063608</v>
      </c>
      <c r="T34" s="13">
        <v>0.38165530456898589</v>
      </c>
      <c r="U34" s="13">
        <v>0.37769034020345266</v>
      </c>
      <c r="V34" s="13">
        <v>0.33586448408071445</v>
      </c>
      <c r="W34" s="13">
        <v>0.3223876084041935</v>
      </c>
      <c r="X34" s="13">
        <v>0.32461704581581058</v>
      </c>
      <c r="Y34" s="13">
        <v>0.34293352542568512</v>
      </c>
      <c r="Z34" s="13">
        <v>0.35601560773227031</v>
      </c>
      <c r="AA34" s="13">
        <v>0.35064654128343009</v>
      </c>
      <c r="CE34" s="9" t="s">
        <v>153</v>
      </c>
      <c r="CF34" s="13">
        <v>0.59023356161365215</v>
      </c>
      <c r="CG34" s="11">
        <v>0.60736371555055313</v>
      </c>
      <c r="CH34" s="13">
        <v>0.60831081168350143</v>
      </c>
      <c r="CI34" s="13">
        <v>0.61040190670583461</v>
      </c>
      <c r="CJ34" s="13">
        <v>0.62353584137395912</v>
      </c>
      <c r="CK34" s="11">
        <v>0.62587310452333289</v>
      </c>
      <c r="CL34" s="11">
        <v>0.58398151296469247</v>
      </c>
      <c r="CM34" s="13">
        <v>0.53757153530973734</v>
      </c>
      <c r="CN34" s="13">
        <v>0.51834246617046698</v>
      </c>
      <c r="CO34" s="13">
        <v>0.50682417088205844</v>
      </c>
      <c r="CP34" s="13">
        <v>0.54441895797272943</v>
      </c>
      <c r="CQ34" s="13">
        <v>0.58317247715195297</v>
      </c>
      <c r="CR34" s="11">
        <v>0.38398129407491999</v>
      </c>
      <c r="CS34" s="13">
        <v>0.35865661264320159</v>
      </c>
      <c r="CT34" s="13">
        <v>0.34744085655013063</v>
      </c>
      <c r="CU34" s="13">
        <v>0.34562796916610777</v>
      </c>
      <c r="CV34" s="13">
        <v>0.35688811076833782</v>
      </c>
      <c r="CW34" s="13">
        <v>0.35822930669079278</v>
      </c>
      <c r="CX34" s="13">
        <v>0.53729141444032236</v>
      </c>
      <c r="CY34" s="13">
        <v>0.53767208824641921</v>
      </c>
      <c r="CZ34" s="13">
        <v>0.55350609573383736</v>
      </c>
      <c r="DA34" s="13">
        <v>0.53085580259207543</v>
      </c>
      <c r="DB34" s="13">
        <v>0.52131194805387804</v>
      </c>
      <c r="DC34" s="13">
        <v>0.52756172428781267</v>
      </c>
      <c r="DE34" s="9" t="s">
        <v>163</v>
      </c>
      <c r="DF34" s="9" t="s">
        <v>187</v>
      </c>
      <c r="DG34" s="9" t="s">
        <v>188</v>
      </c>
      <c r="DH34" s="13">
        <v>0.46273196495251684</v>
      </c>
    </row>
    <row r="35" spans="2:112" x14ac:dyDescent="0.45">
      <c r="B35" s="8" t="s">
        <v>154</v>
      </c>
      <c r="C35" s="8" t="s">
        <v>31</v>
      </c>
      <c r="D35" s="12">
        <v>0.30080108845755799</v>
      </c>
      <c r="E35" s="12">
        <v>0.30119275729603479</v>
      </c>
      <c r="F35" s="12">
        <v>0.28164651449007044</v>
      </c>
      <c r="G35" s="12">
        <v>0.30200716222968005</v>
      </c>
      <c r="H35" s="12">
        <v>0.28174487775002288</v>
      </c>
      <c r="I35" s="12">
        <v>0.28011531102046572</v>
      </c>
      <c r="J35" s="12">
        <v>0.28777847300480952</v>
      </c>
      <c r="K35" s="12">
        <v>0.31731130424992304</v>
      </c>
      <c r="L35" s="12">
        <v>0.34603675947907864</v>
      </c>
      <c r="M35" s="12">
        <v>0.36514874974681732</v>
      </c>
      <c r="N35" s="12">
        <v>0.33615729720881726</v>
      </c>
      <c r="O35" s="12">
        <v>0.30346662790010043</v>
      </c>
      <c r="P35" s="12">
        <v>0.36051340518412367</v>
      </c>
      <c r="Q35" s="12">
        <v>0.3748223294888251</v>
      </c>
      <c r="R35" s="12">
        <v>0.41574968053852535</v>
      </c>
      <c r="S35" s="12">
        <v>0.42455966402156797</v>
      </c>
      <c r="T35" s="12">
        <v>0.40905693532363341</v>
      </c>
      <c r="U35" s="12">
        <v>0.37673951079048007</v>
      </c>
      <c r="V35" s="12">
        <v>0.34633623738550362</v>
      </c>
      <c r="W35" s="12">
        <v>0.33094149758237923</v>
      </c>
      <c r="X35" s="12">
        <v>0.32674269800021211</v>
      </c>
      <c r="Y35" s="12">
        <v>0.33450072556263599</v>
      </c>
      <c r="Z35" s="12">
        <v>0.34002169830588985</v>
      </c>
      <c r="AA35" s="12">
        <v>0.33783004402748951</v>
      </c>
      <c r="CE35" s="8" t="s">
        <v>154</v>
      </c>
      <c r="CF35" s="12">
        <v>0.60213386970486182</v>
      </c>
      <c r="CG35" s="10">
        <v>0.60736450635804107</v>
      </c>
      <c r="CH35" s="12">
        <v>0.62219827878871214</v>
      </c>
      <c r="CI35" s="12">
        <v>0.60242157972701038</v>
      </c>
      <c r="CJ35" s="12">
        <v>0.61069812759301334</v>
      </c>
      <c r="CK35" s="10">
        <v>0.62458061588113156</v>
      </c>
      <c r="CL35" s="10">
        <v>0.56636772073903241</v>
      </c>
      <c r="CM35" s="12">
        <v>0.52318399640408264</v>
      </c>
      <c r="CN35" s="12">
        <v>0.50394532731735209</v>
      </c>
      <c r="CO35" s="12">
        <v>0.48502096828257873</v>
      </c>
      <c r="CP35" s="12">
        <v>0.52789113181735892</v>
      </c>
      <c r="CQ35" s="12">
        <v>0.56871202714992042</v>
      </c>
      <c r="CR35" s="10">
        <v>0.3561203537171021</v>
      </c>
      <c r="CS35" s="12">
        <v>0.33712044708349131</v>
      </c>
      <c r="CT35" s="12">
        <v>0.32316347095744907</v>
      </c>
      <c r="CU35" s="12">
        <v>0.33648988851529554</v>
      </c>
      <c r="CV35" s="12">
        <v>0.3663989174070682</v>
      </c>
      <c r="CW35" s="12">
        <v>0.35163751728379505</v>
      </c>
      <c r="CX35" s="12">
        <v>0.51784283841197143</v>
      </c>
      <c r="CY35" s="12">
        <v>0.52644769344947406</v>
      </c>
      <c r="CZ35" s="12">
        <v>0.54243410888389687</v>
      </c>
      <c r="DA35" s="12">
        <v>0.53107116708922741</v>
      </c>
      <c r="DB35" s="12">
        <v>0.52661779989538271</v>
      </c>
      <c r="DC35" s="12">
        <v>0.53460793995463218</v>
      </c>
      <c r="DE35" s="8" t="s">
        <v>164</v>
      </c>
      <c r="DF35" s="8" t="s">
        <v>187</v>
      </c>
      <c r="DG35" s="8" t="s">
        <v>188</v>
      </c>
      <c r="DH35" s="12">
        <v>0.45361718296635917</v>
      </c>
    </row>
    <row r="36" spans="2:112" x14ac:dyDescent="0.45">
      <c r="B36" s="9" t="s">
        <v>155</v>
      </c>
      <c r="C36" s="9" t="s">
        <v>31</v>
      </c>
      <c r="D36" s="13">
        <v>0.30525499314401128</v>
      </c>
      <c r="E36" s="13">
        <v>0.31582708931795556</v>
      </c>
      <c r="F36" s="13">
        <v>0.29824252766616793</v>
      </c>
      <c r="G36" s="13">
        <v>0.31103529686601022</v>
      </c>
      <c r="H36" s="13">
        <v>0.28755195341848244</v>
      </c>
      <c r="I36" s="13">
        <v>0.27070395860836632</v>
      </c>
      <c r="J36" s="13">
        <v>0.28953215767504126</v>
      </c>
      <c r="K36" s="13">
        <v>0.32448297384609648</v>
      </c>
      <c r="L36" s="13">
        <v>0.3422789954912504</v>
      </c>
      <c r="M36" s="13">
        <v>0.35316369801134806</v>
      </c>
      <c r="N36" s="13">
        <v>0.33541804256951696</v>
      </c>
      <c r="O36" s="13">
        <v>0.31905294760826014</v>
      </c>
      <c r="P36" s="13">
        <v>0.3587806261230701</v>
      </c>
      <c r="Q36" s="13">
        <v>0.36074909342915623</v>
      </c>
      <c r="R36" s="13">
        <v>0.40720481440600931</v>
      </c>
      <c r="S36" s="13">
        <v>0.40461620883585592</v>
      </c>
      <c r="T36" s="13">
        <v>0.38345316161549475</v>
      </c>
      <c r="U36" s="13">
        <v>0.40042464159983104</v>
      </c>
      <c r="V36" s="13">
        <v>0.34469690436968026</v>
      </c>
      <c r="W36" s="13">
        <v>0.3353300569649369</v>
      </c>
      <c r="X36" s="13">
        <v>0.33088602924516847</v>
      </c>
      <c r="Y36" s="13">
        <v>0.34497822984739929</v>
      </c>
      <c r="Z36" s="13">
        <v>0.35196461613593516</v>
      </c>
      <c r="AA36" s="13">
        <v>0.34586054259693372</v>
      </c>
      <c r="CE36" s="9" t="s">
        <v>155</v>
      </c>
      <c r="CF36" s="13">
        <v>0.58070782885961691</v>
      </c>
      <c r="CG36" s="11">
        <v>0.58839294339306836</v>
      </c>
      <c r="CH36" s="13">
        <v>0.59442355656815848</v>
      </c>
      <c r="CI36" s="13">
        <v>0.58126892369447547</v>
      </c>
      <c r="CJ36" s="13">
        <v>0.60115307152297359</v>
      </c>
      <c r="CK36" s="11">
        <v>0.61523330133739795</v>
      </c>
      <c r="CL36" s="11">
        <v>0.53110471460579389</v>
      </c>
      <c r="CM36" s="13">
        <v>0.49437259249414472</v>
      </c>
      <c r="CN36" s="13">
        <v>0.47579867663567471</v>
      </c>
      <c r="CO36" s="13">
        <v>0.46306605247000443</v>
      </c>
      <c r="CP36" s="13">
        <v>0.49632361836133043</v>
      </c>
      <c r="CQ36" s="13">
        <v>0.52120082917373645</v>
      </c>
      <c r="CR36" s="11">
        <v>0.33296744993452687</v>
      </c>
      <c r="CS36" s="13">
        <v>0.32473004310286568</v>
      </c>
      <c r="CT36" s="13">
        <v>0.31196306605821217</v>
      </c>
      <c r="CU36" s="13">
        <v>0.32882176543099356</v>
      </c>
      <c r="CV36" s="13">
        <v>0.34117917177476936</v>
      </c>
      <c r="CW36" s="13">
        <v>0.31924879066753148</v>
      </c>
      <c r="CX36" s="13">
        <v>0.49808887648209998</v>
      </c>
      <c r="CY36" s="13">
        <v>0.497580673508351</v>
      </c>
      <c r="CZ36" s="13">
        <v>0.50932754925464163</v>
      </c>
      <c r="DA36" s="13">
        <v>0.49382245218484411</v>
      </c>
      <c r="DB36" s="13">
        <v>0.49534314153262143</v>
      </c>
      <c r="DC36" s="13">
        <v>0.50644825539088945</v>
      </c>
      <c r="DE36" s="9" t="s">
        <v>165</v>
      </c>
      <c r="DF36" s="9" t="s">
        <v>187</v>
      </c>
      <c r="DG36" s="9" t="s">
        <v>188</v>
      </c>
      <c r="DH36" s="13">
        <v>0.44979337501045064</v>
      </c>
    </row>
    <row r="37" spans="2:112" x14ac:dyDescent="0.45">
      <c r="B37" s="8" t="s">
        <v>156</v>
      </c>
      <c r="C37" s="8" t="s">
        <v>31</v>
      </c>
      <c r="D37" s="12">
        <v>0.3309624913762374</v>
      </c>
      <c r="E37" s="12">
        <v>0.33274302231403841</v>
      </c>
      <c r="F37" s="12">
        <v>0.33043592782174375</v>
      </c>
      <c r="G37" s="12">
        <v>0.32623322672469268</v>
      </c>
      <c r="H37" s="12">
        <v>0.30735282269406006</v>
      </c>
      <c r="I37" s="12">
        <v>0.2966949222128345</v>
      </c>
      <c r="J37" s="12">
        <v>0.31910495052210341</v>
      </c>
      <c r="K37" s="12">
        <v>0.35747782139003137</v>
      </c>
      <c r="L37" s="12">
        <v>0.37368905791101659</v>
      </c>
      <c r="M37" s="12">
        <v>0.37518197366397005</v>
      </c>
      <c r="N37" s="12">
        <v>0.3670528640583835</v>
      </c>
      <c r="O37" s="12">
        <v>0.34276231880348584</v>
      </c>
      <c r="P37" s="12">
        <v>0.4001059535388885</v>
      </c>
      <c r="Q37" s="12">
        <v>0.41888580704284695</v>
      </c>
      <c r="R37" s="12">
        <v>0.43852315988426571</v>
      </c>
      <c r="S37" s="12">
        <v>0.45514222992386943</v>
      </c>
      <c r="T37" s="12">
        <v>0.43082153853490651</v>
      </c>
      <c r="U37" s="12">
        <v>0.42043537653414825</v>
      </c>
      <c r="V37" s="12">
        <v>0.32799565667553188</v>
      </c>
      <c r="W37" s="12">
        <v>0.32245575799334358</v>
      </c>
      <c r="X37" s="12">
        <v>0.35884412915147262</v>
      </c>
      <c r="Y37" s="12">
        <v>0.37851705844428984</v>
      </c>
      <c r="Z37" s="12">
        <v>0.37069267289665558</v>
      </c>
      <c r="AA37" s="12">
        <v>0.33795003179861055</v>
      </c>
      <c r="CE37" s="8" t="s">
        <v>156</v>
      </c>
      <c r="CF37" s="12">
        <v>0.46407757023016938</v>
      </c>
      <c r="CG37" s="10">
        <v>0.46802456362121192</v>
      </c>
      <c r="CH37" s="12">
        <v>0.47519552408850985</v>
      </c>
      <c r="CI37" s="12">
        <v>0.49048087883803815</v>
      </c>
      <c r="CJ37" s="12">
        <v>0.50105634407557986</v>
      </c>
      <c r="CK37" s="10">
        <v>0.51226688952260158</v>
      </c>
      <c r="CL37" s="10">
        <v>0.3823053882969043</v>
      </c>
      <c r="CM37" s="12">
        <v>0.3508617776511892</v>
      </c>
      <c r="CN37" s="12">
        <v>0.33366698263085143</v>
      </c>
      <c r="CO37" s="12">
        <v>0.34157943557779963</v>
      </c>
      <c r="CP37" s="12">
        <v>0.35945363784573142</v>
      </c>
      <c r="CQ37" s="12">
        <v>0.3902629070000509</v>
      </c>
      <c r="CR37" s="10">
        <v>0.26392250592407435</v>
      </c>
      <c r="CS37" s="12">
        <v>0.25914514679042172</v>
      </c>
      <c r="CT37" s="12">
        <v>0.26037579915687115</v>
      </c>
      <c r="CU37" s="12">
        <v>0.2465832500609843</v>
      </c>
      <c r="CV37" s="12">
        <v>0.25625559751028287</v>
      </c>
      <c r="CW37" s="12">
        <v>0.26237065734698178</v>
      </c>
      <c r="CX37" s="12">
        <v>0.42358638008507732</v>
      </c>
      <c r="CY37" s="12">
        <v>0.40606671346805401</v>
      </c>
      <c r="CZ37" s="12">
        <v>0.41722855384237223</v>
      </c>
      <c r="DA37" s="12">
        <v>0.40209185398093528</v>
      </c>
      <c r="DB37" s="12">
        <v>0.40906736923568926</v>
      </c>
      <c r="DC37" s="12">
        <v>0.45286466472483072</v>
      </c>
      <c r="DE37" s="8" t="s">
        <v>166</v>
      </c>
      <c r="DF37" s="8" t="s">
        <v>187</v>
      </c>
      <c r="DG37" s="8" t="s">
        <v>188</v>
      </c>
      <c r="DH37" s="12">
        <v>0.45861437361135005</v>
      </c>
    </row>
    <row r="38" spans="2:112" x14ac:dyDescent="0.45">
      <c r="B38" s="9" t="s">
        <v>157</v>
      </c>
      <c r="C38" s="9" t="s">
        <v>31</v>
      </c>
      <c r="D38" s="13">
        <v>0.29552061947327884</v>
      </c>
      <c r="E38" s="13">
        <v>0.30737179058980463</v>
      </c>
      <c r="F38" s="13">
        <v>0.30831795357134156</v>
      </c>
      <c r="G38" s="13">
        <v>0.28800630707790703</v>
      </c>
      <c r="H38" s="13">
        <v>0.27083373098405733</v>
      </c>
      <c r="I38" s="13">
        <v>0.26923024072989205</v>
      </c>
      <c r="J38" s="13">
        <v>0.29443046447165</v>
      </c>
      <c r="K38" s="13">
        <v>0.32585749648180512</v>
      </c>
      <c r="L38" s="13">
        <v>0.33050010800319707</v>
      </c>
      <c r="M38" s="13">
        <v>0.35018117411546534</v>
      </c>
      <c r="N38" s="13">
        <v>0.35504408820044769</v>
      </c>
      <c r="O38" s="13">
        <v>0.33121044987219062</v>
      </c>
      <c r="P38" s="13">
        <v>0.38751745634440965</v>
      </c>
      <c r="Q38" s="13">
        <v>0.40036647497073247</v>
      </c>
      <c r="R38" s="13">
        <v>0.41891264713424536</v>
      </c>
      <c r="S38" s="13">
        <v>0.45129814073486313</v>
      </c>
      <c r="T38" s="13">
        <v>0.4200869946786282</v>
      </c>
      <c r="U38" s="13">
        <v>0.39277539898408975</v>
      </c>
      <c r="V38" s="13">
        <v>0.30824110394525672</v>
      </c>
      <c r="W38" s="13">
        <v>0.31572401493043745</v>
      </c>
      <c r="X38" s="13">
        <v>0.33237558352369206</v>
      </c>
      <c r="Y38" s="13">
        <v>0.36064550396562356</v>
      </c>
      <c r="Z38" s="13">
        <v>0.3395108879339625</v>
      </c>
      <c r="AA38" s="13">
        <v>0.30898499484982089</v>
      </c>
      <c r="CE38" s="9" t="s">
        <v>157</v>
      </c>
      <c r="CF38" s="13">
        <v>0.58619156325896482</v>
      </c>
      <c r="CG38" s="11">
        <v>0.57665136144530493</v>
      </c>
      <c r="CH38" s="13">
        <v>0.58421434909432779</v>
      </c>
      <c r="CI38" s="13">
        <v>0.61404157683768312</v>
      </c>
      <c r="CJ38" s="13">
        <v>0.63149522512620937</v>
      </c>
      <c r="CK38" s="11">
        <v>0.63839500937749061</v>
      </c>
      <c r="CL38" s="11">
        <v>0.53472144229889695</v>
      </c>
      <c r="CM38" s="13">
        <v>0.48910576465758909</v>
      </c>
      <c r="CN38" s="13">
        <v>0.48319607389570374</v>
      </c>
      <c r="CO38" s="13">
        <v>0.47982660939683774</v>
      </c>
      <c r="CP38" s="13">
        <v>0.50464651822750906</v>
      </c>
      <c r="CQ38" s="13">
        <v>0.54113458907912348</v>
      </c>
      <c r="CR38" s="11">
        <v>0.3812693828186165</v>
      </c>
      <c r="CS38" s="13">
        <v>0.35947554954071292</v>
      </c>
      <c r="CT38" s="13">
        <v>0.34721934880157218</v>
      </c>
      <c r="CU38" s="13">
        <v>0.32349112244278938</v>
      </c>
      <c r="CV38" s="13">
        <v>0.36169151858518411</v>
      </c>
      <c r="CW38" s="13">
        <v>0.40587514420788084</v>
      </c>
      <c r="CX38" s="13">
        <v>0.5323535366243799</v>
      </c>
      <c r="CY38" s="13">
        <v>0.51163061590027925</v>
      </c>
      <c r="CZ38" s="13">
        <v>0.52485537294995743</v>
      </c>
      <c r="DA38" s="13">
        <v>0.50318388878779152</v>
      </c>
      <c r="DB38" s="13">
        <v>0.51170579229739088</v>
      </c>
      <c r="DC38" s="13">
        <v>0.56338928121579979</v>
      </c>
      <c r="DE38" s="9" t="s">
        <v>167</v>
      </c>
      <c r="DF38" s="9" t="s">
        <v>187</v>
      </c>
      <c r="DG38" s="9" t="s">
        <v>188</v>
      </c>
      <c r="DH38" s="13">
        <v>0.45386673837246916</v>
      </c>
    </row>
    <row r="39" spans="2:112" x14ac:dyDescent="0.45">
      <c r="B39" s="8" t="s">
        <v>158</v>
      </c>
      <c r="C39" s="8" t="s">
        <v>31</v>
      </c>
      <c r="D39" s="12">
        <v>0.29264898704845838</v>
      </c>
      <c r="E39" s="12">
        <v>0.29857273851090627</v>
      </c>
      <c r="F39" s="12">
        <v>0.30908503659671904</v>
      </c>
      <c r="G39" s="12">
        <v>0.30021508056121654</v>
      </c>
      <c r="H39" s="12">
        <v>0.27079033314327244</v>
      </c>
      <c r="I39" s="12">
        <v>0.26856478782113541</v>
      </c>
      <c r="J39" s="12">
        <v>0.27764281447752043</v>
      </c>
      <c r="K39" s="12">
        <v>0.32567713911216639</v>
      </c>
      <c r="L39" s="12">
        <v>0.32694494753891801</v>
      </c>
      <c r="M39" s="12">
        <v>0.34093132744157578</v>
      </c>
      <c r="N39" s="12">
        <v>0.3318320179198056</v>
      </c>
      <c r="O39" s="12">
        <v>0.30952685515667405</v>
      </c>
      <c r="P39" s="12">
        <v>0.36681368056383901</v>
      </c>
      <c r="Q39" s="12">
        <v>0.36044371351244164</v>
      </c>
      <c r="R39" s="12">
        <v>0.38554633650357689</v>
      </c>
      <c r="S39" s="12">
        <v>0.40294005741259625</v>
      </c>
      <c r="T39" s="12">
        <v>0.39468732857232353</v>
      </c>
      <c r="U39" s="12">
        <v>0.39432163332233083</v>
      </c>
      <c r="V39" s="12">
        <v>0.31864917466761522</v>
      </c>
      <c r="W39" s="12">
        <v>0.32077745700668525</v>
      </c>
      <c r="X39" s="12">
        <v>0.32993850717465717</v>
      </c>
      <c r="Y39" s="12">
        <v>0.34896165990212091</v>
      </c>
      <c r="Z39" s="12">
        <v>0.34160616298859026</v>
      </c>
      <c r="AA39" s="12">
        <v>0.32532536940214435</v>
      </c>
      <c r="CE39" s="8" t="s">
        <v>158</v>
      </c>
      <c r="CF39" s="12">
        <v>0.59114403420417316</v>
      </c>
      <c r="CG39" s="10">
        <v>0.60151908082019623</v>
      </c>
      <c r="CH39" s="12">
        <v>0.5979933873562342</v>
      </c>
      <c r="CI39" s="12">
        <v>0.61444196166788911</v>
      </c>
      <c r="CJ39" s="12">
        <v>0.63608527100968404</v>
      </c>
      <c r="CK39" s="10">
        <v>0.63843392236432506</v>
      </c>
      <c r="CL39" s="10">
        <v>0.56405932996161912</v>
      </c>
      <c r="CM39" s="12">
        <v>0.52440355300586683</v>
      </c>
      <c r="CN39" s="12">
        <v>0.51116278321336428</v>
      </c>
      <c r="CO39" s="12">
        <v>0.50525156042222241</v>
      </c>
      <c r="CP39" s="12">
        <v>0.53101793817189091</v>
      </c>
      <c r="CQ39" s="12">
        <v>0.55941291393254244</v>
      </c>
      <c r="CR39" s="10">
        <v>0.38431144623186997</v>
      </c>
      <c r="CS39" s="12">
        <v>0.35890735530148882</v>
      </c>
      <c r="CT39" s="12">
        <v>0.34667036649938515</v>
      </c>
      <c r="CU39" s="12">
        <v>0.32964732139019265</v>
      </c>
      <c r="CV39" s="12">
        <v>0.35429936497726666</v>
      </c>
      <c r="CW39" s="12">
        <v>0.36199178180560776</v>
      </c>
      <c r="CX39" s="12">
        <v>0.54158872483065867</v>
      </c>
      <c r="CY39" s="12">
        <v>0.52824716961082652</v>
      </c>
      <c r="CZ39" s="12">
        <v>0.5342528156582349</v>
      </c>
      <c r="DA39" s="12">
        <v>0.51711359890657382</v>
      </c>
      <c r="DB39" s="12">
        <v>0.51767900323084037</v>
      </c>
      <c r="DC39" s="12">
        <v>0.54769263056997686</v>
      </c>
      <c r="DE39" s="8" t="s">
        <v>168</v>
      </c>
      <c r="DF39" s="8" t="s">
        <v>187</v>
      </c>
      <c r="DG39" s="8" t="s">
        <v>188</v>
      </c>
      <c r="DH39" s="12">
        <v>0.4754568317197756</v>
      </c>
    </row>
    <row r="40" spans="2:112" x14ac:dyDescent="0.45">
      <c r="B40" s="9" t="s">
        <v>159</v>
      </c>
      <c r="C40" s="9" t="s">
        <v>31</v>
      </c>
      <c r="D40" s="13">
        <v>0.30903158665529523</v>
      </c>
      <c r="E40" s="13">
        <v>0.31619393741335478</v>
      </c>
      <c r="F40" s="13">
        <v>0.31616076841644741</v>
      </c>
      <c r="G40" s="13">
        <v>0.31108390885351106</v>
      </c>
      <c r="H40" s="13">
        <v>0.28872469210214485</v>
      </c>
      <c r="I40" s="13">
        <v>0.27685380631528284</v>
      </c>
      <c r="J40" s="13">
        <v>0.30334364759568139</v>
      </c>
      <c r="K40" s="13">
        <v>0.34608250117751221</v>
      </c>
      <c r="L40" s="13">
        <v>0.34924006410937869</v>
      </c>
      <c r="M40" s="13">
        <v>0.35946882789263235</v>
      </c>
      <c r="N40" s="13">
        <v>0.36044088611558578</v>
      </c>
      <c r="O40" s="13">
        <v>0.34158637654715185</v>
      </c>
      <c r="P40" s="13">
        <v>0.39729727229839096</v>
      </c>
      <c r="Q40" s="13">
        <v>0.39647270657129674</v>
      </c>
      <c r="R40" s="13">
        <v>0.41472957105103447</v>
      </c>
      <c r="S40" s="13">
        <v>0.43714523961212604</v>
      </c>
      <c r="T40" s="13">
        <v>0.42132261797953074</v>
      </c>
      <c r="U40" s="13">
        <v>0.42282746544002597</v>
      </c>
      <c r="V40" s="13">
        <v>0.32393861224392073</v>
      </c>
      <c r="W40" s="13">
        <v>0.32975694948187145</v>
      </c>
      <c r="X40" s="13">
        <v>0.34698554828158529</v>
      </c>
      <c r="Y40" s="13">
        <v>0.36712911657984626</v>
      </c>
      <c r="Z40" s="13">
        <v>0.35514167563071153</v>
      </c>
      <c r="AA40" s="13">
        <v>0.32155115658232036</v>
      </c>
      <c r="CE40" s="9" t="s">
        <v>159</v>
      </c>
      <c r="CF40" s="13">
        <v>0.54938346878421351</v>
      </c>
      <c r="CG40" s="11">
        <v>0.55787816235541798</v>
      </c>
      <c r="CH40" s="13">
        <v>0.56120266818933406</v>
      </c>
      <c r="CI40" s="13">
        <v>0.58024695715946695</v>
      </c>
      <c r="CJ40" s="13">
        <v>0.59871766167903084</v>
      </c>
      <c r="CK40" s="11">
        <v>0.60599141488954711</v>
      </c>
      <c r="CL40" s="11">
        <v>0.483459261055594</v>
      </c>
      <c r="CM40" s="13">
        <v>0.44930102788174198</v>
      </c>
      <c r="CN40" s="13">
        <v>0.43636092195588</v>
      </c>
      <c r="CO40" s="13">
        <v>0.43626011555568023</v>
      </c>
      <c r="CP40" s="13">
        <v>0.45529511408028644</v>
      </c>
      <c r="CQ40" s="13">
        <v>0.47783012986240048</v>
      </c>
      <c r="CR40" s="11">
        <v>0.33423055278401492</v>
      </c>
      <c r="CS40" s="13">
        <v>0.32052278893700331</v>
      </c>
      <c r="CT40" s="13">
        <v>0.31905275650698489</v>
      </c>
      <c r="CU40" s="13">
        <v>0.30384068134843722</v>
      </c>
      <c r="CV40" s="13">
        <v>0.31832054798907156</v>
      </c>
      <c r="CW40" s="13">
        <v>0.32171585668659153</v>
      </c>
      <c r="CX40" s="13">
        <v>0.50872922907371432</v>
      </c>
      <c r="CY40" s="13">
        <v>0.4855541012717387</v>
      </c>
      <c r="CZ40" s="13">
        <v>0.49216239257713756</v>
      </c>
      <c r="DA40" s="13">
        <v>0.48063560905483566</v>
      </c>
      <c r="DB40" s="13">
        <v>0.4830362763857684</v>
      </c>
      <c r="DC40" s="13">
        <v>0.52520845304174446</v>
      </c>
      <c r="DE40" s="9" t="s">
        <v>169</v>
      </c>
      <c r="DF40" s="9" t="s">
        <v>187</v>
      </c>
      <c r="DG40" s="9" t="s">
        <v>188</v>
      </c>
      <c r="DH40" s="13">
        <v>0.50053447822161301</v>
      </c>
    </row>
    <row r="41" spans="2:112" x14ac:dyDescent="0.45">
      <c r="B41" s="8" t="s">
        <v>160</v>
      </c>
      <c r="C41" s="8" t="s">
        <v>31</v>
      </c>
      <c r="D41" s="12">
        <v>0.35085778316579269</v>
      </c>
      <c r="E41" s="12">
        <v>0.33090222613599313</v>
      </c>
      <c r="F41" s="12">
        <v>0.37389687249132719</v>
      </c>
      <c r="G41" s="12">
        <v>0.41659247851622822</v>
      </c>
      <c r="H41" s="12">
        <v>0.39705057694333107</v>
      </c>
      <c r="I41" s="12">
        <v>0.36337653327845365</v>
      </c>
      <c r="J41" s="12">
        <v>0.3145808818398404</v>
      </c>
      <c r="K41" s="12">
        <v>0.34024578627171148</v>
      </c>
      <c r="L41" s="12">
        <v>0.37626348709392093</v>
      </c>
      <c r="M41" s="12">
        <v>0.39314451783967674</v>
      </c>
      <c r="N41" s="12">
        <v>0.37287928507325202</v>
      </c>
      <c r="O41" s="12">
        <v>0.34998489602413652</v>
      </c>
      <c r="P41" s="12">
        <v>0.3241603990267608</v>
      </c>
      <c r="Q41" s="12">
        <v>0.40375777216651465</v>
      </c>
      <c r="R41" s="12">
        <v>0.45428455807751833</v>
      </c>
      <c r="S41" s="12">
        <v>0.46080006733553264</v>
      </c>
      <c r="T41" s="12">
        <v>0.44251159682402436</v>
      </c>
      <c r="U41" s="12">
        <v>0.38371304852460747</v>
      </c>
      <c r="V41" s="12">
        <v>0.3569420513531813</v>
      </c>
      <c r="W41" s="12">
        <v>0.37446670141949656</v>
      </c>
      <c r="X41" s="12">
        <v>0.42911751991467878</v>
      </c>
      <c r="Y41" s="12">
        <v>0.42722949607714783</v>
      </c>
      <c r="Z41" s="12">
        <v>0.39887409959318088</v>
      </c>
      <c r="AA41" s="12">
        <v>0.3501472932005919</v>
      </c>
      <c r="CE41" s="8" t="s">
        <v>160</v>
      </c>
      <c r="CF41" s="12">
        <v>0.42592743600327221</v>
      </c>
      <c r="CG41" s="10">
        <v>0.42393911023104131</v>
      </c>
      <c r="CH41" s="12">
        <v>0.4021319670203265</v>
      </c>
      <c r="CI41" s="12">
        <v>0.36613093424654936</v>
      </c>
      <c r="CJ41" s="12">
        <v>0.39834722733462868</v>
      </c>
      <c r="CK41" s="10">
        <v>0.44380148272810893</v>
      </c>
      <c r="CL41" s="10">
        <v>0.35344671158305624</v>
      </c>
      <c r="CM41" s="12">
        <v>0.30542045136593166</v>
      </c>
      <c r="CN41" s="12">
        <v>0.25352918743731384</v>
      </c>
      <c r="CO41" s="12">
        <v>0.25600980747816771</v>
      </c>
      <c r="CP41" s="12">
        <v>0.26569251112437775</v>
      </c>
      <c r="CQ41" s="12">
        <v>0.31488877964690531</v>
      </c>
      <c r="CR41" s="10">
        <v>0.19030557891699901</v>
      </c>
      <c r="CS41" s="12">
        <v>0.12428929482449838</v>
      </c>
      <c r="CT41" s="12">
        <v>0.11533980668211448</v>
      </c>
      <c r="CU41" s="12">
        <v>0.12955848943533368</v>
      </c>
      <c r="CV41" s="12">
        <v>0.14172462728320151</v>
      </c>
      <c r="CW41" s="12">
        <v>0.14726125993033345</v>
      </c>
      <c r="CX41" s="12">
        <v>0.33244529544757673</v>
      </c>
      <c r="CY41" s="12">
        <v>0.29483190128364822</v>
      </c>
      <c r="CZ41" s="12">
        <v>0.26085627169576858</v>
      </c>
      <c r="DA41" s="12">
        <v>0.25993853549278034</v>
      </c>
      <c r="DB41" s="12">
        <v>0.28578718956583798</v>
      </c>
      <c r="DC41" s="12">
        <v>0.34694799299867862</v>
      </c>
      <c r="DE41" s="8" t="s">
        <v>170</v>
      </c>
      <c r="DF41" s="8" t="s">
        <v>187</v>
      </c>
      <c r="DG41" s="8" t="s">
        <v>188</v>
      </c>
      <c r="DH41" s="12">
        <v>0.38546377734706627</v>
      </c>
    </row>
    <row r="42" spans="2:112" x14ac:dyDescent="0.45">
      <c r="B42" s="9" t="s">
        <v>161</v>
      </c>
      <c r="C42" s="9" t="s">
        <v>31</v>
      </c>
      <c r="D42" s="13">
        <v>0.32606396599294446</v>
      </c>
      <c r="E42" s="13">
        <v>0.32868673493696177</v>
      </c>
      <c r="F42" s="13">
        <v>0.36416995194572838</v>
      </c>
      <c r="G42" s="13">
        <v>0.40506298838390903</v>
      </c>
      <c r="H42" s="13">
        <v>0.36634249997831309</v>
      </c>
      <c r="I42" s="13">
        <v>0.32801850253720838</v>
      </c>
      <c r="J42" s="13">
        <v>0.33705820127460534</v>
      </c>
      <c r="K42" s="13">
        <v>0.39624246151635212</v>
      </c>
      <c r="L42" s="13">
        <v>0.4526355224935254</v>
      </c>
      <c r="M42" s="13">
        <v>0.42974114988954076</v>
      </c>
      <c r="N42" s="13">
        <v>0.40006226067889966</v>
      </c>
      <c r="O42" s="13">
        <v>0.33913496692091927</v>
      </c>
      <c r="P42" s="13">
        <v>0.31932067784328583</v>
      </c>
      <c r="Q42" s="13">
        <v>0.42118622876395539</v>
      </c>
      <c r="R42" s="13">
        <v>0.46820233266819844</v>
      </c>
      <c r="S42" s="13">
        <v>0.45431771419826017</v>
      </c>
      <c r="T42" s="13">
        <v>0.44125315200616283</v>
      </c>
      <c r="U42" s="13">
        <v>0.38030350111248346</v>
      </c>
      <c r="V42" s="13">
        <v>0.35766272026380708</v>
      </c>
      <c r="W42" s="13">
        <v>0.38934252206825087</v>
      </c>
      <c r="X42" s="13">
        <v>0.45784284722084989</v>
      </c>
      <c r="Y42" s="13">
        <v>0.45290052771176537</v>
      </c>
      <c r="Z42" s="13">
        <v>0.40671274567560445</v>
      </c>
      <c r="AA42" s="13">
        <v>0.34298703666750407</v>
      </c>
      <c r="CE42" s="9" t="s">
        <v>161</v>
      </c>
      <c r="CF42" s="13">
        <v>0.40515217672612375</v>
      </c>
      <c r="CG42" s="11">
        <v>0.40341866206683136</v>
      </c>
      <c r="CH42" s="13">
        <v>0.3715685613569697</v>
      </c>
      <c r="CI42" s="13">
        <v>0.358750451244156</v>
      </c>
      <c r="CJ42" s="13">
        <v>0.39373229394336251</v>
      </c>
      <c r="CK42" s="11">
        <v>0.42214517820990027</v>
      </c>
      <c r="CL42" s="11">
        <v>0.32193758582847232</v>
      </c>
      <c r="CM42" s="13">
        <v>0.2811748942437961</v>
      </c>
      <c r="CN42" s="13">
        <v>0.23477454121886601</v>
      </c>
      <c r="CO42" s="13">
        <v>0.23689218757100675</v>
      </c>
      <c r="CP42" s="13">
        <v>0.2575670829503392</v>
      </c>
      <c r="CQ42" s="13">
        <v>0.30617735937579094</v>
      </c>
      <c r="CR42" s="11">
        <v>0.16238892126916629</v>
      </c>
      <c r="CS42" s="13">
        <v>0.11709891543426618</v>
      </c>
      <c r="CT42" s="13">
        <v>0.11041461251951615</v>
      </c>
      <c r="CU42" s="13">
        <v>0.1159992033902265</v>
      </c>
      <c r="CV42" s="13">
        <v>0.14204161519819636</v>
      </c>
      <c r="CW42" s="13">
        <v>0.15172595393290333</v>
      </c>
      <c r="CX42" s="13">
        <v>0.31158350639545468</v>
      </c>
      <c r="CY42" s="13">
        <v>0.26384963743589135</v>
      </c>
      <c r="CZ42" s="13">
        <v>0.23834302540510785</v>
      </c>
      <c r="DA42" s="13">
        <v>0.25479129301987108</v>
      </c>
      <c r="DB42" s="13">
        <v>0.286700826218313</v>
      </c>
      <c r="DC42" s="13">
        <v>0.34059473722523081</v>
      </c>
      <c r="DE42" s="9" t="s">
        <v>171</v>
      </c>
      <c r="DF42" s="9" t="s">
        <v>187</v>
      </c>
      <c r="DG42" s="9" t="s">
        <v>188</v>
      </c>
      <c r="DH42" s="13">
        <v>0.41728200541797644</v>
      </c>
    </row>
    <row r="43" spans="2:112" x14ac:dyDescent="0.45">
      <c r="B43" s="8" t="s">
        <v>162</v>
      </c>
      <c r="C43" s="8" t="s">
        <v>31</v>
      </c>
      <c r="D43" s="12">
        <v>0.35112854463870652</v>
      </c>
      <c r="E43" s="12">
        <v>0.33367537301483746</v>
      </c>
      <c r="F43" s="12">
        <v>0.35616056361148041</v>
      </c>
      <c r="G43" s="12">
        <v>0.3783225360318358</v>
      </c>
      <c r="H43" s="12">
        <v>0.37075009212004267</v>
      </c>
      <c r="I43" s="12">
        <v>0.36403486775383453</v>
      </c>
      <c r="J43" s="12">
        <v>0.33015698655403553</v>
      </c>
      <c r="K43" s="12">
        <v>0.3582342146355838</v>
      </c>
      <c r="L43" s="12">
        <v>0.39069100459525286</v>
      </c>
      <c r="M43" s="12">
        <v>0.39972357696278704</v>
      </c>
      <c r="N43" s="12">
        <v>0.39872103743063053</v>
      </c>
      <c r="O43" s="12">
        <v>0.35656709402336312</v>
      </c>
      <c r="P43" s="12">
        <v>0.32278435220065022</v>
      </c>
      <c r="Q43" s="12">
        <v>0.41977354564784186</v>
      </c>
      <c r="R43" s="12">
        <v>0.47483511094383446</v>
      </c>
      <c r="S43" s="12">
        <v>0.46866469286918111</v>
      </c>
      <c r="T43" s="12">
        <v>0.44940263484492243</v>
      </c>
      <c r="U43" s="12">
        <v>0.4082809447979881</v>
      </c>
      <c r="V43" s="12">
        <v>0.38312083177503964</v>
      </c>
      <c r="W43" s="12">
        <v>0.39507469455327932</v>
      </c>
      <c r="X43" s="12">
        <v>0.43046641246503387</v>
      </c>
      <c r="Y43" s="12">
        <v>0.42320648421315532</v>
      </c>
      <c r="Z43" s="12">
        <v>0.39398228337970459</v>
      </c>
      <c r="AA43" s="12">
        <v>0.37108799125693059</v>
      </c>
      <c r="CE43" s="8" t="s">
        <v>162</v>
      </c>
      <c r="CF43" s="12">
        <v>0.43035612343436974</v>
      </c>
      <c r="CG43" s="10">
        <v>0.43465945459011945</v>
      </c>
      <c r="CH43" s="12">
        <v>0.41504315238424144</v>
      </c>
      <c r="CI43" s="12">
        <v>0.3820499622078895</v>
      </c>
      <c r="CJ43" s="12">
        <v>0.40706202484687115</v>
      </c>
      <c r="CK43" s="10">
        <v>0.43798570262795078</v>
      </c>
      <c r="CL43" s="10">
        <v>0.34493906283428355</v>
      </c>
      <c r="CM43" s="12">
        <v>0.30862552973233287</v>
      </c>
      <c r="CN43" s="12">
        <v>0.27430046162735888</v>
      </c>
      <c r="CO43" s="12">
        <v>0.29452131453411157</v>
      </c>
      <c r="CP43" s="12">
        <v>0.29245345925350541</v>
      </c>
      <c r="CQ43" s="12">
        <v>0.32546336807439946</v>
      </c>
      <c r="CR43" s="10">
        <v>0.18507994116202645</v>
      </c>
      <c r="CS43" s="12">
        <v>0.1224039891688963</v>
      </c>
      <c r="CT43" s="12">
        <v>0.12242747276242408</v>
      </c>
      <c r="CU43" s="12">
        <v>0.14269432173957253</v>
      </c>
      <c r="CV43" s="12">
        <v>0.15937041253370071</v>
      </c>
      <c r="CW43" s="12">
        <v>0.16132212478098854</v>
      </c>
      <c r="CX43" s="12">
        <v>0.33351077979419197</v>
      </c>
      <c r="CY43" s="12">
        <v>0.29830476251037347</v>
      </c>
      <c r="CZ43" s="12">
        <v>0.26142446110614304</v>
      </c>
      <c r="DA43" s="12">
        <v>0.26727505282867425</v>
      </c>
      <c r="DB43" s="12">
        <v>0.29756770915293246</v>
      </c>
      <c r="DC43" s="12">
        <v>0.33828377296408529</v>
      </c>
      <c r="DE43" s="8" t="s">
        <v>172</v>
      </c>
      <c r="DF43" s="8" t="s">
        <v>187</v>
      </c>
      <c r="DG43" s="8" t="s">
        <v>188</v>
      </c>
      <c r="DH43" s="12">
        <v>0.39998748631496894</v>
      </c>
    </row>
    <row r="44" spans="2:112" x14ac:dyDescent="0.45">
      <c r="B44" s="9" t="s">
        <v>163</v>
      </c>
      <c r="C44" s="9" t="s">
        <v>31</v>
      </c>
      <c r="D44" s="13">
        <v>0.31925624304524441</v>
      </c>
      <c r="E44" s="13">
        <v>0.31239537640768139</v>
      </c>
      <c r="F44" s="13">
        <v>0.33970898822126466</v>
      </c>
      <c r="G44" s="13">
        <v>0.35937408276245697</v>
      </c>
      <c r="H44" s="13">
        <v>0.34579275455648217</v>
      </c>
      <c r="I44" s="13">
        <v>0.31764546826311901</v>
      </c>
      <c r="J44" s="13">
        <v>0.31762915384761747</v>
      </c>
      <c r="K44" s="13">
        <v>0.37697503679181826</v>
      </c>
      <c r="L44" s="13">
        <v>0.42177868125850509</v>
      </c>
      <c r="M44" s="13">
        <v>0.4242964094090641</v>
      </c>
      <c r="N44" s="13">
        <v>0.40012548224011091</v>
      </c>
      <c r="O44" s="13">
        <v>0.33416532530129556</v>
      </c>
      <c r="P44" s="13">
        <v>0.34016454224274245</v>
      </c>
      <c r="Q44" s="13">
        <v>0.41931550540799545</v>
      </c>
      <c r="R44" s="13">
        <v>0.4465690847625397</v>
      </c>
      <c r="S44" s="13">
        <v>0.46063215721436224</v>
      </c>
      <c r="T44" s="13">
        <v>0.42169248837872653</v>
      </c>
      <c r="U44" s="13">
        <v>0.35444849223605479</v>
      </c>
      <c r="V44" s="13">
        <v>0.34003111394666358</v>
      </c>
      <c r="W44" s="13">
        <v>0.35864217019329903</v>
      </c>
      <c r="X44" s="13">
        <v>0.40584677025029536</v>
      </c>
      <c r="Y44" s="13">
        <v>0.42667991477493861</v>
      </c>
      <c r="Z44" s="13">
        <v>0.41837320959456781</v>
      </c>
      <c r="AA44" s="13">
        <v>0.35896263197934891</v>
      </c>
      <c r="CE44" s="9" t="s">
        <v>163</v>
      </c>
      <c r="CF44" s="13">
        <v>0.45247743568656629</v>
      </c>
      <c r="CG44" s="11">
        <v>0.44995082729646013</v>
      </c>
      <c r="CH44" s="13">
        <v>0.42079845765778612</v>
      </c>
      <c r="CI44" s="13">
        <v>0.40378602889325466</v>
      </c>
      <c r="CJ44" s="13">
        <v>0.43511063057170601</v>
      </c>
      <c r="CK44" s="11">
        <v>0.46417195853766768</v>
      </c>
      <c r="CL44" s="11">
        <v>0.36887360730370961</v>
      </c>
      <c r="CM44" s="13">
        <v>0.32669966457122018</v>
      </c>
      <c r="CN44" s="13">
        <v>0.28203574254167668</v>
      </c>
      <c r="CO44" s="13">
        <v>0.29211962955318022</v>
      </c>
      <c r="CP44" s="13">
        <v>0.3051818459639874</v>
      </c>
      <c r="CQ44" s="13">
        <v>0.35939579813680178</v>
      </c>
      <c r="CR44" s="11">
        <v>0.18167453211216103</v>
      </c>
      <c r="CS44" s="13">
        <v>0.12860178751313397</v>
      </c>
      <c r="CT44" s="13">
        <v>0.12067640993974008</v>
      </c>
      <c r="CU44" s="13">
        <v>0.1298314275159119</v>
      </c>
      <c r="CV44" s="13">
        <v>0.13945677200837903</v>
      </c>
      <c r="CW44" s="13">
        <v>0.15258945737870105</v>
      </c>
      <c r="CX44" s="13">
        <v>0.36808203276889279</v>
      </c>
      <c r="CY44" s="13">
        <v>0.32982367876025709</v>
      </c>
      <c r="CZ44" s="13">
        <v>0.28946135108139309</v>
      </c>
      <c r="DA44" s="13">
        <v>0.29640194118348695</v>
      </c>
      <c r="DB44" s="13">
        <v>0.32682079051767648</v>
      </c>
      <c r="DC44" s="13">
        <v>0.36685081239808637</v>
      </c>
      <c r="DE44" s="9" t="s">
        <v>173</v>
      </c>
      <c r="DF44" s="9" t="s">
        <v>187</v>
      </c>
      <c r="DG44" s="9" t="s">
        <v>188</v>
      </c>
      <c r="DH44" s="13">
        <v>0.42448045341216861</v>
      </c>
    </row>
    <row r="45" spans="2:112" x14ac:dyDescent="0.45">
      <c r="B45" s="8" t="s">
        <v>164</v>
      </c>
      <c r="C45" s="8" t="s">
        <v>31</v>
      </c>
      <c r="D45" s="12">
        <v>0.32917808280445049</v>
      </c>
      <c r="E45" s="12">
        <v>0.33176681514376649</v>
      </c>
      <c r="F45" s="12">
        <v>0.3468490078437983</v>
      </c>
      <c r="G45" s="12">
        <v>0.3593331995135618</v>
      </c>
      <c r="H45" s="12">
        <v>0.34353034131758892</v>
      </c>
      <c r="I45" s="12">
        <v>0.31626450346575591</v>
      </c>
      <c r="J45" s="12">
        <v>0.31313394581659226</v>
      </c>
      <c r="K45" s="12">
        <v>0.34205591596954821</v>
      </c>
      <c r="L45" s="12">
        <v>0.36174156330318014</v>
      </c>
      <c r="M45" s="12">
        <v>0.35060741930788053</v>
      </c>
      <c r="N45" s="12">
        <v>0.35646755560574578</v>
      </c>
      <c r="O45" s="12">
        <v>0.33344990678175834</v>
      </c>
      <c r="P45" s="12">
        <v>0.33529127879342013</v>
      </c>
      <c r="Q45" s="12">
        <v>0.43470915044455599</v>
      </c>
      <c r="R45" s="12">
        <v>0.50507190198068275</v>
      </c>
      <c r="S45" s="12">
        <v>0.46870767290608678</v>
      </c>
      <c r="T45" s="12">
        <v>0.437976491921927</v>
      </c>
      <c r="U45" s="12">
        <v>0.37847921627078734</v>
      </c>
      <c r="V45" s="12">
        <v>0.37373369069329887</v>
      </c>
      <c r="W45" s="12">
        <v>0.37748905350274353</v>
      </c>
      <c r="X45" s="12">
        <v>0.39678059955024236</v>
      </c>
      <c r="Y45" s="12">
        <v>0.39168792750032466</v>
      </c>
      <c r="Z45" s="12">
        <v>0.38754426884719639</v>
      </c>
      <c r="AA45" s="12">
        <v>0.36352794691133888</v>
      </c>
      <c r="CE45" s="8" t="s">
        <v>164</v>
      </c>
      <c r="CF45" s="12">
        <v>0.44091860929406673</v>
      </c>
      <c r="CG45" s="10">
        <v>0.44505405714787544</v>
      </c>
      <c r="CH45" s="12">
        <v>0.41930619197090063</v>
      </c>
      <c r="CI45" s="12">
        <v>0.38717230379401379</v>
      </c>
      <c r="CJ45" s="12">
        <v>0.41844425548350295</v>
      </c>
      <c r="CK45" s="10">
        <v>0.45363189719777114</v>
      </c>
      <c r="CL45" s="10">
        <v>0.35468372786089952</v>
      </c>
      <c r="CM45" s="12">
        <v>0.30905335059534167</v>
      </c>
      <c r="CN45" s="12">
        <v>0.27087193695464923</v>
      </c>
      <c r="CO45" s="12">
        <v>0.29159634380758281</v>
      </c>
      <c r="CP45" s="12">
        <v>0.30673738355729607</v>
      </c>
      <c r="CQ45" s="12">
        <v>0.35015633198586216</v>
      </c>
      <c r="CR45" s="10">
        <v>0.19649300748065765</v>
      </c>
      <c r="CS45" s="12">
        <v>0.14992616912763523</v>
      </c>
      <c r="CT45" s="12">
        <v>0.14684362105172136</v>
      </c>
      <c r="CU45" s="12">
        <v>0.1704993719651072</v>
      </c>
      <c r="CV45" s="12">
        <v>0.1942444985368941</v>
      </c>
      <c r="CW45" s="12">
        <v>0.18632991249213418</v>
      </c>
      <c r="CX45" s="12">
        <v>0.34469944360443039</v>
      </c>
      <c r="CY45" s="12">
        <v>0.32342318563159278</v>
      </c>
      <c r="CZ45" s="12">
        <v>0.29905070384773491</v>
      </c>
      <c r="DA45" s="12">
        <v>0.29534110942495939</v>
      </c>
      <c r="DB45" s="12">
        <v>0.32366827338341653</v>
      </c>
      <c r="DC45" s="12">
        <v>0.35323636428167482</v>
      </c>
      <c r="DE45" s="8" t="s">
        <v>174</v>
      </c>
      <c r="DF45" s="8" t="s">
        <v>187</v>
      </c>
      <c r="DG45" s="8" t="s">
        <v>188</v>
      </c>
      <c r="DH45" s="12">
        <v>0.19647379391952155</v>
      </c>
    </row>
    <row r="46" spans="2:112" x14ac:dyDescent="0.45">
      <c r="B46" s="9" t="s">
        <v>165</v>
      </c>
      <c r="C46" s="9" t="s">
        <v>31</v>
      </c>
      <c r="D46" s="13">
        <v>0.34564828214945148</v>
      </c>
      <c r="E46" s="13">
        <v>0.34503045674795801</v>
      </c>
      <c r="F46" s="13">
        <v>0.37121225760649829</v>
      </c>
      <c r="G46" s="13">
        <v>0.40321690759181394</v>
      </c>
      <c r="H46" s="13">
        <v>0.37288187652669186</v>
      </c>
      <c r="I46" s="13">
        <v>0.3408759056645877</v>
      </c>
      <c r="J46" s="13">
        <v>0.30050613150259592</v>
      </c>
      <c r="K46" s="13">
        <v>0.32723524446800395</v>
      </c>
      <c r="L46" s="13">
        <v>0.35154088646124237</v>
      </c>
      <c r="M46" s="13">
        <v>0.36350101995105161</v>
      </c>
      <c r="N46" s="13">
        <v>0.37566497064074883</v>
      </c>
      <c r="O46" s="13">
        <v>0.35453299617565681</v>
      </c>
      <c r="P46" s="13">
        <v>0.34551676207965221</v>
      </c>
      <c r="Q46" s="13">
        <v>0.42436637372046448</v>
      </c>
      <c r="R46" s="13">
        <v>0.44966259878478387</v>
      </c>
      <c r="S46" s="13">
        <v>0.42977992279036609</v>
      </c>
      <c r="T46" s="13">
        <v>0.43088079723354378</v>
      </c>
      <c r="U46" s="13">
        <v>0.38126741460248798</v>
      </c>
      <c r="V46" s="13">
        <v>0.34804523691934625</v>
      </c>
      <c r="W46" s="13">
        <v>0.37421727222163592</v>
      </c>
      <c r="X46" s="13">
        <v>0.40319954261580804</v>
      </c>
      <c r="Y46" s="13">
        <v>0.39514141785400608</v>
      </c>
      <c r="Z46" s="13">
        <v>0.37683451278221769</v>
      </c>
      <c r="AA46" s="13">
        <v>0.33283169777134686</v>
      </c>
      <c r="CE46" s="9" t="s">
        <v>165</v>
      </c>
      <c r="CF46" s="13">
        <v>0.43119803854951394</v>
      </c>
      <c r="CG46" s="11">
        <v>0.42734177777982058</v>
      </c>
      <c r="CH46" s="13">
        <v>0.40944874490450089</v>
      </c>
      <c r="CI46" s="13">
        <v>0.38910038976052813</v>
      </c>
      <c r="CJ46" s="13">
        <v>0.42224716838093912</v>
      </c>
      <c r="CK46" s="11">
        <v>0.44988294542411822</v>
      </c>
      <c r="CL46" s="11">
        <v>0.37115965307190457</v>
      </c>
      <c r="CM46" s="13">
        <v>0.33412476095934707</v>
      </c>
      <c r="CN46" s="13">
        <v>0.26554739354216217</v>
      </c>
      <c r="CO46" s="13">
        <v>0.26498308711479768</v>
      </c>
      <c r="CP46" s="13">
        <v>0.28502558535882611</v>
      </c>
      <c r="CQ46" s="13">
        <v>0.32946790845864493</v>
      </c>
      <c r="CR46" s="11">
        <v>0.20169729620920832</v>
      </c>
      <c r="CS46" s="13">
        <v>0.14846433750549837</v>
      </c>
      <c r="CT46" s="13">
        <v>0.14481293892530073</v>
      </c>
      <c r="CU46" s="13">
        <v>0.161511304175009</v>
      </c>
      <c r="CV46" s="13">
        <v>0.17733575537382745</v>
      </c>
      <c r="CW46" s="13">
        <v>0.18436970394118438</v>
      </c>
      <c r="CX46" s="13">
        <v>0.34667162291238673</v>
      </c>
      <c r="CY46" s="13">
        <v>0.31987459545000868</v>
      </c>
      <c r="CZ46" s="13">
        <v>0.29109016748934918</v>
      </c>
      <c r="DA46" s="13">
        <v>0.30418259338353637</v>
      </c>
      <c r="DB46" s="13">
        <v>0.32651629709158164</v>
      </c>
      <c r="DC46" s="13">
        <v>0.3782436191692356</v>
      </c>
      <c r="DE46" s="9" t="s">
        <v>175</v>
      </c>
      <c r="DF46" s="9" t="s">
        <v>187</v>
      </c>
      <c r="DG46" s="9" t="s">
        <v>188</v>
      </c>
      <c r="DH46" s="13">
        <v>0.47492232493262232</v>
      </c>
    </row>
    <row r="47" spans="2:112" x14ac:dyDescent="0.45">
      <c r="B47" s="8" t="s">
        <v>166</v>
      </c>
      <c r="C47" s="8" t="s">
        <v>31</v>
      </c>
      <c r="D47" s="12">
        <v>0.34268286481570837</v>
      </c>
      <c r="E47" s="12">
        <v>0.32428994959058077</v>
      </c>
      <c r="F47" s="12">
        <v>0.33596667777602424</v>
      </c>
      <c r="G47" s="12">
        <v>0.37616438700798033</v>
      </c>
      <c r="H47" s="12">
        <v>0.37082227005680246</v>
      </c>
      <c r="I47" s="12">
        <v>0.33394271553471383</v>
      </c>
      <c r="J47" s="12">
        <v>0.31588392602178894</v>
      </c>
      <c r="K47" s="12">
        <v>0.34475491873560371</v>
      </c>
      <c r="L47" s="12">
        <v>0.38413255503346266</v>
      </c>
      <c r="M47" s="12">
        <v>0.36439923460707152</v>
      </c>
      <c r="N47" s="12">
        <v>0.36054147747971776</v>
      </c>
      <c r="O47" s="12">
        <v>0.35055149332428726</v>
      </c>
      <c r="P47" s="12">
        <v>0.34243351794830118</v>
      </c>
      <c r="Q47" s="12">
        <v>0.42114654774973581</v>
      </c>
      <c r="R47" s="12">
        <v>0.46620539793298299</v>
      </c>
      <c r="S47" s="12">
        <v>0.43434858943648336</v>
      </c>
      <c r="T47" s="12">
        <v>0.42735597890985072</v>
      </c>
      <c r="U47" s="12">
        <v>0.37529327491550968</v>
      </c>
      <c r="V47" s="12">
        <v>0.35690020447117177</v>
      </c>
      <c r="W47" s="12">
        <v>0.38548493512614757</v>
      </c>
      <c r="X47" s="12">
        <v>0.43913669149374895</v>
      </c>
      <c r="Y47" s="12">
        <v>0.42812844867601108</v>
      </c>
      <c r="Z47" s="12">
        <v>0.39165779229242348</v>
      </c>
      <c r="AA47" s="12">
        <v>0.35131923771182372</v>
      </c>
      <c r="CE47" s="8" t="s">
        <v>166</v>
      </c>
      <c r="CF47" s="12">
        <v>0.45279741891905179</v>
      </c>
      <c r="CG47" s="10">
        <v>0.45558917472712934</v>
      </c>
      <c r="CH47" s="12">
        <v>0.43437525203664518</v>
      </c>
      <c r="CI47" s="12">
        <v>0.39703244822691014</v>
      </c>
      <c r="CJ47" s="12">
        <v>0.42182563037467874</v>
      </c>
      <c r="CK47" s="10">
        <v>0.45866374403282589</v>
      </c>
      <c r="CL47" s="10">
        <v>0.37365727863544412</v>
      </c>
      <c r="CM47" s="12">
        <v>0.32740420361534306</v>
      </c>
      <c r="CN47" s="12">
        <v>0.28322888885206149</v>
      </c>
      <c r="CO47" s="12">
        <v>0.29733813741040371</v>
      </c>
      <c r="CP47" s="12">
        <v>0.31087418265954714</v>
      </c>
      <c r="CQ47" s="12">
        <v>0.35446695136015793</v>
      </c>
      <c r="CR47" s="10">
        <v>0.20022425192531729</v>
      </c>
      <c r="CS47" s="12">
        <v>0.13993788458355369</v>
      </c>
      <c r="CT47" s="12">
        <v>0.13966881382781568</v>
      </c>
      <c r="CU47" s="12">
        <v>0.16308505451478666</v>
      </c>
      <c r="CV47" s="12">
        <v>0.19747212272491696</v>
      </c>
      <c r="CW47" s="12">
        <v>0.18913067178099377</v>
      </c>
      <c r="CX47" s="12">
        <v>0.34838564051969662</v>
      </c>
      <c r="CY47" s="12">
        <v>0.30929811405219554</v>
      </c>
      <c r="CZ47" s="12">
        <v>0.28716628993623156</v>
      </c>
      <c r="DA47" s="12">
        <v>0.29672920581829682</v>
      </c>
      <c r="DB47" s="12">
        <v>0.31696925326206865</v>
      </c>
      <c r="DC47" s="12">
        <v>0.36141640341091946</v>
      </c>
      <c r="DE47" s="8" t="s">
        <v>176</v>
      </c>
      <c r="DF47" s="8" t="s">
        <v>187</v>
      </c>
      <c r="DG47" s="8" t="s">
        <v>188</v>
      </c>
      <c r="DH47" s="12">
        <v>0.32867621134344593</v>
      </c>
    </row>
    <row r="48" spans="2:112" x14ac:dyDescent="0.45">
      <c r="B48" s="9" t="s">
        <v>167</v>
      </c>
      <c r="C48" s="9" t="s">
        <v>31</v>
      </c>
      <c r="D48" s="13">
        <v>0.33526296576347719</v>
      </c>
      <c r="E48" s="13">
        <v>0.34400170372290828</v>
      </c>
      <c r="F48" s="13">
        <v>0.34934599010539985</v>
      </c>
      <c r="G48" s="13">
        <v>0.37965226375215605</v>
      </c>
      <c r="H48" s="13">
        <v>0.35657638819836435</v>
      </c>
      <c r="I48" s="13">
        <v>0.32411620532691543</v>
      </c>
      <c r="J48" s="13">
        <v>0.32795559808094538</v>
      </c>
      <c r="K48" s="13">
        <v>0.34614030920456601</v>
      </c>
      <c r="L48" s="13">
        <v>0.39880214152501553</v>
      </c>
      <c r="M48" s="13">
        <v>0.39026553537213798</v>
      </c>
      <c r="N48" s="13">
        <v>0.38379847672284412</v>
      </c>
      <c r="O48" s="13">
        <v>0.35863273331669715</v>
      </c>
      <c r="P48" s="13">
        <v>0.38261621570369564</v>
      </c>
      <c r="Q48" s="13">
        <v>0.45349157355119152</v>
      </c>
      <c r="R48" s="13">
        <v>0.49453533243148518</v>
      </c>
      <c r="S48" s="13">
        <v>0.44729432692218635</v>
      </c>
      <c r="T48" s="13">
        <v>0.40740963224033871</v>
      </c>
      <c r="U48" s="13">
        <v>0.36974516832148935</v>
      </c>
      <c r="V48" s="13">
        <v>0.37523612270526024</v>
      </c>
      <c r="W48" s="13">
        <v>0.37829956931365344</v>
      </c>
      <c r="X48" s="13">
        <v>0.41554980891631138</v>
      </c>
      <c r="Y48" s="13">
        <v>0.41205409210974003</v>
      </c>
      <c r="Z48" s="13">
        <v>0.40961244615952258</v>
      </c>
      <c r="AA48" s="13">
        <v>0.36703087160412634</v>
      </c>
      <c r="CE48" s="9" t="s">
        <v>167</v>
      </c>
      <c r="CF48" s="13">
        <v>0.44683595397074183</v>
      </c>
      <c r="CG48" s="11">
        <v>0.43902148821935733</v>
      </c>
      <c r="CH48" s="13">
        <v>0.40873650804395706</v>
      </c>
      <c r="CI48" s="13">
        <v>0.3802244725513913</v>
      </c>
      <c r="CJ48" s="13">
        <v>0.41212390532485849</v>
      </c>
      <c r="CK48" s="11">
        <v>0.45387328896233164</v>
      </c>
      <c r="CL48" s="11">
        <v>0.33208135040337999</v>
      </c>
      <c r="CM48" s="13">
        <v>0.28860318441013949</v>
      </c>
      <c r="CN48" s="13">
        <v>0.26173974147076867</v>
      </c>
      <c r="CO48" s="13">
        <v>0.27788122234972867</v>
      </c>
      <c r="CP48" s="13">
        <v>0.2837011830918611</v>
      </c>
      <c r="CQ48" s="13">
        <v>0.31738325700113312</v>
      </c>
      <c r="CR48" s="11">
        <v>0.18891324456202704</v>
      </c>
      <c r="CS48" s="13">
        <v>0.16019972618874312</v>
      </c>
      <c r="CT48" s="13">
        <v>0.15740519182923093</v>
      </c>
      <c r="CU48" s="13">
        <v>0.17867806520069357</v>
      </c>
      <c r="CV48" s="13">
        <v>0.20879094563517819</v>
      </c>
      <c r="CW48" s="13">
        <v>0.18164767759916661</v>
      </c>
      <c r="CX48" s="13">
        <v>0.35193356421691624</v>
      </c>
      <c r="CY48" s="13">
        <v>0.32481627713219663</v>
      </c>
      <c r="CZ48" s="13">
        <v>0.30374290847070712</v>
      </c>
      <c r="DA48" s="13">
        <v>0.307633052937274</v>
      </c>
      <c r="DB48" s="13">
        <v>0.32168305773852562</v>
      </c>
      <c r="DC48" s="13">
        <v>0.35494813729394215</v>
      </c>
      <c r="DE48" s="9" t="s">
        <v>177</v>
      </c>
      <c r="DF48" s="9" t="s">
        <v>187</v>
      </c>
      <c r="DG48" s="9" t="s">
        <v>188</v>
      </c>
      <c r="DH48" s="13">
        <v>0.34512946815122625</v>
      </c>
    </row>
    <row r="49" spans="2:112" x14ac:dyDescent="0.45">
      <c r="B49" s="8" t="s">
        <v>168</v>
      </c>
      <c r="C49" s="8" t="s">
        <v>31</v>
      </c>
      <c r="D49" s="12">
        <v>0.3366237993833528</v>
      </c>
      <c r="E49" s="12">
        <v>0.34270332142634696</v>
      </c>
      <c r="F49" s="12">
        <v>0.34285611634193708</v>
      </c>
      <c r="G49" s="12">
        <v>0.35772072685710188</v>
      </c>
      <c r="H49" s="12">
        <v>0.3423912607034662</v>
      </c>
      <c r="I49" s="12">
        <v>0.32740643128692504</v>
      </c>
      <c r="J49" s="12">
        <v>0.31892042730558201</v>
      </c>
      <c r="K49" s="12">
        <v>0.3410499885733187</v>
      </c>
      <c r="L49" s="12">
        <v>0.38721643454344334</v>
      </c>
      <c r="M49" s="12">
        <v>0.38648070335702417</v>
      </c>
      <c r="N49" s="12">
        <v>0.36536049845231905</v>
      </c>
      <c r="O49" s="12">
        <v>0.33826840143339554</v>
      </c>
      <c r="P49" s="12">
        <v>0.39761551547132851</v>
      </c>
      <c r="Q49" s="12">
        <v>0.45299912326031977</v>
      </c>
      <c r="R49" s="12">
        <v>0.47395763586837941</v>
      </c>
      <c r="S49" s="12">
        <v>0.45514660025554798</v>
      </c>
      <c r="T49" s="12">
        <v>0.44396465031243948</v>
      </c>
      <c r="U49" s="12">
        <v>0.40739802724578145</v>
      </c>
      <c r="V49" s="12">
        <v>0.34383262036312745</v>
      </c>
      <c r="W49" s="12">
        <v>0.36687321432820691</v>
      </c>
      <c r="X49" s="12">
        <v>0.41723605901236155</v>
      </c>
      <c r="Y49" s="12">
        <v>0.42167493421311769</v>
      </c>
      <c r="Z49" s="12">
        <v>0.41132393350968727</v>
      </c>
      <c r="AA49" s="12">
        <v>0.34817480464923511</v>
      </c>
      <c r="CE49" s="8" t="s">
        <v>168</v>
      </c>
      <c r="CF49" s="12">
        <v>0.46732231943554081</v>
      </c>
      <c r="CG49" s="10">
        <v>0.45812600186343932</v>
      </c>
      <c r="CH49" s="12">
        <v>0.44712260055285358</v>
      </c>
      <c r="CI49" s="12">
        <v>0.4210491958771701</v>
      </c>
      <c r="CJ49" s="12">
        <v>0.44731745932789851</v>
      </c>
      <c r="CK49" s="10">
        <v>0.47546264189967674</v>
      </c>
      <c r="CL49" s="10">
        <v>0.35911408247057997</v>
      </c>
      <c r="CM49" s="12">
        <v>0.31851468829408131</v>
      </c>
      <c r="CN49" s="12">
        <v>0.27106373839512554</v>
      </c>
      <c r="CO49" s="12">
        <v>0.29224938909704395</v>
      </c>
      <c r="CP49" s="12">
        <v>0.29788922533902901</v>
      </c>
      <c r="CQ49" s="12">
        <v>0.33730103103888343</v>
      </c>
      <c r="CR49" s="10">
        <v>0.20445284723441512</v>
      </c>
      <c r="CS49" s="12">
        <v>0.17236651188460358</v>
      </c>
      <c r="CT49" s="12">
        <v>0.1698844375246723</v>
      </c>
      <c r="CU49" s="12">
        <v>0.20601991034888639</v>
      </c>
      <c r="CV49" s="12">
        <v>0.22146058383158984</v>
      </c>
      <c r="CW49" s="12">
        <v>0.20351533556325468</v>
      </c>
      <c r="CX49" s="12">
        <v>0.3799939737207304</v>
      </c>
      <c r="CY49" s="12">
        <v>0.3481453499027572</v>
      </c>
      <c r="CZ49" s="12">
        <v>0.33272906157036969</v>
      </c>
      <c r="DA49" s="12">
        <v>0.33781704597389078</v>
      </c>
      <c r="DB49" s="12">
        <v>0.3580052655762605</v>
      </c>
      <c r="DC49" s="12">
        <v>0.39434167389176095</v>
      </c>
      <c r="DE49" s="8" t="s">
        <v>178</v>
      </c>
      <c r="DF49" s="8" t="s">
        <v>187</v>
      </c>
      <c r="DG49" s="8" t="s">
        <v>188</v>
      </c>
      <c r="DH49" s="12">
        <v>0.39520415088044214</v>
      </c>
    </row>
    <row r="50" spans="2:112" x14ac:dyDescent="0.45">
      <c r="B50" s="9" t="s">
        <v>169</v>
      </c>
      <c r="C50" s="9" t="s">
        <v>31</v>
      </c>
      <c r="D50" s="13">
        <v>0.34351493093107194</v>
      </c>
      <c r="E50" s="13">
        <v>0.32571836361321449</v>
      </c>
      <c r="F50" s="13">
        <v>0.33299123707032779</v>
      </c>
      <c r="G50" s="13">
        <v>0.34167099637658283</v>
      </c>
      <c r="H50" s="13">
        <v>0.33409858630288231</v>
      </c>
      <c r="I50" s="13">
        <v>0.31044443835172641</v>
      </c>
      <c r="J50" s="13">
        <v>0.31367384412174926</v>
      </c>
      <c r="K50" s="13">
        <v>0.33016229784283735</v>
      </c>
      <c r="L50" s="13">
        <v>0.37122391444307218</v>
      </c>
      <c r="M50" s="13">
        <v>0.36394243298175832</v>
      </c>
      <c r="N50" s="13">
        <v>0.35697541111926817</v>
      </c>
      <c r="O50" s="13">
        <v>0.34544133344646766</v>
      </c>
      <c r="P50" s="13">
        <v>0.3580450323831017</v>
      </c>
      <c r="Q50" s="13">
        <v>0.39778327742149938</v>
      </c>
      <c r="R50" s="13">
        <v>0.42275528246426164</v>
      </c>
      <c r="S50" s="13">
        <v>0.42539910381266327</v>
      </c>
      <c r="T50" s="13">
        <v>0.40002594710705047</v>
      </c>
      <c r="U50" s="13">
        <v>0.37672293007277596</v>
      </c>
      <c r="V50" s="13">
        <v>0.31836232760799976</v>
      </c>
      <c r="W50" s="13">
        <v>0.30696675234647558</v>
      </c>
      <c r="X50" s="13">
        <v>0.35380166159911436</v>
      </c>
      <c r="Y50" s="13">
        <v>0.3578497667793053</v>
      </c>
      <c r="Z50" s="13">
        <v>0.36046104988697591</v>
      </c>
      <c r="AA50" s="13">
        <v>0.33016332231509843</v>
      </c>
      <c r="CE50" s="9" t="s">
        <v>169</v>
      </c>
      <c r="CF50" s="13">
        <v>0.45676994243794022</v>
      </c>
      <c r="CG50" s="11">
        <v>0.46536754857615148</v>
      </c>
      <c r="CH50" s="13">
        <v>0.46831274532401618</v>
      </c>
      <c r="CI50" s="13">
        <v>0.4686131685488884</v>
      </c>
      <c r="CJ50" s="13">
        <v>0.47847020550050062</v>
      </c>
      <c r="CK50" s="11">
        <v>0.50056455653665</v>
      </c>
      <c r="CL50" s="11">
        <v>0.38304101884047564</v>
      </c>
      <c r="CM50" s="13">
        <v>0.35323008702590625</v>
      </c>
      <c r="CN50" s="13">
        <v>0.32409337963050988</v>
      </c>
      <c r="CO50" s="13">
        <v>0.33605502385052344</v>
      </c>
      <c r="CP50" s="13">
        <v>0.3344099866480168</v>
      </c>
      <c r="CQ50" s="13">
        <v>0.34788656908233817</v>
      </c>
      <c r="CR50" s="11">
        <v>0.23470555462520545</v>
      </c>
      <c r="CS50" s="13">
        <v>0.22783401196632641</v>
      </c>
      <c r="CT50" s="13">
        <v>0.24092181940723192</v>
      </c>
      <c r="CU50" s="13">
        <v>0.26210011775509129</v>
      </c>
      <c r="CV50" s="13">
        <v>0.25934413363920916</v>
      </c>
      <c r="CW50" s="13">
        <v>0.2124272382569885</v>
      </c>
      <c r="CX50" s="13">
        <v>0.42688782908257505</v>
      </c>
      <c r="CY50" s="13">
        <v>0.40657992493733774</v>
      </c>
      <c r="CZ50" s="13">
        <v>0.39958120607461223</v>
      </c>
      <c r="DA50" s="13">
        <v>0.40232931520984833</v>
      </c>
      <c r="DB50" s="13">
        <v>0.40330258227842192</v>
      </c>
      <c r="DC50" s="13">
        <v>0.43758075967613425</v>
      </c>
      <c r="DE50" s="9" t="s">
        <v>179</v>
      </c>
      <c r="DF50" s="9" t="s">
        <v>187</v>
      </c>
      <c r="DG50" s="9" t="s">
        <v>188</v>
      </c>
      <c r="DH50" s="13">
        <v>0.40835343051264172</v>
      </c>
    </row>
    <row r="51" spans="2:112" x14ac:dyDescent="0.45">
      <c r="B51" s="8" t="s">
        <v>170</v>
      </c>
      <c r="C51" s="8" t="s">
        <v>31</v>
      </c>
      <c r="D51" s="12">
        <v>0.37756853809849966</v>
      </c>
      <c r="E51" s="12">
        <v>0.39199366803707925</v>
      </c>
      <c r="F51" s="12">
        <v>0.4009763956310009</v>
      </c>
      <c r="G51" s="12">
        <v>0.41385912126332136</v>
      </c>
      <c r="H51" s="12">
        <v>0.38669662271532051</v>
      </c>
      <c r="I51" s="12">
        <v>0.35171856216966146</v>
      </c>
      <c r="J51" s="12">
        <v>0.34479421656501252</v>
      </c>
      <c r="K51" s="12">
        <v>0.399748172038772</v>
      </c>
      <c r="L51" s="12">
        <v>0.43057029544943221</v>
      </c>
      <c r="M51" s="12">
        <v>0.42707410465637113</v>
      </c>
      <c r="N51" s="12">
        <v>0.39327967329676877</v>
      </c>
      <c r="O51" s="12">
        <v>0.35598735879950899</v>
      </c>
      <c r="P51" s="12">
        <v>0.41641686920382198</v>
      </c>
      <c r="Q51" s="12">
        <v>0.49403456986492483</v>
      </c>
      <c r="R51" s="12">
        <v>0.53267633075940768</v>
      </c>
      <c r="S51" s="12">
        <v>0.49247909948542334</v>
      </c>
      <c r="T51" s="12">
        <v>0.4671797779295257</v>
      </c>
      <c r="U51" s="12">
        <v>0.41094019588694486</v>
      </c>
      <c r="V51" s="12">
        <v>0.36600398026073555</v>
      </c>
      <c r="W51" s="12">
        <v>0.33932673263322949</v>
      </c>
      <c r="X51" s="12">
        <v>0.35893184880856055</v>
      </c>
      <c r="Y51" s="12">
        <v>0.37125046213998142</v>
      </c>
      <c r="Z51" s="12">
        <v>0.3805671032650409</v>
      </c>
      <c r="AA51" s="12">
        <v>0.36508824560206704</v>
      </c>
      <c r="CE51" s="8" t="s">
        <v>170</v>
      </c>
      <c r="CF51" s="12">
        <v>0.34379841258519356</v>
      </c>
      <c r="CG51" s="10">
        <v>0.34784916655305526</v>
      </c>
      <c r="CH51" s="12">
        <v>0.35703947461610869</v>
      </c>
      <c r="CI51" s="12">
        <v>0.34969775006469683</v>
      </c>
      <c r="CJ51" s="12">
        <v>0.36988360032641815</v>
      </c>
      <c r="CK51" s="10">
        <v>0.3855101707138936</v>
      </c>
      <c r="CL51" s="10">
        <v>0.24675846821009273</v>
      </c>
      <c r="CM51" s="12">
        <v>0.22236987460615718</v>
      </c>
      <c r="CN51" s="12">
        <v>0.21025824583977126</v>
      </c>
      <c r="CO51" s="12">
        <v>0.22475727309954535</v>
      </c>
      <c r="CP51" s="12">
        <v>0.2298053482375754</v>
      </c>
      <c r="CQ51" s="12">
        <v>0.24708963557049121</v>
      </c>
      <c r="CR51" s="10">
        <v>0.16831538768130933</v>
      </c>
      <c r="CS51" s="12">
        <v>0.15484315030869683</v>
      </c>
      <c r="CT51" s="12">
        <v>0.13387358665268195</v>
      </c>
      <c r="CU51" s="12">
        <v>0.13158077016548836</v>
      </c>
      <c r="CV51" s="12">
        <v>0.1377413806529636</v>
      </c>
      <c r="CW51" s="12">
        <v>0.13662788103461324</v>
      </c>
      <c r="CX51" s="12">
        <v>0.31071380177614788</v>
      </c>
      <c r="CY51" s="12">
        <v>0.33260674623731978</v>
      </c>
      <c r="CZ51" s="12">
        <v>0.31591229256333619</v>
      </c>
      <c r="DA51" s="12">
        <v>0.28581173777845403</v>
      </c>
      <c r="DB51" s="12">
        <v>0.27597060101301624</v>
      </c>
      <c r="DC51" s="12">
        <v>0.31095176912427919</v>
      </c>
      <c r="DE51" s="8" t="s">
        <v>150</v>
      </c>
      <c r="DF51" s="8" t="s">
        <v>187</v>
      </c>
      <c r="DG51" s="8" t="s">
        <v>188</v>
      </c>
      <c r="DH51" s="12">
        <v>0.42908780564487486</v>
      </c>
    </row>
    <row r="52" spans="2:112" x14ac:dyDescent="0.45">
      <c r="B52" s="9" t="s">
        <v>171</v>
      </c>
      <c r="C52" s="9" t="s">
        <v>31</v>
      </c>
      <c r="D52" s="13">
        <v>0.37441521860644356</v>
      </c>
      <c r="E52" s="13">
        <v>0.3780092838332989</v>
      </c>
      <c r="F52" s="13">
        <v>0.38120627040206889</v>
      </c>
      <c r="G52" s="13">
        <v>0.39418930447008771</v>
      </c>
      <c r="H52" s="13">
        <v>0.37422500181350055</v>
      </c>
      <c r="I52" s="13">
        <v>0.35850421547976197</v>
      </c>
      <c r="J52" s="13">
        <v>0.31407295899791349</v>
      </c>
      <c r="K52" s="13">
        <v>0.36238324020026785</v>
      </c>
      <c r="L52" s="13">
        <v>0.43783528706541924</v>
      </c>
      <c r="M52" s="13">
        <v>0.41952029033631222</v>
      </c>
      <c r="N52" s="13">
        <v>0.40537355873230224</v>
      </c>
      <c r="O52" s="13">
        <v>0.36237563903984543</v>
      </c>
      <c r="P52" s="13">
        <v>0.34831210641394877</v>
      </c>
      <c r="Q52" s="13">
        <v>0.45723469554333152</v>
      </c>
      <c r="R52" s="13">
        <v>0.51771793281359657</v>
      </c>
      <c r="S52" s="13">
        <v>0.49876633447983876</v>
      </c>
      <c r="T52" s="13">
        <v>0.47065501622635619</v>
      </c>
      <c r="U52" s="13">
        <v>0.39580498380134244</v>
      </c>
      <c r="V52" s="13">
        <v>0.34696646230071659</v>
      </c>
      <c r="W52" s="13">
        <v>0.30929798039043555</v>
      </c>
      <c r="X52" s="13">
        <v>0.35435971396754007</v>
      </c>
      <c r="Y52" s="13">
        <v>0.37250714233369697</v>
      </c>
      <c r="Z52" s="13">
        <v>0.38585190128031749</v>
      </c>
      <c r="AA52" s="13">
        <v>0.36133982225569355</v>
      </c>
      <c r="CE52" s="9" t="s">
        <v>171</v>
      </c>
      <c r="CF52" s="13">
        <v>0.38496226362010777</v>
      </c>
      <c r="CG52" s="11">
        <v>0.39496482074367267</v>
      </c>
      <c r="CH52" s="13">
        <v>0.39868914315083104</v>
      </c>
      <c r="CI52" s="13">
        <v>0.38067712237824025</v>
      </c>
      <c r="CJ52" s="13">
        <v>0.38842539662607345</v>
      </c>
      <c r="CK52" s="11">
        <v>0.41728200541797644</v>
      </c>
      <c r="CL52" s="11">
        <v>0.32322869192083897</v>
      </c>
      <c r="CM52" s="13">
        <v>0.26791893550951779</v>
      </c>
      <c r="CN52" s="13">
        <v>0.21133384158829926</v>
      </c>
      <c r="CO52" s="13">
        <v>0.24378474999300534</v>
      </c>
      <c r="CP52" s="13">
        <v>0.25451292012794963</v>
      </c>
      <c r="CQ52" s="13">
        <v>0.28702108364044071</v>
      </c>
      <c r="CR52" s="11">
        <v>0.2166804384806765</v>
      </c>
      <c r="CS52" s="13">
        <v>0.18331108318275308</v>
      </c>
      <c r="CT52" s="13">
        <v>0.17557501992642818</v>
      </c>
      <c r="CU52" s="13">
        <v>0.18924442454073753</v>
      </c>
      <c r="CV52" s="13">
        <v>0.18785041539464722</v>
      </c>
      <c r="CW52" s="13">
        <v>0.17663215759422979</v>
      </c>
      <c r="CX52" s="13">
        <v>0.36110720620268627</v>
      </c>
      <c r="CY52" s="13">
        <v>0.3475972440259073</v>
      </c>
      <c r="CZ52" s="13">
        <v>0.32009902575027838</v>
      </c>
      <c r="DA52" s="13">
        <v>0.32003867029557226</v>
      </c>
      <c r="DB52" s="13">
        <v>0.33534650631637891</v>
      </c>
      <c r="DC52" s="13">
        <v>0.36828250364591869</v>
      </c>
      <c r="DE52" s="9" t="s">
        <v>151</v>
      </c>
      <c r="DF52" s="9" t="s">
        <v>187</v>
      </c>
      <c r="DG52" s="9" t="s">
        <v>188</v>
      </c>
      <c r="DH52" s="13">
        <v>0.6252011711639337</v>
      </c>
    </row>
    <row r="53" spans="2:112" x14ac:dyDescent="0.45">
      <c r="B53" s="8" t="s">
        <v>172</v>
      </c>
      <c r="C53" s="8" t="s">
        <v>31</v>
      </c>
      <c r="D53" s="12">
        <v>0.37350637347038818</v>
      </c>
      <c r="E53" s="12">
        <v>0.39683561845791909</v>
      </c>
      <c r="F53" s="12">
        <v>0.41498874702767496</v>
      </c>
      <c r="G53" s="12">
        <v>0.43353472219377648</v>
      </c>
      <c r="H53" s="12">
        <v>0.39859662241463489</v>
      </c>
      <c r="I53" s="12">
        <v>0.36397543300858659</v>
      </c>
      <c r="J53" s="12">
        <v>0.29786617078329547</v>
      </c>
      <c r="K53" s="12">
        <v>0.35714428236498419</v>
      </c>
      <c r="L53" s="12">
        <v>0.4233847053970991</v>
      </c>
      <c r="M53" s="12">
        <v>0.4112154555634141</v>
      </c>
      <c r="N53" s="12">
        <v>0.38803529502654982</v>
      </c>
      <c r="O53" s="12">
        <v>0.34941122756449677</v>
      </c>
      <c r="P53" s="12">
        <v>0.35343900118681354</v>
      </c>
      <c r="Q53" s="12">
        <v>0.47457449460584011</v>
      </c>
      <c r="R53" s="12">
        <v>0.53228477915586514</v>
      </c>
      <c r="S53" s="12">
        <v>0.49598647203955271</v>
      </c>
      <c r="T53" s="12">
        <v>0.49471628577563664</v>
      </c>
      <c r="U53" s="12">
        <v>0.4420918508537996</v>
      </c>
      <c r="V53" s="12">
        <v>0.35625222038661125</v>
      </c>
      <c r="W53" s="12">
        <v>0.35009151194064664</v>
      </c>
      <c r="X53" s="12">
        <v>0.36849731939238334</v>
      </c>
      <c r="Y53" s="12">
        <v>0.37073938329061995</v>
      </c>
      <c r="Z53" s="12">
        <v>0.37374617169533375</v>
      </c>
      <c r="AA53" s="12">
        <v>0.34588218032385398</v>
      </c>
      <c r="CE53" s="8" t="s">
        <v>172</v>
      </c>
      <c r="CF53" s="12">
        <v>0.37145997117391338</v>
      </c>
      <c r="CG53" s="10">
        <v>0.36586458292947549</v>
      </c>
      <c r="CH53" s="12">
        <v>0.36162465971212149</v>
      </c>
      <c r="CI53" s="12">
        <v>0.35367421246428338</v>
      </c>
      <c r="CJ53" s="12">
        <v>0.37649651506395304</v>
      </c>
      <c r="CK53" s="10">
        <v>0.39998748631496894</v>
      </c>
      <c r="CL53" s="10">
        <v>0.32825904498212344</v>
      </c>
      <c r="CM53" s="12">
        <v>0.26957976959979585</v>
      </c>
      <c r="CN53" s="12">
        <v>0.21931505943977506</v>
      </c>
      <c r="CO53" s="12">
        <v>0.25189639397336028</v>
      </c>
      <c r="CP53" s="12">
        <v>0.266768796075395</v>
      </c>
      <c r="CQ53" s="12">
        <v>0.29352044702844854</v>
      </c>
      <c r="CR53" s="10">
        <v>0.21304659826586034</v>
      </c>
      <c r="CS53" s="12">
        <v>0.17138173284968158</v>
      </c>
      <c r="CT53" s="12">
        <v>0.15634204712170249</v>
      </c>
      <c r="CU53" s="12">
        <v>0.16316581633329186</v>
      </c>
      <c r="CV53" s="12">
        <v>0.16912565409773556</v>
      </c>
      <c r="CW53" s="12">
        <v>0.16492582164291825</v>
      </c>
      <c r="CX53" s="12">
        <v>0.35148720239281672</v>
      </c>
      <c r="CY53" s="12">
        <v>0.33442435209693128</v>
      </c>
      <c r="CZ53" s="12">
        <v>0.30325056734019556</v>
      </c>
      <c r="DA53" s="12">
        <v>0.30762380905269376</v>
      </c>
      <c r="DB53" s="12">
        <v>0.31761798924999457</v>
      </c>
      <c r="DC53" s="12">
        <v>0.36200952671747627</v>
      </c>
      <c r="DE53" s="8" t="s">
        <v>152</v>
      </c>
      <c r="DF53" s="8" t="s">
        <v>187</v>
      </c>
      <c r="DG53" s="8" t="s">
        <v>188</v>
      </c>
      <c r="DH53" s="12">
        <v>0.54635029421576531</v>
      </c>
    </row>
    <row r="54" spans="2:112" x14ac:dyDescent="0.45">
      <c r="B54" s="9" t="s">
        <v>173</v>
      </c>
      <c r="C54" s="9" t="s">
        <v>31</v>
      </c>
      <c r="D54" s="13">
        <v>0.36326079480053169</v>
      </c>
      <c r="E54" s="13">
        <v>0.37048036312756799</v>
      </c>
      <c r="F54" s="13">
        <v>0.37283216756575333</v>
      </c>
      <c r="G54" s="13">
        <v>0.3872612263640563</v>
      </c>
      <c r="H54" s="13">
        <v>0.36380287293499386</v>
      </c>
      <c r="I54" s="13">
        <v>0.33569316375874603</v>
      </c>
      <c r="J54" s="13">
        <v>0.30614164685406597</v>
      </c>
      <c r="K54" s="13">
        <v>0.34649515680180865</v>
      </c>
      <c r="L54" s="13">
        <v>0.40845888311049577</v>
      </c>
      <c r="M54" s="13">
        <v>0.40397757260849687</v>
      </c>
      <c r="N54" s="13">
        <v>0.40487338138546441</v>
      </c>
      <c r="O54" s="13">
        <v>0.37830524645125024</v>
      </c>
      <c r="P54" s="13">
        <v>0.3494706248227023</v>
      </c>
      <c r="Q54" s="13">
        <v>0.46197757757796204</v>
      </c>
      <c r="R54" s="13">
        <v>0.49573026843820805</v>
      </c>
      <c r="S54" s="13">
        <v>0.45873587991244608</v>
      </c>
      <c r="T54" s="13">
        <v>0.44984381494348458</v>
      </c>
      <c r="U54" s="13">
        <v>0.37992493895758866</v>
      </c>
      <c r="V54" s="13">
        <v>0.34941461601624629</v>
      </c>
      <c r="W54" s="13">
        <v>0.35246078425349719</v>
      </c>
      <c r="X54" s="13">
        <v>0.37662725937805513</v>
      </c>
      <c r="Y54" s="13">
        <v>0.37480375099063151</v>
      </c>
      <c r="Z54" s="13">
        <v>0.36593579793820669</v>
      </c>
      <c r="AA54" s="13">
        <v>0.33771446376583125</v>
      </c>
      <c r="CE54" s="9" t="s">
        <v>173</v>
      </c>
      <c r="CF54" s="13">
        <v>0.38678735714219276</v>
      </c>
      <c r="CG54" s="11">
        <v>0.38774659040397758</v>
      </c>
      <c r="CH54" s="13">
        <v>0.37887119238887601</v>
      </c>
      <c r="CI54" s="13">
        <v>0.37883935707213806</v>
      </c>
      <c r="CJ54" s="13">
        <v>0.39331453165248897</v>
      </c>
      <c r="CK54" s="11">
        <v>0.42460296712114737</v>
      </c>
      <c r="CL54" s="11">
        <v>0.34302321696122506</v>
      </c>
      <c r="CM54" s="13">
        <v>0.30401364340699039</v>
      </c>
      <c r="CN54" s="13">
        <v>0.23829140516261799</v>
      </c>
      <c r="CO54" s="13">
        <v>0.25662421057564855</v>
      </c>
      <c r="CP54" s="13">
        <v>0.26456213625228114</v>
      </c>
      <c r="CQ54" s="13">
        <v>0.30154504030554519</v>
      </c>
      <c r="CR54" s="11">
        <v>0.19650061576128347</v>
      </c>
      <c r="CS54" s="13">
        <v>0.16332306803852559</v>
      </c>
      <c r="CT54" s="13">
        <v>0.16711329677037659</v>
      </c>
      <c r="CU54" s="13">
        <v>0.18479904734133229</v>
      </c>
      <c r="CV54" s="13">
        <v>0.19187763391494886</v>
      </c>
      <c r="CW54" s="13">
        <v>0.18840487910147879</v>
      </c>
      <c r="CX54" s="13">
        <v>0.34302789866551725</v>
      </c>
      <c r="CY54" s="13">
        <v>0.32382887155083712</v>
      </c>
      <c r="CZ54" s="13">
        <v>0.30658156736658398</v>
      </c>
      <c r="DA54" s="13">
        <v>0.32362855776876515</v>
      </c>
      <c r="DB54" s="13">
        <v>0.33840263494920753</v>
      </c>
      <c r="DC54" s="13">
        <v>0.37551249406247161</v>
      </c>
      <c r="DE54" s="9" t="s">
        <v>153</v>
      </c>
      <c r="DF54" s="9" t="s">
        <v>187</v>
      </c>
      <c r="DG54" s="9" t="s">
        <v>188</v>
      </c>
      <c r="DH54" s="13">
        <v>0.62587310452333289</v>
      </c>
    </row>
    <row r="55" spans="2:112" x14ac:dyDescent="0.45">
      <c r="B55" s="8" t="s">
        <v>174</v>
      </c>
      <c r="C55" s="8" t="s">
        <v>31</v>
      </c>
      <c r="D55" s="12">
        <v>0.47946318844959684</v>
      </c>
      <c r="E55" s="12">
        <v>0.50007298598375483</v>
      </c>
      <c r="F55" s="12">
        <v>0.51211525549570736</v>
      </c>
      <c r="G55" s="12">
        <v>0.50656174694572209</v>
      </c>
      <c r="H55" s="12">
        <v>0.47661559929203273</v>
      </c>
      <c r="I55" s="12">
        <v>0.46348921443770502</v>
      </c>
      <c r="J55" s="12">
        <v>0.48468150676125832</v>
      </c>
      <c r="K55" s="12">
        <v>0.50607230864181174</v>
      </c>
      <c r="L55" s="12">
        <v>0.49491436448604836</v>
      </c>
      <c r="M55" s="12">
        <v>0.46317358822073801</v>
      </c>
      <c r="N55" s="12">
        <v>0.42942013977353527</v>
      </c>
      <c r="O55" s="12">
        <v>0.45287120224353583</v>
      </c>
      <c r="P55" s="12">
        <v>0.46107702068551737</v>
      </c>
      <c r="Q55" s="12">
        <v>0.55539473743284307</v>
      </c>
      <c r="R55" s="12">
        <v>0.49789329270139532</v>
      </c>
      <c r="S55" s="12">
        <v>0.40436351073156823</v>
      </c>
      <c r="T55" s="12">
        <v>0.35672164061735862</v>
      </c>
      <c r="U55" s="12">
        <v>0.38745578777877676</v>
      </c>
      <c r="V55" s="12">
        <v>0.47177050106539653</v>
      </c>
      <c r="W55" s="12">
        <v>0.49334491201195257</v>
      </c>
      <c r="X55" s="12">
        <v>0.50481208778482545</v>
      </c>
      <c r="Y55" s="12">
        <v>0.47353444139469802</v>
      </c>
      <c r="Z55" s="12">
        <v>0.46675890220967897</v>
      </c>
      <c r="AA55" s="12">
        <v>0.45479270449584747</v>
      </c>
      <c r="CE55" s="8" t="s">
        <v>174</v>
      </c>
      <c r="CF55" s="12">
        <v>0.18510747170295577</v>
      </c>
      <c r="CG55" s="10">
        <v>0.18967650878867418</v>
      </c>
      <c r="CH55" s="12">
        <v>0.18026930579329437</v>
      </c>
      <c r="CI55" s="12">
        <v>0.18622721365653661</v>
      </c>
      <c r="CJ55" s="12">
        <v>0.19647379391952155</v>
      </c>
      <c r="CK55" s="10">
        <v>0.19583465859809721</v>
      </c>
      <c r="CL55" s="10">
        <v>0.10476183583830759</v>
      </c>
      <c r="CM55" s="12">
        <v>0.1004828708262246</v>
      </c>
      <c r="CN55" s="12">
        <v>0.10775804951516466</v>
      </c>
      <c r="CO55" s="12">
        <v>0.13753629679655544</v>
      </c>
      <c r="CP55" s="12">
        <v>0.14345250262919743</v>
      </c>
      <c r="CQ55" s="12">
        <v>0.1226639043093234</v>
      </c>
      <c r="CR55" s="10">
        <v>3.2300384600521634E-2</v>
      </c>
      <c r="CS55" s="12">
        <v>3.490902260428156E-2</v>
      </c>
      <c r="CT55" s="12">
        <v>5.7843532763094146E-2</v>
      </c>
      <c r="CU55" s="12">
        <v>6.7469265736549502E-2</v>
      </c>
      <c r="CV55" s="12">
        <v>7.7795963282477607E-2</v>
      </c>
      <c r="CW55" s="12">
        <v>5.8363215627019974E-2</v>
      </c>
      <c r="CX55" s="12">
        <v>0.11909587238784261</v>
      </c>
      <c r="CY55" s="12">
        <v>0.10977332539655736</v>
      </c>
      <c r="CZ55" s="12">
        <v>0.11608284999960497</v>
      </c>
      <c r="DA55" s="12">
        <v>0.14644108522510099</v>
      </c>
      <c r="DB55" s="12">
        <v>0.15648464572797535</v>
      </c>
      <c r="DC55" s="12">
        <v>0.14888527889302644</v>
      </c>
      <c r="DE55" s="8" t="s">
        <v>154</v>
      </c>
      <c r="DF55" s="8" t="s">
        <v>187</v>
      </c>
      <c r="DG55" s="8" t="s">
        <v>188</v>
      </c>
      <c r="DH55" s="12">
        <v>0.62458061588113156</v>
      </c>
    </row>
    <row r="56" spans="2:112" x14ac:dyDescent="0.45">
      <c r="B56" s="9" t="s">
        <v>175</v>
      </c>
      <c r="C56" s="9" t="s">
        <v>31</v>
      </c>
      <c r="D56" s="13">
        <v>0.34126141904937163</v>
      </c>
      <c r="E56" s="13">
        <v>0.33707449957980812</v>
      </c>
      <c r="F56" s="13">
        <v>0.36193970561997735</v>
      </c>
      <c r="G56" s="13">
        <v>0.38616228732468072</v>
      </c>
      <c r="H56" s="13">
        <v>0.35567612867154846</v>
      </c>
      <c r="I56" s="13">
        <v>0.33188765955280164</v>
      </c>
      <c r="J56" s="13">
        <v>0.40431182322944331</v>
      </c>
      <c r="K56" s="13">
        <v>0.44330024264403312</v>
      </c>
      <c r="L56" s="13">
        <v>0.46136905563441943</v>
      </c>
      <c r="M56" s="13">
        <v>0.45801566539209859</v>
      </c>
      <c r="N56" s="13">
        <v>0.40562483103140046</v>
      </c>
      <c r="O56" s="13">
        <v>0.3645297933247138</v>
      </c>
      <c r="P56" s="13">
        <v>0.40137203049693593</v>
      </c>
      <c r="Q56" s="13">
        <v>0.48619128431350389</v>
      </c>
      <c r="R56" s="13">
        <v>0.49923045360536139</v>
      </c>
      <c r="S56" s="13">
        <v>0.49182605349508807</v>
      </c>
      <c r="T56" s="13">
        <v>0.40812777566045727</v>
      </c>
      <c r="U56" s="13">
        <v>0.37230142740367023</v>
      </c>
      <c r="V56" s="13">
        <v>0.37143720451100676</v>
      </c>
      <c r="W56" s="13">
        <v>0.39829813504913542</v>
      </c>
      <c r="X56" s="13">
        <v>0.43078732731125902</v>
      </c>
      <c r="Y56" s="13">
        <v>0.4328888854659747</v>
      </c>
      <c r="Z56" s="13">
        <v>0.41628624948017501</v>
      </c>
      <c r="AA56" s="13">
        <v>0.36901103345092096</v>
      </c>
      <c r="CE56" s="9" t="s">
        <v>175</v>
      </c>
      <c r="CF56" s="13">
        <v>0.45034413214920277</v>
      </c>
      <c r="CG56" s="11">
        <v>0.44451165672160392</v>
      </c>
      <c r="CH56" s="13">
        <v>0.4225006138430642</v>
      </c>
      <c r="CI56" s="13">
        <v>0.41756250224382302</v>
      </c>
      <c r="CJ56" s="13">
        <v>0.45057749038981121</v>
      </c>
      <c r="CK56" s="11">
        <v>0.47500152754079666</v>
      </c>
      <c r="CL56" s="11">
        <v>0.28549636113132459</v>
      </c>
      <c r="CM56" s="13">
        <v>0.27597544752055969</v>
      </c>
      <c r="CN56" s="13">
        <v>0.26419208248777398</v>
      </c>
      <c r="CO56" s="13">
        <v>0.27410025762081736</v>
      </c>
      <c r="CP56" s="13">
        <v>0.28435092469145473</v>
      </c>
      <c r="CQ56" s="13">
        <v>0.30328594121738051</v>
      </c>
      <c r="CR56" s="11">
        <v>0.12869988844111352</v>
      </c>
      <c r="CS56" s="13">
        <v>0.11517547234257182</v>
      </c>
      <c r="CT56" s="13">
        <v>0.11592504591264124</v>
      </c>
      <c r="CU56" s="13">
        <v>0.12342107959375606</v>
      </c>
      <c r="CV56" s="13">
        <v>0.13033674970672091</v>
      </c>
      <c r="CW56" s="13">
        <v>0.13138620718637367</v>
      </c>
      <c r="CX56" s="13">
        <v>0.35406640239978543</v>
      </c>
      <c r="CY56" s="13">
        <v>0.33501043873815345</v>
      </c>
      <c r="CZ56" s="13">
        <v>0.3282990807771709</v>
      </c>
      <c r="DA56" s="13">
        <v>0.330014328937971</v>
      </c>
      <c r="DB56" s="13">
        <v>0.33633414700845055</v>
      </c>
      <c r="DC56" s="13">
        <v>0.35791402858258325</v>
      </c>
      <c r="DE56" s="9" t="s">
        <v>155</v>
      </c>
      <c r="DF56" s="9" t="s">
        <v>187</v>
      </c>
      <c r="DG56" s="9" t="s">
        <v>188</v>
      </c>
      <c r="DH56" s="13">
        <v>0.61215447825322877</v>
      </c>
    </row>
    <row r="57" spans="2:112" x14ac:dyDescent="0.45">
      <c r="B57" s="8" t="s">
        <v>176</v>
      </c>
      <c r="C57" s="8" t="s">
        <v>31</v>
      </c>
      <c r="D57" s="12">
        <v>0.36424548240321808</v>
      </c>
      <c r="E57" s="12">
        <v>0.38566707370081993</v>
      </c>
      <c r="F57" s="12">
        <v>0.40595320676182606</v>
      </c>
      <c r="G57" s="12">
        <v>0.41686120910538249</v>
      </c>
      <c r="H57" s="12">
        <v>0.38860653230717379</v>
      </c>
      <c r="I57" s="12">
        <v>0.3500169119636421</v>
      </c>
      <c r="J57" s="12">
        <v>0.41250829941854883</v>
      </c>
      <c r="K57" s="12">
        <v>0.45283689907161229</v>
      </c>
      <c r="L57" s="12">
        <v>0.45820460777864952</v>
      </c>
      <c r="M57" s="12">
        <v>0.43357047488363198</v>
      </c>
      <c r="N57" s="12">
        <v>0.38420978612796614</v>
      </c>
      <c r="O57" s="12">
        <v>0.35307048236301708</v>
      </c>
      <c r="P57" s="12">
        <v>0.3825905886551646</v>
      </c>
      <c r="Q57" s="12">
        <v>0.49259016235556263</v>
      </c>
      <c r="R57" s="12">
        <v>0.50447389075390103</v>
      </c>
      <c r="S57" s="12">
        <v>0.47068327397827392</v>
      </c>
      <c r="T57" s="12">
        <v>0.42664175896236955</v>
      </c>
      <c r="U57" s="12">
        <v>0.37135841269784808</v>
      </c>
      <c r="V57" s="12">
        <v>0.3825400368853113</v>
      </c>
      <c r="W57" s="12">
        <v>0.40388660504964868</v>
      </c>
      <c r="X57" s="12">
        <v>0.44681916887855316</v>
      </c>
      <c r="Y57" s="12">
        <v>0.44828931711428205</v>
      </c>
      <c r="Z57" s="12">
        <v>0.42301782113487069</v>
      </c>
      <c r="AA57" s="12">
        <v>0.37193185189650629</v>
      </c>
      <c r="CE57" s="8" t="s">
        <v>176</v>
      </c>
      <c r="CF57" s="12">
        <v>0.31426425078240183</v>
      </c>
      <c r="CG57" s="10">
        <v>0.32002545316920972</v>
      </c>
      <c r="CH57" s="12">
        <v>0.2947371203578017</v>
      </c>
      <c r="CI57" s="12">
        <v>0.28822881577267173</v>
      </c>
      <c r="CJ57" s="12">
        <v>0.31476224093203337</v>
      </c>
      <c r="CK57" s="10">
        <v>0.32873175494178203</v>
      </c>
      <c r="CL57" s="10">
        <v>0.22808778689507267</v>
      </c>
      <c r="CM57" s="12">
        <v>0.22168915611000753</v>
      </c>
      <c r="CN57" s="12">
        <v>0.21027881883671362</v>
      </c>
      <c r="CO57" s="12">
        <v>0.21677185570102339</v>
      </c>
      <c r="CP57" s="12">
        <v>0.22077715809139431</v>
      </c>
      <c r="CQ57" s="12">
        <v>0.23775577094543757</v>
      </c>
      <c r="CR57" s="10">
        <v>0.10983419210968404</v>
      </c>
      <c r="CS57" s="12">
        <v>0.10003434956899458</v>
      </c>
      <c r="CT57" s="12">
        <v>0.10347725715277459</v>
      </c>
      <c r="CU57" s="12">
        <v>0.10568747253683335</v>
      </c>
      <c r="CV57" s="12">
        <v>0.12994526155798317</v>
      </c>
      <c r="CW57" s="12">
        <v>0.12408371873464041</v>
      </c>
      <c r="CX57" s="12">
        <v>0.250499262094729</v>
      </c>
      <c r="CY57" s="12">
        <v>0.22501423486448754</v>
      </c>
      <c r="CZ57" s="12">
        <v>0.21975512214072293</v>
      </c>
      <c r="DA57" s="12">
        <v>0.24186621162917968</v>
      </c>
      <c r="DB57" s="12">
        <v>0.26684763694808922</v>
      </c>
      <c r="DC57" s="12">
        <v>0.29389901121627221</v>
      </c>
      <c r="DE57" s="8" t="s">
        <v>156</v>
      </c>
      <c r="DF57" s="8" t="s">
        <v>187</v>
      </c>
      <c r="DG57" s="8" t="s">
        <v>188</v>
      </c>
      <c r="DH57" s="12">
        <v>0.51226688952260158</v>
      </c>
    </row>
    <row r="58" spans="2:112" x14ac:dyDescent="0.45">
      <c r="B58" s="9" t="s">
        <v>177</v>
      </c>
      <c r="C58" s="9" t="s">
        <v>31</v>
      </c>
      <c r="D58" s="13">
        <v>0.38240671219705508</v>
      </c>
      <c r="E58" s="13">
        <v>0.40616617169961433</v>
      </c>
      <c r="F58" s="13">
        <v>0.42751873422665826</v>
      </c>
      <c r="G58" s="13">
        <v>0.4308993884181439</v>
      </c>
      <c r="H58" s="13">
        <v>0.41110078173354431</v>
      </c>
      <c r="I58" s="13">
        <v>0.3810951806487316</v>
      </c>
      <c r="J58" s="13">
        <v>0.3523213679243638</v>
      </c>
      <c r="K58" s="13">
        <v>0.40949751412766189</v>
      </c>
      <c r="L58" s="13">
        <v>0.42912209266406964</v>
      </c>
      <c r="M58" s="13">
        <v>0.40830715011193058</v>
      </c>
      <c r="N58" s="13">
        <v>0.38932712574984935</v>
      </c>
      <c r="O58" s="13">
        <v>0.37248430757210249</v>
      </c>
      <c r="P58" s="13">
        <v>0.41298601772676713</v>
      </c>
      <c r="Q58" s="13">
        <v>0.47269525436247584</v>
      </c>
      <c r="R58" s="13">
        <v>0.4797339210689866</v>
      </c>
      <c r="S58" s="13">
        <v>0.46680131815758802</v>
      </c>
      <c r="T58" s="13">
        <v>0.41767146865784449</v>
      </c>
      <c r="U58" s="13">
        <v>0.37419463161411287</v>
      </c>
      <c r="V58" s="13">
        <v>0.40023771878145475</v>
      </c>
      <c r="W58" s="13">
        <v>0.39345276289588638</v>
      </c>
      <c r="X58" s="13">
        <v>0.39665373710162355</v>
      </c>
      <c r="Y58" s="13">
        <v>0.36738829015405466</v>
      </c>
      <c r="Z58" s="13">
        <v>0.3711029153521222</v>
      </c>
      <c r="AA58" s="13">
        <v>0.37671086467822334</v>
      </c>
      <c r="CE58" s="9" t="s">
        <v>177</v>
      </c>
      <c r="CF58" s="13">
        <v>0.31356908637741143</v>
      </c>
      <c r="CG58" s="11">
        <v>0.30908111787384279</v>
      </c>
      <c r="CH58" s="13">
        <v>0.30766759514807496</v>
      </c>
      <c r="CI58" s="13">
        <v>0.30959823068446063</v>
      </c>
      <c r="CJ58" s="13">
        <v>0.33411973545243823</v>
      </c>
      <c r="CK58" s="11">
        <v>0.34519046247553392</v>
      </c>
      <c r="CL58" s="11">
        <v>0.23381543414693173</v>
      </c>
      <c r="CM58" s="13">
        <v>0.22370818355840158</v>
      </c>
      <c r="CN58" s="13">
        <v>0.23388353074781554</v>
      </c>
      <c r="CO58" s="13">
        <v>0.25166633476022376</v>
      </c>
      <c r="CP58" s="13">
        <v>0.25813378491312849</v>
      </c>
      <c r="CQ58" s="13">
        <v>0.25884641000147313</v>
      </c>
      <c r="CR58" s="11">
        <v>0.13155224624658229</v>
      </c>
      <c r="CS58" s="13">
        <v>0.12344663098359589</v>
      </c>
      <c r="CT58" s="13">
        <v>0.12978133933788738</v>
      </c>
      <c r="CU58" s="13">
        <v>0.13191260463387805</v>
      </c>
      <c r="CV58" s="13">
        <v>0.13502633520051346</v>
      </c>
      <c r="CW58" s="13">
        <v>0.12449048578788932</v>
      </c>
      <c r="CX58" s="13">
        <v>0.25634116794620088</v>
      </c>
      <c r="CY58" s="13">
        <v>0.25375799015916112</v>
      </c>
      <c r="CZ58" s="13">
        <v>0.27801052554640399</v>
      </c>
      <c r="DA58" s="13">
        <v>0.28204825778725223</v>
      </c>
      <c r="DB58" s="13">
        <v>0.2761128728274207</v>
      </c>
      <c r="DC58" s="13">
        <v>0.28476345796784408</v>
      </c>
      <c r="DE58" s="9" t="s">
        <v>157</v>
      </c>
      <c r="DF58" s="9" t="s">
        <v>187</v>
      </c>
      <c r="DG58" s="9" t="s">
        <v>188</v>
      </c>
      <c r="DH58" s="13">
        <v>0.63839500937749061</v>
      </c>
    </row>
    <row r="59" spans="2:112" x14ac:dyDescent="0.45">
      <c r="B59" s="8" t="s">
        <v>178</v>
      </c>
      <c r="C59" s="8" t="s">
        <v>31</v>
      </c>
      <c r="D59" s="12">
        <v>0.3504637026941369</v>
      </c>
      <c r="E59" s="12">
        <v>0.36892457112505134</v>
      </c>
      <c r="F59" s="12">
        <v>0.40431627782737101</v>
      </c>
      <c r="G59" s="12">
        <v>0.41642224781631998</v>
      </c>
      <c r="H59" s="12">
        <v>0.35919409187017515</v>
      </c>
      <c r="I59" s="12">
        <v>0.34394935238294266</v>
      </c>
      <c r="J59" s="12">
        <v>0.33712300545637808</v>
      </c>
      <c r="K59" s="12">
        <v>0.395907050623445</v>
      </c>
      <c r="L59" s="12">
        <v>0.45027271197249652</v>
      </c>
      <c r="M59" s="12">
        <v>0.42075936373201378</v>
      </c>
      <c r="N59" s="12">
        <v>0.37303308638553401</v>
      </c>
      <c r="O59" s="12">
        <v>0.35596664958636992</v>
      </c>
      <c r="P59" s="12">
        <v>0.3463607819959319</v>
      </c>
      <c r="Q59" s="12">
        <v>0.46500533329267313</v>
      </c>
      <c r="R59" s="12">
        <v>0.5107343191409055</v>
      </c>
      <c r="S59" s="12">
        <v>0.49019527957519604</v>
      </c>
      <c r="T59" s="12">
        <v>0.45967794706573689</v>
      </c>
      <c r="U59" s="12">
        <v>0.40852979842321413</v>
      </c>
      <c r="V59" s="12">
        <v>0.36696967329485397</v>
      </c>
      <c r="W59" s="12">
        <v>0.39999793083003626</v>
      </c>
      <c r="X59" s="12">
        <v>0.449801736909405</v>
      </c>
      <c r="Y59" s="12">
        <v>0.43978413426150265</v>
      </c>
      <c r="Z59" s="12">
        <v>0.38489864140059049</v>
      </c>
      <c r="AA59" s="12">
        <v>0.3399458948169562</v>
      </c>
      <c r="CE59" s="8" t="s">
        <v>178</v>
      </c>
      <c r="CF59" s="12">
        <v>0.36027428047800436</v>
      </c>
      <c r="CG59" s="10">
        <v>0.35978353825733334</v>
      </c>
      <c r="CH59" s="12">
        <v>0.34869681973661626</v>
      </c>
      <c r="CI59" s="12">
        <v>0.34729349319719238</v>
      </c>
      <c r="CJ59" s="12">
        <v>0.38351738284734149</v>
      </c>
      <c r="CK59" s="10">
        <v>0.39520548013185403</v>
      </c>
      <c r="CL59" s="10">
        <v>0.26928555082313776</v>
      </c>
      <c r="CM59" s="12">
        <v>0.22679352221356969</v>
      </c>
      <c r="CN59" s="12">
        <v>0.19090696420947253</v>
      </c>
      <c r="CO59" s="12">
        <v>0.20814172033972289</v>
      </c>
      <c r="CP59" s="12">
        <v>0.23148882588308448</v>
      </c>
      <c r="CQ59" s="12">
        <v>0.26363785989911404</v>
      </c>
      <c r="CR59" s="10">
        <v>0.13931922289256365</v>
      </c>
      <c r="CS59" s="12">
        <v>0.11574240366355307</v>
      </c>
      <c r="CT59" s="12">
        <v>0.11551124066546502</v>
      </c>
      <c r="CU59" s="12">
        <v>0.11449001712482042</v>
      </c>
      <c r="CV59" s="12">
        <v>0.12781716720408817</v>
      </c>
      <c r="CW59" s="12">
        <v>0.12735324474407392</v>
      </c>
      <c r="CX59" s="12">
        <v>0.27513907574116458</v>
      </c>
      <c r="CY59" s="12">
        <v>0.24758398020494721</v>
      </c>
      <c r="CZ59" s="12">
        <v>0.23554608647602102</v>
      </c>
      <c r="DA59" s="12">
        <v>0.25495206096724321</v>
      </c>
      <c r="DB59" s="12">
        <v>0.28940309660690677</v>
      </c>
      <c r="DC59" s="12">
        <v>0.31965241334179151</v>
      </c>
      <c r="DE59" s="8" t="s">
        <v>158</v>
      </c>
      <c r="DF59" s="8" t="s">
        <v>187</v>
      </c>
      <c r="DG59" s="8" t="s">
        <v>188</v>
      </c>
      <c r="DH59" s="12">
        <v>0.63843392236432506</v>
      </c>
    </row>
    <row r="60" spans="2:112" x14ac:dyDescent="0.45">
      <c r="B60" s="9" t="s">
        <v>179</v>
      </c>
      <c r="C60" s="9" t="s">
        <v>31</v>
      </c>
      <c r="D60" s="13">
        <v>0.35822178644744701</v>
      </c>
      <c r="E60" s="13">
        <v>0.37916600576752524</v>
      </c>
      <c r="F60" s="13">
        <v>0.39038497984326598</v>
      </c>
      <c r="G60" s="13">
        <v>0.40237757334018759</v>
      </c>
      <c r="H60" s="13">
        <v>0.37995572450617421</v>
      </c>
      <c r="I60" s="13">
        <v>0.3660397088285795</v>
      </c>
      <c r="J60" s="13">
        <v>0.3355689519691975</v>
      </c>
      <c r="K60" s="13">
        <v>0.40058331924077767</v>
      </c>
      <c r="L60" s="13">
        <v>0.42903961607255814</v>
      </c>
      <c r="M60" s="13">
        <v>0.40743028394996961</v>
      </c>
      <c r="N60" s="13">
        <v>0.39297525806665101</v>
      </c>
      <c r="O60" s="13">
        <v>0.37615530974154998</v>
      </c>
      <c r="P60" s="13">
        <v>0.38045962555777457</v>
      </c>
      <c r="Q60" s="13">
        <v>0.47766068552871588</v>
      </c>
      <c r="R60" s="13">
        <v>0.49604662446558501</v>
      </c>
      <c r="S60" s="13">
        <v>0.44736959058898024</v>
      </c>
      <c r="T60" s="13">
        <v>0.41681640630880451</v>
      </c>
      <c r="U60" s="13">
        <v>0.41178292079550127</v>
      </c>
      <c r="V60" s="13">
        <v>0.38347186987189313</v>
      </c>
      <c r="W60" s="13">
        <v>0.42483872268511597</v>
      </c>
      <c r="X60" s="13">
        <v>0.45244172143052053</v>
      </c>
      <c r="Y60" s="13">
        <v>0.41993677996274809</v>
      </c>
      <c r="Z60" s="13">
        <v>0.3892857233201506</v>
      </c>
      <c r="AA60" s="13">
        <v>0.35115392957830882</v>
      </c>
      <c r="CE60" s="9" t="s">
        <v>179</v>
      </c>
      <c r="CF60" s="13">
        <v>0.38349770714868109</v>
      </c>
      <c r="CG60" s="11">
        <v>0.39040482373698188</v>
      </c>
      <c r="CH60" s="13">
        <v>0.37239819232333482</v>
      </c>
      <c r="CI60" s="13">
        <v>0.36045265525682935</v>
      </c>
      <c r="CJ60" s="13">
        <v>0.39998295751130769</v>
      </c>
      <c r="CK60" s="11">
        <v>0.40835343051264172</v>
      </c>
      <c r="CL60" s="11">
        <v>0.27526220804949042</v>
      </c>
      <c r="CM60" s="13">
        <v>0.23748196419799644</v>
      </c>
      <c r="CN60" s="13">
        <v>0.22280388024557615</v>
      </c>
      <c r="CO60" s="13">
        <v>0.23809786233458841</v>
      </c>
      <c r="CP60" s="13">
        <v>0.24874516070105346</v>
      </c>
      <c r="CQ60" s="13">
        <v>0.2686651005067715</v>
      </c>
      <c r="CR60" s="11">
        <v>0.13701204133696485</v>
      </c>
      <c r="CS60" s="13">
        <v>0.12358811096297492</v>
      </c>
      <c r="CT60" s="13">
        <v>0.12826285729640874</v>
      </c>
      <c r="CU60" s="13">
        <v>0.11879491609265595</v>
      </c>
      <c r="CV60" s="13">
        <v>0.12252392510078203</v>
      </c>
      <c r="CW60" s="13">
        <v>0.12475732121369842</v>
      </c>
      <c r="CX60" s="13">
        <v>0.28668182101368594</v>
      </c>
      <c r="CY60" s="13">
        <v>0.2743334758378726</v>
      </c>
      <c r="CZ60" s="13">
        <v>0.26367823182050043</v>
      </c>
      <c r="DA60" s="13">
        <v>0.28455515598802139</v>
      </c>
      <c r="DB60" s="13">
        <v>0.29363320991192776</v>
      </c>
      <c r="DC60" s="13">
        <v>0.30746063510857963</v>
      </c>
      <c r="DE60" s="9" t="s">
        <v>159</v>
      </c>
      <c r="DF60" s="9" t="s">
        <v>187</v>
      </c>
      <c r="DG60" s="9" t="s">
        <v>188</v>
      </c>
      <c r="DH60" s="13">
        <v>0.60599141488954711</v>
      </c>
    </row>
  </sheetData>
  <mergeCells count="1">
    <mergeCell ref="A1:X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E55C3-5A9C-4A40-93A5-229F044A3680}">
  <dimension ref="A1:H34"/>
  <sheetViews>
    <sheetView workbookViewId="0">
      <selection sqref="A1:H1"/>
    </sheetView>
  </sheetViews>
  <sheetFormatPr defaultRowHeight="14.25" x14ac:dyDescent="0.45"/>
  <cols>
    <col min="2" max="4" width="10.59765625" customWidth="1"/>
    <col min="5" max="5" width="13.06640625" bestFit="1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189</v>
      </c>
      <c r="C10" s="7" t="s">
        <v>53</v>
      </c>
      <c r="D10" s="7" t="s">
        <v>52</v>
      </c>
      <c r="E10" s="7" t="s">
        <v>51</v>
      </c>
    </row>
    <row r="11" spans="1:8" x14ac:dyDescent="0.45">
      <c r="B11" s="12">
        <v>8.2191780821917804E-2</v>
      </c>
      <c r="C11" s="12">
        <v>2.291226412748925E-2</v>
      </c>
      <c r="D11" s="8" t="s">
        <v>56</v>
      </c>
      <c r="E11" s="8" t="s">
        <v>190</v>
      </c>
    </row>
    <row r="12" spans="1:8" x14ac:dyDescent="0.45">
      <c r="B12" s="13">
        <v>4.1095890410958902E-2</v>
      </c>
      <c r="C12" s="13">
        <v>5.0687417646620103E-2</v>
      </c>
      <c r="D12" s="9" t="s">
        <v>58</v>
      </c>
      <c r="E12" s="9" t="s">
        <v>190</v>
      </c>
    </row>
    <row r="13" spans="1:8" x14ac:dyDescent="0.45">
      <c r="B13" s="12">
        <v>3.0821917808219176E-2</v>
      </c>
      <c r="C13" s="12">
        <v>3.8336275265395424E-2</v>
      </c>
      <c r="D13" s="8" t="s">
        <v>59</v>
      </c>
      <c r="E13" s="8" t="s">
        <v>190</v>
      </c>
    </row>
    <row r="14" spans="1:8" x14ac:dyDescent="0.45">
      <c r="B14" s="13">
        <v>3.0821917808219176E-2</v>
      </c>
      <c r="C14" s="13">
        <v>3.9768291773363502E-2</v>
      </c>
      <c r="D14" s="9" t="s">
        <v>60</v>
      </c>
      <c r="E14" s="9" t="s">
        <v>190</v>
      </c>
    </row>
    <row r="15" spans="1:8" x14ac:dyDescent="0.45">
      <c r="B15" s="12">
        <v>3.0821917808219176E-2</v>
      </c>
      <c r="C15" s="12">
        <v>5.5490639683763034E-2</v>
      </c>
      <c r="D15" s="8" t="s">
        <v>61</v>
      </c>
      <c r="E15" s="8" t="s">
        <v>190</v>
      </c>
    </row>
    <row r="16" spans="1:8" x14ac:dyDescent="0.45">
      <c r="B16" s="13">
        <v>3.0821917808219176E-2</v>
      </c>
      <c r="C16" s="13">
        <v>3.9380453969122146E-2</v>
      </c>
      <c r="D16" s="9" t="s">
        <v>62</v>
      </c>
      <c r="E16" s="9" t="s">
        <v>190</v>
      </c>
    </row>
    <row r="17" spans="2:5" x14ac:dyDescent="0.45">
      <c r="B17" s="12">
        <v>8.4018264840182655E-2</v>
      </c>
      <c r="C17" s="12">
        <v>2.3421425552544572E-2</v>
      </c>
      <c r="D17" s="8" t="s">
        <v>63</v>
      </c>
      <c r="E17" s="8" t="s">
        <v>190</v>
      </c>
    </row>
    <row r="18" spans="2:5" x14ac:dyDescent="0.45">
      <c r="B18" s="13">
        <v>4.2009132420091327E-2</v>
      </c>
      <c r="C18" s="13">
        <v>5.1813804705433876E-2</v>
      </c>
      <c r="D18" s="9" t="s">
        <v>64</v>
      </c>
      <c r="E18" s="9" t="s">
        <v>190</v>
      </c>
    </row>
    <row r="19" spans="2:5" x14ac:dyDescent="0.45">
      <c r="B19" s="12">
        <v>3.1506849315068496E-2</v>
      </c>
      <c r="C19" s="12">
        <v>3.9188192493515323E-2</v>
      </c>
      <c r="D19" s="8" t="s">
        <v>65</v>
      </c>
      <c r="E19" s="8" t="s">
        <v>190</v>
      </c>
    </row>
    <row r="20" spans="2:5" x14ac:dyDescent="0.45">
      <c r="B20" s="13">
        <v>3.1506849315068496E-2</v>
      </c>
      <c r="C20" s="13">
        <v>4.0652031590549358E-2</v>
      </c>
      <c r="D20" s="9" t="s">
        <v>66</v>
      </c>
      <c r="E20" s="9" t="s">
        <v>190</v>
      </c>
    </row>
    <row r="21" spans="2:5" x14ac:dyDescent="0.45">
      <c r="B21" s="12">
        <v>3.1506849315068496E-2</v>
      </c>
      <c r="C21" s="12">
        <v>5.6723765010068872E-2</v>
      </c>
      <c r="D21" s="8" t="s">
        <v>67</v>
      </c>
      <c r="E21" s="8" t="s">
        <v>190</v>
      </c>
    </row>
    <row r="22" spans="2:5" x14ac:dyDescent="0.45">
      <c r="B22" s="13">
        <v>3.1506849315068496E-2</v>
      </c>
      <c r="C22" s="13">
        <v>4.0255575168435975E-2</v>
      </c>
      <c r="D22" s="9" t="s">
        <v>68</v>
      </c>
      <c r="E22" s="9" t="s">
        <v>190</v>
      </c>
    </row>
    <row r="23" spans="2:5" x14ac:dyDescent="0.45">
      <c r="B23" s="12">
        <v>8.4018264840182655E-2</v>
      </c>
      <c r="C23" s="12">
        <v>2.3421425552544572E-2</v>
      </c>
      <c r="D23" s="8" t="s">
        <v>69</v>
      </c>
      <c r="E23" s="8" t="s">
        <v>190</v>
      </c>
    </row>
    <row r="24" spans="2:5" x14ac:dyDescent="0.45">
      <c r="B24" s="13">
        <v>4.2009132420091327E-2</v>
      </c>
      <c r="C24" s="13">
        <v>5.1813804705433876E-2</v>
      </c>
      <c r="D24" s="9" t="s">
        <v>70</v>
      </c>
      <c r="E24" s="9" t="s">
        <v>190</v>
      </c>
    </row>
    <row r="25" spans="2:5" x14ac:dyDescent="0.45">
      <c r="B25" s="12">
        <v>3.1506849315068496E-2</v>
      </c>
      <c r="C25" s="12">
        <v>3.9188192493515323E-2</v>
      </c>
      <c r="D25" s="8" t="s">
        <v>71</v>
      </c>
      <c r="E25" s="8" t="s">
        <v>190</v>
      </c>
    </row>
    <row r="26" spans="2:5" x14ac:dyDescent="0.45">
      <c r="B26" s="13">
        <v>3.1506849315068496E-2</v>
      </c>
      <c r="C26" s="13">
        <v>4.0652031590549358E-2</v>
      </c>
      <c r="D26" s="9" t="s">
        <v>72</v>
      </c>
      <c r="E26" s="9" t="s">
        <v>190</v>
      </c>
    </row>
    <row r="27" spans="2:5" x14ac:dyDescent="0.45">
      <c r="B27" s="12">
        <v>3.1506849315068496E-2</v>
      </c>
      <c r="C27" s="12">
        <v>5.6723765010068872E-2</v>
      </c>
      <c r="D27" s="8" t="s">
        <v>73</v>
      </c>
      <c r="E27" s="8" t="s">
        <v>190</v>
      </c>
    </row>
    <row r="28" spans="2:5" x14ac:dyDescent="0.45">
      <c r="B28" s="13">
        <v>3.1506849315068496E-2</v>
      </c>
      <c r="C28" s="13">
        <v>4.0255575168435975E-2</v>
      </c>
      <c r="D28" s="9" t="s">
        <v>74</v>
      </c>
      <c r="E28" s="9" t="s">
        <v>190</v>
      </c>
    </row>
    <row r="29" spans="2:5" x14ac:dyDescent="0.45">
      <c r="B29" s="12">
        <v>8.3105022831050229E-2</v>
      </c>
      <c r="C29" s="12">
        <v>2.3166844840016909E-2</v>
      </c>
      <c r="D29" s="8" t="s">
        <v>75</v>
      </c>
      <c r="E29" s="8" t="s">
        <v>190</v>
      </c>
    </row>
    <row r="30" spans="2:5" x14ac:dyDescent="0.45">
      <c r="B30" s="13">
        <v>4.1552511415525115E-2</v>
      </c>
      <c r="C30" s="13">
        <v>5.1250611176026986E-2</v>
      </c>
      <c r="D30" s="9" t="s">
        <v>76</v>
      </c>
      <c r="E30" s="9" t="s">
        <v>190</v>
      </c>
    </row>
    <row r="31" spans="2:5" x14ac:dyDescent="0.45">
      <c r="B31" s="12">
        <v>3.1164383561643836E-2</v>
      </c>
      <c r="C31" s="12">
        <v>3.8762233879455377E-2</v>
      </c>
      <c r="D31" s="8" t="s">
        <v>77</v>
      </c>
      <c r="E31" s="8" t="s">
        <v>190</v>
      </c>
    </row>
    <row r="32" spans="2:5" x14ac:dyDescent="0.45">
      <c r="B32" s="13">
        <v>3.1164383561643836E-2</v>
      </c>
      <c r="C32" s="13">
        <v>4.021016168195643E-2</v>
      </c>
      <c r="D32" s="9" t="s">
        <v>78</v>
      </c>
      <c r="E32" s="9" t="s">
        <v>190</v>
      </c>
    </row>
    <row r="33" spans="2:5" x14ac:dyDescent="0.45">
      <c r="B33" s="12">
        <v>3.1164383561643836E-2</v>
      </c>
      <c r="C33" s="12">
        <v>5.6107202346915949E-2</v>
      </c>
      <c r="D33" s="8" t="s">
        <v>79</v>
      </c>
      <c r="E33" s="8" t="s">
        <v>190</v>
      </c>
    </row>
    <row r="34" spans="2:5" x14ac:dyDescent="0.45">
      <c r="B34" s="13">
        <v>3.1164383561643836E-2</v>
      </c>
      <c r="C34" s="13">
        <v>3.9818014568779057E-2</v>
      </c>
      <c r="D34" s="9" t="s">
        <v>80</v>
      </c>
      <c r="E34" s="9" t="s">
        <v>190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CD527-CAED-4D8B-B402-0416C9FBAEDB}">
  <dimension ref="A1:H58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51</v>
      </c>
      <c r="C10" s="7" t="s">
        <v>52</v>
      </c>
      <c r="D10" s="7" t="s">
        <v>53</v>
      </c>
    </row>
    <row r="11" spans="1:8" x14ac:dyDescent="0.45">
      <c r="B11" s="8" t="s">
        <v>196</v>
      </c>
      <c r="C11" s="8" t="s">
        <v>56</v>
      </c>
      <c r="D11" s="12">
        <v>7.8105907740832509E-2</v>
      </c>
    </row>
    <row r="12" spans="1:8" x14ac:dyDescent="0.45">
      <c r="B12" s="9" t="s">
        <v>196</v>
      </c>
      <c r="C12" s="9" t="s">
        <v>58</v>
      </c>
      <c r="D12" s="13">
        <v>4.376606271047976E-2</v>
      </c>
    </row>
    <row r="13" spans="1:8" x14ac:dyDescent="0.45">
      <c r="B13" s="8" t="s">
        <v>196</v>
      </c>
      <c r="C13" s="8" t="s">
        <v>59</v>
      </c>
      <c r="D13" s="12">
        <v>3.519861835258279E-2</v>
      </c>
    </row>
    <row r="14" spans="1:8" x14ac:dyDescent="0.45">
      <c r="B14" s="9" t="s">
        <v>196</v>
      </c>
      <c r="C14" s="9" t="s">
        <v>60</v>
      </c>
      <c r="D14" s="13">
        <v>3.5227329980254476E-2</v>
      </c>
    </row>
    <row r="15" spans="1:8" x14ac:dyDescent="0.45">
      <c r="B15" s="8" t="s">
        <v>196</v>
      </c>
      <c r="C15" s="8" t="s">
        <v>61</v>
      </c>
      <c r="D15" s="12">
        <v>3.5408239248936442E-2</v>
      </c>
    </row>
    <row r="16" spans="1:8" x14ac:dyDescent="0.45">
      <c r="B16" s="9" t="s">
        <v>196</v>
      </c>
      <c r="C16" s="9" t="s">
        <v>62</v>
      </c>
      <c r="D16" s="13">
        <v>3.5545328029128548E-2</v>
      </c>
    </row>
    <row r="17" spans="2:4" x14ac:dyDescent="0.45">
      <c r="B17" s="8" t="s">
        <v>196</v>
      </c>
      <c r="C17" s="8" t="s">
        <v>63</v>
      </c>
      <c r="D17" s="12">
        <v>7.411668142787145E-2</v>
      </c>
    </row>
    <row r="18" spans="2:4" x14ac:dyDescent="0.45">
      <c r="B18" s="9" t="s">
        <v>196</v>
      </c>
      <c r="C18" s="9" t="s">
        <v>64</v>
      </c>
      <c r="D18" s="13">
        <v>4.1106498799780573E-2</v>
      </c>
    </row>
    <row r="19" spans="2:4" x14ac:dyDescent="0.45">
      <c r="B19" s="8" t="s">
        <v>196</v>
      </c>
      <c r="C19" s="8" t="s">
        <v>65</v>
      </c>
      <c r="D19" s="12">
        <v>3.4368149208356798E-2</v>
      </c>
    </row>
    <row r="20" spans="2:4" x14ac:dyDescent="0.45">
      <c r="B20" s="9" t="s">
        <v>196</v>
      </c>
      <c r="C20" s="9" t="s">
        <v>66</v>
      </c>
      <c r="D20" s="13">
        <v>3.4387523053447618E-2</v>
      </c>
    </row>
    <row r="21" spans="2:4" x14ac:dyDescent="0.45">
      <c r="B21" s="8" t="s">
        <v>196</v>
      </c>
      <c r="C21" s="8" t="s">
        <v>67</v>
      </c>
      <c r="D21" s="12">
        <v>3.4343011130910338E-2</v>
      </c>
    </row>
    <row r="22" spans="2:4" x14ac:dyDescent="0.45">
      <c r="B22" s="9" t="s">
        <v>196</v>
      </c>
      <c r="C22" s="9" t="s">
        <v>68</v>
      </c>
      <c r="D22" s="13">
        <v>3.4512741074845553E-2</v>
      </c>
    </row>
    <row r="23" spans="2:4" x14ac:dyDescent="0.45">
      <c r="B23" s="8" t="s">
        <v>196</v>
      </c>
      <c r="C23" s="8" t="s">
        <v>69</v>
      </c>
      <c r="D23" s="12">
        <v>6.9574429184268718E-2</v>
      </c>
    </row>
    <row r="24" spans="2:4" x14ac:dyDescent="0.45">
      <c r="B24" s="9" t="s">
        <v>196</v>
      </c>
      <c r="C24" s="9" t="s">
        <v>70</v>
      </c>
      <c r="D24" s="13">
        <v>3.7336271781435108E-2</v>
      </c>
    </row>
    <row r="25" spans="2:4" x14ac:dyDescent="0.45">
      <c r="B25" s="8" t="s">
        <v>196</v>
      </c>
      <c r="C25" s="8" t="s">
        <v>71</v>
      </c>
      <c r="D25" s="12">
        <v>3.3226742822717918E-2</v>
      </c>
    </row>
    <row r="26" spans="2:4" x14ac:dyDescent="0.45">
      <c r="B26" s="9" t="s">
        <v>196</v>
      </c>
      <c r="C26" s="9" t="s">
        <v>72</v>
      </c>
      <c r="D26" s="13">
        <v>3.3521896164500797E-2</v>
      </c>
    </row>
    <row r="27" spans="2:4" x14ac:dyDescent="0.45">
      <c r="B27" s="8" t="s">
        <v>196</v>
      </c>
      <c r="C27" s="8" t="s">
        <v>73</v>
      </c>
      <c r="D27" s="12">
        <v>3.329412683587301E-2</v>
      </c>
    </row>
    <row r="28" spans="2:4" x14ac:dyDescent="0.45">
      <c r="B28" s="9" t="s">
        <v>196</v>
      </c>
      <c r="C28" s="9" t="s">
        <v>74</v>
      </c>
      <c r="D28" s="13">
        <v>3.3078707477755424E-2</v>
      </c>
    </row>
    <row r="29" spans="2:4" x14ac:dyDescent="0.45">
      <c r="B29" s="8" t="s">
        <v>196</v>
      </c>
      <c r="C29" s="8" t="s">
        <v>75</v>
      </c>
      <c r="D29" s="12">
        <v>7.1688032942287289E-2</v>
      </c>
    </row>
    <row r="30" spans="2:4" x14ac:dyDescent="0.45">
      <c r="B30" s="9" t="s">
        <v>196</v>
      </c>
      <c r="C30" s="9" t="s">
        <v>76</v>
      </c>
      <c r="D30" s="13">
        <v>3.9033776301832086E-2</v>
      </c>
    </row>
    <row r="31" spans="2:4" x14ac:dyDescent="0.45">
      <c r="B31" s="8" t="s">
        <v>196</v>
      </c>
      <c r="C31" s="8" t="s">
        <v>77</v>
      </c>
      <c r="D31" s="12">
        <v>3.3252130553291195E-2</v>
      </c>
    </row>
    <row r="32" spans="2:4" x14ac:dyDescent="0.45">
      <c r="B32" s="9" t="s">
        <v>196</v>
      </c>
      <c r="C32" s="9" t="s">
        <v>78</v>
      </c>
      <c r="D32" s="13">
        <v>3.3273667696985795E-2</v>
      </c>
    </row>
    <row r="33" spans="2:4" x14ac:dyDescent="0.45">
      <c r="B33" s="8" t="s">
        <v>196</v>
      </c>
      <c r="C33" s="8" t="s">
        <v>79</v>
      </c>
      <c r="D33" s="12">
        <v>3.3205462178031789E-2</v>
      </c>
    </row>
    <row r="34" spans="2:4" x14ac:dyDescent="0.45">
      <c r="B34" s="9" t="s">
        <v>196</v>
      </c>
      <c r="C34" s="9" t="s">
        <v>80</v>
      </c>
      <c r="D34" s="13">
        <v>3.3428665303593993E-2</v>
      </c>
    </row>
    <row r="35" spans="2:4" x14ac:dyDescent="0.45">
      <c r="B35" s="8" t="s">
        <v>197</v>
      </c>
      <c r="C35" s="8" t="s">
        <v>56</v>
      </c>
      <c r="D35" s="12">
        <v>8.1412534757371285E-2</v>
      </c>
    </row>
    <row r="36" spans="2:4" x14ac:dyDescent="0.45">
      <c r="B36" s="9" t="s">
        <v>197</v>
      </c>
      <c r="C36" s="9" t="s">
        <v>58</v>
      </c>
      <c r="D36" s="13">
        <v>4.1110009716573456E-2</v>
      </c>
    </row>
    <row r="37" spans="2:4" x14ac:dyDescent="0.45">
      <c r="B37" s="8" t="s">
        <v>197</v>
      </c>
      <c r="C37" s="8" t="s">
        <v>59</v>
      </c>
      <c r="D37" s="12">
        <v>3.1035879018799752E-2</v>
      </c>
    </row>
    <row r="38" spans="2:4" x14ac:dyDescent="0.45">
      <c r="B38" s="9" t="s">
        <v>197</v>
      </c>
      <c r="C38" s="9" t="s">
        <v>60</v>
      </c>
      <c r="D38" s="13">
        <v>3.1038338563035648E-2</v>
      </c>
    </row>
    <row r="39" spans="2:4" x14ac:dyDescent="0.45">
      <c r="B39" s="8" t="s">
        <v>197</v>
      </c>
      <c r="C39" s="8" t="s">
        <v>61</v>
      </c>
      <c r="D39" s="12">
        <v>3.1053835920207277E-2</v>
      </c>
    </row>
    <row r="40" spans="2:4" x14ac:dyDescent="0.45">
      <c r="B40" s="9" t="s">
        <v>197</v>
      </c>
      <c r="C40" s="9" t="s">
        <v>62</v>
      </c>
      <c r="D40" s="13">
        <v>3.1065579452234902E-2</v>
      </c>
    </row>
    <row r="41" spans="2:4" x14ac:dyDescent="0.45">
      <c r="B41" s="8" t="s">
        <v>197</v>
      </c>
      <c r="C41" s="8" t="s">
        <v>63</v>
      </c>
      <c r="D41" s="12">
        <v>8.3149986678400595E-2</v>
      </c>
    </row>
    <row r="42" spans="2:4" x14ac:dyDescent="0.45">
      <c r="B42" s="9" t="s">
        <v>197</v>
      </c>
      <c r="C42" s="9" t="s">
        <v>64</v>
      </c>
      <c r="D42" s="13">
        <v>4.19217735357078E-2</v>
      </c>
    </row>
    <row r="43" spans="2:4" x14ac:dyDescent="0.45">
      <c r="B43" s="8" t="s">
        <v>197</v>
      </c>
      <c r="C43" s="8" t="s">
        <v>65</v>
      </c>
      <c r="D43" s="12">
        <v>3.1744431886300821E-2</v>
      </c>
    </row>
    <row r="44" spans="2:4" x14ac:dyDescent="0.45">
      <c r="B44" s="9" t="s">
        <v>197</v>
      </c>
      <c r="C44" s="9" t="s">
        <v>66</v>
      </c>
      <c r="D44" s="13">
        <v>3.1746091521538684E-2</v>
      </c>
    </row>
    <row r="45" spans="2:4" x14ac:dyDescent="0.45">
      <c r="B45" s="8" t="s">
        <v>197</v>
      </c>
      <c r="C45" s="8" t="s">
        <v>67</v>
      </c>
      <c r="D45" s="12">
        <v>3.1742278465596435E-2</v>
      </c>
    </row>
    <row r="46" spans="2:4" x14ac:dyDescent="0.45">
      <c r="B46" s="9" t="s">
        <v>197</v>
      </c>
      <c r="C46" s="9" t="s">
        <v>68</v>
      </c>
      <c r="D46" s="13">
        <v>3.1756818160455898E-2</v>
      </c>
    </row>
    <row r="47" spans="2:4" x14ac:dyDescent="0.45">
      <c r="B47" s="8" t="s">
        <v>197</v>
      </c>
      <c r="C47" s="8" t="s">
        <v>69</v>
      </c>
      <c r="D47" s="12">
        <v>8.3090408295068655E-2</v>
      </c>
    </row>
    <row r="48" spans="2:4" x14ac:dyDescent="0.45">
      <c r="B48" s="9" t="s">
        <v>197</v>
      </c>
      <c r="C48" s="9" t="s">
        <v>70</v>
      </c>
      <c r="D48" s="13">
        <v>4.176356581579662E-2</v>
      </c>
    </row>
    <row r="49" spans="2:4" x14ac:dyDescent="0.45">
      <c r="B49" s="8" t="s">
        <v>197</v>
      </c>
      <c r="C49" s="8" t="s">
        <v>71</v>
      </c>
      <c r="D49" s="12">
        <v>3.1770227697964414E-2</v>
      </c>
    </row>
    <row r="50" spans="2:4" x14ac:dyDescent="0.45">
      <c r="B50" s="9" t="s">
        <v>197</v>
      </c>
      <c r="C50" s="9" t="s">
        <v>72</v>
      </c>
      <c r="D50" s="13">
        <v>3.1795511625047498E-2</v>
      </c>
    </row>
    <row r="51" spans="2:4" x14ac:dyDescent="0.45">
      <c r="B51" s="8" t="s">
        <v>197</v>
      </c>
      <c r="C51" s="8" t="s">
        <v>73</v>
      </c>
      <c r="D51" s="12">
        <v>3.1776000061797011E-2</v>
      </c>
    </row>
    <row r="52" spans="2:4" x14ac:dyDescent="0.45">
      <c r="B52" s="9" t="s">
        <v>197</v>
      </c>
      <c r="C52" s="9" t="s">
        <v>74</v>
      </c>
      <c r="D52" s="13">
        <v>3.1757546442705217E-2</v>
      </c>
    </row>
    <row r="53" spans="2:4" x14ac:dyDescent="0.45">
      <c r="B53" s="8" t="s">
        <v>197</v>
      </c>
      <c r="C53" s="8" t="s">
        <v>75</v>
      </c>
      <c r="D53" s="12">
        <v>8.2266852357058814E-2</v>
      </c>
    </row>
    <row r="54" spans="2:4" x14ac:dyDescent="0.45">
      <c r="B54" s="9" t="s">
        <v>197</v>
      </c>
      <c r="C54" s="9" t="s">
        <v>76</v>
      </c>
      <c r="D54" s="13">
        <v>4.1406672805128733E-2</v>
      </c>
    </row>
    <row r="55" spans="2:4" x14ac:dyDescent="0.45">
      <c r="B55" s="8" t="s">
        <v>197</v>
      </c>
      <c r="C55" s="8" t="s">
        <v>77</v>
      </c>
      <c r="D55" s="12">
        <v>3.1395671859431554E-2</v>
      </c>
    </row>
    <row r="56" spans="2:4" x14ac:dyDescent="0.45">
      <c r="B56" s="9" t="s">
        <v>197</v>
      </c>
      <c r="C56" s="9" t="s">
        <v>78</v>
      </c>
      <c r="D56" s="13">
        <v>3.139751681083025E-2</v>
      </c>
    </row>
    <row r="57" spans="2:4" x14ac:dyDescent="0.45">
      <c r="B57" s="8" t="s">
        <v>197</v>
      </c>
      <c r="C57" s="8" t="s">
        <v>79</v>
      </c>
      <c r="D57" s="12">
        <v>3.1391674073772011E-2</v>
      </c>
    </row>
    <row r="58" spans="2:4" x14ac:dyDescent="0.45">
      <c r="B58" s="9" t="s">
        <v>197</v>
      </c>
      <c r="C58" s="9" t="s">
        <v>80</v>
      </c>
      <c r="D58" s="13">
        <v>3.1410794479176683E-2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1DE30-7F00-48EC-A4ED-5BB182B1CDFE}">
  <dimension ref="A1:H34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51</v>
      </c>
      <c r="C10" s="7" t="s">
        <v>52</v>
      </c>
      <c r="D10" s="7" t="s">
        <v>198</v>
      </c>
    </row>
    <row r="11" spans="1:8" x14ac:dyDescent="0.45">
      <c r="B11" s="8" t="s">
        <v>12</v>
      </c>
      <c r="C11" s="8" t="s">
        <v>56</v>
      </c>
      <c r="D11" s="12">
        <v>0.24967740684330098</v>
      </c>
    </row>
    <row r="12" spans="1:8" x14ac:dyDescent="0.45">
      <c r="B12" s="9" t="s">
        <v>12</v>
      </c>
      <c r="C12" s="9" t="s">
        <v>58</v>
      </c>
      <c r="D12" s="13">
        <v>0.16299503689757611</v>
      </c>
    </row>
    <row r="13" spans="1:8" x14ac:dyDescent="0.45">
      <c r="B13" s="8" t="s">
        <v>12</v>
      </c>
      <c r="C13" s="8" t="s">
        <v>59</v>
      </c>
      <c r="D13" s="12">
        <v>8.1054195136442742E-2</v>
      </c>
    </row>
    <row r="14" spans="1:8" x14ac:dyDescent="0.45">
      <c r="B14" s="9" t="s">
        <v>12</v>
      </c>
      <c r="C14" s="9" t="s">
        <v>60</v>
      </c>
      <c r="D14" s="13">
        <v>6.4254384774477868E-2</v>
      </c>
    </row>
    <row r="15" spans="1:8" x14ac:dyDescent="0.45">
      <c r="B15" s="8" t="s">
        <v>12</v>
      </c>
      <c r="C15" s="8" t="s">
        <v>61</v>
      </c>
      <c r="D15" s="12">
        <v>6.424695636313893E-2</v>
      </c>
    </row>
    <row r="16" spans="1:8" x14ac:dyDescent="0.45">
      <c r="B16" s="9" t="s">
        <v>12</v>
      </c>
      <c r="C16" s="9" t="s">
        <v>62</v>
      </c>
      <c r="D16" s="13">
        <v>6.0659996515969761E-2</v>
      </c>
    </row>
    <row r="17" spans="2:4" x14ac:dyDescent="0.45">
      <c r="B17" s="8" t="s">
        <v>12</v>
      </c>
      <c r="C17" s="8" t="s">
        <v>63</v>
      </c>
      <c r="D17" s="12">
        <v>0.31555807594358032</v>
      </c>
    </row>
    <row r="18" spans="2:4" x14ac:dyDescent="0.45">
      <c r="B18" s="9" t="s">
        <v>12</v>
      </c>
      <c r="C18" s="9" t="s">
        <v>64</v>
      </c>
      <c r="D18" s="13">
        <v>0.21549203250117732</v>
      </c>
    </row>
    <row r="19" spans="2:4" x14ac:dyDescent="0.45">
      <c r="B19" s="8" t="s">
        <v>12</v>
      </c>
      <c r="C19" s="8" t="s">
        <v>65</v>
      </c>
      <c r="D19" s="12">
        <v>9.6509378550666103E-2</v>
      </c>
    </row>
    <row r="20" spans="2:4" x14ac:dyDescent="0.45">
      <c r="B20" s="9" t="s">
        <v>12</v>
      </c>
      <c r="C20" s="9" t="s">
        <v>66</v>
      </c>
      <c r="D20" s="13">
        <v>9.564022269876471E-2</v>
      </c>
    </row>
    <row r="21" spans="2:4" x14ac:dyDescent="0.45">
      <c r="B21" s="8" t="s">
        <v>12</v>
      </c>
      <c r="C21" s="8" t="s">
        <v>67</v>
      </c>
      <c r="D21" s="12">
        <v>0.10097319417310446</v>
      </c>
    </row>
    <row r="22" spans="2:4" x14ac:dyDescent="0.45">
      <c r="B22" s="9" t="s">
        <v>12</v>
      </c>
      <c r="C22" s="9" t="s">
        <v>68</v>
      </c>
      <c r="D22" s="13">
        <v>9.6276152009977745E-2</v>
      </c>
    </row>
    <row r="23" spans="2:4" x14ac:dyDescent="0.45">
      <c r="B23" s="8" t="s">
        <v>12</v>
      </c>
      <c r="C23" s="8" t="s">
        <v>69</v>
      </c>
      <c r="D23" s="12">
        <v>0.29371754643701986</v>
      </c>
    </row>
    <row r="24" spans="2:4" x14ac:dyDescent="0.45">
      <c r="B24" s="9" t="s">
        <v>12</v>
      </c>
      <c r="C24" s="9" t="s">
        <v>70</v>
      </c>
      <c r="D24" s="13">
        <v>0.2379916572718066</v>
      </c>
    </row>
    <row r="25" spans="2:4" x14ac:dyDescent="0.45">
      <c r="B25" s="8" t="s">
        <v>12</v>
      </c>
      <c r="C25" s="8" t="s">
        <v>71</v>
      </c>
      <c r="D25" s="12">
        <v>9.9367284998281624E-2</v>
      </c>
    </row>
    <row r="26" spans="2:4" x14ac:dyDescent="0.45">
      <c r="B26" s="9" t="s">
        <v>12</v>
      </c>
      <c r="C26" s="9" t="s">
        <v>72</v>
      </c>
      <c r="D26" s="13">
        <v>9.4609924274811741E-2</v>
      </c>
    </row>
    <row r="27" spans="2:4" x14ac:dyDescent="0.45">
      <c r="B27" s="8" t="s">
        <v>12</v>
      </c>
      <c r="C27" s="8" t="s">
        <v>73</v>
      </c>
      <c r="D27" s="12">
        <v>8.3198783686568634E-2</v>
      </c>
    </row>
    <row r="28" spans="2:4" x14ac:dyDescent="0.45">
      <c r="B28" s="9" t="s">
        <v>12</v>
      </c>
      <c r="C28" s="9" t="s">
        <v>74</v>
      </c>
      <c r="D28" s="13">
        <v>7.9677972639163652E-2</v>
      </c>
    </row>
    <row r="29" spans="2:4" x14ac:dyDescent="0.45">
      <c r="B29" s="8" t="s">
        <v>12</v>
      </c>
      <c r="C29" s="8" t="s">
        <v>75</v>
      </c>
      <c r="D29" s="12">
        <v>0.23981363777411446</v>
      </c>
    </row>
    <row r="30" spans="2:4" x14ac:dyDescent="0.45">
      <c r="B30" s="9" t="s">
        <v>12</v>
      </c>
      <c r="C30" s="9" t="s">
        <v>76</v>
      </c>
      <c r="D30" s="13">
        <v>0.18358278545936524</v>
      </c>
    </row>
    <row r="31" spans="2:4" x14ac:dyDescent="0.45">
      <c r="B31" s="8" t="s">
        <v>12</v>
      </c>
      <c r="C31" s="8" t="s">
        <v>77</v>
      </c>
      <c r="D31" s="12">
        <v>5.0568294837930683E-2</v>
      </c>
    </row>
    <row r="32" spans="2:4" x14ac:dyDescent="0.45">
      <c r="B32" s="9" t="s">
        <v>12</v>
      </c>
      <c r="C32" s="9" t="s">
        <v>78</v>
      </c>
      <c r="D32" s="13">
        <v>5.1679658242947069E-2</v>
      </c>
    </row>
    <row r="33" spans="2:4" x14ac:dyDescent="0.45">
      <c r="B33" s="8" t="s">
        <v>12</v>
      </c>
      <c r="C33" s="8" t="s">
        <v>79</v>
      </c>
      <c r="D33" s="12">
        <v>5.2622156478075555E-2</v>
      </c>
    </row>
    <row r="34" spans="2:4" x14ac:dyDescent="0.45">
      <c r="B34" s="9" t="s">
        <v>12</v>
      </c>
      <c r="C34" s="9" t="s">
        <v>80</v>
      </c>
      <c r="D34" s="13">
        <v>4.9831703500620383E-2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8EAEC-3F42-46CE-89E9-E12717D2D322}">
  <dimension ref="A1:H126"/>
  <sheetViews>
    <sheetView tabSelected="1" workbookViewId="0"/>
  </sheetViews>
  <sheetFormatPr defaultRowHeight="14.25" x14ac:dyDescent="0.45"/>
  <cols>
    <col min="2" max="5" width="10.59765625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IF(A11="x","DeActivated","~TFM_INS-AT")</f>
        <v>~TFM_INS-AT</v>
      </c>
    </row>
    <row r="10" spans="1:8" ht="15.75" thickBot="1" x14ac:dyDescent="0.6">
      <c r="B10" s="18" t="s">
        <v>199</v>
      </c>
      <c r="C10" s="18" t="s">
        <v>52</v>
      </c>
      <c r="D10" s="18" t="s">
        <v>200</v>
      </c>
      <c r="E10" s="18" t="s">
        <v>201</v>
      </c>
    </row>
    <row r="11" spans="1:8" x14ac:dyDescent="0.45">
      <c r="B11" s="19">
        <v>2020</v>
      </c>
      <c r="C11" s="20" t="s">
        <v>37</v>
      </c>
      <c r="D11" s="21">
        <v>0.1928</v>
      </c>
      <c r="E11" s="20" t="s">
        <v>202</v>
      </c>
    </row>
    <row r="12" spans="1:8" x14ac:dyDescent="0.45">
      <c r="B12" s="22">
        <v>2020</v>
      </c>
      <c r="C12" s="23" t="s">
        <v>41</v>
      </c>
      <c r="D12" s="24">
        <v>0.17526666666666665</v>
      </c>
      <c r="E12" s="23" t="s">
        <v>202</v>
      </c>
    </row>
    <row r="13" spans="1:8" x14ac:dyDescent="0.45">
      <c r="B13" s="19">
        <v>2020</v>
      </c>
      <c r="C13" s="20" t="s">
        <v>43</v>
      </c>
      <c r="D13" s="21">
        <v>0.19456666666666667</v>
      </c>
      <c r="E13" s="20" t="s">
        <v>202</v>
      </c>
    </row>
    <row r="14" spans="1:8" x14ac:dyDescent="0.45">
      <c r="B14" s="22">
        <v>2020</v>
      </c>
      <c r="C14" s="23" t="s">
        <v>45</v>
      </c>
      <c r="D14" s="24">
        <v>0.19110000000000002</v>
      </c>
      <c r="E14" s="23" t="s">
        <v>202</v>
      </c>
    </row>
    <row r="15" spans="1:8" x14ac:dyDescent="0.45">
      <c r="B15" s="19">
        <v>2021</v>
      </c>
      <c r="C15" s="20" t="s">
        <v>37</v>
      </c>
      <c r="D15" s="21">
        <v>0.20653333333333335</v>
      </c>
      <c r="E15" s="20" t="s">
        <v>202</v>
      </c>
    </row>
    <row r="16" spans="1:8" x14ac:dyDescent="0.45">
      <c r="B16" s="22">
        <v>2021</v>
      </c>
      <c r="C16" s="23" t="s">
        <v>41</v>
      </c>
      <c r="D16" s="24">
        <v>0.28960000000000002</v>
      </c>
      <c r="E16" s="23" t="s">
        <v>202</v>
      </c>
    </row>
    <row r="17" spans="2:5" x14ac:dyDescent="0.45">
      <c r="B17" s="19">
        <v>2021</v>
      </c>
      <c r="C17" s="20" t="s">
        <v>43</v>
      </c>
      <c r="D17" s="21">
        <v>0.17736666666666667</v>
      </c>
      <c r="E17" s="20" t="s">
        <v>202</v>
      </c>
    </row>
    <row r="18" spans="2:5" x14ac:dyDescent="0.45">
      <c r="B18" s="22">
        <v>2021</v>
      </c>
      <c r="C18" s="23" t="s">
        <v>45</v>
      </c>
      <c r="D18" s="24">
        <v>0.18889999999999998</v>
      </c>
      <c r="E18" s="23" t="s">
        <v>202</v>
      </c>
    </row>
    <row r="19" spans="2:5" x14ac:dyDescent="0.45">
      <c r="B19" s="19">
        <v>2022</v>
      </c>
      <c r="C19" s="20" t="s">
        <v>37</v>
      </c>
      <c r="D19" s="21">
        <v>0.23840000000000003</v>
      </c>
      <c r="E19" s="20" t="s">
        <v>202</v>
      </c>
    </row>
    <row r="20" spans="2:5" x14ac:dyDescent="0.45">
      <c r="B20" s="22">
        <v>2022</v>
      </c>
      <c r="C20" s="23" t="s">
        <v>41</v>
      </c>
      <c r="D20" s="24">
        <v>0.23150000000000001</v>
      </c>
      <c r="E20" s="23" t="s">
        <v>202</v>
      </c>
    </row>
    <row r="21" spans="2:5" x14ac:dyDescent="0.45">
      <c r="B21" s="19">
        <v>2022</v>
      </c>
      <c r="C21" s="20" t="s">
        <v>43</v>
      </c>
      <c r="D21" s="21">
        <v>0.12036666666666668</v>
      </c>
      <c r="E21" s="20" t="s">
        <v>202</v>
      </c>
    </row>
    <row r="22" spans="2:5" x14ac:dyDescent="0.45">
      <c r="B22" s="22">
        <v>2022</v>
      </c>
      <c r="C22" s="23" t="s">
        <v>45</v>
      </c>
      <c r="D22" s="24">
        <v>0.13536666666666666</v>
      </c>
      <c r="E22" s="23" t="s">
        <v>202</v>
      </c>
    </row>
    <row r="23" spans="2:5" x14ac:dyDescent="0.45">
      <c r="B23" s="19">
        <v>2025</v>
      </c>
      <c r="C23" s="20" t="s">
        <v>37</v>
      </c>
      <c r="D23" s="21">
        <v>0.32003333333333334</v>
      </c>
      <c r="E23" s="20" t="s">
        <v>202</v>
      </c>
    </row>
    <row r="24" spans="2:5" x14ac:dyDescent="0.45">
      <c r="B24" s="22">
        <v>2025</v>
      </c>
      <c r="C24" s="23" t="s">
        <v>41</v>
      </c>
      <c r="D24" s="24">
        <v>0.32726666666666665</v>
      </c>
      <c r="E24" s="23" t="s">
        <v>202</v>
      </c>
    </row>
    <row r="25" spans="2:5" x14ac:dyDescent="0.45">
      <c r="B25" s="19">
        <v>2025</v>
      </c>
      <c r="C25" s="20" t="s">
        <v>43</v>
      </c>
      <c r="D25" s="21">
        <v>0.2446666666666667</v>
      </c>
      <c r="E25" s="20" t="s">
        <v>202</v>
      </c>
    </row>
    <row r="26" spans="2:5" x14ac:dyDescent="0.45">
      <c r="B26" s="22">
        <v>2025</v>
      </c>
      <c r="C26" s="23" t="s">
        <v>45</v>
      </c>
      <c r="D26" s="24">
        <v>0.23916666666666667</v>
      </c>
      <c r="E26" s="23" t="s">
        <v>202</v>
      </c>
    </row>
    <row r="27" spans="2:5" x14ac:dyDescent="0.45">
      <c r="B27" s="19">
        <v>2026</v>
      </c>
      <c r="C27" s="20" t="s">
        <v>37</v>
      </c>
      <c r="D27" s="21">
        <v>0.34260000000000002</v>
      </c>
      <c r="E27" s="20" t="s">
        <v>202</v>
      </c>
    </row>
    <row r="28" spans="2:5" x14ac:dyDescent="0.45">
      <c r="B28" s="22">
        <v>2026</v>
      </c>
      <c r="C28" s="23" t="s">
        <v>41</v>
      </c>
      <c r="D28" s="24">
        <v>0.37166666666666665</v>
      </c>
      <c r="E28" s="23" t="s">
        <v>202</v>
      </c>
    </row>
    <row r="29" spans="2:5" x14ac:dyDescent="0.45">
      <c r="B29" s="19">
        <v>2026</v>
      </c>
      <c r="C29" s="20" t="s">
        <v>43</v>
      </c>
      <c r="D29" s="21">
        <v>0.25059999999999999</v>
      </c>
      <c r="E29" s="20" t="s">
        <v>202</v>
      </c>
    </row>
    <row r="30" spans="2:5" x14ac:dyDescent="0.45">
      <c r="B30" s="22">
        <v>2026</v>
      </c>
      <c r="C30" s="23" t="s">
        <v>45</v>
      </c>
      <c r="D30" s="24">
        <v>0.25303333333333333</v>
      </c>
      <c r="E30" s="23" t="s">
        <v>202</v>
      </c>
    </row>
    <row r="31" spans="2:5" x14ac:dyDescent="0.45">
      <c r="B31" s="19">
        <v>2027</v>
      </c>
      <c r="C31" s="20" t="s">
        <v>37</v>
      </c>
      <c r="D31" s="21">
        <v>0.29649999999999999</v>
      </c>
      <c r="E31" s="20" t="s">
        <v>202</v>
      </c>
    </row>
    <row r="32" spans="2:5" x14ac:dyDescent="0.45">
      <c r="B32" s="22">
        <v>2027</v>
      </c>
      <c r="C32" s="23" t="s">
        <v>41</v>
      </c>
      <c r="D32" s="24">
        <v>0.30259999999999998</v>
      </c>
      <c r="E32" s="23" t="s">
        <v>202</v>
      </c>
    </row>
    <row r="33" spans="2:5" x14ac:dyDescent="0.45">
      <c r="B33" s="19">
        <v>2027</v>
      </c>
      <c r="C33" s="20" t="s">
        <v>43</v>
      </c>
      <c r="D33" s="21">
        <v>0.18333333333333335</v>
      </c>
      <c r="E33" s="20" t="s">
        <v>202</v>
      </c>
    </row>
    <row r="34" spans="2:5" x14ac:dyDescent="0.45">
      <c r="B34" s="22">
        <v>2027</v>
      </c>
      <c r="C34" s="23" t="s">
        <v>45</v>
      </c>
      <c r="D34" s="24">
        <v>0.2286</v>
      </c>
      <c r="E34" s="23" t="s">
        <v>202</v>
      </c>
    </row>
    <row r="35" spans="2:5" x14ac:dyDescent="0.45">
      <c r="B35" s="19">
        <v>2028</v>
      </c>
      <c r="C35" s="20" t="s">
        <v>37</v>
      </c>
      <c r="D35" s="21">
        <v>0.28813333333333335</v>
      </c>
      <c r="E35" s="20" t="s">
        <v>202</v>
      </c>
    </row>
    <row r="36" spans="2:5" x14ac:dyDescent="0.45">
      <c r="B36" s="22">
        <v>2028</v>
      </c>
      <c r="C36" s="23" t="s">
        <v>41</v>
      </c>
      <c r="D36" s="24">
        <v>0.32773333333333338</v>
      </c>
      <c r="E36" s="23" t="s">
        <v>202</v>
      </c>
    </row>
    <row r="37" spans="2:5" x14ac:dyDescent="0.45">
      <c r="B37" s="19">
        <v>2028</v>
      </c>
      <c r="C37" s="20" t="s">
        <v>43</v>
      </c>
      <c r="D37" s="21">
        <v>0.18840000000000001</v>
      </c>
      <c r="E37" s="20" t="s">
        <v>202</v>
      </c>
    </row>
    <row r="38" spans="2:5" x14ac:dyDescent="0.45">
      <c r="B38" s="22">
        <v>2028</v>
      </c>
      <c r="C38" s="23" t="s">
        <v>45</v>
      </c>
      <c r="D38" s="24">
        <v>0.20660000000000001</v>
      </c>
      <c r="E38" s="23" t="s">
        <v>202</v>
      </c>
    </row>
    <row r="39" spans="2:5" x14ac:dyDescent="0.45">
      <c r="B39" s="19">
        <v>2029</v>
      </c>
      <c r="C39" s="20" t="s">
        <v>37</v>
      </c>
      <c r="D39" s="21">
        <v>0.30890000000000001</v>
      </c>
      <c r="E39" s="20" t="s">
        <v>202</v>
      </c>
    </row>
    <row r="40" spans="2:5" x14ac:dyDescent="0.45">
      <c r="B40" s="22">
        <v>2029</v>
      </c>
      <c r="C40" s="23" t="s">
        <v>41</v>
      </c>
      <c r="D40" s="24">
        <v>0.3382</v>
      </c>
      <c r="E40" s="23" t="s">
        <v>202</v>
      </c>
    </row>
    <row r="41" spans="2:5" x14ac:dyDescent="0.45">
      <c r="B41" s="19">
        <v>2029</v>
      </c>
      <c r="C41" s="20" t="s">
        <v>43</v>
      </c>
      <c r="D41" s="21">
        <v>0.19136666666666668</v>
      </c>
      <c r="E41" s="20" t="s">
        <v>202</v>
      </c>
    </row>
    <row r="42" spans="2:5" x14ac:dyDescent="0.45">
      <c r="B42" s="22">
        <v>2029</v>
      </c>
      <c r="C42" s="23" t="s">
        <v>45</v>
      </c>
      <c r="D42" s="24">
        <v>0.29533333333333334</v>
      </c>
      <c r="E42" s="23" t="s">
        <v>202</v>
      </c>
    </row>
    <row r="43" spans="2:5" x14ac:dyDescent="0.45">
      <c r="B43" s="19">
        <v>2030</v>
      </c>
      <c r="C43" s="20" t="s">
        <v>37</v>
      </c>
      <c r="D43" s="21">
        <v>0.31983333333333336</v>
      </c>
      <c r="E43" s="20" t="s">
        <v>202</v>
      </c>
    </row>
    <row r="44" spans="2:5" x14ac:dyDescent="0.45">
      <c r="B44" s="22">
        <v>2030</v>
      </c>
      <c r="C44" s="23" t="s">
        <v>41</v>
      </c>
      <c r="D44" s="24">
        <v>0.34233333333333338</v>
      </c>
      <c r="E44" s="23" t="s">
        <v>202</v>
      </c>
    </row>
    <row r="45" spans="2:5" x14ac:dyDescent="0.45">
      <c r="B45" s="19">
        <v>2030</v>
      </c>
      <c r="C45" s="20" t="s">
        <v>43</v>
      </c>
      <c r="D45" s="21">
        <v>0.20220000000000002</v>
      </c>
      <c r="E45" s="20" t="s">
        <v>202</v>
      </c>
    </row>
    <row r="46" spans="2:5" x14ac:dyDescent="0.45">
      <c r="B46" s="22">
        <v>2030</v>
      </c>
      <c r="C46" s="23" t="s">
        <v>45</v>
      </c>
      <c r="D46" s="24">
        <v>0.2288</v>
      </c>
      <c r="E46" s="23" t="s">
        <v>202</v>
      </c>
    </row>
    <row r="47" spans="2:5" x14ac:dyDescent="0.45">
      <c r="B47" s="19">
        <v>2031</v>
      </c>
      <c r="C47" s="20" t="s">
        <v>37</v>
      </c>
      <c r="D47" s="21">
        <v>0.30260000000000004</v>
      </c>
      <c r="E47" s="20" t="s">
        <v>202</v>
      </c>
    </row>
    <row r="48" spans="2:5" x14ac:dyDescent="0.45">
      <c r="B48" s="22">
        <v>2031</v>
      </c>
      <c r="C48" s="23" t="s">
        <v>41</v>
      </c>
      <c r="D48" s="24">
        <v>0.30776666666666669</v>
      </c>
      <c r="E48" s="23" t="s">
        <v>202</v>
      </c>
    </row>
    <row r="49" spans="2:5" x14ac:dyDescent="0.45">
      <c r="B49" s="19">
        <v>2031</v>
      </c>
      <c r="C49" s="20" t="s">
        <v>43</v>
      </c>
      <c r="D49" s="21">
        <v>0.19779999999999998</v>
      </c>
      <c r="E49" s="20" t="s">
        <v>202</v>
      </c>
    </row>
    <row r="50" spans="2:5" x14ac:dyDescent="0.45">
      <c r="B50" s="22">
        <v>2031</v>
      </c>
      <c r="C50" s="23" t="s">
        <v>45</v>
      </c>
      <c r="D50" s="24">
        <v>0.24779999999999999</v>
      </c>
      <c r="E50" s="23" t="s">
        <v>202</v>
      </c>
    </row>
    <row r="51" spans="2:5" x14ac:dyDescent="0.45">
      <c r="B51" s="19">
        <v>2032</v>
      </c>
      <c r="C51" s="20" t="s">
        <v>37</v>
      </c>
      <c r="D51" s="21">
        <v>0.31676666666666664</v>
      </c>
      <c r="E51" s="20" t="s">
        <v>202</v>
      </c>
    </row>
    <row r="52" spans="2:5" x14ac:dyDescent="0.45">
      <c r="B52" s="22">
        <v>2032</v>
      </c>
      <c r="C52" s="23" t="s">
        <v>41</v>
      </c>
      <c r="D52" s="24">
        <v>0.32276666666666665</v>
      </c>
      <c r="E52" s="23" t="s">
        <v>202</v>
      </c>
    </row>
    <row r="53" spans="2:5" x14ac:dyDescent="0.45">
      <c r="B53" s="19">
        <v>2032</v>
      </c>
      <c r="C53" s="20" t="s">
        <v>43</v>
      </c>
      <c r="D53" s="21">
        <v>0.22673333333333334</v>
      </c>
      <c r="E53" s="20" t="s">
        <v>202</v>
      </c>
    </row>
    <row r="54" spans="2:5" x14ac:dyDescent="0.45">
      <c r="B54" s="22">
        <v>2032</v>
      </c>
      <c r="C54" s="23" t="s">
        <v>45</v>
      </c>
      <c r="D54" s="24">
        <v>0.22766666666666668</v>
      </c>
      <c r="E54" s="23" t="s">
        <v>202</v>
      </c>
    </row>
    <row r="55" spans="2:5" x14ac:dyDescent="0.45">
      <c r="B55" s="19">
        <v>2033</v>
      </c>
      <c r="C55" s="20" t="s">
        <v>37</v>
      </c>
      <c r="D55" s="21">
        <v>0.29386666666666666</v>
      </c>
      <c r="E55" s="20" t="s">
        <v>202</v>
      </c>
    </row>
    <row r="56" spans="2:5" x14ac:dyDescent="0.45">
      <c r="B56" s="22">
        <v>2033</v>
      </c>
      <c r="C56" s="23" t="s">
        <v>41</v>
      </c>
      <c r="D56" s="24">
        <v>0.35000000000000003</v>
      </c>
      <c r="E56" s="23" t="s">
        <v>202</v>
      </c>
    </row>
    <row r="57" spans="2:5" x14ac:dyDescent="0.45">
      <c r="B57" s="19">
        <v>2033</v>
      </c>
      <c r="C57" s="20" t="s">
        <v>43</v>
      </c>
      <c r="D57" s="21">
        <v>0.18733333333333335</v>
      </c>
      <c r="E57" s="20" t="s">
        <v>202</v>
      </c>
    </row>
    <row r="58" spans="2:5" x14ac:dyDescent="0.45">
      <c r="B58" s="22">
        <v>2033</v>
      </c>
      <c r="C58" s="23" t="s">
        <v>45</v>
      </c>
      <c r="D58" s="24">
        <v>0.20950000000000002</v>
      </c>
      <c r="E58" s="23" t="s">
        <v>202</v>
      </c>
    </row>
    <row r="59" spans="2:5" x14ac:dyDescent="0.45">
      <c r="B59" s="19">
        <v>2034</v>
      </c>
      <c r="C59" s="20" t="s">
        <v>37</v>
      </c>
      <c r="D59" s="21">
        <v>0.29859999999999998</v>
      </c>
      <c r="E59" s="20" t="s">
        <v>202</v>
      </c>
    </row>
    <row r="60" spans="2:5" x14ac:dyDescent="0.45">
      <c r="B60" s="22">
        <v>2034</v>
      </c>
      <c r="C60" s="23" t="s">
        <v>41</v>
      </c>
      <c r="D60" s="24">
        <v>0.33856666666666668</v>
      </c>
      <c r="E60" s="23" t="s">
        <v>202</v>
      </c>
    </row>
    <row r="61" spans="2:5" x14ac:dyDescent="0.45">
      <c r="B61" s="19">
        <v>2034</v>
      </c>
      <c r="C61" s="20" t="s">
        <v>43</v>
      </c>
      <c r="D61" s="21">
        <v>0.20516666666666664</v>
      </c>
      <c r="E61" s="20" t="s">
        <v>202</v>
      </c>
    </row>
    <row r="62" spans="2:5" x14ac:dyDescent="0.45">
      <c r="B62" s="22">
        <v>2034</v>
      </c>
      <c r="C62" s="23" t="s">
        <v>45</v>
      </c>
      <c r="D62" s="24">
        <v>0.21740000000000001</v>
      </c>
      <c r="E62" s="23" t="s">
        <v>202</v>
      </c>
    </row>
    <row r="63" spans="2:5" x14ac:dyDescent="0.45">
      <c r="B63" s="19">
        <v>2035</v>
      </c>
      <c r="C63" s="20" t="s">
        <v>37</v>
      </c>
      <c r="D63" s="21">
        <v>0.30656666666666665</v>
      </c>
      <c r="E63" s="20" t="s">
        <v>202</v>
      </c>
    </row>
    <row r="64" spans="2:5" x14ac:dyDescent="0.45">
      <c r="B64" s="22">
        <v>2035</v>
      </c>
      <c r="C64" s="23" t="s">
        <v>41</v>
      </c>
      <c r="D64" s="24">
        <v>0.3297666666666666</v>
      </c>
      <c r="E64" s="23" t="s">
        <v>202</v>
      </c>
    </row>
    <row r="65" spans="2:5" x14ac:dyDescent="0.45">
      <c r="B65" s="19">
        <v>2035</v>
      </c>
      <c r="C65" s="20" t="s">
        <v>43</v>
      </c>
      <c r="D65" s="21">
        <v>0.20076666666666665</v>
      </c>
      <c r="E65" s="20" t="s">
        <v>202</v>
      </c>
    </row>
    <row r="66" spans="2:5" x14ac:dyDescent="0.45">
      <c r="B66" s="22">
        <v>2035</v>
      </c>
      <c r="C66" s="23" t="s">
        <v>45</v>
      </c>
      <c r="D66" s="24">
        <v>0.19193333333333337</v>
      </c>
      <c r="E66" s="23" t="s">
        <v>202</v>
      </c>
    </row>
    <row r="67" spans="2:5" x14ac:dyDescent="0.45">
      <c r="B67" s="19">
        <v>2036</v>
      </c>
      <c r="C67" s="20" t="s">
        <v>37</v>
      </c>
      <c r="D67" s="21">
        <v>0.37279999999999996</v>
      </c>
      <c r="E67" s="20" t="s">
        <v>202</v>
      </c>
    </row>
    <row r="68" spans="2:5" x14ac:dyDescent="0.45">
      <c r="B68" s="22">
        <v>2036</v>
      </c>
      <c r="C68" s="23" t="s">
        <v>41</v>
      </c>
      <c r="D68" s="24">
        <v>0.38203333333333328</v>
      </c>
      <c r="E68" s="23" t="s">
        <v>202</v>
      </c>
    </row>
    <row r="69" spans="2:5" x14ac:dyDescent="0.45">
      <c r="B69" s="19">
        <v>2036</v>
      </c>
      <c r="C69" s="20" t="s">
        <v>43</v>
      </c>
      <c r="D69" s="21">
        <v>0.19276666666666667</v>
      </c>
      <c r="E69" s="20" t="s">
        <v>202</v>
      </c>
    </row>
    <row r="70" spans="2:5" x14ac:dyDescent="0.45">
      <c r="B70" s="22">
        <v>2036</v>
      </c>
      <c r="C70" s="23" t="s">
        <v>45</v>
      </c>
      <c r="D70" s="24">
        <v>0.27233333333333332</v>
      </c>
      <c r="E70" s="23" t="s">
        <v>202</v>
      </c>
    </row>
    <row r="71" spans="2:5" x14ac:dyDescent="0.45">
      <c r="B71" s="19">
        <v>2037</v>
      </c>
      <c r="C71" s="20" t="s">
        <v>37</v>
      </c>
      <c r="D71" s="21">
        <v>0.30116666666666664</v>
      </c>
      <c r="E71" s="20" t="s">
        <v>202</v>
      </c>
    </row>
    <row r="72" spans="2:5" x14ac:dyDescent="0.45">
      <c r="B72" s="22">
        <v>2037</v>
      </c>
      <c r="C72" s="23" t="s">
        <v>41</v>
      </c>
      <c r="D72" s="24">
        <v>0.34026666666666666</v>
      </c>
      <c r="E72" s="23" t="s">
        <v>202</v>
      </c>
    </row>
    <row r="73" spans="2:5" x14ac:dyDescent="0.45">
      <c r="B73" s="19">
        <v>2037</v>
      </c>
      <c r="C73" s="20" t="s">
        <v>43</v>
      </c>
      <c r="D73" s="21">
        <v>0.19603333333333331</v>
      </c>
      <c r="E73" s="20" t="s">
        <v>202</v>
      </c>
    </row>
    <row r="74" spans="2:5" x14ac:dyDescent="0.45">
      <c r="B74" s="22">
        <v>2037</v>
      </c>
      <c r="C74" s="23" t="s">
        <v>45</v>
      </c>
      <c r="D74" s="24">
        <v>0.22156666666666669</v>
      </c>
      <c r="E74" s="23" t="s">
        <v>202</v>
      </c>
    </row>
    <row r="75" spans="2:5" x14ac:dyDescent="0.45">
      <c r="B75" s="19">
        <v>2038</v>
      </c>
      <c r="C75" s="20" t="s">
        <v>37</v>
      </c>
      <c r="D75" s="21">
        <v>0.3450333333333333</v>
      </c>
      <c r="E75" s="20" t="s">
        <v>202</v>
      </c>
    </row>
    <row r="76" spans="2:5" x14ac:dyDescent="0.45">
      <c r="B76" s="22">
        <v>2038</v>
      </c>
      <c r="C76" s="23" t="s">
        <v>41</v>
      </c>
      <c r="D76" s="24">
        <v>0.35016666666666668</v>
      </c>
      <c r="E76" s="23" t="s">
        <v>202</v>
      </c>
    </row>
    <row r="77" spans="2:5" x14ac:dyDescent="0.45">
      <c r="B77" s="19">
        <v>2038</v>
      </c>
      <c r="C77" s="20" t="s">
        <v>43</v>
      </c>
      <c r="D77" s="21">
        <v>0.21280000000000002</v>
      </c>
      <c r="E77" s="20" t="s">
        <v>202</v>
      </c>
    </row>
    <row r="78" spans="2:5" x14ac:dyDescent="0.45">
      <c r="B78" s="22">
        <v>2038</v>
      </c>
      <c r="C78" s="23" t="s">
        <v>45</v>
      </c>
      <c r="D78" s="24">
        <v>0.23713333333333333</v>
      </c>
      <c r="E78" s="23" t="s">
        <v>202</v>
      </c>
    </row>
    <row r="79" spans="2:5" x14ac:dyDescent="0.45">
      <c r="B79" s="19">
        <v>2039</v>
      </c>
      <c r="C79" s="20" t="s">
        <v>37</v>
      </c>
      <c r="D79" s="21">
        <v>0.32426666666666665</v>
      </c>
      <c r="E79" s="20" t="s">
        <v>202</v>
      </c>
    </row>
    <row r="80" spans="2:5" x14ac:dyDescent="0.45">
      <c r="B80" s="22">
        <v>2039</v>
      </c>
      <c r="C80" s="23" t="s">
        <v>41</v>
      </c>
      <c r="D80" s="24">
        <v>0.38946666666666668</v>
      </c>
      <c r="E80" s="23" t="s">
        <v>202</v>
      </c>
    </row>
    <row r="81" spans="2:5" x14ac:dyDescent="0.45">
      <c r="B81" s="19">
        <v>2039</v>
      </c>
      <c r="C81" s="20" t="s">
        <v>43</v>
      </c>
      <c r="D81" s="21">
        <v>0.21703333333333333</v>
      </c>
      <c r="E81" s="20" t="s">
        <v>202</v>
      </c>
    </row>
    <row r="82" spans="2:5" x14ac:dyDescent="0.45">
      <c r="B82" s="22">
        <v>2039</v>
      </c>
      <c r="C82" s="23" t="s">
        <v>45</v>
      </c>
      <c r="D82" s="24">
        <v>0.19233333333333333</v>
      </c>
      <c r="E82" s="23" t="s">
        <v>202</v>
      </c>
    </row>
    <row r="83" spans="2:5" x14ac:dyDescent="0.45">
      <c r="B83" s="19">
        <v>2040</v>
      </c>
      <c r="C83" s="20" t="s">
        <v>37</v>
      </c>
      <c r="D83" s="21">
        <v>0.30743333333333328</v>
      </c>
      <c r="E83" s="20" t="s">
        <v>202</v>
      </c>
    </row>
    <row r="84" spans="2:5" x14ac:dyDescent="0.45">
      <c r="B84" s="22">
        <v>2040</v>
      </c>
      <c r="C84" s="23" t="s">
        <v>41</v>
      </c>
      <c r="D84" s="24">
        <v>0.3323666666666667</v>
      </c>
      <c r="E84" s="23" t="s">
        <v>202</v>
      </c>
    </row>
    <row r="85" spans="2:5" x14ac:dyDescent="0.45">
      <c r="B85" s="19">
        <v>2040</v>
      </c>
      <c r="C85" s="20" t="s">
        <v>43</v>
      </c>
      <c r="D85" s="21">
        <v>0.23306666666666667</v>
      </c>
      <c r="E85" s="20" t="s">
        <v>202</v>
      </c>
    </row>
    <row r="86" spans="2:5" x14ac:dyDescent="0.45">
      <c r="B86" s="22">
        <v>2040</v>
      </c>
      <c r="C86" s="23" t="s">
        <v>45</v>
      </c>
      <c r="D86" s="24">
        <v>0.23723333333333332</v>
      </c>
      <c r="E86" s="23" t="s">
        <v>202</v>
      </c>
    </row>
    <row r="87" spans="2:5" x14ac:dyDescent="0.45">
      <c r="B87" s="19">
        <v>2041</v>
      </c>
      <c r="C87" s="20" t="s">
        <v>37</v>
      </c>
      <c r="D87" s="21">
        <v>0.31993333333333335</v>
      </c>
      <c r="E87" s="20" t="s">
        <v>202</v>
      </c>
    </row>
    <row r="88" spans="2:5" x14ac:dyDescent="0.45">
      <c r="B88" s="22">
        <v>2041</v>
      </c>
      <c r="C88" s="23" t="s">
        <v>41</v>
      </c>
      <c r="D88" s="24">
        <v>0.3620666666666667</v>
      </c>
      <c r="E88" s="23" t="s">
        <v>202</v>
      </c>
    </row>
    <row r="89" spans="2:5" x14ac:dyDescent="0.45">
      <c r="B89" s="19">
        <v>2041</v>
      </c>
      <c r="C89" s="20" t="s">
        <v>43</v>
      </c>
      <c r="D89" s="21">
        <v>0.2069</v>
      </c>
      <c r="E89" s="20" t="s">
        <v>202</v>
      </c>
    </row>
    <row r="90" spans="2:5" x14ac:dyDescent="0.45">
      <c r="B90" s="22">
        <v>2041</v>
      </c>
      <c r="C90" s="23" t="s">
        <v>45</v>
      </c>
      <c r="D90" s="24">
        <v>0.23903333333333335</v>
      </c>
      <c r="E90" s="23" t="s">
        <v>202</v>
      </c>
    </row>
    <row r="91" spans="2:5" x14ac:dyDescent="0.45">
      <c r="B91" s="19">
        <v>2042</v>
      </c>
      <c r="C91" s="20" t="s">
        <v>37</v>
      </c>
      <c r="D91" s="21">
        <v>0.31433333333333335</v>
      </c>
      <c r="E91" s="20" t="s">
        <v>202</v>
      </c>
    </row>
    <row r="92" spans="2:5" x14ac:dyDescent="0.45">
      <c r="B92" s="22">
        <v>2042</v>
      </c>
      <c r="C92" s="23" t="s">
        <v>41</v>
      </c>
      <c r="D92" s="24">
        <v>0.31546666666666667</v>
      </c>
      <c r="E92" s="23" t="s">
        <v>202</v>
      </c>
    </row>
    <row r="93" spans="2:5" x14ac:dyDescent="0.45">
      <c r="B93" s="19">
        <v>2042</v>
      </c>
      <c r="C93" s="20" t="s">
        <v>43</v>
      </c>
      <c r="D93" s="21">
        <v>0.20426666666666668</v>
      </c>
      <c r="E93" s="20" t="s">
        <v>202</v>
      </c>
    </row>
    <row r="94" spans="2:5" x14ac:dyDescent="0.45">
      <c r="B94" s="22">
        <v>2042</v>
      </c>
      <c r="C94" s="23" t="s">
        <v>45</v>
      </c>
      <c r="D94" s="24">
        <v>0.21929999999999997</v>
      </c>
      <c r="E94" s="23" t="s">
        <v>202</v>
      </c>
    </row>
    <row r="95" spans="2:5" x14ac:dyDescent="0.45">
      <c r="B95" s="19">
        <v>2043</v>
      </c>
      <c r="C95" s="20" t="s">
        <v>37</v>
      </c>
      <c r="D95" s="21">
        <v>0.28986666666666666</v>
      </c>
      <c r="E95" s="20" t="s">
        <v>202</v>
      </c>
    </row>
    <row r="96" spans="2:5" x14ac:dyDescent="0.45">
      <c r="B96" s="22">
        <v>2043</v>
      </c>
      <c r="C96" s="23" t="s">
        <v>41</v>
      </c>
      <c r="D96" s="24">
        <v>0.35949999999999999</v>
      </c>
      <c r="E96" s="23" t="s">
        <v>202</v>
      </c>
    </row>
    <row r="97" spans="2:5" x14ac:dyDescent="0.45">
      <c r="B97" s="19">
        <v>2043</v>
      </c>
      <c r="C97" s="20" t="s">
        <v>43</v>
      </c>
      <c r="D97" s="21">
        <v>0.20263333333333333</v>
      </c>
      <c r="E97" s="20" t="s">
        <v>202</v>
      </c>
    </row>
    <row r="98" spans="2:5" x14ac:dyDescent="0.45">
      <c r="B98" s="22">
        <v>2043</v>
      </c>
      <c r="C98" s="23" t="s">
        <v>45</v>
      </c>
      <c r="D98" s="24">
        <v>0.2215</v>
      </c>
      <c r="E98" s="23" t="s">
        <v>202</v>
      </c>
    </row>
    <row r="99" spans="2:5" x14ac:dyDescent="0.45">
      <c r="B99" s="19">
        <v>2044</v>
      </c>
      <c r="C99" s="20" t="s">
        <v>37</v>
      </c>
      <c r="D99" s="21">
        <v>0.29596666666666666</v>
      </c>
      <c r="E99" s="20" t="s">
        <v>202</v>
      </c>
    </row>
    <row r="100" spans="2:5" x14ac:dyDescent="0.45">
      <c r="B100" s="22">
        <v>2044</v>
      </c>
      <c r="C100" s="23" t="s">
        <v>41</v>
      </c>
      <c r="D100" s="24">
        <v>0.31086666666666668</v>
      </c>
      <c r="E100" s="23" t="s">
        <v>202</v>
      </c>
    </row>
    <row r="101" spans="2:5" x14ac:dyDescent="0.45">
      <c r="B101" s="19">
        <v>2044</v>
      </c>
      <c r="C101" s="20" t="s">
        <v>43</v>
      </c>
      <c r="D101" s="21">
        <v>0.13103333333333333</v>
      </c>
      <c r="E101" s="20" t="s">
        <v>202</v>
      </c>
    </row>
    <row r="102" spans="2:5" x14ac:dyDescent="0.45">
      <c r="B102" s="22">
        <v>2044</v>
      </c>
      <c r="C102" s="23" t="s">
        <v>45</v>
      </c>
      <c r="D102" s="24">
        <v>0.23450000000000001</v>
      </c>
      <c r="E102" s="23" t="s">
        <v>202</v>
      </c>
    </row>
    <row r="103" spans="2:5" x14ac:dyDescent="0.45">
      <c r="B103" s="19">
        <v>2045</v>
      </c>
      <c r="C103" s="20" t="s">
        <v>37</v>
      </c>
      <c r="D103" s="21">
        <v>0.28610000000000002</v>
      </c>
      <c r="E103" s="20" t="s">
        <v>202</v>
      </c>
    </row>
    <row r="104" spans="2:5" x14ac:dyDescent="0.45">
      <c r="B104" s="22">
        <v>2045</v>
      </c>
      <c r="C104" s="23" t="s">
        <v>41</v>
      </c>
      <c r="D104" s="24">
        <v>0.32653333333333329</v>
      </c>
      <c r="E104" s="23" t="s">
        <v>202</v>
      </c>
    </row>
    <row r="105" spans="2:5" x14ac:dyDescent="0.45">
      <c r="B105" s="19">
        <v>2045</v>
      </c>
      <c r="C105" s="20" t="s">
        <v>43</v>
      </c>
      <c r="D105" s="21">
        <v>0.19526666666666667</v>
      </c>
      <c r="E105" s="20" t="s">
        <v>202</v>
      </c>
    </row>
    <row r="106" spans="2:5" x14ac:dyDescent="0.45">
      <c r="B106" s="22">
        <v>2045</v>
      </c>
      <c r="C106" s="23" t="s">
        <v>45</v>
      </c>
      <c r="D106" s="24">
        <v>0.17756666666666668</v>
      </c>
      <c r="E106" s="23" t="s">
        <v>202</v>
      </c>
    </row>
    <row r="107" spans="2:5" x14ac:dyDescent="0.45">
      <c r="B107" s="19">
        <v>2046</v>
      </c>
      <c r="C107" s="20" t="s">
        <v>37</v>
      </c>
      <c r="D107" s="21">
        <v>0.32646666666666663</v>
      </c>
      <c r="E107" s="20" t="s">
        <v>202</v>
      </c>
    </row>
    <row r="108" spans="2:5" x14ac:dyDescent="0.45">
      <c r="B108" s="22">
        <v>2046</v>
      </c>
      <c r="C108" s="23" t="s">
        <v>41</v>
      </c>
      <c r="D108" s="24">
        <v>0.32569999999999999</v>
      </c>
      <c r="E108" s="23" t="s">
        <v>202</v>
      </c>
    </row>
    <row r="109" spans="2:5" x14ac:dyDescent="0.45">
      <c r="B109" s="19">
        <v>2046</v>
      </c>
      <c r="C109" s="20" t="s">
        <v>43</v>
      </c>
      <c r="D109" s="21">
        <v>0.18556666666666666</v>
      </c>
      <c r="E109" s="20" t="s">
        <v>202</v>
      </c>
    </row>
    <row r="110" spans="2:5" x14ac:dyDescent="0.45">
      <c r="B110" s="22">
        <v>2046</v>
      </c>
      <c r="C110" s="23" t="s">
        <v>45</v>
      </c>
      <c r="D110" s="24">
        <v>0.25856666666666667</v>
      </c>
      <c r="E110" s="23" t="s">
        <v>202</v>
      </c>
    </row>
    <row r="111" spans="2:5" x14ac:dyDescent="0.45">
      <c r="B111" s="19">
        <v>2047</v>
      </c>
      <c r="C111" s="20" t="s">
        <v>37</v>
      </c>
      <c r="D111" s="21">
        <v>0.31430000000000002</v>
      </c>
      <c r="E111" s="20" t="s">
        <v>202</v>
      </c>
    </row>
    <row r="112" spans="2:5" x14ac:dyDescent="0.45">
      <c r="B112" s="22">
        <v>2047</v>
      </c>
      <c r="C112" s="23" t="s">
        <v>41</v>
      </c>
      <c r="D112" s="24">
        <v>0.31966666666666671</v>
      </c>
      <c r="E112" s="23" t="s">
        <v>202</v>
      </c>
    </row>
    <row r="113" spans="2:5" x14ac:dyDescent="0.45">
      <c r="B113" s="19">
        <v>2047</v>
      </c>
      <c r="C113" s="20" t="s">
        <v>43</v>
      </c>
      <c r="D113" s="21">
        <v>0.1623</v>
      </c>
      <c r="E113" s="20" t="s">
        <v>202</v>
      </c>
    </row>
    <row r="114" spans="2:5" x14ac:dyDescent="0.45">
      <c r="B114" s="22">
        <v>2047</v>
      </c>
      <c r="C114" s="23" t="s">
        <v>45</v>
      </c>
      <c r="D114" s="24">
        <v>0.2177</v>
      </c>
      <c r="E114" s="23" t="s">
        <v>202</v>
      </c>
    </row>
    <row r="115" spans="2:5" x14ac:dyDescent="0.45">
      <c r="B115" s="19">
        <v>2048</v>
      </c>
      <c r="C115" s="20" t="s">
        <v>37</v>
      </c>
      <c r="D115" s="21">
        <v>0.28489999999999999</v>
      </c>
      <c r="E115" s="20" t="s">
        <v>202</v>
      </c>
    </row>
    <row r="116" spans="2:5" x14ac:dyDescent="0.45">
      <c r="B116" s="22">
        <v>2048</v>
      </c>
      <c r="C116" s="23" t="s">
        <v>41</v>
      </c>
      <c r="D116" s="24">
        <v>0.32293333333333335</v>
      </c>
      <c r="E116" s="23" t="s">
        <v>202</v>
      </c>
    </row>
    <row r="117" spans="2:5" x14ac:dyDescent="0.45">
      <c r="B117" s="19">
        <v>2048</v>
      </c>
      <c r="C117" s="20" t="s">
        <v>43</v>
      </c>
      <c r="D117" s="21">
        <v>0.20363333333333333</v>
      </c>
      <c r="E117" s="20" t="s">
        <v>202</v>
      </c>
    </row>
    <row r="118" spans="2:5" x14ac:dyDescent="0.45">
      <c r="B118" s="22">
        <v>2048</v>
      </c>
      <c r="C118" s="23" t="s">
        <v>45</v>
      </c>
      <c r="D118" s="24">
        <v>0.2359</v>
      </c>
      <c r="E118" s="23" t="s">
        <v>202</v>
      </c>
    </row>
    <row r="119" spans="2:5" x14ac:dyDescent="0.45">
      <c r="B119" s="19">
        <v>2049</v>
      </c>
      <c r="C119" s="20" t="s">
        <v>37</v>
      </c>
      <c r="D119" s="21">
        <v>0.31936666666666669</v>
      </c>
      <c r="E119" s="20" t="s">
        <v>202</v>
      </c>
    </row>
    <row r="120" spans="2:5" x14ac:dyDescent="0.45">
      <c r="B120" s="22">
        <v>2049</v>
      </c>
      <c r="C120" s="23" t="s">
        <v>41</v>
      </c>
      <c r="D120" s="24">
        <v>0.35413333333333336</v>
      </c>
      <c r="E120" s="23" t="s">
        <v>202</v>
      </c>
    </row>
    <row r="121" spans="2:5" x14ac:dyDescent="0.45">
      <c r="B121" s="19">
        <v>2049</v>
      </c>
      <c r="C121" s="20" t="s">
        <v>43</v>
      </c>
      <c r="D121" s="21">
        <v>0.18579999999999999</v>
      </c>
      <c r="E121" s="20" t="s">
        <v>202</v>
      </c>
    </row>
    <row r="122" spans="2:5" x14ac:dyDescent="0.45">
      <c r="B122" s="22">
        <v>2049</v>
      </c>
      <c r="C122" s="23" t="s">
        <v>45</v>
      </c>
      <c r="D122" s="24">
        <v>0.23019999999999999</v>
      </c>
      <c r="E122" s="23" t="s">
        <v>202</v>
      </c>
    </row>
    <row r="123" spans="2:5" x14ac:dyDescent="0.45">
      <c r="B123" s="19">
        <v>2050</v>
      </c>
      <c r="C123" s="20" t="s">
        <v>37</v>
      </c>
      <c r="D123" s="21">
        <v>0.30760000000000004</v>
      </c>
      <c r="E123" s="20" t="s">
        <v>202</v>
      </c>
    </row>
    <row r="124" spans="2:5" x14ac:dyDescent="0.45">
      <c r="B124" s="22">
        <v>2050</v>
      </c>
      <c r="C124" s="23" t="s">
        <v>41</v>
      </c>
      <c r="D124" s="24">
        <v>0.3557333333333334</v>
      </c>
      <c r="E124" s="23" t="s">
        <v>202</v>
      </c>
    </row>
    <row r="125" spans="2:5" x14ac:dyDescent="0.45">
      <c r="B125" s="19">
        <v>2050</v>
      </c>
      <c r="C125" s="20" t="s">
        <v>43</v>
      </c>
      <c r="D125" s="21">
        <v>0.17353333333333332</v>
      </c>
      <c r="E125" s="20" t="s">
        <v>202</v>
      </c>
    </row>
    <row r="126" spans="2:5" x14ac:dyDescent="0.45">
      <c r="B126" s="22">
        <v>2050</v>
      </c>
      <c r="C126" s="23" t="s">
        <v>45</v>
      </c>
      <c r="D126" s="24">
        <v>0.21529999999999996</v>
      </c>
      <c r="E126" s="23" t="s">
        <v>202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2026-06-09T09:23:01Z</dcterms:modified>
</cp:coreProperties>
</file>