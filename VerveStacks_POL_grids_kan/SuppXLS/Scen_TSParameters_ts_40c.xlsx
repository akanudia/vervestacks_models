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9B0F1C94-85BF-4F40-A7C8-7F66871DAEC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<sst xmlns="http://schemas.openxmlformats.org/spreadsheetml/2006/main" count="7147" uniqueCount="223">
  <si>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</si>
  <si>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</si>
  <si>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</si>
  <si>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</si>
  <si>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</si>
  <si>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</si>
  <si>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</si>
  <si>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</si>
  <si>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</si>
  <si>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</si>
  <si>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</si>
  <si>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</si>
  <si>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</si>
  <si>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</si>
  <si>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</si>
  <si>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</si>
  <si>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</si>
  <si>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</si>
  <si>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</si>
  <si>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</si>
  <si>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</si>
  <si>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</si>
  <si>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</si>
  <si>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</si>
  <si>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</si>
  <si>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</si>
  <si>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</si>
  <si>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</si>
  <si>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</si>
  <si>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</si>
  <si>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</si>
  <si>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</si>
  <si>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</si>
  <si>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</si>
  <si>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</si>
  <si>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</si>
  <si>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</si>
  <si>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</si>
  <si>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</si>
  <si>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</si>
  <si>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</si>
  <si>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</si>
  <si>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</si>
  <si>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</si>
  <si>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</si>
  <si>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</si>
  <si>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</si>
  <si>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</si>
  <si>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</si>
  <si>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</si>
  <si>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</si>
  <si>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</si>
  <si>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</si>
  <si>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VERVESTACKS - the open USE platform · Powered by data · Shaped by vision · Guided by intuition · Fueled by passion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</si>
  <si>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</si>
  <si>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</si>
  <si>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</si>
  <si>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</si>
  <si>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</si>
  <si>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</si>
  <si>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</si>
  <si>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</si>
  <si>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</si>
  <si>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</si>
  <si>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</si>
  <si>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</si>
  <si>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</si>
  <si>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</si>
  <si>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</si>
  <si>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</si>
  <si>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</si>
  <si>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</si>
  <si>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</si>
  <si>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</si>
  <si>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</si>
  <si>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</si>
  <si>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</si>
  <si>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</si>
  <si>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</si>
  <si>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</si>
  <si>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</si>
  <si>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</si>
  <si>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</si>
  <si>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</si>
  <si>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</si>
  <si>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</si>
  <si>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</si>
  <si>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</si>
  <si>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</si>
  <si>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</si>
  <si>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</si>
  <si>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</si>
  <si>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</si>
  <si>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</si>
  <si>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</si>
  <si>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</si>
  <si>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</si>
  <si>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</si>
  <si>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</si>
  <si>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</si>
  <si>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</si>
  <si>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</si>
  <si>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</si>
  <si>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</si>
  <si>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</si>
  <si>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</si>
  <si>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</si>
  <si>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</si>
  <si>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</si>
  <si>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</si>
  <si>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</si>
  <si>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</si>
  <si>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</si>
  <si>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</si>
  <si>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</si>
  <si>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</si>
  <si>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</si>
  <si>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</si>
  <si>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</si>
  <si>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</si>
  <si>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</si>
  <si>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</si>
  <si>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</si>
  <si>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</si>
  <si>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</si>
  <si>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</si>
  <si>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</si>
  <si>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</si>
  <si>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</si>
  <si>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</si>
  <si>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</si>
  <si>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</si>
  <si>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</si>
  <si>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</si>
  <si>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</si>
  <si>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</si>
  <si>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</si>
  <si>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</si>
  <si>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</si>
  <si>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</si>
  <si>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</si>
  <si>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</si>
  <si>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</si>
  <si>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</si>
  <si>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</si>
  <si>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</si>
  <si>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</si>
  <si>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</si>
  <si>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</si>
  <si>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</si>
  <si>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</si>
  <si>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</si>
  <si>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</si>
  <si>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</si>
  <si>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</si>
  <si>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</si>
  <si>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</si>
  <si>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</si>
  <si>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</si>
  <si>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</si>
  <si>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</si>
  <si>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</si>
  <si>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</si>
  <si>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</si>
  <si>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</si>
  <si>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</si>
  <si>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</si>
  <si>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</si>
  <si>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</si>
  <si>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</si>
  <si>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</si>
  <si>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</si>
  <si>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</si>
  <si>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</si>
  <si>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</si>
  <si>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</si>
  <si>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</si>
  <si>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</si>
  <si>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</si>
  <si>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</si>
  <si>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</si>
  <si>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</si>
  <si>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</si>
  <si>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</si>
  <si>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</si>
  <si>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</si>
  <si>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</si>
  <si>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</si>
  <si>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</si>
  <si>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</si>
  <si>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</si>
  <si>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</si>
  <si>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</si>
  <si>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</si>
  <si>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</si>
  <si>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</si>
  <si>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</si>
  <si>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</si>
  <si>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</si>
  <si>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</si>
  <si>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</si>
  <si>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</si>
  <si>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</si>
  <si>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</si>
  <si>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</si>
  <si>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</si>
  <si>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</si>
  <si>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</si>
  <si>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</si>
  <si>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</si>
  <si>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</si>
  <si>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</si>
  <si>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</si>
  <si>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S03aH02,S03aH03,S02aH04,S02aH05,S02aH06,S03aH05,S03aH08,S04aH07,S02aH02,S04aH06,S01aH05,S01aH08,S02aH08,S03aH06,S03aH07,S04aH03,S04aH05,S04aH08,S04aH02,S01aH04,S01aH07,S02aH07,S01aH06,S02aH03,S01aH03,S03aH04,S01aH02,S04aH04</t>
  </si>
  <si>
    <t>N</t>
  </si>
  <si>
    <t>S04aH02,S02aH02,S04aH10,S03aH08,S03aH10,S03aH09,S03aH01,S01aH02,S02aH01,S02aH10,S01aH10,S03aH02,S01aH09,S01aH01,S04aH01,S04aH08,S02aH09,S04aH09,S01aH08,S02aH08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</si>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</sst>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00"/>
    <numFmt numFmtId="167" formatCode="0."/>
  </numFmts>
  <fonts count="9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5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  <xf numFmtId="0" fontId="7" fillId="0" borderId="0" xfId="0" applyFont="1"/>
    <xf numFmtId="0" fontId="8" fillId="5" borderId="5" xfId="0" applyFont="1" applyFill="1" applyBorder="1"/>
    <xf numFmtId="0" fontId="5" fillId="6" borderId="4" xfId="0" applyFont="1" applyFill="1" applyBorder="1"/>
    <xf numFmtId="0" fontId="5" fillId="0" borderId="4" xfId="0" applyFont="1" applyBorder="1"/>
    <xf numFmtId="164" fontId="5" fillId="6" borderId="4" xfId="0" applyNumberFormat="1" applyFont="1" applyFill="1" applyBorder="1"/>
    <xf numFmtId="164" fontId="5" fillId="0" borderId="4" xfId="0" applyNumberFormat="1" applyFont="1" applyBorder="1"/>
    <xf numFmtId="165" fontId="5" fillId="6" borderId="4" xfId="0" applyNumberFormat="1" applyFont="1" applyFill="1" applyBorder="1"/>
    <xf numFmtId="165" fontId="5" fillId="0" borderId="4" xfId="0" applyNumberFormat="1" applyFont="1" applyBorder="1"/>
    <xf numFmtId="166" fontId="5" fillId="6" borderId="4" xfId="0" applyNumberFormat="1" applyFont="1" applyFill="1" applyBorder="1"/>
    <xf numFmtId="166" fontId="5" fillId="0" borderId="4" xfId="0" applyNumberFormat="1" applyFont="1" applyBorder="1"/>
    <xf numFmtId="0" fontId="5" fillId="3" borderId="4" xfId="0" applyFont="1" applyFill="1" applyBorder="1"/>
    <xf numFmtId="0" fontId="6" fillId="4" borderId="4" xfId="0" applyFont="1" applyFill="1" applyBorder="1" applyAlignment="1">
      <alignment horizontal="left" vertical="center"/>
    </xf>
    <xf numFmtId="0" fontId="8" fillId="5" borderId="5" xfId="0" applyFont="1" applyFill="1" applyBorder="1" applyAlignment="1"/>
    <xf numFmtId="167" fontId="5" fillId="6" borderId="4" xfId="0" applyNumberFormat="1" applyFont="1" applyFill="1" applyBorder="1" applyAlignment="1"/>
    <xf numFmtId="0" fontId="5" fillId="6" borderId="4" xfId="0" applyFont="1" applyFill="1" applyBorder="1" applyAlignment="1"/>
    <xf numFmtId="165" fontId="5" fillId="6" borderId="4" xfId="0" applyNumberFormat="1" applyFont="1" applyFill="1" applyBorder="1" applyAlignment="1"/>
    <xf numFmtId="167" fontId="5" fillId="0" borderId="4" xfId="0" applyNumberFormat="1" applyFont="1" applyBorder="1" applyAlignment="1"/>
    <xf numFmtId="0" fontId="5" fillId="0" borderId="4" xfId="0" applyFont="1" applyBorder="1" applyAlignment="1"/>
    <xf numFmtId="165" fontId="5" fillId="0" borderId="4" xfId="0" applyNumberFormat="1" applyFont="1" applyBorder="1" applyAlignment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840DB2-97AD-CA68-5C15-F34D447D05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66406C-E4FF-3EDC-745C-F8491323C3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773FDDE-3EE3-0485-787A-6A9940BA1CF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296862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5CEE0B-82BF-6375-4067-338028283E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9C9C0E-F654-707C-93B2-786E0472E0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C4633E-612D-9834-D22B-FA0E8746CA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277CD20-0EE1-C242-9BF8-97585AF816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A081F-62E6-9A91-C145-6BF387BAEE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:N32"/>
  <sheetViews>
    <sheetView workbookViewId="0">
      <selection activeCell="C29" sqref="C29"/>
    </sheetView>
  </sheetViews>
  <sheetFormatPr defaultRowHeight="14.25" x14ac:dyDescent="0.45"/>
  <cols>
    <col min="3" max="3" width="10.59765625" customWidth="1"/>
    <col min="4" max="4" width="3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/>
    <row r="10" spans="1:8" ht="15.75" thickBot="1" x14ac:dyDescent="0.6">
      <c r="A10" t="str">
        <f>IFERROR([1]Veda!D5,"ts_40c")</f>
        <v>ts_40c</v>
      </c>
      <c r="B10" s="5"/>
      <c r="C10" s="7" t="s">
        <v>211</v>
      </c>
      <c r="D10" s="7" t="s">
        <v>54</v>
      </c>
    </row>
    <row r="11" spans="1:8" x14ac:dyDescent="0.45">
      <c r="B11" s="5"/>
      <c r="C11" s="8" t="s">
        <v>212</v>
      </c>
      <c r="D11" s="8" t="s">
        <v>213</v>
      </c>
    </row>
    <row r="12" spans="1:8" x14ac:dyDescent="0.45">
      <c r="B12" s="5"/>
      <c r="C12" s="16" t="s">
        <v>214</v>
      </c>
      <c r="D12" s="9" t="s">
        <v>215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S04aH02,S02aH02,S04aH10,S03aH08,S03aH10,S03aH09,S03aH01,S01aH02,S02aH01,S02aH10,S01aH10,S03aH02,S01aH09,S01aH01,S04aH01,S04aH08,S02aH09,S04aH09,S01aH08,S02aH08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S03aH02,S03aH03,S02aH04,S02aH05,S02aH06,S03aH05,S03aH08,S04aH07,S02aH02,S04aH06,S01aH05,S01aH08,S02aH08,S03aH06,S03aH07,S04aH03,S04aH05,S04aH08,S04aH02,S01aH04,S01aH07,S02aH07,S01aH06,S02aH03,S01aH03,S03aH04,S01aH02,S04aH04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3CE9D-CF53-4797-A2D6-C38EDC9D721D}">
  <dimension ref="A1:H20"/>
  <sheetViews>
    <sheetView workbookViewId="0">
      <selection sqref="A1:H1"/>
    </sheetView>
  </sheetViews>
  <sheetFormatPr defaultRowHeight="14.25" x14ac:dyDescent="0.45"/>
  <cols>
    <col min="3" max="5" width="10.59765625" customWidth="1"/>
    <col min="6" max="6" width="12.1328125" bestFit="1" customWidth="1"/>
    <col min="7" max="7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C9" s="6" t="str">
        <f>IF(A11="x","DeActivated","~TimeSlices")</f>
        <v>~TimeSlices</v>
      </c>
    </row>
    <row r="10" spans="1:8" ht="15.75" thickBot="1" x14ac:dyDescent="0.6">
      <c r="A10" t="s">
        <v>54</v>
      </c>
      <c r="C10" s="7" t="s">
        <v>32</v>
      </c>
      <c r="D10" s="7" t="s">
        <v>33</v>
      </c>
      <c r="E10" s="7" t="s">
        <v>34</v>
      </c>
      <c r="F10" s="7" t="s">
        <v>35</v>
      </c>
      <c r="G10" s="7" t="s">
        <v>36</v>
      </c>
    </row>
    <row r="11" spans="1:8" x14ac:dyDescent="0.45">
      <c r="A11" t="str">
        <f>IFERROR(IF([1]Veda!D5=A10,"ok","x"),"")</f>
        <v/>
      </c>
      <c r="C11" s="8" t="s">
        <v>37</v>
      </c>
      <c r="D11" s="8" t="s">
        <v>38</v>
      </c>
      <c r="E11" s="8" t="s">
        <v>39</v>
      </c>
      <c r="F11" s="8" t="s">
        <v>40</v>
      </c>
      <c r="G11" s="8" t="s">
        <v>38</v>
      </c>
    </row>
    <row r="12" spans="1:8" x14ac:dyDescent="0.45">
      <c r="C12" s="9" t="s">
        <v>41</v>
      </c>
      <c r="D12" s="9"/>
      <c r="E12" s="9" t="s">
        <v>42</v>
      </c>
      <c r="F12" s="9"/>
      <c r="G12" s="9" t="s">
        <v>38</v>
      </c>
    </row>
    <row r="13" spans="1:8" x14ac:dyDescent="0.45">
      <c r="C13" s="8" t="s">
        <v>43</v>
      </c>
      <c r="D13" s="8"/>
      <c r="E13" s="8" t="s">
        <v>44</v>
      </c>
      <c r="F13" s="8"/>
      <c r="G13" s="8" t="s">
        <v>38</v>
      </c>
    </row>
    <row r="14" spans="1:8" x14ac:dyDescent="0.45">
      <c r="C14" s="9" t="s">
        <v>45</v>
      </c>
      <c r="D14" s="9"/>
      <c r="E14" s="9" t="s">
        <v>46</v>
      </c>
      <c r="F14" s="9"/>
      <c r="G14" s="9" t="s">
        <v>38</v>
      </c>
    </row>
    <row r="15" spans="1:8" x14ac:dyDescent="0.45">
      <c r="C15" s="8"/>
      <c r="D15" s="8"/>
      <c r="E15" s="8" t="s">
        <v>47</v>
      </c>
      <c r="F15" s="8"/>
      <c r="G15" s="8" t="s">
        <v>38</v>
      </c>
    </row>
    <row r="16" spans="1:8" x14ac:dyDescent="0.45">
      <c r="C16" s="9"/>
      <c r="D16" s="9"/>
      <c r="E16" s="9" t="s">
        <v>48</v>
      </c>
      <c r="F16" s="9"/>
      <c r="G16" s="9" t="s">
        <v>38</v>
      </c>
    </row>
    <row r="17" spans="3:7" x14ac:dyDescent="0.45">
      <c r="C17" s="8"/>
      <c r="D17" s="8"/>
      <c r="E17" s="8" t="s">
        <v>49</v>
      </c>
      <c r="F17" s="8"/>
      <c r="G17" s="8" t="s">
        <v>38</v>
      </c>
    </row>
    <row r="18" spans="3:7" x14ac:dyDescent="0.45">
      <c r="C18" s="9"/>
      <c r="D18" s="9"/>
      <c r="E18" s="9" t="s">
        <v>50</v>
      </c>
      <c r="F18" s="9"/>
      <c r="G18" s="9" t="s">
        <v>38</v>
      </c>
    </row>
    <row r="19" spans="3:7" x14ac:dyDescent="0.45">
      <c r="C19" s="8"/>
      <c r="D19" s="8"/>
      <c r="E19" s="8" t="s">
        <v>51</v>
      </c>
      <c r="F19" s="8"/>
      <c r="G19" s="8" t="s">
        <v>38</v>
      </c>
    </row>
    <row r="20" spans="3:7" x14ac:dyDescent="0.45">
      <c r="C20" s="9"/>
      <c r="D20" s="9"/>
      <c r="E20" s="9" t="s">
        <v>52</v>
      </c>
      <c r="F20" s="9"/>
      <c r="G20" s="9" t="s">
        <v>38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1976A-BB3E-4D54-B5FB-B68FDF252AF9}">
  <dimension ref="A1:O810"/>
  <sheetViews>
    <sheetView workbookViewId="0">
      <selection sqref="A1:H1"/>
    </sheetView>
  </sheetViews>
  <sheetFormatPr defaultRowHeight="14.25" x14ac:dyDescent="0.45"/>
  <cols>
    <col min="2" max="2" width="12.53125" bestFit="1" customWidth="1"/>
    <col min="3" max="5" width="10.59765625" customWidth="1"/>
    <col min="7" max="7" width="13.19921875" bestFit="1" customWidth="1"/>
    <col min="8" max="10" width="10.59765625" customWidth="1"/>
    <col min="12" max="12" width="12.796875" bestFit="1" customWidth="1"/>
    <col min="13" max="15" width="10.59765625" customWidth="1"/>
  </cols>
  <sheetData>
    <row r="1" spans="1:15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15" ht="14.65" thickBot="1" x14ac:dyDescent="0.5">
      <c r="B9" s="6" t="str">
        <f>IF(A11="x","DeActivated","~TFM_DINS-AT")</f>
        <v>~TFM_DINS-AT</v>
      </c>
      <c r="G9" s="6" t="str">
        <f>IF(A11="x","DeActivated","~TFM_DINS-AT")</f>
        <v>~TFM_DINS-AT</v>
      </c>
      <c r="L9" s="6" t="str">
        <f>IF(A11="x","DeActivated","~TFM_DINS-AT")</f>
        <v>~TFM_DINS-AT</v>
      </c>
    </row>
    <row r="10" spans="1:15" ht="15.75" thickBot="1" x14ac:dyDescent="0.6">
      <c r="B10" s="7" t="s">
        <v>55</v>
      </c>
      <c r="C10" s="7" t="s">
        <v>56</v>
      </c>
      <c r="D10" s="7" t="s">
        <v>57</v>
      </c>
      <c r="E10" s="7" t="s">
        <v>58</v>
      </c>
      <c r="G10" s="7" t="s">
        <v>55</v>
      </c>
      <c r="H10" s="7" t="s">
        <v>56</v>
      </c>
      <c r="I10" s="7" t="s">
        <v>57</v>
      </c>
      <c r="J10" s="7" t="s">
        <v>58</v>
      </c>
      <c r="L10" s="7" t="s">
        <v>55</v>
      </c>
      <c r="M10" s="7" t="s">
        <v>56</v>
      </c>
      <c r="N10" s="7" t="s">
        <v>57</v>
      </c>
      <c r="O10" s="7" t="s">
        <v>58</v>
      </c>
    </row>
    <row r="11" spans="1:15" x14ac:dyDescent="0.45">
      <c r="B11" s="8" t="s">
        <v>59</v>
      </c>
      <c r="C11" s="8" t="s">
        <v>60</v>
      </c>
      <c r="D11" s="10">
        <v>0</v>
      </c>
      <c r="E11" s="8" t="s">
        <v>61</v>
      </c>
      <c r="G11" s="8" t="s">
        <v>120</v>
      </c>
      <c r="H11" s="8" t="s">
        <v>60</v>
      </c>
      <c r="I11" s="12">
        <v>7.3340416603930342E-2</v>
      </c>
      <c r="J11" s="8" t="s">
        <v>61</v>
      </c>
      <c r="L11" s="8" t="s">
        <v>140</v>
      </c>
      <c r="M11" s="8" t="s">
        <v>60</v>
      </c>
      <c r="N11" s="12">
        <v>7.2420519166675579E-2</v>
      </c>
      <c r="O11" s="8" t="s">
        <v>61</v>
      </c>
    </row>
    <row r="12" spans="1:15" x14ac:dyDescent="0.45">
      <c r="B12" s="9" t="s">
        <v>59</v>
      </c>
      <c r="C12" s="9" t="s">
        <v>62</v>
      </c>
      <c r="D12" s="11">
        <v>0</v>
      </c>
      <c r="E12" s="9" t="s">
        <v>61</v>
      </c>
      <c r="G12" s="9" t="s">
        <v>120</v>
      </c>
      <c r="H12" s="9" t="s">
        <v>62</v>
      </c>
      <c r="I12" s="13">
        <v>2.9590015476097055E-2</v>
      </c>
      <c r="J12" s="9" t="s">
        <v>61</v>
      </c>
      <c r="L12" s="9" t="s">
        <v>140</v>
      </c>
      <c r="M12" s="9" t="s">
        <v>62</v>
      </c>
      <c r="N12" s="13">
        <v>2.8580365728521941E-2</v>
      </c>
      <c r="O12" s="9" t="s">
        <v>61</v>
      </c>
    </row>
    <row r="13" spans="1:15" x14ac:dyDescent="0.45">
      <c r="B13" s="8" t="s">
        <v>59</v>
      </c>
      <c r="C13" s="8" t="s">
        <v>63</v>
      </c>
      <c r="D13" s="10">
        <v>2.886377869921911E-4</v>
      </c>
      <c r="E13" s="8" t="s">
        <v>61</v>
      </c>
      <c r="G13" s="8" t="s">
        <v>120</v>
      </c>
      <c r="H13" s="8" t="s">
        <v>63</v>
      </c>
      <c r="I13" s="12">
        <v>2.9912304147469607E-2</v>
      </c>
      <c r="J13" s="8" t="s">
        <v>61</v>
      </c>
      <c r="L13" s="8" t="s">
        <v>140</v>
      </c>
      <c r="M13" s="8" t="s">
        <v>63</v>
      </c>
      <c r="N13" s="12">
        <v>2.8887189596154932E-2</v>
      </c>
      <c r="O13" s="8" t="s">
        <v>61</v>
      </c>
    </row>
    <row r="14" spans="1:15" x14ac:dyDescent="0.45">
      <c r="B14" s="9" t="s">
        <v>59</v>
      </c>
      <c r="C14" s="9" t="s">
        <v>64</v>
      </c>
      <c r="D14" s="11">
        <v>1.3964006149552179E-2</v>
      </c>
      <c r="E14" s="9" t="s">
        <v>61</v>
      </c>
      <c r="G14" s="9" t="s">
        <v>120</v>
      </c>
      <c r="H14" s="9" t="s">
        <v>64</v>
      </c>
      <c r="I14" s="13">
        <v>2.9207733821881913E-2</v>
      </c>
      <c r="J14" s="9" t="s">
        <v>61</v>
      </c>
      <c r="L14" s="9" t="s">
        <v>140</v>
      </c>
      <c r="M14" s="9" t="s">
        <v>64</v>
      </c>
      <c r="N14" s="13">
        <v>2.8845854852309512E-2</v>
      </c>
      <c r="O14" s="9" t="s">
        <v>61</v>
      </c>
    </row>
    <row r="15" spans="1:15" x14ac:dyDescent="0.45">
      <c r="B15" s="8" t="s">
        <v>59</v>
      </c>
      <c r="C15" s="8" t="s">
        <v>65</v>
      </c>
      <c r="D15" s="10">
        <v>2.5859519829823274E-2</v>
      </c>
      <c r="E15" s="8" t="s">
        <v>61</v>
      </c>
      <c r="G15" s="8" t="s">
        <v>120</v>
      </c>
      <c r="H15" s="8" t="s">
        <v>65</v>
      </c>
      <c r="I15" s="12">
        <v>2.6054901884967369E-2</v>
      </c>
      <c r="J15" s="8" t="s">
        <v>61</v>
      </c>
      <c r="L15" s="8" t="s">
        <v>140</v>
      </c>
      <c r="M15" s="8" t="s">
        <v>65</v>
      </c>
      <c r="N15" s="12">
        <v>2.659033088369463E-2</v>
      </c>
      <c r="O15" s="8" t="s">
        <v>61</v>
      </c>
    </row>
    <row r="16" spans="1:15" x14ac:dyDescent="0.45">
      <c r="B16" s="9" t="s">
        <v>59</v>
      </c>
      <c r="C16" s="9" t="s">
        <v>66</v>
      </c>
      <c r="D16" s="11">
        <v>2.5100411382786063E-2</v>
      </c>
      <c r="E16" s="9" t="s">
        <v>61</v>
      </c>
      <c r="G16" s="9" t="s">
        <v>120</v>
      </c>
      <c r="H16" s="9" t="s">
        <v>66</v>
      </c>
      <c r="I16" s="13">
        <v>2.5609988927612494E-2</v>
      </c>
      <c r="J16" s="9" t="s">
        <v>61</v>
      </c>
      <c r="L16" s="9" t="s">
        <v>140</v>
      </c>
      <c r="M16" s="9" t="s">
        <v>66</v>
      </c>
      <c r="N16" s="13">
        <v>2.6659948216528978E-2</v>
      </c>
      <c r="O16" s="9" t="s">
        <v>61</v>
      </c>
    </row>
    <row r="17" spans="2:15" x14ac:dyDescent="0.45">
      <c r="B17" s="8" t="s">
        <v>59</v>
      </c>
      <c r="C17" s="8" t="s">
        <v>67</v>
      </c>
      <c r="D17" s="10">
        <v>1.4300935498954828E-2</v>
      </c>
      <c r="E17" s="8" t="s">
        <v>61</v>
      </c>
      <c r="G17" s="8" t="s">
        <v>120</v>
      </c>
      <c r="H17" s="8" t="s">
        <v>67</v>
      </c>
      <c r="I17" s="12">
        <v>2.7156216779437241E-2</v>
      </c>
      <c r="J17" s="8" t="s">
        <v>61</v>
      </c>
      <c r="L17" s="8" t="s">
        <v>140</v>
      </c>
      <c r="M17" s="8" t="s">
        <v>67</v>
      </c>
      <c r="N17" s="12">
        <v>2.7688657004920614E-2</v>
      </c>
      <c r="O17" s="8" t="s">
        <v>61</v>
      </c>
    </row>
    <row r="18" spans="2:15" x14ac:dyDescent="0.45">
      <c r="B18" s="9" t="s">
        <v>59</v>
      </c>
      <c r="C18" s="9" t="s">
        <v>68</v>
      </c>
      <c r="D18" s="11">
        <v>1.3737020741010923E-3</v>
      </c>
      <c r="E18" s="9" t="s">
        <v>61</v>
      </c>
      <c r="G18" s="9" t="s">
        <v>120</v>
      </c>
      <c r="H18" s="9" t="s">
        <v>68</v>
      </c>
      <c r="I18" s="13">
        <v>3.0097594398266342E-2</v>
      </c>
      <c r="J18" s="9" t="s">
        <v>61</v>
      </c>
      <c r="L18" s="9" t="s">
        <v>140</v>
      </c>
      <c r="M18" s="9" t="s">
        <v>68</v>
      </c>
      <c r="N18" s="13">
        <v>2.9324137760378774E-2</v>
      </c>
      <c r="O18" s="9" t="s">
        <v>61</v>
      </c>
    </row>
    <row r="19" spans="2:15" x14ac:dyDescent="0.45">
      <c r="B19" s="8" t="s">
        <v>59</v>
      </c>
      <c r="C19" s="8" t="s">
        <v>69</v>
      </c>
      <c r="D19" s="10">
        <v>0</v>
      </c>
      <c r="E19" s="8" t="s">
        <v>61</v>
      </c>
      <c r="G19" s="8" t="s">
        <v>120</v>
      </c>
      <c r="H19" s="8" t="s">
        <v>69</v>
      </c>
      <c r="I19" s="12">
        <v>3.1396540678400593E-2</v>
      </c>
      <c r="J19" s="8" t="s">
        <v>61</v>
      </c>
      <c r="L19" s="8" t="s">
        <v>140</v>
      </c>
      <c r="M19" s="8" t="s">
        <v>69</v>
      </c>
      <c r="N19" s="12">
        <v>2.9965092439059083E-2</v>
      </c>
      <c r="O19" s="8" t="s">
        <v>61</v>
      </c>
    </row>
    <row r="20" spans="2:15" x14ac:dyDescent="0.45">
      <c r="B20" s="9" t="s">
        <v>59</v>
      </c>
      <c r="C20" s="9" t="s">
        <v>70</v>
      </c>
      <c r="D20" s="11">
        <v>0</v>
      </c>
      <c r="E20" s="9" t="s">
        <v>61</v>
      </c>
      <c r="G20" s="9" t="s">
        <v>120</v>
      </c>
      <c r="H20" s="9" t="s">
        <v>70</v>
      </c>
      <c r="I20" s="13">
        <v>4.6222368814480191E-2</v>
      </c>
      <c r="J20" s="9" t="s">
        <v>61</v>
      </c>
      <c r="L20" s="9" t="s">
        <v>140</v>
      </c>
      <c r="M20" s="9" t="s">
        <v>70</v>
      </c>
      <c r="N20" s="13">
        <v>4.48830018394627E-2</v>
      </c>
      <c r="O20" s="9" t="s">
        <v>61</v>
      </c>
    </row>
    <row r="21" spans="2:15" x14ac:dyDescent="0.45">
      <c r="B21" s="8" t="s">
        <v>59</v>
      </c>
      <c r="C21" s="8" t="s">
        <v>71</v>
      </c>
      <c r="D21" s="10">
        <v>0</v>
      </c>
      <c r="E21" s="8" t="s">
        <v>61</v>
      </c>
      <c r="G21" s="8" t="s">
        <v>120</v>
      </c>
      <c r="H21" s="8" t="s">
        <v>71</v>
      </c>
      <c r="I21" s="12">
        <v>6.3210355305878971E-2</v>
      </c>
      <c r="J21" s="8" t="s">
        <v>61</v>
      </c>
      <c r="L21" s="8" t="s">
        <v>140</v>
      </c>
      <c r="M21" s="8" t="s">
        <v>71</v>
      </c>
      <c r="N21" s="12">
        <v>5.3403727939289589E-2</v>
      </c>
      <c r="O21" s="8" t="s">
        <v>61</v>
      </c>
    </row>
    <row r="22" spans="2:15" x14ac:dyDescent="0.45">
      <c r="B22" s="9" t="s">
        <v>59</v>
      </c>
      <c r="C22" s="9" t="s">
        <v>72</v>
      </c>
      <c r="D22" s="11">
        <v>7.6545389585987505E-3</v>
      </c>
      <c r="E22" s="9" t="s">
        <v>61</v>
      </c>
      <c r="G22" s="9" t="s">
        <v>120</v>
      </c>
      <c r="H22" s="9" t="s">
        <v>72</v>
      </c>
      <c r="I22" s="13">
        <v>2.3840869414005286E-2</v>
      </c>
      <c r="J22" s="9" t="s">
        <v>61</v>
      </c>
      <c r="L22" s="9" t="s">
        <v>140</v>
      </c>
      <c r="M22" s="9" t="s">
        <v>72</v>
      </c>
      <c r="N22" s="13">
        <v>2.0872847643403553E-2</v>
      </c>
      <c r="O22" s="9" t="s">
        <v>61</v>
      </c>
    </row>
    <row r="23" spans="2:15" x14ac:dyDescent="0.45">
      <c r="B23" s="8" t="s">
        <v>59</v>
      </c>
      <c r="C23" s="8" t="s">
        <v>73</v>
      </c>
      <c r="D23" s="10">
        <v>3.6460984822933869E-2</v>
      </c>
      <c r="E23" s="8" t="s">
        <v>61</v>
      </c>
      <c r="G23" s="8" t="s">
        <v>120</v>
      </c>
      <c r="H23" s="8" t="s">
        <v>73</v>
      </c>
      <c r="I23" s="12">
        <v>1.9979279092955361E-2</v>
      </c>
      <c r="J23" s="8" t="s">
        <v>61</v>
      </c>
      <c r="L23" s="8" t="s">
        <v>140</v>
      </c>
      <c r="M23" s="8" t="s">
        <v>73</v>
      </c>
      <c r="N23" s="12">
        <v>1.8530630999986596E-2</v>
      </c>
      <c r="O23" s="8" t="s">
        <v>61</v>
      </c>
    </row>
    <row r="24" spans="2:15" x14ac:dyDescent="0.45">
      <c r="B24" s="9" t="s">
        <v>59</v>
      </c>
      <c r="C24" s="9" t="s">
        <v>74</v>
      </c>
      <c r="D24" s="11">
        <v>6.3104167195572575E-2</v>
      </c>
      <c r="E24" s="9" t="s">
        <v>61</v>
      </c>
      <c r="G24" s="9" t="s">
        <v>120</v>
      </c>
      <c r="H24" s="9" t="s">
        <v>74</v>
      </c>
      <c r="I24" s="13">
        <v>1.9073048783961429E-2</v>
      </c>
      <c r="J24" s="9" t="s">
        <v>61</v>
      </c>
      <c r="L24" s="9" t="s">
        <v>140</v>
      </c>
      <c r="M24" s="9" t="s">
        <v>74</v>
      </c>
      <c r="N24" s="13">
        <v>1.7512822709245306E-2</v>
      </c>
      <c r="O24" s="9" t="s">
        <v>61</v>
      </c>
    </row>
    <row r="25" spans="2:15" x14ac:dyDescent="0.45">
      <c r="B25" s="8" t="s">
        <v>59</v>
      </c>
      <c r="C25" s="8" t="s">
        <v>75</v>
      </c>
      <c r="D25" s="10">
        <v>6.8596944671540774E-2</v>
      </c>
      <c r="E25" s="8" t="s">
        <v>61</v>
      </c>
      <c r="G25" s="8" t="s">
        <v>120</v>
      </c>
      <c r="H25" s="8" t="s">
        <v>75</v>
      </c>
      <c r="I25" s="12">
        <v>1.6951178364756309E-2</v>
      </c>
      <c r="J25" s="8" t="s">
        <v>61</v>
      </c>
      <c r="L25" s="8" t="s">
        <v>140</v>
      </c>
      <c r="M25" s="8" t="s">
        <v>75</v>
      </c>
      <c r="N25" s="12">
        <v>1.6128338845401134E-2</v>
      </c>
      <c r="O25" s="8" t="s">
        <v>61</v>
      </c>
    </row>
    <row r="26" spans="2:15" x14ac:dyDescent="0.45">
      <c r="B26" s="9" t="s">
        <v>59</v>
      </c>
      <c r="C26" s="9" t="s">
        <v>76</v>
      </c>
      <c r="D26" s="11">
        <v>6.3220869170970709E-2</v>
      </c>
      <c r="E26" s="9" t="s">
        <v>61</v>
      </c>
      <c r="G26" s="9" t="s">
        <v>120</v>
      </c>
      <c r="H26" s="9" t="s">
        <v>76</v>
      </c>
      <c r="I26" s="13">
        <v>1.8805289819021416E-2</v>
      </c>
      <c r="J26" s="9" t="s">
        <v>61</v>
      </c>
      <c r="L26" s="9" t="s">
        <v>140</v>
      </c>
      <c r="M26" s="9" t="s">
        <v>76</v>
      </c>
      <c r="N26" s="13">
        <v>1.7493820078679331E-2</v>
      </c>
      <c r="O26" s="9" t="s">
        <v>61</v>
      </c>
    </row>
    <row r="27" spans="2:15" x14ac:dyDescent="0.45">
      <c r="B27" s="8" t="s">
        <v>59</v>
      </c>
      <c r="C27" s="8" t="s">
        <v>77</v>
      </c>
      <c r="D27" s="10">
        <v>5.2395286668517289E-2</v>
      </c>
      <c r="E27" s="8" t="s">
        <v>61</v>
      </c>
      <c r="G27" s="8" t="s">
        <v>120</v>
      </c>
      <c r="H27" s="8" t="s">
        <v>77</v>
      </c>
      <c r="I27" s="12">
        <v>1.8988385275507551E-2</v>
      </c>
      <c r="J27" s="8" t="s">
        <v>61</v>
      </c>
      <c r="L27" s="8" t="s">
        <v>140</v>
      </c>
      <c r="M27" s="8" t="s">
        <v>77</v>
      </c>
      <c r="N27" s="12">
        <v>1.8246071049391761E-2</v>
      </c>
      <c r="O27" s="8" t="s">
        <v>61</v>
      </c>
    </row>
    <row r="28" spans="2:15" x14ac:dyDescent="0.45">
      <c r="B28" s="9" t="s">
        <v>59</v>
      </c>
      <c r="C28" s="9" t="s">
        <v>78</v>
      </c>
      <c r="D28" s="11">
        <v>3.0623901116240377E-2</v>
      </c>
      <c r="E28" s="9" t="s">
        <v>61</v>
      </c>
      <c r="G28" s="9" t="s">
        <v>120</v>
      </c>
      <c r="H28" s="9" t="s">
        <v>78</v>
      </c>
      <c r="I28" s="13">
        <v>1.996919234582064E-2</v>
      </c>
      <c r="J28" s="9" t="s">
        <v>61</v>
      </c>
      <c r="L28" s="9" t="s">
        <v>140</v>
      </c>
      <c r="M28" s="9" t="s">
        <v>78</v>
      </c>
      <c r="N28" s="13">
        <v>1.9408842504092538E-2</v>
      </c>
      <c r="O28" s="9" t="s">
        <v>61</v>
      </c>
    </row>
    <row r="29" spans="2:15" x14ac:dyDescent="0.45">
      <c r="B29" s="8" t="s">
        <v>59</v>
      </c>
      <c r="C29" s="8" t="s">
        <v>79</v>
      </c>
      <c r="D29" s="10">
        <v>5.4953065275023171E-3</v>
      </c>
      <c r="E29" s="8" t="s">
        <v>61</v>
      </c>
      <c r="G29" s="8" t="s">
        <v>120</v>
      </c>
      <c r="H29" s="8" t="s">
        <v>79</v>
      </c>
      <c r="I29" s="12">
        <v>2.3516525540837406E-2</v>
      </c>
      <c r="J29" s="8" t="s">
        <v>61</v>
      </c>
      <c r="L29" s="8" t="s">
        <v>140</v>
      </c>
      <c r="M29" s="8" t="s">
        <v>79</v>
      </c>
      <c r="N29" s="12">
        <v>2.0994028345737468E-2</v>
      </c>
      <c r="O29" s="8" t="s">
        <v>61</v>
      </c>
    </row>
    <row r="30" spans="2:15" x14ac:dyDescent="0.45">
      <c r="B30" s="9" t="s">
        <v>59</v>
      </c>
      <c r="C30" s="9" t="s">
        <v>80</v>
      </c>
      <c r="D30" s="11">
        <v>0</v>
      </c>
      <c r="E30" s="9" t="s">
        <v>61</v>
      </c>
      <c r="G30" s="9" t="s">
        <v>120</v>
      </c>
      <c r="H30" s="9" t="s">
        <v>80</v>
      </c>
      <c r="I30" s="13">
        <v>3.8211061115968704E-2</v>
      </c>
      <c r="J30" s="9" t="s">
        <v>61</v>
      </c>
      <c r="L30" s="9" t="s">
        <v>140</v>
      </c>
      <c r="M30" s="9" t="s">
        <v>80</v>
      </c>
      <c r="N30" s="13">
        <v>3.2868846104417489E-2</v>
      </c>
      <c r="O30" s="9" t="s">
        <v>61</v>
      </c>
    </row>
    <row r="31" spans="2:15" x14ac:dyDescent="0.45">
      <c r="B31" s="8" t="s">
        <v>59</v>
      </c>
      <c r="C31" s="8" t="s">
        <v>81</v>
      </c>
      <c r="D31" s="10">
        <v>0</v>
      </c>
      <c r="E31" s="8" t="s">
        <v>61</v>
      </c>
      <c r="G31" s="8" t="s">
        <v>120</v>
      </c>
      <c r="H31" s="8" t="s">
        <v>81</v>
      </c>
      <c r="I31" s="12">
        <v>3.3284697463380725E-2</v>
      </c>
      <c r="J31" s="8" t="s">
        <v>61</v>
      </c>
      <c r="L31" s="8" t="s">
        <v>140</v>
      </c>
      <c r="M31" s="8" t="s">
        <v>81</v>
      </c>
      <c r="N31" s="12">
        <v>3.0681132809236664E-2</v>
      </c>
      <c r="O31" s="8" t="s">
        <v>61</v>
      </c>
    </row>
    <row r="32" spans="2:15" x14ac:dyDescent="0.45">
      <c r="B32" s="9" t="s">
        <v>59</v>
      </c>
      <c r="C32" s="9" t="s">
        <v>82</v>
      </c>
      <c r="D32" s="11">
        <v>1.7026379559097703E-2</v>
      </c>
      <c r="E32" s="9" t="s">
        <v>61</v>
      </c>
      <c r="G32" s="9" t="s">
        <v>120</v>
      </c>
      <c r="H32" s="9" t="s">
        <v>82</v>
      </c>
      <c r="I32" s="13">
        <v>1.0272463517254318E-2</v>
      </c>
      <c r="J32" s="9" t="s">
        <v>61</v>
      </c>
      <c r="L32" s="9" t="s">
        <v>140</v>
      </c>
      <c r="M32" s="9" t="s">
        <v>82</v>
      </c>
      <c r="N32" s="13">
        <v>1.173836820605601E-2</v>
      </c>
      <c r="O32" s="9" t="s">
        <v>61</v>
      </c>
    </row>
    <row r="33" spans="2:15" x14ac:dyDescent="0.45">
      <c r="B33" s="8" t="s">
        <v>59</v>
      </c>
      <c r="C33" s="8" t="s">
        <v>83</v>
      </c>
      <c r="D33" s="10">
        <v>5.2569739659942556E-2</v>
      </c>
      <c r="E33" s="8" t="s">
        <v>61</v>
      </c>
      <c r="G33" s="8" t="s">
        <v>120</v>
      </c>
      <c r="H33" s="8" t="s">
        <v>83</v>
      </c>
      <c r="I33" s="12">
        <v>7.5599224041111787E-3</v>
      </c>
      <c r="J33" s="8" t="s">
        <v>61</v>
      </c>
      <c r="L33" s="8" t="s">
        <v>140</v>
      </c>
      <c r="M33" s="8" t="s">
        <v>83</v>
      </c>
      <c r="N33" s="12">
        <v>1.0939188203530084E-2</v>
      </c>
      <c r="O33" s="8" t="s">
        <v>61</v>
      </c>
    </row>
    <row r="34" spans="2:15" x14ac:dyDescent="0.45">
      <c r="B34" s="9" t="s">
        <v>59</v>
      </c>
      <c r="C34" s="9" t="s">
        <v>84</v>
      </c>
      <c r="D34" s="11">
        <v>7.5572284153632124E-2</v>
      </c>
      <c r="E34" s="9" t="s">
        <v>61</v>
      </c>
      <c r="G34" s="9" t="s">
        <v>120</v>
      </c>
      <c r="H34" s="9" t="s">
        <v>84</v>
      </c>
      <c r="I34" s="13">
        <v>8.8926434392727193E-3</v>
      </c>
      <c r="J34" s="9" t="s">
        <v>61</v>
      </c>
      <c r="L34" s="9" t="s">
        <v>140</v>
      </c>
      <c r="M34" s="9" t="s">
        <v>84</v>
      </c>
      <c r="N34" s="13">
        <v>1.1463264063045745E-2</v>
      </c>
      <c r="O34" s="9" t="s">
        <v>61</v>
      </c>
    </row>
    <row r="35" spans="2:15" x14ac:dyDescent="0.45">
      <c r="B35" s="8" t="s">
        <v>59</v>
      </c>
      <c r="C35" s="8" t="s">
        <v>85</v>
      </c>
      <c r="D35" s="10">
        <v>7.8442391050398283E-2</v>
      </c>
      <c r="E35" s="8" t="s">
        <v>61</v>
      </c>
      <c r="G35" s="8" t="s">
        <v>120</v>
      </c>
      <c r="H35" s="8" t="s">
        <v>85</v>
      </c>
      <c r="I35" s="12">
        <v>7.5709262980677488E-3</v>
      </c>
      <c r="J35" s="8" t="s">
        <v>61</v>
      </c>
      <c r="L35" s="8" t="s">
        <v>140</v>
      </c>
      <c r="M35" s="8" t="s">
        <v>85</v>
      </c>
      <c r="N35" s="12">
        <v>1.0354728900061859E-2</v>
      </c>
      <c r="O35" s="8" t="s">
        <v>61</v>
      </c>
    </row>
    <row r="36" spans="2:15" x14ac:dyDescent="0.45">
      <c r="B36" s="9" t="s">
        <v>59</v>
      </c>
      <c r="C36" s="9" t="s">
        <v>86</v>
      </c>
      <c r="D36" s="11">
        <v>7.3356498474196646E-2</v>
      </c>
      <c r="E36" s="9" t="s">
        <v>61</v>
      </c>
      <c r="G36" s="9" t="s">
        <v>120</v>
      </c>
      <c r="H36" s="9" t="s">
        <v>86</v>
      </c>
      <c r="I36" s="13">
        <v>9.8889870175538491E-3</v>
      </c>
      <c r="J36" s="9" t="s">
        <v>61</v>
      </c>
      <c r="L36" s="9" t="s">
        <v>140</v>
      </c>
      <c r="M36" s="9" t="s">
        <v>86</v>
      </c>
      <c r="N36" s="13">
        <v>1.2844768568835605E-2</v>
      </c>
      <c r="O36" s="9" t="s">
        <v>61</v>
      </c>
    </row>
    <row r="37" spans="2:15" x14ac:dyDescent="0.45">
      <c r="B37" s="8" t="s">
        <v>59</v>
      </c>
      <c r="C37" s="8" t="s">
        <v>87</v>
      </c>
      <c r="D37" s="10">
        <v>6.5144100165966695E-2</v>
      </c>
      <c r="E37" s="8" t="s">
        <v>61</v>
      </c>
      <c r="G37" s="8" t="s">
        <v>120</v>
      </c>
      <c r="H37" s="8" t="s">
        <v>87</v>
      </c>
      <c r="I37" s="12">
        <v>1.028179847356446E-2</v>
      </c>
      <c r="J37" s="8" t="s">
        <v>61</v>
      </c>
      <c r="L37" s="8" t="s">
        <v>140</v>
      </c>
      <c r="M37" s="8" t="s">
        <v>87</v>
      </c>
      <c r="N37" s="12">
        <v>1.4117844829728988E-2</v>
      </c>
      <c r="O37" s="8" t="s">
        <v>61</v>
      </c>
    </row>
    <row r="38" spans="2:15" x14ac:dyDescent="0.45">
      <c r="B38" s="9" t="s">
        <v>59</v>
      </c>
      <c r="C38" s="9" t="s">
        <v>88</v>
      </c>
      <c r="D38" s="11">
        <v>4.593729965054924E-2</v>
      </c>
      <c r="E38" s="9" t="s">
        <v>61</v>
      </c>
      <c r="G38" s="9" t="s">
        <v>120</v>
      </c>
      <c r="H38" s="9" t="s">
        <v>88</v>
      </c>
      <c r="I38" s="13">
        <v>9.7400794801665615E-3</v>
      </c>
      <c r="J38" s="9" t="s">
        <v>61</v>
      </c>
      <c r="L38" s="9" t="s">
        <v>140</v>
      </c>
      <c r="M38" s="9" t="s">
        <v>88</v>
      </c>
      <c r="N38" s="13">
        <v>1.3206964154119595E-2</v>
      </c>
      <c r="O38" s="9" t="s">
        <v>61</v>
      </c>
    </row>
    <row r="39" spans="2:15" x14ac:dyDescent="0.45">
      <c r="B39" s="8" t="s">
        <v>59</v>
      </c>
      <c r="C39" s="8" t="s">
        <v>89</v>
      </c>
      <c r="D39" s="10">
        <v>1.6947278536606786E-2</v>
      </c>
      <c r="E39" s="8" t="s">
        <v>61</v>
      </c>
      <c r="G39" s="8" t="s">
        <v>120</v>
      </c>
      <c r="H39" s="8" t="s">
        <v>89</v>
      </c>
      <c r="I39" s="12">
        <v>1.1074773655906646E-2</v>
      </c>
      <c r="J39" s="8" t="s">
        <v>61</v>
      </c>
      <c r="L39" s="8" t="s">
        <v>140</v>
      </c>
      <c r="M39" s="8" t="s">
        <v>89</v>
      </c>
      <c r="N39" s="12">
        <v>1.2617867641209224E-2</v>
      </c>
      <c r="O39" s="8" t="s">
        <v>61</v>
      </c>
    </row>
    <row r="40" spans="2:15" x14ac:dyDescent="0.45">
      <c r="B40" s="9" t="s">
        <v>59</v>
      </c>
      <c r="C40" s="9" t="s">
        <v>90</v>
      </c>
      <c r="D40" s="11">
        <v>0</v>
      </c>
      <c r="E40" s="9" t="s">
        <v>61</v>
      </c>
      <c r="G40" s="9" t="s">
        <v>120</v>
      </c>
      <c r="H40" s="9" t="s">
        <v>90</v>
      </c>
      <c r="I40" s="13">
        <v>2.1323425159387562E-2</v>
      </c>
      <c r="J40" s="9" t="s">
        <v>61</v>
      </c>
      <c r="L40" s="9" t="s">
        <v>140</v>
      </c>
      <c r="M40" s="9" t="s">
        <v>90</v>
      </c>
      <c r="N40" s="13">
        <v>1.8804816700233262E-2</v>
      </c>
      <c r="O40" s="9" t="s">
        <v>61</v>
      </c>
    </row>
    <row r="41" spans="2:15" x14ac:dyDescent="0.45">
      <c r="B41" s="8" t="s">
        <v>59</v>
      </c>
      <c r="C41" s="8" t="s">
        <v>91</v>
      </c>
      <c r="D41" s="10">
        <v>0</v>
      </c>
      <c r="E41" s="8" t="s">
        <v>61</v>
      </c>
      <c r="G41" s="8" t="s">
        <v>120</v>
      </c>
      <c r="H41" s="8" t="s">
        <v>91</v>
      </c>
      <c r="I41" s="12">
        <v>5.5967656079354708E-2</v>
      </c>
      <c r="J41" s="8" t="s">
        <v>61</v>
      </c>
      <c r="L41" s="8" t="s">
        <v>140</v>
      </c>
      <c r="M41" s="8" t="s">
        <v>91</v>
      </c>
      <c r="N41" s="12">
        <v>5.6823209320871933E-2</v>
      </c>
      <c r="O41" s="8" t="s">
        <v>61</v>
      </c>
    </row>
    <row r="42" spans="2:15" x14ac:dyDescent="0.45">
      <c r="B42" s="9" t="s">
        <v>59</v>
      </c>
      <c r="C42" s="9" t="s">
        <v>92</v>
      </c>
      <c r="D42" s="11">
        <v>1.6957522872564938E-4</v>
      </c>
      <c r="E42" s="9" t="s">
        <v>61</v>
      </c>
      <c r="G42" s="9" t="s">
        <v>120</v>
      </c>
      <c r="H42" s="9" t="s">
        <v>92</v>
      </c>
      <c r="I42" s="13">
        <v>2.129764597543183E-2</v>
      </c>
      <c r="J42" s="9" t="s">
        <v>61</v>
      </c>
      <c r="L42" s="9" t="s">
        <v>140</v>
      </c>
      <c r="M42" s="9" t="s">
        <v>92</v>
      </c>
      <c r="N42" s="13">
        <v>2.2221526831787963E-2</v>
      </c>
      <c r="O42" s="9" t="s">
        <v>61</v>
      </c>
    </row>
    <row r="43" spans="2:15" x14ac:dyDescent="0.45">
      <c r="B43" s="8" t="s">
        <v>59</v>
      </c>
      <c r="C43" s="8" t="s">
        <v>93</v>
      </c>
      <c r="D43" s="10">
        <v>1.3489940127069971E-2</v>
      </c>
      <c r="E43" s="8" t="s">
        <v>61</v>
      </c>
      <c r="G43" s="8" t="s">
        <v>120</v>
      </c>
      <c r="H43" s="8" t="s">
        <v>93</v>
      </c>
      <c r="I43" s="12">
        <v>2.0543519045797667E-2</v>
      </c>
      <c r="J43" s="8" t="s">
        <v>61</v>
      </c>
      <c r="L43" s="8" t="s">
        <v>140</v>
      </c>
      <c r="M43" s="8" t="s">
        <v>93</v>
      </c>
      <c r="N43" s="12">
        <v>2.1673886877655844E-2</v>
      </c>
      <c r="O43" s="8" t="s">
        <v>61</v>
      </c>
    </row>
    <row r="44" spans="2:15" x14ac:dyDescent="0.45">
      <c r="B44" s="9" t="s">
        <v>59</v>
      </c>
      <c r="C44" s="9" t="s">
        <v>94</v>
      </c>
      <c r="D44" s="11">
        <v>3.257852780359758E-2</v>
      </c>
      <c r="E44" s="9" t="s">
        <v>61</v>
      </c>
      <c r="G44" s="9" t="s">
        <v>120</v>
      </c>
      <c r="H44" s="9" t="s">
        <v>94</v>
      </c>
      <c r="I44" s="13">
        <v>1.9120474580169668E-2</v>
      </c>
      <c r="J44" s="9" t="s">
        <v>61</v>
      </c>
      <c r="L44" s="9" t="s">
        <v>140</v>
      </c>
      <c r="M44" s="9" t="s">
        <v>94</v>
      </c>
      <c r="N44" s="13">
        <v>2.1526145875504089E-2</v>
      </c>
      <c r="O44" s="9" t="s">
        <v>61</v>
      </c>
    </row>
    <row r="45" spans="2:15" x14ac:dyDescent="0.45">
      <c r="B45" s="8" t="s">
        <v>59</v>
      </c>
      <c r="C45" s="8" t="s">
        <v>95</v>
      </c>
      <c r="D45" s="10">
        <v>3.9666377429780034E-2</v>
      </c>
      <c r="E45" s="8" t="s">
        <v>61</v>
      </c>
      <c r="G45" s="8" t="s">
        <v>120</v>
      </c>
      <c r="H45" s="8" t="s">
        <v>95</v>
      </c>
      <c r="I45" s="12">
        <v>1.7690989852608835E-2</v>
      </c>
      <c r="J45" s="8" t="s">
        <v>61</v>
      </c>
      <c r="L45" s="8" t="s">
        <v>140</v>
      </c>
      <c r="M45" s="8" t="s">
        <v>95</v>
      </c>
      <c r="N45" s="12">
        <v>2.1098265063733246E-2</v>
      </c>
      <c r="O45" s="8" t="s">
        <v>61</v>
      </c>
    </row>
    <row r="46" spans="2:15" x14ac:dyDescent="0.45">
      <c r="B46" s="9" t="s">
        <v>59</v>
      </c>
      <c r="C46" s="9" t="s">
        <v>96</v>
      </c>
      <c r="D46" s="11">
        <v>4.0448856219507945E-2</v>
      </c>
      <c r="E46" s="9" t="s">
        <v>61</v>
      </c>
      <c r="G46" s="9" t="s">
        <v>120</v>
      </c>
      <c r="H46" s="9" t="s">
        <v>96</v>
      </c>
      <c r="I46" s="13">
        <v>1.8620108715096492E-2</v>
      </c>
      <c r="J46" s="9" t="s">
        <v>61</v>
      </c>
      <c r="L46" s="9" t="s">
        <v>140</v>
      </c>
      <c r="M46" s="9" t="s">
        <v>96</v>
      </c>
      <c r="N46" s="13">
        <v>2.1456618189510682E-2</v>
      </c>
      <c r="O46" s="9" t="s">
        <v>61</v>
      </c>
    </row>
    <row r="47" spans="2:15" x14ac:dyDescent="0.45">
      <c r="B47" s="8" t="s">
        <v>59</v>
      </c>
      <c r="C47" s="8" t="s">
        <v>97</v>
      </c>
      <c r="D47" s="10">
        <v>3.0696196448480706E-2</v>
      </c>
      <c r="E47" s="8" t="s">
        <v>61</v>
      </c>
      <c r="G47" s="8" t="s">
        <v>120</v>
      </c>
      <c r="H47" s="8" t="s">
        <v>97</v>
      </c>
      <c r="I47" s="12">
        <v>1.9563624033809467E-2</v>
      </c>
      <c r="J47" s="8" t="s">
        <v>61</v>
      </c>
      <c r="L47" s="8" t="s">
        <v>140</v>
      </c>
      <c r="M47" s="8" t="s">
        <v>97</v>
      </c>
      <c r="N47" s="12">
        <v>2.2867955920941849E-2</v>
      </c>
      <c r="O47" s="8" t="s">
        <v>61</v>
      </c>
    </row>
    <row r="48" spans="2:15" x14ac:dyDescent="0.45">
      <c r="B48" s="9" t="s">
        <v>59</v>
      </c>
      <c r="C48" s="9" t="s">
        <v>98</v>
      </c>
      <c r="D48" s="11">
        <v>9.4528833397579549E-3</v>
      </c>
      <c r="E48" s="9" t="s">
        <v>61</v>
      </c>
      <c r="G48" s="9" t="s">
        <v>120</v>
      </c>
      <c r="H48" s="9" t="s">
        <v>98</v>
      </c>
      <c r="I48" s="13">
        <v>2.2619927568028726E-2</v>
      </c>
      <c r="J48" s="9" t="s">
        <v>61</v>
      </c>
      <c r="L48" s="9" t="s">
        <v>140</v>
      </c>
      <c r="M48" s="9" t="s">
        <v>98</v>
      </c>
      <c r="N48" s="13">
        <v>2.4211348988096439E-2</v>
      </c>
      <c r="O48" s="9" t="s">
        <v>61</v>
      </c>
    </row>
    <row r="49" spans="2:15" x14ac:dyDescent="0.45">
      <c r="B49" s="8" t="s">
        <v>59</v>
      </c>
      <c r="C49" s="8" t="s">
        <v>99</v>
      </c>
      <c r="D49" s="10">
        <v>6.2460298604412919E-5</v>
      </c>
      <c r="E49" s="8" t="s">
        <v>61</v>
      </c>
      <c r="G49" s="8" t="s">
        <v>120</v>
      </c>
      <c r="H49" s="8" t="s">
        <v>99</v>
      </c>
      <c r="I49" s="12">
        <v>2.5162562590235533E-2</v>
      </c>
      <c r="J49" s="8" t="s">
        <v>61</v>
      </c>
      <c r="L49" s="8" t="s">
        <v>140</v>
      </c>
      <c r="M49" s="8" t="s">
        <v>99</v>
      </c>
      <c r="N49" s="12">
        <v>2.4881599674035415E-2</v>
      </c>
      <c r="O49" s="8" t="s">
        <v>61</v>
      </c>
    </row>
    <row r="50" spans="2:15" x14ac:dyDescent="0.45">
      <c r="B50" s="9" t="s">
        <v>59</v>
      </c>
      <c r="C50" s="9" t="s">
        <v>100</v>
      </c>
      <c r="D50" s="11">
        <v>0</v>
      </c>
      <c r="E50" s="9" t="s">
        <v>61</v>
      </c>
      <c r="G50" s="9" t="s">
        <v>120</v>
      </c>
      <c r="H50" s="9" t="s">
        <v>100</v>
      </c>
      <c r="I50" s="13">
        <v>3.8390508059546864E-2</v>
      </c>
      <c r="J50" s="9" t="s">
        <v>61</v>
      </c>
      <c r="L50" s="9" t="s">
        <v>140</v>
      </c>
      <c r="M50" s="9" t="s">
        <v>100</v>
      </c>
      <c r="N50" s="13">
        <v>3.716542547445803E-2</v>
      </c>
      <c r="O50" s="9" t="s">
        <v>61</v>
      </c>
    </row>
    <row r="51" spans="2:15" x14ac:dyDescent="0.45">
      <c r="B51" s="8" t="s">
        <v>101</v>
      </c>
      <c r="C51" s="8" t="s">
        <v>60</v>
      </c>
      <c r="D51" s="10">
        <v>0</v>
      </c>
      <c r="E51" s="8" t="s">
        <v>61</v>
      </c>
      <c r="G51" s="8" t="s">
        <v>121</v>
      </c>
      <c r="H51" s="8" t="s">
        <v>60</v>
      </c>
      <c r="I51" s="12">
        <v>7.4942835629884949E-2</v>
      </c>
      <c r="J51" s="8" t="s">
        <v>61</v>
      </c>
      <c r="L51" s="8" t="s">
        <v>141</v>
      </c>
      <c r="M51" s="8" t="s">
        <v>60</v>
      </c>
      <c r="N51" s="12">
        <v>6.3125616371181803E-2</v>
      </c>
      <c r="O51" s="8" t="s">
        <v>61</v>
      </c>
    </row>
    <row r="52" spans="2:15" x14ac:dyDescent="0.45">
      <c r="B52" s="9" t="s">
        <v>101</v>
      </c>
      <c r="C52" s="9" t="s">
        <v>62</v>
      </c>
      <c r="D52" s="11">
        <v>0</v>
      </c>
      <c r="E52" s="9" t="s">
        <v>61</v>
      </c>
      <c r="G52" s="9" t="s">
        <v>121</v>
      </c>
      <c r="H52" s="9" t="s">
        <v>62</v>
      </c>
      <c r="I52" s="13">
        <v>3.0111860319403196E-2</v>
      </c>
      <c r="J52" s="9" t="s">
        <v>61</v>
      </c>
      <c r="L52" s="9" t="s">
        <v>141</v>
      </c>
      <c r="M52" s="9" t="s">
        <v>62</v>
      </c>
      <c r="N52" s="13">
        <v>2.5124198383820611E-2</v>
      </c>
      <c r="O52" s="9" t="s">
        <v>61</v>
      </c>
    </row>
    <row r="53" spans="2:15" x14ac:dyDescent="0.45">
      <c r="B53" s="8" t="s">
        <v>101</v>
      </c>
      <c r="C53" s="8" t="s">
        <v>63</v>
      </c>
      <c r="D53" s="10">
        <v>7.7909925145441599E-4</v>
      </c>
      <c r="E53" s="8" t="s">
        <v>61</v>
      </c>
      <c r="G53" s="8" t="s">
        <v>121</v>
      </c>
      <c r="H53" s="8" t="s">
        <v>63</v>
      </c>
      <c r="I53" s="12">
        <v>3.0011704752409211E-2</v>
      </c>
      <c r="J53" s="8" t="s">
        <v>61</v>
      </c>
      <c r="L53" s="8" t="s">
        <v>141</v>
      </c>
      <c r="M53" s="8" t="s">
        <v>63</v>
      </c>
      <c r="N53" s="12">
        <v>2.5672933029689437E-2</v>
      </c>
      <c r="O53" s="8" t="s">
        <v>61</v>
      </c>
    </row>
    <row r="54" spans="2:15" x14ac:dyDescent="0.45">
      <c r="B54" s="9" t="s">
        <v>101</v>
      </c>
      <c r="C54" s="9" t="s">
        <v>64</v>
      </c>
      <c r="D54" s="11">
        <v>1.6280779761012554E-2</v>
      </c>
      <c r="E54" s="9" t="s">
        <v>61</v>
      </c>
      <c r="G54" s="9" t="s">
        <v>121</v>
      </c>
      <c r="H54" s="9" t="s">
        <v>64</v>
      </c>
      <c r="I54" s="13">
        <v>2.8533757176165554E-2</v>
      </c>
      <c r="J54" s="9" t="s">
        <v>61</v>
      </c>
      <c r="L54" s="9" t="s">
        <v>141</v>
      </c>
      <c r="M54" s="9" t="s">
        <v>64</v>
      </c>
      <c r="N54" s="13">
        <v>2.6094458683638716E-2</v>
      </c>
      <c r="O54" s="9" t="s">
        <v>61</v>
      </c>
    </row>
    <row r="55" spans="2:15" x14ac:dyDescent="0.45">
      <c r="B55" s="8" t="s">
        <v>101</v>
      </c>
      <c r="C55" s="8" t="s">
        <v>65</v>
      </c>
      <c r="D55" s="10">
        <v>2.8864878921201265E-2</v>
      </c>
      <c r="E55" s="8" t="s">
        <v>61</v>
      </c>
      <c r="G55" s="8" t="s">
        <v>121</v>
      </c>
      <c r="H55" s="8" t="s">
        <v>65</v>
      </c>
      <c r="I55" s="12">
        <v>2.6134218344823587E-2</v>
      </c>
      <c r="J55" s="8" t="s">
        <v>61</v>
      </c>
      <c r="L55" s="8" t="s">
        <v>141</v>
      </c>
      <c r="M55" s="8" t="s">
        <v>65</v>
      </c>
      <c r="N55" s="12">
        <v>2.5310300070932351E-2</v>
      </c>
      <c r="O55" s="8" t="s">
        <v>61</v>
      </c>
    </row>
    <row r="56" spans="2:15" x14ac:dyDescent="0.45">
      <c r="B56" s="9" t="s">
        <v>101</v>
      </c>
      <c r="C56" s="9" t="s">
        <v>66</v>
      </c>
      <c r="D56" s="11">
        <v>3.0021922128298548E-2</v>
      </c>
      <c r="E56" s="9" t="s">
        <v>61</v>
      </c>
      <c r="G56" s="9" t="s">
        <v>121</v>
      </c>
      <c r="H56" s="9" t="s">
        <v>66</v>
      </c>
      <c r="I56" s="13">
        <v>2.6964432953271198E-2</v>
      </c>
      <c r="J56" s="9" t="s">
        <v>61</v>
      </c>
      <c r="L56" s="9" t="s">
        <v>141</v>
      </c>
      <c r="M56" s="9" t="s">
        <v>66</v>
      </c>
      <c r="N56" s="13">
        <v>2.4732687439811107E-2</v>
      </c>
      <c r="O56" s="9" t="s">
        <v>61</v>
      </c>
    </row>
    <row r="57" spans="2:15" x14ac:dyDescent="0.45">
      <c r="B57" s="8" t="s">
        <v>101</v>
      </c>
      <c r="C57" s="8" t="s">
        <v>67</v>
      </c>
      <c r="D57" s="10">
        <v>1.7555788821299143E-2</v>
      </c>
      <c r="E57" s="8" t="s">
        <v>61</v>
      </c>
      <c r="G57" s="8" t="s">
        <v>121</v>
      </c>
      <c r="H57" s="8" t="s">
        <v>67</v>
      </c>
      <c r="I57" s="12">
        <v>2.862776089288932E-2</v>
      </c>
      <c r="J57" s="8" t="s">
        <v>61</v>
      </c>
      <c r="L57" s="8" t="s">
        <v>141</v>
      </c>
      <c r="M57" s="8" t="s">
        <v>67</v>
      </c>
      <c r="N57" s="12">
        <v>2.5573030115872104E-2</v>
      </c>
      <c r="O57" s="8" t="s">
        <v>61</v>
      </c>
    </row>
    <row r="58" spans="2:15" x14ac:dyDescent="0.45">
      <c r="B58" s="9" t="s">
        <v>101</v>
      </c>
      <c r="C58" s="9" t="s">
        <v>68</v>
      </c>
      <c r="D58" s="11">
        <v>1.4933527399181509E-3</v>
      </c>
      <c r="E58" s="9" t="s">
        <v>61</v>
      </c>
      <c r="G58" s="9" t="s">
        <v>121</v>
      </c>
      <c r="H58" s="9" t="s">
        <v>68</v>
      </c>
      <c r="I58" s="13">
        <v>3.1129066132813101E-2</v>
      </c>
      <c r="J58" s="9" t="s">
        <v>61</v>
      </c>
      <c r="L58" s="9" t="s">
        <v>141</v>
      </c>
      <c r="M58" s="9" t="s">
        <v>68</v>
      </c>
      <c r="N58" s="13">
        <v>2.6719459262698739E-2</v>
      </c>
      <c r="O58" s="9" t="s">
        <v>61</v>
      </c>
    </row>
    <row r="59" spans="2:15" x14ac:dyDescent="0.45">
      <c r="B59" s="8" t="s">
        <v>101</v>
      </c>
      <c r="C59" s="8" t="s">
        <v>69</v>
      </c>
      <c r="D59" s="10">
        <v>0</v>
      </c>
      <c r="E59" s="8" t="s">
        <v>61</v>
      </c>
      <c r="G59" s="8" t="s">
        <v>121</v>
      </c>
      <c r="H59" s="8" t="s">
        <v>69</v>
      </c>
      <c r="I59" s="12">
        <v>3.1438995515669359E-2</v>
      </c>
      <c r="J59" s="8" t="s">
        <v>61</v>
      </c>
      <c r="L59" s="8" t="s">
        <v>141</v>
      </c>
      <c r="M59" s="8" t="s">
        <v>69</v>
      </c>
      <c r="N59" s="12">
        <v>2.6834844039164456E-2</v>
      </c>
      <c r="O59" s="8" t="s">
        <v>61</v>
      </c>
    </row>
    <row r="60" spans="2:15" x14ac:dyDescent="0.45">
      <c r="B60" s="9" t="s">
        <v>101</v>
      </c>
      <c r="C60" s="9" t="s">
        <v>70</v>
      </c>
      <c r="D60" s="11">
        <v>0</v>
      </c>
      <c r="E60" s="9" t="s">
        <v>61</v>
      </c>
      <c r="G60" s="9" t="s">
        <v>121</v>
      </c>
      <c r="H60" s="9" t="s">
        <v>70</v>
      </c>
      <c r="I60" s="13">
        <v>4.5821003784882311E-2</v>
      </c>
      <c r="J60" s="9" t="s">
        <v>61</v>
      </c>
      <c r="L60" s="9" t="s">
        <v>141</v>
      </c>
      <c r="M60" s="9" t="s">
        <v>70</v>
      </c>
      <c r="N60" s="13">
        <v>3.9864343505896134E-2</v>
      </c>
      <c r="O60" s="9" t="s">
        <v>61</v>
      </c>
    </row>
    <row r="61" spans="2:15" x14ac:dyDescent="0.45">
      <c r="B61" s="8" t="s">
        <v>101</v>
      </c>
      <c r="C61" s="8" t="s">
        <v>71</v>
      </c>
      <c r="D61" s="10">
        <v>0</v>
      </c>
      <c r="E61" s="8" t="s">
        <v>61</v>
      </c>
      <c r="G61" s="8" t="s">
        <v>121</v>
      </c>
      <c r="H61" s="8" t="s">
        <v>71</v>
      </c>
      <c r="I61" s="12">
        <v>6.0590189170468579E-2</v>
      </c>
      <c r="J61" s="8" t="s">
        <v>61</v>
      </c>
      <c r="L61" s="8" t="s">
        <v>141</v>
      </c>
      <c r="M61" s="8" t="s">
        <v>71</v>
      </c>
      <c r="N61" s="12">
        <v>5.6995474111251256E-2</v>
      </c>
      <c r="O61" s="8" t="s">
        <v>61</v>
      </c>
    </row>
    <row r="62" spans="2:15" x14ac:dyDescent="0.45">
      <c r="B62" s="9" t="s">
        <v>101</v>
      </c>
      <c r="C62" s="9" t="s">
        <v>72</v>
      </c>
      <c r="D62" s="11">
        <v>8.0873301182116664E-3</v>
      </c>
      <c r="E62" s="9" t="s">
        <v>61</v>
      </c>
      <c r="G62" s="9" t="s">
        <v>121</v>
      </c>
      <c r="H62" s="9" t="s">
        <v>72</v>
      </c>
      <c r="I62" s="13">
        <v>2.3049911411991957E-2</v>
      </c>
      <c r="J62" s="9" t="s">
        <v>61</v>
      </c>
      <c r="L62" s="9" t="s">
        <v>141</v>
      </c>
      <c r="M62" s="9" t="s">
        <v>72</v>
      </c>
      <c r="N62" s="13">
        <v>2.2353817909063985E-2</v>
      </c>
      <c r="O62" s="9" t="s">
        <v>61</v>
      </c>
    </row>
    <row r="63" spans="2:15" x14ac:dyDescent="0.45">
      <c r="B63" s="8" t="s">
        <v>101</v>
      </c>
      <c r="C63" s="8" t="s">
        <v>73</v>
      </c>
      <c r="D63" s="10">
        <v>3.5533726109065258E-2</v>
      </c>
      <c r="E63" s="8" t="s">
        <v>61</v>
      </c>
      <c r="G63" s="8" t="s">
        <v>121</v>
      </c>
      <c r="H63" s="8" t="s">
        <v>73</v>
      </c>
      <c r="I63" s="12">
        <v>1.9786255106805387E-2</v>
      </c>
      <c r="J63" s="8" t="s">
        <v>61</v>
      </c>
      <c r="L63" s="8" t="s">
        <v>141</v>
      </c>
      <c r="M63" s="8" t="s">
        <v>73</v>
      </c>
      <c r="N63" s="12">
        <v>2.2141761435379933E-2</v>
      </c>
      <c r="O63" s="8" t="s">
        <v>61</v>
      </c>
    </row>
    <row r="64" spans="2:15" x14ac:dyDescent="0.45">
      <c r="B64" s="9" t="s">
        <v>101</v>
      </c>
      <c r="C64" s="9" t="s">
        <v>74</v>
      </c>
      <c r="D64" s="11">
        <v>5.8234675613764213E-2</v>
      </c>
      <c r="E64" s="9" t="s">
        <v>61</v>
      </c>
      <c r="G64" s="9" t="s">
        <v>121</v>
      </c>
      <c r="H64" s="9" t="s">
        <v>74</v>
      </c>
      <c r="I64" s="13">
        <v>1.8930375055358661E-2</v>
      </c>
      <c r="J64" s="9" t="s">
        <v>61</v>
      </c>
      <c r="L64" s="9" t="s">
        <v>141</v>
      </c>
      <c r="M64" s="9" t="s">
        <v>74</v>
      </c>
      <c r="N64" s="13">
        <v>2.1364046922643463E-2</v>
      </c>
      <c r="O64" s="9" t="s">
        <v>61</v>
      </c>
    </row>
    <row r="65" spans="2:15" x14ac:dyDescent="0.45">
      <c r="B65" s="8" t="s">
        <v>101</v>
      </c>
      <c r="C65" s="8" t="s">
        <v>75</v>
      </c>
      <c r="D65" s="10">
        <v>6.5462254297168634E-2</v>
      </c>
      <c r="E65" s="8" t="s">
        <v>61</v>
      </c>
      <c r="G65" s="8" t="s">
        <v>121</v>
      </c>
      <c r="H65" s="8" t="s">
        <v>75</v>
      </c>
      <c r="I65" s="12">
        <v>1.6426607726484094E-2</v>
      </c>
      <c r="J65" s="8" t="s">
        <v>61</v>
      </c>
      <c r="L65" s="8" t="s">
        <v>141</v>
      </c>
      <c r="M65" s="8" t="s">
        <v>75</v>
      </c>
      <c r="N65" s="12">
        <v>1.8305325623974501E-2</v>
      </c>
      <c r="O65" s="8" t="s">
        <v>61</v>
      </c>
    </row>
    <row r="66" spans="2:15" x14ac:dyDescent="0.45">
      <c r="B66" s="9" t="s">
        <v>101</v>
      </c>
      <c r="C66" s="9" t="s">
        <v>76</v>
      </c>
      <c r="D66" s="11">
        <v>6.2845211180167948E-2</v>
      </c>
      <c r="E66" s="9" t="s">
        <v>61</v>
      </c>
      <c r="G66" s="9" t="s">
        <v>121</v>
      </c>
      <c r="H66" s="9" t="s">
        <v>76</v>
      </c>
      <c r="I66" s="13">
        <v>1.8535794319108904E-2</v>
      </c>
      <c r="J66" s="9" t="s">
        <v>61</v>
      </c>
      <c r="L66" s="9" t="s">
        <v>141</v>
      </c>
      <c r="M66" s="9" t="s">
        <v>76</v>
      </c>
      <c r="N66" s="13">
        <v>1.8622834897133671E-2</v>
      </c>
      <c r="O66" s="9" t="s">
        <v>61</v>
      </c>
    </row>
    <row r="67" spans="2:15" x14ac:dyDescent="0.45">
      <c r="B67" s="8" t="s">
        <v>101</v>
      </c>
      <c r="C67" s="8" t="s">
        <v>77</v>
      </c>
      <c r="D67" s="10">
        <v>5.1610190458169503E-2</v>
      </c>
      <c r="E67" s="8" t="s">
        <v>61</v>
      </c>
      <c r="G67" s="8" t="s">
        <v>121</v>
      </c>
      <c r="H67" s="8" t="s">
        <v>77</v>
      </c>
      <c r="I67" s="12">
        <v>1.9519321282108662E-2</v>
      </c>
      <c r="J67" s="8" t="s">
        <v>61</v>
      </c>
      <c r="L67" s="8" t="s">
        <v>141</v>
      </c>
      <c r="M67" s="8" t="s">
        <v>77</v>
      </c>
      <c r="N67" s="12">
        <v>2.0054474791864955E-2</v>
      </c>
      <c r="O67" s="8" t="s">
        <v>61</v>
      </c>
    </row>
    <row r="68" spans="2:15" x14ac:dyDescent="0.45">
      <c r="B68" s="9" t="s">
        <v>101</v>
      </c>
      <c r="C68" s="9" t="s">
        <v>78</v>
      </c>
      <c r="D68" s="11">
        <v>2.886130007615682E-2</v>
      </c>
      <c r="E68" s="9" t="s">
        <v>61</v>
      </c>
      <c r="G68" s="9" t="s">
        <v>121</v>
      </c>
      <c r="H68" s="9" t="s">
        <v>78</v>
      </c>
      <c r="I68" s="13">
        <v>2.0577274087415078E-2</v>
      </c>
      <c r="J68" s="9" t="s">
        <v>61</v>
      </c>
      <c r="L68" s="9" t="s">
        <v>141</v>
      </c>
      <c r="M68" s="9" t="s">
        <v>78</v>
      </c>
      <c r="N68" s="13">
        <v>2.1608901212045915E-2</v>
      </c>
      <c r="O68" s="9" t="s">
        <v>61</v>
      </c>
    </row>
    <row r="69" spans="2:15" x14ac:dyDescent="0.45">
      <c r="B69" s="8" t="s">
        <v>101</v>
      </c>
      <c r="C69" s="8" t="s">
        <v>79</v>
      </c>
      <c r="D69" s="10">
        <v>4.1863402091620568E-3</v>
      </c>
      <c r="E69" s="8" t="s">
        <v>61</v>
      </c>
      <c r="G69" s="8" t="s">
        <v>121</v>
      </c>
      <c r="H69" s="8" t="s">
        <v>79</v>
      </c>
      <c r="I69" s="12">
        <v>2.4317007960376353E-2</v>
      </c>
      <c r="J69" s="8" t="s">
        <v>61</v>
      </c>
      <c r="L69" s="8" t="s">
        <v>141</v>
      </c>
      <c r="M69" s="8" t="s">
        <v>79</v>
      </c>
      <c r="N69" s="12">
        <v>2.308208857645995E-2</v>
      </c>
      <c r="O69" s="8" t="s">
        <v>61</v>
      </c>
    </row>
    <row r="70" spans="2:15" x14ac:dyDescent="0.45">
      <c r="B70" s="9" t="s">
        <v>101</v>
      </c>
      <c r="C70" s="9" t="s">
        <v>80</v>
      </c>
      <c r="D70" s="11">
        <v>0</v>
      </c>
      <c r="E70" s="9" t="s">
        <v>61</v>
      </c>
      <c r="G70" s="9" t="s">
        <v>121</v>
      </c>
      <c r="H70" s="9" t="s">
        <v>80</v>
      </c>
      <c r="I70" s="13">
        <v>3.7502295738591394E-2</v>
      </c>
      <c r="J70" s="9" t="s">
        <v>61</v>
      </c>
      <c r="L70" s="9" t="s">
        <v>141</v>
      </c>
      <c r="M70" s="9" t="s">
        <v>80</v>
      </c>
      <c r="N70" s="13">
        <v>3.5327909016734153E-2</v>
      </c>
      <c r="O70" s="9" t="s">
        <v>61</v>
      </c>
    </row>
    <row r="71" spans="2:15" x14ac:dyDescent="0.45">
      <c r="B71" s="8" t="s">
        <v>101</v>
      </c>
      <c r="C71" s="8" t="s">
        <v>81</v>
      </c>
      <c r="D71" s="10">
        <v>0</v>
      </c>
      <c r="E71" s="8" t="s">
        <v>61</v>
      </c>
      <c r="G71" s="8" t="s">
        <v>121</v>
      </c>
      <c r="H71" s="8" t="s">
        <v>81</v>
      </c>
      <c r="I71" s="12">
        <v>2.9782539553106835E-2</v>
      </c>
      <c r="J71" s="8" t="s">
        <v>61</v>
      </c>
      <c r="L71" s="8" t="s">
        <v>141</v>
      </c>
      <c r="M71" s="8" t="s">
        <v>81</v>
      </c>
      <c r="N71" s="12">
        <v>3.6669064254360374E-2</v>
      </c>
      <c r="O71" s="8" t="s">
        <v>61</v>
      </c>
    </row>
    <row r="72" spans="2:15" x14ac:dyDescent="0.45">
      <c r="B72" s="9" t="s">
        <v>101</v>
      </c>
      <c r="C72" s="9" t="s">
        <v>82</v>
      </c>
      <c r="D72" s="11">
        <v>1.7306967046699585E-2</v>
      </c>
      <c r="E72" s="9" t="s">
        <v>61</v>
      </c>
      <c r="G72" s="9" t="s">
        <v>121</v>
      </c>
      <c r="H72" s="9" t="s">
        <v>82</v>
      </c>
      <c r="I72" s="13">
        <v>1.0024829857190143E-2</v>
      </c>
      <c r="J72" s="9" t="s">
        <v>61</v>
      </c>
      <c r="L72" s="9" t="s">
        <v>141</v>
      </c>
      <c r="M72" s="9" t="s">
        <v>82</v>
      </c>
      <c r="N72" s="13">
        <v>1.4330814363298208E-2</v>
      </c>
      <c r="O72" s="9" t="s">
        <v>61</v>
      </c>
    </row>
    <row r="73" spans="2:15" x14ac:dyDescent="0.45">
      <c r="B73" s="8" t="s">
        <v>101</v>
      </c>
      <c r="C73" s="8" t="s">
        <v>83</v>
      </c>
      <c r="D73" s="10">
        <v>5.3551031178311448E-2</v>
      </c>
      <c r="E73" s="8" t="s">
        <v>61</v>
      </c>
      <c r="G73" s="8" t="s">
        <v>121</v>
      </c>
      <c r="H73" s="8" t="s">
        <v>83</v>
      </c>
      <c r="I73" s="12">
        <v>7.8148448200360213E-3</v>
      </c>
      <c r="J73" s="8" t="s">
        <v>61</v>
      </c>
      <c r="L73" s="8" t="s">
        <v>141</v>
      </c>
      <c r="M73" s="8" t="s">
        <v>83</v>
      </c>
      <c r="N73" s="12">
        <v>1.411050262569649E-2</v>
      </c>
      <c r="O73" s="8" t="s">
        <v>61</v>
      </c>
    </row>
    <row r="74" spans="2:15" x14ac:dyDescent="0.45">
      <c r="B74" s="9" t="s">
        <v>101</v>
      </c>
      <c r="C74" s="9" t="s">
        <v>84</v>
      </c>
      <c r="D74" s="11">
        <v>7.3900096127003545E-2</v>
      </c>
      <c r="E74" s="9" t="s">
        <v>61</v>
      </c>
      <c r="G74" s="9" t="s">
        <v>121</v>
      </c>
      <c r="H74" s="9" t="s">
        <v>84</v>
      </c>
      <c r="I74" s="13">
        <v>8.9776181295262401E-3</v>
      </c>
      <c r="J74" s="9" t="s">
        <v>61</v>
      </c>
      <c r="L74" s="9" t="s">
        <v>141</v>
      </c>
      <c r="M74" s="9" t="s">
        <v>84</v>
      </c>
      <c r="N74" s="13">
        <v>1.3543735848782856E-2</v>
      </c>
      <c r="O74" s="9" t="s">
        <v>61</v>
      </c>
    </row>
    <row r="75" spans="2:15" x14ac:dyDescent="0.45">
      <c r="B75" s="8" t="s">
        <v>101</v>
      </c>
      <c r="C75" s="8" t="s">
        <v>85</v>
      </c>
      <c r="D75" s="10">
        <v>7.4918125917033909E-2</v>
      </c>
      <c r="E75" s="8" t="s">
        <v>61</v>
      </c>
      <c r="G75" s="8" t="s">
        <v>121</v>
      </c>
      <c r="H75" s="8" t="s">
        <v>85</v>
      </c>
      <c r="I75" s="12">
        <v>7.6135671531763587E-3</v>
      </c>
      <c r="J75" s="8" t="s">
        <v>61</v>
      </c>
      <c r="L75" s="8" t="s">
        <v>141</v>
      </c>
      <c r="M75" s="8" t="s">
        <v>85</v>
      </c>
      <c r="N75" s="12">
        <v>1.2280565419770824E-2</v>
      </c>
      <c r="O75" s="8" t="s">
        <v>61</v>
      </c>
    </row>
    <row r="76" spans="2:15" x14ac:dyDescent="0.45">
      <c r="B76" s="9" t="s">
        <v>101</v>
      </c>
      <c r="C76" s="9" t="s">
        <v>86</v>
      </c>
      <c r="D76" s="11">
        <v>7.1506898150631021E-2</v>
      </c>
      <c r="E76" s="9" t="s">
        <v>61</v>
      </c>
      <c r="G76" s="9" t="s">
        <v>121</v>
      </c>
      <c r="H76" s="9" t="s">
        <v>86</v>
      </c>
      <c r="I76" s="13">
        <v>9.2789229284612161E-3</v>
      </c>
      <c r="J76" s="9" t="s">
        <v>61</v>
      </c>
      <c r="L76" s="9" t="s">
        <v>141</v>
      </c>
      <c r="M76" s="9" t="s">
        <v>86</v>
      </c>
      <c r="N76" s="13">
        <v>1.3458962126435613E-2</v>
      </c>
      <c r="O76" s="9" t="s">
        <v>61</v>
      </c>
    </row>
    <row r="77" spans="2:15" x14ac:dyDescent="0.45">
      <c r="B77" s="8" t="s">
        <v>101</v>
      </c>
      <c r="C77" s="8" t="s">
        <v>87</v>
      </c>
      <c r="D77" s="10">
        <v>6.4327413962867591E-2</v>
      </c>
      <c r="E77" s="8" t="s">
        <v>61</v>
      </c>
      <c r="G77" s="8" t="s">
        <v>121</v>
      </c>
      <c r="H77" s="8" t="s">
        <v>87</v>
      </c>
      <c r="I77" s="12">
        <v>1.0936678861261163E-2</v>
      </c>
      <c r="J77" s="8" t="s">
        <v>61</v>
      </c>
      <c r="L77" s="8" t="s">
        <v>141</v>
      </c>
      <c r="M77" s="8" t="s">
        <v>87</v>
      </c>
      <c r="N77" s="12">
        <v>1.4857242880193086E-2</v>
      </c>
      <c r="O77" s="8" t="s">
        <v>61</v>
      </c>
    </row>
    <row r="78" spans="2:15" x14ac:dyDescent="0.45">
      <c r="B78" s="9" t="s">
        <v>101</v>
      </c>
      <c r="C78" s="9" t="s">
        <v>88</v>
      </c>
      <c r="D78" s="11">
        <v>4.3177828569251807E-2</v>
      </c>
      <c r="E78" s="9" t="s">
        <v>61</v>
      </c>
      <c r="G78" s="9" t="s">
        <v>121</v>
      </c>
      <c r="H78" s="9" t="s">
        <v>88</v>
      </c>
      <c r="I78" s="13">
        <v>1.0527482176386769E-2</v>
      </c>
      <c r="J78" s="9" t="s">
        <v>61</v>
      </c>
      <c r="L78" s="9" t="s">
        <v>141</v>
      </c>
      <c r="M78" s="9" t="s">
        <v>88</v>
      </c>
      <c r="N78" s="13">
        <v>1.5070431249181422E-2</v>
      </c>
      <c r="O78" s="9" t="s">
        <v>61</v>
      </c>
    </row>
    <row r="79" spans="2:15" x14ac:dyDescent="0.45">
      <c r="B79" s="8" t="s">
        <v>101</v>
      </c>
      <c r="C79" s="8" t="s">
        <v>89</v>
      </c>
      <c r="D79" s="10">
        <v>1.4117022479778439E-2</v>
      </c>
      <c r="E79" s="8" t="s">
        <v>61</v>
      </c>
      <c r="G79" s="8" t="s">
        <v>121</v>
      </c>
      <c r="H79" s="8" t="s">
        <v>89</v>
      </c>
      <c r="I79" s="12">
        <v>1.2101806532907355E-2</v>
      </c>
      <c r="J79" s="8" t="s">
        <v>61</v>
      </c>
      <c r="L79" s="8" t="s">
        <v>141</v>
      </c>
      <c r="M79" s="8" t="s">
        <v>89</v>
      </c>
      <c r="N79" s="12">
        <v>1.4836047177197113E-2</v>
      </c>
      <c r="O79" s="8" t="s">
        <v>61</v>
      </c>
    </row>
    <row r="80" spans="2:15" x14ac:dyDescent="0.45">
      <c r="B80" s="9" t="s">
        <v>101</v>
      </c>
      <c r="C80" s="9" t="s">
        <v>90</v>
      </c>
      <c r="D80" s="11">
        <v>0</v>
      </c>
      <c r="E80" s="9" t="s">
        <v>61</v>
      </c>
      <c r="G80" s="9" t="s">
        <v>121</v>
      </c>
      <c r="H80" s="9" t="s">
        <v>90</v>
      </c>
      <c r="I80" s="13">
        <v>1.9696407640965842E-2</v>
      </c>
      <c r="J80" s="9" t="s">
        <v>61</v>
      </c>
      <c r="L80" s="9" t="s">
        <v>141</v>
      </c>
      <c r="M80" s="9" t="s">
        <v>90</v>
      </c>
      <c r="N80" s="13">
        <v>2.1973256957628064E-2</v>
      </c>
      <c r="O80" s="9" t="s">
        <v>61</v>
      </c>
    </row>
    <row r="81" spans="2:15" x14ac:dyDescent="0.45">
      <c r="B81" s="8" t="s">
        <v>101</v>
      </c>
      <c r="C81" s="8" t="s">
        <v>91</v>
      </c>
      <c r="D81" s="10">
        <v>0</v>
      </c>
      <c r="E81" s="8" t="s">
        <v>61</v>
      </c>
      <c r="G81" s="8" t="s">
        <v>121</v>
      </c>
      <c r="H81" s="8" t="s">
        <v>91</v>
      </c>
      <c r="I81" s="12">
        <v>5.4897245717874521E-2</v>
      </c>
      <c r="J81" s="8" t="s">
        <v>61</v>
      </c>
      <c r="L81" s="8" t="s">
        <v>141</v>
      </c>
      <c r="M81" s="8" t="s">
        <v>91</v>
      </c>
      <c r="N81" s="12">
        <v>5.2935487082268494E-2</v>
      </c>
      <c r="O81" s="8" t="s">
        <v>61</v>
      </c>
    </row>
    <row r="82" spans="2:15" x14ac:dyDescent="0.45">
      <c r="B82" s="9" t="s">
        <v>101</v>
      </c>
      <c r="C82" s="9" t="s">
        <v>92</v>
      </c>
      <c r="D82" s="11">
        <v>6.3123503422838484E-4</v>
      </c>
      <c r="E82" s="9" t="s">
        <v>61</v>
      </c>
      <c r="G82" s="9" t="s">
        <v>121</v>
      </c>
      <c r="H82" s="9" t="s">
        <v>92</v>
      </c>
      <c r="I82" s="13">
        <v>2.0209853176078412E-2</v>
      </c>
      <c r="J82" s="9" t="s">
        <v>61</v>
      </c>
      <c r="L82" s="9" t="s">
        <v>141</v>
      </c>
      <c r="M82" s="9" t="s">
        <v>92</v>
      </c>
      <c r="N82" s="13">
        <v>2.1213659930966241E-2</v>
      </c>
      <c r="O82" s="9" t="s">
        <v>61</v>
      </c>
    </row>
    <row r="83" spans="2:15" x14ac:dyDescent="0.45">
      <c r="B83" s="8" t="s">
        <v>101</v>
      </c>
      <c r="C83" s="8" t="s">
        <v>93</v>
      </c>
      <c r="D83" s="10">
        <v>1.597651676587435E-2</v>
      </c>
      <c r="E83" s="8" t="s">
        <v>61</v>
      </c>
      <c r="G83" s="8" t="s">
        <v>121</v>
      </c>
      <c r="H83" s="8" t="s">
        <v>93</v>
      </c>
      <c r="I83" s="12">
        <v>1.9549940713398949E-2</v>
      </c>
      <c r="J83" s="8" t="s">
        <v>61</v>
      </c>
      <c r="L83" s="8" t="s">
        <v>141</v>
      </c>
      <c r="M83" s="8" t="s">
        <v>93</v>
      </c>
      <c r="N83" s="12">
        <v>2.1675452241600092E-2</v>
      </c>
      <c r="O83" s="8" t="s">
        <v>61</v>
      </c>
    </row>
    <row r="84" spans="2:15" x14ac:dyDescent="0.45">
      <c r="B84" s="9" t="s">
        <v>101</v>
      </c>
      <c r="C84" s="9" t="s">
        <v>94</v>
      </c>
      <c r="D84" s="11">
        <v>3.6373986128046827E-2</v>
      </c>
      <c r="E84" s="9" t="s">
        <v>61</v>
      </c>
      <c r="G84" s="9" t="s">
        <v>121</v>
      </c>
      <c r="H84" s="9" t="s">
        <v>94</v>
      </c>
      <c r="I84" s="13">
        <v>1.8457275974598172E-2</v>
      </c>
      <c r="J84" s="9" t="s">
        <v>61</v>
      </c>
      <c r="L84" s="9" t="s">
        <v>141</v>
      </c>
      <c r="M84" s="9" t="s">
        <v>94</v>
      </c>
      <c r="N84" s="13">
        <v>2.1959877044093041E-2</v>
      </c>
      <c r="O84" s="9" t="s">
        <v>61</v>
      </c>
    </row>
    <row r="85" spans="2:15" x14ac:dyDescent="0.45">
      <c r="B85" s="8" t="s">
        <v>101</v>
      </c>
      <c r="C85" s="8" t="s">
        <v>95</v>
      </c>
      <c r="D85" s="10">
        <v>4.1948798397579631E-2</v>
      </c>
      <c r="E85" s="8" t="s">
        <v>61</v>
      </c>
      <c r="G85" s="8" t="s">
        <v>121</v>
      </c>
      <c r="H85" s="8" t="s">
        <v>95</v>
      </c>
      <c r="I85" s="12">
        <v>1.761693897992626E-2</v>
      </c>
      <c r="J85" s="8" t="s">
        <v>61</v>
      </c>
      <c r="L85" s="8" t="s">
        <v>141</v>
      </c>
      <c r="M85" s="8" t="s">
        <v>95</v>
      </c>
      <c r="N85" s="12">
        <v>2.1130232193841567E-2</v>
      </c>
      <c r="O85" s="8" t="s">
        <v>61</v>
      </c>
    </row>
    <row r="86" spans="2:15" x14ac:dyDescent="0.45">
      <c r="B86" s="9" t="s">
        <v>101</v>
      </c>
      <c r="C86" s="9" t="s">
        <v>96</v>
      </c>
      <c r="D86" s="11">
        <v>4.2982917498279816E-2</v>
      </c>
      <c r="E86" s="9" t="s">
        <v>61</v>
      </c>
      <c r="G86" s="9" t="s">
        <v>121</v>
      </c>
      <c r="H86" s="9" t="s">
        <v>96</v>
      </c>
      <c r="I86" s="13">
        <v>1.9659002222538306E-2</v>
      </c>
      <c r="J86" s="9" t="s">
        <v>61</v>
      </c>
      <c r="L86" s="9" t="s">
        <v>141</v>
      </c>
      <c r="M86" s="9" t="s">
        <v>96</v>
      </c>
      <c r="N86" s="13">
        <v>2.0977563892970359E-2</v>
      </c>
      <c r="O86" s="9" t="s">
        <v>61</v>
      </c>
    </row>
    <row r="87" spans="2:15" x14ac:dyDescent="0.45">
      <c r="B87" s="8" t="s">
        <v>101</v>
      </c>
      <c r="C87" s="8" t="s">
        <v>97</v>
      </c>
      <c r="D87" s="10">
        <v>3.1132285078301094E-2</v>
      </c>
      <c r="E87" s="8" t="s">
        <v>61</v>
      </c>
      <c r="G87" s="8" t="s">
        <v>121</v>
      </c>
      <c r="H87" s="8" t="s">
        <v>97</v>
      </c>
      <c r="I87" s="12">
        <v>2.0773918461541783E-2</v>
      </c>
      <c r="J87" s="8" t="s">
        <v>61</v>
      </c>
      <c r="L87" s="8" t="s">
        <v>141</v>
      </c>
      <c r="M87" s="8" t="s">
        <v>97</v>
      </c>
      <c r="N87" s="12">
        <v>2.1387464989715086E-2</v>
      </c>
      <c r="O87" s="8" t="s">
        <v>61</v>
      </c>
    </row>
    <row r="88" spans="2:15" x14ac:dyDescent="0.45">
      <c r="B88" s="9" t="s">
        <v>101</v>
      </c>
      <c r="C88" s="9" t="s">
        <v>98</v>
      </c>
      <c r="D88" s="11">
        <v>8.3314161561162513E-3</v>
      </c>
      <c r="E88" s="9" t="s">
        <v>61</v>
      </c>
      <c r="G88" s="9" t="s">
        <v>121</v>
      </c>
      <c r="H88" s="9" t="s">
        <v>98</v>
      </c>
      <c r="I88" s="13">
        <v>2.4043189614494049E-2</v>
      </c>
      <c r="J88" s="9" t="s">
        <v>61</v>
      </c>
      <c r="L88" s="9" t="s">
        <v>141</v>
      </c>
      <c r="M88" s="9" t="s">
        <v>98</v>
      </c>
      <c r="N88" s="13">
        <v>2.2254788644095701E-2</v>
      </c>
      <c r="O88" s="9" t="s">
        <v>61</v>
      </c>
    </row>
    <row r="89" spans="2:15" x14ac:dyDescent="0.45">
      <c r="B89" s="8" t="s">
        <v>101</v>
      </c>
      <c r="C89" s="8" t="s">
        <v>99</v>
      </c>
      <c r="D89" s="10">
        <v>6.1182494558961802E-7</v>
      </c>
      <c r="E89" s="8" t="s">
        <v>61</v>
      </c>
      <c r="G89" s="8" t="s">
        <v>121</v>
      </c>
      <c r="H89" s="8" t="s">
        <v>99</v>
      </c>
      <c r="I89" s="12">
        <v>2.6078788975439918E-2</v>
      </c>
      <c r="J89" s="8" t="s">
        <v>61</v>
      </c>
      <c r="L89" s="8" t="s">
        <v>141</v>
      </c>
      <c r="M89" s="8" t="s">
        <v>99</v>
      </c>
      <c r="N89" s="12">
        <v>2.2759711587027089E-2</v>
      </c>
      <c r="O89" s="8" t="s">
        <v>61</v>
      </c>
    </row>
    <row r="90" spans="2:15" x14ac:dyDescent="0.45">
      <c r="B90" s="9" t="s">
        <v>101</v>
      </c>
      <c r="C90" s="9" t="s">
        <v>100</v>
      </c>
      <c r="D90" s="11">
        <v>0</v>
      </c>
      <c r="E90" s="9" t="s">
        <v>61</v>
      </c>
      <c r="G90" s="9" t="s">
        <v>121</v>
      </c>
      <c r="H90" s="9" t="s">
        <v>100</v>
      </c>
      <c r="I90" s="13">
        <v>3.9008481150171789E-2</v>
      </c>
      <c r="J90" s="9" t="s">
        <v>61</v>
      </c>
      <c r="L90" s="9" t="s">
        <v>141</v>
      </c>
      <c r="M90" s="9" t="s">
        <v>100</v>
      </c>
      <c r="N90" s="13">
        <v>3.366663409162348E-2</v>
      </c>
      <c r="O90" s="9" t="s">
        <v>61</v>
      </c>
    </row>
    <row r="91" spans="2:15" x14ac:dyDescent="0.45">
      <c r="B91" s="8" t="s">
        <v>102</v>
      </c>
      <c r="C91" s="8" t="s">
        <v>60</v>
      </c>
      <c r="D91" s="10">
        <v>0</v>
      </c>
      <c r="E91" s="8" t="s">
        <v>61</v>
      </c>
      <c r="G91" s="8" t="s">
        <v>122</v>
      </c>
      <c r="H91" s="8" t="s">
        <v>60</v>
      </c>
      <c r="I91" s="12">
        <v>7.3555949944234048E-2</v>
      </c>
      <c r="J91" s="8" t="s">
        <v>61</v>
      </c>
      <c r="L91" s="8" t="s">
        <v>142</v>
      </c>
      <c r="M91" s="8" t="s">
        <v>60</v>
      </c>
      <c r="N91" s="12">
        <v>6.7499424416099768E-2</v>
      </c>
      <c r="O91" s="8" t="s">
        <v>61</v>
      </c>
    </row>
    <row r="92" spans="2:15" x14ac:dyDescent="0.45">
      <c r="B92" s="9" t="s">
        <v>102</v>
      </c>
      <c r="C92" s="9" t="s">
        <v>62</v>
      </c>
      <c r="D92" s="11">
        <v>0</v>
      </c>
      <c r="E92" s="9" t="s">
        <v>61</v>
      </c>
      <c r="G92" s="9" t="s">
        <v>122</v>
      </c>
      <c r="H92" s="9" t="s">
        <v>62</v>
      </c>
      <c r="I92" s="13">
        <v>2.9841170865396675E-2</v>
      </c>
      <c r="J92" s="9" t="s">
        <v>61</v>
      </c>
      <c r="L92" s="9" t="s">
        <v>142</v>
      </c>
      <c r="M92" s="9" t="s">
        <v>62</v>
      </c>
      <c r="N92" s="13">
        <v>2.6649092158111384E-2</v>
      </c>
      <c r="O92" s="9" t="s">
        <v>61</v>
      </c>
    </row>
    <row r="93" spans="2:15" x14ac:dyDescent="0.45">
      <c r="B93" s="8" t="s">
        <v>102</v>
      </c>
      <c r="C93" s="8" t="s">
        <v>63</v>
      </c>
      <c r="D93" s="10">
        <v>5.0066600413036866E-4</v>
      </c>
      <c r="E93" s="8" t="s">
        <v>61</v>
      </c>
      <c r="G93" s="8" t="s">
        <v>122</v>
      </c>
      <c r="H93" s="8" t="s">
        <v>63</v>
      </c>
      <c r="I93" s="12">
        <v>2.9952624801595676E-2</v>
      </c>
      <c r="J93" s="8" t="s">
        <v>61</v>
      </c>
      <c r="L93" s="8" t="s">
        <v>142</v>
      </c>
      <c r="M93" s="8" t="s">
        <v>63</v>
      </c>
      <c r="N93" s="12">
        <v>2.7021139145331996E-2</v>
      </c>
      <c r="O93" s="8" t="s">
        <v>61</v>
      </c>
    </row>
    <row r="94" spans="2:15" x14ac:dyDescent="0.45">
      <c r="B94" s="9" t="s">
        <v>102</v>
      </c>
      <c r="C94" s="9" t="s">
        <v>64</v>
      </c>
      <c r="D94" s="11">
        <v>1.461600380041447E-2</v>
      </c>
      <c r="E94" s="9" t="s">
        <v>61</v>
      </c>
      <c r="G94" s="9" t="s">
        <v>122</v>
      </c>
      <c r="H94" s="9" t="s">
        <v>64</v>
      </c>
      <c r="I94" s="13">
        <v>2.9306810266076469E-2</v>
      </c>
      <c r="J94" s="9" t="s">
        <v>61</v>
      </c>
      <c r="L94" s="9" t="s">
        <v>142</v>
      </c>
      <c r="M94" s="9" t="s">
        <v>64</v>
      </c>
      <c r="N94" s="13">
        <v>2.7242298673427222E-2</v>
      </c>
      <c r="O94" s="9" t="s">
        <v>61</v>
      </c>
    </row>
    <row r="95" spans="2:15" x14ac:dyDescent="0.45">
      <c r="B95" s="8" t="s">
        <v>102</v>
      </c>
      <c r="C95" s="8" t="s">
        <v>65</v>
      </c>
      <c r="D95" s="10">
        <v>2.6247279478015615E-2</v>
      </c>
      <c r="E95" s="8" t="s">
        <v>61</v>
      </c>
      <c r="G95" s="8" t="s">
        <v>122</v>
      </c>
      <c r="H95" s="8" t="s">
        <v>65</v>
      </c>
      <c r="I95" s="12">
        <v>2.6879904742970653E-2</v>
      </c>
      <c r="J95" s="8" t="s">
        <v>61</v>
      </c>
      <c r="L95" s="8" t="s">
        <v>142</v>
      </c>
      <c r="M95" s="8" t="s">
        <v>65</v>
      </c>
      <c r="N95" s="12">
        <v>2.580348625354989E-2</v>
      </c>
      <c r="O95" s="8" t="s">
        <v>61</v>
      </c>
    </row>
    <row r="96" spans="2:15" x14ac:dyDescent="0.45">
      <c r="B96" s="9" t="s">
        <v>102</v>
      </c>
      <c r="C96" s="9" t="s">
        <v>66</v>
      </c>
      <c r="D96" s="11">
        <v>2.6604655949673817E-2</v>
      </c>
      <c r="E96" s="9" t="s">
        <v>61</v>
      </c>
      <c r="G96" s="9" t="s">
        <v>122</v>
      </c>
      <c r="H96" s="9" t="s">
        <v>66</v>
      </c>
      <c r="I96" s="13">
        <v>2.605218889291544E-2</v>
      </c>
      <c r="J96" s="9" t="s">
        <v>61</v>
      </c>
      <c r="L96" s="9" t="s">
        <v>142</v>
      </c>
      <c r="M96" s="9" t="s">
        <v>66</v>
      </c>
      <c r="N96" s="13">
        <v>2.5544882680170217E-2</v>
      </c>
      <c r="O96" s="9" t="s">
        <v>61</v>
      </c>
    </row>
    <row r="97" spans="2:15" x14ac:dyDescent="0.45">
      <c r="B97" s="8" t="s">
        <v>102</v>
      </c>
      <c r="C97" s="8" t="s">
        <v>67</v>
      </c>
      <c r="D97" s="10">
        <v>1.3799730308749368E-2</v>
      </c>
      <c r="E97" s="8" t="s">
        <v>61</v>
      </c>
      <c r="G97" s="8" t="s">
        <v>122</v>
      </c>
      <c r="H97" s="8" t="s">
        <v>67</v>
      </c>
      <c r="I97" s="12">
        <v>2.7377443578063581E-2</v>
      </c>
      <c r="J97" s="8" t="s">
        <v>61</v>
      </c>
      <c r="L97" s="8" t="s">
        <v>142</v>
      </c>
      <c r="M97" s="8" t="s">
        <v>67</v>
      </c>
      <c r="N97" s="12">
        <v>2.654356561504867E-2</v>
      </c>
      <c r="O97" s="8" t="s">
        <v>61</v>
      </c>
    </row>
    <row r="98" spans="2:15" x14ac:dyDescent="0.45">
      <c r="B98" s="9" t="s">
        <v>102</v>
      </c>
      <c r="C98" s="9" t="s">
        <v>68</v>
      </c>
      <c r="D98" s="11">
        <v>1.036392760669398E-3</v>
      </c>
      <c r="E98" s="9" t="s">
        <v>61</v>
      </c>
      <c r="G98" s="9" t="s">
        <v>122</v>
      </c>
      <c r="H98" s="9" t="s">
        <v>68</v>
      </c>
      <c r="I98" s="13">
        <v>2.961152249472403E-2</v>
      </c>
      <c r="J98" s="9" t="s">
        <v>61</v>
      </c>
      <c r="L98" s="9" t="s">
        <v>142</v>
      </c>
      <c r="M98" s="9" t="s">
        <v>68</v>
      </c>
      <c r="N98" s="13">
        <v>2.7990989568558462E-2</v>
      </c>
      <c r="O98" s="9" t="s">
        <v>61</v>
      </c>
    </row>
    <row r="99" spans="2:15" x14ac:dyDescent="0.45">
      <c r="B99" s="8" t="s">
        <v>102</v>
      </c>
      <c r="C99" s="8" t="s">
        <v>69</v>
      </c>
      <c r="D99" s="10">
        <v>0</v>
      </c>
      <c r="E99" s="8" t="s">
        <v>61</v>
      </c>
      <c r="G99" s="8" t="s">
        <v>122</v>
      </c>
      <c r="H99" s="8" t="s">
        <v>69</v>
      </c>
      <c r="I99" s="12">
        <v>3.0197584130866349E-2</v>
      </c>
      <c r="J99" s="8" t="s">
        <v>61</v>
      </c>
      <c r="L99" s="8" t="s">
        <v>142</v>
      </c>
      <c r="M99" s="8" t="s">
        <v>69</v>
      </c>
      <c r="N99" s="12">
        <v>2.8399323779049558E-2</v>
      </c>
      <c r="O99" s="8" t="s">
        <v>61</v>
      </c>
    </row>
    <row r="100" spans="2:15" x14ac:dyDescent="0.45">
      <c r="B100" s="9" t="s">
        <v>102</v>
      </c>
      <c r="C100" s="9" t="s">
        <v>70</v>
      </c>
      <c r="D100" s="11">
        <v>0</v>
      </c>
      <c r="E100" s="9" t="s">
        <v>61</v>
      </c>
      <c r="G100" s="9" t="s">
        <v>122</v>
      </c>
      <c r="H100" s="9" t="s">
        <v>70</v>
      </c>
      <c r="I100" s="13">
        <v>4.4847668506625651E-2</v>
      </c>
      <c r="J100" s="9" t="s">
        <v>61</v>
      </c>
      <c r="L100" s="9" t="s">
        <v>142</v>
      </c>
      <c r="M100" s="9" t="s">
        <v>70</v>
      </c>
      <c r="N100" s="13">
        <v>4.2424242670859903E-2</v>
      </c>
      <c r="O100" s="9" t="s">
        <v>61</v>
      </c>
    </row>
    <row r="101" spans="2:15" x14ac:dyDescent="0.45">
      <c r="B101" s="8" t="s">
        <v>102</v>
      </c>
      <c r="C101" s="8" t="s">
        <v>71</v>
      </c>
      <c r="D101" s="10">
        <v>0</v>
      </c>
      <c r="E101" s="8" t="s">
        <v>61</v>
      </c>
      <c r="G101" s="8" t="s">
        <v>122</v>
      </c>
      <c r="H101" s="8" t="s">
        <v>71</v>
      </c>
      <c r="I101" s="12">
        <v>5.9764695758449463E-2</v>
      </c>
      <c r="J101" s="8" t="s">
        <v>61</v>
      </c>
      <c r="L101" s="8" t="s">
        <v>142</v>
      </c>
      <c r="M101" s="8" t="s">
        <v>71</v>
      </c>
      <c r="N101" s="12">
        <v>5.5417974749842641E-2</v>
      </c>
      <c r="O101" s="8" t="s">
        <v>61</v>
      </c>
    </row>
    <row r="102" spans="2:15" x14ac:dyDescent="0.45">
      <c r="B102" s="9" t="s">
        <v>102</v>
      </c>
      <c r="C102" s="9" t="s">
        <v>72</v>
      </c>
      <c r="D102" s="11">
        <v>8.8603801629293568E-3</v>
      </c>
      <c r="E102" s="9" t="s">
        <v>61</v>
      </c>
      <c r="G102" s="9" t="s">
        <v>122</v>
      </c>
      <c r="H102" s="9" t="s">
        <v>72</v>
      </c>
      <c r="I102" s="13">
        <v>2.326502060955854E-2</v>
      </c>
      <c r="J102" s="9" t="s">
        <v>61</v>
      </c>
      <c r="L102" s="9" t="s">
        <v>142</v>
      </c>
      <c r="M102" s="9" t="s">
        <v>72</v>
      </c>
      <c r="N102" s="13">
        <v>2.180214533239621E-2</v>
      </c>
      <c r="O102" s="9" t="s">
        <v>61</v>
      </c>
    </row>
    <row r="103" spans="2:15" x14ac:dyDescent="0.45">
      <c r="B103" s="8" t="s">
        <v>102</v>
      </c>
      <c r="C103" s="8" t="s">
        <v>73</v>
      </c>
      <c r="D103" s="10">
        <v>3.7219811134268303E-2</v>
      </c>
      <c r="E103" s="8" t="s">
        <v>61</v>
      </c>
      <c r="G103" s="8" t="s">
        <v>122</v>
      </c>
      <c r="H103" s="8" t="s">
        <v>73</v>
      </c>
      <c r="I103" s="12">
        <v>2.0134422676571749E-2</v>
      </c>
      <c r="J103" s="8" t="s">
        <v>61</v>
      </c>
      <c r="L103" s="8" t="s">
        <v>142</v>
      </c>
      <c r="M103" s="8" t="s">
        <v>73</v>
      </c>
      <c r="N103" s="12">
        <v>2.0669878043488136E-2</v>
      </c>
      <c r="O103" s="8" t="s">
        <v>61</v>
      </c>
    </row>
    <row r="104" spans="2:15" x14ac:dyDescent="0.45">
      <c r="B104" s="9" t="s">
        <v>102</v>
      </c>
      <c r="C104" s="9" t="s">
        <v>74</v>
      </c>
      <c r="D104" s="11">
        <v>6.03443542530833E-2</v>
      </c>
      <c r="E104" s="9" t="s">
        <v>61</v>
      </c>
      <c r="G104" s="9" t="s">
        <v>122</v>
      </c>
      <c r="H104" s="9" t="s">
        <v>74</v>
      </c>
      <c r="I104" s="13">
        <v>2.0046938693690543E-2</v>
      </c>
      <c r="J104" s="9" t="s">
        <v>61</v>
      </c>
      <c r="L104" s="9" t="s">
        <v>142</v>
      </c>
      <c r="M104" s="9" t="s">
        <v>74</v>
      </c>
      <c r="N104" s="13">
        <v>1.9624010956578956E-2</v>
      </c>
      <c r="O104" s="9" t="s">
        <v>61</v>
      </c>
    </row>
    <row r="105" spans="2:15" x14ac:dyDescent="0.45">
      <c r="B105" s="8" t="s">
        <v>102</v>
      </c>
      <c r="C105" s="8" t="s">
        <v>75</v>
      </c>
      <c r="D105" s="10">
        <v>6.7189359665887516E-2</v>
      </c>
      <c r="E105" s="8" t="s">
        <v>61</v>
      </c>
      <c r="G105" s="8" t="s">
        <v>122</v>
      </c>
      <c r="H105" s="8" t="s">
        <v>75</v>
      </c>
      <c r="I105" s="12">
        <v>1.8609874704504099E-2</v>
      </c>
      <c r="J105" s="8" t="s">
        <v>61</v>
      </c>
      <c r="L105" s="8" t="s">
        <v>142</v>
      </c>
      <c r="M105" s="8" t="s">
        <v>75</v>
      </c>
      <c r="N105" s="12">
        <v>1.6876964098683941E-2</v>
      </c>
      <c r="O105" s="8" t="s">
        <v>61</v>
      </c>
    </row>
    <row r="106" spans="2:15" x14ac:dyDescent="0.45">
      <c r="B106" s="9" t="s">
        <v>102</v>
      </c>
      <c r="C106" s="9" t="s">
        <v>76</v>
      </c>
      <c r="D106" s="11">
        <v>6.3352949614446805E-2</v>
      </c>
      <c r="E106" s="9" t="s">
        <v>61</v>
      </c>
      <c r="G106" s="9" t="s">
        <v>122</v>
      </c>
      <c r="H106" s="9" t="s">
        <v>76</v>
      </c>
      <c r="I106" s="13">
        <v>2.1334695816498252E-2</v>
      </c>
      <c r="J106" s="9" t="s">
        <v>61</v>
      </c>
      <c r="L106" s="9" t="s">
        <v>142</v>
      </c>
      <c r="M106" s="9" t="s">
        <v>76</v>
      </c>
      <c r="N106" s="13">
        <v>1.7350505073208532E-2</v>
      </c>
      <c r="O106" s="9" t="s">
        <v>61</v>
      </c>
    </row>
    <row r="107" spans="2:15" x14ac:dyDescent="0.45">
      <c r="B107" s="8" t="s">
        <v>102</v>
      </c>
      <c r="C107" s="8" t="s">
        <v>77</v>
      </c>
      <c r="D107" s="10">
        <v>5.198490895756127E-2</v>
      </c>
      <c r="E107" s="8" t="s">
        <v>61</v>
      </c>
      <c r="G107" s="8" t="s">
        <v>122</v>
      </c>
      <c r="H107" s="8" t="s">
        <v>77</v>
      </c>
      <c r="I107" s="12">
        <v>2.0916619803895867E-2</v>
      </c>
      <c r="J107" s="8" t="s">
        <v>61</v>
      </c>
      <c r="L107" s="8" t="s">
        <v>142</v>
      </c>
      <c r="M107" s="8" t="s">
        <v>77</v>
      </c>
      <c r="N107" s="12">
        <v>1.8811882861279605E-2</v>
      </c>
      <c r="O107" s="8" t="s">
        <v>61</v>
      </c>
    </row>
    <row r="108" spans="2:15" x14ac:dyDescent="0.45">
      <c r="B108" s="9" t="s">
        <v>102</v>
      </c>
      <c r="C108" s="9" t="s">
        <v>78</v>
      </c>
      <c r="D108" s="11">
        <v>2.9881194995554736E-2</v>
      </c>
      <c r="E108" s="9" t="s">
        <v>61</v>
      </c>
      <c r="G108" s="9" t="s">
        <v>122</v>
      </c>
      <c r="H108" s="9" t="s">
        <v>78</v>
      </c>
      <c r="I108" s="13">
        <v>2.0579856561667213E-2</v>
      </c>
      <c r="J108" s="9" t="s">
        <v>61</v>
      </c>
      <c r="L108" s="9" t="s">
        <v>142</v>
      </c>
      <c r="M108" s="9" t="s">
        <v>78</v>
      </c>
      <c r="N108" s="13">
        <v>2.0467417665696246E-2</v>
      </c>
      <c r="O108" s="9" t="s">
        <v>61</v>
      </c>
    </row>
    <row r="109" spans="2:15" x14ac:dyDescent="0.45">
      <c r="B109" s="8" t="s">
        <v>102</v>
      </c>
      <c r="C109" s="8" t="s">
        <v>79</v>
      </c>
      <c r="D109" s="10">
        <v>4.9288236623076E-3</v>
      </c>
      <c r="E109" s="8" t="s">
        <v>61</v>
      </c>
      <c r="G109" s="8" t="s">
        <v>122</v>
      </c>
      <c r="H109" s="8" t="s">
        <v>79</v>
      </c>
      <c r="I109" s="12">
        <v>2.3672904614733419E-2</v>
      </c>
      <c r="J109" s="8" t="s">
        <v>61</v>
      </c>
      <c r="L109" s="8" t="s">
        <v>142</v>
      </c>
      <c r="M109" s="8" t="s">
        <v>79</v>
      </c>
      <c r="N109" s="12">
        <v>2.1923189479267302E-2</v>
      </c>
      <c r="O109" s="8" t="s">
        <v>61</v>
      </c>
    </row>
    <row r="110" spans="2:15" x14ac:dyDescent="0.45">
      <c r="B110" s="9" t="s">
        <v>102</v>
      </c>
      <c r="C110" s="9" t="s">
        <v>80</v>
      </c>
      <c r="D110" s="11">
        <v>0</v>
      </c>
      <c r="E110" s="9" t="s">
        <v>61</v>
      </c>
      <c r="G110" s="9" t="s">
        <v>122</v>
      </c>
      <c r="H110" s="9" t="s">
        <v>80</v>
      </c>
      <c r="I110" s="13">
        <v>3.72471315367899E-2</v>
      </c>
      <c r="J110" s="9" t="s">
        <v>61</v>
      </c>
      <c r="L110" s="9" t="s">
        <v>142</v>
      </c>
      <c r="M110" s="9" t="s">
        <v>80</v>
      </c>
      <c r="N110" s="13">
        <v>3.401759917037022E-2</v>
      </c>
      <c r="O110" s="9" t="s">
        <v>61</v>
      </c>
    </row>
    <row r="111" spans="2:15" x14ac:dyDescent="0.45">
      <c r="B111" s="8" t="s">
        <v>102</v>
      </c>
      <c r="C111" s="8" t="s">
        <v>81</v>
      </c>
      <c r="D111" s="10">
        <v>0</v>
      </c>
      <c r="E111" s="8" t="s">
        <v>61</v>
      </c>
      <c r="G111" s="8" t="s">
        <v>122</v>
      </c>
      <c r="H111" s="8" t="s">
        <v>81</v>
      </c>
      <c r="I111" s="12">
        <v>3.1225555948804423E-2</v>
      </c>
      <c r="J111" s="8" t="s">
        <v>61</v>
      </c>
      <c r="L111" s="8" t="s">
        <v>142</v>
      </c>
      <c r="M111" s="8" t="s">
        <v>81</v>
      </c>
      <c r="N111" s="12">
        <v>3.3908940235309409E-2</v>
      </c>
      <c r="O111" s="8" t="s">
        <v>61</v>
      </c>
    </row>
    <row r="112" spans="2:15" x14ac:dyDescent="0.45">
      <c r="B112" s="9" t="s">
        <v>102</v>
      </c>
      <c r="C112" s="9" t="s">
        <v>82</v>
      </c>
      <c r="D112" s="11">
        <v>1.8255640191229824E-2</v>
      </c>
      <c r="E112" s="9" t="s">
        <v>61</v>
      </c>
      <c r="G112" s="9" t="s">
        <v>122</v>
      </c>
      <c r="H112" s="9" t="s">
        <v>82</v>
      </c>
      <c r="I112" s="13">
        <v>9.5566511673348398E-3</v>
      </c>
      <c r="J112" s="9" t="s">
        <v>61</v>
      </c>
      <c r="L112" s="9" t="s">
        <v>142</v>
      </c>
      <c r="M112" s="9" t="s">
        <v>82</v>
      </c>
      <c r="N112" s="13">
        <v>1.3377712804110037E-2</v>
      </c>
      <c r="O112" s="9" t="s">
        <v>61</v>
      </c>
    </row>
    <row r="113" spans="2:15" x14ac:dyDescent="0.45">
      <c r="B113" s="8" t="s">
        <v>102</v>
      </c>
      <c r="C113" s="8" t="s">
        <v>83</v>
      </c>
      <c r="D113" s="10">
        <v>5.4396745372322843E-2</v>
      </c>
      <c r="E113" s="8" t="s">
        <v>61</v>
      </c>
      <c r="G113" s="8" t="s">
        <v>122</v>
      </c>
      <c r="H113" s="8" t="s">
        <v>83</v>
      </c>
      <c r="I113" s="12">
        <v>7.6560045405026922E-3</v>
      </c>
      <c r="J113" s="8" t="s">
        <v>61</v>
      </c>
      <c r="L113" s="8" t="s">
        <v>142</v>
      </c>
      <c r="M113" s="8" t="s">
        <v>83</v>
      </c>
      <c r="N113" s="12">
        <v>1.2927411650086261E-2</v>
      </c>
      <c r="O113" s="8" t="s">
        <v>61</v>
      </c>
    </row>
    <row r="114" spans="2:15" x14ac:dyDescent="0.45">
      <c r="B114" s="9" t="s">
        <v>102</v>
      </c>
      <c r="C114" s="9" t="s">
        <v>84</v>
      </c>
      <c r="D114" s="11">
        <v>7.5112706989783479E-2</v>
      </c>
      <c r="E114" s="9" t="s">
        <v>61</v>
      </c>
      <c r="G114" s="9" t="s">
        <v>122</v>
      </c>
      <c r="H114" s="9" t="s">
        <v>84</v>
      </c>
      <c r="I114" s="13">
        <v>9.0439286428409156E-3</v>
      </c>
      <c r="J114" s="9" t="s">
        <v>61</v>
      </c>
      <c r="L114" s="9" t="s">
        <v>142</v>
      </c>
      <c r="M114" s="9" t="s">
        <v>84</v>
      </c>
      <c r="N114" s="13">
        <v>1.271012287931712E-2</v>
      </c>
      <c r="O114" s="9" t="s">
        <v>61</v>
      </c>
    </row>
    <row r="115" spans="2:15" x14ac:dyDescent="0.45">
      <c r="B115" s="8" t="s">
        <v>102</v>
      </c>
      <c r="C115" s="8" t="s">
        <v>85</v>
      </c>
      <c r="D115" s="10">
        <v>7.6756851248982058E-2</v>
      </c>
      <c r="E115" s="8" t="s">
        <v>61</v>
      </c>
      <c r="G115" s="8" t="s">
        <v>122</v>
      </c>
      <c r="H115" s="8" t="s">
        <v>85</v>
      </c>
      <c r="I115" s="12">
        <v>8.386689149312742E-3</v>
      </c>
      <c r="J115" s="8" t="s">
        <v>61</v>
      </c>
      <c r="L115" s="8" t="s">
        <v>142</v>
      </c>
      <c r="M115" s="8" t="s">
        <v>85</v>
      </c>
      <c r="N115" s="12">
        <v>1.1332280591376772E-2</v>
      </c>
      <c r="O115" s="8" t="s">
        <v>61</v>
      </c>
    </row>
    <row r="116" spans="2:15" x14ac:dyDescent="0.45">
      <c r="B116" s="9" t="s">
        <v>102</v>
      </c>
      <c r="C116" s="9" t="s">
        <v>86</v>
      </c>
      <c r="D116" s="11">
        <v>7.2521914690661965E-2</v>
      </c>
      <c r="E116" s="9" t="s">
        <v>61</v>
      </c>
      <c r="G116" s="9" t="s">
        <v>122</v>
      </c>
      <c r="H116" s="9" t="s">
        <v>86</v>
      </c>
      <c r="I116" s="13">
        <v>1.0530788125202615E-2</v>
      </c>
      <c r="J116" s="9" t="s">
        <v>61</v>
      </c>
      <c r="L116" s="9" t="s">
        <v>142</v>
      </c>
      <c r="M116" s="9" t="s">
        <v>86</v>
      </c>
      <c r="N116" s="13">
        <v>1.3063181812106275E-2</v>
      </c>
      <c r="O116" s="9" t="s">
        <v>61</v>
      </c>
    </row>
    <row r="117" spans="2:15" x14ac:dyDescent="0.45">
      <c r="B117" s="8" t="s">
        <v>102</v>
      </c>
      <c r="C117" s="8" t="s">
        <v>87</v>
      </c>
      <c r="D117" s="10">
        <v>6.4271533173448206E-2</v>
      </c>
      <c r="E117" s="8" t="s">
        <v>61</v>
      </c>
      <c r="G117" s="8" t="s">
        <v>122</v>
      </c>
      <c r="H117" s="8" t="s">
        <v>87</v>
      </c>
      <c r="I117" s="12">
        <v>1.1483661119159494E-2</v>
      </c>
      <c r="J117" s="8" t="s">
        <v>61</v>
      </c>
      <c r="L117" s="8" t="s">
        <v>142</v>
      </c>
      <c r="M117" s="8" t="s">
        <v>87</v>
      </c>
      <c r="N117" s="12">
        <v>1.4651688979707121E-2</v>
      </c>
      <c r="O117" s="8" t="s">
        <v>61</v>
      </c>
    </row>
    <row r="118" spans="2:15" x14ac:dyDescent="0.45">
      <c r="B118" s="9" t="s">
        <v>102</v>
      </c>
      <c r="C118" s="9" t="s">
        <v>88</v>
      </c>
      <c r="D118" s="11">
        <v>4.4813077097968661E-2</v>
      </c>
      <c r="E118" s="9" t="s">
        <v>61</v>
      </c>
      <c r="G118" s="9" t="s">
        <v>122</v>
      </c>
      <c r="H118" s="9" t="s">
        <v>88</v>
      </c>
      <c r="I118" s="13">
        <v>1.0506559555485762E-2</v>
      </c>
      <c r="J118" s="9" t="s">
        <v>61</v>
      </c>
      <c r="L118" s="9" t="s">
        <v>142</v>
      </c>
      <c r="M118" s="9" t="s">
        <v>88</v>
      </c>
      <c r="N118" s="13">
        <v>1.4527471435440966E-2</v>
      </c>
      <c r="O118" s="9" t="s">
        <v>61</v>
      </c>
    </row>
    <row r="119" spans="2:15" x14ac:dyDescent="0.45">
      <c r="B119" s="8" t="s">
        <v>102</v>
      </c>
      <c r="C119" s="8" t="s">
        <v>89</v>
      </c>
      <c r="D119" s="10">
        <v>1.5259164302245201E-2</v>
      </c>
      <c r="E119" s="8" t="s">
        <v>61</v>
      </c>
      <c r="G119" s="8" t="s">
        <v>122</v>
      </c>
      <c r="H119" s="8" t="s">
        <v>89</v>
      </c>
      <c r="I119" s="12">
        <v>1.1832024031289022E-2</v>
      </c>
      <c r="J119" s="8" t="s">
        <v>61</v>
      </c>
      <c r="L119" s="8" t="s">
        <v>142</v>
      </c>
      <c r="M119" s="8" t="s">
        <v>89</v>
      </c>
      <c r="N119" s="12">
        <v>1.3893703487295741E-2</v>
      </c>
      <c r="O119" s="8" t="s">
        <v>61</v>
      </c>
    </row>
    <row r="120" spans="2:15" x14ac:dyDescent="0.45">
      <c r="B120" s="9" t="s">
        <v>102</v>
      </c>
      <c r="C120" s="9" t="s">
        <v>90</v>
      </c>
      <c r="D120" s="11">
        <v>0</v>
      </c>
      <c r="E120" s="9" t="s">
        <v>61</v>
      </c>
      <c r="G120" s="9" t="s">
        <v>122</v>
      </c>
      <c r="H120" s="9" t="s">
        <v>90</v>
      </c>
      <c r="I120" s="13">
        <v>2.0826951935608566E-2</v>
      </c>
      <c r="J120" s="9" t="s">
        <v>61</v>
      </c>
      <c r="L120" s="9" t="s">
        <v>142</v>
      </c>
      <c r="M120" s="9" t="s">
        <v>90</v>
      </c>
      <c r="N120" s="13">
        <v>2.0484605628673505E-2</v>
      </c>
      <c r="O120" s="9" t="s">
        <v>61</v>
      </c>
    </row>
    <row r="121" spans="2:15" x14ac:dyDescent="0.45">
      <c r="B121" s="8" t="s">
        <v>102</v>
      </c>
      <c r="C121" s="8" t="s">
        <v>91</v>
      </c>
      <c r="D121" s="10">
        <v>0</v>
      </c>
      <c r="E121" s="8" t="s">
        <v>61</v>
      </c>
      <c r="G121" s="8" t="s">
        <v>122</v>
      </c>
      <c r="H121" s="8" t="s">
        <v>91</v>
      </c>
      <c r="I121" s="12">
        <v>5.6261768739443788E-2</v>
      </c>
      <c r="J121" s="8" t="s">
        <v>61</v>
      </c>
      <c r="L121" s="8" t="s">
        <v>142</v>
      </c>
      <c r="M121" s="8" t="s">
        <v>91</v>
      </c>
      <c r="N121" s="12">
        <v>5.4853512532730936E-2</v>
      </c>
      <c r="O121" s="8" t="s">
        <v>61</v>
      </c>
    </row>
    <row r="122" spans="2:15" x14ac:dyDescent="0.45">
      <c r="B122" s="9" t="s">
        <v>102</v>
      </c>
      <c r="C122" s="9" t="s">
        <v>92</v>
      </c>
      <c r="D122" s="11">
        <v>6.731684605828153E-4</v>
      </c>
      <c r="E122" s="9" t="s">
        <v>61</v>
      </c>
      <c r="G122" s="9" t="s">
        <v>122</v>
      </c>
      <c r="H122" s="9" t="s">
        <v>92</v>
      </c>
      <c r="I122" s="13">
        <v>2.1371586933899761E-2</v>
      </c>
      <c r="J122" s="9" t="s">
        <v>61</v>
      </c>
      <c r="L122" s="9" t="s">
        <v>142</v>
      </c>
      <c r="M122" s="9" t="s">
        <v>92</v>
      </c>
      <c r="N122" s="13">
        <v>2.1789625465007966E-2</v>
      </c>
      <c r="O122" s="9" t="s">
        <v>61</v>
      </c>
    </row>
    <row r="123" spans="2:15" x14ac:dyDescent="0.45">
      <c r="B123" s="8" t="s">
        <v>102</v>
      </c>
      <c r="C123" s="8" t="s">
        <v>93</v>
      </c>
      <c r="D123" s="10">
        <v>1.5512407411554855E-2</v>
      </c>
      <c r="E123" s="8" t="s">
        <v>61</v>
      </c>
      <c r="G123" s="8" t="s">
        <v>122</v>
      </c>
      <c r="H123" s="8" t="s">
        <v>93</v>
      </c>
      <c r="I123" s="12">
        <v>2.0120574811434259E-2</v>
      </c>
      <c r="J123" s="8" t="s">
        <v>61</v>
      </c>
      <c r="L123" s="8" t="s">
        <v>142</v>
      </c>
      <c r="M123" s="8" t="s">
        <v>93</v>
      </c>
      <c r="N123" s="12">
        <v>2.1804124537714312E-2</v>
      </c>
      <c r="O123" s="8" t="s">
        <v>61</v>
      </c>
    </row>
    <row r="124" spans="2:15" x14ac:dyDescent="0.45">
      <c r="B124" s="9" t="s">
        <v>102</v>
      </c>
      <c r="C124" s="9" t="s">
        <v>94</v>
      </c>
      <c r="D124" s="11">
        <v>3.5700434734184903E-2</v>
      </c>
      <c r="E124" s="9" t="s">
        <v>61</v>
      </c>
      <c r="G124" s="9" t="s">
        <v>122</v>
      </c>
      <c r="H124" s="9" t="s">
        <v>94</v>
      </c>
      <c r="I124" s="13">
        <v>1.863472044384545E-2</v>
      </c>
      <c r="J124" s="9" t="s">
        <v>61</v>
      </c>
      <c r="L124" s="9" t="s">
        <v>142</v>
      </c>
      <c r="M124" s="9" t="s">
        <v>94</v>
      </c>
      <c r="N124" s="13">
        <v>2.1824314439446851E-2</v>
      </c>
      <c r="O124" s="9" t="s">
        <v>61</v>
      </c>
    </row>
    <row r="125" spans="2:15" x14ac:dyDescent="0.45">
      <c r="B125" s="8" t="s">
        <v>102</v>
      </c>
      <c r="C125" s="8" t="s">
        <v>95</v>
      </c>
      <c r="D125" s="10">
        <v>4.1848914737161187E-2</v>
      </c>
      <c r="E125" s="8" t="s">
        <v>61</v>
      </c>
      <c r="G125" s="8" t="s">
        <v>122</v>
      </c>
      <c r="H125" s="8" t="s">
        <v>95</v>
      </c>
      <c r="I125" s="12">
        <v>1.7656525310793033E-2</v>
      </c>
      <c r="J125" s="8" t="s">
        <v>61</v>
      </c>
      <c r="L125" s="8" t="s">
        <v>142</v>
      </c>
      <c r="M125" s="8" t="s">
        <v>95</v>
      </c>
      <c r="N125" s="12">
        <v>2.1066117970412704E-2</v>
      </c>
      <c r="O125" s="8" t="s">
        <v>61</v>
      </c>
    </row>
    <row r="126" spans="2:15" x14ac:dyDescent="0.45">
      <c r="B126" s="9" t="s">
        <v>102</v>
      </c>
      <c r="C126" s="9" t="s">
        <v>96</v>
      </c>
      <c r="D126" s="11">
        <v>4.1066724576004854E-2</v>
      </c>
      <c r="E126" s="9" t="s">
        <v>61</v>
      </c>
      <c r="G126" s="9" t="s">
        <v>122</v>
      </c>
      <c r="H126" s="9" t="s">
        <v>96</v>
      </c>
      <c r="I126" s="13">
        <v>1.8862631681612799E-2</v>
      </c>
      <c r="J126" s="9" t="s">
        <v>61</v>
      </c>
      <c r="L126" s="9" t="s">
        <v>142</v>
      </c>
      <c r="M126" s="9" t="s">
        <v>96</v>
      </c>
      <c r="N126" s="13">
        <v>2.0975402745110654E-2</v>
      </c>
      <c r="O126" s="9" t="s">
        <v>61</v>
      </c>
    </row>
    <row r="127" spans="2:15" x14ac:dyDescent="0.45">
      <c r="B127" s="8" t="s">
        <v>102</v>
      </c>
      <c r="C127" s="8" t="s">
        <v>97</v>
      </c>
      <c r="D127" s="10">
        <v>2.9310555105817759E-2</v>
      </c>
      <c r="E127" s="8" t="s">
        <v>61</v>
      </c>
      <c r="G127" s="8" t="s">
        <v>122</v>
      </c>
      <c r="H127" s="8" t="s">
        <v>97</v>
      </c>
      <c r="I127" s="12">
        <v>2.0276596817385185E-2</v>
      </c>
      <c r="J127" s="8" t="s">
        <v>61</v>
      </c>
      <c r="L127" s="8" t="s">
        <v>142</v>
      </c>
      <c r="M127" s="8" t="s">
        <v>97</v>
      </c>
      <c r="N127" s="12">
        <v>2.2202941330181941E-2</v>
      </c>
      <c r="O127" s="8" t="s">
        <v>61</v>
      </c>
    </row>
    <row r="128" spans="2:15" x14ac:dyDescent="0.45">
      <c r="B128" s="9" t="s">
        <v>102</v>
      </c>
      <c r="C128" s="9" t="s">
        <v>98</v>
      </c>
      <c r="D128" s="11">
        <v>7.9125413713990456E-3</v>
      </c>
      <c r="E128" s="9" t="s">
        <v>61</v>
      </c>
      <c r="G128" s="9" t="s">
        <v>122</v>
      </c>
      <c r="H128" s="9" t="s">
        <v>98</v>
      </c>
      <c r="I128" s="13">
        <v>2.2215567132539665E-2</v>
      </c>
      <c r="J128" s="9" t="s">
        <v>61</v>
      </c>
      <c r="L128" s="9" t="s">
        <v>142</v>
      </c>
      <c r="M128" s="9" t="s">
        <v>98</v>
      </c>
      <c r="N128" s="13">
        <v>2.3359971434760145E-2</v>
      </c>
      <c r="O128" s="9" t="s">
        <v>61</v>
      </c>
    </row>
    <row r="129" spans="2:15" x14ac:dyDescent="0.45">
      <c r="B129" s="8" t="s">
        <v>102</v>
      </c>
      <c r="C129" s="8" t="s">
        <v>99</v>
      </c>
      <c r="D129" s="10">
        <v>2.1109788960211287E-5</v>
      </c>
      <c r="E129" s="8" t="s">
        <v>61</v>
      </c>
      <c r="G129" s="8" t="s">
        <v>122</v>
      </c>
      <c r="H129" s="8" t="s">
        <v>99</v>
      </c>
      <c r="I129" s="12">
        <v>2.3839795486422243E-2</v>
      </c>
      <c r="J129" s="8" t="s">
        <v>61</v>
      </c>
      <c r="L129" s="8" t="s">
        <v>142</v>
      </c>
      <c r="M129" s="8" t="s">
        <v>99</v>
      </c>
      <c r="N129" s="12">
        <v>2.391677075228581E-2</v>
      </c>
      <c r="O129" s="8" t="s">
        <v>61</v>
      </c>
    </row>
    <row r="130" spans="2:15" x14ac:dyDescent="0.45">
      <c r="B130" s="9" t="s">
        <v>102</v>
      </c>
      <c r="C130" s="9" t="s">
        <v>100</v>
      </c>
      <c r="D130" s="11">
        <v>0</v>
      </c>
      <c r="E130" s="9" t="s">
        <v>61</v>
      </c>
      <c r="G130" s="9" t="s">
        <v>122</v>
      </c>
      <c r="H130" s="9" t="s">
        <v>100</v>
      </c>
      <c r="I130" s="13">
        <v>3.6516389427252424E-2</v>
      </c>
      <c r="J130" s="9" t="s">
        <v>61</v>
      </c>
      <c r="L130" s="9" t="s">
        <v>142</v>
      </c>
      <c r="M130" s="9" t="s">
        <v>100</v>
      </c>
      <c r="N130" s="13">
        <v>3.5250086897907366E-2</v>
      </c>
      <c r="O130" s="9" t="s">
        <v>61</v>
      </c>
    </row>
    <row r="131" spans="2:15" x14ac:dyDescent="0.45">
      <c r="B131" s="8" t="s">
        <v>103</v>
      </c>
      <c r="C131" s="8" t="s">
        <v>60</v>
      </c>
      <c r="D131" s="10">
        <v>0</v>
      </c>
      <c r="E131" s="8" t="s">
        <v>61</v>
      </c>
      <c r="G131" s="8" t="s">
        <v>123</v>
      </c>
      <c r="H131" s="8" t="s">
        <v>60</v>
      </c>
      <c r="I131" s="12">
        <v>7.329578789337661E-2</v>
      </c>
      <c r="J131" s="8" t="s">
        <v>61</v>
      </c>
      <c r="L131" s="8" t="s">
        <v>143</v>
      </c>
      <c r="M131" s="8" t="s">
        <v>60</v>
      </c>
      <c r="N131" s="12">
        <v>5.8262639212904858E-2</v>
      </c>
      <c r="O131" s="8" t="s">
        <v>61</v>
      </c>
    </row>
    <row r="132" spans="2:15" x14ac:dyDescent="0.45">
      <c r="B132" s="9" t="s">
        <v>103</v>
      </c>
      <c r="C132" s="9" t="s">
        <v>62</v>
      </c>
      <c r="D132" s="11">
        <v>0</v>
      </c>
      <c r="E132" s="9" t="s">
        <v>61</v>
      </c>
      <c r="G132" s="9" t="s">
        <v>123</v>
      </c>
      <c r="H132" s="9" t="s">
        <v>62</v>
      </c>
      <c r="I132" s="13">
        <v>2.9348512877830257E-2</v>
      </c>
      <c r="J132" s="9" t="s">
        <v>61</v>
      </c>
      <c r="L132" s="9" t="s">
        <v>143</v>
      </c>
      <c r="M132" s="9" t="s">
        <v>62</v>
      </c>
      <c r="N132" s="13">
        <v>2.4249067042957231E-2</v>
      </c>
      <c r="O132" s="9" t="s">
        <v>61</v>
      </c>
    </row>
    <row r="133" spans="2:15" x14ac:dyDescent="0.45">
      <c r="B133" s="8" t="s">
        <v>103</v>
      </c>
      <c r="C133" s="8" t="s">
        <v>63</v>
      </c>
      <c r="D133" s="10">
        <v>3.3399334107021036E-4</v>
      </c>
      <c r="E133" s="8" t="s">
        <v>61</v>
      </c>
      <c r="G133" s="8" t="s">
        <v>123</v>
      </c>
      <c r="H133" s="8" t="s">
        <v>63</v>
      </c>
      <c r="I133" s="12">
        <v>2.9448683782920135E-2</v>
      </c>
      <c r="J133" s="8" t="s">
        <v>61</v>
      </c>
      <c r="L133" s="8" t="s">
        <v>143</v>
      </c>
      <c r="M133" s="8" t="s">
        <v>63</v>
      </c>
      <c r="N133" s="12">
        <v>2.4293652838079868E-2</v>
      </c>
      <c r="O133" s="8" t="s">
        <v>61</v>
      </c>
    </row>
    <row r="134" spans="2:15" x14ac:dyDescent="0.45">
      <c r="B134" s="9" t="s">
        <v>103</v>
      </c>
      <c r="C134" s="9" t="s">
        <v>64</v>
      </c>
      <c r="D134" s="11">
        <v>1.1967938598681354E-2</v>
      </c>
      <c r="E134" s="9" t="s">
        <v>61</v>
      </c>
      <c r="G134" s="9" t="s">
        <v>123</v>
      </c>
      <c r="H134" s="9" t="s">
        <v>64</v>
      </c>
      <c r="I134" s="13">
        <v>2.8186301808709721E-2</v>
      </c>
      <c r="J134" s="9" t="s">
        <v>61</v>
      </c>
      <c r="L134" s="9" t="s">
        <v>143</v>
      </c>
      <c r="M134" s="9" t="s">
        <v>64</v>
      </c>
      <c r="N134" s="13">
        <v>2.4236724822290962E-2</v>
      </c>
      <c r="O134" s="9" t="s">
        <v>61</v>
      </c>
    </row>
    <row r="135" spans="2:15" x14ac:dyDescent="0.45">
      <c r="B135" s="8" t="s">
        <v>103</v>
      </c>
      <c r="C135" s="8" t="s">
        <v>65</v>
      </c>
      <c r="D135" s="10">
        <v>2.2708413776066454E-2</v>
      </c>
      <c r="E135" s="8" t="s">
        <v>61</v>
      </c>
      <c r="G135" s="8" t="s">
        <v>123</v>
      </c>
      <c r="H135" s="8" t="s">
        <v>65</v>
      </c>
      <c r="I135" s="12">
        <v>2.6109091586011116E-2</v>
      </c>
      <c r="J135" s="8" t="s">
        <v>61</v>
      </c>
      <c r="L135" s="8" t="s">
        <v>143</v>
      </c>
      <c r="M135" s="8" t="s">
        <v>65</v>
      </c>
      <c r="N135" s="12">
        <v>2.443682732234009E-2</v>
      </c>
      <c r="O135" s="8" t="s">
        <v>61</v>
      </c>
    </row>
    <row r="136" spans="2:15" x14ac:dyDescent="0.45">
      <c r="B136" s="9" t="s">
        <v>103</v>
      </c>
      <c r="C136" s="9" t="s">
        <v>66</v>
      </c>
      <c r="D136" s="11">
        <v>2.1595949434817432E-2</v>
      </c>
      <c r="E136" s="9" t="s">
        <v>61</v>
      </c>
      <c r="G136" s="9" t="s">
        <v>123</v>
      </c>
      <c r="H136" s="9" t="s">
        <v>66</v>
      </c>
      <c r="I136" s="13">
        <v>2.6518864427280832E-2</v>
      </c>
      <c r="J136" s="9" t="s">
        <v>61</v>
      </c>
      <c r="L136" s="9" t="s">
        <v>143</v>
      </c>
      <c r="M136" s="9" t="s">
        <v>66</v>
      </c>
      <c r="N136" s="13">
        <v>2.4379416681393644E-2</v>
      </c>
      <c r="O136" s="9" t="s">
        <v>61</v>
      </c>
    </row>
    <row r="137" spans="2:15" x14ac:dyDescent="0.45">
      <c r="B137" s="8" t="s">
        <v>103</v>
      </c>
      <c r="C137" s="8" t="s">
        <v>67</v>
      </c>
      <c r="D137" s="10">
        <v>1.2014264207350359E-2</v>
      </c>
      <c r="E137" s="8" t="s">
        <v>61</v>
      </c>
      <c r="G137" s="8" t="s">
        <v>123</v>
      </c>
      <c r="H137" s="8" t="s">
        <v>67</v>
      </c>
      <c r="I137" s="12">
        <v>2.7876296494378252E-2</v>
      </c>
      <c r="J137" s="8" t="s">
        <v>61</v>
      </c>
      <c r="L137" s="8" t="s">
        <v>143</v>
      </c>
      <c r="M137" s="8" t="s">
        <v>67</v>
      </c>
      <c r="N137" s="12">
        <v>2.48257172841122E-2</v>
      </c>
      <c r="O137" s="8" t="s">
        <v>61</v>
      </c>
    </row>
    <row r="138" spans="2:15" x14ac:dyDescent="0.45">
      <c r="B138" s="9" t="s">
        <v>103</v>
      </c>
      <c r="C138" s="9" t="s">
        <v>68</v>
      </c>
      <c r="D138" s="11">
        <v>1.2467238846203303E-3</v>
      </c>
      <c r="E138" s="9" t="s">
        <v>61</v>
      </c>
      <c r="G138" s="9" t="s">
        <v>123</v>
      </c>
      <c r="H138" s="9" t="s">
        <v>68</v>
      </c>
      <c r="I138" s="13">
        <v>2.9920019850836432E-2</v>
      </c>
      <c r="J138" s="9" t="s">
        <v>61</v>
      </c>
      <c r="L138" s="9" t="s">
        <v>143</v>
      </c>
      <c r="M138" s="9" t="s">
        <v>68</v>
      </c>
      <c r="N138" s="13">
        <v>2.5125954376079236E-2</v>
      </c>
      <c r="O138" s="9" t="s">
        <v>61</v>
      </c>
    </row>
    <row r="139" spans="2:15" x14ac:dyDescent="0.45">
      <c r="B139" s="8" t="s">
        <v>103</v>
      </c>
      <c r="C139" s="8" t="s">
        <v>69</v>
      </c>
      <c r="D139" s="10">
        <v>0</v>
      </c>
      <c r="E139" s="8" t="s">
        <v>61</v>
      </c>
      <c r="G139" s="8" t="s">
        <v>123</v>
      </c>
      <c r="H139" s="8" t="s">
        <v>69</v>
      </c>
      <c r="I139" s="12">
        <v>3.0338806491132332E-2</v>
      </c>
      <c r="J139" s="8" t="s">
        <v>61</v>
      </c>
      <c r="L139" s="8" t="s">
        <v>143</v>
      </c>
      <c r="M139" s="8" t="s">
        <v>69</v>
      </c>
      <c r="N139" s="12">
        <v>2.4941312878624812E-2</v>
      </c>
      <c r="O139" s="8" t="s">
        <v>61</v>
      </c>
    </row>
    <row r="140" spans="2:15" x14ac:dyDescent="0.45">
      <c r="B140" s="9" t="s">
        <v>103</v>
      </c>
      <c r="C140" s="9" t="s">
        <v>70</v>
      </c>
      <c r="D140" s="11">
        <v>0</v>
      </c>
      <c r="E140" s="9" t="s">
        <v>61</v>
      </c>
      <c r="G140" s="9" t="s">
        <v>123</v>
      </c>
      <c r="H140" s="9" t="s">
        <v>70</v>
      </c>
      <c r="I140" s="13">
        <v>4.4958933096773589E-2</v>
      </c>
      <c r="J140" s="9" t="s">
        <v>61</v>
      </c>
      <c r="L140" s="9" t="s">
        <v>143</v>
      </c>
      <c r="M140" s="9" t="s">
        <v>70</v>
      </c>
      <c r="N140" s="13">
        <v>3.6084591983897171E-2</v>
      </c>
      <c r="O140" s="9" t="s">
        <v>61</v>
      </c>
    </row>
    <row r="141" spans="2:15" x14ac:dyDescent="0.45">
      <c r="B141" s="8" t="s">
        <v>103</v>
      </c>
      <c r="C141" s="8" t="s">
        <v>71</v>
      </c>
      <c r="D141" s="10">
        <v>0</v>
      </c>
      <c r="E141" s="8" t="s">
        <v>61</v>
      </c>
      <c r="G141" s="8" t="s">
        <v>123</v>
      </c>
      <c r="H141" s="8" t="s">
        <v>71</v>
      </c>
      <c r="I141" s="12">
        <v>6.0741620846952032E-2</v>
      </c>
      <c r="J141" s="8" t="s">
        <v>61</v>
      </c>
      <c r="L141" s="8" t="s">
        <v>143</v>
      </c>
      <c r="M141" s="8" t="s">
        <v>71</v>
      </c>
      <c r="N141" s="12">
        <v>5.8846680640645174E-2</v>
      </c>
      <c r="O141" s="8" t="s">
        <v>61</v>
      </c>
    </row>
    <row r="142" spans="2:15" x14ac:dyDescent="0.45">
      <c r="B142" s="9" t="s">
        <v>103</v>
      </c>
      <c r="C142" s="9" t="s">
        <v>72</v>
      </c>
      <c r="D142" s="11">
        <v>8.176079743002709E-3</v>
      </c>
      <c r="E142" s="9" t="s">
        <v>61</v>
      </c>
      <c r="G142" s="9" t="s">
        <v>123</v>
      </c>
      <c r="H142" s="9" t="s">
        <v>72</v>
      </c>
      <c r="I142" s="13">
        <v>2.3203209181734449E-2</v>
      </c>
      <c r="J142" s="9" t="s">
        <v>61</v>
      </c>
      <c r="L142" s="9" t="s">
        <v>143</v>
      </c>
      <c r="M142" s="9" t="s">
        <v>72</v>
      </c>
      <c r="N142" s="13">
        <v>2.2212419922452084E-2</v>
      </c>
      <c r="O142" s="9" t="s">
        <v>61</v>
      </c>
    </row>
    <row r="143" spans="2:15" x14ac:dyDescent="0.45">
      <c r="B143" s="8" t="s">
        <v>103</v>
      </c>
      <c r="C143" s="8" t="s">
        <v>73</v>
      </c>
      <c r="D143" s="10">
        <v>3.9274897887603785E-2</v>
      </c>
      <c r="E143" s="8" t="s">
        <v>61</v>
      </c>
      <c r="G143" s="8" t="s">
        <v>123</v>
      </c>
      <c r="H143" s="8" t="s">
        <v>73</v>
      </c>
      <c r="I143" s="12">
        <v>2.0436874234185165E-2</v>
      </c>
      <c r="J143" s="8" t="s">
        <v>61</v>
      </c>
      <c r="L143" s="8" t="s">
        <v>143</v>
      </c>
      <c r="M143" s="8" t="s">
        <v>73</v>
      </c>
      <c r="N143" s="12">
        <v>2.1707025311873022E-2</v>
      </c>
      <c r="O143" s="8" t="s">
        <v>61</v>
      </c>
    </row>
    <row r="144" spans="2:15" x14ac:dyDescent="0.45">
      <c r="B144" s="9" t="s">
        <v>103</v>
      </c>
      <c r="C144" s="9" t="s">
        <v>74</v>
      </c>
      <c r="D144" s="11">
        <v>6.7260884955442107E-2</v>
      </c>
      <c r="E144" s="9" t="s">
        <v>61</v>
      </c>
      <c r="G144" s="9" t="s">
        <v>123</v>
      </c>
      <c r="H144" s="9" t="s">
        <v>74</v>
      </c>
      <c r="I144" s="13">
        <v>1.9775355760568401E-2</v>
      </c>
      <c r="J144" s="9" t="s">
        <v>61</v>
      </c>
      <c r="L144" s="9" t="s">
        <v>143</v>
      </c>
      <c r="M144" s="9" t="s">
        <v>74</v>
      </c>
      <c r="N144" s="13">
        <v>2.1559149612169017E-2</v>
      </c>
      <c r="O144" s="9" t="s">
        <v>61</v>
      </c>
    </row>
    <row r="145" spans="2:15" x14ac:dyDescent="0.45">
      <c r="B145" s="8" t="s">
        <v>103</v>
      </c>
      <c r="C145" s="8" t="s">
        <v>75</v>
      </c>
      <c r="D145" s="10">
        <v>7.257562876671475E-2</v>
      </c>
      <c r="E145" s="8" t="s">
        <v>61</v>
      </c>
      <c r="G145" s="8" t="s">
        <v>123</v>
      </c>
      <c r="H145" s="8" t="s">
        <v>75</v>
      </c>
      <c r="I145" s="12">
        <v>1.7621784872487348E-2</v>
      </c>
      <c r="J145" s="8" t="s">
        <v>61</v>
      </c>
      <c r="L145" s="8" t="s">
        <v>143</v>
      </c>
      <c r="M145" s="8" t="s">
        <v>75</v>
      </c>
      <c r="N145" s="12">
        <v>2.0393469051034913E-2</v>
      </c>
      <c r="O145" s="8" t="s">
        <v>61</v>
      </c>
    </row>
    <row r="146" spans="2:15" x14ac:dyDescent="0.45">
      <c r="B146" s="9" t="s">
        <v>103</v>
      </c>
      <c r="C146" s="9" t="s">
        <v>76</v>
      </c>
      <c r="D146" s="11">
        <v>6.6361344850698945E-2</v>
      </c>
      <c r="E146" s="9" t="s">
        <v>61</v>
      </c>
      <c r="G146" s="9" t="s">
        <v>123</v>
      </c>
      <c r="H146" s="9" t="s">
        <v>76</v>
      </c>
      <c r="I146" s="13">
        <v>2.0124011932565491E-2</v>
      </c>
      <c r="J146" s="9" t="s">
        <v>61</v>
      </c>
      <c r="L146" s="9" t="s">
        <v>143</v>
      </c>
      <c r="M146" s="9" t="s">
        <v>76</v>
      </c>
      <c r="N146" s="13">
        <v>2.0864253624514006E-2</v>
      </c>
      <c r="O146" s="9" t="s">
        <v>61</v>
      </c>
    </row>
    <row r="147" spans="2:15" x14ac:dyDescent="0.45">
      <c r="B147" s="8" t="s">
        <v>103</v>
      </c>
      <c r="C147" s="8" t="s">
        <v>77</v>
      </c>
      <c r="D147" s="10">
        <v>5.5943493945162924E-2</v>
      </c>
      <c r="E147" s="8" t="s">
        <v>61</v>
      </c>
      <c r="G147" s="8" t="s">
        <v>123</v>
      </c>
      <c r="H147" s="8" t="s">
        <v>77</v>
      </c>
      <c r="I147" s="12">
        <v>2.0316998792075991E-2</v>
      </c>
      <c r="J147" s="8" t="s">
        <v>61</v>
      </c>
      <c r="L147" s="8" t="s">
        <v>143</v>
      </c>
      <c r="M147" s="8" t="s">
        <v>77</v>
      </c>
      <c r="N147" s="12">
        <v>2.1991950549416123E-2</v>
      </c>
      <c r="O147" s="8" t="s">
        <v>61</v>
      </c>
    </row>
    <row r="148" spans="2:15" x14ac:dyDescent="0.45">
      <c r="B148" s="9" t="s">
        <v>103</v>
      </c>
      <c r="C148" s="9" t="s">
        <v>78</v>
      </c>
      <c r="D148" s="11">
        <v>3.1094739212780064E-2</v>
      </c>
      <c r="E148" s="9" t="s">
        <v>61</v>
      </c>
      <c r="G148" s="9" t="s">
        <v>123</v>
      </c>
      <c r="H148" s="9" t="s">
        <v>78</v>
      </c>
      <c r="I148" s="13">
        <v>2.1328800126252115E-2</v>
      </c>
      <c r="J148" s="9" t="s">
        <v>61</v>
      </c>
      <c r="L148" s="9" t="s">
        <v>143</v>
      </c>
      <c r="M148" s="9" t="s">
        <v>78</v>
      </c>
      <c r="N148" s="13">
        <v>2.2991250327636971E-2</v>
      </c>
      <c r="O148" s="9" t="s">
        <v>61</v>
      </c>
    </row>
    <row r="149" spans="2:15" x14ac:dyDescent="0.45">
      <c r="B149" s="8" t="s">
        <v>103</v>
      </c>
      <c r="C149" s="8" t="s">
        <v>79</v>
      </c>
      <c r="D149" s="10">
        <v>5.3776678204954728E-3</v>
      </c>
      <c r="E149" s="8" t="s">
        <v>61</v>
      </c>
      <c r="G149" s="8" t="s">
        <v>123</v>
      </c>
      <c r="H149" s="8" t="s">
        <v>79</v>
      </c>
      <c r="I149" s="12">
        <v>2.4934213942210025E-2</v>
      </c>
      <c r="J149" s="8" t="s">
        <v>61</v>
      </c>
      <c r="L149" s="8" t="s">
        <v>143</v>
      </c>
      <c r="M149" s="8" t="s">
        <v>79</v>
      </c>
      <c r="N149" s="12">
        <v>2.4109729591891362E-2</v>
      </c>
      <c r="O149" s="8" t="s">
        <v>61</v>
      </c>
    </row>
    <row r="150" spans="2:15" x14ac:dyDescent="0.45">
      <c r="B150" s="9" t="s">
        <v>103</v>
      </c>
      <c r="C150" s="9" t="s">
        <v>80</v>
      </c>
      <c r="D150" s="11">
        <v>0</v>
      </c>
      <c r="E150" s="9" t="s">
        <v>61</v>
      </c>
      <c r="G150" s="9" t="s">
        <v>123</v>
      </c>
      <c r="H150" s="9" t="s">
        <v>80</v>
      </c>
      <c r="I150" s="13">
        <v>3.780561833550989E-2</v>
      </c>
      <c r="J150" s="9" t="s">
        <v>61</v>
      </c>
      <c r="L150" s="9" t="s">
        <v>143</v>
      </c>
      <c r="M150" s="9" t="s">
        <v>80</v>
      </c>
      <c r="N150" s="13">
        <v>3.6575574415077632E-2</v>
      </c>
      <c r="O150" s="9" t="s">
        <v>61</v>
      </c>
    </row>
    <row r="151" spans="2:15" x14ac:dyDescent="0.45">
      <c r="B151" s="8" t="s">
        <v>103</v>
      </c>
      <c r="C151" s="8" t="s">
        <v>81</v>
      </c>
      <c r="D151" s="10">
        <v>0</v>
      </c>
      <c r="E151" s="8" t="s">
        <v>61</v>
      </c>
      <c r="G151" s="8" t="s">
        <v>123</v>
      </c>
      <c r="H151" s="8" t="s">
        <v>81</v>
      </c>
      <c r="I151" s="12">
        <v>2.9847529749421398E-2</v>
      </c>
      <c r="J151" s="8" t="s">
        <v>61</v>
      </c>
      <c r="L151" s="8" t="s">
        <v>143</v>
      </c>
      <c r="M151" s="8" t="s">
        <v>81</v>
      </c>
      <c r="N151" s="12">
        <v>3.9180492546155708E-2</v>
      </c>
      <c r="O151" s="8" t="s">
        <v>61</v>
      </c>
    </row>
    <row r="152" spans="2:15" x14ac:dyDescent="0.45">
      <c r="B152" s="9" t="s">
        <v>103</v>
      </c>
      <c r="C152" s="9" t="s">
        <v>82</v>
      </c>
      <c r="D152" s="11">
        <v>1.7924569035351806E-2</v>
      </c>
      <c r="E152" s="9" t="s">
        <v>61</v>
      </c>
      <c r="G152" s="9" t="s">
        <v>123</v>
      </c>
      <c r="H152" s="9" t="s">
        <v>82</v>
      </c>
      <c r="I152" s="13">
        <v>9.782646660612699E-3</v>
      </c>
      <c r="J152" s="9" t="s">
        <v>61</v>
      </c>
      <c r="L152" s="9" t="s">
        <v>143</v>
      </c>
      <c r="M152" s="9" t="s">
        <v>82</v>
      </c>
      <c r="N152" s="13">
        <v>1.4908044245842992E-2</v>
      </c>
      <c r="O152" s="9" t="s">
        <v>61</v>
      </c>
    </row>
    <row r="153" spans="2:15" x14ac:dyDescent="0.45">
      <c r="B153" s="8" t="s">
        <v>103</v>
      </c>
      <c r="C153" s="8" t="s">
        <v>83</v>
      </c>
      <c r="D153" s="10">
        <v>5.2622757647993269E-2</v>
      </c>
      <c r="E153" s="8" t="s">
        <v>61</v>
      </c>
      <c r="G153" s="8" t="s">
        <v>123</v>
      </c>
      <c r="H153" s="8" t="s">
        <v>83</v>
      </c>
      <c r="I153" s="12">
        <v>7.3957999162312287E-3</v>
      </c>
      <c r="J153" s="8" t="s">
        <v>61</v>
      </c>
      <c r="L153" s="8" t="s">
        <v>143</v>
      </c>
      <c r="M153" s="8" t="s">
        <v>83</v>
      </c>
      <c r="N153" s="12">
        <v>1.4394101463631147E-2</v>
      </c>
      <c r="O153" s="8" t="s">
        <v>61</v>
      </c>
    </row>
    <row r="154" spans="2:15" x14ac:dyDescent="0.45">
      <c r="B154" s="9" t="s">
        <v>103</v>
      </c>
      <c r="C154" s="9" t="s">
        <v>84</v>
      </c>
      <c r="D154" s="11">
        <v>7.4030398699929764E-2</v>
      </c>
      <c r="E154" s="9" t="s">
        <v>61</v>
      </c>
      <c r="G154" s="9" t="s">
        <v>123</v>
      </c>
      <c r="H154" s="9" t="s">
        <v>84</v>
      </c>
      <c r="I154" s="13">
        <v>8.5315603248576899E-3</v>
      </c>
      <c r="J154" s="9" t="s">
        <v>61</v>
      </c>
      <c r="L154" s="9" t="s">
        <v>143</v>
      </c>
      <c r="M154" s="9" t="s">
        <v>84</v>
      </c>
      <c r="N154" s="13">
        <v>1.4656818104378187E-2</v>
      </c>
      <c r="O154" s="9" t="s">
        <v>61</v>
      </c>
    </row>
    <row r="155" spans="2:15" x14ac:dyDescent="0.45">
      <c r="B155" s="8" t="s">
        <v>103</v>
      </c>
      <c r="C155" s="8" t="s">
        <v>85</v>
      </c>
      <c r="D155" s="10">
        <v>7.7389092818786878E-2</v>
      </c>
      <c r="E155" s="8" t="s">
        <v>61</v>
      </c>
      <c r="G155" s="8" t="s">
        <v>123</v>
      </c>
      <c r="H155" s="8" t="s">
        <v>85</v>
      </c>
      <c r="I155" s="12">
        <v>7.5912060056848368E-3</v>
      </c>
      <c r="J155" s="8" t="s">
        <v>61</v>
      </c>
      <c r="L155" s="8" t="s">
        <v>143</v>
      </c>
      <c r="M155" s="8" t="s">
        <v>85</v>
      </c>
      <c r="N155" s="12">
        <v>1.3454898294704636E-2</v>
      </c>
      <c r="O155" s="8" t="s">
        <v>61</v>
      </c>
    </row>
    <row r="156" spans="2:15" x14ac:dyDescent="0.45">
      <c r="B156" s="9" t="s">
        <v>103</v>
      </c>
      <c r="C156" s="9" t="s">
        <v>86</v>
      </c>
      <c r="D156" s="11">
        <v>7.5116197253771722E-2</v>
      </c>
      <c r="E156" s="9" t="s">
        <v>61</v>
      </c>
      <c r="G156" s="9" t="s">
        <v>123</v>
      </c>
      <c r="H156" s="9" t="s">
        <v>86</v>
      </c>
      <c r="I156" s="13">
        <v>8.9740981028530228E-3</v>
      </c>
      <c r="J156" s="9" t="s">
        <v>61</v>
      </c>
      <c r="L156" s="9" t="s">
        <v>143</v>
      </c>
      <c r="M156" s="9" t="s">
        <v>86</v>
      </c>
      <c r="N156" s="13">
        <v>1.4355931628156829E-2</v>
      </c>
      <c r="O156" s="9" t="s">
        <v>61</v>
      </c>
    </row>
    <row r="157" spans="2:15" x14ac:dyDescent="0.45">
      <c r="B157" s="8" t="s">
        <v>103</v>
      </c>
      <c r="C157" s="8" t="s">
        <v>87</v>
      </c>
      <c r="D157" s="10">
        <v>6.6272850920925858E-2</v>
      </c>
      <c r="E157" s="8" t="s">
        <v>61</v>
      </c>
      <c r="G157" s="8" t="s">
        <v>123</v>
      </c>
      <c r="H157" s="8" t="s">
        <v>87</v>
      </c>
      <c r="I157" s="12">
        <v>9.638016474492226E-3</v>
      </c>
      <c r="J157" s="8" t="s">
        <v>61</v>
      </c>
      <c r="L157" s="8" t="s">
        <v>143</v>
      </c>
      <c r="M157" s="8" t="s">
        <v>87</v>
      </c>
      <c r="N157" s="12">
        <v>1.4578878630023329E-2</v>
      </c>
      <c r="O157" s="8" t="s">
        <v>61</v>
      </c>
    </row>
    <row r="158" spans="2:15" x14ac:dyDescent="0.45">
      <c r="B158" s="9" t="s">
        <v>103</v>
      </c>
      <c r="C158" s="9" t="s">
        <v>88</v>
      </c>
      <c r="D158" s="11">
        <v>4.6322699922271893E-2</v>
      </c>
      <c r="E158" s="9" t="s">
        <v>61</v>
      </c>
      <c r="G158" s="9" t="s">
        <v>123</v>
      </c>
      <c r="H158" s="9" t="s">
        <v>88</v>
      </c>
      <c r="I158" s="13">
        <v>8.7967380822415054E-3</v>
      </c>
      <c r="J158" s="9" t="s">
        <v>61</v>
      </c>
      <c r="L158" s="9" t="s">
        <v>143</v>
      </c>
      <c r="M158" s="9" t="s">
        <v>88</v>
      </c>
      <c r="N158" s="13">
        <v>1.4677275312639864E-2</v>
      </c>
      <c r="O158" s="9" t="s">
        <v>61</v>
      </c>
    </row>
    <row r="159" spans="2:15" x14ac:dyDescent="0.45">
      <c r="B159" s="8" t="s">
        <v>103</v>
      </c>
      <c r="C159" s="8" t="s">
        <v>89</v>
      </c>
      <c r="D159" s="10">
        <v>1.8026208994684656E-2</v>
      </c>
      <c r="E159" s="8" t="s">
        <v>61</v>
      </c>
      <c r="G159" s="8" t="s">
        <v>123</v>
      </c>
      <c r="H159" s="8" t="s">
        <v>89</v>
      </c>
      <c r="I159" s="12">
        <v>1.0823590019050004E-2</v>
      </c>
      <c r="J159" s="8" t="s">
        <v>61</v>
      </c>
      <c r="L159" s="8" t="s">
        <v>143</v>
      </c>
      <c r="M159" s="8" t="s">
        <v>89</v>
      </c>
      <c r="N159" s="12">
        <v>1.4562516954009078E-2</v>
      </c>
      <c r="O159" s="8" t="s">
        <v>61</v>
      </c>
    </row>
    <row r="160" spans="2:15" x14ac:dyDescent="0.45">
      <c r="B160" s="9" t="s">
        <v>103</v>
      </c>
      <c r="C160" s="9" t="s">
        <v>90</v>
      </c>
      <c r="D160" s="11">
        <v>0</v>
      </c>
      <c r="E160" s="9" t="s">
        <v>61</v>
      </c>
      <c r="G160" s="9" t="s">
        <v>123</v>
      </c>
      <c r="H160" s="9" t="s">
        <v>90</v>
      </c>
      <c r="I160" s="13">
        <v>1.8688129118355091E-2</v>
      </c>
      <c r="J160" s="9" t="s">
        <v>61</v>
      </c>
      <c r="L160" s="9" t="s">
        <v>143</v>
      </c>
      <c r="M160" s="9" t="s">
        <v>90</v>
      </c>
      <c r="N160" s="13">
        <v>2.3561837761240163E-2</v>
      </c>
      <c r="O160" s="9" t="s">
        <v>61</v>
      </c>
    </row>
    <row r="161" spans="2:15" x14ac:dyDescent="0.45">
      <c r="B161" s="8" t="s">
        <v>103</v>
      </c>
      <c r="C161" s="8" t="s">
        <v>91</v>
      </c>
      <c r="D161" s="10">
        <v>0</v>
      </c>
      <c r="E161" s="8" t="s">
        <v>61</v>
      </c>
      <c r="G161" s="8" t="s">
        <v>123</v>
      </c>
      <c r="H161" s="8" t="s">
        <v>91</v>
      </c>
      <c r="I161" s="12">
        <v>5.9733906177856025E-2</v>
      </c>
      <c r="J161" s="8" t="s">
        <v>61</v>
      </c>
      <c r="L161" s="8" t="s">
        <v>143</v>
      </c>
      <c r="M161" s="8" t="s">
        <v>91</v>
      </c>
      <c r="N161" s="12">
        <v>5.4216606020441163E-2</v>
      </c>
      <c r="O161" s="8" t="s">
        <v>61</v>
      </c>
    </row>
    <row r="162" spans="2:15" x14ac:dyDescent="0.45">
      <c r="B162" s="9" t="s">
        <v>103</v>
      </c>
      <c r="C162" s="9" t="s">
        <v>92</v>
      </c>
      <c r="D162" s="11">
        <v>2.1980744649166122E-4</v>
      </c>
      <c r="E162" s="9" t="s">
        <v>61</v>
      </c>
      <c r="G162" s="9" t="s">
        <v>123</v>
      </c>
      <c r="H162" s="9" t="s">
        <v>92</v>
      </c>
      <c r="I162" s="13">
        <v>2.2565863749547881E-2</v>
      </c>
      <c r="J162" s="9" t="s">
        <v>61</v>
      </c>
      <c r="L162" s="9" t="s">
        <v>143</v>
      </c>
      <c r="M162" s="9" t="s">
        <v>92</v>
      </c>
      <c r="N162" s="13">
        <v>2.1461080702795163E-2</v>
      </c>
      <c r="O162" s="9" t="s">
        <v>61</v>
      </c>
    </row>
    <row r="163" spans="2:15" x14ac:dyDescent="0.45">
      <c r="B163" s="8" t="s">
        <v>103</v>
      </c>
      <c r="C163" s="8" t="s">
        <v>93</v>
      </c>
      <c r="D163" s="10">
        <v>1.2592262906036735E-2</v>
      </c>
      <c r="E163" s="8" t="s">
        <v>61</v>
      </c>
      <c r="G163" s="8" t="s">
        <v>123</v>
      </c>
      <c r="H163" s="8" t="s">
        <v>93</v>
      </c>
      <c r="I163" s="12">
        <v>2.1012636486341059E-2</v>
      </c>
      <c r="J163" s="8" t="s">
        <v>61</v>
      </c>
      <c r="L163" s="8" t="s">
        <v>143</v>
      </c>
      <c r="M163" s="8" t="s">
        <v>93</v>
      </c>
      <c r="N163" s="12">
        <v>2.1989105109186415E-2</v>
      </c>
      <c r="O163" s="8" t="s">
        <v>61</v>
      </c>
    </row>
    <row r="164" spans="2:15" x14ac:dyDescent="0.45">
      <c r="B164" s="9" t="s">
        <v>103</v>
      </c>
      <c r="C164" s="9" t="s">
        <v>94</v>
      </c>
      <c r="D164" s="11">
        <v>3.0734713010203519E-2</v>
      </c>
      <c r="E164" s="9" t="s">
        <v>61</v>
      </c>
      <c r="G164" s="9" t="s">
        <v>123</v>
      </c>
      <c r="H164" s="9" t="s">
        <v>94</v>
      </c>
      <c r="I164" s="13">
        <v>1.9681749889836602E-2</v>
      </c>
      <c r="J164" s="9" t="s">
        <v>61</v>
      </c>
      <c r="L164" s="9" t="s">
        <v>143</v>
      </c>
      <c r="M164" s="9" t="s">
        <v>94</v>
      </c>
      <c r="N164" s="13">
        <v>2.2467142146611316E-2</v>
      </c>
      <c r="O164" s="9" t="s">
        <v>61</v>
      </c>
    </row>
    <row r="165" spans="2:15" x14ac:dyDescent="0.45">
      <c r="B165" s="8" t="s">
        <v>103</v>
      </c>
      <c r="C165" s="8" t="s">
        <v>95</v>
      </c>
      <c r="D165" s="10">
        <v>3.7818314050846756E-2</v>
      </c>
      <c r="E165" s="8" t="s">
        <v>61</v>
      </c>
      <c r="G165" s="8" t="s">
        <v>123</v>
      </c>
      <c r="H165" s="8" t="s">
        <v>95</v>
      </c>
      <c r="I165" s="12">
        <v>1.8420961105670357E-2</v>
      </c>
      <c r="J165" s="8" t="s">
        <v>61</v>
      </c>
      <c r="L165" s="8" t="s">
        <v>143</v>
      </c>
      <c r="M165" s="8" t="s">
        <v>95</v>
      </c>
      <c r="N165" s="12">
        <v>2.1970537989325769E-2</v>
      </c>
      <c r="O165" s="8" t="s">
        <v>61</v>
      </c>
    </row>
    <row r="166" spans="2:15" x14ac:dyDescent="0.45">
      <c r="B166" s="9" t="s">
        <v>103</v>
      </c>
      <c r="C166" s="9" t="s">
        <v>96</v>
      </c>
      <c r="D166" s="11">
        <v>3.8034851298148202E-2</v>
      </c>
      <c r="E166" s="9" t="s">
        <v>61</v>
      </c>
      <c r="G166" s="9" t="s">
        <v>123</v>
      </c>
      <c r="H166" s="9" t="s">
        <v>96</v>
      </c>
      <c r="I166" s="13">
        <v>1.9953407919597831E-2</v>
      </c>
      <c r="J166" s="9" t="s">
        <v>61</v>
      </c>
      <c r="L166" s="9" t="s">
        <v>143</v>
      </c>
      <c r="M166" s="9" t="s">
        <v>96</v>
      </c>
      <c r="N166" s="13">
        <v>2.1284151533843328E-2</v>
      </c>
      <c r="O166" s="9" t="s">
        <v>61</v>
      </c>
    </row>
    <row r="167" spans="2:15" x14ac:dyDescent="0.45">
      <c r="B167" s="8" t="s">
        <v>103</v>
      </c>
      <c r="C167" s="8" t="s">
        <v>97</v>
      </c>
      <c r="D167" s="10">
        <v>2.8133805760629581E-2</v>
      </c>
      <c r="E167" s="8" t="s">
        <v>61</v>
      </c>
      <c r="G167" s="8" t="s">
        <v>123</v>
      </c>
      <c r="H167" s="8" t="s">
        <v>97</v>
      </c>
      <c r="I167" s="12">
        <v>2.1279070307030225E-2</v>
      </c>
      <c r="J167" s="8" t="s">
        <v>61</v>
      </c>
      <c r="L167" s="8" t="s">
        <v>143</v>
      </c>
      <c r="M167" s="8" t="s">
        <v>97</v>
      </c>
      <c r="N167" s="12">
        <v>2.1083033214322089E-2</v>
      </c>
      <c r="O167" s="8" t="s">
        <v>61</v>
      </c>
    </row>
    <row r="168" spans="2:15" x14ac:dyDescent="0.45">
      <c r="B168" s="9" t="s">
        <v>103</v>
      </c>
      <c r="C168" s="9" t="s">
        <v>98</v>
      </c>
      <c r="D168" s="11">
        <v>8.7436725997844609E-3</v>
      </c>
      <c r="E168" s="9" t="s">
        <v>61</v>
      </c>
      <c r="G168" s="9" t="s">
        <v>123</v>
      </c>
      <c r="H168" s="9" t="s">
        <v>98</v>
      </c>
      <c r="I168" s="13">
        <v>2.2861154211922068E-2</v>
      </c>
      <c r="J168" s="9" t="s">
        <v>61</v>
      </c>
      <c r="L168" s="9" t="s">
        <v>143</v>
      </c>
      <c r="M168" s="9" t="s">
        <v>98</v>
      </c>
      <c r="N168" s="13">
        <v>2.1072368000136444E-2</v>
      </c>
      <c r="O168" s="9" t="s">
        <v>61</v>
      </c>
    </row>
    <row r="169" spans="2:15" x14ac:dyDescent="0.45">
      <c r="B169" s="8" t="s">
        <v>103</v>
      </c>
      <c r="C169" s="8" t="s">
        <v>99</v>
      </c>
      <c r="D169" s="10">
        <v>8.5777209637607135E-5</v>
      </c>
      <c r="E169" s="8" t="s">
        <v>61</v>
      </c>
      <c r="G169" s="8" t="s">
        <v>123</v>
      </c>
      <c r="H169" s="8" t="s">
        <v>99</v>
      </c>
      <c r="I169" s="12">
        <v>2.4599158198170018E-2</v>
      </c>
      <c r="J169" s="8" t="s">
        <v>61</v>
      </c>
      <c r="L169" s="8" t="s">
        <v>143</v>
      </c>
      <c r="M169" s="8" t="s">
        <v>99</v>
      </c>
      <c r="N169" s="12">
        <v>2.1415533030767452E-2</v>
      </c>
      <c r="O169" s="8" t="s">
        <v>61</v>
      </c>
    </row>
    <row r="170" spans="2:15" x14ac:dyDescent="0.45">
      <c r="B170" s="9" t="s">
        <v>103</v>
      </c>
      <c r="C170" s="9" t="s">
        <v>100</v>
      </c>
      <c r="D170" s="11">
        <v>0</v>
      </c>
      <c r="E170" s="9" t="s">
        <v>61</v>
      </c>
      <c r="G170" s="9" t="s">
        <v>123</v>
      </c>
      <c r="H170" s="9" t="s">
        <v>100</v>
      </c>
      <c r="I170" s="13">
        <v>3.7532991166438025E-2</v>
      </c>
      <c r="J170" s="9" t="s">
        <v>61</v>
      </c>
      <c r="L170" s="9" t="s">
        <v>143</v>
      </c>
      <c r="M170" s="9" t="s">
        <v>100</v>
      </c>
      <c r="N170" s="13">
        <v>3.2622239822399111E-2</v>
      </c>
      <c r="O170" s="9" t="s">
        <v>61</v>
      </c>
    </row>
    <row r="171" spans="2:15" x14ac:dyDescent="0.45">
      <c r="B171" s="8" t="s">
        <v>104</v>
      </c>
      <c r="C171" s="8" t="s">
        <v>60</v>
      </c>
      <c r="D171" s="10">
        <v>0</v>
      </c>
      <c r="E171" s="8" t="s">
        <v>61</v>
      </c>
      <c r="G171" s="8" t="s">
        <v>124</v>
      </c>
      <c r="H171" s="8" t="s">
        <v>60</v>
      </c>
      <c r="I171" s="12">
        <v>7.1463757215220927E-2</v>
      </c>
      <c r="J171" s="8" t="s">
        <v>61</v>
      </c>
      <c r="L171" s="8" t="s">
        <v>144</v>
      </c>
      <c r="M171" s="8" t="s">
        <v>60</v>
      </c>
      <c r="N171" s="12">
        <v>6.0622255337855237E-2</v>
      </c>
      <c r="O171" s="8" t="s">
        <v>61</v>
      </c>
    </row>
    <row r="172" spans="2:15" x14ac:dyDescent="0.45">
      <c r="B172" s="9" t="s">
        <v>104</v>
      </c>
      <c r="C172" s="9" t="s">
        <v>62</v>
      </c>
      <c r="D172" s="11">
        <v>0</v>
      </c>
      <c r="E172" s="9" t="s">
        <v>61</v>
      </c>
      <c r="G172" s="9" t="s">
        <v>124</v>
      </c>
      <c r="H172" s="9" t="s">
        <v>62</v>
      </c>
      <c r="I172" s="13">
        <v>2.9176417398765041E-2</v>
      </c>
      <c r="J172" s="9" t="s">
        <v>61</v>
      </c>
      <c r="L172" s="9" t="s">
        <v>144</v>
      </c>
      <c r="M172" s="9" t="s">
        <v>62</v>
      </c>
      <c r="N172" s="13">
        <v>2.4496908317804655E-2</v>
      </c>
      <c r="O172" s="9" t="s">
        <v>61</v>
      </c>
    </row>
    <row r="173" spans="2:15" x14ac:dyDescent="0.45">
      <c r="B173" s="8" t="s">
        <v>104</v>
      </c>
      <c r="C173" s="8" t="s">
        <v>63</v>
      </c>
      <c r="D173" s="10">
        <v>4.3088948751414711E-4</v>
      </c>
      <c r="E173" s="8" t="s">
        <v>61</v>
      </c>
      <c r="G173" s="8" t="s">
        <v>124</v>
      </c>
      <c r="H173" s="8" t="s">
        <v>63</v>
      </c>
      <c r="I173" s="12">
        <v>2.907754825764736E-2</v>
      </c>
      <c r="J173" s="8" t="s">
        <v>61</v>
      </c>
      <c r="L173" s="8" t="s">
        <v>144</v>
      </c>
      <c r="M173" s="8" t="s">
        <v>63</v>
      </c>
      <c r="N173" s="12">
        <v>2.4981084129611981E-2</v>
      </c>
      <c r="O173" s="8" t="s">
        <v>61</v>
      </c>
    </row>
    <row r="174" spans="2:15" x14ac:dyDescent="0.45">
      <c r="B174" s="9" t="s">
        <v>104</v>
      </c>
      <c r="C174" s="9" t="s">
        <v>64</v>
      </c>
      <c r="D174" s="11">
        <v>1.2666416112097225E-2</v>
      </c>
      <c r="E174" s="9" t="s">
        <v>61</v>
      </c>
      <c r="G174" s="9" t="s">
        <v>124</v>
      </c>
      <c r="H174" s="9" t="s">
        <v>64</v>
      </c>
      <c r="I174" s="13">
        <v>2.8177589655015687E-2</v>
      </c>
      <c r="J174" s="9" t="s">
        <v>61</v>
      </c>
      <c r="L174" s="9" t="s">
        <v>144</v>
      </c>
      <c r="M174" s="9" t="s">
        <v>64</v>
      </c>
      <c r="N174" s="13">
        <v>2.5338645681969706E-2</v>
      </c>
      <c r="O174" s="9" t="s">
        <v>61</v>
      </c>
    </row>
    <row r="175" spans="2:15" x14ac:dyDescent="0.45">
      <c r="B175" s="8" t="s">
        <v>104</v>
      </c>
      <c r="C175" s="8" t="s">
        <v>65</v>
      </c>
      <c r="D175" s="10">
        <v>2.1874642505192783E-2</v>
      </c>
      <c r="E175" s="8" t="s">
        <v>61</v>
      </c>
      <c r="G175" s="8" t="s">
        <v>124</v>
      </c>
      <c r="H175" s="8" t="s">
        <v>65</v>
      </c>
      <c r="I175" s="12">
        <v>2.574415524186691E-2</v>
      </c>
      <c r="J175" s="8" t="s">
        <v>61</v>
      </c>
      <c r="L175" s="8" t="s">
        <v>144</v>
      </c>
      <c r="M175" s="8" t="s">
        <v>65</v>
      </c>
      <c r="N175" s="12">
        <v>2.5083528756614456E-2</v>
      </c>
      <c r="O175" s="8" t="s">
        <v>61</v>
      </c>
    </row>
    <row r="176" spans="2:15" x14ac:dyDescent="0.45">
      <c r="B176" s="9" t="s">
        <v>104</v>
      </c>
      <c r="C176" s="9" t="s">
        <v>66</v>
      </c>
      <c r="D176" s="11">
        <v>2.1240913921345497E-2</v>
      </c>
      <c r="E176" s="9" t="s">
        <v>61</v>
      </c>
      <c r="G176" s="9" t="s">
        <v>124</v>
      </c>
      <c r="H176" s="9" t="s">
        <v>66</v>
      </c>
      <c r="I176" s="13">
        <v>2.5249374611608647E-2</v>
      </c>
      <c r="J176" s="9" t="s">
        <v>61</v>
      </c>
      <c r="L176" s="9" t="s">
        <v>144</v>
      </c>
      <c r="M176" s="9" t="s">
        <v>66</v>
      </c>
      <c r="N176" s="13">
        <v>2.4399120858113528E-2</v>
      </c>
      <c r="O176" s="9" t="s">
        <v>61</v>
      </c>
    </row>
    <row r="177" spans="2:15" x14ac:dyDescent="0.45">
      <c r="B177" s="8" t="s">
        <v>104</v>
      </c>
      <c r="C177" s="8" t="s">
        <v>67</v>
      </c>
      <c r="D177" s="10">
        <v>1.0443816141109431E-2</v>
      </c>
      <c r="E177" s="8" t="s">
        <v>61</v>
      </c>
      <c r="G177" s="8" t="s">
        <v>124</v>
      </c>
      <c r="H177" s="8" t="s">
        <v>67</v>
      </c>
      <c r="I177" s="12">
        <v>2.6784798107519759E-2</v>
      </c>
      <c r="J177" s="8" t="s">
        <v>61</v>
      </c>
      <c r="L177" s="8" t="s">
        <v>144</v>
      </c>
      <c r="M177" s="8" t="s">
        <v>67</v>
      </c>
      <c r="N177" s="12">
        <v>2.4752356854385968E-2</v>
      </c>
      <c r="O177" s="8" t="s">
        <v>61</v>
      </c>
    </row>
    <row r="178" spans="2:15" x14ac:dyDescent="0.45">
      <c r="B178" s="9" t="s">
        <v>104</v>
      </c>
      <c r="C178" s="9" t="s">
        <v>68</v>
      </c>
      <c r="D178" s="11">
        <v>9.3896643611606769E-4</v>
      </c>
      <c r="E178" s="9" t="s">
        <v>61</v>
      </c>
      <c r="G178" s="9" t="s">
        <v>124</v>
      </c>
      <c r="H178" s="9" t="s">
        <v>68</v>
      </c>
      <c r="I178" s="13">
        <v>2.8982594955870092E-2</v>
      </c>
      <c r="J178" s="9" t="s">
        <v>61</v>
      </c>
      <c r="L178" s="9" t="s">
        <v>144</v>
      </c>
      <c r="M178" s="9" t="s">
        <v>68</v>
      </c>
      <c r="N178" s="13">
        <v>2.5322357596411223E-2</v>
      </c>
      <c r="O178" s="9" t="s">
        <v>61</v>
      </c>
    </row>
    <row r="179" spans="2:15" x14ac:dyDescent="0.45">
      <c r="B179" s="8" t="s">
        <v>104</v>
      </c>
      <c r="C179" s="8" t="s">
        <v>69</v>
      </c>
      <c r="D179" s="10">
        <v>0</v>
      </c>
      <c r="E179" s="8" t="s">
        <v>61</v>
      </c>
      <c r="G179" s="8" t="s">
        <v>124</v>
      </c>
      <c r="H179" s="8" t="s">
        <v>69</v>
      </c>
      <c r="I179" s="12">
        <v>2.984337730061036E-2</v>
      </c>
      <c r="J179" s="8" t="s">
        <v>61</v>
      </c>
      <c r="L179" s="8" t="s">
        <v>144</v>
      </c>
      <c r="M179" s="8" t="s">
        <v>69</v>
      </c>
      <c r="N179" s="12">
        <v>2.5397812796339601E-2</v>
      </c>
      <c r="O179" s="8" t="s">
        <v>61</v>
      </c>
    </row>
    <row r="180" spans="2:15" x14ac:dyDescent="0.45">
      <c r="B180" s="9" t="s">
        <v>104</v>
      </c>
      <c r="C180" s="9" t="s">
        <v>70</v>
      </c>
      <c r="D180" s="11">
        <v>0</v>
      </c>
      <c r="E180" s="9" t="s">
        <v>61</v>
      </c>
      <c r="G180" s="9" t="s">
        <v>124</v>
      </c>
      <c r="H180" s="9" t="s">
        <v>70</v>
      </c>
      <c r="I180" s="13">
        <v>4.3961580945691019E-2</v>
      </c>
      <c r="J180" s="9" t="s">
        <v>61</v>
      </c>
      <c r="L180" s="9" t="s">
        <v>144</v>
      </c>
      <c r="M180" s="9" t="s">
        <v>70</v>
      </c>
      <c r="N180" s="13">
        <v>3.748151841157199E-2</v>
      </c>
      <c r="O180" s="9" t="s">
        <v>61</v>
      </c>
    </row>
    <row r="181" spans="2:15" x14ac:dyDescent="0.45">
      <c r="B181" s="8" t="s">
        <v>104</v>
      </c>
      <c r="C181" s="8" t="s">
        <v>71</v>
      </c>
      <c r="D181" s="10">
        <v>0</v>
      </c>
      <c r="E181" s="8" t="s">
        <v>61</v>
      </c>
      <c r="G181" s="8" t="s">
        <v>124</v>
      </c>
      <c r="H181" s="8" t="s">
        <v>71</v>
      </c>
      <c r="I181" s="12">
        <v>5.8019371997229625E-2</v>
      </c>
      <c r="J181" s="8" t="s">
        <v>61</v>
      </c>
      <c r="L181" s="8" t="s">
        <v>144</v>
      </c>
      <c r="M181" s="8" t="s">
        <v>71</v>
      </c>
      <c r="N181" s="12">
        <v>5.7772254182398702E-2</v>
      </c>
      <c r="O181" s="8" t="s">
        <v>61</v>
      </c>
    </row>
    <row r="182" spans="2:15" x14ac:dyDescent="0.45">
      <c r="B182" s="9" t="s">
        <v>104</v>
      </c>
      <c r="C182" s="9" t="s">
        <v>72</v>
      </c>
      <c r="D182" s="11">
        <v>9.1033717872062974E-3</v>
      </c>
      <c r="E182" s="9" t="s">
        <v>61</v>
      </c>
      <c r="G182" s="9" t="s">
        <v>124</v>
      </c>
      <c r="H182" s="9" t="s">
        <v>72</v>
      </c>
      <c r="I182" s="13">
        <v>2.2175982693137763E-2</v>
      </c>
      <c r="J182" s="9" t="s">
        <v>61</v>
      </c>
      <c r="L182" s="9" t="s">
        <v>144</v>
      </c>
      <c r="M182" s="9" t="s">
        <v>72</v>
      </c>
      <c r="N182" s="13">
        <v>2.1822122483136946E-2</v>
      </c>
      <c r="O182" s="9" t="s">
        <v>61</v>
      </c>
    </row>
    <row r="183" spans="2:15" x14ac:dyDescent="0.45">
      <c r="B183" s="8" t="s">
        <v>104</v>
      </c>
      <c r="C183" s="8" t="s">
        <v>73</v>
      </c>
      <c r="D183" s="10">
        <v>3.9755809038504501E-2</v>
      </c>
      <c r="E183" s="8" t="s">
        <v>61</v>
      </c>
      <c r="G183" s="8" t="s">
        <v>124</v>
      </c>
      <c r="H183" s="8" t="s">
        <v>73</v>
      </c>
      <c r="I183" s="12">
        <v>1.9175539901167396E-2</v>
      </c>
      <c r="J183" s="8" t="s">
        <v>61</v>
      </c>
      <c r="L183" s="8" t="s">
        <v>144</v>
      </c>
      <c r="M183" s="8" t="s">
        <v>73</v>
      </c>
      <c r="N183" s="12">
        <v>2.1745356477322137E-2</v>
      </c>
      <c r="O183" s="8" t="s">
        <v>61</v>
      </c>
    </row>
    <row r="184" spans="2:15" x14ac:dyDescent="0.45">
      <c r="B184" s="9" t="s">
        <v>104</v>
      </c>
      <c r="C184" s="9" t="s">
        <v>74</v>
      </c>
      <c r="D184" s="11">
        <v>6.8048136698232634E-2</v>
      </c>
      <c r="E184" s="9" t="s">
        <v>61</v>
      </c>
      <c r="G184" s="9" t="s">
        <v>124</v>
      </c>
      <c r="H184" s="9" t="s">
        <v>74</v>
      </c>
      <c r="I184" s="13">
        <v>1.8781852144665028E-2</v>
      </c>
      <c r="J184" s="9" t="s">
        <v>61</v>
      </c>
      <c r="L184" s="9" t="s">
        <v>144</v>
      </c>
      <c r="M184" s="9" t="s">
        <v>74</v>
      </c>
      <c r="N184" s="13">
        <v>2.1573299805539604E-2</v>
      </c>
      <c r="O184" s="9" t="s">
        <v>61</v>
      </c>
    </row>
    <row r="185" spans="2:15" x14ac:dyDescent="0.45">
      <c r="B185" s="8" t="s">
        <v>104</v>
      </c>
      <c r="C185" s="8" t="s">
        <v>75</v>
      </c>
      <c r="D185" s="10">
        <v>7.2447015088601491E-2</v>
      </c>
      <c r="E185" s="8" t="s">
        <v>61</v>
      </c>
      <c r="G185" s="8" t="s">
        <v>124</v>
      </c>
      <c r="H185" s="8" t="s">
        <v>75</v>
      </c>
      <c r="I185" s="12">
        <v>1.7549531706600553E-2</v>
      </c>
      <c r="J185" s="8" t="s">
        <v>61</v>
      </c>
      <c r="L185" s="8" t="s">
        <v>144</v>
      </c>
      <c r="M185" s="8" t="s">
        <v>75</v>
      </c>
      <c r="N185" s="12">
        <v>1.9784231182630216E-2</v>
      </c>
      <c r="O185" s="8" t="s">
        <v>61</v>
      </c>
    </row>
    <row r="186" spans="2:15" x14ac:dyDescent="0.45">
      <c r="B186" s="9" t="s">
        <v>104</v>
      </c>
      <c r="C186" s="9" t="s">
        <v>76</v>
      </c>
      <c r="D186" s="11">
        <v>6.7754073616397334E-2</v>
      </c>
      <c r="E186" s="9" t="s">
        <v>61</v>
      </c>
      <c r="G186" s="9" t="s">
        <v>124</v>
      </c>
      <c r="H186" s="9" t="s">
        <v>76</v>
      </c>
      <c r="I186" s="13">
        <v>2.0112559667826286E-2</v>
      </c>
      <c r="J186" s="9" t="s">
        <v>61</v>
      </c>
      <c r="L186" s="9" t="s">
        <v>144</v>
      </c>
      <c r="M186" s="9" t="s">
        <v>76</v>
      </c>
      <c r="N186" s="13">
        <v>2.0408647696998187E-2</v>
      </c>
      <c r="O186" s="9" t="s">
        <v>61</v>
      </c>
    </row>
    <row r="187" spans="2:15" x14ac:dyDescent="0.45">
      <c r="B187" s="8" t="s">
        <v>104</v>
      </c>
      <c r="C187" s="8" t="s">
        <v>77</v>
      </c>
      <c r="D187" s="10">
        <v>5.5564852998843971E-2</v>
      </c>
      <c r="E187" s="8" t="s">
        <v>61</v>
      </c>
      <c r="G187" s="8" t="s">
        <v>124</v>
      </c>
      <c r="H187" s="8" t="s">
        <v>77</v>
      </c>
      <c r="I187" s="12">
        <v>2.0649091291535811E-2</v>
      </c>
      <c r="J187" s="8" t="s">
        <v>61</v>
      </c>
      <c r="L187" s="8" t="s">
        <v>144</v>
      </c>
      <c r="M187" s="8" t="s">
        <v>77</v>
      </c>
      <c r="N187" s="12">
        <v>2.1721883351673792E-2</v>
      </c>
      <c r="O187" s="8" t="s">
        <v>61</v>
      </c>
    </row>
    <row r="188" spans="2:15" x14ac:dyDescent="0.45">
      <c r="B188" s="9" t="s">
        <v>104</v>
      </c>
      <c r="C188" s="9" t="s">
        <v>78</v>
      </c>
      <c r="D188" s="11">
        <v>3.1141498251261078E-2</v>
      </c>
      <c r="E188" s="9" t="s">
        <v>61</v>
      </c>
      <c r="G188" s="9" t="s">
        <v>124</v>
      </c>
      <c r="H188" s="9" t="s">
        <v>78</v>
      </c>
      <c r="I188" s="13">
        <v>2.1006599125174476E-2</v>
      </c>
      <c r="J188" s="9" t="s">
        <v>61</v>
      </c>
      <c r="L188" s="9" t="s">
        <v>144</v>
      </c>
      <c r="M188" s="9" t="s">
        <v>78</v>
      </c>
      <c r="N188" s="13">
        <v>2.2729107524652892E-2</v>
      </c>
      <c r="O188" s="9" t="s">
        <v>61</v>
      </c>
    </row>
    <row r="189" spans="2:15" x14ac:dyDescent="0.45">
      <c r="B189" s="8" t="s">
        <v>104</v>
      </c>
      <c r="C189" s="8" t="s">
        <v>79</v>
      </c>
      <c r="D189" s="10">
        <v>5.0994993394916201E-3</v>
      </c>
      <c r="E189" s="8" t="s">
        <v>61</v>
      </c>
      <c r="G189" s="8" t="s">
        <v>124</v>
      </c>
      <c r="H189" s="8" t="s">
        <v>79</v>
      </c>
      <c r="I189" s="12">
        <v>2.4263887711177039E-2</v>
      </c>
      <c r="J189" s="8" t="s">
        <v>61</v>
      </c>
      <c r="L189" s="8" t="s">
        <v>144</v>
      </c>
      <c r="M189" s="8" t="s">
        <v>79</v>
      </c>
      <c r="N189" s="12">
        <v>2.4037679531196347E-2</v>
      </c>
      <c r="O189" s="8" t="s">
        <v>61</v>
      </c>
    </row>
    <row r="190" spans="2:15" x14ac:dyDescent="0.45">
      <c r="B190" s="9" t="s">
        <v>104</v>
      </c>
      <c r="C190" s="9" t="s">
        <v>80</v>
      </c>
      <c r="D190" s="11">
        <v>0</v>
      </c>
      <c r="E190" s="9" t="s">
        <v>61</v>
      </c>
      <c r="G190" s="9" t="s">
        <v>124</v>
      </c>
      <c r="H190" s="9" t="s">
        <v>80</v>
      </c>
      <c r="I190" s="13">
        <v>3.6894416565290737E-2</v>
      </c>
      <c r="J190" s="9" t="s">
        <v>61</v>
      </c>
      <c r="L190" s="9" t="s">
        <v>144</v>
      </c>
      <c r="M190" s="9" t="s">
        <v>80</v>
      </c>
      <c r="N190" s="13">
        <v>3.6554842696623541E-2</v>
      </c>
      <c r="O190" s="9" t="s">
        <v>61</v>
      </c>
    </row>
    <row r="191" spans="2:15" x14ac:dyDescent="0.45">
      <c r="B191" s="8" t="s">
        <v>104</v>
      </c>
      <c r="C191" s="8" t="s">
        <v>81</v>
      </c>
      <c r="D191" s="10">
        <v>0</v>
      </c>
      <c r="E191" s="8" t="s">
        <v>61</v>
      </c>
      <c r="G191" s="8" t="s">
        <v>124</v>
      </c>
      <c r="H191" s="8" t="s">
        <v>81</v>
      </c>
      <c r="I191" s="12">
        <v>3.1572078813101055E-2</v>
      </c>
      <c r="J191" s="8" t="s">
        <v>61</v>
      </c>
      <c r="L191" s="8" t="s">
        <v>144</v>
      </c>
      <c r="M191" s="8" t="s">
        <v>81</v>
      </c>
      <c r="N191" s="12">
        <v>3.7105648422178387E-2</v>
      </c>
      <c r="O191" s="8" t="s">
        <v>61</v>
      </c>
    </row>
    <row r="192" spans="2:15" x14ac:dyDescent="0.45">
      <c r="B192" s="9" t="s">
        <v>104</v>
      </c>
      <c r="C192" s="9" t="s">
        <v>82</v>
      </c>
      <c r="D192" s="11">
        <v>2.0089034881557201E-2</v>
      </c>
      <c r="E192" s="9" t="s">
        <v>61</v>
      </c>
      <c r="G192" s="9" t="s">
        <v>124</v>
      </c>
      <c r="H192" s="9" t="s">
        <v>82</v>
      </c>
      <c r="I192" s="13">
        <v>1.075577022368324E-2</v>
      </c>
      <c r="J192" s="9" t="s">
        <v>61</v>
      </c>
      <c r="L192" s="9" t="s">
        <v>144</v>
      </c>
      <c r="M192" s="9" t="s">
        <v>82</v>
      </c>
      <c r="N192" s="13">
        <v>1.4183756421362177E-2</v>
      </c>
      <c r="O192" s="9" t="s">
        <v>61</v>
      </c>
    </row>
    <row r="193" spans="2:15" x14ac:dyDescent="0.45">
      <c r="B193" s="8" t="s">
        <v>104</v>
      </c>
      <c r="C193" s="8" t="s">
        <v>83</v>
      </c>
      <c r="D193" s="10">
        <v>5.4032542640455046E-2</v>
      </c>
      <c r="E193" s="8" t="s">
        <v>61</v>
      </c>
      <c r="G193" s="8" t="s">
        <v>124</v>
      </c>
      <c r="H193" s="8" t="s">
        <v>83</v>
      </c>
      <c r="I193" s="12">
        <v>9.3044406046942744E-3</v>
      </c>
      <c r="J193" s="8" t="s">
        <v>61</v>
      </c>
      <c r="L193" s="8" t="s">
        <v>144</v>
      </c>
      <c r="M193" s="8" t="s">
        <v>83</v>
      </c>
      <c r="N193" s="12">
        <v>1.3889518155841529E-2</v>
      </c>
      <c r="O193" s="8" t="s">
        <v>61</v>
      </c>
    </row>
    <row r="194" spans="2:15" x14ac:dyDescent="0.45">
      <c r="B194" s="9" t="s">
        <v>104</v>
      </c>
      <c r="C194" s="9" t="s">
        <v>84</v>
      </c>
      <c r="D194" s="11">
        <v>7.3326610596188044E-2</v>
      </c>
      <c r="E194" s="9" t="s">
        <v>61</v>
      </c>
      <c r="G194" s="9" t="s">
        <v>124</v>
      </c>
      <c r="H194" s="9" t="s">
        <v>84</v>
      </c>
      <c r="I194" s="13">
        <v>1.0241462833458602E-2</v>
      </c>
      <c r="J194" s="9" t="s">
        <v>61</v>
      </c>
      <c r="L194" s="9" t="s">
        <v>144</v>
      </c>
      <c r="M194" s="9" t="s">
        <v>84</v>
      </c>
      <c r="N194" s="13">
        <v>1.3749291269948399E-2</v>
      </c>
      <c r="O194" s="9" t="s">
        <v>61</v>
      </c>
    </row>
    <row r="195" spans="2:15" x14ac:dyDescent="0.45">
      <c r="B195" s="8" t="s">
        <v>104</v>
      </c>
      <c r="C195" s="8" t="s">
        <v>85</v>
      </c>
      <c r="D195" s="10">
        <v>7.6106519758512334E-2</v>
      </c>
      <c r="E195" s="8" t="s">
        <v>61</v>
      </c>
      <c r="G195" s="8" t="s">
        <v>124</v>
      </c>
      <c r="H195" s="8" t="s">
        <v>85</v>
      </c>
      <c r="I195" s="12">
        <v>9.6182095399313505E-3</v>
      </c>
      <c r="J195" s="8" t="s">
        <v>61</v>
      </c>
      <c r="L195" s="8" t="s">
        <v>144</v>
      </c>
      <c r="M195" s="8" t="s">
        <v>85</v>
      </c>
      <c r="N195" s="12">
        <v>1.3028537977322471E-2</v>
      </c>
      <c r="O195" s="8" t="s">
        <v>61</v>
      </c>
    </row>
    <row r="196" spans="2:15" x14ac:dyDescent="0.45">
      <c r="B196" s="9" t="s">
        <v>104</v>
      </c>
      <c r="C196" s="9" t="s">
        <v>86</v>
      </c>
      <c r="D196" s="11">
        <v>7.2749042519515486E-2</v>
      </c>
      <c r="E196" s="9" t="s">
        <v>61</v>
      </c>
      <c r="G196" s="9" t="s">
        <v>124</v>
      </c>
      <c r="H196" s="9" t="s">
        <v>86</v>
      </c>
      <c r="I196" s="13">
        <v>1.1985838896592712E-2</v>
      </c>
      <c r="J196" s="9" t="s">
        <v>61</v>
      </c>
      <c r="L196" s="9" t="s">
        <v>144</v>
      </c>
      <c r="M196" s="9" t="s">
        <v>86</v>
      </c>
      <c r="N196" s="13">
        <v>1.4421013880895039E-2</v>
      </c>
      <c r="O196" s="9" t="s">
        <v>61</v>
      </c>
    </row>
    <row r="197" spans="2:15" x14ac:dyDescent="0.45">
      <c r="B197" s="8" t="s">
        <v>104</v>
      </c>
      <c r="C197" s="8" t="s">
        <v>87</v>
      </c>
      <c r="D197" s="10">
        <v>6.5256095923812582E-2</v>
      </c>
      <c r="E197" s="8" t="s">
        <v>61</v>
      </c>
      <c r="G197" s="8" t="s">
        <v>124</v>
      </c>
      <c r="H197" s="8" t="s">
        <v>87</v>
      </c>
      <c r="I197" s="12">
        <v>1.3189976262443236E-2</v>
      </c>
      <c r="J197" s="8" t="s">
        <v>61</v>
      </c>
      <c r="L197" s="8" t="s">
        <v>144</v>
      </c>
      <c r="M197" s="8" t="s">
        <v>87</v>
      </c>
      <c r="N197" s="12">
        <v>1.5417006705194336E-2</v>
      </c>
      <c r="O197" s="8" t="s">
        <v>61</v>
      </c>
    </row>
    <row r="198" spans="2:15" x14ac:dyDescent="0.45">
      <c r="B198" s="9" t="s">
        <v>104</v>
      </c>
      <c r="C198" s="9" t="s">
        <v>88</v>
      </c>
      <c r="D198" s="11">
        <v>4.4659405898124838E-2</v>
      </c>
      <c r="E198" s="9" t="s">
        <v>61</v>
      </c>
      <c r="G198" s="9" t="s">
        <v>124</v>
      </c>
      <c r="H198" s="9" t="s">
        <v>88</v>
      </c>
      <c r="I198" s="13">
        <v>1.2301903120394893E-2</v>
      </c>
      <c r="J198" s="9" t="s">
        <v>61</v>
      </c>
      <c r="L198" s="9" t="s">
        <v>144</v>
      </c>
      <c r="M198" s="9" t="s">
        <v>88</v>
      </c>
      <c r="N198" s="13">
        <v>1.4868093237390379E-2</v>
      </c>
      <c r="O198" s="9" t="s">
        <v>61</v>
      </c>
    </row>
    <row r="199" spans="2:15" x14ac:dyDescent="0.45">
      <c r="B199" s="8" t="s">
        <v>104</v>
      </c>
      <c r="C199" s="8" t="s">
        <v>89</v>
      </c>
      <c r="D199" s="10">
        <v>1.6915381204901499E-2</v>
      </c>
      <c r="E199" s="8" t="s">
        <v>61</v>
      </c>
      <c r="G199" s="8" t="s">
        <v>124</v>
      </c>
      <c r="H199" s="8" t="s">
        <v>89</v>
      </c>
      <c r="I199" s="12">
        <v>1.2698932962746698E-2</v>
      </c>
      <c r="J199" s="8" t="s">
        <v>61</v>
      </c>
      <c r="L199" s="8" t="s">
        <v>144</v>
      </c>
      <c r="M199" s="8" t="s">
        <v>89</v>
      </c>
      <c r="N199" s="12">
        <v>1.4560075191187481E-2</v>
      </c>
      <c r="O199" s="8" t="s">
        <v>61</v>
      </c>
    </row>
    <row r="200" spans="2:15" x14ac:dyDescent="0.45">
      <c r="B200" s="9" t="s">
        <v>104</v>
      </c>
      <c r="C200" s="9" t="s">
        <v>90</v>
      </c>
      <c r="D200" s="11">
        <v>0</v>
      </c>
      <c r="E200" s="9" t="s">
        <v>61</v>
      </c>
      <c r="G200" s="9" t="s">
        <v>124</v>
      </c>
      <c r="H200" s="9" t="s">
        <v>90</v>
      </c>
      <c r="I200" s="13">
        <v>2.1009684321369609E-2</v>
      </c>
      <c r="J200" s="9" t="s">
        <v>61</v>
      </c>
      <c r="L200" s="9" t="s">
        <v>144</v>
      </c>
      <c r="M200" s="9" t="s">
        <v>90</v>
      </c>
      <c r="N200" s="13">
        <v>2.2205286639290254E-2</v>
      </c>
      <c r="O200" s="9" t="s">
        <v>61</v>
      </c>
    </row>
    <row r="201" spans="2:15" x14ac:dyDescent="0.45">
      <c r="B201" s="8" t="s">
        <v>104</v>
      </c>
      <c r="C201" s="8" t="s">
        <v>91</v>
      </c>
      <c r="D201" s="10">
        <v>0</v>
      </c>
      <c r="E201" s="8" t="s">
        <v>61</v>
      </c>
      <c r="G201" s="8" t="s">
        <v>124</v>
      </c>
      <c r="H201" s="8" t="s">
        <v>91</v>
      </c>
      <c r="I201" s="12">
        <v>5.6030255176752232E-2</v>
      </c>
      <c r="J201" s="8" t="s">
        <v>61</v>
      </c>
      <c r="L201" s="8" t="s">
        <v>144</v>
      </c>
      <c r="M201" s="8" t="s">
        <v>91</v>
      </c>
      <c r="N201" s="12">
        <v>5.2604303814130851E-2</v>
      </c>
      <c r="O201" s="8" t="s">
        <v>61</v>
      </c>
    </row>
    <row r="202" spans="2:15" x14ac:dyDescent="0.45">
      <c r="B202" s="9" t="s">
        <v>104</v>
      </c>
      <c r="C202" s="9" t="s">
        <v>92</v>
      </c>
      <c r="D202" s="11">
        <v>9.2931648183283645E-4</v>
      </c>
      <c r="E202" s="9" t="s">
        <v>61</v>
      </c>
      <c r="G202" s="9" t="s">
        <v>124</v>
      </c>
      <c r="H202" s="9" t="s">
        <v>92</v>
      </c>
      <c r="I202" s="13">
        <v>2.1780515097452338E-2</v>
      </c>
      <c r="J202" s="9" t="s">
        <v>61</v>
      </c>
      <c r="L202" s="9" t="s">
        <v>144</v>
      </c>
      <c r="M202" s="9" t="s">
        <v>92</v>
      </c>
      <c r="N202" s="13">
        <v>2.1347320750809855E-2</v>
      </c>
      <c r="O202" s="9" t="s">
        <v>61</v>
      </c>
    </row>
    <row r="203" spans="2:15" x14ac:dyDescent="0.45">
      <c r="B203" s="8" t="s">
        <v>104</v>
      </c>
      <c r="C203" s="8" t="s">
        <v>93</v>
      </c>
      <c r="D203" s="10">
        <v>1.5562890610039912E-2</v>
      </c>
      <c r="E203" s="8" t="s">
        <v>61</v>
      </c>
      <c r="G203" s="8" t="s">
        <v>124</v>
      </c>
      <c r="H203" s="8" t="s">
        <v>93</v>
      </c>
      <c r="I203" s="12">
        <v>2.1023328090096292E-2</v>
      </c>
      <c r="J203" s="8" t="s">
        <v>61</v>
      </c>
      <c r="L203" s="8" t="s">
        <v>144</v>
      </c>
      <c r="M203" s="8" t="s">
        <v>93</v>
      </c>
      <c r="N203" s="12">
        <v>2.2015424725351337E-2</v>
      </c>
      <c r="O203" s="8" t="s">
        <v>61</v>
      </c>
    </row>
    <row r="204" spans="2:15" x14ac:dyDescent="0.45">
      <c r="B204" s="9" t="s">
        <v>104</v>
      </c>
      <c r="C204" s="9" t="s">
        <v>94</v>
      </c>
      <c r="D204" s="11">
        <v>3.4460530791102791E-2</v>
      </c>
      <c r="E204" s="9" t="s">
        <v>61</v>
      </c>
      <c r="G204" s="9" t="s">
        <v>124</v>
      </c>
      <c r="H204" s="9" t="s">
        <v>94</v>
      </c>
      <c r="I204" s="13">
        <v>2.0365299267663371E-2</v>
      </c>
      <c r="J204" s="9" t="s">
        <v>61</v>
      </c>
      <c r="L204" s="9" t="s">
        <v>144</v>
      </c>
      <c r="M204" s="9" t="s">
        <v>94</v>
      </c>
      <c r="N204" s="13">
        <v>2.2435585957987426E-2</v>
      </c>
      <c r="O204" s="9" t="s">
        <v>61</v>
      </c>
    </row>
    <row r="205" spans="2:15" x14ac:dyDescent="0.45">
      <c r="B205" s="8" t="s">
        <v>104</v>
      </c>
      <c r="C205" s="8" t="s">
        <v>95</v>
      </c>
      <c r="D205" s="10">
        <v>3.8151456019450469E-2</v>
      </c>
      <c r="E205" s="8" t="s">
        <v>61</v>
      </c>
      <c r="G205" s="8" t="s">
        <v>124</v>
      </c>
      <c r="H205" s="8" t="s">
        <v>95</v>
      </c>
      <c r="I205" s="12">
        <v>1.8892891718012603E-2</v>
      </c>
      <c r="J205" s="8" t="s">
        <v>61</v>
      </c>
      <c r="L205" s="8" t="s">
        <v>144</v>
      </c>
      <c r="M205" s="8" t="s">
        <v>95</v>
      </c>
      <c r="N205" s="12">
        <v>2.2082351337445166E-2</v>
      </c>
      <c r="O205" s="8" t="s">
        <v>61</v>
      </c>
    </row>
    <row r="206" spans="2:15" x14ac:dyDescent="0.45">
      <c r="B206" s="9" t="s">
        <v>104</v>
      </c>
      <c r="C206" s="9" t="s">
        <v>96</v>
      </c>
      <c r="D206" s="11">
        <v>3.7488425704085136E-2</v>
      </c>
      <c r="E206" s="9" t="s">
        <v>61</v>
      </c>
      <c r="G206" s="9" t="s">
        <v>124</v>
      </c>
      <c r="H206" s="9" t="s">
        <v>96</v>
      </c>
      <c r="I206" s="13">
        <v>1.9740951077073441E-2</v>
      </c>
      <c r="J206" s="9" t="s">
        <v>61</v>
      </c>
      <c r="L206" s="9" t="s">
        <v>144</v>
      </c>
      <c r="M206" s="9" t="s">
        <v>96</v>
      </c>
      <c r="N206" s="13">
        <v>2.1799386289450429E-2</v>
      </c>
      <c r="O206" s="9" t="s">
        <v>61</v>
      </c>
    </row>
    <row r="207" spans="2:15" x14ac:dyDescent="0.45">
      <c r="B207" s="8" t="s">
        <v>104</v>
      </c>
      <c r="C207" s="8" t="s">
        <v>97</v>
      </c>
      <c r="D207" s="10">
        <v>2.6139201736941588E-2</v>
      </c>
      <c r="E207" s="8" t="s">
        <v>61</v>
      </c>
      <c r="G207" s="8" t="s">
        <v>124</v>
      </c>
      <c r="H207" s="8" t="s">
        <v>97</v>
      </c>
      <c r="I207" s="12">
        <v>2.0992650805779167E-2</v>
      </c>
      <c r="J207" s="8" t="s">
        <v>61</v>
      </c>
      <c r="L207" s="8" t="s">
        <v>144</v>
      </c>
      <c r="M207" s="8" t="s">
        <v>97</v>
      </c>
      <c r="N207" s="12">
        <v>2.1578226739981221E-2</v>
      </c>
      <c r="O207" s="8" t="s">
        <v>61</v>
      </c>
    </row>
    <row r="208" spans="2:15" x14ac:dyDescent="0.45">
      <c r="B208" s="9" t="s">
        <v>104</v>
      </c>
      <c r="C208" s="9" t="s">
        <v>98</v>
      </c>
      <c r="D208" s="11">
        <v>7.5685182325715009E-3</v>
      </c>
      <c r="E208" s="9" t="s">
        <v>61</v>
      </c>
      <c r="G208" s="9" t="s">
        <v>124</v>
      </c>
      <c r="H208" s="9" t="s">
        <v>98</v>
      </c>
      <c r="I208" s="13">
        <v>2.2695933987768944E-2</v>
      </c>
      <c r="J208" s="9" t="s">
        <v>61</v>
      </c>
      <c r="L208" s="9" t="s">
        <v>144</v>
      </c>
      <c r="M208" s="9" t="s">
        <v>98</v>
      </c>
      <c r="N208" s="13">
        <v>2.1978416026379309E-2</v>
      </c>
      <c r="O208" s="9" t="s">
        <v>61</v>
      </c>
    </row>
    <row r="209" spans="2:15" x14ac:dyDescent="0.45">
      <c r="B209" s="8" t="s">
        <v>104</v>
      </c>
      <c r="C209" s="8" t="s">
        <v>99</v>
      </c>
      <c r="D209" s="10">
        <v>5.5125578995303035E-5</v>
      </c>
      <c r="E209" s="8" t="s">
        <v>61</v>
      </c>
      <c r="G209" s="8" t="s">
        <v>124</v>
      </c>
      <c r="H209" s="8" t="s">
        <v>99</v>
      </c>
      <c r="I209" s="12">
        <v>2.3500753936819781E-2</v>
      </c>
      <c r="J209" s="8" t="s">
        <v>61</v>
      </c>
      <c r="L209" s="8" t="s">
        <v>144</v>
      </c>
      <c r="M209" s="8" t="s">
        <v>99</v>
      </c>
      <c r="N209" s="12">
        <v>2.2002094914219127E-2</v>
      </c>
      <c r="O209" s="8" t="s">
        <v>61</v>
      </c>
    </row>
    <row r="210" spans="2:15" x14ac:dyDescent="0.45">
      <c r="B210" s="9" t="s">
        <v>104</v>
      </c>
      <c r="C210" s="9" t="s">
        <v>100</v>
      </c>
      <c r="D210" s="11">
        <v>0</v>
      </c>
      <c r="E210" s="9" t="s">
        <v>61</v>
      </c>
      <c r="G210" s="9" t="s">
        <v>124</v>
      </c>
      <c r="H210" s="9" t="s">
        <v>100</v>
      </c>
      <c r="I210" s="13">
        <v>3.5209096770550133E-2</v>
      </c>
      <c r="J210" s="9" t="s">
        <v>61</v>
      </c>
      <c r="L210" s="9" t="s">
        <v>144</v>
      </c>
      <c r="M210" s="9" t="s">
        <v>100</v>
      </c>
      <c r="N210" s="13">
        <v>3.2703647870783566E-2</v>
      </c>
      <c r="O210" s="9" t="s">
        <v>61</v>
      </c>
    </row>
    <row r="211" spans="2:15" x14ac:dyDescent="0.45">
      <c r="B211" s="8" t="s">
        <v>105</v>
      </c>
      <c r="C211" s="8" t="s">
        <v>60</v>
      </c>
      <c r="D211" s="10">
        <v>0</v>
      </c>
      <c r="E211" s="8" t="s">
        <v>61</v>
      </c>
      <c r="G211" s="8" t="s">
        <v>125</v>
      </c>
      <c r="H211" s="8" t="s">
        <v>60</v>
      </c>
      <c r="I211" s="12">
        <v>6.9820411429869847E-2</v>
      </c>
      <c r="J211" s="8" t="s">
        <v>61</v>
      </c>
      <c r="L211" s="8" t="s">
        <v>145</v>
      </c>
      <c r="M211" s="8" t="s">
        <v>60</v>
      </c>
      <c r="N211" s="12">
        <v>6.1100453824425367E-2</v>
      </c>
      <c r="O211" s="8" t="s">
        <v>61</v>
      </c>
    </row>
    <row r="212" spans="2:15" x14ac:dyDescent="0.45">
      <c r="B212" s="9" t="s">
        <v>105</v>
      </c>
      <c r="C212" s="9" t="s">
        <v>62</v>
      </c>
      <c r="D212" s="11">
        <v>0</v>
      </c>
      <c r="E212" s="9" t="s">
        <v>61</v>
      </c>
      <c r="G212" s="9" t="s">
        <v>125</v>
      </c>
      <c r="H212" s="9" t="s">
        <v>62</v>
      </c>
      <c r="I212" s="13">
        <v>2.788484599125025E-2</v>
      </c>
      <c r="J212" s="9" t="s">
        <v>61</v>
      </c>
      <c r="L212" s="9" t="s">
        <v>145</v>
      </c>
      <c r="M212" s="9" t="s">
        <v>62</v>
      </c>
      <c r="N212" s="13">
        <v>2.4877738992152856E-2</v>
      </c>
      <c r="O212" s="9" t="s">
        <v>61</v>
      </c>
    </row>
    <row r="213" spans="2:15" x14ac:dyDescent="0.45">
      <c r="B213" s="8" t="s">
        <v>105</v>
      </c>
      <c r="C213" s="8" t="s">
        <v>63</v>
      </c>
      <c r="D213" s="10">
        <v>1.056632404288862E-3</v>
      </c>
      <c r="E213" s="8" t="s">
        <v>61</v>
      </c>
      <c r="G213" s="8" t="s">
        <v>125</v>
      </c>
      <c r="H213" s="8" t="s">
        <v>63</v>
      </c>
      <c r="I213" s="12">
        <v>2.8288335445098824E-2</v>
      </c>
      <c r="J213" s="8" t="s">
        <v>61</v>
      </c>
      <c r="L213" s="8" t="s">
        <v>145</v>
      </c>
      <c r="M213" s="8" t="s">
        <v>63</v>
      </c>
      <c r="N213" s="12">
        <v>2.5515693324284397E-2</v>
      </c>
      <c r="O213" s="8" t="s">
        <v>61</v>
      </c>
    </row>
    <row r="214" spans="2:15" x14ac:dyDescent="0.45">
      <c r="B214" s="9" t="s">
        <v>105</v>
      </c>
      <c r="C214" s="9" t="s">
        <v>64</v>
      </c>
      <c r="D214" s="11">
        <v>1.3163075068940188E-2</v>
      </c>
      <c r="E214" s="9" t="s">
        <v>61</v>
      </c>
      <c r="G214" s="9" t="s">
        <v>125</v>
      </c>
      <c r="H214" s="9" t="s">
        <v>64</v>
      </c>
      <c r="I214" s="13">
        <v>2.7755200461865262E-2</v>
      </c>
      <c r="J214" s="9" t="s">
        <v>61</v>
      </c>
      <c r="L214" s="9" t="s">
        <v>145</v>
      </c>
      <c r="M214" s="9" t="s">
        <v>64</v>
      </c>
      <c r="N214" s="13">
        <v>2.5448223699752491E-2</v>
      </c>
      <c r="O214" s="9" t="s">
        <v>61</v>
      </c>
    </row>
    <row r="215" spans="2:15" x14ac:dyDescent="0.45">
      <c r="B215" s="8" t="s">
        <v>105</v>
      </c>
      <c r="C215" s="8" t="s">
        <v>65</v>
      </c>
      <c r="D215" s="10">
        <v>2.1893133893130724E-2</v>
      </c>
      <c r="E215" s="8" t="s">
        <v>61</v>
      </c>
      <c r="G215" s="8" t="s">
        <v>125</v>
      </c>
      <c r="H215" s="8" t="s">
        <v>65</v>
      </c>
      <c r="I215" s="12">
        <v>2.5272699761007295E-2</v>
      </c>
      <c r="J215" s="8" t="s">
        <v>61</v>
      </c>
      <c r="L215" s="8" t="s">
        <v>145</v>
      </c>
      <c r="M215" s="8" t="s">
        <v>65</v>
      </c>
      <c r="N215" s="12">
        <v>2.5227227936226487E-2</v>
      </c>
      <c r="O215" s="8" t="s">
        <v>61</v>
      </c>
    </row>
    <row r="216" spans="2:15" x14ac:dyDescent="0.45">
      <c r="B216" s="9" t="s">
        <v>105</v>
      </c>
      <c r="C216" s="9" t="s">
        <v>66</v>
      </c>
      <c r="D216" s="11">
        <v>2.0077816277110024E-2</v>
      </c>
      <c r="E216" s="9" t="s">
        <v>61</v>
      </c>
      <c r="G216" s="9" t="s">
        <v>125</v>
      </c>
      <c r="H216" s="9" t="s">
        <v>66</v>
      </c>
      <c r="I216" s="13">
        <v>2.5697807910132524E-2</v>
      </c>
      <c r="J216" s="9" t="s">
        <v>61</v>
      </c>
      <c r="L216" s="9" t="s">
        <v>145</v>
      </c>
      <c r="M216" s="9" t="s">
        <v>66</v>
      </c>
      <c r="N216" s="13">
        <v>2.4844462514503916E-2</v>
      </c>
      <c r="O216" s="9" t="s">
        <v>61</v>
      </c>
    </row>
    <row r="217" spans="2:15" x14ac:dyDescent="0.45">
      <c r="B217" s="8" t="s">
        <v>105</v>
      </c>
      <c r="C217" s="8" t="s">
        <v>67</v>
      </c>
      <c r="D217" s="10">
        <v>8.3894464279656474E-3</v>
      </c>
      <c r="E217" s="8" t="s">
        <v>61</v>
      </c>
      <c r="G217" s="8" t="s">
        <v>125</v>
      </c>
      <c r="H217" s="8" t="s">
        <v>67</v>
      </c>
      <c r="I217" s="12">
        <v>2.7249383659792278E-2</v>
      </c>
      <c r="J217" s="8" t="s">
        <v>61</v>
      </c>
      <c r="L217" s="8" t="s">
        <v>145</v>
      </c>
      <c r="M217" s="8" t="s">
        <v>67</v>
      </c>
      <c r="N217" s="12">
        <v>2.5545500989273967E-2</v>
      </c>
      <c r="O217" s="8" t="s">
        <v>61</v>
      </c>
    </row>
    <row r="218" spans="2:15" x14ac:dyDescent="0.45">
      <c r="B218" s="9" t="s">
        <v>105</v>
      </c>
      <c r="C218" s="9" t="s">
        <v>68</v>
      </c>
      <c r="D218" s="11">
        <v>6.3254467552021579E-4</v>
      </c>
      <c r="E218" s="9" t="s">
        <v>61</v>
      </c>
      <c r="G218" s="9" t="s">
        <v>125</v>
      </c>
      <c r="H218" s="9" t="s">
        <v>68</v>
      </c>
      <c r="I218" s="13">
        <v>2.905370572036637E-2</v>
      </c>
      <c r="J218" s="9" t="s">
        <v>61</v>
      </c>
      <c r="L218" s="9" t="s">
        <v>145</v>
      </c>
      <c r="M218" s="9" t="s">
        <v>68</v>
      </c>
      <c r="N218" s="13">
        <v>2.6241508329695767E-2</v>
      </c>
      <c r="O218" s="9" t="s">
        <v>61</v>
      </c>
    </row>
    <row r="219" spans="2:15" x14ac:dyDescent="0.45">
      <c r="B219" s="8" t="s">
        <v>105</v>
      </c>
      <c r="C219" s="8" t="s">
        <v>69</v>
      </c>
      <c r="D219" s="10">
        <v>0</v>
      </c>
      <c r="E219" s="8" t="s">
        <v>61</v>
      </c>
      <c r="G219" s="8" t="s">
        <v>125</v>
      </c>
      <c r="H219" s="8" t="s">
        <v>69</v>
      </c>
      <c r="I219" s="12">
        <v>2.9676667923344249E-2</v>
      </c>
      <c r="J219" s="8" t="s">
        <v>61</v>
      </c>
      <c r="L219" s="8" t="s">
        <v>145</v>
      </c>
      <c r="M219" s="8" t="s">
        <v>69</v>
      </c>
      <c r="N219" s="12">
        <v>2.6346853059491627E-2</v>
      </c>
      <c r="O219" s="8" t="s">
        <v>61</v>
      </c>
    </row>
    <row r="220" spans="2:15" x14ac:dyDescent="0.45">
      <c r="B220" s="9" t="s">
        <v>105</v>
      </c>
      <c r="C220" s="9" t="s">
        <v>70</v>
      </c>
      <c r="D220" s="11">
        <v>0</v>
      </c>
      <c r="E220" s="9" t="s">
        <v>61</v>
      </c>
      <c r="G220" s="9" t="s">
        <v>125</v>
      </c>
      <c r="H220" s="9" t="s">
        <v>70</v>
      </c>
      <c r="I220" s="13">
        <v>4.3539746241957306E-2</v>
      </c>
      <c r="J220" s="9" t="s">
        <v>61</v>
      </c>
      <c r="L220" s="9" t="s">
        <v>145</v>
      </c>
      <c r="M220" s="9" t="s">
        <v>70</v>
      </c>
      <c r="N220" s="13">
        <v>3.8370013990865849E-2</v>
      </c>
      <c r="O220" s="9" t="s">
        <v>61</v>
      </c>
    </row>
    <row r="221" spans="2:15" x14ac:dyDescent="0.45">
      <c r="B221" s="8" t="s">
        <v>105</v>
      </c>
      <c r="C221" s="8" t="s">
        <v>71</v>
      </c>
      <c r="D221" s="10">
        <v>9.3265561241735604E-5</v>
      </c>
      <c r="E221" s="8" t="s">
        <v>61</v>
      </c>
      <c r="G221" s="8" t="s">
        <v>125</v>
      </c>
      <c r="H221" s="8" t="s">
        <v>71</v>
      </c>
      <c r="I221" s="12">
        <v>6.1681731211296706E-2</v>
      </c>
      <c r="J221" s="8" t="s">
        <v>61</v>
      </c>
      <c r="L221" s="8" t="s">
        <v>145</v>
      </c>
      <c r="M221" s="8" t="s">
        <v>71</v>
      </c>
      <c r="N221" s="12">
        <v>5.7340932298120435E-2</v>
      </c>
      <c r="O221" s="8" t="s">
        <v>61</v>
      </c>
    </row>
    <row r="222" spans="2:15" x14ac:dyDescent="0.45">
      <c r="B222" s="9" t="s">
        <v>105</v>
      </c>
      <c r="C222" s="9" t="s">
        <v>72</v>
      </c>
      <c r="D222" s="11">
        <v>1.2537795250278268E-2</v>
      </c>
      <c r="E222" s="9" t="s">
        <v>61</v>
      </c>
      <c r="G222" s="9" t="s">
        <v>125</v>
      </c>
      <c r="H222" s="9" t="s">
        <v>72</v>
      </c>
      <c r="I222" s="13">
        <v>2.3928501174917991E-2</v>
      </c>
      <c r="J222" s="9" t="s">
        <v>61</v>
      </c>
      <c r="L222" s="9" t="s">
        <v>145</v>
      </c>
      <c r="M222" s="9" t="s">
        <v>72</v>
      </c>
      <c r="N222" s="13">
        <v>2.170750432790184E-2</v>
      </c>
      <c r="O222" s="9" t="s">
        <v>61</v>
      </c>
    </row>
    <row r="223" spans="2:15" x14ac:dyDescent="0.45">
      <c r="B223" s="8" t="s">
        <v>105</v>
      </c>
      <c r="C223" s="8" t="s">
        <v>73</v>
      </c>
      <c r="D223" s="10">
        <v>4.8705595651427999E-2</v>
      </c>
      <c r="E223" s="8" t="s">
        <v>61</v>
      </c>
      <c r="G223" s="8" t="s">
        <v>125</v>
      </c>
      <c r="H223" s="8" t="s">
        <v>73</v>
      </c>
      <c r="I223" s="12">
        <v>2.0967498680737304E-2</v>
      </c>
      <c r="J223" s="8" t="s">
        <v>61</v>
      </c>
      <c r="L223" s="8" t="s">
        <v>145</v>
      </c>
      <c r="M223" s="8" t="s">
        <v>73</v>
      </c>
      <c r="N223" s="12">
        <v>2.1574382743585363E-2</v>
      </c>
      <c r="O223" s="8" t="s">
        <v>61</v>
      </c>
    </row>
    <row r="224" spans="2:15" x14ac:dyDescent="0.45">
      <c r="B224" s="9" t="s">
        <v>105</v>
      </c>
      <c r="C224" s="9" t="s">
        <v>74</v>
      </c>
      <c r="D224" s="11">
        <v>7.3332776284990284E-2</v>
      </c>
      <c r="E224" s="9" t="s">
        <v>61</v>
      </c>
      <c r="G224" s="9" t="s">
        <v>125</v>
      </c>
      <c r="H224" s="9" t="s">
        <v>74</v>
      </c>
      <c r="I224" s="13">
        <v>1.8969143184926048E-2</v>
      </c>
      <c r="J224" s="9" t="s">
        <v>61</v>
      </c>
      <c r="L224" s="9" t="s">
        <v>145</v>
      </c>
      <c r="M224" s="9" t="s">
        <v>74</v>
      </c>
      <c r="N224" s="13">
        <v>2.1437825953779199E-2</v>
      </c>
      <c r="O224" s="9" t="s">
        <v>61</v>
      </c>
    </row>
    <row r="225" spans="2:15" x14ac:dyDescent="0.45">
      <c r="B225" s="8" t="s">
        <v>105</v>
      </c>
      <c r="C225" s="8" t="s">
        <v>75</v>
      </c>
      <c r="D225" s="10">
        <v>7.3194542264700985E-2</v>
      </c>
      <c r="E225" s="8" t="s">
        <v>61</v>
      </c>
      <c r="G225" s="8" t="s">
        <v>125</v>
      </c>
      <c r="H225" s="8" t="s">
        <v>75</v>
      </c>
      <c r="I225" s="12">
        <v>1.6203568182776514E-2</v>
      </c>
      <c r="J225" s="8" t="s">
        <v>61</v>
      </c>
      <c r="L225" s="8" t="s">
        <v>145</v>
      </c>
      <c r="M225" s="8" t="s">
        <v>75</v>
      </c>
      <c r="N225" s="12">
        <v>1.9715789711175782E-2</v>
      </c>
      <c r="O225" s="8" t="s">
        <v>61</v>
      </c>
    </row>
    <row r="226" spans="2:15" x14ac:dyDescent="0.45">
      <c r="B226" s="9" t="s">
        <v>105</v>
      </c>
      <c r="C226" s="9" t="s">
        <v>76</v>
      </c>
      <c r="D226" s="11">
        <v>7.0911533625982626E-2</v>
      </c>
      <c r="E226" s="9" t="s">
        <v>61</v>
      </c>
      <c r="G226" s="9" t="s">
        <v>125</v>
      </c>
      <c r="H226" s="9" t="s">
        <v>76</v>
      </c>
      <c r="I226" s="13">
        <v>1.8292414161920248E-2</v>
      </c>
      <c r="J226" s="9" t="s">
        <v>61</v>
      </c>
      <c r="L226" s="9" t="s">
        <v>145</v>
      </c>
      <c r="M226" s="9" t="s">
        <v>76</v>
      </c>
      <c r="N226" s="13">
        <v>2.0493972304389797E-2</v>
      </c>
      <c r="O226" s="9" t="s">
        <v>61</v>
      </c>
    </row>
    <row r="227" spans="2:15" x14ac:dyDescent="0.45">
      <c r="B227" s="8" t="s">
        <v>105</v>
      </c>
      <c r="C227" s="8" t="s">
        <v>77</v>
      </c>
      <c r="D227" s="10">
        <v>5.8422426825891896E-2</v>
      </c>
      <c r="E227" s="8" t="s">
        <v>61</v>
      </c>
      <c r="G227" s="8" t="s">
        <v>125</v>
      </c>
      <c r="H227" s="8" t="s">
        <v>77</v>
      </c>
      <c r="I227" s="12">
        <v>1.932284442461505E-2</v>
      </c>
      <c r="J227" s="8" t="s">
        <v>61</v>
      </c>
      <c r="L227" s="8" t="s">
        <v>145</v>
      </c>
      <c r="M227" s="8" t="s">
        <v>77</v>
      </c>
      <c r="N227" s="12">
        <v>2.1545550486075427E-2</v>
      </c>
      <c r="O227" s="8" t="s">
        <v>61</v>
      </c>
    </row>
    <row r="228" spans="2:15" x14ac:dyDescent="0.45">
      <c r="B228" s="9" t="s">
        <v>105</v>
      </c>
      <c r="C228" s="9" t="s">
        <v>78</v>
      </c>
      <c r="D228" s="11">
        <v>3.0789756209675046E-2</v>
      </c>
      <c r="E228" s="9" t="s">
        <v>61</v>
      </c>
      <c r="G228" s="9" t="s">
        <v>125</v>
      </c>
      <c r="H228" s="9" t="s">
        <v>78</v>
      </c>
      <c r="I228" s="13">
        <v>1.9434718604116125E-2</v>
      </c>
      <c r="J228" s="9" t="s">
        <v>61</v>
      </c>
      <c r="L228" s="9" t="s">
        <v>145</v>
      </c>
      <c r="M228" s="9" t="s">
        <v>78</v>
      </c>
      <c r="N228" s="13">
        <v>2.2264866508946487E-2</v>
      </c>
      <c r="O228" s="9" t="s">
        <v>61</v>
      </c>
    </row>
    <row r="229" spans="2:15" x14ac:dyDescent="0.45">
      <c r="B229" s="8" t="s">
        <v>105</v>
      </c>
      <c r="C229" s="8" t="s">
        <v>79</v>
      </c>
      <c r="D229" s="10">
        <v>3.9197709851024696E-3</v>
      </c>
      <c r="E229" s="8" t="s">
        <v>61</v>
      </c>
      <c r="G229" s="8" t="s">
        <v>125</v>
      </c>
      <c r="H229" s="8" t="s">
        <v>79</v>
      </c>
      <c r="I229" s="12">
        <v>2.3169080174509967E-2</v>
      </c>
      <c r="J229" s="8" t="s">
        <v>61</v>
      </c>
      <c r="L229" s="8" t="s">
        <v>145</v>
      </c>
      <c r="M229" s="8" t="s">
        <v>79</v>
      </c>
      <c r="N229" s="12">
        <v>2.3002113016760316E-2</v>
      </c>
      <c r="O229" s="8" t="s">
        <v>61</v>
      </c>
    </row>
    <row r="230" spans="2:15" x14ac:dyDescent="0.45">
      <c r="B230" s="9" t="s">
        <v>105</v>
      </c>
      <c r="C230" s="9" t="s">
        <v>80</v>
      </c>
      <c r="D230" s="11">
        <v>0</v>
      </c>
      <c r="E230" s="9" t="s">
        <v>61</v>
      </c>
      <c r="G230" s="9" t="s">
        <v>125</v>
      </c>
      <c r="H230" s="9" t="s">
        <v>80</v>
      </c>
      <c r="I230" s="13">
        <v>3.8062949086544222E-2</v>
      </c>
      <c r="J230" s="9" t="s">
        <v>61</v>
      </c>
      <c r="L230" s="9" t="s">
        <v>145</v>
      </c>
      <c r="M230" s="9" t="s">
        <v>80</v>
      </c>
      <c r="N230" s="13">
        <v>3.5654572022741256E-2</v>
      </c>
      <c r="O230" s="9" t="s">
        <v>61</v>
      </c>
    </row>
    <row r="231" spans="2:15" x14ac:dyDescent="0.45">
      <c r="B231" s="8" t="s">
        <v>105</v>
      </c>
      <c r="C231" s="8" t="s">
        <v>81</v>
      </c>
      <c r="D231" s="10">
        <v>1.1667786578062778E-3</v>
      </c>
      <c r="E231" s="8" t="s">
        <v>61</v>
      </c>
      <c r="G231" s="8" t="s">
        <v>125</v>
      </c>
      <c r="H231" s="8" t="s">
        <v>81</v>
      </c>
      <c r="I231" s="12">
        <v>3.2135503222585328E-2</v>
      </c>
      <c r="J231" s="8" t="s">
        <v>61</v>
      </c>
      <c r="L231" s="8" t="s">
        <v>145</v>
      </c>
      <c r="M231" s="8" t="s">
        <v>81</v>
      </c>
      <c r="N231" s="12">
        <v>3.684657277558432E-2</v>
      </c>
      <c r="O231" s="8" t="s">
        <v>61</v>
      </c>
    </row>
    <row r="232" spans="2:15" x14ac:dyDescent="0.45">
      <c r="B232" s="9" t="s">
        <v>105</v>
      </c>
      <c r="C232" s="9" t="s">
        <v>82</v>
      </c>
      <c r="D232" s="11">
        <v>2.3857893032882067E-2</v>
      </c>
      <c r="E232" s="9" t="s">
        <v>61</v>
      </c>
      <c r="G232" s="9" t="s">
        <v>125</v>
      </c>
      <c r="H232" s="9" t="s">
        <v>82</v>
      </c>
      <c r="I232" s="13">
        <v>1.1320794731980577E-2</v>
      </c>
      <c r="J232" s="9" t="s">
        <v>61</v>
      </c>
      <c r="L232" s="9" t="s">
        <v>145</v>
      </c>
      <c r="M232" s="9" t="s">
        <v>82</v>
      </c>
      <c r="N232" s="13">
        <v>1.4445133305474726E-2</v>
      </c>
      <c r="O232" s="9" t="s">
        <v>61</v>
      </c>
    </row>
    <row r="233" spans="2:15" x14ac:dyDescent="0.45">
      <c r="B233" s="8" t="s">
        <v>105</v>
      </c>
      <c r="C233" s="8" t="s">
        <v>83</v>
      </c>
      <c r="D233" s="10">
        <v>5.5822874952385526E-2</v>
      </c>
      <c r="E233" s="8" t="s">
        <v>61</v>
      </c>
      <c r="G233" s="8" t="s">
        <v>125</v>
      </c>
      <c r="H233" s="8" t="s">
        <v>83</v>
      </c>
      <c r="I233" s="12">
        <v>8.6282053244019549E-3</v>
      </c>
      <c r="J233" s="8" t="s">
        <v>61</v>
      </c>
      <c r="L233" s="8" t="s">
        <v>145</v>
      </c>
      <c r="M233" s="8" t="s">
        <v>83</v>
      </c>
      <c r="N233" s="12">
        <v>1.3984697287255533E-2</v>
      </c>
      <c r="O233" s="8" t="s">
        <v>61</v>
      </c>
    </row>
    <row r="234" spans="2:15" x14ac:dyDescent="0.45">
      <c r="B234" s="9" t="s">
        <v>105</v>
      </c>
      <c r="C234" s="9" t="s">
        <v>84</v>
      </c>
      <c r="D234" s="11">
        <v>7.1665407053571495E-2</v>
      </c>
      <c r="E234" s="9" t="s">
        <v>61</v>
      </c>
      <c r="G234" s="9" t="s">
        <v>125</v>
      </c>
      <c r="H234" s="9" t="s">
        <v>84</v>
      </c>
      <c r="I234" s="13">
        <v>1.0356118024668596E-2</v>
      </c>
      <c r="J234" s="9" t="s">
        <v>61</v>
      </c>
      <c r="L234" s="9" t="s">
        <v>145</v>
      </c>
      <c r="M234" s="9" t="s">
        <v>84</v>
      </c>
      <c r="N234" s="13">
        <v>1.3960747105414098E-2</v>
      </c>
      <c r="O234" s="9" t="s">
        <v>61</v>
      </c>
    </row>
    <row r="235" spans="2:15" x14ac:dyDescent="0.45">
      <c r="B235" s="8" t="s">
        <v>105</v>
      </c>
      <c r="C235" s="8" t="s">
        <v>85</v>
      </c>
      <c r="D235" s="10">
        <v>7.2029059895672834E-2</v>
      </c>
      <c r="E235" s="8" t="s">
        <v>61</v>
      </c>
      <c r="G235" s="8" t="s">
        <v>125</v>
      </c>
      <c r="H235" s="8" t="s">
        <v>85</v>
      </c>
      <c r="I235" s="12">
        <v>9.1706520452242667E-3</v>
      </c>
      <c r="J235" s="8" t="s">
        <v>61</v>
      </c>
      <c r="L235" s="8" t="s">
        <v>145</v>
      </c>
      <c r="M235" s="8" t="s">
        <v>85</v>
      </c>
      <c r="N235" s="12">
        <v>1.3325001579276581E-2</v>
      </c>
      <c r="O235" s="8" t="s">
        <v>61</v>
      </c>
    </row>
    <row r="236" spans="2:15" x14ac:dyDescent="0.45">
      <c r="B236" s="9" t="s">
        <v>105</v>
      </c>
      <c r="C236" s="9" t="s">
        <v>86</v>
      </c>
      <c r="D236" s="11">
        <v>7.095404570255702E-2</v>
      </c>
      <c r="E236" s="9" t="s">
        <v>61</v>
      </c>
      <c r="G236" s="9" t="s">
        <v>125</v>
      </c>
      <c r="H236" s="9" t="s">
        <v>86</v>
      </c>
      <c r="I236" s="13">
        <v>1.1343584617069078E-2</v>
      </c>
      <c r="J236" s="9" t="s">
        <v>61</v>
      </c>
      <c r="L236" s="9" t="s">
        <v>145</v>
      </c>
      <c r="M236" s="9" t="s">
        <v>86</v>
      </c>
      <c r="N236" s="13">
        <v>1.478936399557928E-2</v>
      </c>
      <c r="O236" s="9" t="s">
        <v>61</v>
      </c>
    </row>
    <row r="237" spans="2:15" x14ac:dyDescent="0.45">
      <c r="B237" s="8" t="s">
        <v>105</v>
      </c>
      <c r="C237" s="8" t="s">
        <v>87</v>
      </c>
      <c r="D237" s="10">
        <v>6.2954168848161907E-2</v>
      </c>
      <c r="E237" s="8" t="s">
        <v>61</v>
      </c>
      <c r="G237" s="8" t="s">
        <v>125</v>
      </c>
      <c r="H237" s="8" t="s">
        <v>87</v>
      </c>
      <c r="I237" s="12">
        <v>1.2072272802916955E-2</v>
      </c>
      <c r="J237" s="8" t="s">
        <v>61</v>
      </c>
      <c r="L237" s="8" t="s">
        <v>145</v>
      </c>
      <c r="M237" s="8" t="s">
        <v>87</v>
      </c>
      <c r="N237" s="12">
        <v>1.5218315633278265E-2</v>
      </c>
      <c r="O237" s="8" t="s">
        <v>61</v>
      </c>
    </row>
    <row r="238" spans="2:15" x14ac:dyDescent="0.45">
      <c r="B238" s="9" t="s">
        <v>105</v>
      </c>
      <c r="C238" s="9" t="s">
        <v>88</v>
      </c>
      <c r="D238" s="11">
        <v>4.2424792604215972E-2</v>
      </c>
      <c r="E238" s="9" t="s">
        <v>61</v>
      </c>
      <c r="G238" s="9" t="s">
        <v>125</v>
      </c>
      <c r="H238" s="9" t="s">
        <v>88</v>
      </c>
      <c r="I238" s="13">
        <v>1.1521575011645965E-2</v>
      </c>
      <c r="J238" s="9" t="s">
        <v>61</v>
      </c>
      <c r="L238" s="9" t="s">
        <v>145</v>
      </c>
      <c r="M238" s="9" t="s">
        <v>88</v>
      </c>
      <c r="N238" s="13">
        <v>1.428253882334546E-2</v>
      </c>
      <c r="O238" s="9" t="s">
        <v>61</v>
      </c>
    </row>
    <row r="239" spans="2:15" x14ac:dyDescent="0.45">
      <c r="B239" s="8" t="s">
        <v>105</v>
      </c>
      <c r="C239" s="8" t="s">
        <v>89</v>
      </c>
      <c r="D239" s="10">
        <v>1.3495552268329178E-2</v>
      </c>
      <c r="E239" s="8" t="s">
        <v>61</v>
      </c>
      <c r="G239" s="8" t="s">
        <v>125</v>
      </c>
      <c r="H239" s="8" t="s">
        <v>89</v>
      </c>
      <c r="I239" s="12">
        <v>1.285764459182967E-2</v>
      </c>
      <c r="J239" s="8" t="s">
        <v>61</v>
      </c>
      <c r="L239" s="8" t="s">
        <v>145</v>
      </c>
      <c r="M239" s="8" t="s">
        <v>89</v>
      </c>
      <c r="N239" s="12">
        <v>1.3864062394453452E-2</v>
      </c>
      <c r="O239" s="8" t="s">
        <v>61</v>
      </c>
    </row>
    <row r="240" spans="2:15" x14ac:dyDescent="0.45">
      <c r="B240" s="9" t="s">
        <v>105</v>
      </c>
      <c r="C240" s="9" t="s">
        <v>90</v>
      </c>
      <c r="D240" s="11">
        <v>0</v>
      </c>
      <c r="E240" s="9" t="s">
        <v>61</v>
      </c>
      <c r="G240" s="9" t="s">
        <v>125</v>
      </c>
      <c r="H240" s="9" t="s">
        <v>90</v>
      </c>
      <c r="I240" s="13">
        <v>2.2068212512187477E-2</v>
      </c>
      <c r="J240" s="9" t="s">
        <v>61</v>
      </c>
      <c r="L240" s="9" t="s">
        <v>145</v>
      </c>
      <c r="M240" s="9" t="s">
        <v>90</v>
      </c>
      <c r="N240" s="13">
        <v>2.1455443903133357E-2</v>
      </c>
      <c r="O240" s="9" t="s">
        <v>61</v>
      </c>
    </row>
    <row r="241" spans="2:15" x14ac:dyDescent="0.45">
      <c r="B241" s="8" t="s">
        <v>105</v>
      </c>
      <c r="C241" s="8" t="s">
        <v>91</v>
      </c>
      <c r="D241" s="10">
        <v>0</v>
      </c>
      <c r="E241" s="8" t="s">
        <v>61</v>
      </c>
      <c r="G241" s="8" t="s">
        <v>125</v>
      </c>
      <c r="H241" s="8" t="s">
        <v>91</v>
      </c>
      <c r="I241" s="12">
        <v>5.4646381729829829E-2</v>
      </c>
      <c r="J241" s="8" t="s">
        <v>61</v>
      </c>
      <c r="L241" s="8" t="s">
        <v>145</v>
      </c>
      <c r="M241" s="8" t="s">
        <v>91</v>
      </c>
      <c r="N241" s="12">
        <v>5.31160549699147E-2</v>
      </c>
      <c r="O241" s="8" t="s">
        <v>61</v>
      </c>
    </row>
    <row r="242" spans="2:15" x14ac:dyDescent="0.45">
      <c r="B242" s="9" t="s">
        <v>105</v>
      </c>
      <c r="C242" s="9" t="s">
        <v>92</v>
      </c>
      <c r="D242" s="11">
        <v>1.2529815494235874E-3</v>
      </c>
      <c r="E242" s="9" t="s">
        <v>61</v>
      </c>
      <c r="G242" s="9" t="s">
        <v>125</v>
      </c>
      <c r="H242" s="9" t="s">
        <v>92</v>
      </c>
      <c r="I242" s="13">
        <v>2.1549296656486073E-2</v>
      </c>
      <c r="J242" s="9" t="s">
        <v>61</v>
      </c>
      <c r="L242" s="9" t="s">
        <v>145</v>
      </c>
      <c r="M242" s="9" t="s">
        <v>92</v>
      </c>
      <c r="N242" s="13">
        <v>2.1349593459606356E-2</v>
      </c>
      <c r="O242" s="9" t="s">
        <v>61</v>
      </c>
    </row>
    <row r="243" spans="2:15" x14ac:dyDescent="0.45">
      <c r="B243" s="8" t="s">
        <v>105</v>
      </c>
      <c r="C243" s="8" t="s">
        <v>93</v>
      </c>
      <c r="D243" s="10">
        <v>1.5468210639524053E-2</v>
      </c>
      <c r="E243" s="8" t="s">
        <v>61</v>
      </c>
      <c r="G243" s="8" t="s">
        <v>125</v>
      </c>
      <c r="H243" s="8" t="s">
        <v>93</v>
      </c>
      <c r="I243" s="12">
        <v>2.0964735970990991E-2</v>
      </c>
      <c r="J243" s="8" t="s">
        <v>61</v>
      </c>
      <c r="L243" s="8" t="s">
        <v>145</v>
      </c>
      <c r="M243" s="8" t="s">
        <v>93</v>
      </c>
      <c r="N243" s="12">
        <v>2.1739650121032014E-2</v>
      </c>
      <c r="O243" s="8" t="s">
        <v>61</v>
      </c>
    </row>
    <row r="244" spans="2:15" x14ac:dyDescent="0.45">
      <c r="B244" s="9" t="s">
        <v>105</v>
      </c>
      <c r="C244" s="9" t="s">
        <v>94</v>
      </c>
      <c r="D244" s="11">
        <v>3.2449039368881154E-2</v>
      </c>
      <c r="E244" s="9" t="s">
        <v>61</v>
      </c>
      <c r="G244" s="9" t="s">
        <v>125</v>
      </c>
      <c r="H244" s="9" t="s">
        <v>94</v>
      </c>
      <c r="I244" s="13">
        <v>1.9510505705475363E-2</v>
      </c>
      <c r="J244" s="9" t="s">
        <v>61</v>
      </c>
      <c r="L244" s="9" t="s">
        <v>145</v>
      </c>
      <c r="M244" s="9" t="s">
        <v>94</v>
      </c>
      <c r="N244" s="13">
        <v>2.2230240344577743E-2</v>
      </c>
      <c r="O244" s="9" t="s">
        <v>61</v>
      </c>
    </row>
    <row r="245" spans="2:15" x14ac:dyDescent="0.45">
      <c r="B245" s="8" t="s">
        <v>105</v>
      </c>
      <c r="C245" s="8" t="s">
        <v>95</v>
      </c>
      <c r="D245" s="10">
        <v>3.5036440979273366E-2</v>
      </c>
      <c r="E245" s="8" t="s">
        <v>61</v>
      </c>
      <c r="G245" s="8" t="s">
        <v>125</v>
      </c>
      <c r="H245" s="8" t="s">
        <v>95</v>
      </c>
      <c r="I245" s="12">
        <v>1.9468845585585801E-2</v>
      </c>
      <c r="J245" s="8" t="s">
        <v>61</v>
      </c>
      <c r="L245" s="8" t="s">
        <v>145</v>
      </c>
      <c r="M245" s="8" t="s">
        <v>95</v>
      </c>
      <c r="N245" s="12">
        <v>2.164614678300562E-2</v>
      </c>
      <c r="O245" s="8" t="s">
        <v>61</v>
      </c>
    </row>
    <row r="246" spans="2:15" x14ac:dyDescent="0.45">
      <c r="B246" s="9" t="s">
        <v>105</v>
      </c>
      <c r="C246" s="9" t="s">
        <v>96</v>
      </c>
      <c r="D246" s="11">
        <v>3.4967610954316851E-2</v>
      </c>
      <c r="E246" s="9" t="s">
        <v>61</v>
      </c>
      <c r="G246" s="9" t="s">
        <v>125</v>
      </c>
      <c r="H246" s="9" t="s">
        <v>96</v>
      </c>
      <c r="I246" s="13">
        <v>2.0358228039977073E-2</v>
      </c>
      <c r="J246" s="9" t="s">
        <v>61</v>
      </c>
      <c r="L246" s="9" t="s">
        <v>145</v>
      </c>
      <c r="M246" s="9" t="s">
        <v>96</v>
      </c>
      <c r="N246" s="13">
        <v>2.1276326383934698E-2</v>
      </c>
      <c r="O246" s="9" t="s">
        <v>61</v>
      </c>
    </row>
    <row r="247" spans="2:15" x14ac:dyDescent="0.45">
      <c r="B247" s="8" t="s">
        <v>105</v>
      </c>
      <c r="C247" s="8" t="s">
        <v>97</v>
      </c>
      <c r="D247" s="10">
        <v>2.2760828729358109E-2</v>
      </c>
      <c r="E247" s="8" t="s">
        <v>61</v>
      </c>
      <c r="G247" s="8" t="s">
        <v>125</v>
      </c>
      <c r="H247" s="8" t="s">
        <v>97</v>
      </c>
      <c r="I247" s="12">
        <v>2.1088371092701202E-2</v>
      </c>
      <c r="J247" s="8" t="s">
        <v>61</v>
      </c>
      <c r="L247" s="8" t="s">
        <v>145</v>
      </c>
      <c r="M247" s="8" t="s">
        <v>97</v>
      </c>
      <c r="N247" s="12">
        <v>2.1386795110065172E-2</v>
      </c>
      <c r="O247" s="8" t="s">
        <v>61</v>
      </c>
    </row>
    <row r="248" spans="2:15" x14ac:dyDescent="0.45">
      <c r="B248" s="9" t="s">
        <v>105</v>
      </c>
      <c r="C248" s="9" t="s">
        <v>98</v>
      </c>
      <c r="D248" s="11">
        <v>6.5742033573930707E-3</v>
      </c>
      <c r="E248" s="9" t="s">
        <v>61</v>
      </c>
      <c r="G248" s="9" t="s">
        <v>125</v>
      </c>
      <c r="H248" s="9" t="s">
        <v>98</v>
      </c>
      <c r="I248" s="13">
        <v>2.3655366619797349E-2</v>
      </c>
      <c r="J248" s="9" t="s">
        <v>61</v>
      </c>
      <c r="L248" s="9" t="s">
        <v>145</v>
      </c>
      <c r="M248" s="9" t="s">
        <v>98</v>
      </c>
      <c r="N248" s="13">
        <v>2.1693042998971821E-2</v>
      </c>
      <c r="O248" s="9" t="s">
        <v>61</v>
      </c>
    </row>
    <row r="249" spans="2:15" x14ac:dyDescent="0.45">
      <c r="B249" s="8" t="s">
        <v>105</v>
      </c>
      <c r="C249" s="8" t="s">
        <v>99</v>
      </c>
      <c r="D249" s="10">
        <v>0</v>
      </c>
      <c r="E249" s="8" t="s">
        <v>61</v>
      </c>
      <c r="G249" s="8" t="s">
        <v>125</v>
      </c>
      <c r="H249" s="8" t="s">
        <v>99</v>
      </c>
      <c r="I249" s="12">
        <v>2.5507666667471184E-2</v>
      </c>
      <c r="J249" s="8" t="s">
        <v>61</v>
      </c>
      <c r="L249" s="8" t="s">
        <v>145</v>
      </c>
      <c r="M249" s="8" t="s">
        <v>99</v>
      </c>
      <c r="N249" s="12">
        <v>2.1984636584081292E-2</v>
      </c>
      <c r="O249" s="8" t="s">
        <v>61</v>
      </c>
    </row>
    <row r="250" spans="2:15" x14ac:dyDescent="0.45">
      <c r="B250" s="9" t="s">
        <v>105</v>
      </c>
      <c r="C250" s="9" t="s">
        <v>100</v>
      </c>
      <c r="D250" s="11">
        <v>0</v>
      </c>
      <c r="E250" s="9" t="s">
        <v>61</v>
      </c>
      <c r="G250" s="9" t="s">
        <v>125</v>
      </c>
      <c r="H250" s="9" t="s">
        <v>100</v>
      </c>
      <c r="I250" s="13">
        <v>3.7504785616130992E-2</v>
      </c>
      <c r="J250" s="9" t="s">
        <v>61</v>
      </c>
      <c r="L250" s="9" t="s">
        <v>145</v>
      </c>
      <c r="M250" s="9" t="s">
        <v>100</v>
      </c>
      <c r="N250" s="13">
        <v>3.3150450407865018E-2</v>
      </c>
      <c r="O250" s="9" t="s">
        <v>61</v>
      </c>
    </row>
    <row r="251" spans="2:15" x14ac:dyDescent="0.45">
      <c r="B251" s="8" t="s">
        <v>106</v>
      </c>
      <c r="C251" s="8" t="s">
        <v>60</v>
      </c>
      <c r="D251" s="10">
        <v>0</v>
      </c>
      <c r="E251" s="8" t="s">
        <v>61</v>
      </c>
      <c r="G251" s="8" t="s">
        <v>126</v>
      </c>
      <c r="H251" s="8" t="s">
        <v>60</v>
      </c>
      <c r="I251" s="12">
        <v>7.2492893462700006E-2</v>
      </c>
      <c r="J251" s="8" t="s">
        <v>61</v>
      </c>
      <c r="L251" s="8" t="s">
        <v>146</v>
      </c>
      <c r="M251" s="8" t="s">
        <v>60</v>
      </c>
      <c r="N251" s="12">
        <v>6.1389948029357003E-2</v>
      </c>
      <c r="O251" s="8" t="s">
        <v>61</v>
      </c>
    </row>
    <row r="252" spans="2:15" x14ac:dyDescent="0.45">
      <c r="B252" s="9" t="s">
        <v>106</v>
      </c>
      <c r="C252" s="9" t="s">
        <v>62</v>
      </c>
      <c r="D252" s="11">
        <v>0</v>
      </c>
      <c r="E252" s="9" t="s">
        <v>61</v>
      </c>
      <c r="G252" s="9" t="s">
        <v>126</v>
      </c>
      <c r="H252" s="9" t="s">
        <v>62</v>
      </c>
      <c r="I252" s="13">
        <v>2.928235087440368E-2</v>
      </c>
      <c r="J252" s="9" t="s">
        <v>61</v>
      </c>
      <c r="L252" s="9" t="s">
        <v>146</v>
      </c>
      <c r="M252" s="9" t="s">
        <v>62</v>
      </c>
      <c r="N252" s="13">
        <v>2.4993651605602865E-2</v>
      </c>
      <c r="O252" s="9" t="s">
        <v>61</v>
      </c>
    </row>
    <row r="253" spans="2:15" x14ac:dyDescent="0.45">
      <c r="B253" s="8" t="s">
        <v>106</v>
      </c>
      <c r="C253" s="8" t="s">
        <v>63</v>
      </c>
      <c r="D253" s="10">
        <v>5.2264294840353661E-4</v>
      </c>
      <c r="E253" s="8" t="s">
        <v>61</v>
      </c>
      <c r="G253" s="8" t="s">
        <v>126</v>
      </c>
      <c r="H253" s="8" t="s">
        <v>63</v>
      </c>
      <c r="I253" s="12">
        <v>2.9470871504238032E-2</v>
      </c>
      <c r="J253" s="8" t="s">
        <v>61</v>
      </c>
      <c r="L253" s="8" t="s">
        <v>146</v>
      </c>
      <c r="M253" s="8" t="s">
        <v>63</v>
      </c>
      <c r="N253" s="12">
        <v>2.5625285911921196E-2</v>
      </c>
      <c r="O253" s="8" t="s">
        <v>61</v>
      </c>
    </row>
    <row r="254" spans="2:15" x14ac:dyDescent="0.45">
      <c r="B254" s="9" t="s">
        <v>106</v>
      </c>
      <c r="C254" s="9" t="s">
        <v>64</v>
      </c>
      <c r="D254" s="11">
        <v>1.0741540828322311E-2</v>
      </c>
      <c r="E254" s="9" t="s">
        <v>61</v>
      </c>
      <c r="G254" s="9" t="s">
        <v>126</v>
      </c>
      <c r="H254" s="9" t="s">
        <v>64</v>
      </c>
      <c r="I254" s="13">
        <v>2.878388542430568E-2</v>
      </c>
      <c r="J254" s="9" t="s">
        <v>61</v>
      </c>
      <c r="L254" s="9" t="s">
        <v>146</v>
      </c>
      <c r="M254" s="9" t="s">
        <v>64</v>
      </c>
      <c r="N254" s="13">
        <v>2.5513525679906005E-2</v>
      </c>
      <c r="O254" s="9" t="s">
        <v>61</v>
      </c>
    </row>
    <row r="255" spans="2:15" x14ac:dyDescent="0.45">
      <c r="B255" s="8" t="s">
        <v>106</v>
      </c>
      <c r="C255" s="8" t="s">
        <v>65</v>
      </c>
      <c r="D255" s="10">
        <v>2.0879207262510122E-2</v>
      </c>
      <c r="E255" s="8" t="s">
        <v>61</v>
      </c>
      <c r="G255" s="8" t="s">
        <v>126</v>
      </c>
      <c r="H255" s="8" t="s">
        <v>65</v>
      </c>
      <c r="I255" s="12">
        <v>2.6300215430462223E-2</v>
      </c>
      <c r="J255" s="8" t="s">
        <v>61</v>
      </c>
      <c r="L255" s="8" t="s">
        <v>146</v>
      </c>
      <c r="M255" s="8" t="s">
        <v>65</v>
      </c>
      <c r="N255" s="12">
        <v>2.620118000105022E-2</v>
      </c>
      <c r="O255" s="8" t="s">
        <v>61</v>
      </c>
    </row>
    <row r="256" spans="2:15" x14ac:dyDescent="0.45">
      <c r="B256" s="9" t="s">
        <v>106</v>
      </c>
      <c r="C256" s="9" t="s">
        <v>66</v>
      </c>
      <c r="D256" s="11">
        <v>2.0027830253713887E-2</v>
      </c>
      <c r="E256" s="9" t="s">
        <v>61</v>
      </c>
      <c r="G256" s="9" t="s">
        <v>126</v>
      </c>
      <c r="H256" s="9" t="s">
        <v>66</v>
      </c>
      <c r="I256" s="13">
        <v>2.5330257426720109E-2</v>
      </c>
      <c r="J256" s="9" t="s">
        <v>61</v>
      </c>
      <c r="L256" s="9" t="s">
        <v>146</v>
      </c>
      <c r="M256" s="9" t="s">
        <v>66</v>
      </c>
      <c r="N256" s="13">
        <v>2.6616941792328607E-2</v>
      </c>
      <c r="O256" s="9" t="s">
        <v>61</v>
      </c>
    </row>
    <row r="257" spans="2:15" x14ac:dyDescent="0.45">
      <c r="B257" s="8" t="s">
        <v>106</v>
      </c>
      <c r="C257" s="8" t="s">
        <v>67</v>
      </c>
      <c r="D257" s="10">
        <v>1.0451871264120054E-2</v>
      </c>
      <c r="E257" s="8" t="s">
        <v>61</v>
      </c>
      <c r="G257" s="8" t="s">
        <v>126</v>
      </c>
      <c r="H257" s="8" t="s">
        <v>67</v>
      </c>
      <c r="I257" s="12">
        <v>2.6524782320887213E-2</v>
      </c>
      <c r="J257" s="8" t="s">
        <v>61</v>
      </c>
      <c r="L257" s="8" t="s">
        <v>146</v>
      </c>
      <c r="M257" s="8" t="s">
        <v>67</v>
      </c>
      <c r="N257" s="12">
        <v>2.689587746922956E-2</v>
      </c>
      <c r="O257" s="8" t="s">
        <v>61</v>
      </c>
    </row>
    <row r="258" spans="2:15" x14ac:dyDescent="0.45">
      <c r="B258" s="9" t="s">
        <v>106</v>
      </c>
      <c r="C258" s="9" t="s">
        <v>68</v>
      </c>
      <c r="D258" s="11">
        <v>1.1450781519910021E-3</v>
      </c>
      <c r="E258" s="9" t="s">
        <v>61</v>
      </c>
      <c r="G258" s="9" t="s">
        <v>126</v>
      </c>
      <c r="H258" s="9" t="s">
        <v>68</v>
      </c>
      <c r="I258" s="13">
        <v>2.8974399020685611E-2</v>
      </c>
      <c r="J258" s="9" t="s">
        <v>61</v>
      </c>
      <c r="L258" s="9" t="s">
        <v>146</v>
      </c>
      <c r="M258" s="9" t="s">
        <v>68</v>
      </c>
      <c r="N258" s="13">
        <v>2.7648103693916234E-2</v>
      </c>
      <c r="O258" s="9" t="s">
        <v>61</v>
      </c>
    </row>
    <row r="259" spans="2:15" x14ac:dyDescent="0.45">
      <c r="B259" s="8" t="s">
        <v>106</v>
      </c>
      <c r="C259" s="8" t="s">
        <v>69</v>
      </c>
      <c r="D259" s="10">
        <v>0</v>
      </c>
      <c r="E259" s="8" t="s">
        <v>61</v>
      </c>
      <c r="G259" s="8" t="s">
        <v>126</v>
      </c>
      <c r="H259" s="8" t="s">
        <v>69</v>
      </c>
      <c r="I259" s="12">
        <v>2.9662392209169528E-2</v>
      </c>
      <c r="J259" s="8" t="s">
        <v>61</v>
      </c>
      <c r="L259" s="8" t="s">
        <v>146</v>
      </c>
      <c r="M259" s="8" t="s">
        <v>69</v>
      </c>
      <c r="N259" s="12">
        <v>2.7652578750868476E-2</v>
      </c>
      <c r="O259" s="8" t="s">
        <v>61</v>
      </c>
    </row>
    <row r="260" spans="2:15" x14ac:dyDescent="0.45">
      <c r="B260" s="9" t="s">
        <v>106</v>
      </c>
      <c r="C260" s="9" t="s">
        <v>70</v>
      </c>
      <c r="D260" s="11">
        <v>0</v>
      </c>
      <c r="E260" s="9" t="s">
        <v>61</v>
      </c>
      <c r="G260" s="9" t="s">
        <v>126</v>
      </c>
      <c r="H260" s="9" t="s">
        <v>70</v>
      </c>
      <c r="I260" s="13">
        <v>4.429349621462203E-2</v>
      </c>
      <c r="J260" s="9" t="s">
        <v>61</v>
      </c>
      <c r="L260" s="9" t="s">
        <v>146</v>
      </c>
      <c r="M260" s="9" t="s">
        <v>70</v>
      </c>
      <c r="N260" s="13">
        <v>3.8994157236440452E-2</v>
      </c>
      <c r="O260" s="9" t="s">
        <v>61</v>
      </c>
    </row>
    <row r="261" spans="2:15" x14ac:dyDescent="0.45">
      <c r="B261" s="8" t="s">
        <v>106</v>
      </c>
      <c r="C261" s="8" t="s">
        <v>71</v>
      </c>
      <c r="D261" s="10">
        <v>0</v>
      </c>
      <c r="E261" s="8" t="s">
        <v>61</v>
      </c>
      <c r="G261" s="8" t="s">
        <v>126</v>
      </c>
      <c r="H261" s="8" t="s">
        <v>71</v>
      </c>
      <c r="I261" s="12">
        <v>6.0814454089247162E-2</v>
      </c>
      <c r="J261" s="8" t="s">
        <v>61</v>
      </c>
      <c r="L261" s="8" t="s">
        <v>146</v>
      </c>
      <c r="M261" s="8" t="s">
        <v>71</v>
      </c>
      <c r="N261" s="12">
        <v>5.2124649232922413E-2</v>
      </c>
      <c r="O261" s="8" t="s">
        <v>61</v>
      </c>
    </row>
    <row r="262" spans="2:15" x14ac:dyDescent="0.45">
      <c r="B262" s="9" t="s">
        <v>106</v>
      </c>
      <c r="C262" s="9" t="s">
        <v>72</v>
      </c>
      <c r="D262" s="11">
        <v>9.8278015585323876E-3</v>
      </c>
      <c r="E262" s="9" t="s">
        <v>61</v>
      </c>
      <c r="G262" s="9" t="s">
        <v>126</v>
      </c>
      <c r="H262" s="9" t="s">
        <v>72</v>
      </c>
      <c r="I262" s="13">
        <v>2.3076128463598612E-2</v>
      </c>
      <c r="J262" s="9" t="s">
        <v>61</v>
      </c>
      <c r="L262" s="9" t="s">
        <v>146</v>
      </c>
      <c r="M262" s="9" t="s">
        <v>72</v>
      </c>
      <c r="N262" s="13">
        <v>1.9853805168248639E-2</v>
      </c>
      <c r="O262" s="9" t="s">
        <v>61</v>
      </c>
    </row>
    <row r="263" spans="2:15" x14ac:dyDescent="0.45">
      <c r="B263" s="8" t="s">
        <v>106</v>
      </c>
      <c r="C263" s="8" t="s">
        <v>73</v>
      </c>
      <c r="D263" s="10">
        <v>4.2493685193616522E-2</v>
      </c>
      <c r="E263" s="8" t="s">
        <v>61</v>
      </c>
      <c r="G263" s="8" t="s">
        <v>126</v>
      </c>
      <c r="H263" s="8" t="s">
        <v>73</v>
      </c>
      <c r="I263" s="12">
        <v>2.0084510320959235E-2</v>
      </c>
      <c r="J263" s="8" t="s">
        <v>61</v>
      </c>
      <c r="L263" s="8" t="s">
        <v>146</v>
      </c>
      <c r="M263" s="8" t="s">
        <v>73</v>
      </c>
      <c r="N263" s="12">
        <v>1.8936728582501675E-2</v>
      </c>
      <c r="O263" s="8" t="s">
        <v>61</v>
      </c>
    </row>
    <row r="264" spans="2:15" x14ac:dyDescent="0.45">
      <c r="B264" s="9" t="s">
        <v>106</v>
      </c>
      <c r="C264" s="9" t="s">
        <v>74</v>
      </c>
      <c r="D264" s="11">
        <v>7.128779182575129E-2</v>
      </c>
      <c r="E264" s="9" t="s">
        <v>61</v>
      </c>
      <c r="G264" s="9" t="s">
        <v>126</v>
      </c>
      <c r="H264" s="9" t="s">
        <v>74</v>
      </c>
      <c r="I264" s="13">
        <v>1.9367041201437368E-2</v>
      </c>
      <c r="J264" s="9" t="s">
        <v>61</v>
      </c>
      <c r="L264" s="9" t="s">
        <v>146</v>
      </c>
      <c r="M264" s="9" t="s">
        <v>74</v>
      </c>
      <c r="N264" s="13">
        <v>1.8716668873218947E-2</v>
      </c>
      <c r="O264" s="9" t="s">
        <v>61</v>
      </c>
    </row>
    <row r="265" spans="2:15" x14ac:dyDescent="0.45">
      <c r="B265" s="8" t="s">
        <v>106</v>
      </c>
      <c r="C265" s="8" t="s">
        <v>75</v>
      </c>
      <c r="D265" s="10">
        <v>7.3557825735228774E-2</v>
      </c>
      <c r="E265" s="8" t="s">
        <v>61</v>
      </c>
      <c r="G265" s="8" t="s">
        <v>126</v>
      </c>
      <c r="H265" s="8" t="s">
        <v>75</v>
      </c>
      <c r="I265" s="12">
        <v>1.7967735157827975E-2</v>
      </c>
      <c r="J265" s="8" t="s">
        <v>61</v>
      </c>
      <c r="L265" s="8" t="s">
        <v>146</v>
      </c>
      <c r="M265" s="8" t="s">
        <v>75</v>
      </c>
      <c r="N265" s="12">
        <v>1.815186280251041E-2</v>
      </c>
      <c r="O265" s="8" t="s">
        <v>61</v>
      </c>
    </row>
    <row r="266" spans="2:15" x14ac:dyDescent="0.45">
      <c r="B266" s="9" t="s">
        <v>106</v>
      </c>
      <c r="C266" s="9" t="s">
        <v>76</v>
      </c>
      <c r="D266" s="11">
        <v>6.9221927939856459E-2</v>
      </c>
      <c r="E266" s="9" t="s">
        <v>61</v>
      </c>
      <c r="G266" s="9" t="s">
        <v>126</v>
      </c>
      <c r="H266" s="9" t="s">
        <v>76</v>
      </c>
      <c r="I266" s="13">
        <v>2.0065930704147788E-2</v>
      </c>
      <c r="J266" s="9" t="s">
        <v>61</v>
      </c>
      <c r="L266" s="9" t="s">
        <v>146</v>
      </c>
      <c r="M266" s="9" t="s">
        <v>76</v>
      </c>
      <c r="N266" s="13">
        <v>1.9121826872892596E-2</v>
      </c>
      <c r="O266" s="9" t="s">
        <v>61</v>
      </c>
    </row>
    <row r="267" spans="2:15" x14ac:dyDescent="0.45">
      <c r="B267" s="8" t="s">
        <v>106</v>
      </c>
      <c r="C267" s="8" t="s">
        <v>77</v>
      </c>
      <c r="D267" s="10">
        <v>6.1142781897618292E-2</v>
      </c>
      <c r="E267" s="8" t="s">
        <v>61</v>
      </c>
      <c r="G267" s="8" t="s">
        <v>126</v>
      </c>
      <c r="H267" s="8" t="s">
        <v>77</v>
      </c>
      <c r="I267" s="12">
        <v>2.0356071679875888E-2</v>
      </c>
      <c r="J267" s="8" t="s">
        <v>61</v>
      </c>
      <c r="L267" s="8" t="s">
        <v>146</v>
      </c>
      <c r="M267" s="8" t="s">
        <v>77</v>
      </c>
      <c r="N267" s="12">
        <v>1.9619796224870888E-2</v>
      </c>
      <c r="O267" s="8" t="s">
        <v>61</v>
      </c>
    </row>
    <row r="268" spans="2:15" x14ac:dyDescent="0.45">
      <c r="B268" s="9" t="s">
        <v>106</v>
      </c>
      <c r="C268" s="9" t="s">
        <v>78</v>
      </c>
      <c r="D268" s="11">
        <v>3.6340571884965318E-2</v>
      </c>
      <c r="E268" s="9" t="s">
        <v>61</v>
      </c>
      <c r="G268" s="9" t="s">
        <v>126</v>
      </c>
      <c r="H268" s="9" t="s">
        <v>78</v>
      </c>
      <c r="I268" s="13">
        <v>2.1348426813670607E-2</v>
      </c>
      <c r="J268" s="9" t="s">
        <v>61</v>
      </c>
      <c r="L268" s="9" t="s">
        <v>146</v>
      </c>
      <c r="M268" s="9" t="s">
        <v>78</v>
      </c>
      <c r="N268" s="13">
        <v>2.0773272728011601E-2</v>
      </c>
      <c r="O268" s="9" t="s">
        <v>61</v>
      </c>
    </row>
    <row r="269" spans="2:15" x14ac:dyDescent="0.45">
      <c r="B269" s="8" t="s">
        <v>106</v>
      </c>
      <c r="C269" s="8" t="s">
        <v>79</v>
      </c>
      <c r="D269" s="10">
        <v>6.2998968870300797E-3</v>
      </c>
      <c r="E269" s="8" t="s">
        <v>61</v>
      </c>
      <c r="G269" s="8" t="s">
        <v>126</v>
      </c>
      <c r="H269" s="8" t="s">
        <v>79</v>
      </c>
      <c r="I269" s="12">
        <v>2.407783120052507E-2</v>
      </c>
      <c r="J269" s="8" t="s">
        <v>61</v>
      </c>
      <c r="L269" s="8" t="s">
        <v>146</v>
      </c>
      <c r="M269" s="8" t="s">
        <v>79</v>
      </c>
      <c r="N269" s="12">
        <v>2.1772233999940438E-2</v>
      </c>
      <c r="O269" s="8" t="s">
        <v>61</v>
      </c>
    </row>
    <row r="270" spans="2:15" x14ac:dyDescent="0.45">
      <c r="B270" s="9" t="s">
        <v>106</v>
      </c>
      <c r="C270" s="9" t="s">
        <v>80</v>
      </c>
      <c r="D270" s="11">
        <v>0</v>
      </c>
      <c r="E270" s="9" t="s">
        <v>61</v>
      </c>
      <c r="G270" s="9" t="s">
        <v>126</v>
      </c>
      <c r="H270" s="9" t="s">
        <v>80</v>
      </c>
      <c r="I270" s="13">
        <v>3.7701610483660587E-2</v>
      </c>
      <c r="J270" s="9" t="s">
        <v>61</v>
      </c>
      <c r="L270" s="9" t="s">
        <v>146</v>
      </c>
      <c r="M270" s="9" t="s">
        <v>80</v>
      </c>
      <c r="N270" s="13">
        <v>3.2409096033385355E-2</v>
      </c>
      <c r="O270" s="9" t="s">
        <v>61</v>
      </c>
    </row>
    <row r="271" spans="2:15" x14ac:dyDescent="0.45">
      <c r="B271" s="8" t="s">
        <v>106</v>
      </c>
      <c r="C271" s="8" t="s">
        <v>81</v>
      </c>
      <c r="D271" s="10">
        <v>1.9218976728926336E-6</v>
      </c>
      <c r="E271" s="8" t="s">
        <v>61</v>
      </c>
      <c r="G271" s="8" t="s">
        <v>126</v>
      </c>
      <c r="H271" s="8" t="s">
        <v>81</v>
      </c>
      <c r="I271" s="12">
        <v>3.1808848893495424E-2</v>
      </c>
      <c r="J271" s="8" t="s">
        <v>61</v>
      </c>
      <c r="L271" s="8" t="s">
        <v>146</v>
      </c>
      <c r="M271" s="8" t="s">
        <v>81</v>
      </c>
      <c r="N271" s="12">
        <v>3.5571629603614992E-2</v>
      </c>
      <c r="O271" s="8" t="s">
        <v>61</v>
      </c>
    </row>
    <row r="272" spans="2:15" x14ac:dyDescent="0.45">
      <c r="B272" s="9" t="s">
        <v>106</v>
      </c>
      <c r="C272" s="9" t="s">
        <v>82</v>
      </c>
      <c r="D272" s="11">
        <v>1.9952576389854638E-2</v>
      </c>
      <c r="E272" s="9" t="s">
        <v>61</v>
      </c>
      <c r="G272" s="9" t="s">
        <v>126</v>
      </c>
      <c r="H272" s="9" t="s">
        <v>82</v>
      </c>
      <c r="I272" s="13">
        <v>1.002354427337873E-2</v>
      </c>
      <c r="J272" s="9" t="s">
        <v>61</v>
      </c>
      <c r="L272" s="9" t="s">
        <v>146</v>
      </c>
      <c r="M272" s="9" t="s">
        <v>82</v>
      </c>
      <c r="N272" s="13">
        <v>1.437107875430613E-2</v>
      </c>
      <c r="O272" s="9" t="s">
        <v>61</v>
      </c>
    </row>
    <row r="273" spans="2:15" x14ac:dyDescent="0.45">
      <c r="B273" s="8" t="s">
        <v>106</v>
      </c>
      <c r="C273" s="8" t="s">
        <v>83</v>
      </c>
      <c r="D273" s="10">
        <v>4.9446780422734732E-2</v>
      </c>
      <c r="E273" s="8" t="s">
        <v>61</v>
      </c>
      <c r="G273" s="8" t="s">
        <v>126</v>
      </c>
      <c r="H273" s="8" t="s">
        <v>83</v>
      </c>
      <c r="I273" s="12">
        <v>8.424015110684302E-3</v>
      </c>
      <c r="J273" s="8" t="s">
        <v>61</v>
      </c>
      <c r="L273" s="8" t="s">
        <v>146</v>
      </c>
      <c r="M273" s="8" t="s">
        <v>83</v>
      </c>
      <c r="N273" s="12">
        <v>1.4279458873963584E-2</v>
      </c>
      <c r="O273" s="8" t="s">
        <v>61</v>
      </c>
    </row>
    <row r="274" spans="2:15" x14ac:dyDescent="0.45">
      <c r="B274" s="9" t="s">
        <v>106</v>
      </c>
      <c r="C274" s="9" t="s">
        <v>84</v>
      </c>
      <c r="D274" s="11">
        <v>6.7153866200872922E-2</v>
      </c>
      <c r="E274" s="9" t="s">
        <v>61</v>
      </c>
      <c r="G274" s="9" t="s">
        <v>126</v>
      </c>
      <c r="H274" s="9" t="s">
        <v>84</v>
      </c>
      <c r="I274" s="13">
        <v>9.8485405762741476E-3</v>
      </c>
      <c r="J274" s="9" t="s">
        <v>61</v>
      </c>
      <c r="L274" s="9" t="s">
        <v>146</v>
      </c>
      <c r="M274" s="9" t="s">
        <v>84</v>
      </c>
      <c r="N274" s="13">
        <v>1.484324120126594E-2</v>
      </c>
      <c r="O274" s="9" t="s">
        <v>61</v>
      </c>
    </row>
    <row r="275" spans="2:15" x14ac:dyDescent="0.45">
      <c r="B275" s="8" t="s">
        <v>106</v>
      </c>
      <c r="C275" s="8" t="s">
        <v>85</v>
      </c>
      <c r="D275" s="10">
        <v>7.119255803763952E-2</v>
      </c>
      <c r="E275" s="8" t="s">
        <v>61</v>
      </c>
      <c r="G275" s="8" t="s">
        <v>126</v>
      </c>
      <c r="H275" s="8" t="s">
        <v>85</v>
      </c>
      <c r="I275" s="12">
        <v>8.6042411368707043E-3</v>
      </c>
      <c r="J275" s="8" t="s">
        <v>61</v>
      </c>
      <c r="L275" s="8" t="s">
        <v>146</v>
      </c>
      <c r="M275" s="8" t="s">
        <v>85</v>
      </c>
      <c r="N275" s="12">
        <v>1.3545530218836815E-2</v>
      </c>
      <c r="O275" s="8" t="s">
        <v>61</v>
      </c>
    </row>
    <row r="276" spans="2:15" x14ac:dyDescent="0.45">
      <c r="B276" s="9" t="s">
        <v>106</v>
      </c>
      <c r="C276" s="9" t="s">
        <v>86</v>
      </c>
      <c r="D276" s="11">
        <v>7.0496854729289182E-2</v>
      </c>
      <c r="E276" s="9" t="s">
        <v>61</v>
      </c>
      <c r="G276" s="9" t="s">
        <v>126</v>
      </c>
      <c r="H276" s="9" t="s">
        <v>86</v>
      </c>
      <c r="I276" s="13">
        <v>1.148051680869097E-2</v>
      </c>
      <c r="J276" s="9" t="s">
        <v>61</v>
      </c>
      <c r="L276" s="9" t="s">
        <v>146</v>
      </c>
      <c r="M276" s="9" t="s">
        <v>86</v>
      </c>
      <c r="N276" s="13">
        <v>1.3647466269950875E-2</v>
      </c>
      <c r="O276" s="9" t="s">
        <v>61</v>
      </c>
    </row>
    <row r="277" spans="2:15" x14ac:dyDescent="0.45">
      <c r="B277" s="8" t="s">
        <v>106</v>
      </c>
      <c r="C277" s="8" t="s">
        <v>87</v>
      </c>
      <c r="D277" s="10">
        <v>6.5802178519253351E-2</v>
      </c>
      <c r="E277" s="8" t="s">
        <v>61</v>
      </c>
      <c r="G277" s="8" t="s">
        <v>126</v>
      </c>
      <c r="H277" s="8" t="s">
        <v>87</v>
      </c>
      <c r="I277" s="12">
        <v>1.3136608779723462E-2</v>
      </c>
      <c r="J277" s="8" t="s">
        <v>61</v>
      </c>
      <c r="L277" s="8" t="s">
        <v>146</v>
      </c>
      <c r="M277" s="8" t="s">
        <v>87</v>
      </c>
      <c r="N277" s="12">
        <v>1.4133531941653789E-2</v>
      </c>
      <c r="O277" s="8" t="s">
        <v>61</v>
      </c>
    </row>
    <row r="278" spans="2:15" x14ac:dyDescent="0.45">
      <c r="B278" s="9" t="s">
        <v>106</v>
      </c>
      <c r="C278" s="9" t="s">
        <v>88</v>
      </c>
      <c r="D278" s="11">
        <v>4.8327124881215891E-2</v>
      </c>
      <c r="E278" s="9" t="s">
        <v>61</v>
      </c>
      <c r="G278" s="9" t="s">
        <v>126</v>
      </c>
      <c r="H278" s="9" t="s">
        <v>88</v>
      </c>
      <c r="I278" s="13">
        <v>1.2356508953430927E-2</v>
      </c>
      <c r="J278" s="9" t="s">
        <v>61</v>
      </c>
      <c r="L278" s="9" t="s">
        <v>146</v>
      </c>
      <c r="M278" s="9" t="s">
        <v>88</v>
      </c>
      <c r="N278" s="13">
        <v>1.4128763240881598E-2</v>
      </c>
      <c r="O278" s="9" t="s">
        <v>61</v>
      </c>
    </row>
    <row r="279" spans="2:15" x14ac:dyDescent="0.45">
      <c r="B279" s="8" t="s">
        <v>106</v>
      </c>
      <c r="C279" s="8" t="s">
        <v>89</v>
      </c>
      <c r="D279" s="10">
        <v>1.8528474649238839E-2</v>
      </c>
      <c r="E279" s="8" t="s">
        <v>61</v>
      </c>
      <c r="G279" s="8" t="s">
        <v>126</v>
      </c>
      <c r="H279" s="8" t="s">
        <v>89</v>
      </c>
      <c r="I279" s="12">
        <v>1.2730330643154809E-2</v>
      </c>
      <c r="J279" s="8" t="s">
        <v>61</v>
      </c>
      <c r="L279" s="8" t="s">
        <v>146</v>
      </c>
      <c r="M279" s="8" t="s">
        <v>89</v>
      </c>
      <c r="N279" s="12">
        <v>1.4741368634329873E-2</v>
      </c>
      <c r="O279" s="8" t="s">
        <v>61</v>
      </c>
    </row>
    <row r="280" spans="2:15" x14ac:dyDescent="0.45">
      <c r="B280" s="9" t="s">
        <v>106</v>
      </c>
      <c r="C280" s="9" t="s">
        <v>90</v>
      </c>
      <c r="D280" s="11">
        <v>0</v>
      </c>
      <c r="E280" s="9" t="s">
        <v>61</v>
      </c>
      <c r="G280" s="9" t="s">
        <v>126</v>
      </c>
      <c r="H280" s="9" t="s">
        <v>90</v>
      </c>
      <c r="I280" s="13">
        <v>2.0980984088673108E-2</v>
      </c>
      <c r="J280" s="9" t="s">
        <v>61</v>
      </c>
      <c r="L280" s="9" t="s">
        <v>146</v>
      </c>
      <c r="M280" s="9" t="s">
        <v>90</v>
      </c>
      <c r="N280" s="13">
        <v>2.2785795033321409E-2</v>
      </c>
      <c r="O280" s="9" t="s">
        <v>61</v>
      </c>
    </row>
    <row r="281" spans="2:15" x14ac:dyDescent="0.45">
      <c r="B281" s="8" t="s">
        <v>106</v>
      </c>
      <c r="C281" s="8" t="s">
        <v>91</v>
      </c>
      <c r="D281" s="10">
        <v>0</v>
      </c>
      <c r="E281" s="8" t="s">
        <v>61</v>
      </c>
      <c r="G281" s="8" t="s">
        <v>126</v>
      </c>
      <c r="H281" s="8" t="s">
        <v>91</v>
      </c>
      <c r="I281" s="12">
        <v>5.5178491135200632E-2</v>
      </c>
      <c r="J281" s="8" t="s">
        <v>61</v>
      </c>
      <c r="L281" s="8" t="s">
        <v>146</v>
      </c>
      <c r="M281" s="8" t="s">
        <v>91</v>
      </c>
      <c r="N281" s="12">
        <v>5.5676080265158391E-2</v>
      </c>
      <c r="O281" s="8" t="s">
        <v>61</v>
      </c>
    </row>
    <row r="282" spans="2:15" x14ac:dyDescent="0.45">
      <c r="B282" s="9" t="s">
        <v>106</v>
      </c>
      <c r="C282" s="9" t="s">
        <v>92</v>
      </c>
      <c r="D282" s="11">
        <v>1.0268267469721157E-3</v>
      </c>
      <c r="E282" s="9" t="s">
        <v>61</v>
      </c>
      <c r="G282" s="9" t="s">
        <v>126</v>
      </c>
      <c r="H282" s="9" t="s">
        <v>92</v>
      </c>
      <c r="I282" s="13">
        <v>2.0604885645241662E-2</v>
      </c>
      <c r="J282" s="9" t="s">
        <v>61</v>
      </c>
      <c r="L282" s="9" t="s">
        <v>146</v>
      </c>
      <c r="M282" s="9" t="s">
        <v>92</v>
      </c>
      <c r="N282" s="13">
        <v>2.1693622283086175E-2</v>
      </c>
      <c r="O282" s="9" t="s">
        <v>61</v>
      </c>
    </row>
    <row r="283" spans="2:15" x14ac:dyDescent="0.45">
      <c r="B283" s="8" t="s">
        <v>106</v>
      </c>
      <c r="C283" s="8" t="s">
        <v>93</v>
      </c>
      <c r="D283" s="10">
        <v>1.511960957064136E-2</v>
      </c>
      <c r="E283" s="8" t="s">
        <v>61</v>
      </c>
      <c r="G283" s="8" t="s">
        <v>126</v>
      </c>
      <c r="H283" s="8" t="s">
        <v>93</v>
      </c>
      <c r="I283" s="12">
        <v>1.9725692659090861E-2</v>
      </c>
      <c r="J283" s="8" t="s">
        <v>61</v>
      </c>
      <c r="L283" s="8" t="s">
        <v>146</v>
      </c>
      <c r="M283" s="8" t="s">
        <v>93</v>
      </c>
      <c r="N283" s="12">
        <v>2.2712275154181741E-2</v>
      </c>
      <c r="O283" s="8" t="s">
        <v>61</v>
      </c>
    </row>
    <row r="284" spans="2:15" x14ac:dyDescent="0.45">
      <c r="B284" s="9" t="s">
        <v>106</v>
      </c>
      <c r="C284" s="9" t="s">
        <v>94</v>
      </c>
      <c r="D284" s="11">
        <v>3.3280782634799465E-2</v>
      </c>
      <c r="E284" s="9" t="s">
        <v>61</v>
      </c>
      <c r="G284" s="9" t="s">
        <v>126</v>
      </c>
      <c r="H284" s="9" t="s">
        <v>94</v>
      </c>
      <c r="I284" s="13">
        <v>1.8888612485490848E-2</v>
      </c>
      <c r="J284" s="9" t="s">
        <v>61</v>
      </c>
      <c r="L284" s="9" t="s">
        <v>146</v>
      </c>
      <c r="M284" s="9" t="s">
        <v>94</v>
      </c>
      <c r="N284" s="13">
        <v>2.3007661559760025E-2</v>
      </c>
      <c r="O284" s="9" t="s">
        <v>61</v>
      </c>
    </row>
    <row r="285" spans="2:15" x14ac:dyDescent="0.45">
      <c r="B285" s="8" t="s">
        <v>106</v>
      </c>
      <c r="C285" s="8" t="s">
        <v>95</v>
      </c>
      <c r="D285" s="10">
        <v>3.5144438069717898E-2</v>
      </c>
      <c r="E285" s="8" t="s">
        <v>61</v>
      </c>
      <c r="G285" s="8" t="s">
        <v>126</v>
      </c>
      <c r="H285" s="8" t="s">
        <v>95</v>
      </c>
      <c r="I285" s="12">
        <v>1.8871178267626298E-2</v>
      </c>
      <c r="J285" s="8" t="s">
        <v>61</v>
      </c>
      <c r="L285" s="8" t="s">
        <v>146</v>
      </c>
      <c r="M285" s="8" t="s">
        <v>95</v>
      </c>
      <c r="N285" s="12">
        <v>2.2378053055622155E-2</v>
      </c>
      <c r="O285" s="8" t="s">
        <v>61</v>
      </c>
    </row>
    <row r="286" spans="2:15" x14ac:dyDescent="0.45">
      <c r="B286" s="9" t="s">
        <v>106</v>
      </c>
      <c r="C286" s="9" t="s">
        <v>96</v>
      </c>
      <c r="D286" s="11">
        <v>3.5380556766192617E-2</v>
      </c>
      <c r="E286" s="9" t="s">
        <v>61</v>
      </c>
      <c r="G286" s="9" t="s">
        <v>126</v>
      </c>
      <c r="H286" s="9" t="s">
        <v>96</v>
      </c>
      <c r="I286" s="13">
        <v>1.9342504596882346E-2</v>
      </c>
      <c r="J286" s="9" t="s">
        <v>61</v>
      </c>
      <c r="L286" s="9" t="s">
        <v>146</v>
      </c>
      <c r="M286" s="9" t="s">
        <v>96</v>
      </c>
      <c r="N286" s="13">
        <v>2.1812587026974563E-2</v>
      </c>
      <c r="O286" s="9" t="s">
        <v>61</v>
      </c>
    </row>
    <row r="287" spans="2:15" x14ac:dyDescent="0.45">
      <c r="B287" s="8" t="s">
        <v>106</v>
      </c>
      <c r="C287" s="8" t="s">
        <v>97</v>
      </c>
      <c r="D287" s="10">
        <v>2.6351984484901309E-2</v>
      </c>
      <c r="E287" s="8" t="s">
        <v>61</v>
      </c>
      <c r="G287" s="8" t="s">
        <v>126</v>
      </c>
      <c r="H287" s="8" t="s">
        <v>97</v>
      </c>
      <c r="I287" s="12">
        <v>2.0089779581029511E-2</v>
      </c>
      <c r="J287" s="8" t="s">
        <v>61</v>
      </c>
      <c r="L287" s="8" t="s">
        <v>146</v>
      </c>
      <c r="M287" s="8" t="s">
        <v>97</v>
      </c>
      <c r="N287" s="12">
        <v>2.196841280575491E-2</v>
      </c>
      <c r="O287" s="8" t="s">
        <v>61</v>
      </c>
    </row>
    <row r="288" spans="2:15" x14ac:dyDescent="0.45">
      <c r="B288" s="9" t="s">
        <v>106</v>
      </c>
      <c r="C288" s="9" t="s">
        <v>98</v>
      </c>
      <c r="D288" s="11">
        <v>8.8020555046988257E-3</v>
      </c>
      <c r="E288" s="9" t="s">
        <v>61</v>
      </c>
      <c r="G288" s="9" t="s">
        <v>126</v>
      </c>
      <c r="H288" s="9" t="s">
        <v>98</v>
      </c>
      <c r="I288" s="13">
        <v>2.2456432746282357E-2</v>
      </c>
      <c r="J288" s="9" t="s">
        <v>61</v>
      </c>
      <c r="L288" s="9" t="s">
        <v>146</v>
      </c>
      <c r="M288" s="9" t="s">
        <v>98</v>
      </c>
      <c r="N288" s="13">
        <v>2.3725826592165735E-2</v>
      </c>
      <c r="O288" s="9" t="s">
        <v>61</v>
      </c>
    </row>
    <row r="289" spans="2:15" x14ac:dyDescent="0.45">
      <c r="B289" s="8" t="s">
        <v>106</v>
      </c>
      <c r="C289" s="8" t="s">
        <v>99</v>
      </c>
      <c r="D289" s="10">
        <v>5.0956862641853029E-5</v>
      </c>
      <c r="E289" s="8" t="s">
        <v>61</v>
      </c>
      <c r="G289" s="8" t="s">
        <v>126</v>
      </c>
      <c r="H289" s="8" t="s">
        <v>99</v>
      </c>
      <c r="I289" s="12">
        <v>2.3796786394551277E-2</v>
      </c>
      <c r="J289" s="8" t="s">
        <v>61</v>
      </c>
      <c r="L289" s="8" t="s">
        <v>146</v>
      </c>
      <c r="M289" s="8" t="s">
        <v>99</v>
      </c>
      <c r="N289" s="12">
        <v>2.4998945173383295E-2</v>
      </c>
      <c r="O289" s="8" t="s">
        <v>61</v>
      </c>
    </row>
    <row r="290" spans="2:15" x14ac:dyDescent="0.45">
      <c r="B290" s="9" t="s">
        <v>106</v>
      </c>
      <c r="C290" s="9" t="s">
        <v>100</v>
      </c>
      <c r="D290" s="11">
        <v>0</v>
      </c>
      <c r="E290" s="9" t="s">
        <v>61</v>
      </c>
      <c r="G290" s="9" t="s">
        <v>126</v>
      </c>
      <c r="H290" s="9" t="s">
        <v>100</v>
      </c>
      <c r="I290" s="13">
        <v>3.5676213221086273E-2</v>
      </c>
      <c r="J290" s="9" t="s">
        <v>61</v>
      </c>
      <c r="L290" s="9" t="s">
        <v>146</v>
      </c>
      <c r="M290" s="9" t="s">
        <v>100</v>
      </c>
      <c r="N290" s="13">
        <v>3.6967481622665881E-2</v>
      </c>
      <c r="O290" s="9" t="s">
        <v>61</v>
      </c>
    </row>
    <row r="291" spans="2:15" x14ac:dyDescent="0.45">
      <c r="B291" s="8" t="s">
        <v>107</v>
      </c>
      <c r="C291" s="8" t="s">
        <v>60</v>
      </c>
      <c r="D291" s="10">
        <v>0</v>
      </c>
      <c r="E291" s="8" t="s">
        <v>61</v>
      </c>
      <c r="G291" s="8" t="s">
        <v>127</v>
      </c>
      <c r="H291" s="8" t="s">
        <v>60</v>
      </c>
      <c r="I291" s="12">
        <v>7.3451653194838665E-2</v>
      </c>
      <c r="J291" s="8" t="s">
        <v>61</v>
      </c>
      <c r="L291" s="8" t="s">
        <v>147</v>
      </c>
      <c r="M291" s="8" t="s">
        <v>60</v>
      </c>
      <c r="N291" s="12">
        <v>5.9031605501693257E-2</v>
      </c>
      <c r="O291" s="8" t="s">
        <v>61</v>
      </c>
    </row>
    <row r="292" spans="2:15" x14ac:dyDescent="0.45">
      <c r="B292" s="9" t="s">
        <v>107</v>
      </c>
      <c r="C292" s="9" t="s">
        <v>62</v>
      </c>
      <c r="D292" s="11">
        <v>0</v>
      </c>
      <c r="E292" s="9" t="s">
        <v>61</v>
      </c>
      <c r="G292" s="9" t="s">
        <v>127</v>
      </c>
      <c r="H292" s="9" t="s">
        <v>62</v>
      </c>
      <c r="I292" s="13">
        <v>2.9373381385317976E-2</v>
      </c>
      <c r="J292" s="9" t="s">
        <v>61</v>
      </c>
      <c r="L292" s="9" t="s">
        <v>147</v>
      </c>
      <c r="M292" s="9" t="s">
        <v>62</v>
      </c>
      <c r="N292" s="13">
        <v>2.346493996985614E-2</v>
      </c>
      <c r="O292" s="9" t="s">
        <v>61</v>
      </c>
    </row>
    <row r="293" spans="2:15" x14ac:dyDescent="0.45">
      <c r="B293" s="8" t="s">
        <v>107</v>
      </c>
      <c r="C293" s="8" t="s">
        <v>63</v>
      </c>
      <c r="D293" s="10">
        <v>7.8925422233523689E-4</v>
      </c>
      <c r="E293" s="8" t="s">
        <v>61</v>
      </c>
      <c r="G293" s="8" t="s">
        <v>127</v>
      </c>
      <c r="H293" s="8" t="s">
        <v>63</v>
      </c>
      <c r="I293" s="12">
        <v>2.880424320655986E-2</v>
      </c>
      <c r="J293" s="8" t="s">
        <v>61</v>
      </c>
      <c r="L293" s="8" t="s">
        <v>147</v>
      </c>
      <c r="M293" s="8" t="s">
        <v>63</v>
      </c>
      <c r="N293" s="12">
        <v>2.3911203543439657E-2</v>
      </c>
      <c r="O293" s="8" t="s">
        <v>61</v>
      </c>
    </row>
    <row r="294" spans="2:15" x14ac:dyDescent="0.45">
      <c r="B294" s="9" t="s">
        <v>107</v>
      </c>
      <c r="C294" s="9" t="s">
        <v>64</v>
      </c>
      <c r="D294" s="11">
        <v>1.292609047926678E-2</v>
      </c>
      <c r="E294" s="9" t="s">
        <v>61</v>
      </c>
      <c r="G294" s="9" t="s">
        <v>127</v>
      </c>
      <c r="H294" s="9" t="s">
        <v>64</v>
      </c>
      <c r="I294" s="13">
        <v>2.7723791529562697E-2</v>
      </c>
      <c r="J294" s="9" t="s">
        <v>61</v>
      </c>
      <c r="L294" s="9" t="s">
        <v>147</v>
      </c>
      <c r="M294" s="9" t="s">
        <v>64</v>
      </c>
      <c r="N294" s="13">
        <v>2.3671629983091524E-2</v>
      </c>
      <c r="O294" s="9" t="s">
        <v>61</v>
      </c>
    </row>
    <row r="295" spans="2:15" x14ac:dyDescent="0.45">
      <c r="B295" s="8" t="s">
        <v>107</v>
      </c>
      <c r="C295" s="8" t="s">
        <v>65</v>
      </c>
      <c r="D295" s="10">
        <v>2.2676296456155706E-2</v>
      </c>
      <c r="E295" s="8" t="s">
        <v>61</v>
      </c>
      <c r="G295" s="8" t="s">
        <v>127</v>
      </c>
      <c r="H295" s="8" t="s">
        <v>65</v>
      </c>
      <c r="I295" s="12">
        <v>2.551355658753747E-2</v>
      </c>
      <c r="J295" s="8" t="s">
        <v>61</v>
      </c>
      <c r="L295" s="8" t="s">
        <v>147</v>
      </c>
      <c r="M295" s="8" t="s">
        <v>65</v>
      </c>
      <c r="N295" s="12">
        <v>2.4800114946678806E-2</v>
      </c>
      <c r="O295" s="8" t="s">
        <v>61</v>
      </c>
    </row>
    <row r="296" spans="2:15" x14ac:dyDescent="0.45">
      <c r="B296" s="9" t="s">
        <v>107</v>
      </c>
      <c r="C296" s="9" t="s">
        <v>66</v>
      </c>
      <c r="D296" s="11">
        <v>2.0908167187315533E-2</v>
      </c>
      <c r="E296" s="9" t="s">
        <v>61</v>
      </c>
      <c r="G296" s="9" t="s">
        <v>127</v>
      </c>
      <c r="H296" s="9" t="s">
        <v>66</v>
      </c>
      <c r="I296" s="13">
        <v>2.5175457938617474E-2</v>
      </c>
      <c r="J296" s="9" t="s">
        <v>61</v>
      </c>
      <c r="L296" s="9" t="s">
        <v>147</v>
      </c>
      <c r="M296" s="9" t="s">
        <v>66</v>
      </c>
      <c r="N296" s="13">
        <v>2.5362397120542748E-2</v>
      </c>
      <c r="O296" s="9" t="s">
        <v>61</v>
      </c>
    </row>
    <row r="297" spans="2:15" x14ac:dyDescent="0.45">
      <c r="B297" s="8" t="s">
        <v>107</v>
      </c>
      <c r="C297" s="8" t="s">
        <v>67</v>
      </c>
      <c r="D297" s="10">
        <v>9.6680962915917795E-3</v>
      </c>
      <c r="E297" s="8" t="s">
        <v>61</v>
      </c>
      <c r="G297" s="8" t="s">
        <v>127</v>
      </c>
      <c r="H297" s="8" t="s">
        <v>67</v>
      </c>
      <c r="I297" s="12">
        <v>2.6600824432549096E-2</v>
      </c>
      <c r="J297" s="8" t="s">
        <v>61</v>
      </c>
      <c r="L297" s="8" t="s">
        <v>147</v>
      </c>
      <c r="M297" s="8" t="s">
        <v>67</v>
      </c>
      <c r="N297" s="12">
        <v>2.5715555872420991E-2</v>
      </c>
      <c r="O297" s="8" t="s">
        <v>61</v>
      </c>
    </row>
    <row r="298" spans="2:15" x14ac:dyDescent="0.45">
      <c r="B298" s="9" t="s">
        <v>107</v>
      </c>
      <c r="C298" s="9" t="s">
        <v>68</v>
      </c>
      <c r="D298" s="11">
        <v>7.711589448614356E-4</v>
      </c>
      <c r="E298" s="9" t="s">
        <v>61</v>
      </c>
      <c r="G298" s="9" t="s">
        <v>127</v>
      </c>
      <c r="H298" s="9" t="s">
        <v>68</v>
      </c>
      <c r="I298" s="13">
        <v>2.9230583119036448E-2</v>
      </c>
      <c r="J298" s="9" t="s">
        <v>61</v>
      </c>
      <c r="L298" s="9" t="s">
        <v>147</v>
      </c>
      <c r="M298" s="9" t="s">
        <v>68</v>
      </c>
      <c r="N298" s="13">
        <v>2.638542499431637E-2</v>
      </c>
      <c r="O298" s="9" t="s">
        <v>61</v>
      </c>
    </row>
    <row r="299" spans="2:15" x14ac:dyDescent="0.45">
      <c r="B299" s="8" t="s">
        <v>107</v>
      </c>
      <c r="C299" s="8" t="s">
        <v>69</v>
      </c>
      <c r="D299" s="10">
        <v>0</v>
      </c>
      <c r="E299" s="8" t="s">
        <v>61</v>
      </c>
      <c r="G299" s="8" t="s">
        <v>127</v>
      </c>
      <c r="H299" s="8" t="s">
        <v>69</v>
      </c>
      <c r="I299" s="12">
        <v>3.0237829978001635E-2</v>
      </c>
      <c r="J299" s="8" t="s">
        <v>61</v>
      </c>
      <c r="L299" s="8" t="s">
        <v>147</v>
      </c>
      <c r="M299" s="8" t="s">
        <v>69</v>
      </c>
      <c r="N299" s="12">
        <v>2.6147124511688758E-2</v>
      </c>
      <c r="O299" s="8" t="s">
        <v>61</v>
      </c>
    </row>
    <row r="300" spans="2:15" x14ac:dyDescent="0.45">
      <c r="B300" s="9" t="s">
        <v>107</v>
      </c>
      <c r="C300" s="9" t="s">
        <v>70</v>
      </c>
      <c r="D300" s="11">
        <v>0</v>
      </c>
      <c r="E300" s="9" t="s">
        <v>61</v>
      </c>
      <c r="G300" s="9" t="s">
        <v>127</v>
      </c>
      <c r="H300" s="9" t="s">
        <v>70</v>
      </c>
      <c r="I300" s="13">
        <v>4.4974688484703824E-2</v>
      </c>
      <c r="J300" s="9" t="s">
        <v>61</v>
      </c>
      <c r="L300" s="9" t="s">
        <v>147</v>
      </c>
      <c r="M300" s="9" t="s">
        <v>70</v>
      </c>
      <c r="N300" s="13">
        <v>3.7288276784317932E-2</v>
      </c>
      <c r="O300" s="9" t="s">
        <v>61</v>
      </c>
    </row>
    <row r="301" spans="2:15" x14ac:dyDescent="0.45">
      <c r="B301" s="8" t="s">
        <v>107</v>
      </c>
      <c r="C301" s="8" t="s">
        <v>71</v>
      </c>
      <c r="D301" s="10">
        <v>0</v>
      </c>
      <c r="E301" s="8" t="s">
        <v>61</v>
      </c>
      <c r="G301" s="8" t="s">
        <v>127</v>
      </c>
      <c r="H301" s="8" t="s">
        <v>71</v>
      </c>
      <c r="I301" s="12">
        <v>5.5563529246184754E-2</v>
      </c>
      <c r="J301" s="8" t="s">
        <v>61</v>
      </c>
      <c r="L301" s="8" t="s">
        <v>147</v>
      </c>
      <c r="M301" s="8" t="s">
        <v>71</v>
      </c>
      <c r="N301" s="12">
        <v>5.5226417556741042E-2</v>
      </c>
      <c r="O301" s="8" t="s">
        <v>61</v>
      </c>
    </row>
    <row r="302" spans="2:15" x14ac:dyDescent="0.45">
      <c r="B302" s="9" t="s">
        <v>107</v>
      </c>
      <c r="C302" s="9" t="s">
        <v>72</v>
      </c>
      <c r="D302" s="11">
        <v>1.079289868867683E-2</v>
      </c>
      <c r="E302" s="9" t="s">
        <v>61</v>
      </c>
      <c r="G302" s="9" t="s">
        <v>127</v>
      </c>
      <c r="H302" s="9" t="s">
        <v>72</v>
      </c>
      <c r="I302" s="13">
        <v>2.0905778841225471E-2</v>
      </c>
      <c r="J302" s="9" t="s">
        <v>61</v>
      </c>
      <c r="L302" s="9" t="s">
        <v>147</v>
      </c>
      <c r="M302" s="9" t="s">
        <v>72</v>
      </c>
      <c r="N302" s="13">
        <v>2.0610742024888221E-2</v>
      </c>
      <c r="O302" s="9" t="s">
        <v>61</v>
      </c>
    </row>
    <row r="303" spans="2:15" x14ac:dyDescent="0.45">
      <c r="B303" s="8" t="s">
        <v>107</v>
      </c>
      <c r="C303" s="8" t="s">
        <v>73</v>
      </c>
      <c r="D303" s="10">
        <v>4.4886224539989313E-2</v>
      </c>
      <c r="E303" s="8" t="s">
        <v>61</v>
      </c>
      <c r="G303" s="8" t="s">
        <v>127</v>
      </c>
      <c r="H303" s="8" t="s">
        <v>73</v>
      </c>
      <c r="I303" s="12">
        <v>1.8188809453795605E-2</v>
      </c>
      <c r="J303" s="8" t="s">
        <v>61</v>
      </c>
      <c r="L303" s="8" t="s">
        <v>147</v>
      </c>
      <c r="M303" s="8" t="s">
        <v>73</v>
      </c>
      <c r="N303" s="12">
        <v>2.0465857446081502E-2</v>
      </c>
      <c r="O303" s="8" t="s">
        <v>61</v>
      </c>
    </row>
    <row r="304" spans="2:15" x14ac:dyDescent="0.45">
      <c r="B304" s="9" t="s">
        <v>107</v>
      </c>
      <c r="C304" s="9" t="s">
        <v>74</v>
      </c>
      <c r="D304" s="11">
        <v>7.3048329534676659E-2</v>
      </c>
      <c r="E304" s="9" t="s">
        <v>61</v>
      </c>
      <c r="G304" s="9" t="s">
        <v>127</v>
      </c>
      <c r="H304" s="9" t="s">
        <v>74</v>
      </c>
      <c r="I304" s="13">
        <v>1.8264258476311433E-2</v>
      </c>
      <c r="J304" s="9" t="s">
        <v>61</v>
      </c>
      <c r="L304" s="9" t="s">
        <v>147</v>
      </c>
      <c r="M304" s="9" t="s">
        <v>74</v>
      </c>
      <c r="N304" s="13">
        <v>2.0498357045906419E-2</v>
      </c>
      <c r="O304" s="9" t="s">
        <v>61</v>
      </c>
    </row>
    <row r="305" spans="2:15" x14ac:dyDescent="0.45">
      <c r="B305" s="8" t="s">
        <v>107</v>
      </c>
      <c r="C305" s="8" t="s">
        <v>75</v>
      </c>
      <c r="D305" s="10">
        <v>7.6154542362769043E-2</v>
      </c>
      <c r="E305" s="8" t="s">
        <v>61</v>
      </c>
      <c r="G305" s="8" t="s">
        <v>127</v>
      </c>
      <c r="H305" s="8" t="s">
        <v>75</v>
      </c>
      <c r="I305" s="12">
        <v>1.7322797672856435E-2</v>
      </c>
      <c r="J305" s="8" t="s">
        <v>61</v>
      </c>
      <c r="L305" s="8" t="s">
        <v>147</v>
      </c>
      <c r="M305" s="8" t="s">
        <v>75</v>
      </c>
      <c r="N305" s="12">
        <v>1.9920991363496079E-2</v>
      </c>
      <c r="O305" s="8" t="s">
        <v>61</v>
      </c>
    </row>
    <row r="306" spans="2:15" x14ac:dyDescent="0.45">
      <c r="B306" s="9" t="s">
        <v>107</v>
      </c>
      <c r="C306" s="9" t="s">
        <v>76</v>
      </c>
      <c r="D306" s="11">
        <v>7.2410591812541447E-2</v>
      </c>
      <c r="E306" s="9" t="s">
        <v>61</v>
      </c>
      <c r="G306" s="9" t="s">
        <v>127</v>
      </c>
      <c r="H306" s="9" t="s">
        <v>76</v>
      </c>
      <c r="I306" s="13">
        <v>1.923629791146643E-2</v>
      </c>
      <c r="J306" s="9" t="s">
        <v>61</v>
      </c>
      <c r="L306" s="9" t="s">
        <v>147</v>
      </c>
      <c r="M306" s="9" t="s">
        <v>76</v>
      </c>
      <c r="N306" s="13">
        <v>2.023884645581182E-2</v>
      </c>
      <c r="O306" s="9" t="s">
        <v>61</v>
      </c>
    </row>
    <row r="307" spans="2:15" x14ac:dyDescent="0.45">
      <c r="B307" s="8" t="s">
        <v>107</v>
      </c>
      <c r="C307" s="8" t="s">
        <v>77</v>
      </c>
      <c r="D307" s="10">
        <v>6.0690131325617125E-2</v>
      </c>
      <c r="E307" s="8" t="s">
        <v>61</v>
      </c>
      <c r="G307" s="8" t="s">
        <v>127</v>
      </c>
      <c r="H307" s="8" t="s">
        <v>77</v>
      </c>
      <c r="I307" s="12">
        <v>1.9476708414251198E-2</v>
      </c>
      <c r="J307" s="8" t="s">
        <v>61</v>
      </c>
      <c r="L307" s="8" t="s">
        <v>147</v>
      </c>
      <c r="M307" s="8" t="s">
        <v>77</v>
      </c>
      <c r="N307" s="12">
        <v>2.0899789368608139E-2</v>
      </c>
      <c r="O307" s="8" t="s">
        <v>61</v>
      </c>
    </row>
    <row r="308" spans="2:15" x14ac:dyDescent="0.45">
      <c r="B308" s="9" t="s">
        <v>107</v>
      </c>
      <c r="C308" s="9" t="s">
        <v>78</v>
      </c>
      <c r="D308" s="11">
        <v>3.2379273478281047E-2</v>
      </c>
      <c r="E308" s="9" t="s">
        <v>61</v>
      </c>
      <c r="G308" s="9" t="s">
        <v>127</v>
      </c>
      <c r="H308" s="9" t="s">
        <v>78</v>
      </c>
      <c r="I308" s="13">
        <v>1.9347050415575162E-2</v>
      </c>
      <c r="J308" s="9" t="s">
        <v>61</v>
      </c>
      <c r="L308" s="9" t="s">
        <v>147</v>
      </c>
      <c r="M308" s="9" t="s">
        <v>78</v>
      </c>
      <c r="N308" s="13">
        <v>2.2093685242979472E-2</v>
      </c>
      <c r="O308" s="9" t="s">
        <v>61</v>
      </c>
    </row>
    <row r="309" spans="2:15" x14ac:dyDescent="0.45">
      <c r="B309" s="8" t="s">
        <v>107</v>
      </c>
      <c r="C309" s="8" t="s">
        <v>79</v>
      </c>
      <c r="D309" s="10">
        <v>4.6626032308442868E-3</v>
      </c>
      <c r="E309" s="8" t="s">
        <v>61</v>
      </c>
      <c r="G309" s="8" t="s">
        <v>127</v>
      </c>
      <c r="H309" s="8" t="s">
        <v>79</v>
      </c>
      <c r="I309" s="12">
        <v>2.2244041142670958E-2</v>
      </c>
      <c r="J309" s="8" t="s">
        <v>61</v>
      </c>
      <c r="L309" s="8" t="s">
        <v>147</v>
      </c>
      <c r="M309" s="8" t="s">
        <v>79</v>
      </c>
      <c r="N309" s="12">
        <v>2.2877449608475996E-2</v>
      </c>
      <c r="O309" s="8" t="s">
        <v>61</v>
      </c>
    </row>
    <row r="310" spans="2:15" x14ac:dyDescent="0.45">
      <c r="B310" s="9" t="s">
        <v>107</v>
      </c>
      <c r="C310" s="9" t="s">
        <v>80</v>
      </c>
      <c r="D310" s="11">
        <v>0</v>
      </c>
      <c r="E310" s="9" t="s">
        <v>61</v>
      </c>
      <c r="G310" s="9" t="s">
        <v>127</v>
      </c>
      <c r="H310" s="9" t="s">
        <v>80</v>
      </c>
      <c r="I310" s="13">
        <v>3.4404872876675922E-2</v>
      </c>
      <c r="J310" s="9" t="s">
        <v>61</v>
      </c>
      <c r="L310" s="9" t="s">
        <v>147</v>
      </c>
      <c r="M310" s="9" t="s">
        <v>80</v>
      </c>
      <c r="N310" s="13">
        <v>3.4588669898741604E-2</v>
      </c>
      <c r="O310" s="9" t="s">
        <v>61</v>
      </c>
    </row>
    <row r="311" spans="2:15" x14ac:dyDescent="0.45">
      <c r="B311" s="8" t="s">
        <v>107</v>
      </c>
      <c r="C311" s="8" t="s">
        <v>81</v>
      </c>
      <c r="D311" s="10">
        <v>3.8473556800697667E-4</v>
      </c>
      <c r="E311" s="8" t="s">
        <v>61</v>
      </c>
      <c r="G311" s="8" t="s">
        <v>127</v>
      </c>
      <c r="H311" s="8" t="s">
        <v>81</v>
      </c>
      <c r="I311" s="12">
        <v>3.1577183751460729E-2</v>
      </c>
      <c r="J311" s="8" t="s">
        <v>61</v>
      </c>
      <c r="L311" s="8" t="s">
        <v>147</v>
      </c>
      <c r="M311" s="8" t="s">
        <v>81</v>
      </c>
      <c r="N311" s="12">
        <v>3.8411326893299368E-2</v>
      </c>
      <c r="O311" s="8" t="s">
        <v>61</v>
      </c>
    </row>
    <row r="312" spans="2:15" x14ac:dyDescent="0.45">
      <c r="B312" s="9" t="s">
        <v>107</v>
      </c>
      <c r="C312" s="9" t="s">
        <v>82</v>
      </c>
      <c r="D312" s="11">
        <v>2.1517250815574533E-2</v>
      </c>
      <c r="E312" s="9" t="s">
        <v>61</v>
      </c>
      <c r="G312" s="9" t="s">
        <v>127</v>
      </c>
      <c r="H312" s="9" t="s">
        <v>82</v>
      </c>
      <c r="I312" s="13">
        <v>1.1488989243069476E-2</v>
      </c>
      <c r="J312" s="9" t="s">
        <v>61</v>
      </c>
      <c r="L312" s="9" t="s">
        <v>147</v>
      </c>
      <c r="M312" s="9" t="s">
        <v>82</v>
      </c>
      <c r="N312" s="13">
        <v>1.4967249543988839E-2</v>
      </c>
      <c r="O312" s="9" t="s">
        <v>61</v>
      </c>
    </row>
    <row r="313" spans="2:15" x14ac:dyDescent="0.45">
      <c r="B313" s="8" t="s">
        <v>107</v>
      </c>
      <c r="C313" s="8" t="s">
        <v>83</v>
      </c>
      <c r="D313" s="10">
        <v>5.2789632728045245E-2</v>
      </c>
      <c r="E313" s="8" t="s">
        <v>61</v>
      </c>
      <c r="G313" s="8" t="s">
        <v>127</v>
      </c>
      <c r="H313" s="8" t="s">
        <v>83</v>
      </c>
      <c r="I313" s="12">
        <v>1.021188821995821E-2</v>
      </c>
      <c r="J313" s="8" t="s">
        <v>61</v>
      </c>
      <c r="L313" s="8" t="s">
        <v>147</v>
      </c>
      <c r="M313" s="8" t="s">
        <v>83</v>
      </c>
      <c r="N313" s="12">
        <v>1.5222607609765904E-2</v>
      </c>
      <c r="O313" s="8" t="s">
        <v>61</v>
      </c>
    </row>
    <row r="314" spans="2:15" x14ac:dyDescent="0.45">
      <c r="B314" s="9" t="s">
        <v>107</v>
      </c>
      <c r="C314" s="9" t="s">
        <v>84</v>
      </c>
      <c r="D314" s="11">
        <v>6.9963209379944186E-2</v>
      </c>
      <c r="E314" s="9" t="s">
        <v>61</v>
      </c>
      <c r="G314" s="9" t="s">
        <v>127</v>
      </c>
      <c r="H314" s="9" t="s">
        <v>84</v>
      </c>
      <c r="I314" s="13">
        <v>1.1093412790955421E-2</v>
      </c>
      <c r="J314" s="9" t="s">
        <v>61</v>
      </c>
      <c r="L314" s="9" t="s">
        <v>147</v>
      </c>
      <c r="M314" s="9" t="s">
        <v>84</v>
      </c>
      <c r="N314" s="13">
        <v>1.512080948737817E-2</v>
      </c>
      <c r="O314" s="9" t="s">
        <v>61</v>
      </c>
    </row>
    <row r="315" spans="2:15" x14ac:dyDescent="0.45">
      <c r="B315" s="8" t="s">
        <v>107</v>
      </c>
      <c r="C315" s="8" t="s">
        <v>85</v>
      </c>
      <c r="D315" s="10">
        <v>7.0888946240161288E-2</v>
      </c>
      <c r="E315" s="8" t="s">
        <v>61</v>
      </c>
      <c r="G315" s="8" t="s">
        <v>127</v>
      </c>
      <c r="H315" s="8" t="s">
        <v>85</v>
      </c>
      <c r="I315" s="12">
        <v>1.0425227599571584E-2</v>
      </c>
      <c r="J315" s="8" t="s">
        <v>61</v>
      </c>
      <c r="L315" s="8" t="s">
        <v>147</v>
      </c>
      <c r="M315" s="8" t="s">
        <v>85</v>
      </c>
      <c r="N315" s="12">
        <v>1.3439949153562803E-2</v>
      </c>
      <c r="O315" s="8" t="s">
        <v>61</v>
      </c>
    </row>
    <row r="316" spans="2:15" x14ac:dyDescent="0.45">
      <c r="B316" s="9" t="s">
        <v>107</v>
      </c>
      <c r="C316" s="9" t="s">
        <v>86</v>
      </c>
      <c r="D316" s="11">
        <v>6.8362106309710735E-2</v>
      </c>
      <c r="E316" s="9" t="s">
        <v>61</v>
      </c>
      <c r="G316" s="9" t="s">
        <v>127</v>
      </c>
      <c r="H316" s="9" t="s">
        <v>86</v>
      </c>
      <c r="I316" s="13">
        <v>1.2626088278931762E-2</v>
      </c>
      <c r="J316" s="9" t="s">
        <v>61</v>
      </c>
      <c r="L316" s="9" t="s">
        <v>147</v>
      </c>
      <c r="M316" s="9" t="s">
        <v>86</v>
      </c>
      <c r="N316" s="13">
        <v>1.3685480381989112E-2</v>
      </c>
      <c r="O316" s="9" t="s">
        <v>61</v>
      </c>
    </row>
    <row r="317" spans="2:15" x14ac:dyDescent="0.45">
      <c r="B317" s="8" t="s">
        <v>107</v>
      </c>
      <c r="C317" s="8" t="s">
        <v>87</v>
      </c>
      <c r="D317" s="10">
        <v>6.1424937833626105E-2</v>
      </c>
      <c r="E317" s="8" t="s">
        <v>61</v>
      </c>
      <c r="G317" s="8" t="s">
        <v>127</v>
      </c>
      <c r="H317" s="8" t="s">
        <v>87</v>
      </c>
      <c r="I317" s="12">
        <v>1.4450518449902755E-2</v>
      </c>
      <c r="J317" s="8" t="s">
        <v>61</v>
      </c>
      <c r="L317" s="8" t="s">
        <v>147</v>
      </c>
      <c r="M317" s="8" t="s">
        <v>87</v>
      </c>
      <c r="N317" s="12">
        <v>1.4816159933610074E-2</v>
      </c>
      <c r="O317" s="8" t="s">
        <v>61</v>
      </c>
    </row>
    <row r="318" spans="2:15" x14ac:dyDescent="0.45">
      <c r="B318" s="9" t="s">
        <v>107</v>
      </c>
      <c r="C318" s="9" t="s">
        <v>88</v>
      </c>
      <c r="D318" s="11">
        <v>4.2076146882246375E-2</v>
      </c>
      <c r="E318" s="9" t="s">
        <v>61</v>
      </c>
      <c r="G318" s="9" t="s">
        <v>127</v>
      </c>
      <c r="H318" s="9" t="s">
        <v>88</v>
      </c>
      <c r="I318" s="13">
        <v>1.2864734857849301E-2</v>
      </c>
      <c r="J318" s="9" t="s">
        <v>61</v>
      </c>
      <c r="L318" s="9" t="s">
        <v>147</v>
      </c>
      <c r="M318" s="9" t="s">
        <v>88</v>
      </c>
      <c r="N318" s="13">
        <v>1.6149569997628021E-2</v>
      </c>
      <c r="O318" s="9" t="s">
        <v>61</v>
      </c>
    </row>
    <row r="319" spans="2:15" x14ac:dyDescent="0.45">
      <c r="B319" s="8" t="s">
        <v>107</v>
      </c>
      <c r="C319" s="8" t="s">
        <v>89</v>
      </c>
      <c r="D319" s="10">
        <v>1.459763005683596E-2</v>
      </c>
      <c r="E319" s="8" t="s">
        <v>61</v>
      </c>
      <c r="G319" s="8" t="s">
        <v>127</v>
      </c>
      <c r="H319" s="8" t="s">
        <v>89</v>
      </c>
      <c r="I319" s="12">
        <v>1.2351765425129146E-2</v>
      </c>
      <c r="J319" s="8" t="s">
        <v>61</v>
      </c>
      <c r="L319" s="8" t="s">
        <v>147</v>
      </c>
      <c r="M319" s="8" t="s">
        <v>89</v>
      </c>
      <c r="N319" s="12">
        <v>1.7381218704031476E-2</v>
      </c>
      <c r="O319" s="8" t="s">
        <v>61</v>
      </c>
    </row>
    <row r="320" spans="2:15" x14ac:dyDescent="0.45">
      <c r="B320" s="9" t="s">
        <v>107</v>
      </c>
      <c r="C320" s="9" t="s">
        <v>90</v>
      </c>
      <c r="D320" s="11">
        <v>0</v>
      </c>
      <c r="E320" s="9" t="s">
        <v>61</v>
      </c>
      <c r="G320" s="9" t="s">
        <v>127</v>
      </c>
      <c r="H320" s="9" t="s">
        <v>90</v>
      </c>
      <c r="I320" s="13">
        <v>1.9603717351372722E-2</v>
      </c>
      <c r="J320" s="9" t="s">
        <v>61</v>
      </c>
      <c r="L320" s="9" t="s">
        <v>147</v>
      </c>
      <c r="M320" s="9" t="s">
        <v>90</v>
      </c>
      <c r="N320" s="13">
        <v>2.5629013091440694E-2</v>
      </c>
      <c r="O320" s="9" t="s">
        <v>61</v>
      </c>
    </row>
    <row r="321" spans="2:15" x14ac:dyDescent="0.45">
      <c r="B321" s="8" t="s">
        <v>107</v>
      </c>
      <c r="C321" s="8" t="s">
        <v>91</v>
      </c>
      <c r="D321" s="10">
        <v>0</v>
      </c>
      <c r="E321" s="8" t="s">
        <v>61</v>
      </c>
      <c r="G321" s="8" t="s">
        <v>127</v>
      </c>
      <c r="H321" s="8" t="s">
        <v>91</v>
      </c>
      <c r="I321" s="12">
        <v>5.7998882115390345E-2</v>
      </c>
      <c r="J321" s="8" t="s">
        <v>61</v>
      </c>
      <c r="L321" s="8" t="s">
        <v>147</v>
      </c>
      <c r="M321" s="8" t="s">
        <v>91</v>
      </c>
      <c r="N321" s="12">
        <v>5.3603017608751684E-2</v>
      </c>
      <c r="O321" s="8" t="s">
        <v>61</v>
      </c>
    </row>
    <row r="322" spans="2:15" x14ac:dyDescent="0.45">
      <c r="B322" s="9" t="s">
        <v>107</v>
      </c>
      <c r="C322" s="9" t="s">
        <v>92</v>
      </c>
      <c r="D322" s="11">
        <v>1.1185722040361651E-3</v>
      </c>
      <c r="E322" s="9" t="s">
        <v>61</v>
      </c>
      <c r="G322" s="9" t="s">
        <v>127</v>
      </c>
      <c r="H322" s="9" t="s">
        <v>92</v>
      </c>
      <c r="I322" s="13">
        <v>2.2230944859740209E-2</v>
      </c>
      <c r="J322" s="9" t="s">
        <v>61</v>
      </c>
      <c r="L322" s="9" t="s">
        <v>147</v>
      </c>
      <c r="M322" s="9" t="s">
        <v>92</v>
      </c>
      <c r="N322" s="13">
        <v>2.0849430705620668E-2</v>
      </c>
      <c r="O322" s="9" t="s">
        <v>61</v>
      </c>
    </row>
    <row r="323" spans="2:15" x14ac:dyDescent="0.45">
      <c r="B323" s="8" t="s">
        <v>107</v>
      </c>
      <c r="C323" s="8" t="s">
        <v>93</v>
      </c>
      <c r="D323" s="10">
        <v>1.6146538948219439E-2</v>
      </c>
      <c r="E323" s="8" t="s">
        <v>61</v>
      </c>
      <c r="G323" s="8" t="s">
        <v>127</v>
      </c>
      <c r="H323" s="8" t="s">
        <v>93</v>
      </c>
      <c r="I323" s="12">
        <v>2.1290857716777668E-2</v>
      </c>
      <c r="J323" s="8" t="s">
        <v>61</v>
      </c>
      <c r="L323" s="8" t="s">
        <v>147</v>
      </c>
      <c r="M323" s="8" t="s">
        <v>93</v>
      </c>
      <c r="N323" s="12">
        <v>2.165182793237571E-2</v>
      </c>
      <c r="O323" s="8" t="s">
        <v>61</v>
      </c>
    </row>
    <row r="324" spans="2:15" x14ac:dyDescent="0.45">
      <c r="B324" s="9" t="s">
        <v>107</v>
      </c>
      <c r="C324" s="9" t="s">
        <v>94</v>
      </c>
      <c r="D324" s="11">
        <v>3.424522582615433E-2</v>
      </c>
      <c r="E324" s="9" t="s">
        <v>61</v>
      </c>
      <c r="G324" s="9" t="s">
        <v>127</v>
      </c>
      <c r="H324" s="9" t="s">
        <v>94</v>
      </c>
      <c r="I324" s="13">
        <v>2.0740292199176287E-2</v>
      </c>
      <c r="J324" s="9" t="s">
        <v>61</v>
      </c>
      <c r="L324" s="9" t="s">
        <v>147</v>
      </c>
      <c r="M324" s="9" t="s">
        <v>94</v>
      </c>
      <c r="N324" s="13">
        <v>2.1967964031035733E-2</v>
      </c>
      <c r="O324" s="9" t="s">
        <v>61</v>
      </c>
    </row>
    <row r="325" spans="2:15" x14ac:dyDescent="0.45">
      <c r="B325" s="8" t="s">
        <v>107</v>
      </c>
      <c r="C325" s="8" t="s">
        <v>95</v>
      </c>
      <c r="D325" s="10">
        <v>3.6422019652013603E-2</v>
      </c>
      <c r="E325" s="8" t="s">
        <v>61</v>
      </c>
      <c r="G325" s="8" t="s">
        <v>127</v>
      </c>
      <c r="H325" s="8" t="s">
        <v>95</v>
      </c>
      <c r="I325" s="12">
        <v>2.0110171528704958E-2</v>
      </c>
      <c r="J325" s="8" t="s">
        <v>61</v>
      </c>
      <c r="L325" s="8" t="s">
        <v>147</v>
      </c>
      <c r="M325" s="8" t="s">
        <v>95</v>
      </c>
      <c r="N325" s="12">
        <v>2.1345804446633324E-2</v>
      </c>
      <c r="O325" s="8" t="s">
        <v>61</v>
      </c>
    </row>
    <row r="326" spans="2:15" x14ac:dyDescent="0.45">
      <c r="B326" s="9" t="s">
        <v>107</v>
      </c>
      <c r="C326" s="9" t="s">
        <v>96</v>
      </c>
      <c r="D326" s="11">
        <v>3.5597172549850835E-2</v>
      </c>
      <c r="E326" s="9" t="s">
        <v>61</v>
      </c>
      <c r="G326" s="9" t="s">
        <v>127</v>
      </c>
      <c r="H326" s="9" t="s">
        <v>96</v>
      </c>
      <c r="I326" s="13">
        <v>2.0587768664636137E-2</v>
      </c>
      <c r="J326" s="9" t="s">
        <v>61</v>
      </c>
      <c r="L326" s="9" t="s">
        <v>147</v>
      </c>
      <c r="M326" s="9" t="s">
        <v>96</v>
      </c>
      <c r="N326" s="13">
        <v>2.0735803413539387E-2</v>
      </c>
      <c r="O326" s="9" t="s">
        <v>61</v>
      </c>
    </row>
    <row r="327" spans="2:15" x14ac:dyDescent="0.45">
      <c r="B327" s="8" t="s">
        <v>107</v>
      </c>
      <c r="C327" s="8" t="s">
        <v>97</v>
      </c>
      <c r="D327" s="10">
        <v>2.4265692790375076E-2</v>
      </c>
      <c r="E327" s="8" t="s">
        <v>61</v>
      </c>
      <c r="G327" s="8" t="s">
        <v>127</v>
      </c>
      <c r="H327" s="8" t="s">
        <v>97</v>
      </c>
      <c r="I327" s="12">
        <v>2.1146084770027874E-2</v>
      </c>
      <c r="J327" s="8" t="s">
        <v>61</v>
      </c>
      <c r="L327" s="8" t="s">
        <v>147</v>
      </c>
      <c r="M327" s="8" t="s">
        <v>97</v>
      </c>
      <c r="N327" s="12">
        <v>2.0899067706153424E-2</v>
      </c>
      <c r="O327" s="8" t="s">
        <v>61</v>
      </c>
    </row>
    <row r="328" spans="2:15" x14ac:dyDescent="0.45">
      <c r="B328" s="9" t="s">
        <v>107</v>
      </c>
      <c r="C328" s="9" t="s">
        <v>98</v>
      </c>
      <c r="D328" s="11">
        <v>7.4365236602778849E-3</v>
      </c>
      <c r="E328" s="9" t="s">
        <v>61</v>
      </c>
      <c r="G328" s="9" t="s">
        <v>127</v>
      </c>
      <c r="H328" s="9" t="s">
        <v>98</v>
      </c>
      <c r="I328" s="13">
        <v>2.2893132162487048E-2</v>
      </c>
      <c r="J328" s="9" t="s">
        <v>61</v>
      </c>
      <c r="L328" s="9" t="s">
        <v>147</v>
      </c>
      <c r="M328" s="9" t="s">
        <v>98</v>
      </c>
      <c r="N328" s="13">
        <v>2.2436996408549174E-2</v>
      </c>
      <c r="O328" s="9" t="s">
        <v>61</v>
      </c>
    </row>
    <row r="329" spans="2:15" x14ac:dyDescent="0.45">
      <c r="B329" s="8" t="s">
        <v>107</v>
      </c>
      <c r="C329" s="8" t="s">
        <v>99</v>
      </c>
      <c r="D329" s="10">
        <v>0</v>
      </c>
      <c r="E329" s="8" t="s">
        <v>61</v>
      </c>
      <c r="G329" s="8" t="s">
        <v>127</v>
      </c>
      <c r="H329" s="8" t="s">
        <v>99</v>
      </c>
      <c r="I329" s="12">
        <v>2.3956627242801749E-2</v>
      </c>
      <c r="J329" s="8" t="s">
        <v>61</v>
      </c>
      <c r="L329" s="8" t="s">
        <v>147</v>
      </c>
      <c r="M329" s="8" t="s">
        <v>99</v>
      </c>
      <c r="N329" s="12">
        <v>2.3645209620378776E-2</v>
      </c>
      <c r="O329" s="8" t="s">
        <v>61</v>
      </c>
    </row>
    <row r="330" spans="2:15" x14ac:dyDescent="0.45">
      <c r="B330" s="9" t="s">
        <v>107</v>
      </c>
      <c r="C330" s="9" t="s">
        <v>100</v>
      </c>
      <c r="D330" s="11">
        <v>0</v>
      </c>
      <c r="E330" s="9" t="s">
        <v>61</v>
      </c>
      <c r="G330" s="9" t="s">
        <v>127</v>
      </c>
      <c r="H330" s="9" t="s">
        <v>100</v>
      </c>
      <c r="I330" s="13">
        <v>3.6311558464317086E-2</v>
      </c>
      <c r="J330" s="9" t="s">
        <v>61</v>
      </c>
      <c r="L330" s="9" t="s">
        <v>147</v>
      </c>
      <c r="M330" s="9" t="s">
        <v>100</v>
      </c>
      <c r="N330" s="13">
        <v>3.4842414090491144E-2</v>
      </c>
      <c r="O330" s="9" t="s">
        <v>61</v>
      </c>
    </row>
    <row r="331" spans="2:15" x14ac:dyDescent="0.45">
      <c r="B331" s="8" t="s">
        <v>108</v>
      </c>
      <c r="C331" s="8" t="s">
        <v>60</v>
      </c>
      <c r="D331" s="10">
        <v>0</v>
      </c>
      <c r="E331" s="8" t="s">
        <v>61</v>
      </c>
      <c r="G331" s="8" t="s">
        <v>128</v>
      </c>
      <c r="H331" s="8" t="s">
        <v>60</v>
      </c>
      <c r="I331" s="12">
        <v>7.1235397562924491E-2</v>
      </c>
      <c r="J331" s="8" t="s">
        <v>61</v>
      </c>
      <c r="L331" s="8" t="s">
        <v>148</v>
      </c>
      <c r="M331" s="8" t="s">
        <v>60</v>
      </c>
      <c r="N331" s="12">
        <v>5.8656698682903088E-2</v>
      </c>
      <c r="O331" s="8" t="s">
        <v>61</v>
      </c>
    </row>
    <row r="332" spans="2:15" x14ac:dyDescent="0.45">
      <c r="B332" s="9" t="s">
        <v>108</v>
      </c>
      <c r="C332" s="9" t="s">
        <v>62</v>
      </c>
      <c r="D332" s="11">
        <v>0</v>
      </c>
      <c r="E332" s="9" t="s">
        <v>61</v>
      </c>
      <c r="G332" s="9" t="s">
        <v>128</v>
      </c>
      <c r="H332" s="9" t="s">
        <v>62</v>
      </c>
      <c r="I332" s="13">
        <v>2.798679000754957E-2</v>
      </c>
      <c r="J332" s="9" t="s">
        <v>61</v>
      </c>
      <c r="L332" s="9" t="s">
        <v>148</v>
      </c>
      <c r="M332" s="9" t="s">
        <v>62</v>
      </c>
      <c r="N332" s="13">
        <v>2.4171387440433369E-2</v>
      </c>
      <c r="O332" s="9" t="s">
        <v>61</v>
      </c>
    </row>
    <row r="333" spans="2:15" x14ac:dyDescent="0.45">
      <c r="B333" s="8" t="s">
        <v>108</v>
      </c>
      <c r="C333" s="8" t="s">
        <v>63</v>
      </c>
      <c r="D333" s="10">
        <v>1.6093669346959655E-3</v>
      </c>
      <c r="E333" s="8" t="s">
        <v>61</v>
      </c>
      <c r="G333" s="8" t="s">
        <v>128</v>
      </c>
      <c r="H333" s="8" t="s">
        <v>63</v>
      </c>
      <c r="I333" s="12">
        <v>2.8416765396465656E-2</v>
      </c>
      <c r="J333" s="8" t="s">
        <v>61</v>
      </c>
      <c r="L333" s="8" t="s">
        <v>148</v>
      </c>
      <c r="M333" s="8" t="s">
        <v>63</v>
      </c>
      <c r="N333" s="12">
        <v>2.430580035148644E-2</v>
      </c>
      <c r="O333" s="8" t="s">
        <v>61</v>
      </c>
    </row>
    <row r="334" spans="2:15" x14ac:dyDescent="0.45">
      <c r="B334" s="9" t="s">
        <v>108</v>
      </c>
      <c r="C334" s="9" t="s">
        <v>64</v>
      </c>
      <c r="D334" s="11">
        <v>1.6840600920545273E-2</v>
      </c>
      <c r="E334" s="9" t="s">
        <v>61</v>
      </c>
      <c r="G334" s="9" t="s">
        <v>128</v>
      </c>
      <c r="H334" s="9" t="s">
        <v>64</v>
      </c>
      <c r="I334" s="13">
        <v>2.8206268567462729E-2</v>
      </c>
      <c r="J334" s="9" t="s">
        <v>61</v>
      </c>
      <c r="L334" s="9" t="s">
        <v>148</v>
      </c>
      <c r="M334" s="9" t="s">
        <v>64</v>
      </c>
      <c r="N334" s="13">
        <v>2.3879693217866566E-2</v>
      </c>
      <c r="O334" s="9" t="s">
        <v>61</v>
      </c>
    </row>
    <row r="335" spans="2:15" x14ac:dyDescent="0.45">
      <c r="B335" s="8" t="s">
        <v>108</v>
      </c>
      <c r="C335" s="8" t="s">
        <v>65</v>
      </c>
      <c r="D335" s="10">
        <v>2.4728767875628579E-2</v>
      </c>
      <c r="E335" s="8" t="s">
        <v>61</v>
      </c>
      <c r="G335" s="8" t="s">
        <v>128</v>
      </c>
      <c r="H335" s="8" t="s">
        <v>65</v>
      </c>
      <c r="I335" s="12">
        <v>2.5969916677048156E-2</v>
      </c>
      <c r="J335" s="8" t="s">
        <v>61</v>
      </c>
      <c r="L335" s="8" t="s">
        <v>148</v>
      </c>
      <c r="M335" s="8" t="s">
        <v>65</v>
      </c>
      <c r="N335" s="12">
        <v>2.4669841430404685E-2</v>
      </c>
      <c r="O335" s="8" t="s">
        <v>61</v>
      </c>
    </row>
    <row r="336" spans="2:15" x14ac:dyDescent="0.45">
      <c r="B336" s="9" t="s">
        <v>108</v>
      </c>
      <c r="C336" s="9" t="s">
        <v>66</v>
      </c>
      <c r="D336" s="11">
        <v>2.4928638135992959E-2</v>
      </c>
      <c r="E336" s="9" t="s">
        <v>61</v>
      </c>
      <c r="G336" s="9" t="s">
        <v>128</v>
      </c>
      <c r="H336" s="9" t="s">
        <v>66</v>
      </c>
      <c r="I336" s="13">
        <v>2.5989493773323335E-2</v>
      </c>
      <c r="J336" s="9" t="s">
        <v>61</v>
      </c>
      <c r="L336" s="9" t="s">
        <v>148</v>
      </c>
      <c r="M336" s="9" t="s">
        <v>66</v>
      </c>
      <c r="N336" s="13">
        <v>2.47342455022206E-2</v>
      </c>
      <c r="O336" s="9" t="s">
        <v>61</v>
      </c>
    </row>
    <row r="337" spans="2:15" x14ac:dyDescent="0.45">
      <c r="B337" s="8" t="s">
        <v>108</v>
      </c>
      <c r="C337" s="8" t="s">
        <v>67</v>
      </c>
      <c r="D337" s="10">
        <v>1.0294082498933634E-2</v>
      </c>
      <c r="E337" s="8" t="s">
        <v>61</v>
      </c>
      <c r="G337" s="8" t="s">
        <v>128</v>
      </c>
      <c r="H337" s="8" t="s">
        <v>67</v>
      </c>
      <c r="I337" s="12">
        <v>2.7074452913187119E-2</v>
      </c>
      <c r="J337" s="8" t="s">
        <v>61</v>
      </c>
      <c r="L337" s="8" t="s">
        <v>148</v>
      </c>
      <c r="M337" s="8" t="s">
        <v>67</v>
      </c>
      <c r="N337" s="12">
        <v>2.553808006042535E-2</v>
      </c>
      <c r="O337" s="8" t="s">
        <v>61</v>
      </c>
    </row>
    <row r="338" spans="2:15" x14ac:dyDescent="0.45">
      <c r="B338" s="9" t="s">
        <v>108</v>
      </c>
      <c r="C338" s="9" t="s">
        <v>68</v>
      </c>
      <c r="D338" s="11">
        <v>6.6823857694563637E-4</v>
      </c>
      <c r="E338" s="9" t="s">
        <v>61</v>
      </c>
      <c r="G338" s="9" t="s">
        <v>128</v>
      </c>
      <c r="H338" s="9" t="s">
        <v>68</v>
      </c>
      <c r="I338" s="13">
        <v>2.8817673434862634E-2</v>
      </c>
      <c r="J338" s="9" t="s">
        <v>61</v>
      </c>
      <c r="L338" s="9" t="s">
        <v>148</v>
      </c>
      <c r="M338" s="9" t="s">
        <v>68</v>
      </c>
      <c r="N338" s="13">
        <v>2.5872567994200492E-2</v>
      </c>
      <c r="O338" s="9" t="s">
        <v>61</v>
      </c>
    </row>
    <row r="339" spans="2:15" x14ac:dyDescent="0.45">
      <c r="B339" s="8" t="s">
        <v>108</v>
      </c>
      <c r="C339" s="8" t="s">
        <v>69</v>
      </c>
      <c r="D339" s="10">
        <v>0</v>
      </c>
      <c r="E339" s="8" t="s">
        <v>61</v>
      </c>
      <c r="G339" s="8" t="s">
        <v>128</v>
      </c>
      <c r="H339" s="8" t="s">
        <v>69</v>
      </c>
      <c r="I339" s="12">
        <v>2.9316001470943411E-2</v>
      </c>
      <c r="J339" s="8" t="s">
        <v>61</v>
      </c>
      <c r="L339" s="8" t="s">
        <v>148</v>
      </c>
      <c r="M339" s="8" t="s">
        <v>69</v>
      </c>
      <c r="N339" s="12">
        <v>2.5625694081044377E-2</v>
      </c>
      <c r="O339" s="8" t="s">
        <v>61</v>
      </c>
    </row>
    <row r="340" spans="2:15" x14ac:dyDescent="0.45">
      <c r="B340" s="9" t="s">
        <v>108</v>
      </c>
      <c r="C340" s="9" t="s">
        <v>70</v>
      </c>
      <c r="D340" s="11">
        <v>0</v>
      </c>
      <c r="E340" s="9" t="s">
        <v>61</v>
      </c>
      <c r="G340" s="9" t="s">
        <v>128</v>
      </c>
      <c r="H340" s="9" t="s">
        <v>70</v>
      </c>
      <c r="I340" s="13">
        <v>4.383617763080376E-2</v>
      </c>
      <c r="J340" s="9" t="s">
        <v>61</v>
      </c>
      <c r="L340" s="9" t="s">
        <v>148</v>
      </c>
      <c r="M340" s="9" t="s">
        <v>70</v>
      </c>
      <c r="N340" s="13">
        <v>3.662540049544305E-2</v>
      </c>
      <c r="O340" s="9" t="s">
        <v>61</v>
      </c>
    </row>
    <row r="341" spans="2:15" x14ac:dyDescent="0.45">
      <c r="B341" s="8" t="s">
        <v>108</v>
      </c>
      <c r="C341" s="8" t="s">
        <v>71</v>
      </c>
      <c r="D341" s="10">
        <v>1.1824381343060884E-4</v>
      </c>
      <c r="E341" s="8" t="s">
        <v>61</v>
      </c>
      <c r="G341" s="8" t="s">
        <v>128</v>
      </c>
      <c r="H341" s="8" t="s">
        <v>71</v>
      </c>
      <c r="I341" s="12">
        <v>5.5571725250117547E-2</v>
      </c>
      <c r="J341" s="8" t="s">
        <v>61</v>
      </c>
      <c r="L341" s="8" t="s">
        <v>148</v>
      </c>
      <c r="M341" s="8" t="s">
        <v>71</v>
      </c>
      <c r="N341" s="12">
        <v>5.7522238580723112E-2</v>
      </c>
      <c r="O341" s="8" t="s">
        <v>61</v>
      </c>
    </row>
    <row r="342" spans="2:15" x14ac:dyDescent="0.45">
      <c r="B342" s="9" t="s">
        <v>108</v>
      </c>
      <c r="C342" s="9" t="s">
        <v>72</v>
      </c>
      <c r="D342" s="11">
        <v>1.6008481729749058E-2</v>
      </c>
      <c r="E342" s="9" t="s">
        <v>61</v>
      </c>
      <c r="G342" s="9" t="s">
        <v>128</v>
      </c>
      <c r="H342" s="9" t="s">
        <v>72</v>
      </c>
      <c r="I342" s="13">
        <v>2.1727760126475607E-2</v>
      </c>
      <c r="J342" s="9" t="s">
        <v>61</v>
      </c>
      <c r="L342" s="9" t="s">
        <v>148</v>
      </c>
      <c r="M342" s="9" t="s">
        <v>72</v>
      </c>
      <c r="N342" s="13">
        <v>2.1809174310359523E-2</v>
      </c>
      <c r="O342" s="9" t="s">
        <v>61</v>
      </c>
    </row>
    <row r="343" spans="2:15" x14ac:dyDescent="0.45">
      <c r="B343" s="8" t="s">
        <v>108</v>
      </c>
      <c r="C343" s="8" t="s">
        <v>73</v>
      </c>
      <c r="D343" s="10">
        <v>4.9736115956566809E-2</v>
      </c>
      <c r="E343" s="8" t="s">
        <v>61</v>
      </c>
      <c r="G343" s="8" t="s">
        <v>128</v>
      </c>
      <c r="H343" s="8" t="s">
        <v>73</v>
      </c>
      <c r="I343" s="12">
        <v>1.8358572094364707E-2</v>
      </c>
      <c r="J343" s="8" t="s">
        <v>61</v>
      </c>
      <c r="L343" s="8" t="s">
        <v>148</v>
      </c>
      <c r="M343" s="8" t="s">
        <v>73</v>
      </c>
      <c r="N343" s="12">
        <v>2.1392338330491565E-2</v>
      </c>
      <c r="O343" s="8" t="s">
        <v>61</v>
      </c>
    </row>
    <row r="344" spans="2:15" x14ac:dyDescent="0.45">
      <c r="B344" s="9" t="s">
        <v>108</v>
      </c>
      <c r="C344" s="9" t="s">
        <v>74</v>
      </c>
      <c r="D344" s="11">
        <v>6.8740308620517082E-2</v>
      </c>
      <c r="E344" s="9" t="s">
        <v>61</v>
      </c>
      <c r="G344" s="9" t="s">
        <v>128</v>
      </c>
      <c r="H344" s="9" t="s">
        <v>74</v>
      </c>
      <c r="I344" s="13">
        <v>1.7559513414817089E-2</v>
      </c>
      <c r="J344" s="9" t="s">
        <v>61</v>
      </c>
      <c r="L344" s="9" t="s">
        <v>148</v>
      </c>
      <c r="M344" s="9" t="s">
        <v>74</v>
      </c>
      <c r="N344" s="13">
        <v>2.1326410395477849E-2</v>
      </c>
      <c r="O344" s="9" t="s">
        <v>61</v>
      </c>
    </row>
    <row r="345" spans="2:15" x14ac:dyDescent="0.45">
      <c r="B345" s="8" t="s">
        <v>108</v>
      </c>
      <c r="C345" s="8" t="s">
        <v>75</v>
      </c>
      <c r="D345" s="10">
        <v>6.9261486443997919E-2</v>
      </c>
      <c r="E345" s="8" t="s">
        <v>61</v>
      </c>
      <c r="G345" s="8" t="s">
        <v>128</v>
      </c>
      <c r="H345" s="8" t="s">
        <v>75</v>
      </c>
      <c r="I345" s="12">
        <v>1.6955104369326422E-2</v>
      </c>
      <c r="J345" s="8" t="s">
        <v>61</v>
      </c>
      <c r="L345" s="8" t="s">
        <v>148</v>
      </c>
      <c r="M345" s="8" t="s">
        <v>75</v>
      </c>
      <c r="N345" s="12">
        <v>2.0585111975701221E-2</v>
      </c>
      <c r="O345" s="8" t="s">
        <v>61</v>
      </c>
    </row>
    <row r="346" spans="2:15" x14ac:dyDescent="0.45">
      <c r="B346" s="9" t="s">
        <v>108</v>
      </c>
      <c r="C346" s="9" t="s">
        <v>76</v>
      </c>
      <c r="D346" s="11">
        <v>6.6573873467286507E-2</v>
      </c>
      <c r="E346" s="9" t="s">
        <v>61</v>
      </c>
      <c r="G346" s="9" t="s">
        <v>128</v>
      </c>
      <c r="H346" s="9" t="s">
        <v>76</v>
      </c>
      <c r="I346" s="13">
        <v>1.8656769602933759E-2</v>
      </c>
      <c r="J346" s="9" t="s">
        <v>61</v>
      </c>
      <c r="L346" s="9" t="s">
        <v>148</v>
      </c>
      <c r="M346" s="9" t="s">
        <v>76</v>
      </c>
      <c r="N346" s="13">
        <v>2.088930658471843E-2</v>
      </c>
      <c r="O346" s="9" t="s">
        <v>61</v>
      </c>
    </row>
    <row r="347" spans="2:15" x14ac:dyDescent="0.45">
      <c r="B347" s="8" t="s">
        <v>108</v>
      </c>
      <c r="C347" s="8" t="s">
        <v>77</v>
      </c>
      <c r="D347" s="10">
        <v>5.25093141888196E-2</v>
      </c>
      <c r="E347" s="8" t="s">
        <v>61</v>
      </c>
      <c r="G347" s="8" t="s">
        <v>128</v>
      </c>
      <c r="H347" s="8" t="s">
        <v>77</v>
      </c>
      <c r="I347" s="12">
        <v>1.8621828237070853E-2</v>
      </c>
      <c r="J347" s="8" t="s">
        <v>61</v>
      </c>
      <c r="L347" s="8" t="s">
        <v>148</v>
      </c>
      <c r="M347" s="8" t="s">
        <v>77</v>
      </c>
      <c r="N347" s="12">
        <v>2.1757386859638298E-2</v>
      </c>
      <c r="O347" s="8" t="s">
        <v>61</v>
      </c>
    </row>
    <row r="348" spans="2:15" x14ac:dyDescent="0.45">
      <c r="B348" s="9" t="s">
        <v>108</v>
      </c>
      <c r="C348" s="9" t="s">
        <v>78</v>
      </c>
      <c r="D348" s="11">
        <v>2.6217700182756404E-2</v>
      </c>
      <c r="E348" s="9" t="s">
        <v>61</v>
      </c>
      <c r="G348" s="9" t="s">
        <v>128</v>
      </c>
      <c r="H348" s="9" t="s">
        <v>78</v>
      </c>
      <c r="I348" s="13">
        <v>1.9434115129861197E-2</v>
      </c>
      <c r="J348" s="9" t="s">
        <v>61</v>
      </c>
      <c r="L348" s="9" t="s">
        <v>148</v>
      </c>
      <c r="M348" s="9" t="s">
        <v>78</v>
      </c>
      <c r="N348" s="13">
        <v>2.2373445209102814E-2</v>
      </c>
      <c r="O348" s="9" t="s">
        <v>61</v>
      </c>
    </row>
    <row r="349" spans="2:15" x14ac:dyDescent="0.45">
      <c r="B349" s="8" t="s">
        <v>108</v>
      </c>
      <c r="C349" s="8" t="s">
        <v>79</v>
      </c>
      <c r="D349" s="10">
        <v>2.6108989690189098E-3</v>
      </c>
      <c r="E349" s="8" t="s">
        <v>61</v>
      </c>
      <c r="G349" s="8" t="s">
        <v>128</v>
      </c>
      <c r="H349" s="8" t="s">
        <v>79</v>
      </c>
      <c r="I349" s="12">
        <v>2.1899959554638675E-2</v>
      </c>
      <c r="J349" s="8" t="s">
        <v>61</v>
      </c>
      <c r="L349" s="8" t="s">
        <v>148</v>
      </c>
      <c r="M349" s="8" t="s">
        <v>79</v>
      </c>
      <c r="N349" s="12">
        <v>2.3243228382137451E-2</v>
      </c>
      <c r="O349" s="8" t="s">
        <v>61</v>
      </c>
    </row>
    <row r="350" spans="2:15" x14ac:dyDescent="0.45">
      <c r="B350" s="9" t="s">
        <v>108</v>
      </c>
      <c r="C350" s="9" t="s">
        <v>80</v>
      </c>
      <c r="D350" s="11">
        <v>0</v>
      </c>
      <c r="E350" s="9" t="s">
        <v>61</v>
      </c>
      <c r="G350" s="9" t="s">
        <v>128</v>
      </c>
      <c r="H350" s="9" t="s">
        <v>80</v>
      </c>
      <c r="I350" s="13">
        <v>3.4820127585294791E-2</v>
      </c>
      <c r="J350" s="9" t="s">
        <v>61</v>
      </c>
      <c r="L350" s="9" t="s">
        <v>148</v>
      </c>
      <c r="M350" s="9" t="s">
        <v>80</v>
      </c>
      <c r="N350" s="13">
        <v>3.5414646128958699E-2</v>
      </c>
      <c r="O350" s="9" t="s">
        <v>61</v>
      </c>
    </row>
    <row r="351" spans="2:15" x14ac:dyDescent="0.45">
      <c r="B351" s="8" t="s">
        <v>108</v>
      </c>
      <c r="C351" s="8" t="s">
        <v>81</v>
      </c>
      <c r="D351" s="10">
        <v>1.7198913470912027E-3</v>
      </c>
      <c r="E351" s="8" t="s">
        <v>61</v>
      </c>
      <c r="G351" s="8" t="s">
        <v>128</v>
      </c>
      <c r="H351" s="8" t="s">
        <v>81</v>
      </c>
      <c r="I351" s="12">
        <v>3.1693728483568308E-2</v>
      </c>
      <c r="J351" s="8" t="s">
        <v>61</v>
      </c>
      <c r="L351" s="8" t="s">
        <v>148</v>
      </c>
      <c r="M351" s="8" t="s">
        <v>81</v>
      </c>
      <c r="N351" s="12">
        <v>3.9509586214349433E-2</v>
      </c>
      <c r="O351" s="8" t="s">
        <v>61</v>
      </c>
    </row>
    <row r="352" spans="2:15" x14ac:dyDescent="0.45">
      <c r="B352" s="9" t="s">
        <v>108</v>
      </c>
      <c r="C352" s="9" t="s">
        <v>82</v>
      </c>
      <c r="D352" s="11">
        <v>2.8565426835076114E-2</v>
      </c>
      <c r="E352" s="9" t="s">
        <v>61</v>
      </c>
      <c r="G352" s="9" t="s">
        <v>128</v>
      </c>
      <c r="H352" s="9" t="s">
        <v>82</v>
      </c>
      <c r="I352" s="13">
        <v>1.1518282261244689E-2</v>
      </c>
      <c r="J352" s="9" t="s">
        <v>61</v>
      </c>
      <c r="L352" s="9" t="s">
        <v>148</v>
      </c>
      <c r="M352" s="9" t="s">
        <v>82</v>
      </c>
      <c r="N352" s="13">
        <v>1.4717769580619731E-2</v>
      </c>
      <c r="O352" s="9" t="s">
        <v>61</v>
      </c>
    </row>
    <row r="353" spans="2:15" x14ac:dyDescent="0.45">
      <c r="B353" s="8" t="s">
        <v>108</v>
      </c>
      <c r="C353" s="8" t="s">
        <v>83</v>
      </c>
      <c r="D353" s="10">
        <v>6.0566823656041553E-2</v>
      </c>
      <c r="E353" s="8" t="s">
        <v>61</v>
      </c>
      <c r="G353" s="8" t="s">
        <v>128</v>
      </c>
      <c r="H353" s="8" t="s">
        <v>83</v>
      </c>
      <c r="I353" s="12">
        <v>1.0174724413455766E-2</v>
      </c>
      <c r="J353" s="8" t="s">
        <v>61</v>
      </c>
      <c r="L353" s="8" t="s">
        <v>148</v>
      </c>
      <c r="M353" s="8" t="s">
        <v>83</v>
      </c>
      <c r="N353" s="12">
        <v>1.4849804014325441E-2</v>
      </c>
      <c r="O353" s="8" t="s">
        <v>61</v>
      </c>
    </row>
    <row r="354" spans="2:15" x14ac:dyDescent="0.45">
      <c r="B354" s="9" t="s">
        <v>108</v>
      </c>
      <c r="C354" s="9" t="s">
        <v>84</v>
      </c>
      <c r="D354" s="11">
        <v>7.4030355701924941E-2</v>
      </c>
      <c r="E354" s="9" t="s">
        <v>61</v>
      </c>
      <c r="G354" s="9" t="s">
        <v>128</v>
      </c>
      <c r="H354" s="9" t="s">
        <v>84</v>
      </c>
      <c r="I354" s="13">
        <v>1.1215158209815222E-2</v>
      </c>
      <c r="J354" s="9" t="s">
        <v>61</v>
      </c>
      <c r="L354" s="9" t="s">
        <v>148</v>
      </c>
      <c r="M354" s="9" t="s">
        <v>84</v>
      </c>
      <c r="N354" s="13">
        <v>1.4830807923951651E-2</v>
      </c>
      <c r="O354" s="9" t="s">
        <v>61</v>
      </c>
    </row>
    <row r="355" spans="2:15" x14ac:dyDescent="0.45">
      <c r="B355" s="8" t="s">
        <v>108</v>
      </c>
      <c r="C355" s="8" t="s">
        <v>85</v>
      </c>
      <c r="D355" s="10">
        <v>7.2711794046553133E-2</v>
      </c>
      <c r="E355" s="8" t="s">
        <v>61</v>
      </c>
      <c r="G355" s="8" t="s">
        <v>128</v>
      </c>
      <c r="H355" s="8" t="s">
        <v>85</v>
      </c>
      <c r="I355" s="12">
        <v>1.0611557363906563E-2</v>
      </c>
      <c r="J355" s="8" t="s">
        <v>61</v>
      </c>
      <c r="L355" s="8" t="s">
        <v>148</v>
      </c>
      <c r="M355" s="8" t="s">
        <v>85</v>
      </c>
      <c r="N355" s="12">
        <v>1.3155206510253687E-2</v>
      </c>
      <c r="O355" s="8" t="s">
        <v>61</v>
      </c>
    </row>
    <row r="356" spans="2:15" x14ac:dyDescent="0.45">
      <c r="B356" s="9" t="s">
        <v>108</v>
      </c>
      <c r="C356" s="9" t="s">
        <v>86</v>
      </c>
      <c r="D356" s="11">
        <v>6.9393590552996307E-2</v>
      </c>
      <c r="E356" s="9" t="s">
        <v>61</v>
      </c>
      <c r="G356" s="9" t="s">
        <v>128</v>
      </c>
      <c r="H356" s="9" t="s">
        <v>86</v>
      </c>
      <c r="I356" s="13">
        <v>1.3655070178820406E-2</v>
      </c>
      <c r="J356" s="9" t="s">
        <v>61</v>
      </c>
      <c r="L356" s="9" t="s">
        <v>148</v>
      </c>
      <c r="M356" s="9" t="s">
        <v>86</v>
      </c>
      <c r="N356" s="13">
        <v>1.3801384280653143E-2</v>
      </c>
      <c r="O356" s="9" t="s">
        <v>61</v>
      </c>
    </row>
    <row r="357" spans="2:15" x14ac:dyDescent="0.45">
      <c r="B357" s="8" t="s">
        <v>108</v>
      </c>
      <c r="C357" s="8" t="s">
        <v>87</v>
      </c>
      <c r="D357" s="10">
        <v>6.0773159761356985E-2</v>
      </c>
      <c r="E357" s="8" t="s">
        <v>61</v>
      </c>
      <c r="G357" s="8" t="s">
        <v>128</v>
      </c>
      <c r="H357" s="8" t="s">
        <v>87</v>
      </c>
      <c r="I357" s="12">
        <v>1.4380545113203108E-2</v>
      </c>
      <c r="J357" s="8" t="s">
        <v>61</v>
      </c>
      <c r="L357" s="8" t="s">
        <v>148</v>
      </c>
      <c r="M357" s="8" t="s">
        <v>87</v>
      </c>
      <c r="N357" s="12">
        <v>1.4381510025637747E-2</v>
      </c>
      <c r="O357" s="8" t="s">
        <v>61</v>
      </c>
    </row>
    <row r="358" spans="2:15" x14ac:dyDescent="0.45">
      <c r="B358" s="9" t="s">
        <v>108</v>
      </c>
      <c r="C358" s="9" t="s">
        <v>88</v>
      </c>
      <c r="D358" s="11">
        <v>3.8983412212392321E-2</v>
      </c>
      <c r="E358" s="9" t="s">
        <v>61</v>
      </c>
      <c r="G358" s="9" t="s">
        <v>128</v>
      </c>
      <c r="H358" s="9" t="s">
        <v>88</v>
      </c>
      <c r="I358" s="13">
        <v>1.2771259970619349E-2</v>
      </c>
      <c r="J358" s="9" t="s">
        <v>61</v>
      </c>
      <c r="L358" s="9" t="s">
        <v>148</v>
      </c>
      <c r="M358" s="9" t="s">
        <v>88</v>
      </c>
      <c r="N358" s="13">
        <v>1.5012578393840783E-2</v>
      </c>
      <c r="O358" s="9" t="s">
        <v>61</v>
      </c>
    </row>
    <row r="359" spans="2:15" x14ac:dyDescent="0.45">
      <c r="B359" s="8" t="s">
        <v>108</v>
      </c>
      <c r="C359" s="8" t="s">
        <v>89</v>
      </c>
      <c r="D359" s="10">
        <v>9.4879117035332593E-3</v>
      </c>
      <c r="E359" s="8" t="s">
        <v>61</v>
      </c>
      <c r="G359" s="8" t="s">
        <v>128</v>
      </c>
      <c r="H359" s="8" t="s">
        <v>89</v>
      </c>
      <c r="I359" s="12">
        <v>1.296186906561712E-2</v>
      </c>
      <c r="J359" s="8" t="s">
        <v>61</v>
      </c>
      <c r="L359" s="8" t="s">
        <v>148</v>
      </c>
      <c r="M359" s="8" t="s">
        <v>89</v>
      </c>
      <c r="N359" s="12">
        <v>1.4863136080949106E-2</v>
      </c>
      <c r="O359" s="8" t="s">
        <v>61</v>
      </c>
    </row>
    <row r="360" spans="2:15" x14ac:dyDescent="0.45">
      <c r="B360" s="9" t="s">
        <v>108</v>
      </c>
      <c r="C360" s="9" t="s">
        <v>90</v>
      </c>
      <c r="D360" s="11">
        <v>0</v>
      </c>
      <c r="E360" s="9" t="s">
        <v>61</v>
      </c>
      <c r="G360" s="9" t="s">
        <v>128</v>
      </c>
      <c r="H360" s="9" t="s">
        <v>90</v>
      </c>
      <c r="I360" s="13">
        <v>1.9768669069466442E-2</v>
      </c>
      <c r="J360" s="9" t="s">
        <v>61</v>
      </c>
      <c r="L360" s="9" t="s">
        <v>148</v>
      </c>
      <c r="M360" s="9" t="s">
        <v>90</v>
      </c>
      <c r="N360" s="13">
        <v>2.3811250218748303E-2</v>
      </c>
      <c r="O360" s="9" t="s">
        <v>61</v>
      </c>
    </row>
    <row r="361" spans="2:15" x14ac:dyDescent="0.45">
      <c r="B361" s="8" t="s">
        <v>108</v>
      </c>
      <c r="C361" s="8" t="s">
        <v>91</v>
      </c>
      <c r="D361" s="10">
        <v>0</v>
      </c>
      <c r="E361" s="8" t="s">
        <v>61</v>
      </c>
      <c r="G361" s="8" t="s">
        <v>128</v>
      </c>
      <c r="H361" s="8" t="s">
        <v>91</v>
      </c>
      <c r="I361" s="12">
        <v>5.7186215188443745E-2</v>
      </c>
      <c r="J361" s="8" t="s">
        <v>61</v>
      </c>
      <c r="L361" s="8" t="s">
        <v>148</v>
      </c>
      <c r="M361" s="8" t="s">
        <v>91</v>
      </c>
      <c r="N361" s="12">
        <v>5.4637477744072384E-2</v>
      </c>
      <c r="O361" s="8" t="s">
        <v>61</v>
      </c>
    </row>
    <row r="362" spans="2:15" x14ac:dyDescent="0.45">
      <c r="B362" s="9" t="s">
        <v>108</v>
      </c>
      <c r="C362" s="9" t="s">
        <v>92</v>
      </c>
      <c r="D362" s="11">
        <v>1.7883180573093904E-3</v>
      </c>
      <c r="E362" s="9" t="s">
        <v>61</v>
      </c>
      <c r="G362" s="9" t="s">
        <v>128</v>
      </c>
      <c r="H362" s="9" t="s">
        <v>92</v>
      </c>
      <c r="I362" s="13">
        <v>2.2113244350616644E-2</v>
      </c>
      <c r="J362" s="9" t="s">
        <v>61</v>
      </c>
      <c r="L362" s="9" t="s">
        <v>148</v>
      </c>
      <c r="M362" s="9" t="s">
        <v>92</v>
      </c>
      <c r="N362" s="13">
        <v>2.1181250778593889E-2</v>
      </c>
      <c r="O362" s="9" t="s">
        <v>61</v>
      </c>
    </row>
    <row r="363" spans="2:15" x14ac:dyDescent="0.45">
      <c r="B363" s="8" t="s">
        <v>108</v>
      </c>
      <c r="C363" s="8" t="s">
        <v>93</v>
      </c>
      <c r="D363" s="10">
        <v>1.8428439921415293E-2</v>
      </c>
      <c r="E363" s="8" t="s">
        <v>61</v>
      </c>
      <c r="G363" s="8" t="s">
        <v>128</v>
      </c>
      <c r="H363" s="8" t="s">
        <v>93</v>
      </c>
      <c r="I363" s="12">
        <v>2.122596863963858E-2</v>
      </c>
      <c r="J363" s="8" t="s">
        <v>61</v>
      </c>
      <c r="L363" s="8" t="s">
        <v>148</v>
      </c>
      <c r="M363" s="8" t="s">
        <v>93</v>
      </c>
      <c r="N363" s="12">
        <v>2.1863883953438901E-2</v>
      </c>
      <c r="O363" s="8" t="s">
        <v>61</v>
      </c>
    </row>
    <row r="364" spans="2:15" x14ac:dyDescent="0.45">
      <c r="B364" s="9" t="s">
        <v>108</v>
      </c>
      <c r="C364" s="9" t="s">
        <v>94</v>
      </c>
      <c r="D364" s="11">
        <v>3.4838022611784626E-2</v>
      </c>
      <c r="E364" s="9" t="s">
        <v>61</v>
      </c>
      <c r="G364" s="9" t="s">
        <v>128</v>
      </c>
      <c r="H364" s="9" t="s">
        <v>94</v>
      </c>
      <c r="I364" s="13">
        <v>2.1027498592654237E-2</v>
      </c>
      <c r="J364" s="9" t="s">
        <v>61</v>
      </c>
      <c r="L364" s="9" t="s">
        <v>148</v>
      </c>
      <c r="M364" s="9" t="s">
        <v>94</v>
      </c>
      <c r="N364" s="13">
        <v>2.1969234748791484E-2</v>
      </c>
      <c r="O364" s="9" t="s">
        <v>61</v>
      </c>
    </row>
    <row r="365" spans="2:15" x14ac:dyDescent="0.45">
      <c r="B365" s="8" t="s">
        <v>108</v>
      </c>
      <c r="C365" s="8" t="s">
        <v>95</v>
      </c>
      <c r="D365" s="10">
        <v>3.5778477978367938E-2</v>
      </c>
      <c r="E365" s="8" t="s">
        <v>61</v>
      </c>
      <c r="G365" s="8" t="s">
        <v>128</v>
      </c>
      <c r="H365" s="8" t="s">
        <v>95</v>
      </c>
      <c r="I365" s="12">
        <v>2.0385193562989581E-2</v>
      </c>
      <c r="J365" s="8" t="s">
        <v>61</v>
      </c>
      <c r="L365" s="8" t="s">
        <v>148</v>
      </c>
      <c r="M365" s="8" t="s">
        <v>95</v>
      </c>
      <c r="N365" s="12">
        <v>2.1366461556802208E-2</v>
      </c>
      <c r="O365" s="8" t="s">
        <v>61</v>
      </c>
    </row>
    <row r="366" spans="2:15" x14ac:dyDescent="0.45">
      <c r="B366" s="9" t="s">
        <v>108</v>
      </c>
      <c r="C366" s="9" t="s">
        <v>96</v>
      </c>
      <c r="D366" s="11">
        <v>3.4528471392230184E-2</v>
      </c>
      <c r="E366" s="9" t="s">
        <v>61</v>
      </c>
      <c r="G366" s="9" t="s">
        <v>128</v>
      </c>
      <c r="H366" s="9" t="s">
        <v>96</v>
      </c>
      <c r="I366" s="13">
        <v>2.1192496846804066E-2</v>
      </c>
      <c r="J366" s="9" t="s">
        <v>61</v>
      </c>
      <c r="L366" s="9" t="s">
        <v>148</v>
      </c>
      <c r="M366" s="9" t="s">
        <v>96</v>
      </c>
      <c r="N366" s="13">
        <v>2.0918612431665415E-2</v>
      </c>
      <c r="O366" s="9" t="s">
        <v>61</v>
      </c>
    </row>
    <row r="367" spans="2:15" x14ac:dyDescent="0.45">
      <c r="B367" s="8" t="s">
        <v>108</v>
      </c>
      <c r="C367" s="8" t="s">
        <v>97</v>
      </c>
      <c r="D367" s="10">
        <v>2.1674291386865295E-2</v>
      </c>
      <c r="E367" s="8" t="s">
        <v>61</v>
      </c>
      <c r="G367" s="8" t="s">
        <v>128</v>
      </c>
      <c r="H367" s="8" t="s">
        <v>97</v>
      </c>
      <c r="I367" s="12">
        <v>2.1903180741560432E-2</v>
      </c>
      <c r="J367" s="8" t="s">
        <v>61</v>
      </c>
      <c r="L367" s="8" t="s">
        <v>148</v>
      </c>
      <c r="M367" s="8" t="s">
        <v>97</v>
      </c>
      <c r="N367" s="12">
        <v>2.0978945999179308E-2</v>
      </c>
      <c r="O367" s="8" t="s">
        <v>61</v>
      </c>
    </row>
    <row r="368" spans="2:15" x14ac:dyDescent="0.45">
      <c r="B368" s="9" t="s">
        <v>108</v>
      </c>
      <c r="C368" s="9" t="s">
        <v>98</v>
      </c>
      <c r="D368" s="11">
        <v>5.8854945201738847E-3</v>
      </c>
      <c r="E368" s="9" t="s">
        <v>61</v>
      </c>
      <c r="G368" s="9" t="s">
        <v>128</v>
      </c>
      <c r="H368" s="9" t="s">
        <v>98</v>
      </c>
      <c r="I368" s="13">
        <v>2.3661867151817048E-2</v>
      </c>
      <c r="J368" s="9" t="s">
        <v>61</v>
      </c>
      <c r="L368" s="9" t="s">
        <v>148</v>
      </c>
      <c r="M368" s="9" t="s">
        <v>98</v>
      </c>
      <c r="N368" s="13">
        <v>2.1692797580794565E-2</v>
      </c>
      <c r="O368" s="9" t="s">
        <v>61</v>
      </c>
    </row>
    <row r="369" spans="2:15" x14ac:dyDescent="0.45">
      <c r="B369" s="8" t="s">
        <v>108</v>
      </c>
      <c r="C369" s="8" t="s">
        <v>99</v>
      </c>
      <c r="D369" s="10">
        <v>0</v>
      </c>
      <c r="E369" s="8" t="s">
        <v>61</v>
      </c>
      <c r="G369" s="8" t="s">
        <v>128</v>
      </c>
      <c r="H369" s="8" t="s">
        <v>99</v>
      </c>
      <c r="I369" s="12">
        <v>2.4677433288574253E-2</v>
      </c>
      <c r="J369" s="8" t="s">
        <v>61</v>
      </c>
      <c r="L369" s="8" t="s">
        <v>148</v>
      </c>
      <c r="M369" s="8" t="s">
        <v>99</v>
      </c>
      <c r="N369" s="12">
        <v>2.2438494801086901E-2</v>
      </c>
      <c r="O369" s="8" t="s">
        <v>61</v>
      </c>
    </row>
    <row r="370" spans="2:15" x14ac:dyDescent="0.45">
      <c r="B370" s="9" t="s">
        <v>108</v>
      </c>
      <c r="C370" s="9" t="s">
        <v>100</v>
      </c>
      <c r="D370" s="11">
        <v>0</v>
      </c>
      <c r="E370" s="9" t="s">
        <v>61</v>
      </c>
      <c r="G370" s="9" t="s">
        <v>128</v>
      </c>
      <c r="H370" s="9" t="s">
        <v>100</v>
      </c>
      <c r="I370" s="13">
        <v>3.7421624707715394E-2</v>
      </c>
      <c r="J370" s="9" t="s">
        <v>61</v>
      </c>
      <c r="L370" s="9" t="s">
        <v>148</v>
      </c>
      <c r="M370" s="9" t="s">
        <v>100</v>
      </c>
      <c r="N370" s="13">
        <v>3.3627111148512329E-2</v>
      </c>
      <c r="O370" s="9" t="s">
        <v>61</v>
      </c>
    </row>
    <row r="371" spans="2:15" x14ac:dyDescent="0.45">
      <c r="B371" s="8" t="s">
        <v>109</v>
      </c>
      <c r="C371" s="8" t="s">
        <v>60</v>
      </c>
      <c r="D371" s="10">
        <v>0</v>
      </c>
      <c r="E371" s="8" t="s">
        <v>61</v>
      </c>
      <c r="G371" s="8" t="s">
        <v>129</v>
      </c>
      <c r="H371" s="8" t="s">
        <v>60</v>
      </c>
      <c r="I371" s="12">
        <v>6.2320605070355063E-2</v>
      </c>
      <c r="J371" s="8" t="s">
        <v>61</v>
      </c>
      <c r="L371" s="8" t="s">
        <v>149</v>
      </c>
      <c r="M371" s="8" t="s">
        <v>60</v>
      </c>
      <c r="N371" s="12">
        <v>5.9911291845391464E-2</v>
      </c>
      <c r="O371" s="8" t="s">
        <v>61</v>
      </c>
    </row>
    <row r="372" spans="2:15" x14ac:dyDescent="0.45">
      <c r="B372" s="9" t="s">
        <v>109</v>
      </c>
      <c r="C372" s="9" t="s">
        <v>62</v>
      </c>
      <c r="D372" s="11">
        <v>0</v>
      </c>
      <c r="E372" s="9" t="s">
        <v>61</v>
      </c>
      <c r="G372" s="9" t="s">
        <v>129</v>
      </c>
      <c r="H372" s="9" t="s">
        <v>62</v>
      </c>
      <c r="I372" s="13">
        <v>2.574339612831722E-2</v>
      </c>
      <c r="J372" s="9" t="s">
        <v>61</v>
      </c>
      <c r="L372" s="9" t="s">
        <v>149</v>
      </c>
      <c r="M372" s="9" t="s">
        <v>62</v>
      </c>
      <c r="N372" s="13">
        <v>2.4517646524981302E-2</v>
      </c>
      <c r="O372" s="9" t="s">
        <v>61</v>
      </c>
    </row>
    <row r="373" spans="2:15" x14ac:dyDescent="0.45">
      <c r="B373" s="8" t="s">
        <v>109</v>
      </c>
      <c r="C373" s="8" t="s">
        <v>63</v>
      </c>
      <c r="D373" s="10">
        <v>1.2935834152192187E-3</v>
      </c>
      <c r="E373" s="8" t="s">
        <v>61</v>
      </c>
      <c r="G373" s="8" t="s">
        <v>129</v>
      </c>
      <c r="H373" s="8" t="s">
        <v>63</v>
      </c>
      <c r="I373" s="12">
        <v>2.6139951478135082E-2</v>
      </c>
      <c r="J373" s="8" t="s">
        <v>61</v>
      </c>
      <c r="L373" s="8" t="s">
        <v>149</v>
      </c>
      <c r="M373" s="8" t="s">
        <v>63</v>
      </c>
      <c r="N373" s="12">
        <v>2.5073411589746804E-2</v>
      </c>
      <c r="O373" s="8" t="s">
        <v>61</v>
      </c>
    </row>
    <row r="374" spans="2:15" x14ac:dyDescent="0.45">
      <c r="B374" s="9" t="s">
        <v>109</v>
      </c>
      <c r="C374" s="9" t="s">
        <v>64</v>
      </c>
      <c r="D374" s="11">
        <v>1.4263492880538357E-2</v>
      </c>
      <c r="E374" s="9" t="s">
        <v>61</v>
      </c>
      <c r="G374" s="9" t="s">
        <v>129</v>
      </c>
      <c r="H374" s="9" t="s">
        <v>64</v>
      </c>
      <c r="I374" s="13">
        <v>2.6275558865837875E-2</v>
      </c>
      <c r="J374" s="9" t="s">
        <v>61</v>
      </c>
      <c r="L374" s="9" t="s">
        <v>149</v>
      </c>
      <c r="M374" s="9" t="s">
        <v>64</v>
      </c>
      <c r="N374" s="13">
        <v>2.4757289366957605E-2</v>
      </c>
      <c r="O374" s="9" t="s">
        <v>61</v>
      </c>
    </row>
    <row r="375" spans="2:15" x14ac:dyDescent="0.45">
      <c r="B375" s="8" t="s">
        <v>109</v>
      </c>
      <c r="C375" s="8" t="s">
        <v>65</v>
      </c>
      <c r="D375" s="10">
        <v>2.2404047081857274E-2</v>
      </c>
      <c r="E375" s="8" t="s">
        <v>61</v>
      </c>
      <c r="G375" s="8" t="s">
        <v>129</v>
      </c>
      <c r="H375" s="8" t="s">
        <v>65</v>
      </c>
      <c r="I375" s="12">
        <v>2.5957273986090761E-2</v>
      </c>
      <c r="J375" s="8" t="s">
        <v>61</v>
      </c>
      <c r="L375" s="8" t="s">
        <v>149</v>
      </c>
      <c r="M375" s="8" t="s">
        <v>65</v>
      </c>
      <c r="N375" s="12">
        <v>2.5489467620422004E-2</v>
      </c>
      <c r="O375" s="8" t="s">
        <v>61</v>
      </c>
    </row>
    <row r="376" spans="2:15" x14ac:dyDescent="0.45">
      <c r="B376" s="9" t="s">
        <v>109</v>
      </c>
      <c r="C376" s="9" t="s">
        <v>66</v>
      </c>
      <c r="D376" s="11">
        <v>2.039175359265134E-2</v>
      </c>
      <c r="E376" s="9" t="s">
        <v>61</v>
      </c>
      <c r="G376" s="9" t="s">
        <v>129</v>
      </c>
      <c r="H376" s="9" t="s">
        <v>66</v>
      </c>
      <c r="I376" s="13">
        <v>2.61098443819455E-2</v>
      </c>
      <c r="J376" s="9" t="s">
        <v>61</v>
      </c>
      <c r="L376" s="9" t="s">
        <v>149</v>
      </c>
      <c r="M376" s="9" t="s">
        <v>66</v>
      </c>
      <c r="N376" s="13">
        <v>2.585278211276016E-2</v>
      </c>
      <c r="O376" s="9" t="s">
        <v>61</v>
      </c>
    </row>
    <row r="377" spans="2:15" x14ac:dyDescent="0.45">
      <c r="B377" s="8" t="s">
        <v>109</v>
      </c>
      <c r="C377" s="8" t="s">
        <v>67</v>
      </c>
      <c r="D377" s="10">
        <v>8.2435213278738394E-3</v>
      </c>
      <c r="E377" s="8" t="s">
        <v>61</v>
      </c>
      <c r="G377" s="8" t="s">
        <v>129</v>
      </c>
      <c r="H377" s="8" t="s">
        <v>67</v>
      </c>
      <c r="I377" s="12">
        <v>2.6420488817799806E-2</v>
      </c>
      <c r="J377" s="8" t="s">
        <v>61</v>
      </c>
      <c r="L377" s="8" t="s">
        <v>149</v>
      </c>
      <c r="M377" s="8" t="s">
        <v>67</v>
      </c>
      <c r="N377" s="12">
        <v>2.655311522159727E-2</v>
      </c>
      <c r="O377" s="8" t="s">
        <v>61</v>
      </c>
    </row>
    <row r="378" spans="2:15" x14ac:dyDescent="0.45">
      <c r="B378" s="9" t="s">
        <v>109</v>
      </c>
      <c r="C378" s="9" t="s">
        <v>68</v>
      </c>
      <c r="D378" s="11">
        <v>6.3964573775768274E-4</v>
      </c>
      <c r="E378" s="9" t="s">
        <v>61</v>
      </c>
      <c r="G378" s="9" t="s">
        <v>129</v>
      </c>
      <c r="H378" s="9" t="s">
        <v>68</v>
      </c>
      <c r="I378" s="13">
        <v>2.7416825222554165E-2</v>
      </c>
      <c r="J378" s="9" t="s">
        <v>61</v>
      </c>
      <c r="L378" s="9" t="s">
        <v>149</v>
      </c>
      <c r="M378" s="9" t="s">
        <v>68</v>
      </c>
      <c r="N378" s="13">
        <v>2.6897071305879813E-2</v>
      </c>
      <c r="O378" s="9" t="s">
        <v>61</v>
      </c>
    </row>
    <row r="379" spans="2:15" x14ac:dyDescent="0.45">
      <c r="B379" s="8" t="s">
        <v>109</v>
      </c>
      <c r="C379" s="8" t="s">
        <v>69</v>
      </c>
      <c r="D379" s="10">
        <v>0</v>
      </c>
      <c r="E379" s="8" t="s">
        <v>61</v>
      </c>
      <c r="G379" s="8" t="s">
        <v>129</v>
      </c>
      <c r="H379" s="8" t="s">
        <v>69</v>
      </c>
      <c r="I379" s="12">
        <v>2.8026367204163041E-2</v>
      </c>
      <c r="J379" s="8" t="s">
        <v>61</v>
      </c>
      <c r="L379" s="8" t="s">
        <v>149</v>
      </c>
      <c r="M379" s="8" t="s">
        <v>69</v>
      </c>
      <c r="N379" s="12">
        <v>2.6866809895916659E-2</v>
      </c>
      <c r="O379" s="8" t="s">
        <v>61</v>
      </c>
    </row>
    <row r="380" spans="2:15" x14ac:dyDescent="0.45">
      <c r="B380" s="9" t="s">
        <v>109</v>
      </c>
      <c r="C380" s="9" t="s">
        <v>70</v>
      </c>
      <c r="D380" s="11">
        <v>0</v>
      </c>
      <c r="E380" s="9" t="s">
        <v>61</v>
      </c>
      <c r="G380" s="9" t="s">
        <v>129</v>
      </c>
      <c r="H380" s="9" t="s">
        <v>70</v>
      </c>
      <c r="I380" s="13">
        <v>3.9529013675928718E-2</v>
      </c>
      <c r="J380" s="9" t="s">
        <v>61</v>
      </c>
      <c r="L380" s="9" t="s">
        <v>149</v>
      </c>
      <c r="M380" s="9" t="s">
        <v>70</v>
      </c>
      <c r="N380" s="13">
        <v>3.7760599137828907E-2</v>
      </c>
      <c r="O380" s="9" t="s">
        <v>61</v>
      </c>
    </row>
    <row r="381" spans="2:15" x14ac:dyDescent="0.45">
      <c r="B381" s="8" t="s">
        <v>109</v>
      </c>
      <c r="C381" s="8" t="s">
        <v>71</v>
      </c>
      <c r="D381" s="10">
        <v>3.4851934652206537E-4</v>
      </c>
      <c r="E381" s="8" t="s">
        <v>61</v>
      </c>
      <c r="G381" s="8" t="s">
        <v>129</v>
      </c>
      <c r="H381" s="8" t="s">
        <v>71</v>
      </c>
      <c r="I381" s="12">
        <v>5.4818378574900836E-2</v>
      </c>
      <c r="J381" s="8" t="s">
        <v>61</v>
      </c>
      <c r="L381" s="8" t="s">
        <v>149</v>
      </c>
      <c r="M381" s="8" t="s">
        <v>71</v>
      </c>
      <c r="N381" s="12">
        <v>5.4416247026717143E-2</v>
      </c>
      <c r="O381" s="8" t="s">
        <v>61</v>
      </c>
    </row>
    <row r="382" spans="2:15" x14ac:dyDescent="0.45">
      <c r="B382" s="9" t="s">
        <v>109</v>
      </c>
      <c r="C382" s="9" t="s">
        <v>72</v>
      </c>
      <c r="D382" s="11">
        <v>1.5937480128070607E-2</v>
      </c>
      <c r="E382" s="9" t="s">
        <v>61</v>
      </c>
      <c r="G382" s="9" t="s">
        <v>129</v>
      </c>
      <c r="H382" s="9" t="s">
        <v>72</v>
      </c>
      <c r="I382" s="13">
        <v>2.1333549080882547E-2</v>
      </c>
      <c r="J382" s="9" t="s">
        <v>61</v>
      </c>
      <c r="L382" s="9" t="s">
        <v>149</v>
      </c>
      <c r="M382" s="9" t="s">
        <v>72</v>
      </c>
      <c r="N382" s="13">
        <v>2.0670883476068724E-2</v>
      </c>
      <c r="O382" s="9" t="s">
        <v>61</v>
      </c>
    </row>
    <row r="383" spans="2:15" x14ac:dyDescent="0.45">
      <c r="B383" s="8" t="s">
        <v>109</v>
      </c>
      <c r="C383" s="8" t="s">
        <v>73</v>
      </c>
      <c r="D383" s="10">
        <v>5.2432598919311076E-2</v>
      </c>
      <c r="E383" s="8" t="s">
        <v>61</v>
      </c>
      <c r="G383" s="8" t="s">
        <v>129</v>
      </c>
      <c r="H383" s="8" t="s">
        <v>73</v>
      </c>
      <c r="I383" s="12">
        <v>1.892284775496092E-2</v>
      </c>
      <c r="J383" s="8" t="s">
        <v>61</v>
      </c>
      <c r="L383" s="8" t="s">
        <v>149</v>
      </c>
      <c r="M383" s="8" t="s">
        <v>73</v>
      </c>
      <c r="N383" s="12">
        <v>2.0156048314850666E-2</v>
      </c>
      <c r="O383" s="8" t="s">
        <v>61</v>
      </c>
    </row>
    <row r="384" spans="2:15" x14ac:dyDescent="0.45">
      <c r="B384" s="9" t="s">
        <v>109</v>
      </c>
      <c r="C384" s="9" t="s">
        <v>74</v>
      </c>
      <c r="D384" s="11">
        <v>7.5279418739221227E-2</v>
      </c>
      <c r="E384" s="9" t="s">
        <v>61</v>
      </c>
      <c r="G384" s="9" t="s">
        <v>129</v>
      </c>
      <c r="H384" s="9" t="s">
        <v>74</v>
      </c>
      <c r="I384" s="13">
        <v>1.8911377412366787E-2</v>
      </c>
      <c r="J384" s="9" t="s">
        <v>61</v>
      </c>
      <c r="L384" s="9" t="s">
        <v>149</v>
      </c>
      <c r="M384" s="9" t="s">
        <v>74</v>
      </c>
      <c r="N384" s="13">
        <v>2.0064207924224958E-2</v>
      </c>
      <c r="O384" s="9" t="s">
        <v>61</v>
      </c>
    </row>
    <row r="385" spans="2:15" x14ac:dyDescent="0.45">
      <c r="B385" s="8" t="s">
        <v>109</v>
      </c>
      <c r="C385" s="8" t="s">
        <v>75</v>
      </c>
      <c r="D385" s="10">
        <v>7.3045863556885346E-2</v>
      </c>
      <c r="E385" s="8" t="s">
        <v>61</v>
      </c>
      <c r="G385" s="8" t="s">
        <v>129</v>
      </c>
      <c r="H385" s="8" t="s">
        <v>75</v>
      </c>
      <c r="I385" s="12">
        <v>1.806608319580414E-2</v>
      </c>
      <c r="J385" s="8" t="s">
        <v>61</v>
      </c>
      <c r="L385" s="8" t="s">
        <v>149</v>
      </c>
      <c r="M385" s="8" t="s">
        <v>75</v>
      </c>
      <c r="N385" s="12">
        <v>1.9441132278353774E-2</v>
      </c>
      <c r="O385" s="8" t="s">
        <v>61</v>
      </c>
    </row>
    <row r="386" spans="2:15" x14ac:dyDescent="0.45">
      <c r="B386" s="9" t="s">
        <v>109</v>
      </c>
      <c r="C386" s="9" t="s">
        <v>76</v>
      </c>
      <c r="D386" s="11">
        <v>7.212237993015036E-2</v>
      </c>
      <c r="E386" s="9" t="s">
        <v>61</v>
      </c>
      <c r="G386" s="9" t="s">
        <v>129</v>
      </c>
      <c r="H386" s="9" t="s">
        <v>76</v>
      </c>
      <c r="I386" s="13">
        <v>1.9448641832952529E-2</v>
      </c>
      <c r="J386" s="9" t="s">
        <v>61</v>
      </c>
      <c r="L386" s="9" t="s">
        <v>149</v>
      </c>
      <c r="M386" s="9" t="s">
        <v>76</v>
      </c>
      <c r="N386" s="13">
        <v>1.9964431788210297E-2</v>
      </c>
      <c r="O386" s="9" t="s">
        <v>61</v>
      </c>
    </row>
    <row r="387" spans="2:15" x14ac:dyDescent="0.45">
      <c r="B387" s="8" t="s">
        <v>109</v>
      </c>
      <c r="C387" s="8" t="s">
        <v>77</v>
      </c>
      <c r="D387" s="10">
        <v>5.8382557303080375E-2</v>
      </c>
      <c r="E387" s="8" t="s">
        <v>61</v>
      </c>
      <c r="G387" s="8" t="s">
        <v>129</v>
      </c>
      <c r="H387" s="8" t="s">
        <v>77</v>
      </c>
      <c r="I387" s="12">
        <v>1.9320592405986447E-2</v>
      </c>
      <c r="J387" s="8" t="s">
        <v>61</v>
      </c>
      <c r="L387" s="8" t="s">
        <v>149</v>
      </c>
      <c r="M387" s="8" t="s">
        <v>77</v>
      </c>
      <c r="N387" s="12">
        <v>2.0591831963613513E-2</v>
      </c>
      <c r="O387" s="8" t="s">
        <v>61</v>
      </c>
    </row>
    <row r="388" spans="2:15" x14ac:dyDescent="0.45">
      <c r="B388" s="9" t="s">
        <v>109</v>
      </c>
      <c r="C388" s="9" t="s">
        <v>78</v>
      </c>
      <c r="D388" s="11">
        <v>2.930587267815226E-2</v>
      </c>
      <c r="E388" s="9" t="s">
        <v>61</v>
      </c>
      <c r="G388" s="9" t="s">
        <v>129</v>
      </c>
      <c r="H388" s="9" t="s">
        <v>78</v>
      </c>
      <c r="I388" s="13">
        <v>1.8713779869737494E-2</v>
      </c>
      <c r="J388" s="9" t="s">
        <v>61</v>
      </c>
      <c r="L388" s="9" t="s">
        <v>149</v>
      </c>
      <c r="M388" s="9" t="s">
        <v>78</v>
      </c>
      <c r="N388" s="13">
        <v>2.1156203503485033E-2</v>
      </c>
      <c r="O388" s="9" t="s">
        <v>61</v>
      </c>
    </row>
    <row r="389" spans="2:15" x14ac:dyDescent="0.45">
      <c r="B389" s="8" t="s">
        <v>109</v>
      </c>
      <c r="C389" s="8" t="s">
        <v>79</v>
      </c>
      <c r="D389" s="10">
        <v>3.5287424820043835E-3</v>
      </c>
      <c r="E389" s="8" t="s">
        <v>61</v>
      </c>
      <c r="G389" s="8" t="s">
        <v>129</v>
      </c>
      <c r="H389" s="8" t="s">
        <v>79</v>
      </c>
      <c r="I389" s="12">
        <v>2.028484071616634E-2</v>
      </c>
      <c r="J389" s="8" t="s">
        <v>61</v>
      </c>
      <c r="L389" s="8" t="s">
        <v>149</v>
      </c>
      <c r="M389" s="8" t="s">
        <v>79</v>
      </c>
      <c r="N389" s="12">
        <v>2.1845143141531805E-2</v>
      </c>
      <c r="O389" s="8" t="s">
        <v>61</v>
      </c>
    </row>
    <row r="390" spans="2:15" x14ac:dyDescent="0.45">
      <c r="B390" s="9" t="s">
        <v>109</v>
      </c>
      <c r="C390" s="9" t="s">
        <v>80</v>
      </c>
      <c r="D390" s="11">
        <v>0</v>
      </c>
      <c r="E390" s="9" t="s">
        <v>61</v>
      </c>
      <c r="G390" s="9" t="s">
        <v>129</v>
      </c>
      <c r="H390" s="9" t="s">
        <v>80</v>
      </c>
      <c r="I390" s="13">
        <v>3.2489310238804726E-2</v>
      </c>
      <c r="J390" s="9" t="s">
        <v>61</v>
      </c>
      <c r="L390" s="9" t="s">
        <v>149</v>
      </c>
      <c r="M390" s="9" t="s">
        <v>80</v>
      </c>
      <c r="N390" s="13">
        <v>3.3445373801803194E-2</v>
      </c>
      <c r="O390" s="9" t="s">
        <v>61</v>
      </c>
    </row>
    <row r="391" spans="2:15" x14ac:dyDescent="0.45">
      <c r="B391" s="8" t="s">
        <v>109</v>
      </c>
      <c r="C391" s="8" t="s">
        <v>81</v>
      </c>
      <c r="D391" s="10">
        <v>2.0191393391025981E-3</v>
      </c>
      <c r="E391" s="8" t="s">
        <v>61</v>
      </c>
      <c r="G391" s="8" t="s">
        <v>129</v>
      </c>
      <c r="H391" s="8" t="s">
        <v>81</v>
      </c>
      <c r="I391" s="12">
        <v>3.350723410134341E-2</v>
      </c>
      <c r="J391" s="8" t="s">
        <v>61</v>
      </c>
      <c r="L391" s="8" t="s">
        <v>149</v>
      </c>
      <c r="M391" s="8" t="s">
        <v>81</v>
      </c>
      <c r="N391" s="12">
        <v>3.7608109475927305E-2</v>
      </c>
      <c r="O391" s="8" t="s">
        <v>61</v>
      </c>
    </row>
    <row r="392" spans="2:15" x14ac:dyDescent="0.45">
      <c r="B392" s="9" t="s">
        <v>109</v>
      </c>
      <c r="C392" s="9" t="s">
        <v>82</v>
      </c>
      <c r="D392" s="11">
        <v>2.5493235148037797E-2</v>
      </c>
      <c r="E392" s="9" t="s">
        <v>61</v>
      </c>
      <c r="G392" s="9" t="s">
        <v>129</v>
      </c>
      <c r="H392" s="9" t="s">
        <v>82</v>
      </c>
      <c r="I392" s="13">
        <v>1.3510281741268174E-2</v>
      </c>
      <c r="J392" s="9" t="s">
        <v>61</v>
      </c>
      <c r="L392" s="9" t="s">
        <v>149</v>
      </c>
      <c r="M392" s="9" t="s">
        <v>82</v>
      </c>
      <c r="N392" s="13">
        <v>1.4434561236669707E-2</v>
      </c>
      <c r="O392" s="9" t="s">
        <v>61</v>
      </c>
    </row>
    <row r="393" spans="2:15" x14ac:dyDescent="0.45">
      <c r="B393" s="8" t="s">
        <v>109</v>
      </c>
      <c r="C393" s="8" t="s">
        <v>83</v>
      </c>
      <c r="D393" s="10">
        <v>5.4968195074491855E-2</v>
      </c>
      <c r="E393" s="8" t="s">
        <v>61</v>
      </c>
      <c r="G393" s="8" t="s">
        <v>129</v>
      </c>
      <c r="H393" s="8" t="s">
        <v>83</v>
      </c>
      <c r="I393" s="12">
        <v>1.2455163262701938E-2</v>
      </c>
      <c r="J393" s="8" t="s">
        <v>61</v>
      </c>
      <c r="L393" s="8" t="s">
        <v>149</v>
      </c>
      <c r="M393" s="8" t="s">
        <v>83</v>
      </c>
      <c r="N393" s="12">
        <v>1.4690593680203912E-2</v>
      </c>
      <c r="O393" s="8" t="s">
        <v>61</v>
      </c>
    </row>
    <row r="394" spans="2:15" x14ac:dyDescent="0.45">
      <c r="B394" s="9" t="s">
        <v>109</v>
      </c>
      <c r="C394" s="9" t="s">
        <v>84</v>
      </c>
      <c r="D394" s="11">
        <v>7.162155476291597E-2</v>
      </c>
      <c r="E394" s="9" t="s">
        <v>61</v>
      </c>
      <c r="G394" s="9" t="s">
        <v>129</v>
      </c>
      <c r="H394" s="9" t="s">
        <v>84</v>
      </c>
      <c r="I394" s="13">
        <v>1.419873576495353E-2</v>
      </c>
      <c r="J394" s="9" t="s">
        <v>61</v>
      </c>
      <c r="L394" s="9" t="s">
        <v>149</v>
      </c>
      <c r="M394" s="9" t="s">
        <v>84</v>
      </c>
      <c r="N394" s="13">
        <v>1.4978558173805919E-2</v>
      </c>
      <c r="O394" s="9" t="s">
        <v>61</v>
      </c>
    </row>
    <row r="395" spans="2:15" x14ac:dyDescent="0.45">
      <c r="B395" s="8" t="s">
        <v>109</v>
      </c>
      <c r="C395" s="8" t="s">
        <v>85</v>
      </c>
      <c r="D395" s="10">
        <v>7.3059638274814209E-2</v>
      </c>
      <c r="E395" s="8" t="s">
        <v>61</v>
      </c>
      <c r="G395" s="8" t="s">
        <v>129</v>
      </c>
      <c r="H395" s="8" t="s">
        <v>85</v>
      </c>
      <c r="I395" s="12">
        <v>1.3538673989834955E-2</v>
      </c>
      <c r="J395" s="8" t="s">
        <v>61</v>
      </c>
      <c r="L395" s="8" t="s">
        <v>149</v>
      </c>
      <c r="M395" s="8" t="s">
        <v>85</v>
      </c>
      <c r="N395" s="12">
        <v>1.3523961528829263E-2</v>
      </c>
      <c r="O395" s="8" t="s">
        <v>61</v>
      </c>
    </row>
    <row r="396" spans="2:15" x14ac:dyDescent="0.45">
      <c r="B396" s="9" t="s">
        <v>109</v>
      </c>
      <c r="C396" s="9" t="s">
        <v>86</v>
      </c>
      <c r="D396" s="11">
        <v>7.1628566983014785E-2</v>
      </c>
      <c r="E396" s="9" t="s">
        <v>61</v>
      </c>
      <c r="G396" s="9" t="s">
        <v>129</v>
      </c>
      <c r="H396" s="9" t="s">
        <v>86</v>
      </c>
      <c r="I396" s="13">
        <v>1.5258327577581063E-2</v>
      </c>
      <c r="J396" s="9" t="s">
        <v>61</v>
      </c>
      <c r="L396" s="9" t="s">
        <v>149</v>
      </c>
      <c r="M396" s="9" t="s">
        <v>86</v>
      </c>
      <c r="N396" s="13">
        <v>1.394813084488835E-2</v>
      </c>
      <c r="O396" s="9" t="s">
        <v>61</v>
      </c>
    </row>
    <row r="397" spans="2:15" x14ac:dyDescent="0.45">
      <c r="B397" s="8" t="s">
        <v>109</v>
      </c>
      <c r="C397" s="8" t="s">
        <v>87</v>
      </c>
      <c r="D397" s="10">
        <v>6.2673857457917301E-2</v>
      </c>
      <c r="E397" s="8" t="s">
        <v>61</v>
      </c>
      <c r="G397" s="8" t="s">
        <v>129</v>
      </c>
      <c r="H397" s="8" t="s">
        <v>87</v>
      </c>
      <c r="I397" s="12">
        <v>1.5195842703845854E-2</v>
      </c>
      <c r="J397" s="8" t="s">
        <v>61</v>
      </c>
      <c r="L397" s="8" t="s">
        <v>149</v>
      </c>
      <c r="M397" s="8" t="s">
        <v>87</v>
      </c>
      <c r="N397" s="12">
        <v>1.4295428570322186E-2</v>
      </c>
      <c r="O397" s="8" t="s">
        <v>61</v>
      </c>
    </row>
    <row r="398" spans="2:15" x14ac:dyDescent="0.45">
      <c r="B398" s="9" t="s">
        <v>109</v>
      </c>
      <c r="C398" s="9" t="s">
        <v>88</v>
      </c>
      <c r="D398" s="11">
        <v>4.1662791230050539E-2</v>
      </c>
      <c r="E398" s="9" t="s">
        <v>61</v>
      </c>
      <c r="G398" s="9" t="s">
        <v>129</v>
      </c>
      <c r="H398" s="9" t="s">
        <v>88</v>
      </c>
      <c r="I398" s="13">
        <v>1.3196269930397601E-2</v>
      </c>
      <c r="J398" s="9" t="s">
        <v>61</v>
      </c>
      <c r="L398" s="9" t="s">
        <v>149</v>
      </c>
      <c r="M398" s="9" t="s">
        <v>88</v>
      </c>
      <c r="N398" s="13">
        <v>1.463064399010533E-2</v>
      </c>
      <c r="O398" s="9" t="s">
        <v>61</v>
      </c>
    </row>
    <row r="399" spans="2:15" x14ac:dyDescent="0.45">
      <c r="B399" s="8" t="s">
        <v>109</v>
      </c>
      <c r="C399" s="8" t="s">
        <v>89</v>
      </c>
      <c r="D399" s="10">
        <v>1.2623815776851892E-2</v>
      </c>
      <c r="E399" s="8" t="s">
        <v>61</v>
      </c>
      <c r="G399" s="8" t="s">
        <v>129</v>
      </c>
      <c r="H399" s="8" t="s">
        <v>89</v>
      </c>
      <c r="I399" s="12">
        <v>1.1932486530176133E-2</v>
      </c>
      <c r="J399" s="8" t="s">
        <v>61</v>
      </c>
      <c r="L399" s="8" t="s">
        <v>149</v>
      </c>
      <c r="M399" s="8" t="s">
        <v>89</v>
      </c>
      <c r="N399" s="12">
        <v>1.4692883911684596E-2</v>
      </c>
      <c r="O399" s="8" t="s">
        <v>61</v>
      </c>
    </row>
    <row r="400" spans="2:15" x14ac:dyDescent="0.45">
      <c r="B400" s="9" t="s">
        <v>109</v>
      </c>
      <c r="C400" s="9" t="s">
        <v>90</v>
      </c>
      <c r="D400" s="11">
        <v>0</v>
      </c>
      <c r="E400" s="9" t="s">
        <v>61</v>
      </c>
      <c r="G400" s="9" t="s">
        <v>129</v>
      </c>
      <c r="H400" s="9" t="s">
        <v>90</v>
      </c>
      <c r="I400" s="13">
        <v>1.9989907244241073E-2</v>
      </c>
      <c r="J400" s="9" t="s">
        <v>61</v>
      </c>
      <c r="L400" s="9" t="s">
        <v>149</v>
      </c>
      <c r="M400" s="9" t="s">
        <v>90</v>
      </c>
      <c r="N400" s="13">
        <v>2.313338513087268E-2</v>
      </c>
      <c r="O400" s="9" t="s">
        <v>61</v>
      </c>
    </row>
    <row r="401" spans="2:15" x14ac:dyDescent="0.45">
      <c r="B401" s="8" t="s">
        <v>109</v>
      </c>
      <c r="C401" s="8" t="s">
        <v>91</v>
      </c>
      <c r="D401" s="10">
        <v>0</v>
      </c>
      <c r="E401" s="8" t="s">
        <v>61</v>
      </c>
      <c r="G401" s="8" t="s">
        <v>129</v>
      </c>
      <c r="H401" s="8" t="s">
        <v>91</v>
      </c>
      <c r="I401" s="12">
        <v>5.8486167173837422E-2</v>
      </c>
      <c r="J401" s="8" t="s">
        <v>61</v>
      </c>
      <c r="L401" s="8" t="s">
        <v>149</v>
      </c>
      <c r="M401" s="8" t="s">
        <v>91</v>
      </c>
      <c r="N401" s="12">
        <v>5.5773304994139392E-2</v>
      </c>
      <c r="O401" s="8" t="s">
        <v>61</v>
      </c>
    </row>
    <row r="402" spans="2:15" x14ac:dyDescent="0.45">
      <c r="B402" s="9" t="s">
        <v>109</v>
      </c>
      <c r="C402" s="9" t="s">
        <v>92</v>
      </c>
      <c r="D402" s="11">
        <v>1.5147721294619043E-3</v>
      </c>
      <c r="E402" s="9" t="s">
        <v>61</v>
      </c>
      <c r="G402" s="9" t="s">
        <v>129</v>
      </c>
      <c r="H402" s="9" t="s">
        <v>92</v>
      </c>
      <c r="I402" s="13">
        <v>2.2923437498377976E-2</v>
      </c>
      <c r="J402" s="9" t="s">
        <v>61</v>
      </c>
      <c r="L402" s="9" t="s">
        <v>149</v>
      </c>
      <c r="M402" s="9" t="s">
        <v>92</v>
      </c>
      <c r="N402" s="13">
        <v>2.1520302446659732E-2</v>
      </c>
      <c r="O402" s="9" t="s">
        <v>61</v>
      </c>
    </row>
    <row r="403" spans="2:15" x14ac:dyDescent="0.45">
      <c r="B403" s="8" t="s">
        <v>109</v>
      </c>
      <c r="C403" s="8" t="s">
        <v>93</v>
      </c>
      <c r="D403" s="10">
        <v>1.5483426448076435E-2</v>
      </c>
      <c r="E403" s="8" t="s">
        <v>61</v>
      </c>
      <c r="G403" s="8" t="s">
        <v>129</v>
      </c>
      <c r="H403" s="8" t="s">
        <v>93</v>
      </c>
      <c r="I403" s="12">
        <v>2.2909396145773388E-2</v>
      </c>
      <c r="J403" s="8" t="s">
        <v>61</v>
      </c>
      <c r="L403" s="8" t="s">
        <v>149</v>
      </c>
      <c r="M403" s="8" t="s">
        <v>93</v>
      </c>
      <c r="N403" s="12">
        <v>2.2121283324676253E-2</v>
      </c>
      <c r="O403" s="8" t="s">
        <v>61</v>
      </c>
    </row>
    <row r="404" spans="2:15" x14ac:dyDescent="0.45">
      <c r="B404" s="9" t="s">
        <v>109</v>
      </c>
      <c r="C404" s="9" t="s">
        <v>94</v>
      </c>
      <c r="D404" s="11">
        <v>2.9926035440322164E-2</v>
      </c>
      <c r="E404" s="9" t="s">
        <v>61</v>
      </c>
      <c r="G404" s="9" t="s">
        <v>129</v>
      </c>
      <c r="H404" s="9" t="s">
        <v>94</v>
      </c>
      <c r="I404" s="13">
        <v>2.2698164059565908E-2</v>
      </c>
      <c r="J404" s="9" t="s">
        <v>61</v>
      </c>
      <c r="L404" s="9" t="s">
        <v>149</v>
      </c>
      <c r="M404" s="9" t="s">
        <v>94</v>
      </c>
      <c r="N404" s="13">
        <v>2.2339944202910952E-2</v>
      </c>
      <c r="O404" s="9" t="s">
        <v>61</v>
      </c>
    </row>
    <row r="405" spans="2:15" x14ac:dyDescent="0.45">
      <c r="B405" s="8" t="s">
        <v>109</v>
      </c>
      <c r="C405" s="8" t="s">
        <v>95</v>
      </c>
      <c r="D405" s="10">
        <v>3.2051932204856602E-2</v>
      </c>
      <c r="E405" s="8" t="s">
        <v>61</v>
      </c>
      <c r="G405" s="8" t="s">
        <v>129</v>
      </c>
      <c r="H405" s="8" t="s">
        <v>95</v>
      </c>
      <c r="I405" s="12">
        <v>2.2442037981386467E-2</v>
      </c>
      <c r="J405" s="8" t="s">
        <v>61</v>
      </c>
      <c r="L405" s="8" t="s">
        <v>149</v>
      </c>
      <c r="M405" s="8" t="s">
        <v>95</v>
      </c>
      <c r="N405" s="12">
        <v>2.1731211245335773E-2</v>
      </c>
      <c r="O405" s="8" t="s">
        <v>61</v>
      </c>
    </row>
    <row r="406" spans="2:15" x14ac:dyDescent="0.45">
      <c r="B406" s="9" t="s">
        <v>109</v>
      </c>
      <c r="C406" s="9" t="s">
        <v>96</v>
      </c>
      <c r="D406" s="11">
        <v>3.1279317406044817E-2</v>
      </c>
      <c r="E406" s="9" t="s">
        <v>61</v>
      </c>
      <c r="G406" s="9" t="s">
        <v>129</v>
      </c>
      <c r="H406" s="9" t="s">
        <v>96</v>
      </c>
      <c r="I406" s="13">
        <v>2.2657964934193836E-2</v>
      </c>
      <c r="J406" s="9" t="s">
        <v>61</v>
      </c>
      <c r="L406" s="9" t="s">
        <v>149</v>
      </c>
      <c r="M406" s="9" t="s">
        <v>96</v>
      </c>
      <c r="N406" s="13">
        <v>2.1505132521329885E-2</v>
      </c>
      <c r="O406" s="9" t="s">
        <v>61</v>
      </c>
    </row>
    <row r="407" spans="2:15" x14ac:dyDescent="0.45">
      <c r="B407" s="8" t="s">
        <v>109</v>
      </c>
      <c r="C407" s="8" t="s">
        <v>97</v>
      </c>
      <c r="D407" s="10">
        <v>2.0476870347412152E-2</v>
      </c>
      <c r="E407" s="8" t="s">
        <v>61</v>
      </c>
      <c r="G407" s="8" t="s">
        <v>129</v>
      </c>
      <c r="H407" s="8" t="s">
        <v>97</v>
      </c>
      <c r="I407" s="12">
        <v>2.252134650366951E-2</v>
      </c>
      <c r="J407" s="8" t="s">
        <v>61</v>
      </c>
      <c r="L407" s="8" t="s">
        <v>149</v>
      </c>
      <c r="M407" s="8" t="s">
        <v>97</v>
      </c>
      <c r="N407" s="12">
        <v>2.1502083237824494E-2</v>
      </c>
      <c r="O407" s="8" t="s">
        <v>61</v>
      </c>
    </row>
    <row r="408" spans="2:15" x14ac:dyDescent="0.45">
      <c r="B408" s="9" t="s">
        <v>109</v>
      </c>
      <c r="C408" s="9" t="s">
        <v>98</v>
      </c>
      <c r="D408" s="11">
        <v>5.8973748573326957E-3</v>
      </c>
      <c r="E408" s="9" t="s">
        <v>61</v>
      </c>
      <c r="G408" s="9" t="s">
        <v>129</v>
      </c>
      <c r="H408" s="9" t="s">
        <v>98</v>
      </c>
      <c r="I408" s="13">
        <v>2.3678022415982689E-2</v>
      </c>
      <c r="J408" s="9" t="s">
        <v>61</v>
      </c>
      <c r="L408" s="9" t="s">
        <v>149</v>
      </c>
      <c r="M408" s="9" t="s">
        <v>98</v>
      </c>
      <c r="N408" s="13">
        <v>2.2641199912306474E-2</v>
      </c>
      <c r="O408" s="9" t="s">
        <v>61</v>
      </c>
    </row>
    <row r="409" spans="2:15" x14ac:dyDescent="0.45">
      <c r="B409" s="8" t="s">
        <v>109</v>
      </c>
      <c r="C409" s="8" t="s">
        <v>99</v>
      </c>
      <c r="D409" s="10">
        <v>0</v>
      </c>
      <c r="E409" s="8" t="s">
        <v>61</v>
      </c>
      <c r="G409" s="8" t="s">
        <v>129</v>
      </c>
      <c r="H409" s="8" t="s">
        <v>99</v>
      </c>
      <c r="I409" s="12">
        <v>2.489378637794587E-2</v>
      </c>
      <c r="J409" s="8" t="s">
        <v>61</v>
      </c>
      <c r="L409" s="8" t="s">
        <v>149</v>
      </c>
      <c r="M409" s="8" t="s">
        <v>99</v>
      </c>
      <c r="N409" s="12">
        <v>2.3822467817519195E-2</v>
      </c>
      <c r="O409" s="8" t="s">
        <v>61</v>
      </c>
    </row>
    <row r="410" spans="2:15" x14ac:dyDescent="0.45">
      <c r="B410" s="9" t="s">
        <v>109</v>
      </c>
      <c r="C410" s="9" t="s">
        <v>100</v>
      </c>
      <c r="D410" s="11">
        <v>0</v>
      </c>
      <c r="E410" s="9" t="s">
        <v>61</v>
      </c>
      <c r="G410" s="9" t="s">
        <v>129</v>
      </c>
      <c r="H410" s="9" t="s">
        <v>100</v>
      </c>
      <c r="I410" s="13">
        <v>3.7758028149234783E-2</v>
      </c>
      <c r="J410" s="9" t="s">
        <v>61</v>
      </c>
      <c r="L410" s="9" t="s">
        <v>149</v>
      </c>
      <c r="M410" s="9" t="s">
        <v>100</v>
      </c>
      <c r="N410" s="13">
        <v>3.5675825913647929E-2</v>
      </c>
      <c r="O410" s="9" t="s">
        <v>61</v>
      </c>
    </row>
    <row r="411" spans="2:15" x14ac:dyDescent="0.45">
      <c r="B411" s="8" t="s">
        <v>110</v>
      </c>
      <c r="C411" s="8" t="s">
        <v>60</v>
      </c>
      <c r="D411" s="10">
        <v>0</v>
      </c>
      <c r="E411" s="8" t="s">
        <v>61</v>
      </c>
      <c r="G411" s="8" t="s">
        <v>130</v>
      </c>
      <c r="H411" s="8" t="s">
        <v>60</v>
      </c>
      <c r="I411" s="12">
        <v>6.6023142812389315E-2</v>
      </c>
      <c r="J411" s="8" t="s">
        <v>61</v>
      </c>
    </row>
    <row r="412" spans="2:15" x14ac:dyDescent="0.45">
      <c r="B412" s="9" t="s">
        <v>110</v>
      </c>
      <c r="C412" s="9" t="s">
        <v>62</v>
      </c>
      <c r="D412" s="11">
        <v>0</v>
      </c>
      <c r="E412" s="9" t="s">
        <v>61</v>
      </c>
      <c r="G412" s="9" t="s">
        <v>130</v>
      </c>
      <c r="H412" s="9" t="s">
        <v>62</v>
      </c>
      <c r="I412" s="13">
        <v>2.6983947949341624E-2</v>
      </c>
      <c r="J412" s="9" t="s">
        <v>61</v>
      </c>
    </row>
    <row r="413" spans="2:15" x14ac:dyDescent="0.45">
      <c r="B413" s="8" t="s">
        <v>110</v>
      </c>
      <c r="C413" s="8" t="s">
        <v>63</v>
      </c>
      <c r="D413" s="10">
        <v>1.1076724473383459E-3</v>
      </c>
      <c r="E413" s="8" t="s">
        <v>61</v>
      </c>
      <c r="G413" s="8" t="s">
        <v>130</v>
      </c>
      <c r="H413" s="8" t="s">
        <v>63</v>
      </c>
      <c r="I413" s="12">
        <v>2.7836401387247512E-2</v>
      </c>
      <c r="J413" s="8" t="s">
        <v>61</v>
      </c>
    </row>
    <row r="414" spans="2:15" x14ac:dyDescent="0.45">
      <c r="B414" s="9" t="s">
        <v>110</v>
      </c>
      <c r="C414" s="9" t="s">
        <v>64</v>
      </c>
      <c r="D414" s="11">
        <v>1.484347371818173E-2</v>
      </c>
      <c r="E414" s="9" t="s">
        <v>61</v>
      </c>
      <c r="G414" s="9" t="s">
        <v>130</v>
      </c>
      <c r="H414" s="9" t="s">
        <v>64</v>
      </c>
      <c r="I414" s="13">
        <v>2.9049738608486919E-2</v>
      </c>
      <c r="J414" s="9" t="s">
        <v>61</v>
      </c>
    </row>
    <row r="415" spans="2:15" x14ac:dyDescent="0.45">
      <c r="B415" s="8" t="s">
        <v>110</v>
      </c>
      <c r="C415" s="8" t="s">
        <v>65</v>
      </c>
      <c r="D415" s="10">
        <v>2.3234730742351776E-2</v>
      </c>
      <c r="E415" s="8" t="s">
        <v>61</v>
      </c>
      <c r="G415" s="8" t="s">
        <v>130</v>
      </c>
      <c r="H415" s="8" t="s">
        <v>65</v>
      </c>
      <c r="I415" s="12">
        <v>2.6482905706311701E-2</v>
      </c>
      <c r="J415" s="8" t="s">
        <v>61</v>
      </c>
    </row>
    <row r="416" spans="2:15" x14ac:dyDescent="0.45">
      <c r="B416" s="9" t="s">
        <v>110</v>
      </c>
      <c r="C416" s="9" t="s">
        <v>66</v>
      </c>
      <c r="D416" s="11">
        <v>2.2407309075420354E-2</v>
      </c>
      <c r="E416" s="9" t="s">
        <v>61</v>
      </c>
      <c r="G416" s="9" t="s">
        <v>130</v>
      </c>
      <c r="H416" s="9" t="s">
        <v>66</v>
      </c>
      <c r="I416" s="13">
        <v>2.8002660505884198E-2</v>
      </c>
      <c r="J416" s="9" t="s">
        <v>61</v>
      </c>
    </row>
    <row r="417" spans="2:10" x14ac:dyDescent="0.45">
      <c r="B417" s="8" t="s">
        <v>110</v>
      </c>
      <c r="C417" s="8" t="s">
        <v>67</v>
      </c>
      <c r="D417" s="10">
        <v>9.4737181616165525E-3</v>
      </c>
      <c r="E417" s="8" t="s">
        <v>61</v>
      </c>
      <c r="G417" s="8" t="s">
        <v>130</v>
      </c>
      <c r="H417" s="8" t="s">
        <v>67</v>
      </c>
      <c r="I417" s="12">
        <v>2.880737797603097E-2</v>
      </c>
      <c r="J417" s="8" t="s">
        <v>61</v>
      </c>
    </row>
    <row r="418" spans="2:10" x14ac:dyDescent="0.45">
      <c r="B418" s="9" t="s">
        <v>110</v>
      </c>
      <c r="C418" s="9" t="s">
        <v>68</v>
      </c>
      <c r="D418" s="11">
        <v>7.2006327193004105E-4</v>
      </c>
      <c r="E418" s="9" t="s">
        <v>61</v>
      </c>
      <c r="G418" s="9" t="s">
        <v>130</v>
      </c>
      <c r="H418" s="9" t="s">
        <v>68</v>
      </c>
      <c r="I418" s="13">
        <v>3.0096548869244868E-2</v>
      </c>
      <c r="J418" s="9" t="s">
        <v>61</v>
      </c>
    </row>
    <row r="419" spans="2:10" x14ac:dyDescent="0.45">
      <c r="B419" s="8" t="s">
        <v>110</v>
      </c>
      <c r="C419" s="8" t="s">
        <v>69</v>
      </c>
      <c r="D419" s="10">
        <v>0</v>
      </c>
      <c r="E419" s="8" t="s">
        <v>61</v>
      </c>
      <c r="G419" s="8" t="s">
        <v>130</v>
      </c>
      <c r="H419" s="8" t="s">
        <v>69</v>
      </c>
      <c r="I419" s="12">
        <v>3.0382510489332177E-2</v>
      </c>
      <c r="J419" s="8" t="s">
        <v>61</v>
      </c>
    </row>
    <row r="420" spans="2:10" x14ac:dyDescent="0.45">
      <c r="B420" s="9" t="s">
        <v>110</v>
      </c>
      <c r="C420" s="9" t="s">
        <v>70</v>
      </c>
      <c r="D420" s="11">
        <v>0</v>
      </c>
      <c r="E420" s="9" t="s">
        <v>61</v>
      </c>
      <c r="G420" s="9" t="s">
        <v>130</v>
      </c>
      <c r="H420" s="9" t="s">
        <v>70</v>
      </c>
      <c r="I420" s="13">
        <v>4.2340774031496407E-2</v>
      </c>
      <c r="J420" s="9" t="s">
        <v>61</v>
      </c>
    </row>
    <row r="421" spans="2:10" x14ac:dyDescent="0.45">
      <c r="B421" s="8" t="s">
        <v>110</v>
      </c>
      <c r="C421" s="8" t="s">
        <v>71</v>
      </c>
      <c r="D421" s="10">
        <v>2.591425465353599E-4</v>
      </c>
      <c r="E421" s="8" t="s">
        <v>61</v>
      </c>
      <c r="G421" s="8" t="s">
        <v>130</v>
      </c>
      <c r="H421" s="8" t="s">
        <v>71</v>
      </c>
      <c r="I421" s="12">
        <v>4.8476579655328651E-2</v>
      </c>
      <c r="J421" s="8" t="s">
        <v>61</v>
      </c>
    </row>
    <row r="422" spans="2:10" x14ac:dyDescent="0.45">
      <c r="B422" s="9" t="s">
        <v>110</v>
      </c>
      <c r="C422" s="9" t="s">
        <v>72</v>
      </c>
      <c r="D422" s="11">
        <v>1.5732195594986047E-2</v>
      </c>
      <c r="E422" s="9" t="s">
        <v>61</v>
      </c>
      <c r="G422" s="9" t="s">
        <v>130</v>
      </c>
      <c r="H422" s="9" t="s">
        <v>72</v>
      </c>
      <c r="I422" s="13">
        <v>1.8480567398719276E-2</v>
      </c>
      <c r="J422" s="9" t="s">
        <v>61</v>
      </c>
    </row>
    <row r="423" spans="2:10" x14ac:dyDescent="0.45">
      <c r="B423" s="8" t="s">
        <v>110</v>
      </c>
      <c r="C423" s="8" t="s">
        <v>73</v>
      </c>
      <c r="D423" s="10">
        <v>5.0555079349228552E-2</v>
      </c>
      <c r="E423" s="8" t="s">
        <v>61</v>
      </c>
      <c r="G423" s="8" t="s">
        <v>130</v>
      </c>
      <c r="H423" s="8" t="s">
        <v>73</v>
      </c>
      <c r="I423" s="12">
        <v>1.7343269640733842E-2</v>
      </c>
      <c r="J423" s="8" t="s">
        <v>61</v>
      </c>
    </row>
    <row r="424" spans="2:10" x14ac:dyDescent="0.45">
      <c r="B424" s="9" t="s">
        <v>110</v>
      </c>
      <c r="C424" s="9" t="s">
        <v>74</v>
      </c>
      <c r="D424" s="11">
        <v>7.2773057620951959E-2</v>
      </c>
      <c r="E424" s="9" t="s">
        <v>61</v>
      </c>
      <c r="G424" s="9" t="s">
        <v>130</v>
      </c>
      <c r="H424" s="9" t="s">
        <v>74</v>
      </c>
      <c r="I424" s="13">
        <v>1.7733339365993368E-2</v>
      </c>
      <c r="J424" s="9" t="s">
        <v>61</v>
      </c>
    </row>
    <row r="425" spans="2:10" x14ac:dyDescent="0.45">
      <c r="B425" s="8" t="s">
        <v>110</v>
      </c>
      <c r="C425" s="8" t="s">
        <v>75</v>
      </c>
      <c r="D425" s="10">
        <v>7.1653448935656991E-2</v>
      </c>
      <c r="E425" s="8" t="s">
        <v>61</v>
      </c>
      <c r="G425" s="8" t="s">
        <v>130</v>
      </c>
      <c r="H425" s="8" t="s">
        <v>75</v>
      </c>
      <c r="I425" s="12">
        <v>1.6065938510581735E-2</v>
      </c>
      <c r="J425" s="8" t="s">
        <v>61</v>
      </c>
    </row>
    <row r="426" spans="2:10" x14ac:dyDescent="0.45">
      <c r="B426" s="9" t="s">
        <v>110</v>
      </c>
      <c r="C426" s="9" t="s">
        <v>76</v>
      </c>
      <c r="D426" s="11">
        <v>6.9685375607143371E-2</v>
      </c>
      <c r="E426" s="9" t="s">
        <v>61</v>
      </c>
      <c r="G426" s="9" t="s">
        <v>130</v>
      </c>
      <c r="H426" s="9" t="s">
        <v>76</v>
      </c>
      <c r="I426" s="13">
        <v>1.8761545912110798E-2</v>
      </c>
      <c r="J426" s="9" t="s">
        <v>61</v>
      </c>
    </row>
    <row r="427" spans="2:10" x14ac:dyDescent="0.45">
      <c r="B427" s="8" t="s">
        <v>110</v>
      </c>
      <c r="C427" s="8" t="s">
        <v>77</v>
      </c>
      <c r="D427" s="10">
        <v>5.5158605736433858E-2</v>
      </c>
      <c r="E427" s="8" t="s">
        <v>61</v>
      </c>
      <c r="G427" s="8" t="s">
        <v>130</v>
      </c>
      <c r="H427" s="8" t="s">
        <v>77</v>
      </c>
      <c r="I427" s="12">
        <v>1.8799503038857756E-2</v>
      </c>
      <c r="J427" s="8" t="s">
        <v>61</v>
      </c>
    </row>
    <row r="428" spans="2:10" x14ac:dyDescent="0.45">
      <c r="B428" s="9" t="s">
        <v>110</v>
      </c>
      <c r="C428" s="9" t="s">
        <v>78</v>
      </c>
      <c r="D428" s="11">
        <v>2.6941839897119544E-2</v>
      </c>
      <c r="E428" s="9" t="s">
        <v>61</v>
      </c>
      <c r="G428" s="9" t="s">
        <v>130</v>
      </c>
      <c r="H428" s="9" t="s">
        <v>78</v>
      </c>
      <c r="I428" s="13">
        <v>1.8540807374525181E-2</v>
      </c>
      <c r="J428" s="9" t="s">
        <v>61</v>
      </c>
    </row>
    <row r="429" spans="2:10" x14ac:dyDescent="0.45">
      <c r="B429" s="8" t="s">
        <v>110</v>
      </c>
      <c r="C429" s="8" t="s">
        <v>79</v>
      </c>
      <c r="D429" s="10">
        <v>2.8187920893682225E-3</v>
      </c>
      <c r="E429" s="8" t="s">
        <v>61</v>
      </c>
      <c r="G429" s="8" t="s">
        <v>130</v>
      </c>
      <c r="H429" s="8" t="s">
        <v>79</v>
      </c>
      <c r="I429" s="12">
        <v>2.0280606814493344E-2</v>
      </c>
      <c r="J429" s="8" t="s">
        <v>61</v>
      </c>
    </row>
    <row r="430" spans="2:10" x14ac:dyDescent="0.45">
      <c r="B430" s="9" t="s">
        <v>110</v>
      </c>
      <c r="C430" s="9" t="s">
        <v>80</v>
      </c>
      <c r="D430" s="11">
        <v>0</v>
      </c>
      <c r="E430" s="9" t="s">
        <v>61</v>
      </c>
      <c r="G430" s="9" t="s">
        <v>130</v>
      </c>
      <c r="H430" s="9" t="s">
        <v>80</v>
      </c>
      <c r="I430" s="13">
        <v>3.1029110303077888E-2</v>
      </c>
      <c r="J430" s="9" t="s">
        <v>61</v>
      </c>
    </row>
    <row r="431" spans="2:10" x14ac:dyDescent="0.45">
      <c r="B431" s="8" t="s">
        <v>110</v>
      </c>
      <c r="C431" s="8" t="s">
        <v>81</v>
      </c>
      <c r="D431" s="10">
        <v>2.0239934906059061E-3</v>
      </c>
      <c r="E431" s="8" t="s">
        <v>61</v>
      </c>
      <c r="G431" s="8" t="s">
        <v>130</v>
      </c>
      <c r="H431" s="8" t="s">
        <v>81</v>
      </c>
      <c r="I431" s="12">
        <v>3.4607383183630047E-2</v>
      </c>
      <c r="J431" s="8" t="s">
        <v>61</v>
      </c>
    </row>
    <row r="432" spans="2:10" x14ac:dyDescent="0.45">
      <c r="B432" s="9" t="s">
        <v>110</v>
      </c>
      <c r="C432" s="9" t="s">
        <v>82</v>
      </c>
      <c r="D432" s="11">
        <v>2.7894451403914E-2</v>
      </c>
      <c r="E432" s="9" t="s">
        <v>61</v>
      </c>
      <c r="G432" s="9" t="s">
        <v>130</v>
      </c>
      <c r="H432" s="9" t="s">
        <v>82</v>
      </c>
      <c r="I432" s="13">
        <v>1.3550750068923588E-2</v>
      </c>
      <c r="J432" s="9" t="s">
        <v>61</v>
      </c>
    </row>
    <row r="433" spans="2:10" x14ac:dyDescent="0.45">
      <c r="B433" s="8" t="s">
        <v>110</v>
      </c>
      <c r="C433" s="8" t="s">
        <v>83</v>
      </c>
      <c r="D433" s="10">
        <v>5.7931243391611938E-2</v>
      </c>
      <c r="E433" s="8" t="s">
        <v>61</v>
      </c>
      <c r="G433" s="8" t="s">
        <v>130</v>
      </c>
      <c r="H433" s="8" t="s">
        <v>83</v>
      </c>
      <c r="I433" s="12">
        <v>1.1394516429781846E-2</v>
      </c>
      <c r="J433" s="8" t="s">
        <v>61</v>
      </c>
    </row>
    <row r="434" spans="2:10" x14ac:dyDescent="0.45">
      <c r="B434" s="9" t="s">
        <v>110</v>
      </c>
      <c r="C434" s="9" t="s">
        <v>84</v>
      </c>
      <c r="D434" s="11">
        <v>7.3020139134052961E-2</v>
      </c>
      <c r="E434" s="9" t="s">
        <v>61</v>
      </c>
      <c r="G434" s="9" t="s">
        <v>130</v>
      </c>
      <c r="H434" s="9" t="s">
        <v>84</v>
      </c>
      <c r="I434" s="13">
        <v>1.1645870019424902E-2</v>
      </c>
      <c r="J434" s="9" t="s">
        <v>61</v>
      </c>
    </row>
    <row r="435" spans="2:10" x14ac:dyDescent="0.45">
      <c r="B435" s="8" t="s">
        <v>110</v>
      </c>
      <c r="C435" s="8" t="s">
        <v>85</v>
      </c>
      <c r="D435" s="10">
        <v>7.3048333904930512E-2</v>
      </c>
      <c r="E435" s="8" t="s">
        <v>61</v>
      </c>
      <c r="G435" s="8" t="s">
        <v>130</v>
      </c>
      <c r="H435" s="8" t="s">
        <v>85</v>
      </c>
      <c r="I435" s="12">
        <v>9.3927289988428638E-3</v>
      </c>
      <c r="J435" s="8" t="s">
        <v>61</v>
      </c>
    </row>
    <row r="436" spans="2:10" x14ac:dyDescent="0.45">
      <c r="B436" s="9" t="s">
        <v>110</v>
      </c>
      <c r="C436" s="9" t="s">
        <v>86</v>
      </c>
      <c r="D436" s="11">
        <v>7.1659977473665135E-2</v>
      </c>
      <c r="E436" s="9" t="s">
        <v>61</v>
      </c>
      <c r="G436" s="9" t="s">
        <v>130</v>
      </c>
      <c r="H436" s="9" t="s">
        <v>86</v>
      </c>
      <c r="I436" s="13">
        <v>1.1034968625200918E-2</v>
      </c>
      <c r="J436" s="9" t="s">
        <v>61</v>
      </c>
    </row>
    <row r="437" spans="2:10" x14ac:dyDescent="0.45">
      <c r="B437" s="8" t="s">
        <v>110</v>
      </c>
      <c r="C437" s="8" t="s">
        <v>87</v>
      </c>
      <c r="D437" s="10">
        <v>6.2220776845145043E-2</v>
      </c>
      <c r="E437" s="8" t="s">
        <v>61</v>
      </c>
      <c r="G437" s="8" t="s">
        <v>130</v>
      </c>
      <c r="H437" s="8" t="s">
        <v>87</v>
      </c>
      <c r="I437" s="12">
        <v>1.1446767180883046E-2</v>
      </c>
      <c r="J437" s="8" t="s">
        <v>61</v>
      </c>
    </row>
    <row r="438" spans="2:10" x14ac:dyDescent="0.45">
      <c r="B438" s="9" t="s">
        <v>110</v>
      </c>
      <c r="C438" s="9" t="s">
        <v>88</v>
      </c>
      <c r="D438" s="11">
        <v>3.99604197716271E-2</v>
      </c>
      <c r="E438" s="9" t="s">
        <v>61</v>
      </c>
      <c r="G438" s="9" t="s">
        <v>130</v>
      </c>
      <c r="H438" s="9" t="s">
        <v>88</v>
      </c>
      <c r="I438" s="13">
        <v>1.0115288502362348E-2</v>
      </c>
      <c r="J438" s="9" t="s">
        <v>61</v>
      </c>
    </row>
    <row r="439" spans="2:10" x14ac:dyDescent="0.45">
      <c r="B439" s="8" t="s">
        <v>110</v>
      </c>
      <c r="C439" s="8" t="s">
        <v>89</v>
      </c>
      <c r="D439" s="10">
        <v>1.0851935010949948E-2</v>
      </c>
      <c r="E439" s="8" t="s">
        <v>61</v>
      </c>
      <c r="G439" s="8" t="s">
        <v>130</v>
      </c>
      <c r="H439" s="8" t="s">
        <v>89</v>
      </c>
      <c r="I439" s="12">
        <v>1.1588656851688958E-2</v>
      </c>
      <c r="J439" s="8" t="s">
        <v>61</v>
      </c>
    </row>
    <row r="440" spans="2:10" x14ac:dyDescent="0.45">
      <c r="B440" s="9" t="s">
        <v>110</v>
      </c>
      <c r="C440" s="9" t="s">
        <v>90</v>
      </c>
      <c r="D440" s="11">
        <v>0</v>
      </c>
      <c r="E440" s="9" t="s">
        <v>61</v>
      </c>
      <c r="G440" s="9" t="s">
        <v>130</v>
      </c>
      <c r="H440" s="9" t="s">
        <v>90</v>
      </c>
      <c r="I440" s="13">
        <v>1.9623910782847233E-2</v>
      </c>
      <c r="J440" s="9" t="s">
        <v>61</v>
      </c>
    </row>
    <row r="441" spans="2:10" x14ac:dyDescent="0.45">
      <c r="B441" s="8" t="s">
        <v>110</v>
      </c>
      <c r="C441" s="8" t="s">
        <v>91</v>
      </c>
      <c r="D441" s="10">
        <v>0</v>
      </c>
      <c r="E441" s="8" t="s">
        <v>61</v>
      </c>
      <c r="G441" s="8" t="s">
        <v>130</v>
      </c>
      <c r="H441" s="8" t="s">
        <v>91</v>
      </c>
      <c r="I441" s="12">
        <v>6.100356183634062E-2</v>
      </c>
      <c r="J441" s="8" t="s">
        <v>61</v>
      </c>
    </row>
    <row r="442" spans="2:10" x14ac:dyDescent="0.45">
      <c r="B442" s="9" t="s">
        <v>110</v>
      </c>
      <c r="C442" s="9" t="s">
        <v>92</v>
      </c>
      <c r="D442" s="11">
        <v>1.5638068904320602E-3</v>
      </c>
      <c r="E442" s="9" t="s">
        <v>61</v>
      </c>
      <c r="G442" s="9" t="s">
        <v>130</v>
      </c>
      <c r="H442" s="9" t="s">
        <v>92</v>
      </c>
      <c r="I442" s="13">
        <v>2.6187333221597893E-2</v>
      </c>
      <c r="J442" s="9" t="s">
        <v>61</v>
      </c>
    </row>
    <row r="443" spans="2:10" x14ac:dyDescent="0.45">
      <c r="B443" s="8" t="s">
        <v>110</v>
      </c>
      <c r="C443" s="8" t="s">
        <v>93</v>
      </c>
      <c r="D443" s="10">
        <v>1.7188246462746883E-2</v>
      </c>
      <c r="E443" s="8" t="s">
        <v>61</v>
      </c>
      <c r="G443" s="8" t="s">
        <v>130</v>
      </c>
      <c r="H443" s="8" t="s">
        <v>93</v>
      </c>
      <c r="I443" s="12">
        <v>2.6813264591842006E-2</v>
      </c>
      <c r="J443" s="8" t="s">
        <v>61</v>
      </c>
    </row>
    <row r="444" spans="2:10" x14ac:dyDescent="0.45">
      <c r="B444" s="9" t="s">
        <v>110</v>
      </c>
      <c r="C444" s="9" t="s">
        <v>94</v>
      </c>
      <c r="D444" s="11">
        <v>3.162383088890966E-2</v>
      </c>
      <c r="E444" s="9" t="s">
        <v>61</v>
      </c>
      <c r="G444" s="9" t="s">
        <v>130</v>
      </c>
      <c r="H444" s="9" t="s">
        <v>94</v>
      </c>
      <c r="I444" s="13">
        <v>2.6563777088207285E-2</v>
      </c>
      <c r="J444" s="9" t="s">
        <v>61</v>
      </c>
    </row>
    <row r="445" spans="2:10" x14ac:dyDescent="0.45">
      <c r="B445" s="8" t="s">
        <v>110</v>
      </c>
      <c r="C445" s="8" t="s">
        <v>95</v>
      </c>
      <c r="D445" s="10">
        <v>3.3524046787809944E-2</v>
      </c>
      <c r="E445" s="8" t="s">
        <v>61</v>
      </c>
      <c r="G445" s="8" t="s">
        <v>130</v>
      </c>
      <c r="H445" s="8" t="s">
        <v>95</v>
      </c>
      <c r="I445" s="12">
        <v>2.2693188433682586E-2</v>
      </c>
      <c r="J445" s="8" t="s">
        <v>61</v>
      </c>
    </row>
    <row r="446" spans="2:10" x14ac:dyDescent="0.45">
      <c r="B446" s="9" t="s">
        <v>110</v>
      </c>
      <c r="C446" s="9" t="s">
        <v>96</v>
      </c>
      <c r="D446" s="11">
        <v>3.2738953398888403E-2</v>
      </c>
      <c r="E446" s="9" t="s">
        <v>61</v>
      </c>
      <c r="G446" s="9" t="s">
        <v>130</v>
      </c>
      <c r="H446" s="9" t="s">
        <v>96</v>
      </c>
      <c r="I446" s="13">
        <v>2.2656187971557565E-2</v>
      </c>
      <c r="J446" s="9" t="s">
        <v>61</v>
      </c>
    </row>
    <row r="447" spans="2:10" x14ac:dyDescent="0.45">
      <c r="B447" s="8" t="s">
        <v>110</v>
      </c>
      <c r="C447" s="8" t="s">
        <v>97</v>
      </c>
      <c r="D447" s="10">
        <v>2.1421330708629064E-2</v>
      </c>
      <c r="E447" s="8" t="s">
        <v>61</v>
      </c>
      <c r="G447" s="8" t="s">
        <v>130</v>
      </c>
      <c r="H447" s="8" t="s">
        <v>97</v>
      </c>
      <c r="I447" s="12">
        <v>2.1829180691783117E-2</v>
      </c>
      <c r="J447" s="8" t="s">
        <v>61</v>
      </c>
    </row>
    <row r="448" spans="2:10" x14ac:dyDescent="0.45">
      <c r="B448" s="9" t="s">
        <v>110</v>
      </c>
      <c r="C448" s="9" t="s">
        <v>98</v>
      </c>
      <c r="D448" s="11">
        <v>5.9640096418165731E-3</v>
      </c>
      <c r="E448" s="9" t="s">
        <v>61</v>
      </c>
      <c r="G448" s="9" t="s">
        <v>130</v>
      </c>
      <c r="H448" s="9" t="s">
        <v>98</v>
      </c>
      <c r="I448" s="13">
        <v>2.3041733625472155E-2</v>
      </c>
      <c r="J448" s="9" t="s">
        <v>61</v>
      </c>
    </row>
    <row r="449" spans="2:10" x14ac:dyDescent="0.45">
      <c r="B449" s="8" t="s">
        <v>110</v>
      </c>
      <c r="C449" s="8" t="s">
        <v>99</v>
      </c>
      <c r="D449" s="10">
        <v>0</v>
      </c>
      <c r="E449" s="8" t="s">
        <v>61</v>
      </c>
      <c r="G449" s="8" t="s">
        <v>130</v>
      </c>
      <c r="H449" s="8" t="s">
        <v>99</v>
      </c>
      <c r="I449" s="12">
        <v>2.5273265346712436E-2</v>
      </c>
      <c r="J449" s="8" t="s">
        <v>61</v>
      </c>
    </row>
    <row r="450" spans="2:10" x14ac:dyDescent="0.45">
      <c r="B450" s="9" t="s">
        <v>110</v>
      </c>
      <c r="C450" s="9" t="s">
        <v>100</v>
      </c>
      <c r="D450" s="11">
        <v>0</v>
      </c>
      <c r="E450" s="9" t="s">
        <v>61</v>
      </c>
      <c r="G450" s="9" t="s">
        <v>130</v>
      </c>
      <c r="H450" s="9" t="s">
        <v>100</v>
      </c>
      <c r="I450" s="13">
        <v>3.8020390199029877E-2</v>
      </c>
      <c r="J450" s="9" t="s">
        <v>61</v>
      </c>
    </row>
    <row r="451" spans="2:10" x14ac:dyDescent="0.45">
      <c r="B451" s="8" t="s">
        <v>111</v>
      </c>
      <c r="C451" s="8" t="s">
        <v>60</v>
      </c>
      <c r="D451" s="10">
        <v>0</v>
      </c>
      <c r="E451" s="8" t="s">
        <v>61</v>
      </c>
      <c r="G451" s="8" t="s">
        <v>131</v>
      </c>
      <c r="H451" s="8" t="s">
        <v>60</v>
      </c>
      <c r="I451" s="12">
        <v>6.4403010362439839E-2</v>
      </c>
      <c r="J451" s="8" t="s">
        <v>61</v>
      </c>
    </row>
    <row r="452" spans="2:10" x14ac:dyDescent="0.45">
      <c r="B452" s="9" t="s">
        <v>111</v>
      </c>
      <c r="C452" s="9" t="s">
        <v>62</v>
      </c>
      <c r="D452" s="11">
        <v>0</v>
      </c>
      <c r="E452" s="9" t="s">
        <v>61</v>
      </c>
      <c r="G452" s="9" t="s">
        <v>131</v>
      </c>
      <c r="H452" s="9" t="s">
        <v>62</v>
      </c>
      <c r="I452" s="13">
        <v>2.6498175423239057E-2</v>
      </c>
      <c r="J452" s="9" t="s">
        <v>61</v>
      </c>
    </row>
    <row r="453" spans="2:10" x14ac:dyDescent="0.45">
      <c r="B453" s="8" t="s">
        <v>111</v>
      </c>
      <c r="C453" s="8" t="s">
        <v>63</v>
      </c>
      <c r="D453" s="10">
        <v>3.1919386499890991E-3</v>
      </c>
      <c r="E453" s="8" t="s">
        <v>61</v>
      </c>
      <c r="G453" s="8" t="s">
        <v>131</v>
      </c>
      <c r="H453" s="8" t="s">
        <v>63</v>
      </c>
      <c r="I453" s="12">
        <v>2.7291815653279507E-2</v>
      </c>
      <c r="J453" s="8" t="s">
        <v>61</v>
      </c>
    </row>
    <row r="454" spans="2:10" x14ac:dyDescent="0.45">
      <c r="B454" s="9" t="s">
        <v>111</v>
      </c>
      <c r="C454" s="9" t="s">
        <v>64</v>
      </c>
      <c r="D454" s="11">
        <v>2.2960293366042162E-2</v>
      </c>
      <c r="E454" s="9" t="s">
        <v>61</v>
      </c>
      <c r="G454" s="9" t="s">
        <v>131</v>
      </c>
      <c r="H454" s="9" t="s">
        <v>64</v>
      </c>
      <c r="I454" s="13">
        <v>2.7696057319323661E-2</v>
      </c>
      <c r="J454" s="9" t="s">
        <v>61</v>
      </c>
    </row>
    <row r="455" spans="2:10" x14ac:dyDescent="0.45">
      <c r="B455" s="8" t="s">
        <v>111</v>
      </c>
      <c r="C455" s="8" t="s">
        <v>65</v>
      </c>
      <c r="D455" s="10">
        <v>3.0333194148844229E-2</v>
      </c>
      <c r="E455" s="8" t="s">
        <v>61</v>
      </c>
      <c r="G455" s="8" t="s">
        <v>131</v>
      </c>
      <c r="H455" s="8" t="s">
        <v>65</v>
      </c>
      <c r="I455" s="12">
        <v>2.5979882365494988E-2</v>
      </c>
      <c r="J455" s="8" t="s">
        <v>61</v>
      </c>
    </row>
    <row r="456" spans="2:10" x14ac:dyDescent="0.45">
      <c r="B456" s="9" t="s">
        <v>111</v>
      </c>
      <c r="C456" s="9" t="s">
        <v>66</v>
      </c>
      <c r="D456" s="11">
        <v>3.1370449200021952E-2</v>
      </c>
      <c r="E456" s="9" t="s">
        <v>61</v>
      </c>
      <c r="G456" s="9" t="s">
        <v>131</v>
      </c>
      <c r="H456" s="9" t="s">
        <v>66</v>
      </c>
      <c r="I456" s="13">
        <v>2.5930082674110524E-2</v>
      </c>
      <c r="J456" s="9" t="s">
        <v>61</v>
      </c>
    </row>
    <row r="457" spans="2:10" x14ac:dyDescent="0.45">
      <c r="B457" s="8" t="s">
        <v>111</v>
      </c>
      <c r="C457" s="8" t="s">
        <v>67</v>
      </c>
      <c r="D457" s="10">
        <v>1.4276936740389908E-2</v>
      </c>
      <c r="E457" s="8" t="s">
        <v>61</v>
      </c>
      <c r="G457" s="8" t="s">
        <v>131</v>
      </c>
      <c r="H457" s="8" t="s">
        <v>67</v>
      </c>
      <c r="I457" s="12">
        <v>2.6036725765266246E-2</v>
      </c>
      <c r="J457" s="8" t="s">
        <v>61</v>
      </c>
    </row>
    <row r="458" spans="2:10" x14ac:dyDescent="0.45">
      <c r="B458" s="9" t="s">
        <v>111</v>
      </c>
      <c r="C458" s="9" t="s">
        <v>68</v>
      </c>
      <c r="D458" s="11">
        <v>9.8027215118461639E-4</v>
      </c>
      <c r="E458" s="9" t="s">
        <v>61</v>
      </c>
      <c r="G458" s="9" t="s">
        <v>131</v>
      </c>
      <c r="H458" s="9" t="s">
        <v>68</v>
      </c>
      <c r="I458" s="13">
        <v>2.7789460938308631E-2</v>
      </c>
      <c r="J458" s="9" t="s">
        <v>61</v>
      </c>
    </row>
    <row r="459" spans="2:10" x14ac:dyDescent="0.45">
      <c r="B459" s="8" t="s">
        <v>111</v>
      </c>
      <c r="C459" s="8" t="s">
        <v>69</v>
      </c>
      <c r="D459" s="10">
        <v>0</v>
      </c>
      <c r="E459" s="8" t="s">
        <v>61</v>
      </c>
      <c r="G459" s="8" t="s">
        <v>131</v>
      </c>
      <c r="H459" s="8" t="s">
        <v>69</v>
      </c>
      <c r="I459" s="12">
        <v>2.8470371793645446E-2</v>
      </c>
      <c r="J459" s="8" t="s">
        <v>61</v>
      </c>
    </row>
    <row r="460" spans="2:10" x14ac:dyDescent="0.45">
      <c r="B460" s="9" t="s">
        <v>111</v>
      </c>
      <c r="C460" s="9" t="s">
        <v>70</v>
      </c>
      <c r="D460" s="11">
        <v>0</v>
      </c>
      <c r="E460" s="9" t="s">
        <v>61</v>
      </c>
      <c r="G460" s="9" t="s">
        <v>131</v>
      </c>
      <c r="H460" s="9" t="s">
        <v>70</v>
      </c>
      <c r="I460" s="13">
        <v>4.0452488848517223E-2</v>
      </c>
      <c r="J460" s="9" t="s">
        <v>61</v>
      </c>
    </row>
    <row r="461" spans="2:10" x14ac:dyDescent="0.45">
      <c r="B461" s="8" t="s">
        <v>111</v>
      </c>
      <c r="C461" s="8" t="s">
        <v>71</v>
      </c>
      <c r="D461" s="10">
        <v>0</v>
      </c>
      <c r="E461" s="8" t="s">
        <v>61</v>
      </c>
      <c r="G461" s="8" t="s">
        <v>131</v>
      </c>
      <c r="H461" s="8" t="s">
        <v>71</v>
      </c>
      <c r="I461" s="12">
        <v>5.5440727362598474E-2</v>
      </c>
      <c r="J461" s="8" t="s">
        <v>61</v>
      </c>
    </row>
    <row r="462" spans="2:10" x14ac:dyDescent="0.45">
      <c r="B462" s="9" t="s">
        <v>111</v>
      </c>
      <c r="C462" s="9" t="s">
        <v>72</v>
      </c>
      <c r="D462" s="11">
        <v>1.2563581167712919E-2</v>
      </c>
      <c r="E462" s="9" t="s">
        <v>61</v>
      </c>
      <c r="G462" s="9" t="s">
        <v>131</v>
      </c>
      <c r="H462" s="9" t="s">
        <v>72</v>
      </c>
      <c r="I462" s="13">
        <v>2.0403541939866741E-2</v>
      </c>
      <c r="J462" s="9" t="s">
        <v>61</v>
      </c>
    </row>
    <row r="463" spans="2:10" x14ac:dyDescent="0.45">
      <c r="B463" s="8" t="s">
        <v>111</v>
      </c>
      <c r="C463" s="8" t="s">
        <v>73</v>
      </c>
      <c r="D463" s="10">
        <v>4.5010203991049623E-2</v>
      </c>
      <c r="E463" s="8" t="s">
        <v>61</v>
      </c>
      <c r="G463" s="8" t="s">
        <v>131</v>
      </c>
      <c r="H463" s="8" t="s">
        <v>73</v>
      </c>
      <c r="I463" s="12">
        <v>1.6894993923825902E-2</v>
      </c>
      <c r="J463" s="8" t="s">
        <v>61</v>
      </c>
    </row>
    <row r="464" spans="2:10" x14ac:dyDescent="0.45">
      <c r="B464" s="9" t="s">
        <v>111</v>
      </c>
      <c r="C464" s="9" t="s">
        <v>74</v>
      </c>
      <c r="D464" s="11">
        <v>6.4517076207052465E-2</v>
      </c>
      <c r="E464" s="9" t="s">
        <v>61</v>
      </c>
      <c r="G464" s="9" t="s">
        <v>131</v>
      </c>
      <c r="H464" s="9" t="s">
        <v>74</v>
      </c>
      <c r="I464" s="13">
        <v>1.518685606153157E-2</v>
      </c>
      <c r="J464" s="9" t="s">
        <v>61</v>
      </c>
    </row>
    <row r="465" spans="2:10" x14ac:dyDescent="0.45">
      <c r="B465" s="8" t="s">
        <v>111</v>
      </c>
      <c r="C465" s="8" t="s">
        <v>75</v>
      </c>
      <c r="D465" s="10">
        <v>6.4476927772845846E-2</v>
      </c>
      <c r="E465" s="8" t="s">
        <v>61</v>
      </c>
      <c r="G465" s="8" t="s">
        <v>131</v>
      </c>
      <c r="H465" s="8" t="s">
        <v>75</v>
      </c>
      <c r="I465" s="12">
        <v>1.4682580891910352E-2</v>
      </c>
      <c r="J465" s="8" t="s">
        <v>61</v>
      </c>
    </row>
    <row r="466" spans="2:10" x14ac:dyDescent="0.45">
      <c r="B466" s="9" t="s">
        <v>111</v>
      </c>
      <c r="C466" s="9" t="s">
        <v>76</v>
      </c>
      <c r="D466" s="11">
        <v>6.1633569347827516E-2</v>
      </c>
      <c r="E466" s="9" t="s">
        <v>61</v>
      </c>
      <c r="G466" s="9" t="s">
        <v>131</v>
      </c>
      <c r="H466" s="9" t="s">
        <v>76</v>
      </c>
      <c r="I466" s="13">
        <v>1.7650320500559112E-2</v>
      </c>
      <c r="J466" s="9" t="s">
        <v>61</v>
      </c>
    </row>
    <row r="467" spans="2:10" x14ac:dyDescent="0.45">
      <c r="B467" s="8" t="s">
        <v>111</v>
      </c>
      <c r="C467" s="8" t="s">
        <v>77</v>
      </c>
      <c r="D467" s="10">
        <v>4.7864142276230245E-2</v>
      </c>
      <c r="E467" s="8" t="s">
        <v>61</v>
      </c>
      <c r="G467" s="8" t="s">
        <v>131</v>
      </c>
      <c r="H467" s="8" t="s">
        <v>77</v>
      </c>
      <c r="I467" s="12">
        <v>1.795556432910966E-2</v>
      </c>
      <c r="J467" s="8" t="s">
        <v>61</v>
      </c>
    </row>
    <row r="468" spans="2:10" x14ac:dyDescent="0.45">
      <c r="B468" s="9" t="s">
        <v>111</v>
      </c>
      <c r="C468" s="9" t="s">
        <v>78</v>
      </c>
      <c r="D468" s="11">
        <v>2.3699868520813624E-2</v>
      </c>
      <c r="E468" s="9" t="s">
        <v>61</v>
      </c>
      <c r="G468" s="9" t="s">
        <v>131</v>
      </c>
      <c r="H468" s="9" t="s">
        <v>78</v>
      </c>
      <c r="I468" s="13">
        <v>1.7785952828238766E-2</v>
      </c>
      <c r="J468" s="9" t="s">
        <v>61</v>
      </c>
    </row>
    <row r="469" spans="2:10" x14ac:dyDescent="0.45">
      <c r="B469" s="8" t="s">
        <v>111</v>
      </c>
      <c r="C469" s="8" t="s">
        <v>79</v>
      </c>
      <c r="D469" s="10">
        <v>1.8305163981733644E-3</v>
      </c>
      <c r="E469" s="8" t="s">
        <v>61</v>
      </c>
      <c r="G469" s="8" t="s">
        <v>131</v>
      </c>
      <c r="H469" s="8" t="s">
        <v>79</v>
      </c>
      <c r="I469" s="12">
        <v>2.0801030187854501E-2</v>
      </c>
      <c r="J469" s="8" t="s">
        <v>61</v>
      </c>
    </row>
    <row r="470" spans="2:10" x14ac:dyDescent="0.45">
      <c r="B470" s="9" t="s">
        <v>111</v>
      </c>
      <c r="C470" s="9" t="s">
        <v>80</v>
      </c>
      <c r="D470" s="11">
        <v>0</v>
      </c>
      <c r="E470" s="9" t="s">
        <v>61</v>
      </c>
      <c r="G470" s="9" t="s">
        <v>131</v>
      </c>
      <c r="H470" s="9" t="s">
        <v>80</v>
      </c>
      <c r="I470" s="13">
        <v>3.4556322938130157E-2</v>
      </c>
      <c r="J470" s="9" t="s">
        <v>61</v>
      </c>
    </row>
    <row r="471" spans="2:10" x14ac:dyDescent="0.45">
      <c r="B471" s="8" t="s">
        <v>111</v>
      </c>
      <c r="C471" s="8" t="s">
        <v>81</v>
      </c>
      <c r="D471" s="10">
        <v>0</v>
      </c>
      <c r="E471" s="8" t="s">
        <v>61</v>
      </c>
      <c r="G471" s="8" t="s">
        <v>131</v>
      </c>
      <c r="H471" s="8" t="s">
        <v>81</v>
      </c>
      <c r="I471" s="12">
        <v>3.7034629832650622E-2</v>
      </c>
      <c r="J471" s="8" t="s">
        <v>61</v>
      </c>
    </row>
    <row r="472" spans="2:10" x14ac:dyDescent="0.45">
      <c r="B472" s="9" t="s">
        <v>111</v>
      </c>
      <c r="C472" s="9" t="s">
        <v>82</v>
      </c>
      <c r="D472" s="11">
        <v>2.3362971050788866E-2</v>
      </c>
      <c r="E472" s="9" t="s">
        <v>61</v>
      </c>
      <c r="G472" s="9" t="s">
        <v>131</v>
      </c>
      <c r="H472" s="9" t="s">
        <v>82</v>
      </c>
      <c r="I472" s="13">
        <v>1.3893850908599096E-2</v>
      </c>
      <c r="J472" s="9" t="s">
        <v>61</v>
      </c>
    </row>
    <row r="473" spans="2:10" x14ac:dyDescent="0.45">
      <c r="B473" s="8" t="s">
        <v>111</v>
      </c>
      <c r="C473" s="8" t="s">
        <v>83</v>
      </c>
      <c r="D473" s="10">
        <v>5.5458343211818639E-2</v>
      </c>
      <c r="E473" s="8" t="s">
        <v>61</v>
      </c>
      <c r="G473" s="8" t="s">
        <v>131</v>
      </c>
      <c r="H473" s="8" t="s">
        <v>83</v>
      </c>
      <c r="I473" s="12">
        <v>1.1625939237257797E-2</v>
      </c>
      <c r="J473" s="8" t="s">
        <v>61</v>
      </c>
    </row>
    <row r="474" spans="2:10" x14ac:dyDescent="0.45">
      <c r="B474" s="9" t="s">
        <v>111</v>
      </c>
      <c r="C474" s="9" t="s">
        <v>84</v>
      </c>
      <c r="D474" s="11">
        <v>7.1064571769262286E-2</v>
      </c>
      <c r="E474" s="9" t="s">
        <v>61</v>
      </c>
      <c r="G474" s="9" t="s">
        <v>131</v>
      </c>
      <c r="H474" s="9" t="s">
        <v>84</v>
      </c>
      <c r="I474" s="13">
        <v>1.2745264286122486E-2</v>
      </c>
      <c r="J474" s="9" t="s">
        <v>61</v>
      </c>
    </row>
    <row r="475" spans="2:10" x14ac:dyDescent="0.45">
      <c r="B475" s="8" t="s">
        <v>111</v>
      </c>
      <c r="C475" s="8" t="s">
        <v>85</v>
      </c>
      <c r="D475" s="10">
        <v>7.182589927764424E-2</v>
      </c>
      <c r="E475" s="8" t="s">
        <v>61</v>
      </c>
      <c r="G475" s="8" t="s">
        <v>131</v>
      </c>
      <c r="H475" s="8" t="s">
        <v>85</v>
      </c>
      <c r="I475" s="12">
        <v>1.1881783234160059E-2</v>
      </c>
      <c r="J475" s="8" t="s">
        <v>61</v>
      </c>
    </row>
    <row r="476" spans="2:10" x14ac:dyDescent="0.45">
      <c r="B476" s="9" t="s">
        <v>111</v>
      </c>
      <c r="C476" s="9" t="s">
        <v>86</v>
      </c>
      <c r="D476" s="11">
        <v>6.8827238385357953E-2</v>
      </c>
      <c r="E476" s="9" t="s">
        <v>61</v>
      </c>
      <c r="G476" s="9" t="s">
        <v>131</v>
      </c>
      <c r="H476" s="9" t="s">
        <v>86</v>
      </c>
      <c r="I476" s="13">
        <v>1.3464412236061207E-2</v>
      </c>
      <c r="J476" s="9" t="s">
        <v>61</v>
      </c>
    </row>
    <row r="477" spans="2:10" x14ac:dyDescent="0.45">
      <c r="B477" s="8" t="s">
        <v>111</v>
      </c>
      <c r="C477" s="8" t="s">
        <v>87</v>
      </c>
      <c r="D477" s="10">
        <v>5.7939641963721006E-2</v>
      </c>
      <c r="E477" s="8" t="s">
        <v>61</v>
      </c>
      <c r="G477" s="8" t="s">
        <v>131</v>
      </c>
      <c r="H477" s="8" t="s">
        <v>87</v>
      </c>
      <c r="I477" s="12">
        <v>1.3390530401538909E-2</v>
      </c>
      <c r="J477" s="8" t="s">
        <v>61</v>
      </c>
    </row>
    <row r="478" spans="2:10" x14ac:dyDescent="0.45">
      <c r="B478" s="9" t="s">
        <v>111</v>
      </c>
      <c r="C478" s="9" t="s">
        <v>88</v>
      </c>
      <c r="D478" s="11">
        <v>3.6444733121291789E-2</v>
      </c>
      <c r="E478" s="9" t="s">
        <v>61</v>
      </c>
      <c r="G478" s="9" t="s">
        <v>131</v>
      </c>
      <c r="H478" s="9" t="s">
        <v>88</v>
      </c>
      <c r="I478" s="13">
        <v>1.1884456814167785E-2</v>
      </c>
      <c r="J478" s="9" t="s">
        <v>61</v>
      </c>
    </row>
    <row r="479" spans="2:10" x14ac:dyDescent="0.45">
      <c r="B479" s="8" t="s">
        <v>111</v>
      </c>
      <c r="C479" s="8" t="s">
        <v>89</v>
      </c>
      <c r="D479" s="10">
        <v>7.1340878639745151E-3</v>
      </c>
      <c r="E479" s="8" t="s">
        <v>61</v>
      </c>
      <c r="G479" s="8" t="s">
        <v>131</v>
      </c>
      <c r="H479" s="8" t="s">
        <v>89</v>
      </c>
      <c r="I479" s="12">
        <v>1.2781299178709946E-2</v>
      </c>
      <c r="J479" s="8" t="s">
        <v>61</v>
      </c>
    </row>
    <row r="480" spans="2:10" x14ac:dyDescent="0.45">
      <c r="B480" s="9" t="s">
        <v>111</v>
      </c>
      <c r="C480" s="9" t="s">
        <v>90</v>
      </c>
      <c r="D480" s="11">
        <v>0</v>
      </c>
      <c r="E480" s="9" t="s">
        <v>61</v>
      </c>
      <c r="G480" s="9" t="s">
        <v>131</v>
      </c>
      <c r="H480" s="9" t="s">
        <v>90</v>
      </c>
      <c r="I480" s="13">
        <v>2.3296030187794654E-2</v>
      </c>
      <c r="J480" s="9" t="s">
        <v>61</v>
      </c>
    </row>
    <row r="481" spans="2:10" x14ac:dyDescent="0.45">
      <c r="B481" s="8" t="s">
        <v>111</v>
      </c>
      <c r="C481" s="8" t="s">
        <v>91</v>
      </c>
      <c r="D481" s="10">
        <v>0</v>
      </c>
      <c r="E481" s="8" t="s">
        <v>61</v>
      </c>
      <c r="G481" s="8" t="s">
        <v>131</v>
      </c>
      <c r="H481" s="8" t="s">
        <v>91</v>
      </c>
      <c r="I481" s="12">
        <v>6.0997226733746003E-2</v>
      </c>
      <c r="J481" s="8" t="s">
        <v>61</v>
      </c>
    </row>
    <row r="482" spans="2:10" x14ac:dyDescent="0.45">
      <c r="B482" s="9" t="s">
        <v>111</v>
      </c>
      <c r="C482" s="9" t="s">
        <v>92</v>
      </c>
      <c r="D482" s="11">
        <v>1.7798050215854591E-3</v>
      </c>
      <c r="E482" s="9" t="s">
        <v>61</v>
      </c>
      <c r="G482" s="9" t="s">
        <v>131</v>
      </c>
      <c r="H482" s="9" t="s">
        <v>92</v>
      </c>
      <c r="I482" s="13">
        <v>2.4087398671314594E-2</v>
      </c>
      <c r="J482" s="9" t="s">
        <v>61</v>
      </c>
    </row>
    <row r="483" spans="2:10" x14ac:dyDescent="0.45">
      <c r="B483" s="8" t="s">
        <v>111</v>
      </c>
      <c r="C483" s="8" t="s">
        <v>93</v>
      </c>
      <c r="D483" s="10">
        <v>2.2420673824904737E-2</v>
      </c>
      <c r="E483" s="8" t="s">
        <v>61</v>
      </c>
      <c r="G483" s="8" t="s">
        <v>131</v>
      </c>
      <c r="H483" s="8" t="s">
        <v>93</v>
      </c>
      <c r="I483" s="12">
        <v>2.3777623510902495E-2</v>
      </c>
      <c r="J483" s="8" t="s">
        <v>61</v>
      </c>
    </row>
    <row r="484" spans="2:10" x14ac:dyDescent="0.45">
      <c r="B484" s="9" t="s">
        <v>111</v>
      </c>
      <c r="C484" s="9" t="s">
        <v>94</v>
      </c>
      <c r="D484" s="11">
        <v>4.1780664850212861E-2</v>
      </c>
      <c r="E484" s="9" t="s">
        <v>61</v>
      </c>
      <c r="G484" s="9" t="s">
        <v>131</v>
      </c>
      <c r="H484" s="9" t="s">
        <v>94</v>
      </c>
      <c r="I484" s="13">
        <v>2.2855668600710855E-2</v>
      </c>
      <c r="J484" s="9" t="s">
        <v>61</v>
      </c>
    </row>
    <row r="485" spans="2:10" x14ac:dyDescent="0.45">
      <c r="B485" s="8" t="s">
        <v>111</v>
      </c>
      <c r="C485" s="8" t="s">
        <v>95</v>
      </c>
      <c r="D485" s="10">
        <v>4.1868660625116953E-2</v>
      </c>
      <c r="E485" s="8" t="s">
        <v>61</v>
      </c>
      <c r="G485" s="8" t="s">
        <v>131</v>
      </c>
      <c r="H485" s="8" t="s">
        <v>95</v>
      </c>
      <c r="I485" s="12">
        <v>2.1038114727423379E-2</v>
      </c>
      <c r="J485" s="8" t="s">
        <v>61</v>
      </c>
    </row>
    <row r="486" spans="2:10" x14ac:dyDescent="0.45">
      <c r="B486" s="9" t="s">
        <v>111</v>
      </c>
      <c r="C486" s="9" t="s">
        <v>96</v>
      </c>
      <c r="D486" s="11">
        <v>4.2171045332864122E-2</v>
      </c>
      <c r="E486" s="9" t="s">
        <v>61</v>
      </c>
      <c r="G486" s="9" t="s">
        <v>131</v>
      </c>
      <c r="H486" s="9" t="s">
        <v>96</v>
      </c>
      <c r="I486" s="13">
        <v>2.2217655012177279E-2</v>
      </c>
      <c r="J486" s="9" t="s">
        <v>61</v>
      </c>
    </row>
    <row r="487" spans="2:10" x14ac:dyDescent="0.45">
      <c r="B487" s="8" t="s">
        <v>111</v>
      </c>
      <c r="C487" s="8" t="s">
        <v>97</v>
      </c>
      <c r="D487" s="10">
        <v>2.6653304610066455E-2</v>
      </c>
      <c r="E487" s="8" t="s">
        <v>61</v>
      </c>
      <c r="G487" s="8" t="s">
        <v>131</v>
      </c>
      <c r="H487" s="8" t="s">
        <v>97</v>
      </c>
      <c r="I487" s="12">
        <v>2.2839696455689253E-2</v>
      </c>
      <c r="J487" s="8" t="s">
        <v>61</v>
      </c>
    </row>
    <row r="488" spans="2:10" x14ac:dyDescent="0.45">
      <c r="B488" s="9" t="s">
        <v>111</v>
      </c>
      <c r="C488" s="9" t="s">
        <v>98</v>
      </c>
      <c r="D488" s="11">
        <v>6.5593891532138206E-3</v>
      </c>
      <c r="E488" s="9" t="s">
        <v>61</v>
      </c>
      <c r="G488" s="9" t="s">
        <v>131</v>
      </c>
      <c r="H488" s="9" t="s">
        <v>98</v>
      </c>
      <c r="I488" s="13">
        <v>2.4031734452422716E-2</v>
      </c>
      <c r="J488" s="9" t="s">
        <v>61</v>
      </c>
    </row>
    <row r="489" spans="2:10" x14ac:dyDescent="0.45">
      <c r="B489" s="8" t="s">
        <v>111</v>
      </c>
      <c r="C489" s="8" t="s">
        <v>99</v>
      </c>
      <c r="D489" s="10">
        <v>0</v>
      </c>
      <c r="E489" s="8" t="s">
        <v>61</v>
      </c>
      <c r="G489" s="8" t="s">
        <v>131</v>
      </c>
      <c r="H489" s="8" t="s">
        <v>99</v>
      </c>
      <c r="I489" s="12">
        <v>2.5797193661132218E-2</v>
      </c>
      <c r="J489" s="8" t="s">
        <v>61</v>
      </c>
    </row>
    <row r="490" spans="2:10" x14ac:dyDescent="0.45">
      <c r="B490" s="9" t="s">
        <v>111</v>
      </c>
      <c r="C490" s="9" t="s">
        <v>100</v>
      </c>
      <c r="D490" s="11">
        <v>0</v>
      </c>
      <c r="E490" s="9" t="s">
        <v>61</v>
      </c>
      <c r="G490" s="9" t="s">
        <v>131</v>
      </c>
      <c r="H490" s="9" t="s">
        <v>100</v>
      </c>
      <c r="I490" s="13">
        <v>3.8453529750167706E-2</v>
      </c>
      <c r="J490" s="9" t="s">
        <v>61</v>
      </c>
    </row>
    <row r="491" spans="2:10" x14ac:dyDescent="0.45">
      <c r="B491" s="8" t="s">
        <v>112</v>
      </c>
      <c r="C491" s="8" t="s">
        <v>60</v>
      </c>
      <c r="D491" s="10">
        <v>0</v>
      </c>
      <c r="E491" s="8" t="s">
        <v>61</v>
      </c>
      <c r="G491" s="8" t="s">
        <v>132</v>
      </c>
      <c r="H491" s="8" t="s">
        <v>60</v>
      </c>
      <c r="I491" s="12">
        <v>6.3767242963508192E-2</v>
      </c>
      <c r="J491" s="8" t="s">
        <v>61</v>
      </c>
    </row>
    <row r="492" spans="2:10" x14ac:dyDescent="0.45">
      <c r="B492" s="9" t="s">
        <v>112</v>
      </c>
      <c r="C492" s="9" t="s">
        <v>62</v>
      </c>
      <c r="D492" s="11">
        <v>0</v>
      </c>
      <c r="E492" s="9" t="s">
        <v>61</v>
      </c>
      <c r="G492" s="9" t="s">
        <v>132</v>
      </c>
      <c r="H492" s="9" t="s">
        <v>62</v>
      </c>
      <c r="I492" s="13">
        <v>2.5354480366520313E-2</v>
      </c>
      <c r="J492" s="9" t="s">
        <v>61</v>
      </c>
    </row>
    <row r="493" spans="2:10" x14ac:dyDescent="0.45">
      <c r="B493" s="8" t="s">
        <v>112</v>
      </c>
      <c r="C493" s="8" t="s">
        <v>63</v>
      </c>
      <c r="D493" s="10">
        <v>2.8388516928711015E-3</v>
      </c>
      <c r="E493" s="8" t="s">
        <v>61</v>
      </c>
      <c r="G493" s="8" t="s">
        <v>132</v>
      </c>
      <c r="H493" s="8" t="s">
        <v>63</v>
      </c>
      <c r="I493" s="12">
        <v>2.6143197393449023E-2</v>
      </c>
      <c r="J493" s="8" t="s">
        <v>61</v>
      </c>
    </row>
    <row r="494" spans="2:10" x14ac:dyDescent="0.45">
      <c r="B494" s="9" t="s">
        <v>112</v>
      </c>
      <c r="C494" s="9" t="s">
        <v>64</v>
      </c>
      <c r="D494" s="11">
        <v>2.0942746416695558E-2</v>
      </c>
      <c r="E494" s="9" t="s">
        <v>61</v>
      </c>
      <c r="G494" s="9" t="s">
        <v>132</v>
      </c>
      <c r="H494" s="9" t="s">
        <v>64</v>
      </c>
      <c r="I494" s="13">
        <v>2.6106514504843532E-2</v>
      </c>
      <c r="J494" s="9" t="s">
        <v>61</v>
      </c>
    </row>
    <row r="495" spans="2:10" x14ac:dyDescent="0.45">
      <c r="B495" s="8" t="s">
        <v>112</v>
      </c>
      <c r="C495" s="8" t="s">
        <v>65</v>
      </c>
      <c r="D495" s="10">
        <v>2.7467383603262667E-2</v>
      </c>
      <c r="E495" s="8" t="s">
        <v>61</v>
      </c>
      <c r="G495" s="8" t="s">
        <v>132</v>
      </c>
      <c r="H495" s="8" t="s">
        <v>65</v>
      </c>
      <c r="I495" s="12">
        <v>2.4176446914579847E-2</v>
      </c>
      <c r="J495" s="8" t="s">
        <v>61</v>
      </c>
    </row>
    <row r="496" spans="2:10" x14ac:dyDescent="0.45">
      <c r="B496" s="9" t="s">
        <v>112</v>
      </c>
      <c r="C496" s="9" t="s">
        <v>66</v>
      </c>
      <c r="D496" s="11">
        <v>2.7647650139593739E-2</v>
      </c>
      <c r="E496" s="9" t="s">
        <v>61</v>
      </c>
      <c r="G496" s="9" t="s">
        <v>132</v>
      </c>
      <c r="H496" s="9" t="s">
        <v>66</v>
      </c>
      <c r="I496" s="13">
        <v>2.5229056975051675E-2</v>
      </c>
      <c r="J496" s="9" t="s">
        <v>61</v>
      </c>
    </row>
    <row r="497" spans="2:10" x14ac:dyDescent="0.45">
      <c r="B497" s="8" t="s">
        <v>112</v>
      </c>
      <c r="C497" s="8" t="s">
        <v>67</v>
      </c>
      <c r="D497" s="10">
        <v>1.1067703372490858E-2</v>
      </c>
      <c r="E497" s="8" t="s">
        <v>61</v>
      </c>
      <c r="G497" s="8" t="s">
        <v>132</v>
      </c>
      <c r="H497" s="8" t="s">
        <v>67</v>
      </c>
      <c r="I497" s="12">
        <v>2.6311088615938422E-2</v>
      </c>
      <c r="J497" s="8" t="s">
        <v>61</v>
      </c>
    </row>
    <row r="498" spans="2:10" x14ac:dyDescent="0.45">
      <c r="B498" s="9" t="s">
        <v>112</v>
      </c>
      <c r="C498" s="9" t="s">
        <v>68</v>
      </c>
      <c r="D498" s="11">
        <v>5.8613068503061364E-4</v>
      </c>
      <c r="E498" s="9" t="s">
        <v>61</v>
      </c>
      <c r="G498" s="9" t="s">
        <v>132</v>
      </c>
      <c r="H498" s="9" t="s">
        <v>68</v>
      </c>
      <c r="I498" s="13">
        <v>2.7289020813007655E-2</v>
      </c>
      <c r="J498" s="9" t="s">
        <v>61</v>
      </c>
    </row>
    <row r="499" spans="2:10" x14ac:dyDescent="0.45">
      <c r="B499" s="8" t="s">
        <v>112</v>
      </c>
      <c r="C499" s="8" t="s">
        <v>69</v>
      </c>
      <c r="D499" s="10">
        <v>0</v>
      </c>
      <c r="E499" s="8" t="s">
        <v>61</v>
      </c>
      <c r="G499" s="8" t="s">
        <v>132</v>
      </c>
      <c r="H499" s="8" t="s">
        <v>69</v>
      </c>
      <c r="I499" s="12">
        <v>2.837104483380053E-2</v>
      </c>
      <c r="J499" s="8" t="s">
        <v>61</v>
      </c>
    </row>
    <row r="500" spans="2:10" x14ac:dyDescent="0.45">
      <c r="B500" s="9" t="s">
        <v>112</v>
      </c>
      <c r="C500" s="9" t="s">
        <v>70</v>
      </c>
      <c r="D500" s="11">
        <v>0</v>
      </c>
      <c r="E500" s="9" t="s">
        <v>61</v>
      </c>
      <c r="G500" s="9" t="s">
        <v>132</v>
      </c>
      <c r="H500" s="9" t="s">
        <v>70</v>
      </c>
      <c r="I500" s="13">
        <v>4.080328279262431E-2</v>
      </c>
      <c r="J500" s="9" t="s">
        <v>61</v>
      </c>
    </row>
    <row r="501" spans="2:10" x14ac:dyDescent="0.45">
      <c r="B501" s="8" t="s">
        <v>112</v>
      </c>
      <c r="C501" s="8" t="s">
        <v>71</v>
      </c>
      <c r="D501" s="10">
        <v>8.3244976152868723E-6</v>
      </c>
      <c r="E501" s="8" t="s">
        <v>61</v>
      </c>
      <c r="G501" s="8" t="s">
        <v>132</v>
      </c>
      <c r="H501" s="8" t="s">
        <v>71</v>
      </c>
      <c r="I501" s="12">
        <v>5.8338502803192173E-2</v>
      </c>
      <c r="J501" s="8" t="s">
        <v>61</v>
      </c>
    </row>
    <row r="502" spans="2:10" x14ac:dyDescent="0.45">
      <c r="B502" s="9" t="s">
        <v>112</v>
      </c>
      <c r="C502" s="9" t="s">
        <v>72</v>
      </c>
      <c r="D502" s="11">
        <v>1.4810727006980294E-2</v>
      </c>
      <c r="E502" s="9" t="s">
        <v>61</v>
      </c>
      <c r="G502" s="9" t="s">
        <v>132</v>
      </c>
      <c r="H502" s="9" t="s">
        <v>72</v>
      </c>
      <c r="I502" s="13">
        <v>2.1089659529675394E-2</v>
      </c>
      <c r="J502" s="9" t="s">
        <v>61</v>
      </c>
    </row>
    <row r="503" spans="2:10" x14ac:dyDescent="0.45">
      <c r="B503" s="8" t="s">
        <v>112</v>
      </c>
      <c r="C503" s="8" t="s">
        <v>73</v>
      </c>
      <c r="D503" s="10">
        <v>4.7974515602783874E-2</v>
      </c>
      <c r="E503" s="8" t="s">
        <v>61</v>
      </c>
      <c r="G503" s="8" t="s">
        <v>132</v>
      </c>
      <c r="H503" s="8" t="s">
        <v>73</v>
      </c>
      <c r="I503" s="12">
        <v>1.7698564106859639E-2</v>
      </c>
      <c r="J503" s="8" t="s">
        <v>61</v>
      </c>
    </row>
    <row r="504" spans="2:10" x14ac:dyDescent="0.45">
      <c r="B504" s="9" t="s">
        <v>112</v>
      </c>
      <c r="C504" s="9" t="s">
        <v>74</v>
      </c>
      <c r="D504" s="11">
        <v>6.6151990040009254E-2</v>
      </c>
      <c r="E504" s="9" t="s">
        <v>61</v>
      </c>
      <c r="G504" s="9" t="s">
        <v>132</v>
      </c>
      <c r="H504" s="9" t="s">
        <v>74</v>
      </c>
      <c r="I504" s="13">
        <v>1.6250607169976845E-2</v>
      </c>
      <c r="J504" s="9" t="s">
        <v>61</v>
      </c>
    </row>
    <row r="505" spans="2:10" x14ac:dyDescent="0.45">
      <c r="B505" s="8" t="s">
        <v>112</v>
      </c>
      <c r="C505" s="8" t="s">
        <v>75</v>
      </c>
      <c r="D505" s="10">
        <v>6.6592662699967609E-2</v>
      </c>
      <c r="E505" s="8" t="s">
        <v>61</v>
      </c>
      <c r="G505" s="8" t="s">
        <v>132</v>
      </c>
      <c r="H505" s="8" t="s">
        <v>75</v>
      </c>
      <c r="I505" s="12">
        <v>1.5728378115336807E-2</v>
      </c>
      <c r="J505" s="8" t="s">
        <v>61</v>
      </c>
    </row>
    <row r="506" spans="2:10" x14ac:dyDescent="0.45">
      <c r="B506" s="9" t="s">
        <v>112</v>
      </c>
      <c r="C506" s="9" t="s">
        <v>76</v>
      </c>
      <c r="D506" s="11">
        <v>6.356497087469426E-2</v>
      </c>
      <c r="E506" s="9" t="s">
        <v>61</v>
      </c>
      <c r="G506" s="9" t="s">
        <v>132</v>
      </c>
      <c r="H506" s="9" t="s">
        <v>76</v>
      </c>
      <c r="I506" s="13">
        <v>1.8870866862955384E-2</v>
      </c>
      <c r="J506" s="9" t="s">
        <v>61</v>
      </c>
    </row>
    <row r="507" spans="2:10" x14ac:dyDescent="0.45">
      <c r="B507" s="8" t="s">
        <v>112</v>
      </c>
      <c r="C507" s="8" t="s">
        <v>77</v>
      </c>
      <c r="D507" s="10">
        <v>4.9935126530415055E-2</v>
      </c>
      <c r="E507" s="8" t="s">
        <v>61</v>
      </c>
      <c r="G507" s="8" t="s">
        <v>132</v>
      </c>
      <c r="H507" s="8" t="s">
        <v>77</v>
      </c>
      <c r="I507" s="12">
        <v>1.9612208695518912E-2</v>
      </c>
      <c r="J507" s="8" t="s">
        <v>61</v>
      </c>
    </row>
    <row r="508" spans="2:10" x14ac:dyDescent="0.45">
      <c r="B508" s="9" t="s">
        <v>112</v>
      </c>
      <c r="C508" s="9" t="s">
        <v>78</v>
      </c>
      <c r="D508" s="11">
        <v>2.4624677055315541E-2</v>
      </c>
      <c r="E508" s="9" t="s">
        <v>61</v>
      </c>
      <c r="G508" s="9" t="s">
        <v>132</v>
      </c>
      <c r="H508" s="9" t="s">
        <v>78</v>
      </c>
      <c r="I508" s="13">
        <v>1.8821746490909296E-2</v>
      </c>
      <c r="J508" s="9" t="s">
        <v>61</v>
      </c>
    </row>
    <row r="509" spans="2:10" x14ac:dyDescent="0.45">
      <c r="B509" s="8" t="s">
        <v>112</v>
      </c>
      <c r="C509" s="8" t="s">
        <v>79</v>
      </c>
      <c r="D509" s="10">
        <v>1.940357338102001E-3</v>
      </c>
      <c r="E509" s="8" t="s">
        <v>61</v>
      </c>
      <c r="G509" s="8" t="s">
        <v>132</v>
      </c>
      <c r="H509" s="8" t="s">
        <v>79</v>
      </c>
      <c r="I509" s="12">
        <v>2.2028550480039145E-2</v>
      </c>
      <c r="J509" s="8" t="s">
        <v>61</v>
      </c>
    </row>
    <row r="510" spans="2:10" x14ac:dyDescent="0.45">
      <c r="B510" s="9" t="s">
        <v>112</v>
      </c>
      <c r="C510" s="9" t="s">
        <v>80</v>
      </c>
      <c r="D510" s="11">
        <v>0</v>
      </c>
      <c r="E510" s="9" t="s">
        <v>61</v>
      </c>
      <c r="G510" s="9" t="s">
        <v>132</v>
      </c>
      <c r="H510" s="9" t="s">
        <v>80</v>
      </c>
      <c r="I510" s="13">
        <v>3.612396570016882E-2</v>
      </c>
      <c r="J510" s="9" t="s">
        <v>61</v>
      </c>
    </row>
    <row r="511" spans="2:10" x14ac:dyDescent="0.45">
      <c r="B511" s="8" t="s">
        <v>112</v>
      </c>
      <c r="C511" s="8" t="s">
        <v>81</v>
      </c>
      <c r="D511" s="10">
        <v>5.7619684891429483E-4</v>
      </c>
      <c r="E511" s="8" t="s">
        <v>61</v>
      </c>
      <c r="G511" s="8" t="s">
        <v>132</v>
      </c>
      <c r="H511" s="8" t="s">
        <v>81</v>
      </c>
      <c r="I511" s="12">
        <v>3.8086308625245563E-2</v>
      </c>
      <c r="J511" s="8" t="s">
        <v>61</v>
      </c>
    </row>
    <row r="512" spans="2:10" x14ac:dyDescent="0.45">
      <c r="B512" s="9" t="s">
        <v>112</v>
      </c>
      <c r="C512" s="9" t="s">
        <v>82</v>
      </c>
      <c r="D512" s="11">
        <v>2.5805190984492618E-2</v>
      </c>
      <c r="E512" s="9" t="s">
        <v>61</v>
      </c>
      <c r="G512" s="9" t="s">
        <v>132</v>
      </c>
      <c r="H512" s="9" t="s">
        <v>82</v>
      </c>
      <c r="I512" s="13">
        <v>1.3859128642023441E-2</v>
      </c>
      <c r="J512" s="9" t="s">
        <v>61</v>
      </c>
    </row>
    <row r="513" spans="2:10" x14ac:dyDescent="0.45">
      <c r="B513" s="8" t="s">
        <v>112</v>
      </c>
      <c r="C513" s="8" t="s">
        <v>83</v>
      </c>
      <c r="D513" s="10">
        <v>5.8630496914084451E-2</v>
      </c>
      <c r="E513" s="8" t="s">
        <v>61</v>
      </c>
      <c r="G513" s="8" t="s">
        <v>132</v>
      </c>
      <c r="H513" s="8" t="s">
        <v>83</v>
      </c>
      <c r="I513" s="12">
        <v>1.0799965736085951E-2</v>
      </c>
      <c r="J513" s="8" t="s">
        <v>61</v>
      </c>
    </row>
    <row r="514" spans="2:10" x14ac:dyDescent="0.45">
      <c r="B514" s="9" t="s">
        <v>112</v>
      </c>
      <c r="C514" s="9" t="s">
        <v>84</v>
      </c>
      <c r="D514" s="11">
        <v>7.3569724616647944E-2</v>
      </c>
      <c r="E514" s="9" t="s">
        <v>61</v>
      </c>
      <c r="G514" s="9" t="s">
        <v>132</v>
      </c>
      <c r="H514" s="9" t="s">
        <v>84</v>
      </c>
      <c r="I514" s="13">
        <v>1.1902169190594421E-2</v>
      </c>
      <c r="J514" s="9" t="s">
        <v>61</v>
      </c>
    </row>
    <row r="515" spans="2:10" x14ac:dyDescent="0.45">
      <c r="B515" s="8" t="s">
        <v>112</v>
      </c>
      <c r="C515" s="8" t="s">
        <v>85</v>
      </c>
      <c r="D515" s="10">
        <v>7.2925720386794665E-2</v>
      </c>
      <c r="E515" s="8" t="s">
        <v>61</v>
      </c>
      <c r="G515" s="8" t="s">
        <v>132</v>
      </c>
      <c r="H515" s="8" t="s">
        <v>85</v>
      </c>
      <c r="I515" s="12">
        <v>1.0573507834144829E-2</v>
      </c>
      <c r="J515" s="8" t="s">
        <v>61</v>
      </c>
    </row>
    <row r="516" spans="2:10" x14ac:dyDescent="0.45">
      <c r="B516" s="9" t="s">
        <v>112</v>
      </c>
      <c r="C516" s="9" t="s">
        <v>86</v>
      </c>
      <c r="D516" s="11">
        <v>6.9579312029439511E-2</v>
      </c>
      <c r="E516" s="9" t="s">
        <v>61</v>
      </c>
      <c r="G516" s="9" t="s">
        <v>132</v>
      </c>
      <c r="H516" s="9" t="s">
        <v>86</v>
      </c>
      <c r="I516" s="13">
        <v>1.2003382215468299E-2</v>
      </c>
      <c r="J516" s="9" t="s">
        <v>61</v>
      </c>
    </row>
    <row r="517" spans="2:10" x14ac:dyDescent="0.45">
      <c r="B517" s="8" t="s">
        <v>112</v>
      </c>
      <c r="C517" s="8" t="s">
        <v>87</v>
      </c>
      <c r="D517" s="10">
        <v>5.8274236828910871E-2</v>
      </c>
      <c r="E517" s="8" t="s">
        <v>61</v>
      </c>
      <c r="G517" s="8" t="s">
        <v>132</v>
      </c>
      <c r="H517" s="8" t="s">
        <v>87</v>
      </c>
      <c r="I517" s="12">
        <v>1.2526918153743143E-2</v>
      </c>
      <c r="J517" s="8" t="s">
        <v>61</v>
      </c>
    </row>
    <row r="518" spans="2:10" x14ac:dyDescent="0.45">
      <c r="B518" s="9" t="s">
        <v>112</v>
      </c>
      <c r="C518" s="9" t="s">
        <v>88</v>
      </c>
      <c r="D518" s="11">
        <v>3.626117793744902E-2</v>
      </c>
      <c r="E518" s="9" t="s">
        <v>61</v>
      </c>
      <c r="G518" s="9" t="s">
        <v>132</v>
      </c>
      <c r="H518" s="9" t="s">
        <v>88</v>
      </c>
      <c r="I518" s="13">
        <v>1.1007425253300536E-2</v>
      </c>
      <c r="J518" s="9" t="s">
        <v>61</v>
      </c>
    </row>
    <row r="519" spans="2:10" x14ac:dyDescent="0.45">
      <c r="B519" s="8" t="s">
        <v>112</v>
      </c>
      <c r="C519" s="8" t="s">
        <v>89</v>
      </c>
      <c r="D519" s="10">
        <v>7.049941110082187E-3</v>
      </c>
      <c r="E519" s="8" t="s">
        <v>61</v>
      </c>
      <c r="G519" s="8" t="s">
        <v>132</v>
      </c>
      <c r="H519" s="8" t="s">
        <v>89</v>
      </c>
      <c r="I519" s="12">
        <v>1.2514160992170094E-2</v>
      </c>
      <c r="J519" s="8" t="s">
        <v>61</v>
      </c>
    </row>
    <row r="520" spans="2:10" x14ac:dyDescent="0.45">
      <c r="B520" s="9" t="s">
        <v>112</v>
      </c>
      <c r="C520" s="9" t="s">
        <v>90</v>
      </c>
      <c r="D520" s="11">
        <v>0</v>
      </c>
      <c r="E520" s="9" t="s">
        <v>61</v>
      </c>
      <c r="G520" s="9" t="s">
        <v>132</v>
      </c>
      <c r="H520" s="9" t="s">
        <v>90</v>
      </c>
      <c r="I520" s="13">
        <v>2.3221697615779767E-2</v>
      </c>
      <c r="J520" s="9" t="s">
        <v>61</v>
      </c>
    </row>
    <row r="521" spans="2:10" x14ac:dyDescent="0.45">
      <c r="B521" s="8" t="s">
        <v>112</v>
      </c>
      <c r="C521" s="8" t="s">
        <v>91</v>
      </c>
      <c r="D521" s="10">
        <v>0</v>
      </c>
      <c r="E521" s="8" t="s">
        <v>61</v>
      </c>
      <c r="G521" s="8" t="s">
        <v>132</v>
      </c>
      <c r="H521" s="8" t="s">
        <v>91</v>
      </c>
      <c r="I521" s="12">
        <v>6.0885522474798302E-2</v>
      </c>
      <c r="J521" s="8" t="s">
        <v>61</v>
      </c>
    </row>
    <row r="522" spans="2:10" x14ac:dyDescent="0.45">
      <c r="B522" s="9" t="s">
        <v>112</v>
      </c>
      <c r="C522" s="9" t="s">
        <v>92</v>
      </c>
      <c r="D522" s="11">
        <v>2.2161968442427262E-3</v>
      </c>
      <c r="E522" s="9" t="s">
        <v>61</v>
      </c>
      <c r="G522" s="9" t="s">
        <v>132</v>
      </c>
      <c r="H522" s="9" t="s">
        <v>92</v>
      </c>
      <c r="I522" s="13">
        <v>2.4137065485043907E-2</v>
      </c>
      <c r="J522" s="9" t="s">
        <v>61</v>
      </c>
    </row>
    <row r="523" spans="2:10" x14ac:dyDescent="0.45">
      <c r="B523" s="8" t="s">
        <v>112</v>
      </c>
      <c r="C523" s="8" t="s">
        <v>93</v>
      </c>
      <c r="D523" s="10">
        <v>2.1442436212418346E-2</v>
      </c>
      <c r="E523" s="8" t="s">
        <v>61</v>
      </c>
      <c r="G523" s="8" t="s">
        <v>132</v>
      </c>
      <c r="H523" s="8" t="s">
        <v>93</v>
      </c>
      <c r="I523" s="12">
        <v>2.3458232744773724E-2</v>
      </c>
      <c r="J523" s="8" t="s">
        <v>61</v>
      </c>
    </row>
    <row r="524" spans="2:10" x14ac:dyDescent="0.45">
      <c r="B524" s="9" t="s">
        <v>112</v>
      </c>
      <c r="C524" s="9" t="s">
        <v>94</v>
      </c>
      <c r="D524" s="11">
        <v>4.0417343360761047E-2</v>
      </c>
      <c r="E524" s="9" t="s">
        <v>61</v>
      </c>
      <c r="G524" s="9" t="s">
        <v>132</v>
      </c>
      <c r="H524" s="9" t="s">
        <v>94</v>
      </c>
      <c r="I524" s="13">
        <v>2.226224788380899E-2</v>
      </c>
      <c r="J524" s="9" t="s">
        <v>61</v>
      </c>
    </row>
    <row r="525" spans="2:10" x14ac:dyDescent="0.45">
      <c r="B525" s="8" t="s">
        <v>112</v>
      </c>
      <c r="C525" s="8" t="s">
        <v>95</v>
      </c>
      <c r="D525" s="10">
        <v>4.0540008922889878E-2</v>
      </c>
      <c r="E525" s="8" t="s">
        <v>61</v>
      </c>
      <c r="G525" s="8" t="s">
        <v>132</v>
      </c>
      <c r="H525" s="8" t="s">
        <v>95</v>
      </c>
      <c r="I525" s="12">
        <v>2.0970355068372023E-2</v>
      </c>
      <c r="J525" s="8" t="s">
        <v>61</v>
      </c>
    </row>
    <row r="526" spans="2:10" x14ac:dyDescent="0.45">
      <c r="B526" s="9" t="s">
        <v>112</v>
      </c>
      <c r="C526" s="9" t="s">
        <v>96</v>
      </c>
      <c r="D526" s="11">
        <v>3.82863093303333E-2</v>
      </c>
      <c r="E526" s="9" t="s">
        <v>61</v>
      </c>
      <c r="G526" s="9" t="s">
        <v>132</v>
      </c>
      <c r="H526" s="9" t="s">
        <v>96</v>
      </c>
      <c r="I526" s="13">
        <v>2.1972161465542064E-2</v>
      </c>
      <c r="J526" s="9" t="s">
        <v>61</v>
      </c>
    </row>
    <row r="527" spans="2:10" x14ac:dyDescent="0.45">
      <c r="B527" s="8" t="s">
        <v>112</v>
      </c>
      <c r="C527" s="8" t="s">
        <v>97</v>
      </c>
      <c r="D527" s="10">
        <v>2.2760612722663668E-2</v>
      </c>
      <c r="E527" s="8" t="s">
        <v>61</v>
      </c>
      <c r="G527" s="8" t="s">
        <v>132</v>
      </c>
      <c r="H527" s="8" t="s">
        <v>97</v>
      </c>
      <c r="I527" s="12">
        <v>2.2211990131770217E-2</v>
      </c>
      <c r="J527" s="8" t="s">
        <v>61</v>
      </c>
    </row>
    <row r="528" spans="2:10" x14ac:dyDescent="0.45">
      <c r="B528" s="9" t="s">
        <v>112</v>
      </c>
      <c r="C528" s="9" t="s">
        <v>98</v>
      </c>
      <c r="D528" s="11">
        <v>5.5112773940484052E-3</v>
      </c>
      <c r="E528" s="9" t="s">
        <v>61</v>
      </c>
      <c r="G528" s="9" t="s">
        <v>132</v>
      </c>
      <c r="H528" s="9" t="s">
        <v>98</v>
      </c>
      <c r="I528" s="13">
        <v>2.4073513313771895E-2</v>
      </c>
      <c r="J528" s="9" t="s">
        <v>61</v>
      </c>
    </row>
    <row r="529" spans="2:10" x14ac:dyDescent="0.45">
      <c r="B529" s="8" t="s">
        <v>112</v>
      </c>
      <c r="C529" s="8" t="s">
        <v>99</v>
      </c>
      <c r="D529" s="10">
        <v>0</v>
      </c>
      <c r="E529" s="8" t="s">
        <v>61</v>
      </c>
      <c r="G529" s="8" t="s">
        <v>132</v>
      </c>
      <c r="H529" s="8" t="s">
        <v>99</v>
      </c>
      <c r="I529" s="12">
        <v>2.6257974858677507E-2</v>
      </c>
      <c r="J529" s="8" t="s">
        <v>61</v>
      </c>
    </row>
    <row r="530" spans="2:10" x14ac:dyDescent="0.45">
      <c r="B530" s="9" t="s">
        <v>112</v>
      </c>
      <c r="C530" s="9" t="s">
        <v>100</v>
      </c>
      <c r="D530" s="11">
        <v>0</v>
      </c>
      <c r="E530" s="9" t="s">
        <v>61</v>
      </c>
      <c r="G530" s="9" t="s">
        <v>132</v>
      </c>
      <c r="H530" s="9" t="s">
        <v>100</v>
      </c>
      <c r="I530" s="13">
        <v>3.9161846186928341E-2</v>
      </c>
      <c r="J530" s="9" t="s">
        <v>61</v>
      </c>
    </row>
    <row r="531" spans="2:10" x14ac:dyDescent="0.45">
      <c r="B531" s="8" t="s">
        <v>113</v>
      </c>
      <c r="C531" s="8" t="s">
        <v>60</v>
      </c>
      <c r="D531" s="10">
        <v>0</v>
      </c>
      <c r="E531" s="8" t="s">
        <v>61</v>
      </c>
      <c r="G531" s="8" t="s">
        <v>133</v>
      </c>
      <c r="H531" s="8" t="s">
        <v>60</v>
      </c>
      <c r="I531" s="12">
        <v>6.4208492065878336E-2</v>
      </c>
      <c r="J531" s="8" t="s">
        <v>61</v>
      </c>
    </row>
    <row r="532" spans="2:10" x14ac:dyDescent="0.45">
      <c r="B532" s="9" t="s">
        <v>113</v>
      </c>
      <c r="C532" s="9" t="s">
        <v>62</v>
      </c>
      <c r="D532" s="11">
        <v>0</v>
      </c>
      <c r="E532" s="9" t="s">
        <v>61</v>
      </c>
      <c r="G532" s="9" t="s">
        <v>133</v>
      </c>
      <c r="H532" s="9" t="s">
        <v>62</v>
      </c>
      <c r="I532" s="13">
        <v>2.6138568068958118E-2</v>
      </c>
      <c r="J532" s="9" t="s">
        <v>61</v>
      </c>
    </row>
    <row r="533" spans="2:10" x14ac:dyDescent="0.45">
      <c r="B533" s="8" t="s">
        <v>113</v>
      </c>
      <c r="C533" s="8" t="s">
        <v>63</v>
      </c>
      <c r="D533" s="10">
        <v>1.5512938878912885E-3</v>
      </c>
      <c r="E533" s="8" t="s">
        <v>61</v>
      </c>
      <c r="G533" s="8" t="s">
        <v>133</v>
      </c>
      <c r="H533" s="8" t="s">
        <v>63</v>
      </c>
      <c r="I533" s="12">
        <v>2.6695201360158155E-2</v>
      </c>
      <c r="J533" s="8" t="s">
        <v>61</v>
      </c>
    </row>
    <row r="534" spans="2:10" x14ac:dyDescent="0.45">
      <c r="B534" s="9" t="s">
        <v>113</v>
      </c>
      <c r="C534" s="9" t="s">
        <v>64</v>
      </c>
      <c r="D534" s="11">
        <v>2.1559163579091711E-2</v>
      </c>
      <c r="E534" s="9" t="s">
        <v>61</v>
      </c>
      <c r="G534" s="9" t="s">
        <v>133</v>
      </c>
      <c r="H534" s="9" t="s">
        <v>64</v>
      </c>
      <c r="I534" s="13">
        <v>2.6315624431779608E-2</v>
      </c>
      <c r="J534" s="9" t="s">
        <v>61</v>
      </c>
    </row>
    <row r="535" spans="2:10" x14ac:dyDescent="0.45">
      <c r="B535" s="8" t="s">
        <v>113</v>
      </c>
      <c r="C535" s="8" t="s">
        <v>65</v>
      </c>
      <c r="D535" s="10">
        <v>3.1711356318882493E-2</v>
      </c>
      <c r="E535" s="8" t="s">
        <v>61</v>
      </c>
      <c r="G535" s="8" t="s">
        <v>133</v>
      </c>
      <c r="H535" s="8" t="s">
        <v>65</v>
      </c>
      <c r="I535" s="12">
        <v>2.5311351214270143E-2</v>
      </c>
      <c r="J535" s="8" t="s">
        <v>61</v>
      </c>
    </row>
    <row r="536" spans="2:10" x14ac:dyDescent="0.45">
      <c r="B536" s="9" t="s">
        <v>113</v>
      </c>
      <c r="C536" s="9" t="s">
        <v>66</v>
      </c>
      <c r="D536" s="11">
        <v>3.3099484180916856E-2</v>
      </c>
      <c r="E536" s="9" t="s">
        <v>61</v>
      </c>
      <c r="G536" s="9" t="s">
        <v>133</v>
      </c>
      <c r="H536" s="9" t="s">
        <v>66</v>
      </c>
      <c r="I536" s="13">
        <v>2.5806402470551642E-2</v>
      </c>
      <c r="J536" s="9" t="s">
        <v>61</v>
      </c>
    </row>
    <row r="537" spans="2:10" x14ac:dyDescent="0.45">
      <c r="B537" s="8" t="s">
        <v>113</v>
      </c>
      <c r="C537" s="8" t="s">
        <v>67</v>
      </c>
      <c r="D537" s="10">
        <v>1.6791129421684588E-2</v>
      </c>
      <c r="E537" s="8" t="s">
        <v>61</v>
      </c>
      <c r="G537" s="8" t="s">
        <v>133</v>
      </c>
      <c r="H537" s="8" t="s">
        <v>67</v>
      </c>
      <c r="I537" s="12">
        <v>2.6367997325470516E-2</v>
      </c>
      <c r="J537" s="8" t="s">
        <v>61</v>
      </c>
    </row>
    <row r="538" spans="2:10" x14ac:dyDescent="0.45">
      <c r="B538" s="9" t="s">
        <v>113</v>
      </c>
      <c r="C538" s="9" t="s">
        <v>68</v>
      </c>
      <c r="D538" s="11">
        <v>1.370904071000884E-3</v>
      </c>
      <c r="E538" s="9" t="s">
        <v>61</v>
      </c>
      <c r="G538" s="9" t="s">
        <v>133</v>
      </c>
      <c r="H538" s="9" t="s">
        <v>68</v>
      </c>
      <c r="I538" s="13">
        <v>2.8153660139926418E-2</v>
      </c>
      <c r="J538" s="9" t="s">
        <v>61</v>
      </c>
    </row>
    <row r="539" spans="2:10" x14ac:dyDescent="0.45">
      <c r="B539" s="8" t="s">
        <v>113</v>
      </c>
      <c r="C539" s="8" t="s">
        <v>69</v>
      </c>
      <c r="D539" s="10">
        <v>0</v>
      </c>
      <c r="E539" s="8" t="s">
        <v>61</v>
      </c>
      <c r="G539" s="8" t="s">
        <v>133</v>
      </c>
      <c r="H539" s="8" t="s">
        <v>69</v>
      </c>
      <c r="I539" s="12">
        <v>2.906450217798616E-2</v>
      </c>
      <c r="J539" s="8" t="s">
        <v>61</v>
      </c>
    </row>
    <row r="540" spans="2:10" x14ac:dyDescent="0.45">
      <c r="B540" s="9" t="s">
        <v>113</v>
      </c>
      <c r="C540" s="9" t="s">
        <v>70</v>
      </c>
      <c r="D540" s="11">
        <v>0</v>
      </c>
      <c r="E540" s="9" t="s">
        <v>61</v>
      </c>
      <c r="G540" s="9" t="s">
        <v>133</v>
      </c>
      <c r="H540" s="9" t="s">
        <v>70</v>
      </c>
      <c r="I540" s="13">
        <v>4.11976394183831E-2</v>
      </c>
      <c r="J540" s="9" t="s">
        <v>61</v>
      </c>
    </row>
    <row r="541" spans="2:10" x14ac:dyDescent="0.45">
      <c r="B541" s="8" t="s">
        <v>113</v>
      </c>
      <c r="C541" s="8" t="s">
        <v>71</v>
      </c>
      <c r="D541" s="10">
        <v>0</v>
      </c>
      <c r="E541" s="8" t="s">
        <v>61</v>
      </c>
      <c r="G541" s="8" t="s">
        <v>133</v>
      </c>
      <c r="H541" s="8" t="s">
        <v>71</v>
      </c>
      <c r="I541" s="12">
        <v>5.9105039174701564E-2</v>
      </c>
      <c r="J541" s="8" t="s">
        <v>61</v>
      </c>
    </row>
    <row r="542" spans="2:10" x14ac:dyDescent="0.45">
      <c r="B542" s="9" t="s">
        <v>113</v>
      </c>
      <c r="C542" s="9" t="s">
        <v>72</v>
      </c>
      <c r="D542" s="11">
        <v>9.7575767429915385E-3</v>
      </c>
      <c r="E542" s="9" t="s">
        <v>61</v>
      </c>
      <c r="G542" s="9" t="s">
        <v>133</v>
      </c>
      <c r="H542" s="9" t="s">
        <v>72</v>
      </c>
      <c r="I542" s="13">
        <v>2.29067291481721E-2</v>
      </c>
      <c r="J542" s="9" t="s">
        <v>61</v>
      </c>
    </row>
    <row r="543" spans="2:10" x14ac:dyDescent="0.45">
      <c r="B543" s="8" t="s">
        <v>113</v>
      </c>
      <c r="C543" s="8" t="s">
        <v>73</v>
      </c>
      <c r="D543" s="10">
        <v>3.9821761754719617E-2</v>
      </c>
      <c r="E543" s="8" t="s">
        <v>61</v>
      </c>
      <c r="G543" s="8" t="s">
        <v>133</v>
      </c>
      <c r="H543" s="8" t="s">
        <v>73</v>
      </c>
      <c r="I543" s="12">
        <v>1.9438257573837596E-2</v>
      </c>
      <c r="J543" s="8" t="s">
        <v>61</v>
      </c>
    </row>
    <row r="544" spans="2:10" x14ac:dyDescent="0.45">
      <c r="B544" s="9" t="s">
        <v>113</v>
      </c>
      <c r="C544" s="9" t="s">
        <v>74</v>
      </c>
      <c r="D544" s="11">
        <v>6.1080768935007218E-2</v>
      </c>
      <c r="E544" s="9" t="s">
        <v>61</v>
      </c>
      <c r="G544" s="9" t="s">
        <v>133</v>
      </c>
      <c r="H544" s="9" t="s">
        <v>74</v>
      </c>
      <c r="I544" s="13">
        <v>1.7461013804645511E-2</v>
      </c>
      <c r="J544" s="9" t="s">
        <v>61</v>
      </c>
    </row>
    <row r="545" spans="2:10" x14ac:dyDescent="0.45">
      <c r="B545" s="8" t="s">
        <v>113</v>
      </c>
      <c r="C545" s="8" t="s">
        <v>75</v>
      </c>
      <c r="D545" s="10">
        <v>6.5174995277874306E-2</v>
      </c>
      <c r="E545" s="8" t="s">
        <v>61</v>
      </c>
      <c r="G545" s="8" t="s">
        <v>133</v>
      </c>
      <c r="H545" s="8" t="s">
        <v>75</v>
      </c>
      <c r="I545" s="12">
        <v>1.5707725958228873E-2</v>
      </c>
      <c r="J545" s="8" t="s">
        <v>61</v>
      </c>
    </row>
    <row r="546" spans="2:10" x14ac:dyDescent="0.45">
      <c r="B546" s="9" t="s">
        <v>113</v>
      </c>
      <c r="C546" s="9" t="s">
        <v>76</v>
      </c>
      <c r="D546" s="11">
        <v>6.2313488956458114E-2</v>
      </c>
      <c r="E546" s="9" t="s">
        <v>61</v>
      </c>
      <c r="G546" s="9" t="s">
        <v>133</v>
      </c>
      <c r="H546" s="9" t="s">
        <v>76</v>
      </c>
      <c r="I546" s="13">
        <v>1.8532546424706951E-2</v>
      </c>
      <c r="J546" s="9" t="s">
        <v>61</v>
      </c>
    </row>
    <row r="547" spans="2:10" x14ac:dyDescent="0.45">
      <c r="B547" s="8" t="s">
        <v>113</v>
      </c>
      <c r="C547" s="8" t="s">
        <v>77</v>
      </c>
      <c r="D547" s="10">
        <v>4.8475625055708085E-2</v>
      </c>
      <c r="E547" s="8" t="s">
        <v>61</v>
      </c>
      <c r="G547" s="8" t="s">
        <v>133</v>
      </c>
      <c r="H547" s="8" t="s">
        <v>77</v>
      </c>
      <c r="I547" s="12">
        <v>1.8635544979941479E-2</v>
      </c>
      <c r="J547" s="8" t="s">
        <v>61</v>
      </c>
    </row>
    <row r="548" spans="2:10" x14ac:dyDescent="0.45">
      <c r="B548" s="9" t="s">
        <v>113</v>
      </c>
      <c r="C548" s="9" t="s">
        <v>78</v>
      </c>
      <c r="D548" s="11">
        <v>2.6485878520460332E-2</v>
      </c>
      <c r="E548" s="9" t="s">
        <v>61</v>
      </c>
      <c r="G548" s="9" t="s">
        <v>133</v>
      </c>
      <c r="H548" s="9" t="s">
        <v>78</v>
      </c>
      <c r="I548" s="13">
        <v>1.8464825643044198E-2</v>
      </c>
      <c r="J548" s="9" t="s">
        <v>61</v>
      </c>
    </row>
    <row r="549" spans="2:10" x14ac:dyDescent="0.45">
      <c r="B549" s="8" t="s">
        <v>113</v>
      </c>
      <c r="C549" s="8" t="s">
        <v>79</v>
      </c>
      <c r="D549" s="10">
        <v>2.7750341327906166E-3</v>
      </c>
      <c r="E549" s="8" t="s">
        <v>61</v>
      </c>
      <c r="G549" s="8" t="s">
        <v>133</v>
      </c>
      <c r="H549" s="8" t="s">
        <v>79</v>
      </c>
      <c r="I549" s="12">
        <v>2.2037931377043133E-2</v>
      </c>
      <c r="J549" s="8" t="s">
        <v>61</v>
      </c>
    </row>
    <row r="550" spans="2:10" x14ac:dyDescent="0.45">
      <c r="B550" s="9" t="s">
        <v>113</v>
      </c>
      <c r="C550" s="9" t="s">
        <v>80</v>
      </c>
      <c r="D550" s="11">
        <v>0</v>
      </c>
      <c r="E550" s="9" t="s">
        <v>61</v>
      </c>
      <c r="G550" s="9" t="s">
        <v>133</v>
      </c>
      <c r="H550" s="9" t="s">
        <v>80</v>
      </c>
      <c r="I550" s="13">
        <v>3.6451945734154889E-2</v>
      </c>
      <c r="J550" s="9" t="s">
        <v>61</v>
      </c>
    </row>
    <row r="551" spans="2:10" x14ac:dyDescent="0.45">
      <c r="B551" s="8" t="s">
        <v>113</v>
      </c>
      <c r="C551" s="8" t="s">
        <v>81</v>
      </c>
      <c r="D551" s="10">
        <v>0</v>
      </c>
      <c r="E551" s="8" t="s">
        <v>61</v>
      </c>
      <c r="G551" s="8" t="s">
        <v>133</v>
      </c>
      <c r="H551" s="8" t="s">
        <v>81</v>
      </c>
      <c r="I551" s="12">
        <v>3.23931310500081E-2</v>
      </c>
      <c r="J551" s="8" t="s">
        <v>61</v>
      </c>
    </row>
    <row r="552" spans="2:10" x14ac:dyDescent="0.45">
      <c r="B552" s="9" t="s">
        <v>113</v>
      </c>
      <c r="C552" s="9" t="s">
        <v>82</v>
      </c>
      <c r="D552" s="11">
        <v>2.0027447407480536E-2</v>
      </c>
      <c r="E552" s="9" t="s">
        <v>61</v>
      </c>
      <c r="G552" s="9" t="s">
        <v>133</v>
      </c>
      <c r="H552" s="9" t="s">
        <v>82</v>
      </c>
      <c r="I552" s="13">
        <v>1.2330755706508887E-2</v>
      </c>
      <c r="J552" s="9" t="s">
        <v>61</v>
      </c>
    </row>
    <row r="553" spans="2:10" x14ac:dyDescent="0.45">
      <c r="B553" s="8" t="s">
        <v>113</v>
      </c>
      <c r="C553" s="8" t="s">
        <v>83</v>
      </c>
      <c r="D553" s="10">
        <v>5.3652959645224957E-2</v>
      </c>
      <c r="E553" s="8" t="s">
        <v>61</v>
      </c>
      <c r="G553" s="8" t="s">
        <v>133</v>
      </c>
      <c r="H553" s="8" t="s">
        <v>83</v>
      </c>
      <c r="I553" s="12">
        <v>1.0417937641541785E-2</v>
      </c>
      <c r="J553" s="8" t="s">
        <v>61</v>
      </c>
    </row>
    <row r="554" spans="2:10" x14ac:dyDescent="0.45">
      <c r="B554" s="9" t="s">
        <v>113</v>
      </c>
      <c r="C554" s="9" t="s">
        <v>84</v>
      </c>
      <c r="D554" s="11">
        <v>7.1912559522939651E-2</v>
      </c>
      <c r="E554" s="9" t="s">
        <v>61</v>
      </c>
      <c r="G554" s="9" t="s">
        <v>133</v>
      </c>
      <c r="H554" s="9" t="s">
        <v>84</v>
      </c>
      <c r="I554" s="13">
        <v>1.2078028882976936E-2</v>
      </c>
      <c r="J554" s="9" t="s">
        <v>61</v>
      </c>
    </row>
    <row r="555" spans="2:10" x14ac:dyDescent="0.45">
      <c r="B555" s="8" t="s">
        <v>113</v>
      </c>
      <c r="C555" s="8" t="s">
        <v>85</v>
      </c>
      <c r="D555" s="10">
        <v>7.2405646334621654E-2</v>
      </c>
      <c r="E555" s="8" t="s">
        <v>61</v>
      </c>
      <c r="G555" s="8" t="s">
        <v>133</v>
      </c>
      <c r="H555" s="8" t="s">
        <v>85</v>
      </c>
      <c r="I555" s="12">
        <v>1.1502706305845396E-2</v>
      </c>
      <c r="J555" s="8" t="s">
        <v>61</v>
      </c>
    </row>
    <row r="556" spans="2:10" x14ac:dyDescent="0.45">
      <c r="B556" s="9" t="s">
        <v>113</v>
      </c>
      <c r="C556" s="9" t="s">
        <v>86</v>
      </c>
      <c r="D556" s="11">
        <v>6.8590687543496648E-2</v>
      </c>
      <c r="E556" s="9" t="s">
        <v>61</v>
      </c>
      <c r="G556" s="9" t="s">
        <v>133</v>
      </c>
      <c r="H556" s="9" t="s">
        <v>86</v>
      </c>
      <c r="I556" s="13">
        <v>1.3181735497663409E-2</v>
      </c>
      <c r="J556" s="9" t="s">
        <v>61</v>
      </c>
    </row>
    <row r="557" spans="2:10" x14ac:dyDescent="0.45">
      <c r="B557" s="8" t="s">
        <v>113</v>
      </c>
      <c r="C557" s="8" t="s">
        <v>87</v>
      </c>
      <c r="D557" s="10">
        <v>5.8643308317479714E-2</v>
      </c>
      <c r="E557" s="8" t="s">
        <v>61</v>
      </c>
      <c r="G557" s="8" t="s">
        <v>133</v>
      </c>
      <c r="H557" s="8" t="s">
        <v>87</v>
      </c>
      <c r="I557" s="12">
        <v>1.3701216327842146E-2</v>
      </c>
      <c r="J557" s="8" t="s">
        <v>61</v>
      </c>
    </row>
    <row r="558" spans="2:10" x14ac:dyDescent="0.45">
      <c r="B558" s="9" t="s">
        <v>113</v>
      </c>
      <c r="C558" s="9" t="s">
        <v>88</v>
      </c>
      <c r="D558" s="11">
        <v>3.7583165826316732E-2</v>
      </c>
      <c r="E558" s="9" t="s">
        <v>61</v>
      </c>
      <c r="G558" s="9" t="s">
        <v>133</v>
      </c>
      <c r="H558" s="9" t="s">
        <v>88</v>
      </c>
      <c r="I558" s="13">
        <v>1.2406926519444018E-2</v>
      </c>
      <c r="J558" s="9" t="s">
        <v>61</v>
      </c>
    </row>
    <row r="559" spans="2:10" x14ac:dyDescent="0.45">
      <c r="B559" s="8" t="s">
        <v>113</v>
      </c>
      <c r="C559" s="8" t="s">
        <v>89</v>
      </c>
      <c r="D559" s="10">
        <v>9.6812128082002132E-3</v>
      </c>
      <c r="E559" s="8" t="s">
        <v>61</v>
      </c>
      <c r="G559" s="8" t="s">
        <v>133</v>
      </c>
      <c r="H559" s="8" t="s">
        <v>89</v>
      </c>
      <c r="I559" s="12">
        <v>1.3618013314237372E-2</v>
      </c>
      <c r="J559" s="8" t="s">
        <v>61</v>
      </c>
    </row>
    <row r="560" spans="2:10" x14ac:dyDescent="0.45">
      <c r="B560" s="9" t="s">
        <v>113</v>
      </c>
      <c r="C560" s="9" t="s">
        <v>90</v>
      </c>
      <c r="D560" s="11">
        <v>0</v>
      </c>
      <c r="E560" s="9" t="s">
        <v>61</v>
      </c>
      <c r="G560" s="9" t="s">
        <v>133</v>
      </c>
      <c r="H560" s="9" t="s">
        <v>90</v>
      </c>
      <c r="I560" s="13">
        <v>2.2346622548082885E-2</v>
      </c>
      <c r="J560" s="9" t="s">
        <v>61</v>
      </c>
    </row>
    <row r="561" spans="2:10" x14ac:dyDescent="0.45">
      <c r="B561" s="8" t="s">
        <v>113</v>
      </c>
      <c r="C561" s="8" t="s">
        <v>91</v>
      </c>
      <c r="D561" s="10">
        <v>0</v>
      </c>
      <c r="E561" s="8" t="s">
        <v>61</v>
      </c>
      <c r="G561" s="8" t="s">
        <v>133</v>
      </c>
      <c r="H561" s="8" t="s">
        <v>91</v>
      </c>
      <c r="I561" s="12">
        <v>5.6733552802947083E-2</v>
      </c>
      <c r="J561" s="8" t="s">
        <v>61</v>
      </c>
    </row>
    <row r="562" spans="2:10" x14ac:dyDescent="0.45">
      <c r="B562" s="9" t="s">
        <v>113</v>
      </c>
      <c r="C562" s="9" t="s">
        <v>92</v>
      </c>
      <c r="D562" s="11">
        <v>1.2064252547909413E-3</v>
      </c>
      <c r="E562" s="9" t="s">
        <v>61</v>
      </c>
      <c r="G562" s="9" t="s">
        <v>133</v>
      </c>
      <c r="H562" s="9" t="s">
        <v>92</v>
      </c>
      <c r="I562" s="13">
        <v>2.2363773411277748E-2</v>
      </c>
      <c r="J562" s="9" t="s">
        <v>61</v>
      </c>
    </row>
    <row r="563" spans="2:10" x14ac:dyDescent="0.45">
      <c r="B563" s="8" t="s">
        <v>113</v>
      </c>
      <c r="C563" s="8" t="s">
        <v>93</v>
      </c>
      <c r="D563" s="10">
        <v>1.9811130511514809E-2</v>
      </c>
      <c r="E563" s="8" t="s">
        <v>61</v>
      </c>
      <c r="G563" s="8" t="s">
        <v>133</v>
      </c>
      <c r="H563" s="8" t="s">
        <v>93</v>
      </c>
      <c r="I563" s="12">
        <v>2.225093493822021E-2</v>
      </c>
      <c r="J563" s="8" t="s">
        <v>61</v>
      </c>
    </row>
    <row r="564" spans="2:10" x14ac:dyDescent="0.45">
      <c r="B564" s="9" t="s">
        <v>113</v>
      </c>
      <c r="C564" s="9" t="s">
        <v>94</v>
      </c>
      <c r="D564" s="11">
        <v>3.9565790114001978E-2</v>
      </c>
      <c r="E564" s="9" t="s">
        <v>61</v>
      </c>
      <c r="G564" s="9" t="s">
        <v>133</v>
      </c>
      <c r="H564" s="9" t="s">
        <v>94</v>
      </c>
      <c r="I564" s="13">
        <v>2.1295980313785573E-2</v>
      </c>
      <c r="J564" s="9" t="s">
        <v>61</v>
      </c>
    </row>
    <row r="565" spans="2:10" x14ac:dyDescent="0.45">
      <c r="B565" s="8" t="s">
        <v>113</v>
      </c>
      <c r="C565" s="8" t="s">
        <v>95</v>
      </c>
      <c r="D565" s="10">
        <v>4.2655551260689997E-2</v>
      </c>
      <c r="E565" s="8" t="s">
        <v>61</v>
      </c>
      <c r="G565" s="8" t="s">
        <v>133</v>
      </c>
      <c r="H565" s="8" t="s">
        <v>95</v>
      </c>
      <c r="I565" s="12">
        <v>2.1288619278517041E-2</v>
      </c>
      <c r="J565" s="8" t="s">
        <v>61</v>
      </c>
    </row>
    <row r="566" spans="2:10" x14ac:dyDescent="0.45">
      <c r="B566" s="9" t="s">
        <v>113</v>
      </c>
      <c r="C566" s="9" t="s">
        <v>96</v>
      </c>
      <c r="D566" s="11">
        <v>4.4262834541985242E-2</v>
      </c>
      <c r="E566" s="9" t="s">
        <v>61</v>
      </c>
      <c r="G566" s="9" t="s">
        <v>133</v>
      </c>
      <c r="H566" s="9" t="s">
        <v>96</v>
      </c>
      <c r="I566" s="13">
        <v>2.2534611668482665E-2</v>
      </c>
      <c r="J566" s="9" t="s">
        <v>61</v>
      </c>
    </row>
    <row r="567" spans="2:10" x14ac:dyDescent="0.45">
      <c r="B567" s="8" t="s">
        <v>113</v>
      </c>
      <c r="C567" s="8" t="s">
        <v>97</v>
      </c>
      <c r="D567" s="10">
        <v>3.018559541136959E-2</v>
      </c>
      <c r="E567" s="8" t="s">
        <v>61</v>
      </c>
      <c r="G567" s="8" t="s">
        <v>133</v>
      </c>
      <c r="H567" s="8" t="s">
        <v>97</v>
      </c>
      <c r="I567" s="12">
        <v>2.2781725980161704E-2</v>
      </c>
      <c r="J567" s="8" t="s">
        <v>61</v>
      </c>
    </row>
    <row r="568" spans="2:10" x14ac:dyDescent="0.45">
      <c r="B568" s="9" t="s">
        <v>113</v>
      </c>
      <c r="C568" s="9" t="s">
        <v>98</v>
      </c>
      <c r="D568" s="11">
        <v>7.8472246644067482E-3</v>
      </c>
      <c r="E568" s="9" t="s">
        <v>61</v>
      </c>
      <c r="G568" s="9" t="s">
        <v>133</v>
      </c>
      <c r="H568" s="9" t="s">
        <v>98</v>
      </c>
      <c r="I568" s="13">
        <v>2.4845997796699847E-2</v>
      </c>
      <c r="J568" s="9" t="s">
        <v>61</v>
      </c>
    </row>
    <row r="569" spans="2:10" x14ac:dyDescent="0.45">
      <c r="B569" s="8" t="s">
        <v>113</v>
      </c>
      <c r="C569" s="8" t="s">
        <v>99</v>
      </c>
      <c r="D569" s="10">
        <v>0</v>
      </c>
      <c r="E569" s="8" t="s">
        <v>61</v>
      </c>
      <c r="G569" s="8" t="s">
        <v>133</v>
      </c>
      <c r="H569" s="8" t="s">
        <v>99</v>
      </c>
      <c r="I569" s="12">
        <v>2.6140672277387537E-2</v>
      </c>
      <c r="J569" s="8" t="s">
        <v>61</v>
      </c>
    </row>
    <row r="570" spans="2:10" x14ac:dyDescent="0.45">
      <c r="B570" s="9" t="s">
        <v>113</v>
      </c>
      <c r="C570" s="9" t="s">
        <v>100</v>
      </c>
      <c r="D570" s="11">
        <v>0</v>
      </c>
      <c r="E570" s="9" t="s">
        <v>61</v>
      </c>
      <c r="G570" s="9" t="s">
        <v>133</v>
      </c>
      <c r="H570" s="9" t="s">
        <v>100</v>
      </c>
      <c r="I570" s="13">
        <v>3.7786059246534068E-2</v>
      </c>
      <c r="J570" s="9" t="s">
        <v>61</v>
      </c>
    </row>
    <row r="571" spans="2:10" x14ac:dyDescent="0.45">
      <c r="B571" s="8" t="s">
        <v>114</v>
      </c>
      <c r="C571" s="8" t="s">
        <v>60</v>
      </c>
      <c r="D571" s="10">
        <v>0</v>
      </c>
      <c r="E571" s="8" t="s">
        <v>61</v>
      </c>
      <c r="G571" s="8" t="s">
        <v>134</v>
      </c>
      <c r="H571" s="8" t="s">
        <v>60</v>
      </c>
      <c r="I571" s="12">
        <v>7.9990655646533682E-2</v>
      </c>
      <c r="J571" s="8" t="s">
        <v>61</v>
      </c>
    </row>
    <row r="572" spans="2:10" x14ac:dyDescent="0.45">
      <c r="B572" s="9" t="s">
        <v>114</v>
      </c>
      <c r="C572" s="9" t="s">
        <v>62</v>
      </c>
      <c r="D572" s="11">
        <v>0</v>
      </c>
      <c r="E572" s="9" t="s">
        <v>61</v>
      </c>
      <c r="G572" s="9" t="s">
        <v>134</v>
      </c>
      <c r="H572" s="9" t="s">
        <v>62</v>
      </c>
      <c r="I572" s="13">
        <v>3.269939717221991E-2</v>
      </c>
      <c r="J572" s="9" t="s">
        <v>61</v>
      </c>
    </row>
    <row r="573" spans="2:10" x14ac:dyDescent="0.45">
      <c r="B573" s="8" t="s">
        <v>114</v>
      </c>
      <c r="C573" s="8" t="s">
        <v>63</v>
      </c>
      <c r="D573" s="10">
        <v>8.7451754117986915E-4</v>
      </c>
      <c r="E573" s="8" t="s">
        <v>61</v>
      </c>
      <c r="G573" s="8" t="s">
        <v>134</v>
      </c>
      <c r="H573" s="8" t="s">
        <v>63</v>
      </c>
      <c r="I573" s="12">
        <v>3.2199646632134309E-2</v>
      </c>
      <c r="J573" s="8" t="s">
        <v>61</v>
      </c>
    </row>
    <row r="574" spans="2:10" x14ac:dyDescent="0.45">
      <c r="B574" s="9" t="s">
        <v>114</v>
      </c>
      <c r="C574" s="9" t="s">
        <v>64</v>
      </c>
      <c r="D574" s="11">
        <v>1.8310539649679217E-2</v>
      </c>
      <c r="E574" s="9" t="s">
        <v>61</v>
      </c>
      <c r="G574" s="9" t="s">
        <v>134</v>
      </c>
      <c r="H574" s="9" t="s">
        <v>64</v>
      </c>
      <c r="I574" s="13">
        <v>3.1995354131462539E-2</v>
      </c>
      <c r="J574" s="9" t="s">
        <v>61</v>
      </c>
    </row>
    <row r="575" spans="2:10" x14ac:dyDescent="0.45">
      <c r="B575" s="8" t="s">
        <v>114</v>
      </c>
      <c r="C575" s="8" t="s">
        <v>65</v>
      </c>
      <c r="D575" s="10">
        <v>2.8597749036780185E-2</v>
      </c>
      <c r="E575" s="8" t="s">
        <v>61</v>
      </c>
      <c r="G575" s="8" t="s">
        <v>134</v>
      </c>
      <c r="H575" s="8" t="s">
        <v>65</v>
      </c>
      <c r="I575" s="12">
        <v>2.9502484298778501E-2</v>
      </c>
      <c r="J575" s="8" t="s">
        <v>61</v>
      </c>
    </row>
    <row r="576" spans="2:10" x14ac:dyDescent="0.45">
      <c r="B576" s="9" t="s">
        <v>114</v>
      </c>
      <c r="C576" s="9" t="s">
        <v>66</v>
      </c>
      <c r="D576" s="11">
        <v>2.9675451541655903E-2</v>
      </c>
      <c r="E576" s="9" t="s">
        <v>61</v>
      </c>
      <c r="G576" s="9" t="s">
        <v>134</v>
      </c>
      <c r="H576" s="9" t="s">
        <v>66</v>
      </c>
      <c r="I576" s="13">
        <v>3.2551526809360222E-2</v>
      </c>
      <c r="J576" s="9" t="s">
        <v>61</v>
      </c>
    </row>
    <row r="577" spans="2:10" x14ac:dyDescent="0.45">
      <c r="B577" s="8" t="s">
        <v>114</v>
      </c>
      <c r="C577" s="8" t="s">
        <v>67</v>
      </c>
      <c r="D577" s="10">
        <v>1.5044021405099844E-2</v>
      </c>
      <c r="E577" s="8" t="s">
        <v>61</v>
      </c>
      <c r="G577" s="8" t="s">
        <v>134</v>
      </c>
      <c r="H577" s="8" t="s">
        <v>67</v>
      </c>
      <c r="I577" s="12">
        <v>3.3610744078111987E-2</v>
      </c>
      <c r="J577" s="8" t="s">
        <v>61</v>
      </c>
    </row>
    <row r="578" spans="2:10" x14ac:dyDescent="0.45">
      <c r="B578" s="9" t="s">
        <v>114</v>
      </c>
      <c r="C578" s="9" t="s">
        <v>68</v>
      </c>
      <c r="D578" s="11">
        <v>1.1085302707623586E-3</v>
      </c>
      <c r="E578" s="9" t="s">
        <v>61</v>
      </c>
      <c r="G578" s="9" t="s">
        <v>134</v>
      </c>
      <c r="H578" s="9" t="s">
        <v>68</v>
      </c>
      <c r="I578" s="13">
        <v>3.3796289075635089E-2</v>
      </c>
      <c r="J578" s="9" t="s">
        <v>61</v>
      </c>
    </row>
    <row r="579" spans="2:10" x14ac:dyDescent="0.45">
      <c r="B579" s="8" t="s">
        <v>114</v>
      </c>
      <c r="C579" s="8" t="s">
        <v>69</v>
      </c>
      <c r="D579" s="10">
        <v>0</v>
      </c>
      <c r="E579" s="8" t="s">
        <v>61</v>
      </c>
      <c r="G579" s="8" t="s">
        <v>134</v>
      </c>
      <c r="H579" s="8" t="s">
        <v>69</v>
      </c>
      <c r="I579" s="12">
        <v>3.3266121922321715E-2</v>
      </c>
      <c r="J579" s="8" t="s">
        <v>61</v>
      </c>
    </row>
    <row r="580" spans="2:10" x14ac:dyDescent="0.45">
      <c r="B580" s="9" t="s">
        <v>114</v>
      </c>
      <c r="C580" s="9" t="s">
        <v>70</v>
      </c>
      <c r="D580" s="11">
        <v>0</v>
      </c>
      <c r="E580" s="9" t="s">
        <v>61</v>
      </c>
      <c r="G580" s="9" t="s">
        <v>134</v>
      </c>
      <c r="H580" s="9" t="s">
        <v>70</v>
      </c>
      <c r="I580" s="13">
        <v>4.6680780803700195E-2</v>
      </c>
      <c r="J580" s="9" t="s">
        <v>61</v>
      </c>
    </row>
    <row r="581" spans="2:10" x14ac:dyDescent="0.45">
      <c r="B581" s="8" t="s">
        <v>114</v>
      </c>
      <c r="C581" s="8" t="s">
        <v>71</v>
      </c>
      <c r="D581" s="10">
        <v>0</v>
      </c>
      <c r="E581" s="8" t="s">
        <v>61</v>
      </c>
      <c r="G581" s="8" t="s">
        <v>134</v>
      </c>
      <c r="H581" s="8" t="s">
        <v>71</v>
      </c>
      <c r="I581" s="12">
        <v>4.5249853516649889E-2</v>
      </c>
      <c r="J581" s="8" t="s">
        <v>61</v>
      </c>
    </row>
    <row r="582" spans="2:10" x14ac:dyDescent="0.45">
      <c r="B582" s="9" t="s">
        <v>114</v>
      </c>
      <c r="C582" s="9" t="s">
        <v>72</v>
      </c>
      <c r="D582" s="11">
        <v>9.648128112914104E-3</v>
      </c>
      <c r="E582" s="9" t="s">
        <v>61</v>
      </c>
      <c r="G582" s="9" t="s">
        <v>134</v>
      </c>
      <c r="H582" s="9" t="s">
        <v>72</v>
      </c>
      <c r="I582" s="13">
        <v>1.7998672872456777E-2</v>
      </c>
      <c r="J582" s="9" t="s">
        <v>61</v>
      </c>
    </row>
    <row r="583" spans="2:10" x14ac:dyDescent="0.45">
      <c r="B583" s="8" t="s">
        <v>114</v>
      </c>
      <c r="C583" s="8" t="s">
        <v>73</v>
      </c>
      <c r="D583" s="10">
        <v>3.9252739858413481E-2</v>
      </c>
      <c r="E583" s="8" t="s">
        <v>61</v>
      </c>
      <c r="G583" s="8" t="s">
        <v>134</v>
      </c>
      <c r="H583" s="8" t="s">
        <v>73</v>
      </c>
      <c r="I583" s="12">
        <v>1.7146210234201782E-2</v>
      </c>
      <c r="J583" s="8" t="s">
        <v>61</v>
      </c>
    </row>
    <row r="584" spans="2:10" x14ac:dyDescent="0.45">
      <c r="B584" s="9" t="s">
        <v>114</v>
      </c>
      <c r="C584" s="9" t="s">
        <v>74</v>
      </c>
      <c r="D584" s="11">
        <v>5.9587405043376694E-2</v>
      </c>
      <c r="E584" s="9" t="s">
        <v>61</v>
      </c>
      <c r="G584" s="9" t="s">
        <v>134</v>
      </c>
      <c r="H584" s="9" t="s">
        <v>74</v>
      </c>
      <c r="I584" s="13">
        <v>1.9380803659095485E-2</v>
      </c>
      <c r="J584" s="9" t="s">
        <v>61</v>
      </c>
    </row>
    <row r="585" spans="2:10" x14ac:dyDescent="0.45">
      <c r="B585" s="8" t="s">
        <v>114</v>
      </c>
      <c r="C585" s="8" t="s">
        <v>75</v>
      </c>
      <c r="D585" s="10">
        <v>6.4345321646984907E-2</v>
      </c>
      <c r="E585" s="8" t="s">
        <v>61</v>
      </c>
      <c r="G585" s="8" t="s">
        <v>134</v>
      </c>
      <c r="H585" s="8" t="s">
        <v>75</v>
      </c>
      <c r="I585" s="12">
        <v>1.9663325524995636E-2</v>
      </c>
      <c r="J585" s="8" t="s">
        <v>61</v>
      </c>
    </row>
    <row r="586" spans="2:10" x14ac:dyDescent="0.45">
      <c r="B586" s="9" t="s">
        <v>114</v>
      </c>
      <c r="C586" s="9" t="s">
        <v>76</v>
      </c>
      <c r="D586" s="11">
        <v>6.1558564738298599E-2</v>
      </c>
      <c r="E586" s="9" t="s">
        <v>61</v>
      </c>
      <c r="G586" s="9" t="s">
        <v>134</v>
      </c>
      <c r="H586" s="9" t="s">
        <v>76</v>
      </c>
      <c r="I586" s="13">
        <v>2.5301473133232215E-2</v>
      </c>
      <c r="J586" s="9" t="s">
        <v>61</v>
      </c>
    </row>
    <row r="587" spans="2:10" x14ac:dyDescent="0.45">
      <c r="B587" s="8" t="s">
        <v>114</v>
      </c>
      <c r="C587" s="8" t="s">
        <v>77</v>
      </c>
      <c r="D587" s="10">
        <v>5.0325462343133461E-2</v>
      </c>
      <c r="E587" s="8" t="s">
        <v>61</v>
      </c>
      <c r="G587" s="8" t="s">
        <v>134</v>
      </c>
      <c r="H587" s="8" t="s">
        <v>77</v>
      </c>
      <c r="I587" s="12">
        <v>2.6117256848207957E-2</v>
      </c>
      <c r="J587" s="8" t="s">
        <v>61</v>
      </c>
    </row>
    <row r="588" spans="2:10" x14ac:dyDescent="0.45">
      <c r="B588" s="9" t="s">
        <v>114</v>
      </c>
      <c r="C588" s="9" t="s">
        <v>78</v>
      </c>
      <c r="D588" s="11">
        <v>2.7306114643982072E-2</v>
      </c>
      <c r="E588" s="9" t="s">
        <v>61</v>
      </c>
      <c r="G588" s="9" t="s">
        <v>134</v>
      </c>
      <c r="H588" s="9" t="s">
        <v>78</v>
      </c>
      <c r="I588" s="13">
        <v>2.2697566630582394E-2</v>
      </c>
      <c r="J588" s="9" t="s">
        <v>61</v>
      </c>
    </row>
    <row r="589" spans="2:10" x14ac:dyDescent="0.45">
      <c r="B589" s="8" t="s">
        <v>114</v>
      </c>
      <c r="C589" s="8" t="s">
        <v>79</v>
      </c>
      <c r="D589" s="10">
        <v>3.2487163123934371E-3</v>
      </c>
      <c r="E589" s="8" t="s">
        <v>61</v>
      </c>
      <c r="G589" s="8" t="s">
        <v>134</v>
      </c>
      <c r="H589" s="8" t="s">
        <v>79</v>
      </c>
      <c r="I589" s="12">
        <v>2.0992820881755164E-2</v>
      </c>
      <c r="J589" s="8" t="s">
        <v>61</v>
      </c>
    </row>
    <row r="590" spans="2:10" x14ac:dyDescent="0.45">
      <c r="B590" s="9" t="s">
        <v>114</v>
      </c>
      <c r="C590" s="9" t="s">
        <v>80</v>
      </c>
      <c r="D590" s="11">
        <v>0</v>
      </c>
      <c r="E590" s="9" t="s">
        <v>61</v>
      </c>
      <c r="G590" s="9" t="s">
        <v>134</v>
      </c>
      <c r="H590" s="9" t="s">
        <v>80</v>
      </c>
      <c r="I590" s="13">
        <v>2.803313380849657E-2</v>
      </c>
      <c r="J590" s="9" t="s">
        <v>61</v>
      </c>
    </row>
    <row r="591" spans="2:10" x14ac:dyDescent="0.45">
      <c r="B591" s="8" t="s">
        <v>114</v>
      </c>
      <c r="C591" s="8" t="s">
        <v>81</v>
      </c>
      <c r="D591" s="10">
        <v>0</v>
      </c>
      <c r="E591" s="8" t="s">
        <v>61</v>
      </c>
      <c r="G591" s="8" t="s">
        <v>134</v>
      </c>
      <c r="H591" s="8" t="s">
        <v>81</v>
      </c>
      <c r="I591" s="12">
        <v>1.2682514789438798E-2</v>
      </c>
      <c r="J591" s="8" t="s">
        <v>61</v>
      </c>
    </row>
    <row r="592" spans="2:10" x14ac:dyDescent="0.45">
      <c r="B592" s="9" t="s">
        <v>114</v>
      </c>
      <c r="C592" s="9" t="s">
        <v>82</v>
      </c>
      <c r="D592" s="11">
        <v>1.9363742249864035E-2</v>
      </c>
      <c r="E592" s="9" t="s">
        <v>61</v>
      </c>
      <c r="G592" s="9" t="s">
        <v>134</v>
      </c>
      <c r="H592" s="9" t="s">
        <v>82</v>
      </c>
      <c r="I592" s="13">
        <v>5.7307486889348362E-3</v>
      </c>
      <c r="J592" s="9" t="s">
        <v>61</v>
      </c>
    </row>
    <row r="593" spans="2:10" x14ac:dyDescent="0.45">
      <c r="B593" s="8" t="s">
        <v>114</v>
      </c>
      <c r="C593" s="8" t="s">
        <v>83</v>
      </c>
      <c r="D593" s="10">
        <v>5.4159278152044001E-2</v>
      </c>
      <c r="E593" s="8" t="s">
        <v>61</v>
      </c>
      <c r="G593" s="8" t="s">
        <v>134</v>
      </c>
      <c r="H593" s="8" t="s">
        <v>83</v>
      </c>
      <c r="I593" s="12">
        <v>6.4790290443958098E-3</v>
      </c>
      <c r="J593" s="8" t="s">
        <v>61</v>
      </c>
    </row>
    <row r="594" spans="2:10" x14ac:dyDescent="0.45">
      <c r="B594" s="9" t="s">
        <v>114</v>
      </c>
      <c r="C594" s="9" t="s">
        <v>84</v>
      </c>
      <c r="D594" s="11">
        <v>7.4501872809126179E-2</v>
      </c>
      <c r="E594" s="9" t="s">
        <v>61</v>
      </c>
      <c r="G594" s="9" t="s">
        <v>134</v>
      </c>
      <c r="H594" s="9" t="s">
        <v>84</v>
      </c>
      <c r="I594" s="13">
        <v>1.0998240073254905E-2</v>
      </c>
      <c r="J594" s="9" t="s">
        <v>61</v>
      </c>
    </row>
    <row r="595" spans="2:10" x14ac:dyDescent="0.45">
      <c r="B595" s="8" t="s">
        <v>114</v>
      </c>
      <c r="C595" s="8" t="s">
        <v>85</v>
      </c>
      <c r="D595" s="10">
        <v>7.394355972291565E-2</v>
      </c>
      <c r="E595" s="8" t="s">
        <v>61</v>
      </c>
      <c r="G595" s="8" t="s">
        <v>134</v>
      </c>
      <c r="H595" s="8" t="s">
        <v>85</v>
      </c>
      <c r="I595" s="12">
        <v>9.5569695028975138E-3</v>
      </c>
      <c r="J595" s="8" t="s">
        <v>61</v>
      </c>
    </row>
    <row r="596" spans="2:10" x14ac:dyDescent="0.45">
      <c r="B596" s="9" t="s">
        <v>114</v>
      </c>
      <c r="C596" s="9" t="s">
        <v>86</v>
      </c>
      <c r="D596" s="11">
        <v>7.0729986556536381E-2</v>
      </c>
      <c r="E596" s="9" t="s">
        <v>61</v>
      </c>
      <c r="G596" s="9" t="s">
        <v>134</v>
      </c>
      <c r="H596" s="9" t="s">
        <v>86</v>
      </c>
      <c r="I596" s="13">
        <v>1.231683830742197E-2</v>
      </c>
      <c r="J596" s="9" t="s">
        <v>61</v>
      </c>
    </row>
    <row r="597" spans="2:10" x14ac:dyDescent="0.45">
      <c r="B597" s="8" t="s">
        <v>114</v>
      </c>
      <c r="C597" s="8" t="s">
        <v>87</v>
      </c>
      <c r="D597" s="10">
        <v>6.2079892711911118E-2</v>
      </c>
      <c r="E597" s="8" t="s">
        <v>61</v>
      </c>
      <c r="G597" s="8" t="s">
        <v>134</v>
      </c>
      <c r="H597" s="8" t="s">
        <v>87</v>
      </c>
      <c r="I597" s="12">
        <v>1.3951198743634817E-2</v>
      </c>
      <c r="J597" s="8" t="s">
        <v>61</v>
      </c>
    </row>
    <row r="598" spans="2:10" x14ac:dyDescent="0.45">
      <c r="B598" s="9" t="s">
        <v>114</v>
      </c>
      <c r="C598" s="9" t="s">
        <v>88</v>
      </c>
      <c r="D598" s="11">
        <v>4.0976397365438511E-2</v>
      </c>
      <c r="E598" s="9" t="s">
        <v>61</v>
      </c>
      <c r="G598" s="9" t="s">
        <v>134</v>
      </c>
      <c r="H598" s="9" t="s">
        <v>88</v>
      </c>
      <c r="I598" s="13">
        <v>1.2137130698276074E-2</v>
      </c>
      <c r="J598" s="9" t="s">
        <v>61</v>
      </c>
    </row>
    <row r="599" spans="2:10" x14ac:dyDescent="0.45">
      <c r="B599" s="8" t="s">
        <v>114</v>
      </c>
      <c r="C599" s="8" t="s">
        <v>89</v>
      </c>
      <c r="D599" s="10">
        <v>1.1859299291899059E-2</v>
      </c>
      <c r="E599" s="8" t="s">
        <v>61</v>
      </c>
      <c r="G599" s="8" t="s">
        <v>134</v>
      </c>
      <c r="H599" s="8" t="s">
        <v>89</v>
      </c>
      <c r="I599" s="12">
        <v>9.6289404817506159E-3</v>
      </c>
      <c r="J599" s="8" t="s">
        <v>61</v>
      </c>
    </row>
    <row r="600" spans="2:10" x14ac:dyDescent="0.45">
      <c r="B600" s="9" t="s">
        <v>114</v>
      </c>
      <c r="C600" s="9" t="s">
        <v>90</v>
      </c>
      <c r="D600" s="11">
        <v>0</v>
      </c>
      <c r="E600" s="9" t="s">
        <v>61</v>
      </c>
      <c r="G600" s="9" t="s">
        <v>134</v>
      </c>
      <c r="H600" s="9" t="s">
        <v>90</v>
      </c>
      <c r="I600" s="13">
        <v>9.9122465216438388E-3</v>
      </c>
      <c r="J600" s="9" t="s">
        <v>61</v>
      </c>
    </row>
    <row r="601" spans="2:10" x14ac:dyDescent="0.45">
      <c r="B601" s="8" t="s">
        <v>114</v>
      </c>
      <c r="C601" s="8" t="s">
        <v>91</v>
      </c>
      <c r="D601" s="10">
        <v>0</v>
      </c>
      <c r="E601" s="8" t="s">
        <v>61</v>
      </c>
      <c r="G601" s="8" t="s">
        <v>134</v>
      </c>
      <c r="H601" s="8" t="s">
        <v>91</v>
      </c>
      <c r="I601" s="12">
        <v>4.7797584643062725E-2</v>
      </c>
      <c r="J601" s="8" t="s">
        <v>61</v>
      </c>
    </row>
    <row r="602" spans="2:10" x14ac:dyDescent="0.45">
      <c r="B602" s="9" t="s">
        <v>114</v>
      </c>
      <c r="C602" s="9" t="s">
        <v>92</v>
      </c>
      <c r="D602" s="11">
        <v>1.0319151450300698E-3</v>
      </c>
      <c r="E602" s="9" t="s">
        <v>61</v>
      </c>
      <c r="G602" s="9" t="s">
        <v>134</v>
      </c>
      <c r="H602" s="9" t="s">
        <v>92</v>
      </c>
      <c r="I602" s="13">
        <v>1.8712802259625846E-2</v>
      </c>
      <c r="J602" s="9" t="s">
        <v>61</v>
      </c>
    </row>
    <row r="603" spans="2:10" x14ac:dyDescent="0.45">
      <c r="B603" s="8" t="s">
        <v>114</v>
      </c>
      <c r="C603" s="8" t="s">
        <v>93</v>
      </c>
      <c r="D603" s="10">
        <v>1.8738659993311813E-2</v>
      </c>
      <c r="E603" s="8" t="s">
        <v>61</v>
      </c>
      <c r="G603" s="8" t="s">
        <v>134</v>
      </c>
      <c r="H603" s="8" t="s">
        <v>93</v>
      </c>
      <c r="I603" s="12">
        <v>1.926418022405172E-2</v>
      </c>
      <c r="J603" s="8" t="s">
        <v>61</v>
      </c>
    </row>
    <row r="604" spans="2:10" x14ac:dyDescent="0.45">
      <c r="B604" s="9" t="s">
        <v>114</v>
      </c>
      <c r="C604" s="9" t="s">
        <v>94</v>
      </c>
      <c r="D604" s="11">
        <v>3.8744217770248994E-2</v>
      </c>
      <c r="E604" s="9" t="s">
        <v>61</v>
      </c>
      <c r="G604" s="9" t="s">
        <v>134</v>
      </c>
      <c r="H604" s="9" t="s">
        <v>94</v>
      </c>
      <c r="I604" s="13">
        <v>2.0514662228392662E-2</v>
      </c>
      <c r="J604" s="9" t="s">
        <v>61</v>
      </c>
    </row>
    <row r="605" spans="2:10" x14ac:dyDescent="0.45">
      <c r="B605" s="8" t="s">
        <v>114</v>
      </c>
      <c r="C605" s="8" t="s">
        <v>95</v>
      </c>
      <c r="D605" s="10">
        <v>4.2032890915793389E-2</v>
      </c>
      <c r="E605" s="8" t="s">
        <v>61</v>
      </c>
      <c r="G605" s="8" t="s">
        <v>134</v>
      </c>
      <c r="H605" s="8" t="s">
        <v>95</v>
      </c>
      <c r="I605" s="12">
        <v>2.1081080085107531E-2</v>
      </c>
      <c r="J605" s="8" t="s">
        <v>61</v>
      </c>
    </row>
    <row r="606" spans="2:10" x14ac:dyDescent="0.45">
      <c r="B606" s="9" t="s">
        <v>114</v>
      </c>
      <c r="C606" s="9" t="s">
        <v>96</v>
      </c>
      <c r="D606" s="11">
        <v>4.3897019092050377E-2</v>
      </c>
      <c r="E606" s="9" t="s">
        <v>61</v>
      </c>
      <c r="G606" s="9" t="s">
        <v>134</v>
      </c>
      <c r="H606" s="9" t="s">
        <v>96</v>
      </c>
      <c r="I606" s="13">
        <v>2.6520989507904321E-2</v>
      </c>
      <c r="J606" s="9" t="s">
        <v>61</v>
      </c>
    </row>
    <row r="607" spans="2:10" x14ac:dyDescent="0.45">
      <c r="B607" s="8" t="s">
        <v>114</v>
      </c>
      <c r="C607" s="8" t="s">
        <v>97</v>
      </c>
      <c r="D607" s="10">
        <v>3.0829127285380401E-2</v>
      </c>
      <c r="E607" s="8" t="s">
        <v>61</v>
      </c>
      <c r="G607" s="8" t="s">
        <v>134</v>
      </c>
      <c r="H607" s="8" t="s">
        <v>97</v>
      </c>
      <c r="I607" s="12">
        <v>2.7304553133177874E-2</v>
      </c>
      <c r="J607" s="8" t="s">
        <v>61</v>
      </c>
    </row>
    <row r="608" spans="2:10" x14ac:dyDescent="0.45">
      <c r="B608" s="9" t="s">
        <v>114</v>
      </c>
      <c r="C608" s="9" t="s">
        <v>98</v>
      </c>
      <c r="D608" s="11">
        <v>8.2288787937961991E-3</v>
      </c>
      <c r="E608" s="9" t="s">
        <v>61</v>
      </c>
      <c r="G608" s="9" t="s">
        <v>134</v>
      </c>
      <c r="H608" s="9" t="s">
        <v>98</v>
      </c>
      <c r="I608" s="13">
        <v>2.6452715629520233E-2</v>
      </c>
      <c r="J608" s="9" t="s">
        <v>61</v>
      </c>
    </row>
    <row r="609" spans="2:10" x14ac:dyDescent="0.45">
      <c r="B609" s="8" t="s">
        <v>114</v>
      </c>
      <c r="C609" s="8" t="s">
        <v>99</v>
      </c>
      <c r="D609" s="10">
        <v>0</v>
      </c>
      <c r="E609" s="8" t="s">
        <v>61</v>
      </c>
      <c r="G609" s="8" t="s">
        <v>134</v>
      </c>
      <c r="H609" s="8" t="s">
        <v>99</v>
      </c>
      <c r="I609" s="12">
        <v>2.5476654208656704E-2</v>
      </c>
      <c r="J609" s="8" t="s">
        <v>61</v>
      </c>
    </row>
    <row r="610" spans="2:10" x14ac:dyDescent="0.45">
      <c r="B610" s="9" t="s">
        <v>114</v>
      </c>
      <c r="C610" s="9" t="s">
        <v>100</v>
      </c>
      <c r="D610" s="11">
        <v>0</v>
      </c>
      <c r="E610" s="9" t="s">
        <v>61</v>
      </c>
      <c r="G610" s="9" t="s">
        <v>134</v>
      </c>
      <c r="H610" s="9" t="s">
        <v>100</v>
      </c>
      <c r="I610" s="13">
        <v>3.4606803548920415E-2</v>
      </c>
      <c r="J610" s="9" t="s">
        <v>61</v>
      </c>
    </row>
    <row r="611" spans="2:10" x14ac:dyDescent="0.45">
      <c r="B611" s="8" t="s">
        <v>115</v>
      </c>
      <c r="C611" s="8" t="s">
        <v>60</v>
      </c>
      <c r="D611" s="10">
        <v>0</v>
      </c>
      <c r="E611" s="8" t="s">
        <v>61</v>
      </c>
      <c r="G611" s="8" t="s">
        <v>135</v>
      </c>
      <c r="H611" s="8" t="s">
        <v>60</v>
      </c>
      <c r="I611" s="12">
        <v>7.6816405752509753E-2</v>
      </c>
      <c r="J611" s="8" t="s">
        <v>61</v>
      </c>
    </row>
    <row r="612" spans="2:10" x14ac:dyDescent="0.45">
      <c r="B612" s="9" t="s">
        <v>115</v>
      </c>
      <c r="C612" s="9" t="s">
        <v>62</v>
      </c>
      <c r="D612" s="11">
        <v>0</v>
      </c>
      <c r="E612" s="9" t="s">
        <v>61</v>
      </c>
      <c r="G612" s="9" t="s">
        <v>135</v>
      </c>
      <c r="H612" s="9" t="s">
        <v>62</v>
      </c>
      <c r="I612" s="13">
        <v>3.0772005398742773E-2</v>
      </c>
      <c r="J612" s="9" t="s">
        <v>61</v>
      </c>
    </row>
    <row r="613" spans="2:10" x14ac:dyDescent="0.45">
      <c r="B613" s="8" t="s">
        <v>115</v>
      </c>
      <c r="C613" s="8" t="s">
        <v>63</v>
      </c>
      <c r="D613" s="10">
        <v>8.5942734801638932E-4</v>
      </c>
      <c r="E613" s="8" t="s">
        <v>61</v>
      </c>
      <c r="G613" s="8" t="s">
        <v>135</v>
      </c>
      <c r="H613" s="8" t="s">
        <v>63</v>
      </c>
      <c r="I613" s="12">
        <v>3.0591852448016287E-2</v>
      </c>
      <c r="J613" s="8" t="s">
        <v>61</v>
      </c>
    </row>
    <row r="614" spans="2:10" x14ac:dyDescent="0.45">
      <c r="B614" s="9" t="s">
        <v>115</v>
      </c>
      <c r="C614" s="9" t="s">
        <v>64</v>
      </c>
      <c r="D614" s="11">
        <v>1.4989692051518629E-2</v>
      </c>
      <c r="E614" s="9" t="s">
        <v>61</v>
      </c>
      <c r="G614" s="9" t="s">
        <v>135</v>
      </c>
      <c r="H614" s="9" t="s">
        <v>64</v>
      </c>
      <c r="I614" s="13">
        <v>2.9688022282195976E-2</v>
      </c>
      <c r="J614" s="9" t="s">
        <v>61</v>
      </c>
    </row>
    <row r="615" spans="2:10" x14ac:dyDescent="0.45">
      <c r="B615" s="8" t="s">
        <v>115</v>
      </c>
      <c r="C615" s="8" t="s">
        <v>65</v>
      </c>
      <c r="D615" s="10">
        <v>2.3900276577286595E-2</v>
      </c>
      <c r="E615" s="8" t="s">
        <v>61</v>
      </c>
      <c r="G615" s="8" t="s">
        <v>135</v>
      </c>
      <c r="H615" s="8" t="s">
        <v>65</v>
      </c>
      <c r="I615" s="12">
        <v>2.8228882988744378E-2</v>
      </c>
      <c r="J615" s="8" t="s">
        <v>61</v>
      </c>
    </row>
    <row r="616" spans="2:10" x14ac:dyDescent="0.45">
      <c r="B616" s="9" t="s">
        <v>115</v>
      </c>
      <c r="C616" s="9" t="s">
        <v>66</v>
      </c>
      <c r="D616" s="11">
        <v>2.4390076634479688E-2</v>
      </c>
      <c r="E616" s="9" t="s">
        <v>61</v>
      </c>
      <c r="G616" s="9" t="s">
        <v>135</v>
      </c>
      <c r="H616" s="9" t="s">
        <v>66</v>
      </c>
      <c r="I616" s="13">
        <v>2.9059745720711506E-2</v>
      </c>
      <c r="J616" s="9" t="s">
        <v>61</v>
      </c>
    </row>
    <row r="617" spans="2:10" x14ac:dyDescent="0.45">
      <c r="B617" s="8" t="s">
        <v>115</v>
      </c>
      <c r="C617" s="8" t="s">
        <v>67</v>
      </c>
      <c r="D617" s="10">
        <v>1.0485235729353904E-2</v>
      </c>
      <c r="E617" s="8" t="s">
        <v>61</v>
      </c>
      <c r="G617" s="8" t="s">
        <v>135</v>
      </c>
      <c r="H617" s="8" t="s">
        <v>67</v>
      </c>
      <c r="I617" s="12">
        <v>3.0528935784158374E-2</v>
      </c>
      <c r="J617" s="8" t="s">
        <v>61</v>
      </c>
    </row>
    <row r="618" spans="2:10" x14ac:dyDescent="0.45">
      <c r="B618" s="9" t="s">
        <v>115</v>
      </c>
      <c r="C618" s="9" t="s">
        <v>68</v>
      </c>
      <c r="D618" s="11">
        <v>6.6194114499329632E-4</v>
      </c>
      <c r="E618" s="9" t="s">
        <v>61</v>
      </c>
      <c r="G618" s="9" t="s">
        <v>135</v>
      </c>
      <c r="H618" s="9" t="s">
        <v>68</v>
      </c>
      <c r="I618" s="13">
        <v>3.254967511584491E-2</v>
      </c>
      <c r="J618" s="9" t="s">
        <v>61</v>
      </c>
    </row>
    <row r="619" spans="2:10" x14ac:dyDescent="0.45">
      <c r="B619" s="8" t="s">
        <v>115</v>
      </c>
      <c r="C619" s="8" t="s">
        <v>69</v>
      </c>
      <c r="D619" s="10">
        <v>0</v>
      </c>
      <c r="E619" s="8" t="s">
        <v>61</v>
      </c>
      <c r="G619" s="8" t="s">
        <v>135</v>
      </c>
      <c r="H619" s="8" t="s">
        <v>69</v>
      </c>
      <c r="I619" s="12">
        <v>3.2752001902927937E-2</v>
      </c>
      <c r="J619" s="8" t="s">
        <v>61</v>
      </c>
    </row>
    <row r="620" spans="2:10" x14ac:dyDescent="0.45">
      <c r="B620" s="9" t="s">
        <v>115</v>
      </c>
      <c r="C620" s="9" t="s">
        <v>70</v>
      </c>
      <c r="D620" s="11">
        <v>0</v>
      </c>
      <c r="E620" s="9" t="s">
        <v>61</v>
      </c>
      <c r="G620" s="9" t="s">
        <v>135</v>
      </c>
      <c r="H620" s="9" t="s">
        <v>70</v>
      </c>
      <c r="I620" s="13">
        <v>4.7521630784666431E-2</v>
      </c>
      <c r="J620" s="9" t="s">
        <v>61</v>
      </c>
    </row>
    <row r="621" spans="2:10" x14ac:dyDescent="0.45">
      <c r="B621" s="8" t="s">
        <v>115</v>
      </c>
      <c r="C621" s="8" t="s">
        <v>71</v>
      </c>
      <c r="D621" s="10">
        <v>0</v>
      </c>
      <c r="E621" s="8" t="s">
        <v>61</v>
      </c>
      <c r="G621" s="8" t="s">
        <v>135</v>
      </c>
      <c r="H621" s="8" t="s">
        <v>71</v>
      </c>
      <c r="I621" s="12">
        <v>4.9834071490532934E-2</v>
      </c>
      <c r="J621" s="8" t="s">
        <v>61</v>
      </c>
    </row>
    <row r="622" spans="2:10" x14ac:dyDescent="0.45">
      <c r="B622" s="9" t="s">
        <v>115</v>
      </c>
      <c r="C622" s="9" t="s">
        <v>72</v>
      </c>
      <c r="D622" s="11">
        <v>9.71939006184676E-3</v>
      </c>
      <c r="E622" s="9" t="s">
        <v>61</v>
      </c>
      <c r="G622" s="9" t="s">
        <v>135</v>
      </c>
      <c r="H622" s="9" t="s">
        <v>72</v>
      </c>
      <c r="I622" s="13">
        <v>1.9986619015700979E-2</v>
      </c>
      <c r="J622" s="9" t="s">
        <v>61</v>
      </c>
    </row>
    <row r="623" spans="2:10" x14ac:dyDescent="0.45">
      <c r="B623" s="8" t="s">
        <v>115</v>
      </c>
      <c r="C623" s="8" t="s">
        <v>73</v>
      </c>
      <c r="D623" s="10">
        <v>4.111052871067819E-2</v>
      </c>
      <c r="E623" s="8" t="s">
        <v>61</v>
      </c>
      <c r="G623" s="8" t="s">
        <v>135</v>
      </c>
      <c r="H623" s="8" t="s">
        <v>73</v>
      </c>
      <c r="I623" s="12">
        <v>1.8957803212821461E-2</v>
      </c>
      <c r="J623" s="8" t="s">
        <v>61</v>
      </c>
    </row>
    <row r="624" spans="2:10" x14ac:dyDescent="0.45">
      <c r="B624" s="9" t="s">
        <v>115</v>
      </c>
      <c r="C624" s="9" t="s">
        <v>74</v>
      </c>
      <c r="D624" s="11">
        <v>6.4625710742517273E-2</v>
      </c>
      <c r="E624" s="9" t="s">
        <v>61</v>
      </c>
      <c r="G624" s="9" t="s">
        <v>135</v>
      </c>
      <c r="H624" s="9" t="s">
        <v>74</v>
      </c>
      <c r="I624" s="13">
        <v>1.9609660629253831E-2</v>
      </c>
      <c r="J624" s="9" t="s">
        <v>61</v>
      </c>
    </row>
    <row r="625" spans="2:10" x14ac:dyDescent="0.45">
      <c r="B625" s="8" t="s">
        <v>115</v>
      </c>
      <c r="C625" s="8" t="s">
        <v>75</v>
      </c>
      <c r="D625" s="10">
        <v>6.8134697086002241E-2</v>
      </c>
      <c r="E625" s="8" t="s">
        <v>61</v>
      </c>
      <c r="G625" s="8" t="s">
        <v>135</v>
      </c>
      <c r="H625" s="8" t="s">
        <v>75</v>
      </c>
      <c r="I625" s="12">
        <v>1.7475341821257279E-2</v>
      </c>
      <c r="J625" s="8" t="s">
        <v>61</v>
      </c>
    </row>
    <row r="626" spans="2:10" x14ac:dyDescent="0.45">
      <c r="B626" s="9" t="s">
        <v>115</v>
      </c>
      <c r="C626" s="9" t="s">
        <v>76</v>
      </c>
      <c r="D626" s="11">
        <v>6.4889716864621722E-2</v>
      </c>
      <c r="E626" s="9" t="s">
        <v>61</v>
      </c>
      <c r="G626" s="9" t="s">
        <v>135</v>
      </c>
      <c r="H626" s="9" t="s">
        <v>76</v>
      </c>
      <c r="I626" s="13">
        <v>1.9886055203104915E-2</v>
      </c>
      <c r="J626" s="9" t="s">
        <v>61</v>
      </c>
    </row>
    <row r="627" spans="2:10" x14ac:dyDescent="0.45">
      <c r="B627" s="8" t="s">
        <v>115</v>
      </c>
      <c r="C627" s="8" t="s">
        <v>77</v>
      </c>
      <c r="D627" s="10">
        <v>5.1715873173437725E-2</v>
      </c>
      <c r="E627" s="8" t="s">
        <v>61</v>
      </c>
      <c r="G627" s="8" t="s">
        <v>135</v>
      </c>
      <c r="H627" s="8" t="s">
        <v>77</v>
      </c>
      <c r="I627" s="12">
        <v>2.0095970630393908E-2</v>
      </c>
      <c r="J627" s="8" t="s">
        <v>61</v>
      </c>
    </row>
    <row r="628" spans="2:10" x14ac:dyDescent="0.45">
      <c r="B628" s="9" t="s">
        <v>115</v>
      </c>
      <c r="C628" s="9" t="s">
        <v>78</v>
      </c>
      <c r="D628" s="11">
        <v>2.8061541145804378E-2</v>
      </c>
      <c r="E628" s="9" t="s">
        <v>61</v>
      </c>
      <c r="G628" s="9" t="s">
        <v>135</v>
      </c>
      <c r="H628" s="9" t="s">
        <v>78</v>
      </c>
      <c r="I628" s="13">
        <v>2.0331629637956202E-2</v>
      </c>
      <c r="J628" s="9" t="s">
        <v>61</v>
      </c>
    </row>
    <row r="629" spans="2:10" x14ac:dyDescent="0.45">
      <c r="B629" s="8" t="s">
        <v>115</v>
      </c>
      <c r="C629" s="8" t="s">
        <v>79</v>
      </c>
      <c r="D629" s="10">
        <v>4.1189855813762791E-3</v>
      </c>
      <c r="E629" s="8" t="s">
        <v>61</v>
      </c>
      <c r="G629" s="8" t="s">
        <v>135</v>
      </c>
      <c r="H629" s="8" t="s">
        <v>79</v>
      </c>
      <c r="I629" s="12">
        <v>2.1765916660255649E-2</v>
      </c>
      <c r="J629" s="8" t="s">
        <v>61</v>
      </c>
    </row>
    <row r="630" spans="2:10" x14ac:dyDescent="0.45">
      <c r="B630" s="9" t="s">
        <v>115</v>
      </c>
      <c r="C630" s="9" t="s">
        <v>80</v>
      </c>
      <c r="D630" s="11">
        <v>0</v>
      </c>
      <c r="E630" s="9" t="s">
        <v>61</v>
      </c>
      <c r="G630" s="9" t="s">
        <v>135</v>
      </c>
      <c r="H630" s="9" t="s">
        <v>80</v>
      </c>
      <c r="I630" s="13">
        <v>3.0741870554287693E-2</v>
      </c>
      <c r="J630" s="9" t="s">
        <v>61</v>
      </c>
    </row>
    <row r="631" spans="2:10" x14ac:dyDescent="0.45">
      <c r="B631" s="8" t="s">
        <v>115</v>
      </c>
      <c r="C631" s="8" t="s">
        <v>81</v>
      </c>
      <c r="D631" s="10">
        <v>0</v>
      </c>
      <c r="E631" s="8" t="s">
        <v>61</v>
      </c>
      <c r="G631" s="8" t="s">
        <v>135</v>
      </c>
      <c r="H631" s="8" t="s">
        <v>81</v>
      </c>
      <c r="I631" s="12">
        <v>2.2168811048128276E-2</v>
      </c>
      <c r="J631" s="8" t="s">
        <v>61</v>
      </c>
    </row>
    <row r="632" spans="2:10" x14ac:dyDescent="0.45">
      <c r="B632" s="9" t="s">
        <v>115</v>
      </c>
      <c r="C632" s="9" t="s">
        <v>82</v>
      </c>
      <c r="D632" s="11">
        <v>2.1590516874018421E-2</v>
      </c>
      <c r="E632" s="9" t="s">
        <v>61</v>
      </c>
      <c r="G632" s="9" t="s">
        <v>135</v>
      </c>
      <c r="H632" s="9" t="s">
        <v>82</v>
      </c>
      <c r="I632" s="13">
        <v>8.5738823026415955E-3</v>
      </c>
      <c r="J632" s="9" t="s">
        <v>61</v>
      </c>
    </row>
    <row r="633" spans="2:10" x14ac:dyDescent="0.45">
      <c r="B633" s="8" t="s">
        <v>115</v>
      </c>
      <c r="C633" s="8" t="s">
        <v>83</v>
      </c>
      <c r="D633" s="10">
        <v>5.6247358115571841E-2</v>
      </c>
      <c r="E633" s="8" t="s">
        <v>61</v>
      </c>
      <c r="G633" s="8" t="s">
        <v>135</v>
      </c>
      <c r="H633" s="8" t="s">
        <v>83</v>
      </c>
      <c r="I633" s="12">
        <v>7.6791658057212622E-3</v>
      </c>
      <c r="J633" s="8" t="s">
        <v>61</v>
      </c>
    </row>
    <row r="634" spans="2:10" x14ac:dyDescent="0.45">
      <c r="B634" s="9" t="s">
        <v>115</v>
      </c>
      <c r="C634" s="9" t="s">
        <v>84</v>
      </c>
      <c r="D634" s="11">
        <v>7.5222827280902224E-2</v>
      </c>
      <c r="E634" s="9" t="s">
        <v>61</v>
      </c>
      <c r="G634" s="9" t="s">
        <v>135</v>
      </c>
      <c r="H634" s="9" t="s">
        <v>84</v>
      </c>
      <c r="I634" s="13">
        <v>8.7071592486580966E-3</v>
      </c>
      <c r="J634" s="9" t="s">
        <v>61</v>
      </c>
    </row>
    <row r="635" spans="2:10" x14ac:dyDescent="0.45">
      <c r="B635" s="8" t="s">
        <v>115</v>
      </c>
      <c r="C635" s="8" t="s">
        <v>85</v>
      </c>
      <c r="D635" s="10">
        <v>7.535594348723379E-2</v>
      </c>
      <c r="E635" s="8" t="s">
        <v>61</v>
      </c>
      <c r="G635" s="8" t="s">
        <v>135</v>
      </c>
      <c r="H635" s="8" t="s">
        <v>85</v>
      </c>
      <c r="I635" s="12">
        <v>7.5303982483292268E-3</v>
      </c>
      <c r="J635" s="8" t="s">
        <v>61</v>
      </c>
    </row>
    <row r="636" spans="2:10" x14ac:dyDescent="0.45">
      <c r="B636" s="9" t="s">
        <v>115</v>
      </c>
      <c r="C636" s="9" t="s">
        <v>86</v>
      </c>
      <c r="D636" s="11">
        <v>7.1713013427400663E-2</v>
      </c>
      <c r="E636" s="9" t="s">
        <v>61</v>
      </c>
      <c r="G636" s="9" t="s">
        <v>135</v>
      </c>
      <c r="H636" s="9" t="s">
        <v>86</v>
      </c>
      <c r="I636" s="13">
        <v>9.0940344640719518E-3</v>
      </c>
      <c r="J636" s="9" t="s">
        <v>61</v>
      </c>
    </row>
    <row r="637" spans="2:10" x14ac:dyDescent="0.45">
      <c r="B637" s="8" t="s">
        <v>115</v>
      </c>
      <c r="C637" s="8" t="s">
        <v>87</v>
      </c>
      <c r="D637" s="10">
        <v>6.3219971196680672E-2</v>
      </c>
      <c r="E637" s="8" t="s">
        <v>61</v>
      </c>
      <c r="G637" s="8" t="s">
        <v>135</v>
      </c>
      <c r="H637" s="8" t="s">
        <v>87</v>
      </c>
      <c r="I637" s="12">
        <v>9.4741534731925831E-3</v>
      </c>
      <c r="J637" s="8" t="s">
        <v>61</v>
      </c>
    </row>
    <row r="638" spans="2:10" x14ac:dyDescent="0.45">
      <c r="B638" s="9" t="s">
        <v>115</v>
      </c>
      <c r="C638" s="9" t="s">
        <v>88</v>
      </c>
      <c r="D638" s="11">
        <v>4.2727426268536109E-2</v>
      </c>
      <c r="E638" s="9" t="s">
        <v>61</v>
      </c>
      <c r="G638" s="9" t="s">
        <v>135</v>
      </c>
      <c r="H638" s="9" t="s">
        <v>88</v>
      </c>
      <c r="I638" s="13">
        <v>8.5209341032500101E-3</v>
      </c>
      <c r="J638" s="9" t="s">
        <v>61</v>
      </c>
    </row>
    <row r="639" spans="2:10" x14ac:dyDescent="0.45">
      <c r="B639" s="8" t="s">
        <v>115</v>
      </c>
      <c r="C639" s="8" t="s">
        <v>89</v>
      </c>
      <c r="D639" s="10">
        <v>1.3713452973715909E-2</v>
      </c>
      <c r="E639" s="8" t="s">
        <v>61</v>
      </c>
      <c r="G639" s="8" t="s">
        <v>135</v>
      </c>
      <c r="H639" s="8" t="s">
        <v>89</v>
      </c>
      <c r="I639" s="12">
        <v>9.7047932418937582E-3</v>
      </c>
      <c r="J639" s="8" t="s">
        <v>61</v>
      </c>
    </row>
    <row r="640" spans="2:10" x14ac:dyDescent="0.45">
      <c r="B640" s="9" t="s">
        <v>115</v>
      </c>
      <c r="C640" s="9" t="s">
        <v>90</v>
      </c>
      <c r="D640" s="11">
        <v>0</v>
      </c>
      <c r="E640" s="9" t="s">
        <v>61</v>
      </c>
      <c r="G640" s="9" t="s">
        <v>135</v>
      </c>
      <c r="H640" s="9" t="s">
        <v>90</v>
      </c>
      <c r="I640" s="13">
        <v>1.4154295527075773E-2</v>
      </c>
      <c r="J640" s="9" t="s">
        <v>61</v>
      </c>
    </row>
    <row r="641" spans="2:10" x14ac:dyDescent="0.45">
      <c r="B641" s="8" t="s">
        <v>115</v>
      </c>
      <c r="C641" s="8" t="s">
        <v>91</v>
      </c>
      <c r="D641" s="10">
        <v>0</v>
      </c>
      <c r="E641" s="8" t="s">
        <v>61</v>
      </c>
      <c r="G641" s="8" t="s">
        <v>135</v>
      </c>
      <c r="H641" s="8" t="s">
        <v>91</v>
      </c>
      <c r="I641" s="12">
        <v>6.0521626029825346E-2</v>
      </c>
      <c r="J641" s="8" t="s">
        <v>61</v>
      </c>
    </row>
    <row r="642" spans="2:10" x14ac:dyDescent="0.45">
      <c r="B642" s="9" t="s">
        <v>115</v>
      </c>
      <c r="C642" s="9" t="s">
        <v>92</v>
      </c>
      <c r="D642" s="11">
        <v>1.2164968810401819E-3</v>
      </c>
      <c r="E642" s="9" t="s">
        <v>61</v>
      </c>
      <c r="G642" s="9" t="s">
        <v>135</v>
      </c>
      <c r="H642" s="9" t="s">
        <v>92</v>
      </c>
      <c r="I642" s="13">
        <v>2.3527288713340786E-2</v>
      </c>
      <c r="J642" s="9" t="s">
        <v>61</v>
      </c>
    </row>
    <row r="643" spans="2:10" x14ac:dyDescent="0.45">
      <c r="B643" s="8" t="s">
        <v>115</v>
      </c>
      <c r="C643" s="8" t="s">
        <v>93</v>
      </c>
      <c r="D643" s="10">
        <v>1.7757245761031097E-2</v>
      </c>
      <c r="E643" s="8" t="s">
        <v>61</v>
      </c>
      <c r="G643" s="8" t="s">
        <v>135</v>
      </c>
      <c r="H643" s="8" t="s">
        <v>93</v>
      </c>
      <c r="I643" s="12">
        <v>2.3234027122280256E-2</v>
      </c>
      <c r="J643" s="8" t="s">
        <v>61</v>
      </c>
    </row>
    <row r="644" spans="2:10" x14ac:dyDescent="0.45">
      <c r="B644" s="9" t="s">
        <v>115</v>
      </c>
      <c r="C644" s="9" t="s">
        <v>94</v>
      </c>
      <c r="D644" s="11">
        <v>3.786743400849453E-2</v>
      </c>
      <c r="E644" s="9" t="s">
        <v>61</v>
      </c>
      <c r="G644" s="9" t="s">
        <v>135</v>
      </c>
      <c r="H644" s="9" t="s">
        <v>94</v>
      </c>
      <c r="I644" s="13">
        <v>2.3519921756435316E-2</v>
      </c>
      <c r="J644" s="9" t="s">
        <v>61</v>
      </c>
    </row>
    <row r="645" spans="2:10" x14ac:dyDescent="0.45">
      <c r="B645" s="8" t="s">
        <v>115</v>
      </c>
      <c r="C645" s="8" t="s">
        <v>95</v>
      </c>
      <c r="D645" s="10">
        <v>4.0921104020652493E-2</v>
      </c>
      <c r="E645" s="8" t="s">
        <v>61</v>
      </c>
      <c r="G645" s="8" t="s">
        <v>135</v>
      </c>
      <c r="H645" s="8" t="s">
        <v>95</v>
      </c>
      <c r="I645" s="12">
        <v>2.2159215654140519E-2</v>
      </c>
      <c r="J645" s="8" t="s">
        <v>61</v>
      </c>
    </row>
    <row r="646" spans="2:10" x14ac:dyDescent="0.45">
      <c r="B646" s="9" t="s">
        <v>115</v>
      </c>
      <c r="C646" s="9" t="s">
        <v>96</v>
      </c>
      <c r="D646" s="11">
        <v>3.9471041374805532E-2</v>
      </c>
      <c r="E646" s="9" t="s">
        <v>61</v>
      </c>
      <c r="G646" s="9" t="s">
        <v>135</v>
      </c>
      <c r="H646" s="9" t="s">
        <v>96</v>
      </c>
      <c r="I646" s="13">
        <v>2.3237225434258602E-2</v>
      </c>
      <c r="J646" s="9" t="s">
        <v>61</v>
      </c>
    </row>
    <row r="647" spans="2:10" x14ac:dyDescent="0.45">
      <c r="B647" s="8" t="s">
        <v>115</v>
      </c>
      <c r="C647" s="8" t="s">
        <v>97</v>
      </c>
      <c r="D647" s="10">
        <v>2.777529582338558E-2</v>
      </c>
      <c r="E647" s="8" t="s">
        <v>61</v>
      </c>
      <c r="G647" s="8" t="s">
        <v>135</v>
      </c>
      <c r="H647" s="8" t="s">
        <v>97</v>
      </c>
      <c r="I647" s="12">
        <v>2.3431480483077347E-2</v>
      </c>
      <c r="J647" s="8" t="s">
        <v>61</v>
      </c>
    </row>
    <row r="648" spans="2:10" x14ac:dyDescent="0.45">
      <c r="B648" s="9" t="s">
        <v>115</v>
      </c>
      <c r="C648" s="9" t="s">
        <v>98</v>
      </c>
      <c r="D648" s="11">
        <v>7.5377796545978357E-3</v>
      </c>
      <c r="E648" s="9" t="s">
        <v>61</v>
      </c>
      <c r="G648" s="9" t="s">
        <v>135</v>
      </c>
      <c r="H648" s="9" t="s">
        <v>98</v>
      </c>
      <c r="I648" s="13">
        <v>2.4029077319016691E-2</v>
      </c>
      <c r="J648" s="9" t="s">
        <v>61</v>
      </c>
    </row>
    <row r="649" spans="2:10" x14ac:dyDescent="0.45">
      <c r="B649" s="8" t="s">
        <v>115</v>
      </c>
      <c r="C649" s="8" t="s">
        <v>99</v>
      </c>
      <c r="D649" s="10">
        <v>0</v>
      </c>
      <c r="E649" s="8" t="s">
        <v>61</v>
      </c>
      <c r="G649" s="8" t="s">
        <v>135</v>
      </c>
      <c r="H649" s="8" t="s">
        <v>99</v>
      </c>
      <c r="I649" s="12">
        <v>2.5217680962780886E-2</v>
      </c>
      <c r="J649" s="8" t="s">
        <v>61</v>
      </c>
    </row>
    <row r="650" spans="2:10" x14ac:dyDescent="0.45">
      <c r="B650" s="9" t="s">
        <v>115</v>
      </c>
      <c r="C650" s="9" t="s">
        <v>100</v>
      </c>
      <c r="D650" s="11">
        <v>0</v>
      </c>
      <c r="E650" s="9" t="s">
        <v>61</v>
      </c>
      <c r="G650" s="9" t="s">
        <v>135</v>
      </c>
      <c r="H650" s="9" t="s">
        <v>100</v>
      </c>
      <c r="I650" s="13">
        <v>3.8320732027794617E-2</v>
      </c>
      <c r="J650" s="9" t="s">
        <v>61</v>
      </c>
    </row>
    <row r="651" spans="2:10" x14ac:dyDescent="0.45">
      <c r="B651" s="8" t="s">
        <v>116</v>
      </c>
      <c r="C651" s="8" t="s">
        <v>60</v>
      </c>
      <c r="D651" s="10">
        <v>0</v>
      </c>
      <c r="E651" s="8" t="s">
        <v>61</v>
      </c>
      <c r="G651" s="8" t="s">
        <v>136</v>
      </c>
      <c r="H651" s="8" t="s">
        <v>60</v>
      </c>
      <c r="I651" s="12">
        <v>7.2473652004745787E-2</v>
      </c>
      <c r="J651" s="8" t="s">
        <v>61</v>
      </c>
    </row>
    <row r="652" spans="2:10" x14ac:dyDescent="0.45">
      <c r="B652" s="9" t="s">
        <v>116</v>
      </c>
      <c r="C652" s="9" t="s">
        <v>62</v>
      </c>
      <c r="D652" s="11">
        <v>0</v>
      </c>
      <c r="E652" s="9" t="s">
        <v>61</v>
      </c>
      <c r="G652" s="9" t="s">
        <v>136</v>
      </c>
      <c r="H652" s="9" t="s">
        <v>62</v>
      </c>
      <c r="I652" s="13">
        <v>2.9684352763678468E-2</v>
      </c>
      <c r="J652" s="9" t="s">
        <v>61</v>
      </c>
    </row>
    <row r="653" spans="2:10" x14ac:dyDescent="0.45">
      <c r="B653" s="8" t="s">
        <v>116</v>
      </c>
      <c r="C653" s="8" t="s">
        <v>63</v>
      </c>
      <c r="D653" s="10">
        <v>6.9556965445075557E-4</v>
      </c>
      <c r="E653" s="8" t="s">
        <v>61</v>
      </c>
      <c r="G653" s="8" t="s">
        <v>136</v>
      </c>
      <c r="H653" s="8" t="s">
        <v>63</v>
      </c>
      <c r="I653" s="12">
        <v>2.9235132789135601E-2</v>
      </c>
      <c r="J653" s="8" t="s">
        <v>61</v>
      </c>
    </row>
    <row r="654" spans="2:10" x14ac:dyDescent="0.45">
      <c r="B654" s="9" t="s">
        <v>116</v>
      </c>
      <c r="C654" s="9" t="s">
        <v>64</v>
      </c>
      <c r="D654" s="11">
        <v>1.4131791877547827E-2</v>
      </c>
      <c r="E654" s="9" t="s">
        <v>61</v>
      </c>
      <c r="G654" s="9" t="s">
        <v>136</v>
      </c>
      <c r="H654" s="9" t="s">
        <v>64</v>
      </c>
      <c r="I654" s="13">
        <v>2.792397387463472E-2</v>
      </c>
      <c r="J654" s="9" t="s">
        <v>61</v>
      </c>
    </row>
    <row r="655" spans="2:10" x14ac:dyDescent="0.45">
      <c r="B655" s="8" t="s">
        <v>116</v>
      </c>
      <c r="C655" s="8" t="s">
        <v>65</v>
      </c>
      <c r="D655" s="10">
        <v>2.2859953565905151E-2</v>
      </c>
      <c r="E655" s="8" t="s">
        <v>61</v>
      </c>
      <c r="G655" s="8" t="s">
        <v>136</v>
      </c>
      <c r="H655" s="8" t="s">
        <v>65</v>
      </c>
      <c r="I655" s="12">
        <v>2.5742678368476098E-2</v>
      </c>
      <c r="J655" s="8" t="s">
        <v>61</v>
      </c>
    </row>
    <row r="656" spans="2:10" x14ac:dyDescent="0.45">
      <c r="B656" s="9" t="s">
        <v>116</v>
      </c>
      <c r="C656" s="9" t="s">
        <v>66</v>
      </c>
      <c r="D656" s="11">
        <v>2.2187667711459913E-2</v>
      </c>
      <c r="E656" s="9" t="s">
        <v>61</v>
      </c>
      <c r="G656" s="9" t="s">
        <v>136</v>
      </c>
      <c r="H656" s="9" t="s">
        <v>66</v>
      </c>
      <c r="I656" s="13">
        <v>2.6830194284580122E-2</v>
      </c>
      <c r="J656" s="9" t="s">
        <v>61</v>
      </c>
    </row>
    <row r="657" spans="2:10" x14ac:dyDescent="0.45">
      <c r="B657" s="8" t="s">
        <v>116</v>
      </c>
      <c r="C657" s="8" t="s">
        <v>67</v>
      </c>
      <c r="D657" s="10">
        <v>9.7107397395210446E-3</v>
      </c>
      <c r="E657" s="8" t="s">
        <v>61</v>
      </c>
      <c r="G657" s="8" t="s">
        <v>136</v>
      </c>
      <c r="H657" s="8" t="s">
        <v>67</v>
      </c>
      <c r="I657" s="12">
        <v>2.8440260060172882E-2</v>
      </c>
      <c r="J657" s="8" t="s">
        <v>61</v>
      </c>
    </row>
    <row r="658" spans="2:10" x14ac:dyDescent="0.45">
      <c r="B658" s="9" t="s">
        <v>116</v>
      </c>
      <c r="C658" s="9" t="s">
        <v>68</v>
      </c>
      <c r="D658" s="11">
        <v>6.7834931051908079E-4</v>
      </c>
      <c r="E658" s="9" t="s">
        <v>61</v>
      </c>
      <c r="G658" s="9" t="s">
        <v>136</v>
      </c>
      <c r="H658" s="9" t="s">
        <v>68</v>
      </c>
      <c r="I658" s="13">
        <v>3.0368399043818932E-2</v>
      </c>
      <c r="J658" s="9" t="s">
        <v>61</v>
      </c>
    </row>
    <row r="659" spans="2:10" x14ac:dyDescent="0.45">
      <c r="B659" s="8" t="s">
        <v>116</v>
      </c>
      <c r="C659" s="8" t="s">
        <v>69</v>
      </c>
      <c r="D659" s="10">
        <v>0</v>
      </c>
      <c r="E659" s="8" t="s">
        <v>61</v>
      </c>
      <c r="G659" s="8" t="s">
        <v>136</v>
      </c>
      <c r="H659" s="8" t="s">
        <v>69</v>
      </c>
      <c r="I659" s="12">
        <v>3.0045996403276005E-2</v>
      </c>
      <c r="J659" s="8" t="s">
        <v>61</v>
      </c>
    </row>
    <row r="660" spans="2:10" x14ac:dyDescent="0.45">
      <c r="B660" s="9" t="s">
        <v>116</v>
      </c>
      <c r="C660" s="9" t="s">
        <v>70</v>
      </c>
      <c r="D660" s="11">
        <v>0</v>
      </c>
      <c r="E660" s="9" t="s">
        <v>61</v>
      </c>
      <c r="G660" s="9" t="s">
        <v>136</v>
      </c>
      <c r="H660" s="9" t="s">
        <v>70</v>
      </c>
      <c r="I660" s="13">
        <v>4.3243943582561402E-2</v>
      </c>
      <c r="J660" s="9" t="s">
        <v>61</v>
      </c>
    </row>
    <row r="661" spans="2:10" x14ac:dyDescent="0.45">
      <c r="B661" s="8" t="s">
        <v>116</v>
      </c>
      <c r="C661" s="8" t="s">
        <v>71</v>
      </c>
      <c r="D661" s="10">
        <v>0</v>
      </c>
      <c r="E661" s="8" t="s">
        <v>61</v>
      </c>
      <c r="G661" s="8" t="s">
        <v>136</v>
      </c>
      <c r="H661" s="8" t="s">
        <v>71</v>
      </c>
      <c r="I661" s="12">
        <v>5.3330293867764188E-2</v>
      </c>
      <c r="J661" s="8" t="s">
        <v>61</v>
      </c>
    </row>
    <row r="662" spans="2:10" x14ac:dyDescent="0.45">
      <c r="B662" s="9" t="s">
        <v>116</v>
      </c>
      <c r="C662" s="9" t="s">
        <v>72</v>
      </c>
      <c r="D662" s="11">
        <v>1.0172323702858681E-2</v>
      </c>
      <c r="E662" s="9" t="s">
        <v>61</v>
      </c>
      <c r="G662" s="9" t="s">
        <v>136</v>
      </c>
      <c r="H662" s="9" t="s">
        <v>72</v>
      </c>
      <c r="I662" s="13">
        <v>2.1604747464340737E-2</v>
      </c>
      <c r="J662" s="9" t="s">
        <v>61</v>
      </c>
    </row>
    <row r="663" spans="2:10" x14ac:dyDescent="0.45">
      <c r="B663" s="8" t="s">
        <v>116</v>
      </c>
      <c r="C663" s="8" t="s">
        <v>73</v>
      </c>
      <c r="D663" s="10">
        <v>4.203434856511027E-2</v>
      </c>
      <c r="E663" s="8" t="s">
        <v>61</v>
      </c>
      <c r="G663" s="8" t="s">
        <v>136</v>
      </c>
      <c r="H663" s="8" t="s">
        <v>73</v>
      </c>
      <c r="I663" s="12">
        <v>2.0117163607922987E-2</v>
      </c>
      <c r="J663" s="8" t="s">
        <v>61</v>
      </c>
    </row>
    <row r="664" spans="2:10" x14ac:dyDescent="0.45">
      <c r="B664" s="9" t="s">
        <v>116</v>
      </c>
      <c r="C664" s="9" t="s">
        <v>74</v>
      </c>
      <c r="D664" s="11">
        <v>6.8084408690360906E-2</v>
      </c>
      <c r="E664" s="9" t="s">
        <v>61</v>
      </c>
      <c r="G664" s="9" t="s">
        <v>136</v>
      </c>
      <c r="H664" s="9" t="s">
        <v>74</v>
      </c>
      <c r="I664" s="13">
        <v>2.0799840011954122E-2</v>
      </c>
      <c r="J664" s="9" t="s">
        <v>61</v>
      </c>
    </row>
    <row r="665" spans="2:10" x14ac:dyDescent="0.45">
      <c r="B665" s="8" t="s">
        <v>116</v>
      </c>
      <c r="C665" s="8" t="s">
        <v>75</v>
      </c>
      <c r="D665" s="10">
        <v>7.1697470769425453E-2</v>
      </c>
      <c r="E665" s="8" t="s">
        <v>61</v>
      </c>
      <c r="G665" s="8" t="s">
        <v>136</v>
      </c>
      <c r="H665" s="8" t="s">
        <v>75</v>
      </c>
      <c r="I665" s="12">
        <v>1.8483684561492741E-2</v>
      </c>
      <c r="J665" s="8" t="s">
        <v>61</v>
      </c>
    </row>
    <row r="666" spans="2:10" x14ac:dyDescent="0.45">
      <c r="B666" s="9" t="s">
        <v>116</v>
      </c>
      <c r="C666" s="9" t="s">
        <v>76</v>
      </c>
      <c r="D666" s="11">
        <v>6.86418330481815E-2</v>
      </c>
      <c r="E666" s="9" t="s">
        <v>61</v>
      </c>
      <c r="G666" s="9" t="s">
        <v>136</v>
      </c>
      <c r="H666" s="9" t="s">
        <v>76</v>
      </c>
      <c r="I666" s="13">
        <v>2.0994695319181616E-2</v>
      </c>
      <c r="J666" s="9" t="s">
        <v>61</v>
      </c>
    </row>
    <row r="667" spans="2:10" x14ac:dyDescent="0.45">
      <c r="B667" s="8" t="s">
        <v>116</v>
      </c>
      <c r="C667" s="8" t="s">
        <v>77</v>
      </c>
      <c r="D667" s="10">
        <v>5.4279108261568468E-2</v>
      </c>
      <c r="E667" s="8" t="s">
        <v>61</v>
      </c>
      <c r="G667" s="8" t="s">
        <v>136</v>
      </c>
      <c r="H667" s="8" t="s">
        <v>77</v>
      </c>
      <c r="I667" s="12">
        <v>2.0876930288852489E-2</v>
      </c>
      <c r="J667" s="8" t="s">
        <v>61</v>
      </c>
    </row>
    <row r="668" spans="2:10" x14ac:dyDescent="0.45">
      <c r="B668" s="9" t="s">
        <v>116</v>
      </c>
      <c r="C668" s="9" t="s">
        <v>78</v>
      </c>
      <c r="D668" s="11">
        <v>2.8824492951869948E-2</v>
      </c>
      <c r="E668" s="9" t="s">
        <v>61</v>
      </c>
      <c r="G668" s="9" t="s">
        <v>136</v>
      </c>
      <c r="H668" s="9" t="s">
        <v>78</v>
      </c>
      <c r="I668" s="13">
        <v>2.0990164578597939E-2</v>
      </c>
      <c r="J668" s="9" t="s">
        <v>61</v>
      </c>
    </row>
    <row r="669" spans="2:10" x14ac:dyDescent="0.45">
      <c r="B669" s="8" t="s">
        <v>116</v>
      </c>
      <c r="C669" s="8" t="s">
        <v>79</v>
      </c>
      <c r="D669" s="10">
        <v>4.2982816729734028E-3</v>
      </c>
      <c r="E669" s="8" t="s">
        <v>61</v>
      </c>
      <c r="G669" s="8" t="s">
        <v>136</v>
      </c>
      <c r="H669" s="8" t="s">
        <v>79</v>
      </c>
      <c r="I669" s="12">
        <v>2.2854846514358006E-2</v>
      </c>
      <c r="J669" s="8" t="s">
        <v>61</v>
      </c>
    </row>
    <row r="670" spans="2:10" x14ac:dyDescent="0.45">
      <c r="B670" s="9" t="s">
        <v>116</v>
      </c>
      <c r="C670" s="9" t="s">
        <v>80</v>
      </c>
      <c r="D670" s="11">
        <v>0</v>
      </c>
      <c r="E670" s="9" t="s">
        <v>61</v>
      </c>
      <c r="G670" s="9" t="s">
        <v>136</v>
      </c>
      <c r="H670" s="9" t="s">
        <v>80</v>
      </c>
      <c r="I670" s="13">
        <v>3.2521973590761991E-2</v>
      </c>
      <c r="J670" s="9" t="s">
        <v>61</v>
      </c>
    </row>
    <row r="671" spans="2:10" x14ac:dyDescent="0.45">
      <c r="B671" s="8" t="s">
        <v>116</v>
      </c>
      <c r="C671" s="8" t="s">
        <v>81</v>
      </c>
      <c r="D671" s="10">
        <v>6.9977608612445701E-6</v>
      </c>
      <c r="E671" s="8" t="s">
        <v>61</v>
      </c>
      <c r="G671" s="8" t="s">
        <v>136</v>
      </c>
      <c r="H671" s="8" t="s">
        <v>81</v>
      </c>
      <c r="I671" s="12">
        <v>2.4801256423703108E-2</v>
      </c>
      <c r="J671" s="8" t="s">
        <v>61</v>
      </c>
    </row>
    <row r="672" spans="2:10" x14ac:dyDescent="0.45">
      <c r="B672" s="9" t="s">
        <v>116</v>
      </c>
      <c r="C672" s="9" t="s">
        <v>82</v>
      </c>
      <c r="D672" s="11">
        <v>2.2968522148515448E-2</v>
      </c>
      <c r="E672" s="9" t="s">
        <v>61</v>
      </c>
      <c r="G672" s="9" t="s">
        <v>136</v>
      </c>
      <c r="H672" s="9" t="s">
        <v>82</v>
      </c>
      <c r="I672" s="13">
        <v>9.6181732716639975E-3</v>
      </c>
      <c r="J672" s="9" t="s">
        <v>61</v>
      </c>
    </row>
    <row r="673" spans="2:10" x14ac:dyDescent="0.45">
      <c r="B673" s="8" t="s">
        <v>116</v>
      </c>
      <c r="C673" s="8" t="s">
        <v>83</v>
      </c>
      <c r="D673" s="10">
        <v>5.6610080535205845E-2</v>
      </c>
      <c r="E673" s="8" t="s">
        <v>61</v>
      </c>
      <c r="G673" s="8" t="s">
        <v>136</v>
      </c>
      <c r="H673" s="8" t="s">
        <v>83</v>
      </c>
      <c r="I673" s="12">
        <v>9.2082966834937646E-3</v>
      </c>
      <c r="J673" s="8" t="s">
        <v>61</v>
      </c>
    </row>
    <row r="674" spans="2:10" x14ac:dyDescent="0.45">
      <c r="B674" s="9" t="s">
        <v>116</v>
      </c>
      <c r="C674" s="9" t="s">
        <v>84</v>
      </c>
      <c r="D674" s="11">
        <v>7.3917348637414532E-2</v>
      </c>
      <c r="E674" s="9" t="s">
        <v>61</v>
      </c>
      <c r="G674" s="9" t="s">
        <v>136</v>
      </c>
      <c r="H674" s="9" t="s">
        <v>84</v>
      </c>
      <c r="I674" s="13">
        <v>1.0519761747128778E-2</v>
      </c>
      <c r="J674" s="9" t="s">
        <v>61</v>
      </c>
    </row>
    <row r="675" spans="2:10" x14ac:dyDescent="0.45">
      <c r="B675" s="8" t="s">
        <v>116</v>
      </c>
      <c r="C675" s="8" t="s">
        <v>85</v>
      </c>
      <c r="D675" s="10">
        <v>7.4305873865511587E-2</v>
      </c>
      <c r="E675" s="8" t="s">
        <v>61</v>
      </c>
      <c r="G675" s="8" t="s">
        <v>136</v>
      </c>
      <c r="H675" s="8" t="s">
        <v>85</v>
      </c>
      <c r="I675" s="12">
        <v>8.558860139118862E-3</v>
      </c>
      <c r="J675" s="8" t="s">
        <v>61</v>
      </c>
    </row>
    <row r="676" spans="2:10" x14ac:dyDescent="0.45">
      <c r="B676" s="9" t="s">
        <v>116</v>
      </c>
      <c r="C676" s="9" t="s">
        <v>86</v>
      </c>
      <c r="D676" s="11">
        <v>7.0673135559528533E-2</v>
      </c>
      <c r="E676" s="9" t="s">
        <v>61</v>
      </c>
      <c r="G676" s="9" t="s">
        <v>136</v>
      </c>
      <c r="H676" s="9" t="s">
        <v>86</v>
      </c>
      <c r="I676" s="13">
        <v>1.0444988124812657E-2</v>
      </c>
      <c r="J676" s="9" t="s">
        <v>61</v>
      </c>
    </row>
    <row r="677" spans="2:10" x14ac:dyDescent="0.45">
      <c r="B677" s="8" t="s">
        <v>116</v>
      </c>
      <c r="C677" s="8" t="s">
        <v>87</v>
      </c>
      <c r="D677" s="10">
        <v>6.2680964984756601E-2</v>
      </c>
      <c r="E677" s="8" t="s">
        <v>61</v>
      </c>
      <c r="G677" s="8" t="s">
        <v>136</v>
      </c>
      <c r="H677" s="8" t="s">
        <v>87</v>
      </c>
      <c r="I677" s="12">
        <v>1.2377271117228946E-2</v>
      </c>
      <c r="J677" s="8" t="s">
        <v>61</v>
      </c>
    </row>
    <row r="678" spans="2:10" x14ac:dyDescent="0.45">
      <c r="B678" s="9" t="s">
        <v>116</v>
      </c>
      <c r="C678" s="9" t="s">
        <v>88</v>
      </c>
      <c r="D678" s="11">
        <v>4.2624474006844833E-2</v>
      </c>
      <c r="E678" s="9" t="s">
        <v>61</v>
      </c>
      <c r="G678" s="9" t="s">
        <v>136</v>
      </c>
      <c r="H678" s="9" t="s">
        <v>88</v>
      </c>
      <c r="I678" s="13">
        <v>1.1663580140074396E-2</v>
      </c>
      <c r="J678" s="9" t="s">
        <v>61</v>
      </c>
    </row>
    <row r="679" spans="2:10" x14ac:dyDescent="0.45">
      <c r="B679" s="8" t="s">
        <v>116</v>
      </c>
      <c r="C679" s="8" t="s">
        <v>89</v>
      </c>
      <c r="D679" s="10">
        <v>1.4158593780470793E-2</v>
      </c>
      <c r="E679" s="8" t="s">
        <v>61</v>
      </c>
      <c r="G679" s="8" t="s">
        <v>136</v>
      </c>
      <c r="H679" s="8" t="s">
        <v>89</v>
      </c>
      <c r="I679" s="12">
        <v>1.1815349531406208E-2</v>
      </c>
      <c r="J679" s="8" t="s">
        <v>61</v>
      </c>
    </row>
    <row r="680" spans="2:10" x14ac:dyDescent="0.45">
      <c r="B680" s="9" t="s">
        <v>116</v>
      </c>
      <c r="C680" s="9" t="s">
        <v>90</v>
      </c>
      <c r="D680" s="11">
        <v>0</v>
      </c>
      <c r="E680" s="9" t="s">
        <v>61</v>
      </c>
      <c r="G680" s="9" t="s">
        <v>136</v>
      </c>
      <c r="H680" s="9" t="s">
        <v>90</v>
      </c>
      <c r="I680" s="13">
        <v>1.6540345270339381E-2</v>
      </c>
      <c r="J680" s="9" t="s">
        <v>61</v>
      </c>
    </row>
    <row r="681" spans="2:10" x14ac:dyDescent="0.45">
      <c r="B681" s="8" t="s">
        <v>116</v>
      </c>
      <c r="C681" s="8" t="s">
        <v>91</v>
      </c>
      <c r="D681" s="10">
        <v>0</v>
      </c>
      <c r="E681" s="8" t="s">
        <v>61</v>
      </c>
      <c r="G681" s="8" t="s">
        <v>136</v>
      </c>
      <c r="H681" s="8" t="s">
        <v>91</v>
      </c>
      <c r="I681" s="12">
        <v>5.4387987975943616E-2</v>
      </c>
      <c r="J681" s="8" t="s">
        <v>61</v>
      </c>
    </row>
    <row r="682" spans="2:10" x14ac:dyDescent="0.45">
      <c r="B682" s="9" t="s">
        <v>116</v>
      </c>
      <c r="C682" s="9" t="s">
        <v>92</v>
      </c>
      <c r="D682" s="11">
        <v>1.2367901120842041E-3</v>
      </c>
      <c r="E682" s="9" t="s">
        <v>61</v>
      </c>
      <c r="G682" s="9" t="s">
        <v>136</v>
      </c>
      <c r="H682" s="9" t="s">
        <v>92</v>
      </c>
      <c r="I682" s="13">
        <v>2.068739297291964E-2</v>
      </c>
      <c r="J682" s="9" t="s">
        <v>61</v>
      </c>
    </row>
    <row r="683" spans="2:10" x14ac:dyDescent="0.45">
      <c r="B683" s="8" t="s">
        <v>116</v>
      </c>
      <c r="C683" s="8" t="s">
        <v>93</v>
      </c>
      <c r="D683" s="10">
        <v>1.7588543821017759E-2</v>
      </c>
      <c r="E683" s="8" t="s">
        <v>61</v>
      </c>
      <c r="G683" s="8" t="s">
        <v>136</v>
      </c>
      <c r="H683" s="8" t="s">
        <v>93</v>
      </c>
      <c r="I683" s="12">
        <v>2.1199997109393243E-2</v>
      </c>
      <c r="J683" s="8" t="s">
        <v>61</v>
      </c>
    </row>
    <row r="684" spans="2:10" x14ac:dyDescent="0.45">
      <c r="B684" s="9" t="s">
        <v>116</v>
      </c>
      <c r="C684" s="9" t="s">
        <v>94</v>
      </c>
      <c r="D684" s="11">
        <v>3.6645838156786459E-2</v>
      </c>
      <c r="E684" s="9" t="s">
        <v>61</v>
      </c>
      <c r="G684" s="9" t="s">
        <v>136</v>
      </c>
      <c r="H684" s="9" t="s">
        <v>94</v>
      </c>
      <c r="I684" s="13">
        <v>2.1046214579758821E-2</v>
      </c>
      <c r="J684" s="9" t="s">
        <v>61</v>
      </c>
    </row>
    <row r="685" spans="2:10" x14ac:dyDescent="0.45">
      <c r="B685" s="8" t="s">
        <v>116</v>
      </c>
      <c r="C685" s="8" t="s">
        <v>95</v>
      </c>
      <c r="D685" s="10">
        <v>3.8533944070900709E-2</v>
      </c>
      <c r="E685" s="8" t="s">
        <v>61</v>
      </c>
      <c r="G685" s="8" t="s">
        <v>136</v>
      </c>
      <c r="H685" s="8" t="s">
        <v>95</v>
      </c>
      <c r="I685" s="12">
        <v>2.0247828827136341E-2</v>
      </c>
      <c r="J685" s="8" t="s">
        <v>61</v>
      </c>
    </row>
    <row r="686" spans="2:10" x14ac:dyDescent="0.45">
      <c r="B686" s="9" t="s">
        <v>116</v>
      </c>
      <c r="C686" s="9" t="s">
        <v>96</v>
      </c>
      <c r="D686" s="11">
        <v>3.685525700714605E-2</v>
      </c>
      <c r="E686" s="9" t="s">
        <v>61</v>
      </c>
      <c r="G686" s="9" t="s">
        <v>136</v>
      </c>
      <c r="H686" s="9" t="s">
        <v>96</v>
      </c>
      <c r="I686" s="13">
        <v>2.315558871165424E-2</v>
      </c>
      <c r="J686" s="9" t="s">
        <v>61</v>
      </c>
    </row>
    <row r="687" spans="2:10" x14ac:dyDescent="0.45">
      <c r="B687" s="8" t="s">
        <v>116</v>
      </c>
      <c r="C687" s="8" t="s">
        <v>97</v>
      </c>
      <c r="D687" s="10">
        <v>2.5250795256287775E-2</v>
      </c>
      <c r="E687" s="8" t="s">
        <v>61</v>
      </c>
      <c r="G687" s="8" t="s">
        <v>136</v>
      </c>
      <c r="H687" s="8" t="s">
        <v>97</v>
      </c>
      <c r="I687" s="12">
        <v>2.4236038526251839E-2</v>
      </c>
      <c r="J687" s="8" t="s">
        <v>61</v>
      </c>
    </row>
    <row r="688" spans="2:10" x14ac:dyDescent="0.45">
      <c r="B688" s="9" t="s">
        <v>116</v>
      </c>
      <c r="C688" s="9" t="s">
        <v>98</v>
      </c>
      <c r="D688" s="11">
        <v>7.6465007749158109E-3</v>
      </c>
      <c r="E688" s="9" t="s">
        <v>61</v>
      </c>
      <c r="G688" s="9" t="s">
        <v>136</v>
      </c>
      <c r="H688" s="9" t="s">
        <v>98</v>
      </c>
      <c r="I688" s="13">
        <v>2.6555587238579086E-2</v>
      </c>
      <c r="J688" s="9" t="s">
        <v>61</v>
      </c>
    </row>
    <row r="689" spans="2:10" x14ac:dyDescent="0.45">
      <c r="B689" s="8" t="s">
        <v>116</v>
      </c>
      <c r="C689" s="8" t="s">
        <v>99</v>
      </c>
      <c r="D689" s="10">
        <v>0</v>
      </c>
      <c r="E689" s="8" t="s">
        <v>61</v>
      </c>
      <c r="G689" s="8" t="s">
        <v>136</v>
      </c>
      <c r="H689" s="8" t="s">
        <v>99</v>
      </c>
      <c r="I689" s="12">
        <v>2.7497466489117762E-2</v>
      </c>
      <c r="J689" s="8" t="s">
        <v>61</v>
      </c>
    </row>
    <row r="690" spans="2:10" x14ac:dyDescent="0.45">
      <c r="B690" s="9" t="s">
        <v>116</v>
      </c>
      <c r="C690" s="9" t="s">
        <v>100</v>
      </c>
      <c r="D690" s="11">
        <v>0</v>
      </c>
      <c r="E690" s="9" t="s">
        <v>61</v>
      </c>
      <c r="G690" s="9" t="s">
        <v>136</v>
      </c>
      <c r="H690" s="9" t="s">
        <v>100</v>
      </c>
      <c r="I690" s="13">
        <v>3.8875092139966365E-2</v>
      </c>
      <c r="J690" s="9" t="s">
        <v>61</v>
      </c>
    </row>
    <row r="691" spans="2:10" x14ac:dyDescent="0.45">
      <c r="B691" s="8" t="s">
        <v>117</v>
      </c>
      <c r="C691" s="8" t="s">
        <v>60</v>
      </c>
      <c r="D691" s="10">
        <v>0</v>
      </c>
      <c r="E691" s="8" t="s">
        <v>61</v>
      </c>
      <c r="G691" s="8" t="s">
        <v>137</v>
      </c>
      <c r="H691" s="8" t="s">
        <v>60</v>
      </c>
      <c r="I691" s="12">
        <v>6.5981947041841599E-2</v>
      </c>
      <c r="J691" s="8" t="s">
        <v>61</v>
      </c>
    </row>
    <row r="692" spans="2:10" x14ac:dyDescent="0.45">
      <c r="B692" s="9" t="s">
        <v>117</v>
      </c>
      <c r="C692" s="9" t="s">
        <v>62</v>
      </c>
      <c r="D692" s="11">
        <v>0</v>
      </c>
      <c r="E692" s="9" t="s">
        <v>61</v>
      </c>
      <c r="G692" s="9" t="s">
        <v>137</v>
      </c>
      <c r="H692" s="9" t="s">
        <v>62</v>
      </c>
      <c r="I692" s="13">
        <v>2.6608550709235811E-2</v>
      </c>
      <c r="J692" s="9" t="s">
        <v>61</v>
      </c>
    </row>
    <row r="693" spans="2:10" x14ac:dyDescent="0.45">
      <c r="B693" s="8" t="s">
        <v>117</v>
      </c>
      <c r="C693" s="8" t="s">
        <v>63</v>
      </c>
      <c r="D693" s="10">
        <v>1.0062934291106042E-3</v>
      </c>
      <c r="E693" s="8" t="s">
        <v>61</v>
      </c>
      <c r="G693" s="8" t="s">
        <v>137</v>
      </c>
      <c r="H693" s="8" t="s">
        <v>63</v>
      </c>
      <c r="I693" s="12">
        <v>2.664737235555812E-2</v>
      </c>
      <c r="J693" s="8" t="s">
        <v>61</v>
      </c>
    </row>
    <row r="694" spans="2:10" x14ac:dyDescent="0.45">
      <c r="B694" s="9" t="s">
        <v>117</v>
      </c>
      <c r="C694" s="9" t="s">
        <v>64</v>
      </c>
      <c r="D694" s="11">
        <v>1.5780132287963947E-2</v>
      </c>
      <c r="E694" s="9" t="s">
        <v>61</v>
      </c>
      <c r="G694" s="9" t="s">
        <v>137</v>
      </c>
      <c r="H694" s="9" t="s">
        <v>64</v>
      </c>
      <c r="I694" s="13">
        <v>2.720049241019392E-2</v>
      </c>
      <c r="J694" s="9" t="s">
        <v>61</v>
      </c>
    </row>
    <row r="695" spans="2:10" x14ac:dyDescent="0.45">
      <c r="B695" s="8" t="s">
        <v>117</v>
      </c>
      <c r="C695" s="8" t="s">
        <v>65</v>
      </c>
      <c r="D695" s="10">
        <v>2.4316388526738064E-2</v>
      </c>
      <c r="E695" s="8" t="s">
        <v>61</v>
      </c>
      <c r="G695" s="8" t="s">
        <v>137</v>
      </c>
      <c r="H695" s="8" t="s">
        <v>65</v>
      </c>
      <c r="I695" s="12">
        <v>2.5496976931580623E-2</v>
      </c>
      <c r="J695" s="8" t="s">
        <v>61</v>
      </c>
    </row>
    <row r="696" spans="2:10" x14ac:dyDescent="0.45">
      <c r="B696" s="9" t="s">
        <v>117</v>
      </c>
      <c r="C696" s="9" t="s">
        <v>66</v>
      </c>
      <c r="D696" s="11">
        <v>2.3428858434883681E-2</v>
      </c>
      <c r="E696" s="9" t="s">
        <v>61</v>
      </c>
      <c r="G696" s="9" t="s">
        <v>137</v>
      </c>
      <c r="H696" s="9" t="s">
        <v>66</v>
      </c>
      <c r="I696" s="13">
        <v>2.7070573972865351E-2</v>
      </c>
      <c r="J696" s="9" t="s">
        <v>61</v>
      </c>
    </row>
    <row r="697" spans="2:10" x14ac:dyDescent="0.45">
      <c r="B697" s="8" t="s">
        <v>117</v>
      </c>
      <c r="C697" s="8" t="s">
        <v>67</v>
      </c>
      <c r="D697" s="10">
        <v>9.2307823672553163E-3</v>
      </c>
      <c r="E697" s="8" t="s">
        <v>61</v>
      </c>
      <c r="G697" s="8" t="s">
        <v>137</v>
      </c>
      <c r="H697" s="8" t="s">
        <v>67</v>
      </c>
      <c r="I697" s="12">
        <v>2.8507934454496394E-2</v>
      </c>
      <c r="J697" s="8" t="s">
        <v>61</v>
      </c>
    </row>
    <row r="698" spans="2:10" x14ac:dyDescent="0.45">
      <c r="B698" s="9" t="s">
        <v>117</v>
      </c>
      <c r="C698" s="9" t="s">
        <v>68</v>
      </c>
      <c r="D698" s="11">
        <v>5.5385951073383313E-4</v>
      </c>
      <c r="E698" s="9" t="s">
        <v>61</v>
      </c>
      <c r="G698" s="9" t="s">
        <v>137</v>
      </c>
      <c r="H698" s="9" t="s">
        <v>68</v>
      </c>
      <c r="I698" s="13">
        <v>2.9559878595220739E-2</v>
      </c>
      <c r="J698" s="9" t="s">
        <v>61</v>
      </c>
    </row>
    <row r="699" spans="2:10" x14ac:dyDescent="0.45">
      <c r="B699" s="8" t="s">
        <v>117</v>
      </c>
      <c r="C699" s="8" t="s">
        <v>69</v>
      </c>
      <c r="D699" s="10">
        <v>0</v>
      </c>
      <c r="E699" s="8" t="s">
        <v>61</v>
      </c>
      <c r="G699" s="8" t="s">
        <v>137</v>
      </c>
      <c r="H699" s="8" t="s">
        <v>69</v>
      </c>
      <c r="I699" s="12">
        <v>2.9718101907279186E-2</v>
      </c>
      <c r="J699" s="8" t="s">
        <v>61</v>
      </c>
    </row>
    <row r="700" spans="2:10" x14ac:dyDescent="0.45">
      <c r="B700" s="9" t="s">
        <v>117</v>
      </c>
      <c r="C700" s="9" t="s">
        <v>70</v>
      </c>
      <c r="D700" s="11">
        <v>0</v>
      </c>
      <c r="E700" s="9" t="s">
        <v>61</v>
      </c>
      <c r="G700" s="9" t="s">
        <v>137</v>
      </c>
      <c r="H700" s="9" t="s">
        <v>70</v>
      </c>
      <c r="I700" s="13">
        <v>4.2076489232025671E-2</v>
      </c>
      <c r="J700" s="9" t="s">
        <v>61</v>
      </c>
    </row>
    <row r="701" spans="2:10" x14ac:dyDescent="0.45">
      <c r="B701" s="8" t="s">
        <v>117</v>
      </c>
      <c r="C701" s="8" t="s">
        <v>71</v>
      </c>
      <c r="D701" s="10">
        <v>9.468516257938369E-7</v>
      </c>
      <c r="E701" s="8" t="s">
        <v>61</v>
      </c>
      <c r="G701" s="8" t="s">
        <v>137</v>
      </c>
      <c r="H701" s="8" t="s">
        <v>71</v>
      </c>
      <c r="I701" s="12">
        <v>5.00720484830421E-2</v>
      </c>
      <c r="J701" s="8" t="s">
        <v>61</v>
      </c>
    </row>
    <row r="702" spans="2:10" x14ac:dyDescent="0.45">
      <c r="B702" s="9" t="s">
        <v>117</v>
      </c>
      <c r="C702" s="9" t="s">
        <v>72</v>
      </c>
      <c r="D702" s="11">
        <v>1.2514011244556342E-2</v>
      </c>
      <c r="E702" s="9" t="s">
        <v>61</v>
      </c>
      <c r="G702" s="9" t="s">
        <v>137</v>
      </c>
      <c r="H702" s="9" t="s">
        <v>72</v>
      </c>
      <c r="I702" s="13">
        <v>1.9946418729777354E-2</v>
      </c>
      <c r="J702" s="9" t="s">
        <v>61</v>
      </c>
    </row>
    <row r="703" spans="2:10" x14ac:dyDescent="0.45">
      <c r="B703" s="8" t="s">
        <v>117</v>
      </c>
      <c r="C703" s="8" t="s">
        <v>73</v>
      </c>
      <c r="D703" s="10">
        <v>4.5458925859110079E-2</v>
      </c>
      <c r="E703" s="8" t="s">
        <v>61</v>
      </c>
      <c r="G703" s="8" t="s">
        <v>137</v>
      </c>
      <c r="H703" s="8" t="s">
        <v>73</v>
      </c>
      <c r="I703" s="12">
        <v>1.9455977288980408E-2</v>
      </c>
      <c r="J703" s="8" t="s">
        <v>61</v>
      </c>
    </row>
    <row r="704" spans="2:10" x14ac:dyDescent="0.45">
      <c r="B704" s="9" t="s">
        <v>117</v>
      </c>
      <c r="C704" s="9" t="s">
        <v>74</v>
      </c>
      <c r="D704" s="11">
        <v>6.7010581910832409E-2</v>
      </c>
      <c r="E704" s="9" t="s">
        <v>61</v>
      </c>
      <c r="G704" s="9" t="s">
        <v>137</v>
      </c>
      <c r="H704" s="9" t="s">
        <v>74</v>
      </c>
      <c r="I704" s="13">
        <v>2.1306999651432099E-2</v>
      </c>
      <c r="J704" s="9" t="s">
        <v>61</v>
      </c>
    </row>
    <row r="705" spans="2:10" x14ac:dyDescent="0.45">
      <c r="B705" s="8" t="s">
        <v>117</v>
      </c>
      <c r="C705" s="8" t="s">
        <v>75</v>
      </c>
      <c r="D705" s="10">
        <v>6.7621132949718415E-2</v>
      </c>
      <c r="E705" s="8" t="s">
        <v>61</v>
      </c>
      <c r="G705" s="8" t="s">
        <v>137</v>
      </c>
      <c r="H705" s="8" t="s">
        <v>75</v>
      </c>
      <c r="I705" s="12">
        <v>1.992746888222446E-2</v>
      </c>
      <c r="J705" s="8" t="s">
        <v>61</v>
      </c>
    </row>
    <row r="706" spans="2:10" x14ac:dyDescent="0.45">
      <c r="B706" s="9" t="s">
        <v>117</v>
      </c>
      <c r="C706" s="9" t="s">
        <v>76</v>
      </c>
      <c r="D706" s="11">
        <v>6.4321124113737208E-2</v>
      </c>
      <c r="E706" s="9" t="s">
        <v>61</v>
      </c>
      <c r="G706" s="9" t="s">
        <v>137</v>
      </c>
      <c r="H706" s="9" t="s">
        <v>76</v>
      </c>
      <c r="I706" s="13">
        <v>2.2906551421278683E-2</v>
      </c>
      <c r="J706" s="9" t="s">
        <v>61</v>
      </c>
    </row>
    <row r="707" spans="2:10" x14ac:dyDescent="0.45">
      <c r="B707" s="8" t="s">
        <v>117</v>
      </c>
      <c r="C707" s="8" t="s">
        <v>77</v>
      </c>
      <c r="D707" s="10">
        <v>5.0354017940661425E-2</v>
      </c>
      <c r="E707" s="8" t="s">
        <v>61</v>
      </c>
      <c r="G707" s="8" t="s">
        <v>137</v>
      </c>
      <c r="H707" s="8" t="s">
        <v>77</v>
      </c>
      <c r="I707" s="12">
        <v>2.3226834414775025E-2</v>
      </c>
      <c r="J707" s="8" t="s">
        <v>61</v>
      </c>
    </row>
    <row r="708" spans="2:10" x14ac:dyDescent="0.45">
      <c r="B708" s="9" t="s">
        <v>117</v>
      </c>
      <c r="C708" s="9" t="s">
        <v>78</v>
      </c>
      <c r="D708" s="11">
        <v>2.6303932618914623E-2</v>
      </c>
      <c r="E708" s="9" t="s">
        <v>61</v>
      </c>
      <c r="G708" s="9" t="s">
        <v>137</v>
      </c>
      <c r="H708" s="9" t="s">
        <v>78</v>
      </c>
      <c r="I708" s="13">
        <v>2.212850101076104E-2</v>
      </c>
      <c r="J708" s="9" t="s">
        <v>61</v>
      </c>
    </row>
    <row r="709" spans="2:10" x14ac:dyDescent="0.45">
      <c r="B709" s="8" t="s">
        <v>117</v>
      </c>
      <c r="C709" s="8" t="s">
        <v>79</v>
      </c>
      <c r="D709" s="10">
        <v>3.0763433611343078E-3</v>
      </c>
      <c r="E709" s="8" t="s">
        <v>61</v>
      </c>
      <c r="G709" s="8" t="s">
        <v>137</v>
      </c>
      <c r="H709" s="8" t="s">
        <v>79</v>
      </c>
      <c r="I709" s="12">
        <v>2.2937623452391476E-2</v>
      </c>
      <c r="J709" s="8" t="s">
        <v>61</v>
      </c>
    </row>
    <row r="710" spans="2:10" x14ac:dyDescent="0.45">
      <c r="B710" s="9" t="s">
        <v>117</v>
      </c>
      <c r="C710" s="9" t="s">
        <v>80</v>
      </c>
      <c r="D710" s="11">
        <v>0</v>
      </c>
      <c r="E710" s="9" t="s">
        <v>61</v>
      </c>
      <c r="G710" s="9" t="s">
        <v>137</v>
      </c>
      <c r="H710" s="9" t="s">
        <v>80</v>
      </c>
      <c r="I710" s="13">
        <v>3.2293184518369773E-2</v>
      </c>
      <c r="J710" s="9" t="s">
        <v>61</v>
      </c>
    </row>
    <row r="711" spans="2:10" x14ac:dyDescent="0.45">
      <c r="B711" s="8" t="s">
        <v>117</v>
      </c>
      <c r="C711" s="8" t="s">
        <v>81</v>
      </c>
      <c r="D711" s="10">
        <v>5.6317189560690993E-4</v>
      </c>
      <c r="E711" s="8" t="s">
        <v>61</v>
      </c>
      <c r="G711" s="8" t="s">
        <v>137</v>
      </c>
      <c r="H711" s="8" t="s">
        <v>81</v>
      </c>
      <c r="I711" s="12">
        <v>2.8669948682773998E-2</v>
      </c>
      <c r="J711" s="8" t="s">
        <v>61</v>
      </c>
    </row>
    <row r="712" spans="2:10" x14ac:dyDescent="0.45">
      <c r="B712" s="9" t="s">
        <v>117</v>
      </c>
      <c r="C712" s="9" t="s">
        <v>82</v>
      </c>
      <c r="D712" s="11">
        <v>2.6446710409321089E-2</v>
      </c>
      <c r="E712" s="9" t="s">
        <v>61</v>
      </c>
      <c r="G712" s="9" t="s">
        <v>137</v>
      </c>
      <c r="H712" s="9" t="s">
        <v>82</v>
      </c>
      <c r="I712" s="13">
        <v>1.1262143645087723E-2</v>
      </c>
      <c r="J712" s="9" t="s">
        <v>61</v>
      </c>
    </row>
    <row r="713" spans="2:10" x14ac:dyDescent="0.45">
      <c r="B713" s="8" t="s">
        <v>117</v>
      </c>
      <c r="C713" s="8" t="s">
        <v>83</v>
      </c>
      <c r="D713" s="10">
        <v>6.0205963801237536E-2</v>
      </c>
      <c r="E713" s="8" t="s">
        <v>61</v>
      </c>
      <c r="G713" s="8" t="s">
        <v>137</v>
      </c>
      <c r="H713" s="8" t="s">
        <v>83</v>
      </c>
      <c r="I713" s="12">
        <v>1.048088320277576E-2</v>
      </c>
      <c r="J713" s="8" t="s">
        <v>61</v>
      </c>
    </row>
    <row r="714" spans="2:10" x14ac:dyDescent="0.45">
      <c r="B714" s="9" t="s">
        <v>117</v>
      </c>
      <c r="C714" s="9" t="s">
        <v>84</v>
      </c>
      <c r="D714" s="11">
        <v>7.5823999660283983E-2</v>
      </c>
      <c r="E714" s="9" t="s">
        <v>61</v>
      </c>
      <c r="G714" s="9" t="s">
        <v>137</v>
      </c>
      <c r="H714" s="9" t="s">
        <v>84</v>
      </c>
      <c r="I714" s="13">
        <v>1.2164818039083428E-2</v>
      </c>
      <c r="J714" s="9" t="s">
        <v>61</v>
      </c>
    </row>
    <row r="715" spans="2:10" x14ac:dyDescent="0.45">
      <c r="B715" s="8" t="s">
        <v>117</v>
      </c>
      <c r="C715" s="8" t="s">
        <v>85</v>
      </c>
      <c r="D715" s="10">
        <v>7.6131464416738445E-2</v>
      </c>
      <c r="E715" s="8" t="s">
        <v>61</v>
      </c>
      <c r="G715" s="8" t="s">
        <v>137</v>
      </c>
      <c r="H715" s="8" t="s">
        <v>85</v>
      </c>
      <c r="I715" s="12">
        <v>1.0428080075359369E-2</v>
      </c>
      <c r="J715" s="8" t="s">
        <v>61</v>
      </c>
    </row>
    <row r="716" spans="2:10" x14ac:dyDescent="0.45">
      <c r="B716" s="9" t="s">
        <v>117</v>
      </c>
      <c r="C716" s="9" t="s">
        <v>86</v>
      </c>
      <c r="D716" s="11">
        <v>7.3489648967449792E-2</v>
      </c>
      <c r="E716" s="9" t="s">
        <v>61</v>
      </c>
      <c r="G716" s="9" t="s">
        <v>137</v>
      </c>
      <c r="H716" s="9" t="s">
        <v>86</v>
      </c>
      <c r="I716" s="13">
        <v>1.1976808675231512E-2</v>
      </c>
      <c r="J716" s="9" t="s">
        <v>61</v>
      </c>
    </row>
    <row r="717" spans="2:10" x14ac:dyDescent="0.45">
      <c r="B717" s="8" t="s">
        <v>117</v>
      </c>
      <c r="C717" s="8" t="s">
        <v>87</v>
      </c>
      <c r="D717" s="10">
        <v>6.3659714317128815E-2</v>
      </c>
      <c r="E717" s="8" t="s">
        <v>61</v>
      </c>
      <c r="G717" s="8" t="s">
        <v>137</v>
      </c>
      <c r="H717" s="8" t="s">
        <v>87</v>
      </c>
      <c r="I717" s="12">
        <v>1.2069837893879044E-2</v>
      </c>
      <c r="J717" s="8" t="s">
        <v>61</v>
      </c>
    </row>
    <row r="718" spans="2:10" x14ac:dyDescent="0.45">
      <c r="B718" s="9" t="s">
        <v>117</v>
      </c>
      <c r="C718" s="9" t="s">
        <v>88</v>
      </c>
      <c r="D718" s="11">
        <v>4.1663079555854972E-2</v>
      </c>
      <c r="E718" s="9" t="s">
        <v>61</v>
      </c>
      <c r="G718" s="9" t="s">
        <v>137</v>
      </c>
      <c r="H718" s="9" t="s">
        <v>88</v>
      </c>
      <c r="I718" s="13">
        <v>1.103957367385529E-2</v>
      </c>
      <c r="J718" s="9" t="s">
        <v>61</v>
      </c>
    </row>
    <row r="719" spans="2:10" x14ac:dyDescent="0.45">
      <c r="B719" s="8" t="s">
        <v>117</v>
      </c>
      <c r="C719" s="8" t="s">
        <v>89</v>
      </c>
      <c r="D719" s="10">
        <v>1.1306103405534156E-2</v>
      </c>
      <c r="E719" s="8" t="s">
        <v>61</v>
      </c>
      <c r="G719" s="8" t="s">
        <v>137</v>
      </c>
      <c r="H719" s="8" t="s">
        <v>89</v>
      </c>
      <c r="I719" s="12">
        <v>1.1172697801695398E-2</v>
      </c>
      <c r="J719" s="8" t="s">
        <v>61</v>
      </c>
    </row>
    <row r="720" spans="2:10" x14ac:dyDescent="0.45">
      <c r="B720" s="9" t="s">
        <v>117</v>
      </c>
      <c r="C720" s="9" t="s">
        <v>90</v>
      </c>
      <c r="D720" s="11">
        <v>0</v>
      </c>
      <c r="E720" s="9" t="s">
        <v>61</v>
      </c>
      <c r="G720" s="9" t="s">
        <v>137</v>
      </c>
      <c r="H720" s="9" t="s">
        <v>90</v>
      </c>
      <c r="I720" s="13">
        <v>1.7671437862093006E-2</v>
      </c>
      <c r="J720" s="9" t="s">
        <v>61</v>
      </c>
    </row>
    <row r="721" spans="2:10" x14ac:dyDescent="0.45">
      <c r="B721" s="8" t="s">
        <v>117</v>
      </c>
      <c r="C721" s="8" t="s">
        <v>91</v>
      </c>
      <c r="D721" s="10">
        <v>0</v>
      </c>
      <c r="E721" s="8" t="s">
        <v>61</v>
      </c>
      <c r="G721" s="8" t="s">
        <v>137</v>
      </c>
      <c r="H721" s="8" t="s">
        <v>91</v>
      </c>
      <c r="I721" s="12">
        <v>5.3402036170419151E-2</v>
      </c>
      <c r="J721" s="8" t="s">
        <v>61</v>
      </c>
    </row>
    <row r="722" spans="2:10" x14ac:dyDescent="0.45">
      <c r="B722" s="9" t="s">
        <v>117</v>
      </c>
      <c r="C722" s="9" t="s">
        <v>92</v>
      </c>
      <c r="D722" s="11">
        <v>1.4394091864683987E-3</v>
      </c>
      <c r="E722" s="9" t="s">
        <v>61</v>
      </c>
      <c r="G722" s="9" t="s">
        <v>137</v>
      </c>
      <c r="H722" s="9" t="s">
        <v>92</v>
      </c>
      <c r="I722" s="13">
        <v>2.1487876303817485E-2</v>
      </c>
      <c r="J722" s="9" t="s">
        <v>61</v>
      </c>
    </row>
    <row r="723" spans="2:10" x14ac:dyDescent="0.45">
      <c r="B723" s="8" t="s">
        <v>117</v>
      </c>
      <c r="C723" s="8" t="s">
        <v>93</v>
      </c>
      <c r="D723" s="10">
        <v>1.7890658104091815E-2</v>
      </c>
      <c r="E723" s="8" t="s">
        <v>61</v>
      </c>
      <c r="G723" s="8" t="s">
        <v>137</v>
      </c>
      <c r="H723" s="8" t="s">
        <v>93</v>
      </c>
      <c r="I723" s="12">
        <v>2.2721465694957827E-2</v>
      </c>
      <c r="J723" s="8" t="s">
        <v>61</v>
      </c>
    </row>
    <row r="724" spans="2:10" x14ac:dyDescent="0.45">
      <c r="B724" s="9" t="s">
        <v>117</v>
      </c>
      <c r="C724" s="9" t="s">
        <v>94</v>
      </c>
      <c r="D724" s="11">
        <v>3.4334208330579895E-2</v>
      </c>
      <c r="E724" s="9" t="s">
        <v>61</v>
      </c>
      <c r="G724" s="9" t="s">
        <v>137</v>
      </c>
      <c r="H724" s="9" t="s">
        <v>94</v>
      </c>
      <c r="I724" s="13">
        <v>2.4896973800538642E-2</v>
      </c>
      <c r="J724" s="9" t="s">
        <v>61</v>
      </c>
    </row>
    <row r="725" spans="2:10" x14ac:dyDescent="0.45">
      <c r="B725" s="8" t="s">
        <v>117</v>
      </c>
      <c r="C725" s="8" t="s">
        <v>95</v>
      </c>
      <c r="D725" s="10">
        <v>3.8042365559812739E-2</v>
      </c>
      <c r="E725" s="8" t="s">
        <v>61</v>
      </c>
      <c r="G725" s="8" t="s">
        <v>137</v>
      </c>
      <c r="H725" s="8" t="s">
        <v>95</v>
      </c>
      <c r="I725" s="12">
        <v>2.36702828854841E-2</v>
      </c>
      <c r="J725" s="8" t="s">
        <v>61</v>
      </c>
    </row>
    <row r="726" spans="2:10" x14ac:dyDescent="0.45">
      <c r="B726" s="9" t="s">
        <v>117</v>
      </c>
      <c r="C726" s="9" t="s">
        <v>96</v>
      </c>
      <c r="D726" s="11">
        <v>3.7195540922675054E-2</v>
      </c>
      <c r="E726" s="9" t="s">
        <v>61</v>
      </c>
      <c r="G726" s="9" t="s">
        <v>137</v>
      </c>
      <c r="H726" s="9" t="s">
        <v>96</v>
      </c>
      <c r="I726" s="13">
        <v>2.4612203425615042E-2</v>
      </c>
      <c r="J726" s="9" t="s">
        <v>61</v>
      </c>
    </row>
    <row r="727" spans="2:10" x14ac:dyDescent="0.45">
      <c r="B727" s="8" t="s">
        <v>117</v>
      </c>
      <c r="C727" s="8" t="s">
        <v>97</v>
      </c>
      <c r="D727" s="10">
        <v>2.4442281385887638E-2</v>
      </c>
      <c r="E727" s="8" t="s">
        <v>61</v>
      </c>
      <c r="G727" s="8" t="s">
        <v>137</v>
      </c>
      <c r="H727" s="8" t="s">
        <v>97</v>
      </c>
      <c r="I727" s="12">
        <v>2.4034655133378751E-2</v>
      </c>
      <c r="J727" s="8" t="s">
        <v>61</v>
      </c>
    </row>
    <row r="728" spans="2:10" x14ac:dyDescent="0.45">
      <c r="B728" s="9" t="s">
        <v>117</v>
      </c>
      <c r="C728" s="9" t="s">
        <v>98</v>
      </c>
      <c r="D728" s="11">
        <v>6.3883486743517128E-3</v>
      </c>
      <c r="E728" s="9" t="s">
        <v>61</v>
      </c>
      <c r="G728" s="9" t="s">
        <v>137</v>
      </c>
      <c r="H728" s="9" t="s">
        <v>98</v>
      </c>
      <c r="I728" s="13">
        <v>2.4275661210240915E-2</v>
      </c>
      <c r="J728" s="9" t="s">
        <v>61</v>
      </c>
    </row>
    <row r="729" spans="2:10" x14ac:dyDescent="0.45">
      <c r="B729" s="8" t="s">
        <v>117</v>
      </c>
      <c r="C729" s="8" t="s">
        <v>99</v>
      </c>
      <c r="D729" s="10">
        <v>0</v>
      </c>
      <c r="E729" s="8" t="s">
        <v>61</v>
      </c>
      <c r="G729" s="8" t="s">
        <v>137</v>
      </c>
      <c r="H729" s="8" t="s">
        <v>99</v>
      </c>
      <c r="I729" s="12">
        <v>2.4975967700856107E-2</v>
      </c>
      <c r="J729" s="8" t="s">
        <v>61</v>
      </c>
    </row>
    <row r="730" spans="2:10" x14ac:dyDescent="0.45">
      <c r="B730" s="9" t="s">
        <v>117</v>
      </c>
      <c r="C730" s="9" t="s">
        <v>100</v>
      </c>
      <c r="D730" s="11">
        <v>0</v>
      </c>
      <c r="E730" s="9" t="s">
        <v>61</v>
      </c>
      <c r="G730" s="9" t="s">
        <v>137</v>
      </c>
      <c r="H730" s="9" t="s">
        <v>100</v>
      </c>
      <c r="I730" s="13">
        <v>3.5916722659527882E-2</v>
      </c>
      <c r="J730" s="9" t="s">
        <v>61</v>
      </c>
    </row>
    <row r="731" spans="2:10" x14ac:dyDescent="0.45">
      <c r="B731" s="8" t="s">
        <v>118</v>
      </c>
      <c r="C731" s="8" t="s">
        <v>60</v>
      </c>
      <c r="D731" s="10">
        <v>0</v>
      </c>
      <c r="E731" s="8" t="s">
        <v>61</v>
      </c>
      <c r="G731" s="8" t="s">
        <v>138</v>
      </c>
      <c r="H731" s="8" t="s">
        <v>60</v>
      </c>
      <c r="I731" s="12">
        <v>7.3381509605628684E-2</v>
      </c>
      <c r="J731" s="8" t="s">
        <v>61</v>
      </c>
    </row>
    <row r="732" spans="2:10" x14ac:dyDescent="0.45">
      <c r="B732" s="9" t="s">
        <v>118</v>
      </c>
      <c r="C732" s="9" t="s">
        <v>62</v>
      </c>
      <c r="D732" s="11">
        <v>0</v>
      </c>
      <c r="E732" s="9" t="s">
        <v>61</v>
      </c>
      <c r="G732" s="9" t="s">
        <v>138</v>
      </c>
      <c r="H732" s="9" t="s">
        <v>62</v>
      </c>
      <c r="I732" s="13">
        <v>2.9505318758104492E-2</v>
      </c>
      <c r="J732" s="9" t="s">
        <v>61</v>
      </c>
    </row>
    <row r="733" spans="2:10" x14ac:dyDescent="0.45">
      <c r="B733" s="8" t="s">
        <v>118</v>
      </c>
      <c r="C733" s="8" t="s">
        <v>63</v>
      </c>
      <c r="D733" s="10">
        <v>1.2910787409097766E-3</v>
      </c>
      <c r="E733" s="8" t="s">
        <v>61</v>
      </c>
      <c r="G733" s="8" t="s">
        <v>138</v>
      </c>
      <c r="H733" s="8" t="s">
        <v>63</v>
      </c>
      <c r="I733" s="12">
        <v>2.9767684275588478E-2</v>
      </c>
      <c r="J733" s="8" t="s">
        <v>61</v>
      </c>
    </row>
    <row r="734" spans="2:10" x14ac:dyDescent="0.45">
      <c r="B734" s="9" t="s">
        <v>118</v>
      </c>
      <c r="C734" s="9" t="s">
        <v>64</v>
      </c>
      <c r="D734" s="11">
        <v>1.87790493018287E-2</v>
      </c>
      <c r="E734" s="9" t="s">
        <v>61</v>
      </c>
      <c r="G734" s="9" t="s">
        <v>138</v>
      </c>
      <c r="H734" s="9" t="s">
        <v>64</v>
      </c>
      <c r="I734" s="13">
        <v>2.934084310460499E-2</v>
      </c>
      <c r="J734" s="9" t="s">
        <v>61</v>
      </c>
    </row>
    <row r="735" spans="2:10" x14ac:dyDescent="0.45">
      <c r="B735" s="8" t="s">
        <v>118</v>
      </c>
      <c r="C735" s="8" t="s">
        <v>65</v>
      </c>
      <c r="D735" s="10">
        <v>2.7127134111631236E-2</v>
      </c>
      <c r="E735" s="8" t="s">
        <v>61</v>
      </c>
      <c r="G735" s="8" t="s">
        <v>138</v>
      </c>
      <c r="H735" s="8" t="s">
        <v>65</v>
      </c>
      <c r="I735" s="12">
        <v>2.7707980596433871E-2</v>
      </c>
      <c r="J735" s="8" t="s">
        <v>61</v>
      </c>
    </row>
    <row r="736" spans="2:10" x14ac:dyDescent="0.45">
      <c r="B736" s="9" t="s">
        <v>118</v>
      </c>
      <c r="C736" s="9" t="s">
        <v>66</v>
      </c>
      <c r="D736" s="11">
        <v>2.6653939090073735E-2</v>
      </c>
      <c r="E736" s="9" t="s">
        <v>61</v>
      </c>
      <c r="G736" s="9" t="s">
        <v>138</v>
      </c>
      <c r="H736" s="9" t="s">
        <v>66</v>
      </c>
      <c r="I736" s="13">
        <v>2.8947542606666387E-2</v>
      </c>
      <c r="J736" s="9" t="s">
        <v>61</v>
      </c>
    </row>
    <row r="737" spans="2:10" x14ac:dyDescent="0.45">
      <c r="B737" s="8" t="s">
        <v>118</v>
      </c>
      <c r="C737" s="8" t="s">
        <v>67</v>
      </c>
      <c r="D737" s="10">
        <v>1.1512155159833688E-2</v>
      </c>
      <c r="E737" s="8" t="s">
        <v>61</v>
      </c>
      <c r="G737" s="8" t="s">
        <v>138</v>
      </c>
      <c r="H737" s="8" t="s">
        <v>67</v>
      </c>
      <c r="I737" s="12">
        <v>3.1112117322235001E-2</v>
      </c>
      <c r="J737" s="8" t="s">
        <v>61</v>
      </c>
    </row>
    <row r="738" spans="2:10" x14ac:dyDescent="0.45">
      <c r="B738" s="9" t="s">
        <v>118</v>
      </c>
      <c r="C738" s="9" t="s">
        <v>68</v>
      </c>
      <c r="D738" s="11">
        <v>7.0698694884020123E-4</v>
      </c>
      <c r="E738" s="9" t="s">
        <v>61</v>
      </c>
      <c r="G738" s="9" t="s">
        <v>138</v>
      </c>
      <c r="H738" s="9" t="s">
        <v>68</v>
      </c>
      <c r="I738" s="13">
        <v>3.2784204063002163E-2</v>
      </c>
      <c r="J738" s="9" t="s">
        <v>61</v>
      </c>
    </row>
    <row r="739" spans="2:10" x14ac:dyDescent="0.45">
      <c r="B739" s="8" t="s">
        <v>118</v>
      </c>
      <c r="C739" s="8" t="s">
        <v>69</v>
      </c>
      <c r="D739" s="10">
        <v>0</v>
      </c>
      <c r="E739" s="8" t="s">
        <v>61</v>
      </c>
      <c r="G739" s="8" t="s">
        <v>138</v>
      </c>
      <c r="H739" s="8" t="s">
        <v>69</v>
      </c>
      <c r="I739" s="12">
        <v>3.2322455417354207E-2</v>
      </c>
      <c r="J739" s="8" t="s">
        <v>61</v>
      </c>
    </row>
    <row r="740" spans="2:10" x14ac:dyDescent="0.45">
      <c r="B740" s="9" t="s">
        <v>118</v>
      </c>
      <c r="C740" s="9" t="s">
        <v>70</v>
      </c>
      <c r="D740" s="11">
        <v>0</v>
      </c>
      <c r="E740" s="9" t="s">
        <v>61</v>
      </c>
      <c r="G740" s="9" t="s">
        <v>138</v>
      </c>
      <c r="H740" s="9" t="s">
        <v>70</v>
      </c>
      <c r="I740" s="13">
        <v>4.5326192381895732E-2</v>
      </c>
      <c r="J740" s="9" t="s">
        <v>61</v>
      </c>
    </row>
    <row r="741" spans="2:10" x14ac:dyDescent="0.45">
      <c r="B741" s="8" t="s">
        <v>118</v>
      </c>
      <c r="C741" s="8" t="s">
        <v>71</v>
      </c>
      <c r="D741" s="10">
        <v>0</v>
      </c>
      <c r="E741" s="8" t="s">
        <v>61</v>
      </c>
      <c r="G741" s="8" t="s">
        <v>138</v>
      </c>
      <c r="H741" s="8" t="s">
        <v>71</v>
      </c>
      <c r="I741" s="12">
        <v>5.5652210814086889E-2</v>
      </c>
      <c r="J741" s="8" t="s">
        <v>61</v>
      </c>
    </row>
    <row r="742" spans="2:10" x14ac:dyDescent="0.45">
      <c r="B742" s="9" t="s">
        <v>118</v>
      </c>
      <c r="C742" s="9" t="s">
        <v>72</v>
      </c>
      <c r="D742" s="11">
        <v>1.1268229362067105E-2</v>
      </c>
      <c r="E742" s="9" t="s">
        <v>61</v>
      </c>
      <c r="G742" s="9" t="s">
        <v>138</v>
      </c>
      <c r="H742" s="9" t="s">
        <v>72</v>
      </c>
      <c r="I742" s="13">
        <v>2.0846281360218592E-2</v>
      </c>
      <c r="J742" s="9" t="s">
        <v>61</v>
      </c>
    </row>
    <row r="743" spans="2:10" x14ac:dyDescent="0.45">
      <c r="B743" s="8" t="s">
        <v>118</v>
      </c>
      <c r="C743" s="8" t="s">
        <v>73</v>
      </c>
      <c r="D743" s="10">
        <v>4.3236601541690796E-2</v>
      </c>
      <c r="E743" s="8" t="s">
        <v>61</v>
      </c>
      <c r="G743" s="8" t="s">
        <v>138</v>
      </c>
      <c r="H743" s="8" t="s">
        <v>73</v>
      </c>
      <c r="I743" s="12">
        <v>1.7347407544056299E-2</v>
      </c>
      <c r="J743" s="8" t="s">
        <v>61</v>
      </c>
    </row>
    <row r="744" spans="2:10" x14ac:dyDescent="0.45">
      <c r="B744" s="9" t="s">
        <v>118</v>
      </c>
      <c r="C744" s="9" t="s">
        <v>74</v>
      </c>
      <c r="D744" s="11">
        <v>6.4327019080645101E-2</v>
      </c>
      <c r="E744" s="9" t="s">
        <v>61</v>
      </c>
      <c r="G744" s="9" t="s">
        <v>138</v>
      </c>
      <c r="H744" s="9" t="s">
        <v>74</v>
      </c>
      <c r="I744" s="13">
        <v>1.6707546252517077E-2</v>
      </c>
      <c r="J744" s="9" t="s">
        <v>61</v>
      </c>
    </row>
    <row r="745" spans="2:10" x14ac:dyDescent="0.45">
      <c r="B745" s="8" t="s">
        <v>118</v>
      </c>
      <c r="C745" s="8" t="s">
        <v>75</v>
      </c>
      <c r="D745" s="10">
        <v>6.5659654169567719E-2</v>
      </c>
      <c r="E745" s="8" t="s">
        <v>61</v>
      </c>
      <c r="G745" s="8" t="s">
        <v>138</v>
      </c>
      <c r="H745" s="8" t="s">
        <v>75</v>
      </c>
      <c r="I745" s="12">
        <v>1.5611952728724149E-2</v>
      </c>
      <c r="J745" s="8" t="s">
        <v>61</v>
      </c>
    </row>
    <row r="746" spans="2:10" x14ac:dyDescent="0.45">
      <c r="B746" s="9" t="s">
        <v>118</v>
      </c>
      <c r="C746" s="9" t="s">
        <v>76</v>
      </c>
      <c r="D746" s="11">
        <v>6.2588074427337492E-2</v>
      </c>
      <c r="E746" s="9" t="s">
        <v>61</v>
      </c>
      <c r="G746" s="9" t="s">
        <v>138</v>
      </c>
      <c r="H746" s="9" t="s">
        <v>76</v>
      </c>
      <c r="I746" s="13">
        <v>1.8082540172834456E-2</v>
      </c>
      <c r="J746" s="9" t="s">
        <v>61</v>
      </c>
    </row>
    <row r="747" spans="2:10" x14ac:dyDescent="0.45">
      <c r="B747" s="8" t="s">
        <v>118</v>
      </c>
      <c r="C747" s="8" t="s">
        <v>77</v>
      </c>
      <c r="D747" s="10">
        <v>4.9402568186525206E-2</v>
      </c>
      <c r="E747" s="8" t="s">
        <v>61</v>
      </c>
      <c r="G747" s="8" t="s">
        <v>138</v>
      </c>
      <c r="H747" s="8" t="s">
        <v>77</v>
      </c>
      <c r="I747" s="12">
        <v>1.9587828798770936E-2</v>
      </c>
      <c r="J747" s="8" t="s">
        <v>61</v>
      </c>
    </row>
    <row r="748" spans="2:10" x14ac:dyDescent="0.45">
      <c r="B748" s="9" t="s">
        <v>118</v>
      </c>
      <c r="C748" s="9" t="s">
        <v>78</v>
      </c>
      <c r="D748" s="11">
        <v>2.4946220147590896E-2</v>
      </c>
      <c r="E748" s="9" t="s">
        <v>61</v>
      </c>
      <c r="G748" s="9" t="s">
        <v>138</v>
      </c>
      <c r="H748" s="9" t="s">
        <v>78</v>
      </c>
      <c r="I748" s="13">
        <v>2.000381332100936E-2</v>
      </c>
      <c r="J748" s="9" t="s">
        <v>61</v>
      </c>
    </row>
    <row r="749" spans="2:10" x14ac:dyDescent="0.45">
      <c r="B749" s="8" t="s">
        <v>118</v>
      </c>
      <c r="C749" s="8" t="s">
        <v>79</v>
      </c>
      <c r="D749" s="10">
        <v>2.6921864558731483E-3</v>
      </c>
      <c r="E749" s="8" t="s">
        <v>61</v>
      </c>
      <c r="G749" s="8" t="s">
        <v>138</v>
      </c>
      <c r="H749" s="8" t="s">
        <v>79</v>
      </c>
      <c r="I749" s="12">
        <v>2.294557594225682E-2</v>
      </c>
      <c r="J749" s="8" t="s">
        <v>61</v>
      </c>
    </row>
    <row r="750" spans="2:10" x14ac:dyDescent="0.45">
      <c r="B750" s="9" t="s">
        <v>118</v>
      </c>
      <c r="C750" s="9" t="s">
        <v>80</v>
      </c>
      <c r="D750" s="11">
        <v>0</v>
      </c>
      <c r="E750" s="9" t="s">
        <v>61</v>
      </c>
      <c r="G750" s="9" t="s">
        <v>138</v>
      </c>
      <c r="H750" s="9" t="s">
        <v>80</v>
      </c>
      <c r="I750" s="13">
        <v>3.5047104176664193E-2</v>
      </c>
      <c r="J750" s="9" t="s">
        <v>61</v>
      </c>
    </row>
    <row r="751" spans="2:10" x14ac:dyDescent="0.45">
      <c r="B751" s="8" t="s">
        <v>118</v>
      </c>
      <c r="C751" s="8" t="s">
        <v>81</v>
      </c>
      <c r="D751" s="10">
        <v>0</v>
      </c>
      <c r="E751" s="8" t="s">
        <v>61</v>
      </c>
      <c r="G751" s="8" t="s">
        <v>138</v>
      </c>
      <c r="H751" s="8" t="s">
        <v>81</v>
      </c>
      <c r="I751" s="12">
        <v>2.8884886753418416E-2</v>
      </c>
      <c r="J751" s="8" t="s">
        <v>61</v>
      </c>
    </row>
    <row r="752" spans="2:10" x14ac:dyDescent="0.45">
      <c r="B752" s="9" t="s">
        <v>118</v>
      </c>
      <c r="C752" s="9" t="s">
        <v>82</v>
      </c>
      <c r="D752" s="11">
        <v>2.4404483243434524E-2</v>
      </c>
      <c r="E752" s="9" t="s">
        <v>61</v>
      </c>
      <c r="G752" s="9" t="s">
        <v>138</v>
      </c>
      <c r="H752" s="9" t="s">
        <v>82</v>
      </c>
      <c r="I752" s="13">
        <v>1.0487660700405762E-2</v>
      </c>
      <c r="J752" s="9" t="s">
        <v>61</v>
      </c>
    </row>
    <row r="753" spans="2:10" x14ac:dyDescent="0.45">
      <c r="B753" s="8" t="s">
        <v>118</v>
      </c>
      <c r="C753" s="8" t="s">
        <v>83</v>
      </c>
      <c r="D753" s="10">
        <v>5.817121441226078E-2</v>
      </c>
      <c r="E753" s="8" t="s">
        <v>61</v>
      </c>
      <c r="G753" s="8" t="s">
        <v>138</v>
      </c>
      <c r="H753" s="8" t="s">
        <v>83</v>
      </c>
      <c r="I753" s="12">
        <v>9.0042071246191537E-3</v>
      </c>
      <c r="J753" s="8" t="s">
        <v>61</v>
      </c>
    </row>
    <row r="754" spans="2:10" x14ac:dyDescent="0.45">
      <c r="B754" s="9" t="s">
        <v>118</v>
      </c>
      <c r="C754" s="9" t="s">
        <v>84</v>
      </c>
      <c r="D754" s="11">
        <v>7.5337889870781438E-2</v>
      </c>
      <c r="E754" s="9" t="s">
        <v>61</v>
      </c>
      <c r="G754" s="9" t="s">
        <v>138</v>
      </c>
      <c r="H754" s="9" t="s">
        <v>84</v>
      </c>
      <c r="I754" s="13">
        <v>1.04615934562781E-2</v>
      </c>
      <c r="J754" s="9" t="s">
        <v>61</v>
      </c>
    </row>
    <row r="755" spans="2:10" x14ac:dyDescent="0.45">
      <c r="B755" s="8" t="s">
        <v>118</v>
      </c>
      <c r="C755" s="8" t="s">
        <v>85</v>
      </c>
      <c r="D755" s="10">
        <v>7.5584328404453102E-2</v>
      </c>
      <c r="E755" s="8" t="s">
        <v>61</v>
      </c>
      <c r="G755" s="8" t="s">
        <v>138</v>
      </c>
      <c r="H755" s="8" t="s">
        <v>85</v>
      </c>
      <c r="I755" s="12">
        <v>8.690125985993967E-3</v>
      </c>
      <c r="J755" s="8" t="s">
        <v>61</v>
      </c>
    </row>
    <row r="756" spans="2:10" x14ac:dyDescent="0.45">
      <c r="B756" s="9" t="s">
        <v>118</v>
      </c>
      <c r="C756" s="9" t="s">
        <v>86</v>
      </c>
      <c r="D756" s="11">
        <v>7.3023903261710141E-2</v>
      </c>
      <c r="E756" s="9" t="s">
        <v>61</v>
      </c>
      <c r="G756" s="9" t="s">
        <v>138</v>
      </c>
      <c r="H756" s="9" t="s">
        <v>86</v>
      </c>
      <c r="I756" s="13">
        <v>9.898701845868961E-3</v>
      </c>
      <c r="J756" s="9" t="s">
        <v>61</v>
      </c>
    </row>
    <row r="757" spans="2:10" x14ac:dyDescent="0.45">
      <c r="B757" s="8" t="s">
        <v>118</v>
      </c>
      <c r="C757" s="8" t="s">
        <v>87</v>
      </c>
      <c r="D757" s="10">
        <v>6.2789124875382754E-2</v>
      </c>
      <c r="E757" s="8" t="s">
        <v>61</v>
      </c>
      <c r="G757" s="8" t="s">
        <v>138</v>
      </c>
      <c r="H757" s="8" t="s">
        <v>87</v>
      </c>
      <c r="I757" s="12">
        <v>1.1044594775385972E-2</v>
      </c>
      <c r="J757" s="8" t="s">
        <v>61</v>
      </c>
    </row>
    <row r="758" spans="2:10" x14ac:dyDescent="0.45">
      <c r="B758" s="9" t="s">
        <v>118</v>
      </c>
      <c r="C758" s="9" t="s">
        <v>88</v>
      </c>
      <c r="D758" s="11">
        <v>3.9633661339535144E-2</v>
      </c>
      <c r="E758" s="9" t="s">
        <v>61</v>
      </c>
      <c r="G758" s="9" t="s">
        <v>138</v>
      </c>
      <c r="H758" s="9" t="s">
        <v>88</v>
      </c>
      <c r="I758" s="13">
        <v>1.0098392227961281E-2</v>
      </c>
      <c r="J758" s="9" t="s">
        <v>61</v>
      </c>
    </row>
    <row r="759" spans="2:10" x14ac:dyDescent="0.45">
      <c r="B759" s="8" t="s">
        <v>118</v>
      </c>
      <c r="C759" s="8" t="s">
        <v>89</v>
      </c>
      <c r="D759" s="10">
        <v>1.0643735897258203E-2</v>
      </c>
      <c r="E759" s="8" t="s">
        <v>61</v>
      </c>
      <c r="G759" s="8" t="s">
        <v>138</v>
      </c>
      <c r="H759" s="8" t="s">
        <v>89</v>
      </c>
      <c r="I759" s="12">
        <v>1.1086436603203556E-2</v>
      </c>
      <c r="J759" s="8" t="s">
        <v>61</v>
      </c>
    </row>
    <row r="760" spans="2:10" x14ac:dyDescent="0.45">
      <c r="B760" s="9" t="s">
        <v>118</v>
      </c>
      <c r="C760" s="9" t="s">
        <v>90</v>
      </c>
      <c r="D760" s="11">
        <v>0</v>
      </c>
      <c r="E760" s="9" t="s">
        <v>61</v>
      </c>
      <c r="G760" s="9" t="s">
        <v>138</v>
      </c>
      <c r="H760" s="9" t="s">
        <v>90</v>
      </c>
      <c r="I760" s="13">
        <v>1.8039866701691783E-2</v>
      </c>
      <c r="J760" s="9" t="s">
        <v>61</v>
      </c>
    </row>
    <row r="761" spans="2:10" x14ac:dyDescent="0.45">
      <c r="B761" s="8" t="s">
        <v>118</v>
      </c>
      <c r="C761" s="8" t="s">
        <v>91</v>
      </c>
      <c r="D761" s="10">
        <v>0</v>
      </c>
      <c r="E761" s="8" t="s">
        <v>61</v>
      </c>
      <c r="G761" s="8" t="s">
        <v>138</v>
      </c>
      <c r="H761" s="8" t="s">
        <v>91</v>
      </c>
      <c r="I761" s="12">
        <v>5.4088315239516446E-2</v>
      </c>
      <c r="J761" s="8" t="s">
        <v>61</v>
      </c>
    </row>
    <row r="762" spans="2:10" x14ac:dyDescent="0.45">
      <c r="B762" s="9" t="s">
        <v>118</v>
      </c>
      <c r="C762" s="9" t="s">
        <v>92</v>
      </c>
      <c r="D762" s="11">
        <v>1.39672268858783E-3</v>
      </c>
      <c r="E762" s="9" t="s">
        <v>61</v>
      </c>
      <c r="G762" s="9" t="s">
        <v>138</v>
      </c>
      <c r="H762" s="9" t="s">
        <v>92</v>
      </c>
      <c r="I762" s="13">
        <v>2.0843031513146665E-2</v>
      </c>
      <c r="J762" s="9" t="s">
        <v>61</v>
      </c>
    </row>
    <row r="763" spans="2:10" x14ac:dyDescent="0.45">
      <c r="B763" s="8" t="s">
        <v>118</v>
      </c>
      <c r="C763" s="8" t="s">
        <v>93</v>
      </c>
      <c r="D763" s="10">
        <v>1.8945189785716361E-2</v>
      </c>
      <c r="E763" s="8" t="s">
        <v>61</v>
      </c>
      <c r="G763" s="8" t="s">
        <v>138</v>
      </c>
      <c r="H763" s="8" t="s">
        <v>93</v>
      </c>
      <c r="I763" s="12">
        <v>2.0398716645836892E-2</v>
      </c>
      <c r="J763" s="8" t="s">
        <v>61</v>
      </c>
    </row>
    <row r="764" spans="2:10" x14ac:dyDescent="0.45">
      <c r="B764" s="9" t="s">
        <v>118</v>
      </c>
      <c r="C764" s="9" t="s">
        <v>94</v>
      </c>
      <c r="D764" s="11">
        <v>3.8268112035862896E-2</v>
      </c>
      <c r="E764" s="9" t="s">
        <v>61</v>
      </c>
      <c r="G764" s="9" t="s">
        <v>138</v>
      </c>
      <c r="H764" s="9" t="s">
        <v>94</v>
      </c>
      <c r="I764" s="13">
        <v>2.0297879298847583E-2</v>
      </c>
      <c r="J764" s="9" t="s">
        <v>61</v>
      </c>
    </row>
    <row r="765" spans="2:10" x14ac:dyDescent="0.45">
      <c r="B765" s="8" t="s">
        <v>118</v>
      </c>
      <c r="C765" s="8" t="s">
        <v>95</v>
      </c>
      <c r="D765" s="10">
        <v>3.9433370386986473E-2</v>
      </c>
      <c r="E765" s="8" t="s">
        <v>61</v>
      </c>
      <c r="G765" s="8" t="s">
        <v>138</v>
      </c>
      <c r="H765" s="8" t="s">
        <v>95</v>
      </c>
      <c r="I765" s="12">
        <v>1.9132950738642063E-2</v>
      </c>
      <c r="J765" s="8" t="s">
        <v>61</v>
      </c>
    </row>
    <row r="766" spans="2:10" x14ac:dyDescent="0.45">
      <c r="B766" s="9" t="s">
        <v>118</v>
      </c>
      <c r="C766" s="9" t="s">
        <v>96</v>
      </c>
      <c r="D766" s="11">
        <v>3.9583801960938199E-2</v>
      </c>
      <c r="E766" s="9" t="s">
        <v>61</v>
      </c>
      <c r="G766" s="9" t="s">
        <v>138</v>
      </c>
      <c r="H766" s="9" t="s">
        <v>96</v>
      </c>
      <c r="I766" s="13">
        <v>2.1848380311331437E-2</v>
      </c>
      <c r="J766" s="9" t="s">
        <v>61</v>
      </c>
    </row>
    <row r="767" spans="2:10" x14ac:dyDescent="0.45">
      <c r="B767" s="8" t="s">
        <v>118</v>
      </c>
      <c r="C767" s="8" t="s">
        <v>97</v>
      </c>
      <c r="D767" s="10">
        <v>2.5731212925102418E-2</v>
      </c>
      <c r="E767" s="8" t="s">
        <v>61</v>
      </c>
      <c r="G767" s="8" t="s">
        <v>138</v>
      </c>
      <c r="H767" s="8" t="s">
        <v>97</v>
      </c>
      <c r="I767" s="12">
        <v>2.3432296913559029E-2</v>
      </c>
      <c r="J767" s="8" t="s">
        <v>61</v>
      </c>
    </row>
    <row r="768" spans="2:10" x14ac:dyDescent="0.45">
      <c r="B768" s="9" t="s">
        <v>118</v>
      </c>
      <c r="C768" s="9" t="s">
        <v>98</v>
      </c>
      <c r="D768" s="11">
        <v>6.862352187573903E-3</v>
      </c>
      <c r="E768" s="9" t="s">
        <v>61</v>
      </c>
      <c r="G768" s="9" t="s">
        <v>138</v>
      </c>
      <c r="H768" s="9" t="s">
        <v>98</v>
      </c>
      <c r="I768" s="13">
        <v>2.6012134291100678E-2</v>
      </c>
      <c r="J768" s="9" t="s">
        <v>61</v>
      </c>
    </row>
    <row r="769" spans="2:10" x14ac:dyDescent="0.45">
      <c r="B769" s="8" t="s">
        <v>118</v>
      </c>
      <c r="C769" s="8" t="s">
        <v>99</v>
      </c>
      <c r="D769" s="10">
        <v>0</v>
      </c>
      <c r="E769" s="8" t="s">
        <v>61</v>
      </c>
      <c r="G769" s="8" t="s">
        <v>138</v>
      </c>
      <c r="H769" s="8" t="s">
        <v>99</v>
      </c>
      <c r="I769" s="12">
        <v>2.6646459052111039E-2</v>
      </c>
      <c r="J769" s="8" t="s">
        <v>61</v>
      </c>
    </row>
    <row r="770" spans="2:10" x14ac:dyDescent="0.45">
      <c r="B770" s="9" t="s">
        <v>118</v>
      </c>
      <c r="C770" s="9" t="s">
        <v>100</v>
      </c>
      <c r="D770" s="11">
        <v>0</v>
      </c>
      <c r="E770" s="9" t="s">
        <v>61</v>
      </c>
      <c r="G770" s="9" t="s">
        <v>138</v>
      </c>
      <c r="H770" s="9" t="s">
        <v>100</v>
      </c>
      <c r="I770" s="13">
        <v>3.7575260578430379E-2</v>
      </c>
      <c r="J770" s="9" t="s">
        <v>61</v>
      </c>
    </row>
    <row r="771" spans="2:10" x14ac:dyDescent="0.45">
      <c r="B771" s="8" t="s">
        <v>119</v>
      </c>
      <c r="C771" s="8" t="s">
        <v>60</v>
      </c>
      <c r="D771" s="10">
        <v>0</v>
      </c>
      <c r="E771" s="8" t="s">
        <v>61</v>
      </c>
      <c r="G771" s="8" t="s">
        <v>139</v>
      </c>
      <c r="H771" s="8" t="s">
        <v>60</v>
      </c>
      <c r="I771" s="12">
        <v>7.4909961759666785E-2</v>
      </c>
      <c r="J771" s="8" t="s">
        <v>61</v>
      </c>
    </row>
    <row r="772" spans="2:10" x14ac:dyDescent="0.45">
      <c r="B772" s="9" t="s">
        <v>119</v>
      </c>
      <c r="C772" s="9" t="s">
        <v>62</v>
      </c>
      <c r="D772" s="11">
        <v>0</v>
      </c>
      <c r="E772" s="9" t="s">
        <v>61</v>
      </c>
      <c r="G772" s="9" t="s">
        <v>139</v>
      </c>
      <c r="H772" s="9" t="s">
        <v>62</v>
      </c>
      <c r="I772" s="13">
        <v>3.0511650496057564E-2</v>
      </c>
      <c r="J772" s="9" t="s">
        <v>61</v>
      </c>
    </row>
    <row r="773" spans="2:10" x14ac:dyDescent="0.45">
      <c r="B773" s="8" t="s">
        <v>119</v>
      </c>
      <c r="C773" s="8" t="s">
        <v>63</v>
      </c>
      <c r="D773" s="10">
        <v>1.3341028691204282E-3</v>
      </c>
      <c r="E773" s="8" t="s">
        <v>61</v>
      </c>
      <c r="G773" s="8" t="s">
        <v>139</v>
      </c>
      <c r="H773" s="8" t="s">
        <v>63</v>
      </c>
      <c r="I773" s="12">
        <v>3.0651779820420982E-2</v>
      </c>
      <c r="J773" s="8" t="s">
        <v>61</v>
      </c>
    </row>
    <row r="774" spans="2:10" x14ac:dyDescent="0.45">
      <c r="B774" s="9" t="s">
        <v>119</v>
      </c>
      <c r="C774" s="9" t="s">
        <v>64</v>
      </c>
      <c r="D774" s="11">
        <v>1.7440083533947003E-2</v>
      </c>
      <c r="E774" s="9" t="s">
        <v>61</v>
      </c>
      <c r="G774" s="9" t="s">
        <v>139</v>
      </c>
      <c r="H774" s="9" t="s">
        <v>64</v>
      </c>
      <c r="I774" s="13">
        <v>2.9977891615865376E-2</v>
      </c>
      <c r="J774" s="9" t="s">
        <v>61</v>
      </c>
    </row>
    <row r="775" spans="2:10" x14ac:dyDescent="0.45">
      <c r="B775" s="8" t="s">
        <v>119</v>
      </c>
      <c r="C775" s="8" t="s">
        <v>65</v>
      </c>
      <c r="D775" s="10">
        <v>2.5411916507828924E-2</v>
      </c>
      <c r="E775" s="8" t="s">
        <v>61</v>
      </c>
      <c r="G775" s="8" t="s">
        <v>139</v>
      </c>
      <c r="H775" s="8" t="s">
        <v>65</v>
      </c>
      <c r="I775" s="12">
        <v>2.7737052233814789E-2</v>
      </c>
      <c r="J775" s="8" t="s">
        <v>61</v>
      </c>
    </row>
    <row r="776" spans="2:10" x14ac:dyDescent="0.45">
      <c r="B776" s="9" t="s">
        <v>119</v>
      </c>
      <c r="C776" s="9" t="s">
        <v>66</v>
      </c>
      <c r="D776" s="11">
        <v>2.4596440096521937E-2</v>
      </c>
      <c r="E776" s="9" t="s">
        <v>61</v>
      </c>
      <c r="G776" s="9" t="s">
        <v>139</v>
      </c>
      <c r="H776" s="9" t="s">
        <v>66</v>
      </c>
      <c r="I776" s="13">
        <v>2.839504190680911E-2</v>
      </c>
      <c r="J776" s="9" t="s">
        <v>61</v>
      </c>
    </row>
    <row r="777" spans="2:10" x14ac:dyDescent="0.45">
      <c r="B777" s="8" t="s">
        <v>119</v>
      </c>
      <c r="C777" s="8" t="s">
        <v>67</v>
      </c>
      <c r="D777" s="10">
        <v>9.2562385633790292E-3</v>
      </c>
      <c r="E777" s="8" t="s">
        <v>61</v>
      </c>
      <c r="G777" s="8" t="s">
        <v>139</v>
      </c>
      <c r="H777" s="8" t="s">
        <v>67</v>
      </c>
      <c r="I777" s="12">
        <v>3.093490393783568E-2</v>
      </c>
      <c r="J777" s="8" t="s">
        <v>61</v>
      </c>
    </row>
    <row r="778" spans="2:10" x14ac:dyDescent="0.45">
      <c r="B778" s="9" t="s">
        <v>119</v>
      </c>
      <c r="C778" s="9" t="s">
        <v>68</v>
      </c>
      <c r="D778" s="11">
        <v>4.9277305922839352E-4</v>
      </c>
      <c r="E778" s="9" t="s">
        <v>61</v>
      </c>
      <c r="G778" s="9" t="s">
        <v>139</v>
      </c>
      <c r="H778" s="9" t="s">
        <v>68</v>
      </c>
      <c r="I778" s="13">
        <v>3.2236748150084538E-2</v>
      </c>
      <c r="J778" s="9" t="s">
        <v>61</v>
      </c>
    </row>
    <row r="779" spans="2:10" x14ac:dyDescent="0.45">
      <c r="B779" s="8" t="s">
        <v>119</v>
      </c>
      <c r="C779" s="8" t="s">
        <v>69</v>
      </c>
      <c r="D779" s="10">
        <v>0</v>
      </c>
      <c r="E779" s="8" t="s">
        <v>61</v>
      </c>
      <c r="G779" s="8" t="s">
        <v>139</v>
      </c>
      <c r="H779" s="8" t="s">
        <v>69</v>
      </c>
      <c r="I779" s="12">
        <v>3.1807885820822258E-2</v>
      </c>
      <c r="J779" s="8" t="s">
        <v>61</v>
      </c>
    </row>
    <row r="780" spans="2:10" x14ac:dyDescent="0.45">
      <c r="B780" s="9" t="s">
        <v>119</v>
      </c>
      <c r="C780" s="9" t="s">
        <v>70</v>
      </c>
      <c r="D780" s="11">
        <v>0</v>
      </c>
      <c r="E780" s="9" t="s">
        <v>61</v>
      </c>
      <c r="G780" s="9" t="s">
        <v>139</v>
      </c>
      <c r="H780" s="9" t="s">
        <v>70</v>
      </c>
      <c r="I780" s="13">
        <v>4.5252668728321885E-2</v>
      </c>
      <c r="J780" s="9" t="s">
        <v>61</v>
      </c>
    </row>
    <row r="781" spans="2:10" x14ac:dyDescent="0.45">
      <c r="B781" s="8" t="s">
        <v>119</v>
      </c>
      <c r="C781" s="8" t="s">
        <v>71</v>
      </c>
      <c r="D781" s="10">
        <v>4.5309519905715763E-7</v>
      </c>
      <c r="E781" s="8" t="s">
        <v>61</v>
      </c>
      <c r="G781" s="8" t="s">
        <v>139</v>
      </c>
      <c r="H781" s="8" t="s">
        <v>71</v>
      </c>
      <c r="I781" s="12">
        <v>5.429279374837484E-2</v>
      </c>
      <c r="J781" s="8" t="s">
        <v>61</v>
      </c>
    </row>
    <row r="782" spans="2:10" x14ac:dyDescent="0.45">
      <c r="B782" s="9" t="s">
        <v>119</v>
      </c>
      <c r="C782" s="9" t="s">
        <v>72</v>
      </c>
      <c r="D782" s="11">
        <v>1.3623233954654094E-2</v>
      </c>
      <c r="E782" s="9" t="s">
        <v>61</v>
      </c>
      <c r="G782" s="9" t="s">
        <v>139</v>
      </c>
      <c r="H782" s="9" t="s">
        <v>72</v>
      </c>
      <c r="I782" s="13">
        <v>1.9941128408921083E-2</v>
      </c>
      <c r="J782" s="9" t="s">
        <v>61</v>
      </c>
    </row>
    <row r="783" spans="2:10" x14ac:dyDescent="0.45">
      <c r="B783" s="8" t="s">
        <v>119</v>
      </c>
      <c r="C783" s="8" t="s">
        <v>73</v>
      </c>
      <c r="D783" s="10">
        <v>4.6758471084146769E-2</v>
      </c>
      <c r="E783" s="8" t="s">
        <v>61</v>
      </c>
      <c r="G783" s="8" t="s">
        <v>139</v>
      </c>
      <c r="H783" s="8" t="s">
        <v>73</v>
      </c>
      <c r="I783" s="12">
        <v>1.8091173307594095E-2</v>
      </c>
      <c r="J783" s="8" t="s">
        <v>61</v>
      </c>
    </row>
    <row r="784" spans="2:10" x14ac:dyDescent="0.45">
      <c r="B784" s="9" t="s">
        <v>119</v>
      </c>
      <c r="C784" s="9" t="s">
        <v>74</v>
      </c>
      <c r="D784" s="11">
        <v>6.5435858452837364E-2</v>
      </c>
      <c r="E784" s="9" t="s">
        <v>61</v>
      </c>
      <c r="G784" s="9" t="s">
        <v>139</v>
      </c>
      <c r="H784" s="9" t="s">
        <v>74</v>
      </c>
      <c r="I784" s="13">
        <v>1.8367782477241894E-2</v>
      </c>
      <c r="J784" s="9" t="s">
        <v>61</v>
      </c>
    </row>
    <row r="785" spans="2:10" x14ac:dyDescent="0.45">
      <c r="B785" s="8" t="s">
        <v>119</v>
      </c>
      <c r="C785" s="8" t="s">
        <v>75</v>
      </c>
      <c r="D785" s="10">
        <v>6.6440026400990754E-2</v>
      </c>
      <c r="E785" s="8" t="s">
        <v>61</v>
      </c>
      <c r="G785" s="8" t="s">
        <v>139</v>
      </c>
      <c r="H785" s="8" t="s">
        <v>75</v>
      </c>
      <c r="I785" s="12">
        <v>1.7447248498259484E-2</v>
      </c>
      <c r="J785" s="8" t="s">
        <v>61</v>
      </c>
    </row>
    <row r="786" spans="2:10" x14ac:dyDescent="0.45">
      <c r="B786" s="9" t="s">
        <v>119</v>
      </c>
      <c r="C786" s="9" t="s">
        <v>76</v>
      </c>
      <c r="D786" s="11">
        <v>6.3458734917534343E-2</v>
      </c>
      <c r="E786" s="9" t="s">
        <v>61</v>
      </c>
      <c r="G786" s="9" t="s">
        <v>139</v>
      </c>
      <c r="H786" s="9" t="s">
        <v>76</v>
      </c>
      <c r="I786" s="13">
        <v>1.9544396617266681E-2</v>
      </c>
      <c r="J786" s="9" t="s">
        <v>61</v>
      </c>
    </row>
    <row r="787" spans="2:10" x14ac:dyDescent="0.45">
      <c r="B787" s="8" t="s">
        <v>119</v>
      </c>
      <c r="C787" s="8" t="s">
        <v>77</v>
      </c>
      <c r="D787" s="10">
        <v>5.0673419333163126E-2</v>
      </c>
      <c r="E787" s="8" t="s">
        <v>61</v>
      </c>
      <c r="G787" s="8" t="s">
        <v>139</v>
      </c>
      <c r="H787" s="8" t="s">
        <v>77</v>
      </c>
      <c r="I787" s="12">
        <v>2.0285224936151532E-2</v>
      </c>
      <c r="J787" s="8" t="s">
        <v>61</v>
      </c>
    </row>
    <row r="788" spans="2:10" x14ac:dyDescent="0.45">
      <c r="B788" s="9" t="s">
        <v>119</v>
      </c>
      <c r="C788" s="9" t="s">
        <v>78</v>
      </c>
      <c r="D788" s="11">
        <v>2.5999771312713717E-2</v>
      </c>
      <c r="E788" s="9" t="s">
        <v>61</v>
      </c>
      <c r="G788" s="9" t="s">
        <v>139</v>
      </c>
      <c r="H788" s="9" t="s">
        <v>78</v>
      </c>
      <c r="I788" s="13">
        <v>1.9777246373403487E-2</v>
      </c>
      <c r="J788" s="9" t="s">
        <v>61</v>
      </c>
    </row>
    <row r="789" spans="2:10" x14ac:dyDescent="0.45">
      <c r="B789" s="8" t="s">
        <v>119</v>
      </c>
      <c r="C789" s="8" t="s">
        <v>79</v>
      </c>
      <c r="D789" s="10">
        <v>2.41117185181817E-3</v>
      </c>
      <c r="E789" s="8" t="s">
        <v>61</v>
      </c>
      <c r="G789" s="8" t="s">
        <v>139</v>
      </c>
      <c r="H789" s="8" t="s">
        <v>79</v>
      </c>
      <c r="I789" s="12">
        <v>2.2084258122928812E-2</v>
      </c>
      <c r="J789" s="8" t="s">
        <v>61</v>
      </c>
    </row>
    <row r="790" spans="2:10" x14ac:dyDescent="0.45">
      <c r="B790" s="9" t="s">
        <v>119</v>
      </c>
      <c r="C790" s="9" t="s">
        <v>80</v>
      </c>
      <c r="D790" s="11">
        <v>0</v>
      </c>
      <c r="E790" s="9" t="s">
        <v>61</v>
      </c>
      <c r="G790" s="9" t="s">
        <v>139</v>
      </c>
      <c r="H790" s="9" t="s">
        <v>80</v>
      </c>
      <c r="I790" s="13">
        <v>3.3872683432571583E-2</v>
      </c>
      <c r="J790" s="9" t="s">
        <v>61</v>
      </c>
    </row>
    <row r="791" spans="2:10" x14ac:dyDescent="0.45">
      <c r="B791" s="8" t="s">
        <v>119</v>
      </c>
      <c r="C791" s="8" t="s">
        <v>81</v>
      </c>
      <c r="D791" s="10">
        <v>6.9881726058336317E-4</v>
      </c>
      <c r="E791" s="8" t="s">
        <v>61</v>
      </c>
      <c r="G791" s="8" t="s">
        <v>139</v>
      </c>
      <c r="H791" s="8" t="s">
        <v>81</v>
      </c>
      <c r="I791" s="12">
        <v>2.6352835169016195E-2</v>
      </c>
      <c r="J791" s="8" t="s">
        <v>61</v>
      </c>
    </row>
    <row r="792" spans="2:10" x14ac:dyDescent="0.45">
      <c r="B792" s="9" t="s">
        <v>119</v>
      </c>
      <c r="C792" s="9" t="s">
        <v>82</v>
      </c>
      <c r="D792" s="11">
        <v>2.6613582064840331E-2</v>
      </c>
      <c r="E792" s="9" t="s">
        <v>61</v>
      </c>
      <c r="G792" s="9" t="s">
        <v>139</v>
      </c>
      <c r="H792" s="9" t="s">
        <v>82</v>
      </c>
      <c r="I792" s="13">
        <v>1.0530532629591659E-2</v>
      </c>
      <c r="J792" s="9" t="s">
        <v>61</v>
      </c>
    </row>
    <row r="793" spans="2:10" x14ac:dyDescent="0.45">
      <c r="B793" s="8" t="s">
        <v>119</v>
      </c>
      <c r="C793" s="8" t="s">
        <v>83</v>
      </c>
      <c r="D793" s="10">
        <v>6.0797085485096269E-2</v>
      </c>
      <c r="E793" s="8" t="s">
        <v>61</v>
      </c>
      <c r="G793" s="8" t="s">
        <v>139</v>
      </c>
      <c r="H793" s="8" t="s">
        <v>83</v>
      </c>
      <c r="I793" s="12">
        <v>9.2618770407241618E-3</v>
      </c>
      <c r="J793" s="8" t="s">
        <v>61</v>
      </c>
    </row>
    <row r="794" spans="2:10" x14ac:dyDescent="0.45">
      <c r="B794" s="9" t="s">
        <v>119</v>
      </c>
      <c r="C794" s="9" t="s">
        <v>84</v>
      </c>
      <c r="D794" s="11">
        <v>7.5256242052699415E-2</v>
      </c>
      <c r="E794" s="9" t="s">
        <v>61</v>
      </c>
      <c r="G794" s="9" t="s">
        <v>139</v>
      </c>
      <c r="H794" s="9" t="s">
        <v>84</v>
      </c>
      <c r="I794" s="13">
        <v>1.1046293865345697E-2</v>
      </c>
      <c r="J794" s="9" t="s">
        <v>61</v>
      </c>
    </row>
    <row r="795" spans="2:10" x14ac:dyDescent="0.45">
      <c r="B795" s="8" t="s">
        <v>119</v>
      </c>
      <c r="C795" s="8" t="s">
        <v>85</v>
      </c>
      <c r="D795" s="10">
        <v>7.5087000882795338E-2</v>
      </c>
      <c r="E795" s="8" t="s">
        <v>61</v>
      </c>
      <c r="G795" s="8" t="s">
        <v>139</v>
      </c>
      <c r="H795" s="8" t="s">
        <v>85</v>
      </c>
      <c r="I795" s="12">
        <v>8.9253190955281749E-3</v>
      </c>
      <c r="J795" s="8" t="s">
        <v>61</v>
      </c>
    </row>
    <row r="796" spans="2:10" x14ac:dyDescent="0.45">
      <c r="B796" s="9" t="s">
        <v>119</v>
      </c>
      <c r="C796" s="9" t="s">
        <v>86</v>
      </c>
      <c r="D796" s="11">
        <v>7.2429596652180586E-2</v>
      </c>
      <c r="E796" s="9" t="s">
        <v>61</v>
      </c>
      <c r="G796" s="9" t="s">
        <v>139</v>
      </c>
      <c r="H796" s="9" t="s">
        <v>86</v>
      </c>
      <c r="I796" s="13">
        <v>9.702774557380292E-3</v>
      </c>
      <c r="J796" s="9" t="s">
        <v>61</v>
      </c>
    </row>
    <row r="797" spans="2:10" x14ac:dyDescent="0.45">
      <c r="B797" s="8" t="s">
        <v>119</v>
      </c>
      <c r="C797" s="8" t="s">
        <v>87</v>
      </c>
      <c r="D797" s="10">
        <v>6.2064937242030244E-2</v>
      </c>
      <c r="E797" s="8" t="s">
        <v>61</v>
      </c>
      <c r="G797" s="8" t="s">
        <v>139</v>
      </c>
      <c r="H797" s="8" t="s">
        <v>87</v>
      </c>
      <c r="I797" s="12">
        <v>1.0071548243728126E-2</v>
      </c>
      <c r="J797" s="8" t="s">
        <v>61</v>
      </c>
    </row>
    <row r="798" spans="2:10" x14ac:dyDescent="0.45">
      <c r="B798" s="9" t="s">
        <v>119</v>
      </c>
      <c r="C798" s="9" t="s">
        <v>88</v>
      </c>
      <c r="D798" s="11">
        <v>4.0589213879002689E-2</v>
      </c>
      <c r="E798" s="9" t="s">
        <v>61</v>
      </c>
      <c r="G798" s="9" t="s">
        <v>139</v>
      </c>
      <c r="H798" s="9" t="s">
        <v>88</v>
      </c>
      <c r="I798" s="13">
        <v>9.1763535294169044E-3</v>
      </c>
      <c r="J798" s="9" t="s">
        <v>61</v>
      </c>
    </row>
    <row r="799" spans="2:10" x14ac:dyDescent="0.45">
      <c r="B799" s="8" t="s">
        <v>119</v>
      </c>
      <c r="C799" s="8" t="s">
        <v>89</v>
      </c>
      <c r="D799" s="10">
        <v>9.8164727325976264E-3</v>
      </c>
      <c r="E799" s="8" t="s">
        <v>61</v>
      </c>
      <c r="G799" s="8" t="s">
        <v>139</v>
      </c>
      <c r="H799" s="8" t="s">
        <v>89</v>
      </c>
      <c r="I799" s="12">
        <v>1.0453327329964597E-2</v>
      </c>
      <c r="J799" s="8" t="s">
        <v>61</v>
      </c>
    </row>
    <row r="800" spans="2:10" x14ac:dyDescent="0.45">
      <c r="B800" s="9" t="s">
        <v>119</v>
      </c>
      <c r="C800" s="9" t="s">
        <v>90</v>
      </c>
      <c r="D800" s="11">
        <v>0</v>
      </c>
      <c r="E800" s="9" t="s">
        <v>61</v>
      </c>
      <c r="G800" s="9" t="s">
        <v>139</v>
      </c>
      <c r="H800" s="9" t="s">
        <v>90</v>
      </c>
      <c r="I800" s="13">
        <v>1.7531619909674445E-2</v>
      </c>
      <c r="J800" s="9" t="s">
        <v>61</v>
      </c>
    </row>
    <row r="801" spans="2:10" x14ac:dyDescent="0.45">
      <c r="B801" s="8" t="s">
        <v>119</v>
      </c>
      <c r="C801" s="8" t="s">
        <v>91</v>
      </c>
      <c r="D801" s="10">
        <v>0</v>
      </c>
      <c r="E801" s="8" t="s">
        <v>61</v>
      </c>
      <c r="G801" s="8" t="s">
        <v>139</v>
      </c>
      <c r="H801" s="8" t="s">
        <v>91</v>
      </c>
      <c r="I801" s="12">
        <v>5.5299047191461032E-2</v>
      </c>
      <c r="J801" s="8" t="s">
        <v>61</v>
      </c>
    </row>
    <row r="802" spans="2:10" x14ac:dyDescent="0.45">
      <c r="B802" s="9" t="s">
        <v>119</v>
      </c>
      <c r="C802" s="9" t="s">
        <v>92</v>
      </c>
      <c r="D802" s="11">
        <v>1.7239329126335552E-3</v>
      </c>
      <c r="E802" s="9" t="s">
        <v>61</v>
      </c>
      <c r="G802" s="9" t="s">
        <v>139</v>
      </c>
      <c r="H802" s="9" t="s">
        <v>92</v>
      </c>
      <c r="I802" s="13">
        <v>2.1935821133174993E-2</v>
      </c>
      <c r="J802" s="9" t="s">
        <v>61</v>
      </c>
    </row>
    <row r="803" spans="2:10" x14ac:dyDescent="0.45">
      <c r="B803" s="8" t="s">
        <v>119</v>
      </c>
      <c r="C803" s="8" t="s">
        <v>93</v>
      </c>
      <c r="D803" s="10">
        <v>1.8852568141885257E-2</v>
      </c>
      <c r="E803" s="8" t="s">
        <v>61</v>
      </c>
      <c r="G803" s="8" t="s">
        <v>139</v>
      </c>
      <c r="H803" s="8" t="s">
        <v>93</v>
      </c>
      <c r="I803" s="12">
        <v>2.1520639174333032E-2</v>
      </c>
      <c r="J803" s="8" t="s">
        <v>61</v>
      </c>
    </row>
    <row r="804" spans="2:10" x14ac:dyDescent="0.45">
      <c r="B804" s="9" t="s">
        <v>119</v>
      </c>
      <c r="C804" s="9" t="s">
        <v>94</v>
      </c>
      <c r="D804" s="11">
        <v>3.6588898710586043E-2</v>
      </c>
      <c r="E804" s="9" t="s">
        <v>61</v>
      </c>
      <c r="G804" s="9" t="s">
        <v>139</v>
      </c>
      <c r="H804" s="9" t="s">
        <v>94</v>
      </c>
      <c r="I804" s="13">
        <v>2.1566189703114746E-2</v>
      </c>
      <c r="J804" s="9" t="s">
        <v>61</v>
      </c>
    </row>
    <row r="805" spans="2:10" x14ac:dyDescent="0.45">
      <c r="B805" s="8" t="s">
        <v>119</v>
      </c>
      <c r="C805" s="8" t="s">
        <v>95</v>
      </c>
      <c r="D805" s="10">
        <v>3.933672663113523E-2</v>
      </c>
      <c r="E805" s="8" t="s">
        <v>61</v>
      </c>
      <c r="G805" s="8" t="s">
        <v>139</v>
      </c>
      <c r="H805" s="8" t="s">
        <v>95</v>
      </c>
      <c r="I805" s="12">
        <v>2.0524404094818198E-2</v>
      </c>
      <c r="J805" s="8" t="s">
        <v>61</v>
      </c>
    </row>
    <row r="806" spans="2:10" x14ac:dyDescent="0.45">
      <c r="B806" s="9" t="s">
        <v>119</v>
      </c>
      <c r="C806" s="9" t="s">
        <v>96</v>
      </c>
      <c r="D806" s="11">
        <v>3.7088684662262464E-2</v>
      </c>
      <c r="E806" s="9" t="s">
        <v>61</v>
      </c>
      <c r="G806" s="9" t="s">
        <v>139</v>
      </c>
      <c r="H806" s="9" t="s">
        <v>96</v>
      </c>
      <c r="I806" s="13">
        <v>2.3042586860535556E-2</v>
      </c>
      <c r="J806" s="9" t="s">
        <v>61</v>
      </c>
    </row>
    <row r="807" spans="2:10" x14ac:dyDescent="0.45">
      <c r="B807" s="8" t="s">
        <v>119</v>
      </c>
      <c r="C807" s="8" t="s">
        <v>97</v>
      </c>
      <c r="D807" s="10">
        <v>2.3584131939111224E-2</v>
      </c>
      <c r="E807" s="8" t="s">
        <v>61</v>
      </c>
      <c r="G807" s="8" t="s">
        <v>139</v>
      </c>
      <c r="H807" s="8" t="s">
        <v>97</v>
      </c>
      <c r="I807" s="12">
        <v>2.2963292026446806E-2</v>
      </c>
      <c r="J807" s="8" t="s">
        <v>61</v>
      </c>
    </row>
    <row r="808" spans="2:10" x14ac:dyDescent="0.45">
      <c r="B808" s="9" t="s">
        <v>119</v>
      </c>
      <c r="C808" s="9" t="s">
        <v>98</v>
      </c>
      <c r="D808" s="11">
        <v>6.1394137174750575E-3</v>
      </c>
      <c r="E808" s="9" t="s">
        <v>61</v>
      </c>
      <c r="G808" s="9" t="s">
        <v>139</v>
      </c>
      <c r="H808" s="9" t="s">
        <v>98</v>
      </c>
      <c r="I808" s="13">
        <v>2.4139560015465227E-2</v>
      </c>
      <c r="J808" s="9" t="s">
        <v>61</v>
      </c>
    </row>
    <row r="809" spans="2:10" x14ac:dyDescent="0.45">
      <c r="B809" s="8" t="s">
        <v>119</v>
      </c>
      <c r="C809" s="8" t="s">
        <v>99</v>
      </c>
      <c r="D809" s="10">
        <v>0</v>
      </c>
      <c r="E809" s="8" t="s">
        <v>61</v>
      </c>
      <c r="G809" s="8" t="s">
        <v>139</v>
      </c>
      <c r="H809" s="8" t="s">
        <v>99</v>
      </c>
      <c r="I809" s="12">
        <v>2.4310445416885321E-2</v>
      </c>
      <c r="J809" s="8" t="s">
        <v>61</v>
      </c>
    </row>
    <row r="810" spans="2:10" x14ac:dyDescent="0.45">
      <c r="B810" s="9" t="s">
        <v>119</v>
      </c>
      <c r="C810" s="9" t="s">
        <v>100</v>
      </c>
      <c r="D810" s="11">
        <v>0</v>
      </c>
      <c r="E810" s="9" t="s">
        <v>61</v>
      </c>
      <c r="G810" s="9" t="s">
        <v>139</v>
      </c>
      <c r="H810" s="9" t="s">
        <v>100</v>
      </c>
      <c r="I810" s="13">
        <v>3.5526012620983996E-2</v>
      </c>
      <c r="J810" s="9" t="s">
        <v>61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4FB7E-DE80-4605-8646-65DEC284D510}">
  <dimension ref="A1:FT60"/>
  <sheetViews>
    <sheetView workbookViewId="0">
      <selection sqref="A1:AN1"/>
    </sheetView>
  </sheetViews>
  <sheetFormatPr defaultRowHeight="14.25" x14ac:dyDescent="0.45"/>
  <cols>
    <col min="2" max="2" width="20" bestFit="1" customWidth="1"/>
    <col min="3" max="3" width="10.59765625" bestFit="1" customWidth="1"/>
    <col min="4" max="43" width="10.59765625" customWidth="1"/>
    <col min="45" max="45" width="10.59765625" customWidth="1"/>
    <col min="46" max="46" width="10.59765625" bestFit="1" customWidth="1"/>
    <col min="47" max="86" width="10.59765625" customWidth="1"/>
    <col min="88" max="88" width="10.59765625" customWidth="1"/>
    <col min="89" max="89" width="10.59765625" bestFit="1" customWidth="1"/>
    <col min="90" max="129" width="10.59765625" customWidth="1"/>
    <col min="131" max="131" width="20" bestFit="1" customWidth="1"/>
    <col min="132" max="171" width="10.59765625" customWidth="1"/>
    <col min="173" max="173" width="20" bestFit="1" customWidth="1"/>
    <col min="174" max="174" width="10.59765625" bestFit="1" customWidth="1"/>
    <col min="175" max="175" width="12.6640625" bestFit="1" customWidth="1"/>
    <col min="176" max="176" width="10.59765625" customWidth="1"/>
  </cols>
  <sheetData>
    <row r="1" spans="1:176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</row>
    <row r="9" spans="1:176" ht="14.65" thickBot="1" x14ac:dyDescent="0.5">
      <c r="B9" s="6" t="str">
        <f>IF(A11="x","DeActivated","~TFM_DINS-TSL: attribute=FLO_EMIS; other_indexes=ACT")</f>
        <v>~TFM_DINS-TSL: attribute=FLO_EMIS; other_indexes=ACT</v>
      </c>
      <c r="AS9" s="6" t="str">
        <f>IF(A11="x","DeActivated","~TFM_INS-TSL: attribute=FLO_SHAR; limtype=FX")</f>
        <v>~TFM_INS-TSL: attribute=FLO_SHAR; limtype=FX</v>
      </c>
      <c r="CJ9" s="6" t="str">
        <f>IF(A11="x","DeActivated","~TFM_INS-TSL: attribute=FLO_SHAR; limtype=FX")</f>
        <v>~TFM_INS-TSL: attribute=FLO_SHAR; limtype=FX</v>
      </c>
      <c r="EA9" s="6" t="str">
        <f>IF(A11="x","DeActivated","~TFM_DINS-TSL: attribute=NCAP_PKCNT")</f>
        <v>~TFM_DINS-TSL: attribute=NCAP_PKCNT</v>
      </c>
      <c r="FQ9" s="6" t="str">
        <f>IF(A11="x","DeActivated","~TFM_DINS-AT")</f>
        <v>~TFM_DINS-AT</v>
      </c>
    </row>
    <row r="10" spans="1:176" ht="15.75" thickBot="1" x14ac:dyDescent="0.6">
      <c r="B10" s="7" t="s">
        <v>58</v>
      </c>
      <c r="C10" s="7" t="s">
        <v>55</v>
      </c>
      <c r="D10" s="7" t="s">
        <v>60</v>
      </c>
      <c r="E10" s="7" t="s">
        <v>62</v>
      </c>
      <c r="F10" s="7" t="s">
        <v>63</v>
      </c>
      <c r="G10" s="7" t="s">
        <v>64</v>
      </c>
      <c r="H10" s="7" t="s">
        <v>65</v>
      </c>
      <c r="I10" s="7" t="s">
        <v>66</v>
      </c>
      <c r="J10" s="7" t="s">
        <v>67</v>
      </c>
      <c r="K10" s="7" t="s">
        <v>68</v>
      </c>
      <c r="L10" s="7" t="s">
        <v>69</v>
      </c>
      <c r="M10" s="7" t="s">
        <v>70</v>
      </c>
      <c r="N10" s="7" t="s">
        <v>71</v>
      </c>
      <c r="O10" s="7" t="s">
        <v>72</v>
      </c>
      <c r="P10" s="7" t="s">
        <v>73</v>
      </c>
      <c r="Q10" s="7" t="s">
        <v>74</v>
      </c>
      <c r="R10" s="7" t="s">
        <v>75</v>
      </c>
      <c r="S10" s="7" t="s">
        <v>76</v>
      </c>
      <c r="T10" s="7" t="s">
        <v>77</v>
      </c>
      <c r="U10" s="7" t="s">
        <v>78</v>
      </c>
      <c r="V10" s="7" t="s">
        <v>79</v>
      </c>
      <c r="W10" s="7" t="s">
        <v>80</v>
      </c>
      <c r="X10" s="7" t="s">
        <v>81</v>
      </c>
      <c r="Y10" s="7" t="s">
        <v>82</v>
      </c>
      <c r="Z10" s="7" t="s">
        <v>83</v>
      </c>
      <c r="AA10" s="7" t="s">
        <v>84</v>
      </c>
      <c r="AB10" s="7" t="s">
        <v>85</v>
      </c>
      <c r="AC10" s="7" t="s">
        <v>86</v>
      </c>
      <c r="AD10" s="7" t="s">
        <v>87</v>
      </c>
      <c r="AE10" s="7" t="s">
        <v>88</v>
      </c>
      <c r="AF10" s="7" t="s">
        <v>89</v>
      </c>
      <c r="AG10" s="7" t="s">
        <v>90</v>
      </c>
      <c r="AH10" s="7" t="s">
        <v>91</v>
      </c>
      <c r="AI10" s="7" t="s">
        <v>92</v>
      </c>
      <c r="AJ10" s="7" t="s">
        <v>93</v>
      </c>
      <c r="AK10" s="7" t="s">
        <v>94</v>
      </c>
      <c r="AL10" s="7" t="s">
        <v>95</v>
      </c>
      <c r="AM10" s="7" t="s">
        <v>96</v>
      </c>
      <c r="AN10" s="7" t="s">
        <v>97</v>
      </c>
      <c r="AO10" s="7" t="s">
        <v>98</v>
      </c>
      <c r="AP10" s="7" t="s">
        <v>99</v>
      </c>
      <c r="AQ10" s="7" t="s">
        <v>100</v>
      </c>
      <c r="AS10" s="7" t="s">
        <v>58</v>
      </c>
      <c r="AT10" s="7" t="s">
        <v>55</v>
      </c>
      <c r="AU10" s="7" t="s">
        <v>60</v>
      </c>
      <c r="AV10" s="7" t="s">
        <v>62</v>
      </c>
      <c r="AW10" s="7" t="s">
        <v>63</v>
      </c>
      <c r="AX10" s="7" t="s">
        <v>64</v>
      </c>
      <c r="AY10" s="7" t="s">
        <v>65</v>
      </c>
      <c r="AZ10" s="7" t="s">
        <v>66</v>
      </c>
      <c r="BA10" s="7" t="s">
        <v>67</v>
      </c>
      <c r="BB10" s="7" t="s">
        <v>68</v>
      </c>
      <c r="BC10" s="7" t="s">
        <v>69</v>
      </c>
      <c r="BD10" s="7" t="s">
        <v>70</v>
      </c>
      <c r="BE10" s="7" t="s">
        <v>71</v>
      </c>
      <c r="BF10" s="7" t="s">
        <v>72</v>
      </c>
      <c r="BG10" s="7" t="s">
        <v>73</v>
      </c>
      <c r="BH10" s="7" t="s">
        <v>74</v>
      </c>
      <c r="BI10" s="7" t="s">
        <v>75</v>
      </c>
      <c r="BJ10" s="7" t="s">
        <v>76</v>
      </c>
      <c r="BK10" s="7" t="s">
        <v>77</v>
      </c>
      <c r="BL10" s="7" t="s">
        <v>78</v>
      </c>
      <c r="BM10" s="7" t="s">
        <v>79</v>
      </c>
      <c r="BN10" s="7" t="s">
        <v>80</v>
      </c>
      <c r="BO10" s="7" t="s">
        <v>81</v>
      </c>
      <c r="BP10" s="7" t="s">
        <v>82</v>
      </c>
      <c r="BQ10" s="7" t="s">
        <v>83</v>
      </c>
      <c r="BR10" s="7" t="s">
        <v>84</v>
      </c>
      <c r="BS10" s="7" t="s">
        <v>85</v>
      </c>
      <c r="BT10" s="7" t="s">
        <v>86</v>
      </c>
      <c r="BU10" s="7" t="s">
        <v>87</v>
      </c>
      <c r="BV10" s="7" t="s">
        <v>88</v>
      </c>
      <c r="BW10" s="7" t="s">
        <v>89</v>
      </c>
      <c r="BX10" s="7" t="s">
        <v>90</v>
      </c>
      <c r="BY10" s="7" t="s">
        <v>91</v>
      </c>
      <c r="BZ10" s="7" t="s">
        <v>92</v>
      </c>
      <c r="CA10" s="7" t="s">
        <v>93</v>
      </c>
      <c r="CB10" s="7" t="s">
        <v>94</v>
      </c>
      <c r="CC10" s="7" t="s">
        <v>95</v>
      </c>
      <c r="CD10" s="7" t="s">
        <v>96</v>
      </c>
      <c r="CE10" s="7" t="s">
        <v>97</v>
      </c>
      <c r="CF10" s="7" t="s">
        <v>98</v>
      </c>
      <c r="CG10" s="7" t="s">
        <v>99</v>
      </c>
      <c r="CH10" s="7" t="s">
        <v>100</v>
      </c>
      <c r="CJ10" s="7" t="s">
        <v>58</v>
      </c>
      <c r="CK10" s="7" t="s">
        <v>55</v>
      </c>
      <c r="CL10" s="7" t="s">
        <v>60</v>
      </c>
      <c r="CM10" s="7" t="s">
        <v>62</v>
      </c>
      <c r="CN10" s="7" t="s">
        <v>63</v>
      </c>
      <c r="CO10" s="7" t="s">
        <v>64</v>
      </c>
      <c r="CP10" s="7" t="s">
        <v>65</v>
      </c>
      <c r="CQ10" s="7" t="s">
        <v>66</v>
      </c>
      <c r="CR10" s="7" t="s">
        <v>67</v>
      </c>
      <c r="CS10" s="7" t="s">
        <v>68</v>
      </c>
      <c r="CT10" s="7" t="s">
        <v>69</v>
      </c>
      <c r="CU10" s="7" t="s">
        <v>70</v>
      </c>
      <c r="CV10" s="7" t="s">
        <v>71</v>
      </c>
      <c r="CW10" s="7" t="s">
        <v>72</v>
      </c>
      <c r="CX10" s="7" t="s">
        <v>73</v>
      </c>
      <c r="CY10" s="7" t="s">
        <v>74</v>
      </c>
      <c r="CZ10" s="7" t="s">
        <v>75</v>
      </c>
      <c r="DA10" s="7" t="s">
        <v>76</v>
      </c>
      <c r="DB10" s="7" t="s">
        <v>77</v>
      </c>
      <c r="DC10" s="7" t="s">
        <v>78</v>
      </c>
      <c r="DD10" s="7" t="s">
        <v>79</v>
      </c>
      <c r="DE10" s="7" t="s">
        <v>80</v>
      </c>
      <c r="DF10" s="7" t="s">
        <v>81</v>
      </c>
      <c r="DG10" s="7" t="s">
        <v>82</v>
      </c>
      <c r="DH10" s="7" t="s">
        <v>83</v>
      </c>
      <c r="DI10" s="7" t="s">
        <v>84</v>
      </c>
      <c r="DJ10" s="7" t="s">
        <v>85</v>
      </c>
      <c r="DK10" s="7" t="s">
        <v>86</v>
      </c>
      <c r="DL10" s="7" t="s">
        <v>87</v>
      </c>
      <c r="DM10" s="7" t="s">
        <v>88</v>
      </c>
      <c r="DN10" s="7" t="s">
        <v>89</v>
      </c>
      <c r="DO10" s="7" t="s">
        <v>90</v>
      </c>
      <c r="DP10" s="7" t="s">
        <v>91</v>
      </c>
      <c r="DQ10" s="7" t="s">
        <v>92</v>
      </c>
      <c r="DR10" s="7" t="s">
        <v>93</v>
      </c>
      <c r="DS10" s="7" t="s">
        <v>94</v>
      </c>
      <c r="DT10" s="7" t="s">
        <v>95</v>
      </c>
      <c r="DU10" s="7" t="s">
        <v>96</v>
      </c>
      <c r="DV10" s="7" t="s">
        <v>97</v>
      </c>
      <c r="DW10" s="7" t="s">
        <v>98</v>
      </c>
      <c r="DX10" s="7" t="s">
        <v>99</v>
      </c>
      <c r="DY10" s="7" t="s">
        <v>100</v>
      </c>
      <c r="EA10" s="7" t="s">
        <v>58</v>
      </c>
      <c r="EB10" s="7" t="s">
        <v>60</v>
      </c>
      <c r="EC10" s="7" t="s">
        <v>62</v>
      </c>
      <c r="ED10" s="7" t="s">
        <v>63</v>
      </c>
      <c r="EE10" s="7" t="s">
        <v>64</v>
      </c>
      <c r="EF10" s="7" t="s">
        <v>65</v>
      </c>
      <c r="EG10" s="7" t="s">
        <v>66</v>
      </c>
      <c r="EH10" s="7" t="s">
        <v>67</v>
      </c>
      <c r="EI10" s="7" t="s">
        <v>68</v>
      </c>
      <c r="EJ10" s="7" t="s">
        <v>69</v>
      </c>
      <c r="EK10" s="7" t="s">
        <v>70</v>
      </c>
      <c r="EL10" s="7" t="s">
        <v>71</v>
      </c>
      <c r="EM10" s="7" t="s">
        <v>72</v>
      </c>
      <c r="EN10" s="7" t="s">
        <v>73</v>
      </c>
      <c r="EO10" s="7" t="s">
        <v>74</v>
      </c>
      <c r="EP10" s="7" t="s">
        <v>75</v>
      </c>
      <c r="EQ10" s="7" t="s">
        <v>76</v>
      </c>
      <c r="ER10" s="7" t="s">
        <v>77</v>
      </c>
      <c r="ES10" s="7" t="s">
        <v>78</v>
      </c>
      <c r="ET10" s="7" t="s">
        <v>79</v>
      </c>
      <c r="EU10" s="7" t="s">
        <v>80</v>
      </c>
      <c r="EV10" s="7" t="s">
        <v>81</v>
      </c>
      <c r="EW10" s="7" t="s">
        <v>82</v>
      </c>
      <c r="EX10" s="7" t="s">
        <v>83</v>
      </c>
      <c r="EY10" s="7" t="s">
        <v>84</v>
      </c>
      <c r="EZ10" s="7" t="s">
        <v>85</v>
      </c>
      <c r="FA10" s="7" t="s">
        <v>86</v>
      </c>
      <c r="FB10" s="7" t="s">
        <v>87</v>
      </c>
      <c r="FC10" s="7" t="s">
        <v>88</v>
      </c>
      <c r="FD10" s="7" t="s">
        <v>89</v>
      </c>
      <c r="FE10" s="7" t="s">
        <v>90</v>
      </c>
      <c r="FF10" s="7" t="s">
        <v>91</v>
      </c>
      <c r="FG10" s="7" t="s">
        <v>92</v>
      </c>
      <c r="FH10" s="7" t="s">
        <v>93</v>
      </c>
      <c r="FI10" s="7" t="s">
        <v>94</v>
      </c>
      <c r="FJ10" s="7" t="s">
        <v>95</v>
      </c>
      <c r="FK10" s="7" t="s">
        <v>96</v>
      </c>
      <c r="FL10" s="7" t="s">
        <v>97</v>
      </c>
      <c r="FM10" s="7" t="s">
        <v>98</v>
      </c>
      <c r="FN10" s="7" t="s">
        <v>99</v>
      </c>
      <c r="FO10" s="7" t="s">
        <v>100</v>
      </c>
      <c r="FQ10" s="7" t="s">
        <v>58</v>
      </c>
      <c r="FR10" s="7" t="s">
        <v>55</v>
      </c>
      <c r="FS10" s="7" t="s">
        <v>205</v>
      </c>
      <c r="FT10" s="7" t="s">
        <v>206</v>
      </c>
    </row>
    <row r="11" spans="1:176" x14ac:dyDescent="0.45">
      <c r="B11" s="8" t="s">
        <v>150</v>
      </c>
      <c r="C11" s="8" t="s">
        <v>31</v>
      </c>
      <c r="D11" s="12">
        <v>0</v>
      </c>
      <c r="E11" s="12">
        <v>0</v>
      </c>
      <c r="F11" s="12">
        <v>0.91605246501325344</v>
      </c>
      <c r="G11" s="12">
        <v>0.35380572658697956</v>
      </c>
      <c r="H11" s="12">
        <v>0.22936474679861485</v>
      </c>
      <c r="I11" s="12">
        <v>0.24132728234442211</v>
      </c>
      <c r="J11" s="12">
        <v>0.35712865865412624</v>
      </c>
      <c r="K11" s="12">
        <v>0.83253562620274646</v>
      </c>
      <c r="L11" s="12">
        <v>0</v>
      </c>
      <c r="M11" s="12">
        <v>0</v>
      </c>
      <c r="N11" s="12">
        <v>0</v>
      </c>
      <c r="O11" s="12">
        <v>0.66227774627104141</v>
      </c>
      <c r="P11" s="12">
        <v>0.34503318935597899</v>
      </c>
      <c r="Q11" s="12">
        <v>0.2387573941940897</v>
      </c>
      <c r="R11" s="12">
        <v>0.1783985512010455</v>
      </c>
      <c r="S11" s="12">
        <v>0.17531802519064613</v>
      </c>
      <c r="T11" s="12">
        <v>0.24100066238615969</v>
      </c>
      <c r="U11" s="12">
        <v>0.29758670669424281</v>
      </c>
      <c r="V11" s="12">
        <v>0.66678452453010029</v>
      </c>
      <c r="W11" s="12">
        <v>0</v>
      </c>
      <c r="X11" s="12">
        <v>0</v>
      </c>
      <c r="Y11" s="12">
        <v>0.37263933310633918</v>
      </c>
      <c r="Z11" s="12">
        <v>0.20354657238794951</v>
      </c>
      <c r="AA11" s="12">
        <v>0.15404537329546461</v>
      </c>
      <c r="AB11" s="12">
        <v>0.11986117261375867</v>
      </c>
      <c r="AC11" s="12">
        <v>0.12232896243888608</v>
      </c>
      <c r="AD11" s="12">
        <v>0.1486328106457763</v>
      </c>
      <c r="AE11" s="12">
        <v>0.19465926986663803</v>
      </c>
      <c r="AF11" s="12">
        <v>0.35836427145786992</v>
      </c>
      <c r="AG11" s="12">
        <v>0</v>
      </c>
      <c r="AH11" s="12">
        <v>0</v>
      </c>
      <c r="AI11" s="12">
        <v>0.96703296703296726</v>
      </c>
      <c r="AJ11" s="12">
        <v>0.56886617423193298</v>
      </c>
      <c r="AK11" s="12">
        <v>0.35405640640891922</v>
      </c>
      <c r="AL11" s="12">
        <v>0.25672149366744024</v>
      </c>
      <c r="AM11" s="12">
        <v>0.27119191275600557</v>
      </c>
      <c r="AN11" s="12">
        <v>0.34546110541338382</v>
      </c>
      <c r="AO11" s="12">
        <v>0.62060676767866751</v>
      </c>
      <c r="AP11" s="12">
        <v>0.98590742923521968</v>
      </c>
      <c r="AQ11" s="12">
        <v>0</v>
      </c>
      <c r="AS11" s="8" t="s">
        <v>200</v>
      </c>
      <c r="AT11" s="8" t="s">
        <v>201</v>
      </c>
      <c r="AU11" s="12">
        <v>0</v>
      </c>
      <c r="AV11" s="14">
        <v>0</v>
      </c>
      <c r="AW11" s="12">
        <v>0.62431927481636251</v>
      </c>
      <c r="AX11" s="12">
        <v>0.16161743548798815</v>
      </c>
      <c r="AY11" s="10">
        <v>9.5798083382270222E-2</v>
      </c>
      <c r="AZ11" s="12">
        <v>2.5633156524337376E-2</v>
      </c>
      <c r="BA11" s="12">
        <v>1.5312141165989716E-2</v>
      </c>
      <c r="BB11" s="12">
        <v>5.9488559501446027E-2</v>
      </c>
      <c r="BC11" s="10">
        <v>0</v>
      </c>
      <c r="BD11" s="14">
        <v>0</v>
      </c>
      <c r="BE11" s="12">
        <v>0.94250624304540986</v>
      </c>
      <c r="BF11" s="12">
        <v>0.33540905381433189</v>
      </c>
      <c r="BG11" s="12">
        <v>0.13950147062646315</v>
      </c>
      <c r="BH11" s="12">
        <v>6.4769241832396268E-2</v>
      </c>
      <c r="BI11" s="12">
        <v>1.6485504837161616E-2</v>
      </c>
      <c r="BJ11" s="12">
        <v>0</v>
      </c>
      <c r="BK11" s="12">
        <v>0</v>
      </c>
      <c r="BL11" s="12">
        <v>2.597845155360014E-3</v>
      </c>
      <c r="BM11" s="12">
        <v>0.13576488029813452</v>
      </c>
      <c r="BN11" s="12">
        <v>0</v>
      </c>
      <c r="BO11" s="12">
        <v>0.8263566139719829</v>
      </c>
      <c r="BP11" s="12">
        <v>0.14939302601925006</v>
      </c>
      <c r="BQ11" s="12">
        <v>7.0918022346216983E-2</v>
      </c>
      <c r="BR11" s="12">
        <v>2.8566957013399726E-2</v>
      </c>
      <c r="BS11" s="12">
        <v>3.0757118720488854E-3</v>
      </c>
      <c r="BT11" s="12">
        <v>3.9986817424906779E-3</v>
      </c>
      <c r="BU11" s="12">
        <v>3.6116149118944579E-3</v>
      </c>
      <c r="BV11" s="14">
        <v>9.1433292894983476E-3</v>
      </c>
      <c r="BW11" s="12">
        <v>6.4965703894723795E-2</v>
      </c>
      <c r="BX11" s="12">
        <v>0</v>
      </c>
      <c r="BY11" s="14">
        <v>0</v>
      </c>
      <c r="BZ11" s="12">
        <v>0.77980221383292203</v>
      </c>
      <c r="CA11" s="12">
        <v>0.27687915755121778</v>
      </c>
      <c r="CB11" s="12">
        <v>0.16496811638188794</v>
      </c>
      <c r="CC11" s="12">
        <v>4.0557294739800465E-2</v>
      </c>
      <c r="CD11" s="14">
        <v>0</v>
      </c>
      <c r="CE11" s="14">
        <v>3.6352601206267169E-3</v>
      </c>
      <c r="CF11" s="12">
        <v>1.432693131704324E-2</v>
      </c>
      <c r="CG11" s="12">
        <v>1.641999886204289E-2</v>
      </c>
      <c r="CH11" s="14">
        <v>0</v>
      </c>
      <c r="CJ11" s="8" t="s">
        <v>200</v>
      </c>
      <c r="CK11" s="8" t="s">
        <v>204</v>
      </c>
      <c r="CL11" s="12">
        <v>0</v>
      </c>
      <c r="CM11" s="12">
        <v>0</v>
      </c>
      <c r="CN11" s="12">
        <v>0</v>
      </c>
      <c r="CO11" s="12">
        <v>0</v>
      </c>
      <c r="CP11" s="12">
        <v>1.0169534346908832E-2</v>
      </c>
      <c r="CQ11" s="12">
        <v>8.7293608126390018E-2</v>
      </c>
      <c r="CR11" s="12">
        <v>0.21900541966205225</v>
      </c>
      <c r="CS11" s="12">
        <v>0.3368562913111306</v>
      </c>
      <c r="CT11" s="12">
        <v>0</v>
      </c>
      <c r="CU11" s="12">
        <v>0</v>
      </c>
      <c r="CV11" s="12">
        <v>0</v>
      </c>
      <c r="CW11" s="12">
        <v>0</v>
      </c>
      <c r="CX11" s="12">
        <v>0</v>
      </c>
      <c r="CY11" s="12">
        <v>2.5067881471528063E-2</v>
      </c>
      <c r="CZ11" s="12">
        <v>4.9532533785687456E-2</v>
      </c>
      <c r="DA11" s="12">
        <v>7.1476981869438141E-2</v>
      </c>
      <c r="DB11" s="12">
        <v>6.4085684920638916E-2</v>
      </c>
      <c r="DC11" s="12">
        <v>2.8749030875642505E-2</v>
      </c>
      <c r="DD11" s="12">
        <v>0</v>
      </c>
      <c r="DE11" s="12">
        <v>0</v>
      </c>
      <c r="DF11" s="12">
        <v>0</v>
      </c>
      <c r="DG11" s="12">
        <v>0</v>
      </c>
      <c r="DH11" s="12">
        <v>0</v>
      </c>
      <c r="DI11" s="12">
        <v>2.8023277376635375E-2</v>
      </c>
      <c r="DJ11" s="12">
        <v>4.245641529398049E-2</v>
      </c>
      <c r="DK11" s="12">
        <v>3.3990744033408737E-2</v>
      </c>
      <c r="DL11" s="12">
        <v>2.326115812364583E-2</v>
      </c>
      <c r="DM11" s="12">
        <v>1.078630655678719E-2</v>
      </c>
      <c r="DN11" s="12">
        <v>2.1484094726353906E-2</v>
      </c>
      <c r="DO11" s="12">
        <v>0</v>
      </c>
      <c r="DP11" s="12">
        <v>0</v>
      </c>
      <c r="DQ11" s="12">
        <v>0</v>
      </c>
      <c r="DR11" s="12">
        <v>0</v>
      </c>
      <c r="DS11" s="12">
        <v>0</v>
      </c>
      <c r="DT11" s="12">
        <v>8.9742050254314074E-2</v>
      </c>
      <c r="DU11" s="12">
        <v>0.13919837104389338</v>
      </c>
      <c r="DV11" s="12">
        <v>0.14615827012871668</v>
      </c>
      <c r="DW11" s="12">
        <v>3.2877654147627472E-2</v>
      </c>
      <c r="DX11" s="12">
        <v>0</v>
      </c>
      <c r="DY11" s="12">
        <v>0</v>
      </c>
      <c r="EA11" s="8" t="s">
        <v>150</v>
      </c>
      <c r="EB11" s="12">
        <v>0</v>
      </c>
      <c r="EC11" s="12">
        <v>0</v>
      </c>
      <c r="ED11" s="12">
        <v>1.8740243000861458E-3</v>
      </c>
      <c r="EE11" s="12">
        <v>9.0663412866040086E-2</v>
      </c>
      <c r="EF11" s="12">
        <v>0.16789682686612148</v>
      </c>
      <c r="EG11" s="12">
        <v>0.16296820095413417</v>
      </c>
      <c r="EH11" s="12">
        <v>9.2850977407649651E-2</v>
      </c>
      <c r="EI11" s="12">
        <v>8.918967591772152E-3</v>
      </c>
      <c r="EJ11" s="12">
        <v>0</v>
      </c>
      <c r="EK11" s="12">
        <v>0</v>
      </c>
      <c r="EL11" s="10">
        <v>0</v>
      </c>
      <c r="EM11" s="12">
        <v>4.8617850268127177E-2</v>
      </c>
      <c r="EN11" s="12">
        <v>0.23158216456113787</v>
      </c>
      <c r="EO11" s="12">
        <v>0.40080649776597926</v>
      </c>
      <c r="EP11" s="12">
        <v>0.43569390696555943</v>
      </c>
      <c r="EQ11" s="12">
        <v>0.40154773106514835</v>
      </c>
      <c r="ER11" s="12">
        <v>0.3327889786417515</v>
      </c>
      <c r="ES11" s="12">
        <v>0.19450789226473042</v>
      </c>
      <c r="ET11" s="12">
        <v>3.4903472485621534E-2</v>
      </c>
      <c r="EU11" s="12">
        <v>0</v>
      </c>
      <c r="EV11" s="10">
        <v>0</v>
      </c>
      <c r="EW11" s="12">
        <v>0.10814315225120351</v>
      </c>
      <c r="EX11" s="12">
        <v>0.33389701786681969</v>
      </c>
      <c r="EY11" s="12">
        <v>0.47999781767055572</v>
      </c>
      <c r="EZ11" s="12">
        <v>0.4982273189005082</v>
      </c>
      <c r="FA11" s="12">
        <v>0.46592424159083101</v>
      </c>
      <c r="FB11" s="12">
        <v>0.41376314430577193</v>
      </c>
      <c r="FC11" s="12">
        <v>0.29177103522657338</v>
      </c>
      <c r="FD11" s="12">
        <v>0.10764074163074425</v>
      </c>
      <c r="FE11" s="12">
        <v>0</v>
      </c>
      <c r="FF11" s="12">
        <v>0</v>
      </c>
      <c r="FG11" s="12">
        <v>1.0888938890644348E-3</v>
      </c>
      <c r="FH11" s="12">
        <v>8.6622990153689655E-2</v>
      </c>
      <c r="FI11" s="12">
        <v>0.20919659142814076</v>
      </c>
      <c r="FJ11" s="12">
        <v>0.254709819996709</v>
      </c>
      <c r="FK11" s="12">
        <v>0.25973435323107508</v>
      </c>
      <c r="FL11" s="12">
        <v>0.19710957184878211</v>
      </c>
      <c r="FM11" s="12">
        <v>6.0699826148278284E-2</v>
      </c>
      <c r="FN11" s="10">
        <v>4.0107648959460151E-4</v>
      </c>
      <c r="FO11" s="12">
        <v>0</v>
      </c>
      <c r="FQ11" s="8" t="s">
        <v>150</v>
      </c>
      <c r="FR11" s="8" t="s">
        <v>207</v>
      </c>
      <c r="FS11" s="8" t="s">
        <v>208</v>
      </c>
      <c r="FT11" s="12">
        <v>0.46758682003227814</v>
      </c>
    </row>
    <row r="12" spans="1:176" x14ac:dyDescent="0.45">
      <c r="B12" s="9" t="s">
        <v>151</v>
      </c>
      <c r="C12" s="9" t="s">
        <v>31</v>
      </c>
      <c r="D12" s="13">
        <v>0</v>
      </c>
      <c r="E12" s="13">
        <v>0</v>
      </c>
      <c r="F12" s="13">
        <v>0.8861644653882621</v>
      </c>
      <c r="G12" s="13">
        <v>0.30994210004154682</v>
      </c>
      <c r="H12" s="13">
        <v>0.20375697399463694</v>
      </c>
      <c r="I12" s="13">
        <v>0.20916026310868052</v>
      </c>
      <c r="J12" s="13">
        <v>0.3087440589404935</v>
      </c>
      <c r="K12" s="13">
        <v>0.85048645449855997</v>
      </c>
      <c r="L12" s="13">
        <v>0</v>
      </c>
      <c r="M12" s="13">
        <v>0</v>
      </c>
      <c r="N12" s="13">
        <v>0</v>
      </c>
      <c r="O12" s="13">
        <v>0.65029312933392092</v>
      </c>
      <c r="P12" s="13">
        <v>0.35463603659277998</v>
      </c>
      <c r="Q12" s="13">
        <v>0.26356892722773906</v>
      </c>
      <c r="R12" s="13">
        <v>0.18430772789615624</v>
      </c>
      <c r="S12" s="13">
        <v>0.17447395345583325</v>
      </c>
      <c r="T12" s="13">
        <v>0.23347727638256965</v>
      </c>
      <c r="U12" s="13">
        <v>0.31879465298946819</v>
      </c>
      <c r="V12" s="13">
        <v>0.71738211153309417</v>
      </c>
      <c r="W12" s="13">
        <v>0</v>
      </c>
      <c r="X12" s="13">
        <v>0</v>
      </c>
      <c r="Y12" s="13">
        <v>0.39244430510410394</v>
      </c>
      <c r="Z12" s="13">
        <v>0.20976112847134323</v>
      </c>
      <c r="AA12" s="13">
        <v>0.16203979202919369</v>
      </c>
      <c r="AB12" s="13">
        <v>0.12923402099740411</v>
      </c>
      <c r="AC12" s="13">
        <v>0.12307341266284021</v>
      </c>
      <c r="AD12" s="13">
        <v>0.14335551492297757</v>
      </c>
      <c r="AE12" s="13">
        <v>0.19734982965910056</v>
      </c>
      <c r="AF12" s="13">
        <v>0.3793136025557729</v>
      </c>
      <c r="AG12" s="13">
        <v>0</v>
      </c>
      <c r="AH12" s="13">
        <v>0</v>
      </c>
      <c r="AI12" s="13">
        <v>0.95081703404225948</v>
      </c>
      <c r="AJ12" s="13">
        <v>0.50516705413065088</v>
      </c>
      <c r="AK12" s="13">
        <v>0.32199900440734325</v>
      </c>
      <c r="AL12" s="13">
        <v>0.23269731190419166</v>
      </c>
      <c r="AM12" s="13">
        <v>0.22192960100094106</v>
      </c>
      <c r="AN12" s="13">
        <v>0.3055705038205207</v>
      </c>
      <c r="AO12" s="13">
        <v>0.64101986996416871</v>
      </c>
      <c r="AP12" s="13">
        <v>0.99450549450549453</v>
      </c>
      <c r="AQ12" s="13">
        <v>0</v>
      </c>
      <c r="AS12" s="9" t="s">
        <v>202</v>
      </c>
      <c r="AT12" s="9" t="s">
        <v>201</v>
      </c>
      <c r="AU12" s="13">
        <v>8.5294122322471626E-3</v>
      </c>
      <c r="AV12" s="15">
        <v>6.4884876481520878E-3</v>
      </c>
      <c r="AW12" s="13">
        <v>1.1036646826906573E-3</v>
      </c>
      <c r="AX12" s="13">
        <v>4.7642006889290628E-3</v>
      </c>
      <c r="AY12" s="11">
        <v>2.9869162871754999E-4</v>
      </c>
      <c r="AZ12" s="13">
        <v>2.1058377291712986E-3</v>
      </c>
      <c r="BA12" s="13">
        <v>3.4794349783950351E-3</v>
      </c>
      <c r="BB12" s="13">
        <v>7.004092428924226E-3</v>
      </c>
      <c r="BC12" s="11">
        <v>8.1764788639453309E-4</v>
      </c>
      <c r="BD12" s="15">
        <v>5.2783199756611064E-4</v>
      </c>
      <c r="BE12" s="13">
        <v>7.1996190988436268E-3</v>
      </c>
      <c r="BF12" s="13">
        <v>6.242409126312614E-3</v>
      </c>
      <c r="BG12" s="13">
        <v>0</v>
      </c>
      <c r="BH12" s="13">
        <v>2.8950953783281712E-3</v>
      </c>
      <c r="BI12" s="13">
        <v>9.5078919820050199E-3</v>
      </c>
      <c r="BJ12" s="13">
        <v>1.6322205905461799E-2</v>
      </c>
      <c r="BK12" s="13">
        <v>1.2673680856028489E-2</v>
      </c>
      <c r="BL12" s="13">
        <v>1.4209430009853238E-2</v>
      </c>
      <c r="BM12" s="13">
        <v>1.5810105331185445E-2</v>
      </c>
      <c r="BN12" s="13">
        <v>1.225130700658127E-2</v>
      </c>
      <c r="BO12" s="13">
        <v>1.9421434877025214E-2</v>
      </c>
      <c r="BP12" s="13">
        <v>0</v>
      </c>
      <c r="BQ12" s="13">
        <v>0</v>
      </c>
      <c r="BR12" s="13">
        <v>3.1112954348944616E-3</v>
      </c>
      <c r="BS12" s="13">
        <v>1.1597566310698075E-2</v>
      </c>
      <c r="BT12" s="13">
        <v>1.2229710550224687E-2</v>
      </c>
      <c r="BU12" s="13">
        <v>1.1676281959201906E-2</v>
      </c>
      <c r="BV12" s="15">
        <v>9.4076108251422604E-3</v>
      </c>
      <c r="BW12" s="13">
        <v>2.1107266134322157E-2</v>
      </c>
      <c r="BX12" s="13">
        <v>3.7016115822714704E-2</v>
      </c>
      <c r="BY12" s="15">
        <v>2.0564838702648112E-3</v>
      </c>
      <c r="BZ12" s="13">
        <v>4.5592522101893284E-3</v>
      </c>
      <c r="CA12" s="13">
        <v>1.522730058409247E-3</v>
      </c>
      <c r="CB12" s="13">
        <v>6.2928039460454256E-3</v>
      </c>
      <c r="CC12" s="13">
        <v>1.4471917519281721E-2</v>
      </c>
      <c r="CD12" s="15">
        <v>2.5891090930939701E-3</v>
      </c>
      <c r="CE12" s="15">
        <v>1.1271722048851924E-3</v>
      </c>
      <c r="CF12" s="13">
        <v>2.6616845981241072E-3</v>
      </c>
      <c r="CG12" s="13">
        <v>1.0204956010596499E-2</v>
      </c>
      <c r="CH12" s="15">
        <v>8.0646765295058452E-3</v>
      </c>
      <c r="CJ12" s="9" t="s">
        <v>202</v>
      </c>
      <c r="CK12" s="9" t="s">
        <v>204</v>
      </c>
      <c r="CL12" s="13">
        <v>8.5592378864286275E-3</v>
      </c>
      <c r="CM12" s="13">
        <v>1.7495885311577409E-2</v>
      </c>
      <c r="CN12" s="13">
        <v>1.4480124449021007E-2</v>
      </c>
      <c r="CO12" s="13">
        <v>1.8240187477155959E-2</v>
      </c>
      <c r="CP12" s="13">
        <v>1.5538548082798927E-2</v>
      </c>
      <c r="CQ12" s="13">
        <v>1.3393235400965292E-2</v>
      </c>
      <c r="CR12" s="13">
        <v>9.8156348461446285E-3</v>
      </c>
      <c r="CS12" s="13">
        <v>9.3285708298501673E-3</v>
      </c>
      <c r="CT12" s="13">
        <v>2.2873828324311358E-2</v>
      </c>
      <c r="CU12" s="13">
        <v>1.7009333260869085E-2</v>
      </c>
      <c r="CV12" s="13">
        <v>1.8860145299350945E-2</v>
      </c>
      <c r="CW12" s="13">
        <v>2.1300849855494512E-2</v>
      </c>
      <c r="CX12" s="13">
        <v>2.7405061723802058E-2</v>
      </c>
      <c r="CY12" s="13">
        <v>2.3331517106275783E-2</v>
      </c>
      <c r="CZ12" s="13">
        <v>7.6551353701931326E-3</v>
      </c>
      <c r="DA12" s="13">
        <v>5.3086117217091729E-3</v>
      </c>
      <c r="DB12" s="13">
        <v>1.6513682852759146E-2</v>
      </c>
      <c r="DC12" s="13">
        <v>2.5131474484017747E-2</v>
      </c>
      <c r="DD12" s="13">
        <v>2.7217607773498503E-2</v>
      </c>
      <c r="DE12" s="13">
        <v>2.8444568305166978E-2</v>
      </c>
      <c r="DF12" s="13">
        <v>4.4987228128862869E-2</v>
      </c>
      <c r="DG12" s="13">
        <v>4.5152507915931922E-2</v>
      </c>
      <c r="DH12" s="13">
        <v>3.8544373651511511E-2</v>
      </c>
      <c r="DI12" s="13">
        <v>2.3467505237990603E-2</v>
      </c>
      <c r="DJ12" s="13">
        <v>0</v>
      </c>
      <c r="DK12" s="13">
        <v>5.5315609097564113E-3</v>
      </c>
      <c r="DL12" s="13">
        <v>1.1493507643966427E-2</v>
      </c>
      <c r="DM12" s="13">
        <v>1.3842468035170169E-2</v>
      </c>
      <c r="DN12" s="13">
        <v>2.9612764395605572E-2</v>
      </c>
      <c r="DO12" s="13">
        <v>5.0111856054002007E-2</v>
      </c>
      <c r="DP12" s="13">
        <v>2.547133675721162E-2</v>
      </c>
      <c r="DQ12" s="13">
        <v>7.4573160768627864E-3</v>
      </c>
      <c r="DR12" s="13">
        <v>1.5168224787283564E-2</v>
      </c>
      <c r="DS12" s="13">
        <v>1.6244609195270526E-2</v>
      </c>
      <c r="DT12" s="13">
        <v>2.1610000334070196E-2</v>
      </c>
      <c r="DU12" s="13">
        <v>3.2070514494366612E-2</v>
      </c>
      <c r="DV12" s="13">
        <v>3.4645007830359204E-2</v>
      </c>
      <c r="DW12" s="13">
        <v>8.9269549342331934E-3</v>
      </c>
      <c r="DX12" s="13">
        <v>1.0808293161478691E-3</v>
      </c>
      <c r="DY12" s="13">
        <v>1.0929325126272057E-2</v>
      </c>
      <c r="EA12" s="9" t="s">
        <v>151</v>
      </c>
      <c r="EB12" s="13">
        <v>0</v>
      </c>
      <c r="EC12" s="13">
        <v>0</v>
      </c>
      <c r="ED12" s="13">
        <v>5.2806231364832933E-3</v>
      </c>
      <c r="EE12" s="13">
        <v>0.1103487933347372</v>
      </c>
      <c r="EF12" s="13">
        <v>0.19564201503022807</v>
      </c>
      <c r="EG12" s="13">
        <v>0.20348428816539388</v>
      </c>
      <c r="EH12" s="13">
        <v>0.11899062212664835</v>
      </c>
      <c r="EI12" s="13">
        <v>1.0121730979231847E-2</v>
      </c>
      <c r="EJ12" s="13">
        <v>0</v>
      </c>
      <c r="EK12" s="13">
        <v>0</v>
      </c>
      <c r="EL12" s="11">
        <v>0</v>
      </c>
      <c r="EM12" s="13">
        <v>5.3623139867853942E-2</v>
      </c>
      <c r="EN12" s="13">
        <v>0.23560679944072363</v>
      </c>
      <c r="EO12" s="13">
        <v>0.38612571886536295</v>
      </c>
      <c r="EP12" s="13">
        <v>0.4340482664776294</v>
      </c>
      <c r="EQ12" s="13">
        <v>0.41669593053339526</v>
      </c>
      <c r="ER12" s="13">
        <v>0.34220199016149166</v>
      </c>
      <c r="ES12" s="13">
        <v>0.19136519817174047</v>
      </c>
      <c r="ET12" s="13">
        <v>2.7757579236787445E-2</v>
      </c>
      <c r="EU12" s="13">
        <v>0</v>
      </c>
      <c r="EV12" s="11">
        <v>0</v>
      </c>
      <c r="EW12" s="13">
        <v>0.11475405369488359</v>
      </c>
      <c r="EX12" s="13">
        <v>0.35507075795953624</v>
      </c>
      <c r="EY12" s="13">
        <v>0.48999547847595931</v>
      </c>
      <c r="EZ12" s="13">
        <v>0.49674553727441373</v>
      </c>
      <c r="FA12" s="13">
        <v>0.47412735043584087</v>
      </c>
      <c r="FB12" s="13">
        <v>0.42652369395685752</v>
      </c>
      <c r="FC12" s="13">
        <v>0.28629111297749193</v>
      </c>
      <c r="FD12" s="13">
        <v>9.3603087778762653E-2</v>
      </c>
      <c r="FE12" s="13">
        <v>0</v>
      </c>
      <c r="FF12" s="13">
        <v>0</v>
      </c>
      <c r="FG12" s="13">
        <v>4.2314050390748204E-3</v>
      </c>
      <c r="FH12" s="13">
        <v>0.10709658032941947</v>
      </c>
      <c r="FI12" s="13">
        <v>0.24382846300918121</v>
      </c>
      <c r="FJ12" s="13">
        <v>0.281198519248269</v>
      </c>
      <c r="FK12" s="13">
        <v>0.28813060719718192</v>
      </c>
      <c r="FL12" s="13">
        <v>0.20869137613577879</v>
      </c>
      <c r="FM12" s="13">
        <v>5.5848605343512492E-2</v>
      </c>
      <c r="FN12" s="11">
        <v>4.101291939482108E-6</v>
      </c>
      <c r="FO12" s="13">
        <v>0</v>
      </c>
      <c r="FQ12" s="9" t="s">
        <v>151</v>
      </c>
      <c r="FR12" s="9" t="s">
        <v>207</v>
      </c>
      <c r="FS12" s="9" t="s">
        <v>208</v>
      </c>
      <c r="FT12" s="13">
        <v>0.45452197375868025</v>
      </c>
    </row>
    <row r="13" spans="1:176" x14ac:dyDescent="0.45">
      <c r="B13" s="8" t="s">
        <v>152</v>
      </c>
      <c r="C13" s="8" t="s">
        <v>31</v>
      </c>
      <c r="D13" s="12">
        <v>0</v>
      </c>
      <c r="E13" s="12">
        <v>0</v>
      </c>
      <c r="F13" s="12">
        <v>0.88612979217029808</v>
      </c>
      <c r="G13" s="12">
        <v>0.32593548382251974</v>
      </c>
      <c r="H13" s="12">
        <v>0.21352262368824296</v>
      </c>
      <c r="I13" s="12">
        <v>0.22585518219170531</v>
      </c>
      <c r="J13" s="12">
        <v>0.35661175507164944</v>
      </c>
      <c r="K13" s="12">
        <v>0.85434566469730377</v>
      </c>
      <c r="L13" s="12">
        <v>0</v>
      </c>
      <c r="M13" s="12">
        <v>0</v>
      </c>
      <c r="N13" s="12">
        <v>0</v>
      </c>
      <c r="O13" s="12">
        <v>0.63670929620811989</v>
      </c>
      <c r="P13" s="12">
        <v>0.34455213271289442</v>
      </c>
      <c r="Q13" s="12">
        <v>0.2467438423904908</v>
      </c>
      <c r="R13" s="12">
        <v>0.17528356023538555</v>
      </c>
      <c r="S13" s="12">
        <v>0.17885716528823428</v>
      </c>
      <c r="T13" s="12">
        <v>0.23486229069652875</v>
      </c>
      <c r="U13" s="12">
        <v>0.31808602188429735</v>
      </c>
      <c r="V13" s="12">
        <v>0.69294858565958728</v>
      </c>
      <c r="W13" s="12">
        <v>0</v>
      </c>
      <c r="X13" s="12">
        <v>0</v>
      </c>
      <c r="Y13" s="12">
        <v>0.36978290166987615</v>
      </c>
      <c r="Z13" s="12">
        <v>0.19439144732292596</v>
      </c>
      <c r="AA13" s="12">
        <v>0.15074984472217265</v>
      </c>
      <c r="AB13" s="12">
        <v>0.12060786094729176</v>
      </c>
      <c r="AC13" s="12">
        <v>0.11635983572220392</v>
      </c>
      <c r="AD13" s="12">
        <v>0.14996698433859168</v>
      </c>
      <c r="AE13" s="12">
        <v>0.18058404384853396</v>
      </c>
      <c r="AF13" s="12">
        <v>0.35923906026897534</v>
      </c>
      <c r="AG13" s="12">
        <v>0</v>
      </c>
      <c r="AH13" s="12">
        <v>0</v>
      </c>
      <c r="AI13" s="12">
        <v>0.94482795812647891</v>
      </c>
      <c r="AJ13" s="12">
        <v>0.49813143798729476</v>
      </c>
      <c r="AK13" s="12">
        <v>0.29925152071999467</v>
      </c>
      <c r="AL13" s="12">
        <v>0.23689038474504207</v>
      </c>
      <c r="AM13" s="12">
        <v>0.25122709295900936</v>
      </c>
      <c r="AN13" s="12">
        <v>0.33851055832972199</v>
      </c>
      <c r="AO13" s="12">
        <v>0.65005969517714757</v>
      </c>
      <c r="AP13" s="12">
        <v>0.99450549450549464</v>
      </c>
      <c r="AQ13" s="12">
        <v>0</v>
      </c>
      <c r="AS13" s="8" t="s">
        <v>203</v>
      </c>
      <c r="AT13" s="8" t="s">
        <v>201</v>
      </c>
      <c r="AU13" s="12">
        <v>1.1023668982817361E-2</v>
      </c>
      <c r="AV13" s="14">
        <v>4.0373127367773461E-3</v>
      </c>
      <c r="AW13" s="12">
        <v>3.4901648245318291E-3</v>
      </c>
      <c r="AX13" s="12">
        <v>7.3944777374170293E-3</v>
      </c>
      <c r="AY13" s="10">
        <v>7.5463603613791629E-3</v>
      </c>
      <c r="AZ13" s="12">
        <v>1.1068760517311698E-3</v>
      </c>
      <c r="BA13" s="12">
        <v>2.4443033389638137E-3</v>
      </c>
      <c r="BB13" s="12">
        <v>1.087501122351126E-2</v>
      </c>
      <c r="BC13" s="10">
        <v>1.178687544638469E-2</v>
      </c>
      <c r="BD13" s="14">
        <v>3.6297608341224821E-3</v>
      </c>
      <c r="BE13" s="12">
        <v>1.0197324391965286E-2</v>
      </c>
      <c r="BF13" s="12">
        <v>1.2012565327569669E-2</v>
      </c>
      <c r="BG13" s="12">
        <v>1.1767759568753953E-2</v>
      </c>
      <c r="BH13" s="12">
        <v>3.6531253771631242E-3</v>
      </c>
      <c r="BI13" s="12">
        <v>1.7673645343834563E-3</v>
      </c>
      <c r="BJ13" s="12">
        <v>1.1612363900108441E-2</v>
      </c>
      <c r="BK13" s="12">
        <v>1.3619051947808639E-2</v>
      </c>
      <c r="BL13" s="12">
        <v>1.436078317016219E-3</v>
      </c>
      <c r="BM13" s="12">
        <v>1.0595429181206539E-2</v>
      </c>
      <c r="BN13" s="12">
        <v>5.9059282885831586E-3</v>
      </c>
      <c r="BO13" s="12">
        <v>1.6994272562529462E-2</v>
      </c>
      <c r="BP13" s="12">
        <v>3.8368984813315372E-3</v>
      </c>
      <c r="BQ13" s="12">
        <v>1.2085174080797687E-2</v>
      </c>
      <c r="BR13" s="12">
        <v>1.3204607852061524E-2</v>
      </c>
      <c r="BS13" s="12">
        <v>1.6491237845080681E-2</v>
      </c>
      <c r="BT13" s="12">
        <v>1.4690476238159505E-2</v>
      </c>
      <c r="BU13" s="12">
        <v>2.6270041703540387E-2</v>
      </c>
      <c r="BV13" s="14">
        <v>5.8985209229535521E-3</v>
      </c>
      <c r="BW13" s="12">
        <v>1.3060878279086873E-2</v>
      </c>
      <c r="BX13" s="12">
        <v>2.0294826634414873E-2</v>
      </c>
      <c r="BY13" s="14">
        <v>7.9440209349743527E-3</v>
      </c>
      <c r="BZ13" s="12">
        <v>7.3418577359935623E-3</v>
      </c>
      <c r="CA13" s="12">
        <v>1.1888311117818849E-2</v>
      </c>
      <c r="CB13" s="12">
        <v>9.3158145792900139E-3</v>
      </c>
      <c r="CC13" s="12">
        <v>5.4677015546884264E-3</v>
      </c>
      <c r="CD13" s="14">
        <v>4.3595921754140477E-3</v>
      </c>
      <c r="CE13" s="14">
        <v>7.0047627067788111E-3</v>
      </c>
      <c r="CF13" s="12">
        <v>2.9991904671132635E-3</v>
      </c>
      <c r="CG13" s="12">
        <v>5.3844540308104274E-3</v>
      </c>
      <c r="CH13" s="14">
        <v>8.1282516348781045E-3</v>
      </c>
      <c r="CJ13" s="8" t="s">
        <v>203</v>
      </c>
      <c r="CK13" s="8" t="s">
        <v>204</v>
      </c>
      <c r="CL13" s="12">
        <v>1.0739717558877378E-2</v>
      </c>
      <c r="CM13" s="12">
        <v>2.3521393943183595E-2</v>
      </c>
      <c r="CN13" s="12">
        <v>2.3960542533890433E-2</v>
      </c>
      <c r="CO13" s="12">
        <v>1.217395096613952E-2</v>
      </c>
      <c r="CP13" s="12">
        <v>1.833147101085254E-2</v>
      </c>
      <c r="CQ13" s="12">
        <v>2.0583962335663206E-2</v>
      </c>
      <c r="CR13" s="12">
        <v>2.0228530773403478E-2</v>
      </c>
      <c r="CS13" s="12">
        <v>5.4924350401468801E-3</v>
      </c>
      <c r="CT13" s="12">
        <v>8.9703954648366075E-3</v>
      </c>
      <c r="CU13" s="12">
        <v>1.678846872099405E-2</v>
      </c>
      <c r="CV13" s="12">
        <v>1.6475535185718253E-2</v>
      </c>
      <c r="CW13" s="12">
        <v>3.0390461364390303E-2</v>
      </c>
      <c r="CX13" s="12">
        <v>2.6057822139508323E-2</v>
      </c>
      <c r="CY13" s="12">
        <v>2.6879207710563031E-2</v>
      </c>
      <c r="CZ13" s="12">
        <v>1.4149161648368208E-2</v>
      </c>
      <c r="DA13" s="12">
        <v>1.2026134322197912E-2</v>
      </c>
      <c r="DB13" s="12">
        <v>3.772492812230673E-3</v>
      </c>
      <c r="DC13" s="12">
        <v>1.9696100209467594E-2</v>
      </c>
      <c r="DD13" s="12">
        <v>2.5138959361806556E-2</v>
      </c>
      <c r="DE13" s="12">
        <v>2.4953314235638568E-2</v>
      </c>
      <c r="DF13" s="12">
        <v>3.2878621574857513E-2</v>
      </c>
      <c r="DG13" s="12">
        <v>3.7247634809522603E-2</v>
      </c>
      <c r="DH13" s="12">
        <v>2.8771790987688953E-2</v>
      </c>
      <c r="DI13" s="12">
        <v>3.0306697511259445E-2</v>
      </c>
      <c r="DJ13" s="12">
        <v>4.6432937429007018E-2</v>
      </c>
      <c r="DK13" s="12">
        <v>6.002536516975894E-2</v>
      </c>
      <c r="DL13" s="12">
        <v>2.7302775314484027E-2</v>
      </c>
      <c r="DM13" s="12">
        <v>5.5177396018637963E-2</v>
      </c>
      <c r="DN13" s="12">
        <v>3.9939503980494041E-2</v>
      </c>
      <c r="DO13" s="12">
        <v>2.3996672322991245E-2</v>
      </c>
      <c r="DP13" s="12">
        <v>1.2824834483191581E-2</v>
      </c>
      <c r="DQ13" s="12">
        <v>1.2884743172362909E-2</v>
      </c>
      <c r="DR13" s="12">
        <v>1.3056336388438356E-2</v>
      </c>
      <c r="DS13" s="12">
        <v>2.0446357312344447E-2</v>
      </c>
      <c r="DT13" s="12">
        <v>2.7653751952886971E-2</v>
      </c>
      <c r="DU13" s="12">
        <v>2.2937700958981958E-2</v>
      </c>
      <c r="DV13" s="12">
        <v>1.6802339919023145E-2</v>
      </c>
      <c r="DW13" s="12">
        <v>1.9927169978854999E-2</v>
      </c>
      <c r="DX13" s="12">
        <v>1.5804441315527697E-2</v>
      </c>
      <c r="DY13" s="12">
        <v>7.6156258668677278E-3</v>
      </c>
      <c r="EA13" s="8" t="s">
        <v>152</v>
      </c>
      <c r="EB13" s="12">
        <v>0</v>
      </c>
      <c r="EC13" s="12">
        <v>0</v>
      </c>
      <c r="ED13" s="12">
        <v>3.3147042879515488E-3</v>
      </c>
      <c r="EE13" s="12">
        <v>9.6766567073195253E-2</v>
      </c>
      <c r="EF13" s="12">
        <v>0.17377247329576337</v>
      </c>
      <c r="EG13" s="12">
        <v>0.17613851635290287</v>
      </c>
      <c r="EH13" s="12">
        <v>9.1362355042336141E-2</v>
      </c>
      <c r="EI13" s="12">
        <v>6.8615314390275007E-3</v>
      </c>
      <c r="EJ13" s="12">
        <v>0</v>
      </c>
      <c r="EK13" s="12">
        <v>0</v>
      </c>
      <c r="EL13" s="10">
        <v>0</v>
      </c>
      <c r="EM13" s="12">
        <v>5.738570547723109E-2</v>
      </c>
      <c r="EN13" s="12">
        <v>0.24106021190891386</v>
      </c>
      <c r="EO13" s="12">
        <v>0.39083010849460603</v>
      </c>
      <c r="EP13" s="12">
        <v>0.43516290882440228</v>
      </c>
      <c r="EQ13" s="12">
        <v>0.41031576984689383</v>
      </c>
      <c r="ER13" s="12">
        <v>0.33668878985357237</v>
      </c>
      <c r="ES13" s="12">
        <v>0.1935304607466973</v>
      </c>
      <c r="ET13" s="12">
        <v>3.1922334914902747E-2</v>
      </c>
      <c r="EU13" s="12">
        <v>0</v>
      </c>
      <c r="EV13" s="10">
        <v>0</v>
      </c>
      <c r="EW13" s="12">
        <v>0.11823564813790821</v>
      </c>
      <c r="EX13" s="12">
        <v>0.3523094440029097</v>
      </c>
      <c r="EY13" s="12">
        <v>0.48647976741984389</v>
      </c>
      <c r="EZ13" s="12">
        <v>0.49712833740053147</v>
      </c>
      <c r="FA13" s="12">
        <v>0.46970007613164161</v>
      </c>
      <c r="FB13" s="12">
        <v>0.41626512694035439</v>
      </c>
      <c r="FC13" s="12">
        <v>0.29023924443240429</v>
      </c>
      <c r="FD13" s="12">
        <v>9.8828480536417268E-2</v>
      </c>
      <c r="FE13" s="12">
        <v>0</v>
      </c>
      <c r="FF13" s="12">
        <v>0</v>
      </c>
      <c r="FG13" s="12">
        <v>4.4077967882155461E-3</v>
      </c>
      <c r="FH13" s="12">
        <v>0.10157270218355803</v>
      </c>
      <c r="FI13" s="12">
        <v>0.23376059749293618</v>
      </c>
      <c r="FJ13" s="12">
        <v>0.27401983718765188</v>
      </c>
      <c r="FK13" s="12">
        <v>0.26889818416615752</v>
      </c>
      <c r="FL13" s="12">
        <v>0.19192071260198965</v>
      </c>
      <c r="FM13" s="12">
        <v>5.1810024511961927E-2</v>
      </c>
      <c r="FN13" s="10">
        <v>1.3822343949116181E-4</v>
      </c>
      <c r="FO13" s="12">
        <v>0</v>
      </c>
      <c r="FQ13" s="8" t="s">
        <v>152</v>
      </c>
      <c r="FR13" s="8" t="s">
        <v>207</v>
      </c>
      <c r="FS13" s="8" t="s">
        <v>208</v>
      </c>
      <c r="FT13" s="12">
        <v>0.46424227651327699</v>
      </c>
    </row>
    <row r="14" spans="1:176" x14ac:dyDescent="0.45">
      <c r="B14" s="9" t="s">
        <v>153</v>
      </c>
      <c r="C14" s="9" t="s">
        <v>31</v>
      </c>
      <c r="D14" s="13">
        <v>0</v>
      </c>
      <c r="E14" s="13">
        <v>0</v>
      </c>
      <c r="F14" s="13">
        <v>0.92766216196929407</v>
      </c>
      <c r="G14" s="13">
        <v>0.40321332977583507</v>
      </c>
      <c r="H14" s="13">
        <v>0.25783227771946776</v>
      </c>
      <c r="I14" s="13">
        <v>0.2575818691796713</v>
      </c>
      <c r="J14" s="13">
        <v>0.39330643901290352</v>
      </c>
      <c r="K14" s="13">
        <v>0.85418811539997386</v>
      </c>
      <c r="L14" s="13">
        <v>0</v>
      </c>
      <c r="M14" s="13">
        <v>0</v>
      </c>
      <c r="N14" s="13">
        <v>0</v>
      </c>
      <c r="O14" s="13">
        <v>0.64324298616315989</v>
      </c>
      <c r="P14" s="13">
        <v>0.31749309478263643</v>
      </c>
      <c r="Q14" s="13">
        <v>0.20233197498813646</v>
      </c>
      <c r="R14" s="13">
        <v>0.15576659619171734</v>
      </c>
      <c r="S14" s="13">
        <v>0.16959474487119175</v>
      </c>
      <c r="T14" s="13">
        <v>0.2221914794706146</v>
      </c>
      <c r="U14" s="13">
        <v>0.3093715080736128</v>
      </c>
      <c r="V14" s="13">
        <v>0.65922934460677052</v>
      </c>
      <c r="W14" s="13">
        <v>0</v>
      </c>
      <c r="X14" s="13">
        <v>0</v>
      </c>
      <c r="Y14" s="13">
        <v>0.39003191307470603</v>
      </c>
      <c r="Z14" s="13">
        <v>0.20818226739919599</v>
      </c>
      <c r="AA14" s="13">
        <v>0.14898614017999828</v>
      </c>
      <c r="AB14" s="13">
        <v>0.11676384166767527</v>
      </c>
      <c r="AC14" s="13">
        <v>0.1178129893799357</v>
      </c>
      <c r="AD14" s="13">
        <v>0.15266486641946364</v>
      </c>
      <c r="AE14" s="13">
        <v>0.1992239230334317</v>
      </c>
      <c r="AF14" s="13">
        <v>0.34647909917864655</v>
      </c>
      <c r="AG14" s="13">
        <v>0</v>
      </c>
      <c r="AH14" s="13">
        <v>0</v>
      </c>
      <c r="AI14" s="13">
        <v>0.9779473420176501</v>
      </c>
      <c r="AJ14" s="13">
        <v>0.57799707504823672</v>
      </c>
      <c r="AK14" s="13">
        <v>0.3849834065019816</v>
      </c>
      <c r="AL14" s="13">
        <v>0.2892878189087702</v>
      </c>
      <c r="AM14" s="13">
        <v>0.28143027018921135</v>
      </c>
      <c r="AN14" s="13">
        <v>0.35512065224625577</v>
      </c>
      <c r="AO14" s="13">
        <v>0.64084176278607474</v>
      </c>
      <c r="AP14" s="13">
        <v>0.98351648351648391</v>
      </c>
      <c r="AQ14" s="13">
        <v>0</v>
      </c>
      <c r="EA14" s="9" t="s">
        <v>153</v>
      </c>
      <c r="EB14" s="13">
        <v>0</v>
      </c>
      <c r="EC14" s="13">
        <v>0</v>
      </c>
      <c r="ED14" s="13">
        <v>2.2073954077813699E-3</v>
      </c>
      <c r="EE14" s="13">
        <v>7.9097303612963882E-2</v>
      </c>
      <c r="EF14" s="13">
        <v>0.15008217866460688</v>
      </c>
      <c r="EG14" s="13">
        <v>0.14272979052918774</v>
      </c>
      <c r="EH14" s="13">
        <v>7.940347419561973E-2</v>
      </c>
      <c r="EI14" s="13">
        <v>8.2397228904744959E-3</v>
      </c>
      <c r="EJ14" s="13">
        <v>0</v>
      </c>
      <c r="EK14" s="13">
        <v>0</v>
      </c>
      <c r="EL14" s="11">
        <v>0</v>
      </c>
      <c r="EM14" s="13">
        <v>5.2861821899994672E-2</v>
      </c>
      <c r="EN14" s="13">
        <v>0.25392886597660719</v>
      </c>
      <c r="EO14" s="13">
        <v>0.43487013741439146</v>
      </c>
      <c r="EP14" s="13">
        <v>0.46923220941302074</v>
      </c>
      <c r="EQ14" s="13">
        <v>0.42905422926482489</v>
      </c>
      <c r="ER14" s="13">
        <v>0.36169840636932887</v>
      </c>
      <c r="ES14" s="13">
        <v>0.20104067205307044</v>
      </c>
      <c r="ET14" s="13">
        <v>3.4768902395754177E-2</v>
      </c>
      <c r="EU14" s="13">
        <v>0</v>
      </c>
      <c r="EV14" s="11">
        <v>0</v>
      </c>
      <c r="EW14" s="13">
        <v>0.11588993818117314</v>
      </c>
      <c r="EX14" s="13">
        <v>0.34022843833629185</v>
      </c>
      <c r="EY14" s="13">
        <v>0.4786379138009817</v>
      </c>
      <c r="EZ14" s="13">
        <v>0.50035329524396877</v>
      </c>
      <c r="FA14" s="13">
        <v>0.48565806179080367</v>
      </c>
      <c r="FB14" s="13">
        <v>0.42848207849062309</v>
      </c>
      <c r="FC14" s="13">
        <v>0.29949589414336286</v>
      </c>
      <c r="FD14" s="13">
        <v>0.11654708360991903</v>
      </c>
      <c r="FE14" s="13">
        <v>0</v>
      </c>
      <c r="FF14" s="13">
        <v>0</v>
      </c>
      <c r="FG14" s="13">
        <v>1.4367653465962498E-3</v>
      </c>
      <c r="FH14" s="13">
        <v>8.2308981189631009E-2</v>
      </c>
      <c r="FI14" s="13">
        <v>0.20089660880672919</v>
      </c>
      <c r="FJ14" s="13">
        <v>0.24719837276764869</v>
      </c>
      <c r="FK14" s="13">
        <v>0.24861376254691106</v>
      </c>
      <c r="FL14" s="13">
        <v>0.18389584989003546</v>
      </c>
      <c r="FM14" s="13">
        <v>5.7152776185997137E-2</v>
      </c>
      <c r="FN14" s="11">
        <v>5.6068037867730374E-4</v>
      </c>
      <c r="FO14" s="13">
        <v>0</v>
      </c>
      <c r="FQ14" s="9" t="s">
        <v>153</v>
      </c>
      <c r="FR14" s="9" t="s">
        <v>207</v>
      </c>
      <c r="FS14" s="9" t="s">
        <v>208</v>
      </c>
      <c r="FT14" s="13">
        <v>0.46600952499447967</v>
      </c>
    </row>
    <row r="15" spans="1:176" x14ac:dyDescent="0.45">
      <c r="B15" s="8" t="s">
        <v>154</v>
      </c>
      <c r="C15" s="8" t="s">
        <v>31</v>
      </c>
      <c r="D15" s="12">
        <v>0</v>
      </c>
      <c r="E15" s="12">
        <v>0</v>
      </c>
      <c r="F15" s="12">
        <v>0.89862792290934257</v>
      </c>
      <c r="G15" s="12">
        <v>0.38991342907510262</v>
      </c>
      <c r="H15" s="12">
        <v>0.25945688825960828</v>
      </c>
      <c r="I15" s="12">
        <v>0.25520271815984258</v>
      </c>
      <c r="J15" s="12">
        <v>0.42048846980216092</v>
      </c>
      <c r="K15" s="12">
        <v>0.86068015605209935</v>
      </c>
      <c r="L15" s="12">
        <v>0</v>
      </c>
      <c r="M15" s="12">
        <v>0</v>
      </c>
      <c r="N15" s="12">
        <v>0</v>
      </c>
      <c r="O15" s="12">
        <v>0.62949090532851448</v>
      </c>
      <c r="P15" s="12">
        <v>0.32714975922090217</v>
      </c>
      <c r="Q15" s="12">
        <v>0.20681748867155944</v>
      </c>
      <c r="R15" s="12">
        <v>0.15549928301142593</v>
      </c>
      <c r="S15" s="12">
        <v>0.15671132371382474</v>
      </c>
      <c r="T15" s="12">
        <v>0.21395874491668515</v>
      </c>
      <c r="U15" s="12">
        <v>0.31476331969178178</v>
      </c>
      <c r="V15" s="12">
        <v>0.68682674234291807</v>
      </c>
      <c r="W15" s="12">
        <v>0</v>
      </c>
      <c r="X15" s="12">
        <v>0</v>
      </c>
      <c r="Y15" s="12">
        <v>0.33272789018779309</v>
      </c>
      <c r="Z15" s="12">
        <v>0.19399888280996214</v>
      </c>
      <c r="AA15" s="12">
        <v>0.14509325909408063</v>
      </c>
      <c r="AB15" s="12">
        <v>0.11624090401900257</v>
      </c>
      <c r="AC15" s="12">
        <v>0.11366162903470309</v>
      </c>
      <c r="AD15" s="12">
        <v>0.13853122215432484</v>
      </c>
      <c r="AE15" s="12">
        <v>0.18619402019252904</v>
      </c>
      <c r="AF15" s="12">
        <v>0.33637575634054745</v>
      </c>
      <c r="AG15" s="12">
        <v>0</v>
      </c>
      <c r="AH15" s="12">
        <v>0</v>
      </c>
      <c r="AI15" s="12">
        <v>0.94543087121765934</v>
      </c>
      <c r="AJ15" s="12">
        <v>0.53733192867977764</v>
      </c>
      <c r="AK15" s="12">
        <v>0.35375077460716181</v>
      </c>
      <c r="AL15" s="12">
        <v>0.27444517852363276</v>
      </c>
      <c r="AM15" s="12">
        <v>0.28087249489174426</v>
      </c>
      <c r="AN15" s="12">
        <v>0.37100918651374348</v>
      </c>
      <c r="AO15" s="12">
        <v>0.65520060499251709</v>
      </c>
      <c r="AP15" s="12">
        <v>0.98901098901098905</v>
      </c>
      <c r="AQ15" s="12">
        <v>0</v>
      </c>
      <c r="EA15" s="8" t="s">
        <v>154</v>
      </c>
      <c r="EB15" s="12">
        <v>0</v>
      </c>
      <c r="EC15" s="12">
        <v>0</v>
      </c>
      <c r="ED15" s="12">
        <v>2.8870314070991226E-3</v>
      </c>
      <c r="EE15" s="12">
        <v>8.4867099779988076E-2</v>
      </c>
      <c r="EF15" s="12">
        <v>0.14656375187032972</v>
      </c>
      <c r="EG15" s="12">
        <v>0.14231766469911858</v>
      </c>
      <c r="EH15" s="12">
        <v>6.9975309407755606E-2</v>
      </c>
      <c r="EI15" s="12">
        <v>6.2912316726919833E-3</v>
      </c>
      <c r="EJ15" s="12">
        <v>0</v>
      </c>
      <c r="EK15" s="12">
        <v>0</v>
      </c>
      <c r="EL15" s="10">
        <v>0</v>
      </c>
      <c r="EM15" s="12">
        <v>5.9668149862983924E-2</v>
      </c>
      <c r="EN15" s="12">
        <v>0.26057988480350092</v>
      </c>
      <c r="EO15" s="12">
        <v>0.44602225563425141</v>
      </c>
      <c r="EP15" s="12">
        <v>0.47485475211587869</v>
      </c>
      <c r="EQ15" s="12">
        <v>0.44409481595077299</v>
      </c>
      <c r="ER15" s="12">
        <v>0.36420043620641368</v>
      </c>
      <c r="ES15" s="12">
        <v>0.20411729060934469</v>
      </c>
      <c r="ET15" s="12">
        <v>3.3424724149199246E-2</v>
      </c>
      <c r="EU15" s="12">
        <v>0</v>
      </c>
      <c r="EV15" s="10">
        <v>0</v>
      </c>
      <c r="EW15" s="12">
        <v>0.13167379866875936</v>
      </c>
      <c r="EX15" s="12">
        <v>0.35415689121691346</v>
      </c>
      <c r="EY15" s="12">
        <v>0.48062007048277677</v>
      </c>
      <c r="EZ15" s="12">
        <v>0.49884101546671789</v>
      </c>
      <c r="FA15" s="12">
        <v>0.47683439421242968</v>
      </c>
      <c r="FB15" s="12">
        <v>0.42772179386625159</v>
      </c>
      <c r="FC15" s="12">
        <v>0.29272056400751645</v>
      </c>
      <c r="FD15" s="12">
        <v>0.1108720509627024</v>
      </c>
      <c r="FE15" s="12">
        <v>0</v>
      </c>
      <c r="FF15" s="12">
        <v>0</v>
      </c>
      <c r="FG15" s="12">
        <v>6.158151464924105E-3</v>
      </c>
      <c r="FH15" s="12">
        <v>0.10312809412317099</v>
      </c>
      <c r="FI15" s="12">
        <v>0.22835403473610655</v>
      </c>
      <c r="FJ15" s="12">
        <v>0.25281209293932166</v>
      </c>
      <c r="FK15" s="12">
        <v>0.24841849701406335</v>
      </c>
      <c r="FL15" s="12">
        <v>0.17321242721405683</v>
      </c>
      <c r="FM15" s="12">
        <v>5.0153077613874449E-2</v>
      </c>
      <c r="FN15" s="10">
        <v>3.6529177269641744E-4</v>
      </c>
      <c r="FO15" s="12">
        <v>0</v>
      </c>
      <c r="FQ15" s="8" t="s">
        <v>154</v>
      </c>
      <c r="FR15" s="8" t="s">
        <v>207</v>
      </c>
      <c r="FS15" s="8" t="s">
        <v>208</v>
      </c>
      <c r="FT15" s="12">
        <v>0.45651415445419835</v>
      </c>
    </row>
    <row r="16" spans="1:176" x14ac:dyDescent="0.45">
      <c r="B16" s="9" t="s">
        <v>155</v>
      </c>
      <c r="C16" s="9" t="s">
        <v>31</v>
      </c>
      <c r="D16" s="13">
        <v>0</v>
      </c>
      <c r="E16" s="13">
        <v>0</v>
      </c>
      <c r="F16" s="13">
        <v>0.86576363233479936</v>
      </c>
      <c r="G16" s="13">
        <v>0.34957974987480656</v>
      </c>
      <c r="H16" s="13">
        <v>0.25434798212965481</v>
      </c>
      <c r="I16" s="13">
        <v>0.26957098349977165</v>
      </c>
      <c r="J16" s="13">
        <v>0.47897751483801865</v>
      </c>
      <c r="K16" s="13">
        <v>0.91672231599239751</v>
      </c>
      <c r="L16" s="13">
        <v>0</v>
      </c>
      <c r="M16" s="13">
        <v>0</v>
      </c>
      <c r="N16" s="13">
        <v>0.98913043478260843</v>
      </c>
      <c r="O16" s="13">
        <v>0.57960841739427515</v>
      </c>
      <c r="P16" s="13">
        <v>0.27310253083040559</v>
      </c>
      <c r="Q16" s="13">
        <v>0.1752335747561701</v>
      </c>
      <c r="R16" s="13">
        <v>0.12768013312052037</v>
      </c>
      <c r="S16" s="13">
        <v>0.1460622515805082</v>
      </c>
      <c r="T16" s="13">
        <v>0.21131507927537846</v>
      </c>
      <c r="U16" s="13">
        <v>0.33229260950124578</v>
      </c>
      <c r="V16" s="13">
        <v>0.75623470279183003</v>
      </c>
      <c r="W16" s="13">
        <v>0</v>
      </c>
      <c r="X16" s="13">
        <v>0.91681689238852848</v>
      </c>
      <c r="Y16" s="13">
        <v>0.30758714026516737</v>
      </c>
      <c r="Z16" s="13">
        <v>0.17558571257177349</v>
      </c>
      <c r="AA16" s="13">
        <v>0.14559401704404099</v>
      </c>
      <c r="AB16" s="13">
        <v>0.11973038947051451</v>
      </c>
      <c r="AC16" s="13">
        <v>0.11702033089645214</v>
      </c>
      <c r="AD16" s="13">
        <v>0.13182668865378255</v>
      </c>
      <c r="AE16" s="13">
        <v>0.18825448883626622</v>
      </c>
      <c r="AF16" s="13">
        <v>0.3922627748331487</v>
      </c>
      <c r="AG16" s="13">
        <v>0</v>
      </c>
      <c r="AH16" s="13">
        <v>0</v>
      </c>
      <c r="AI16" s="13">
        <v>0.9192450917179924</v>
      </c>
      <c r="AJ16" s="13">
        <v>0.51652972234864991</v>
      </c>
      <c r="AK16" s="13">
        <v>0.3398041255504512</v>
      </c>
      <c r="AL16" s="13">
        <v>0.26613846011948672</v>
      </c>
      <c r="AM16" s="13">
        <v>0.29629743827369703</v>
      </c>
      <c r="AN16" s="13">
        <v>0.42210142353414015</v>
      </c>
      <c r="AO16" s="13">
        <v>0.7272678182330985</v>
      </c>
      <c r="AP16" s="13">
        <v>0</v>
      </c>
      <c r="AQ16" s="13">
        <v>0</v>
      </c>
      <c r="EA16" s="9" t="s">
        <v>155</v>
      </c>
      <c r="EB16" s="13">
        <v>0</v>
      </c>
      <c r="EC16" s="13">
        <v>0</v>
      </c>
      <c r="ED16" s="13">
        <v>7.2024150117052663E-3</v>
      </c>
      <c r="EE16" s="13">
        <v>8.972460913740829E-2</v>
      </c>
      <c r="EF16" s="13">
        <v>0.1492320655368152</v>
      </c>
      <c r="EG16" s="13">
        <v>0.13685815877835264</v>
      </c>
      <c r="EH16" s="13">
        <v>5.7185710609872702E-2</v>
      </c>
      <c r="EI16" s="13">
        <v>4.3116690800404037E-3</v>
      </c>
      <c r="EJ16" s="13">
        <v>0</v>
      </c>
      <c r="EK16" s="13">
        <v>0</v>
      </c>
      <c r="EL16" s="11">
        <v>2.4876552768325502E-4</v>
      </c>
      <c r="EM16" s="13">
        <v>8.3604580562593747E-2</v>
      </c>
      <c r="EN16" s="13">
        <v>0.32477886376383053</v>
      </c>
      <c r="EO16" s="13">
        <v>0.48899793627281168</v>
      </c>
      <c r="EP16" s="13">
        <v>0.4880761635803193</v>
      </c>
      <c r="EQ16" s="13">
        <v>0.47285259549273301</v>
      </c>
      <c r="ER16" s="13">
        <v>0.38957267946444657</v>
      </c>
      <c r="ES16" s="13">
        <v>0.20531238564270432</v>
      </c>
      <c r="ET16" s="13">
        <v>2.6137833851102611E-2</v>
      </c>
      <c r="EU16" s="13">
        <v>0</v>
      </c>
      <c r="EV16" s="11">
        <v>3.112127398734317E-3</v>
      </c>
      <c r="EW16" s="13">
        <v>0.1590893055999669</v>
      </c>
      <c r="EX16" s="13">
        <v>0.37223833640836729</v>
      </c>
      <c r="EY16" s="13">
        <v>0.47787957754601335</v>
      </c>
      <c r="EZ16" s="13">
        <v>0.48030448900192541</v>
      </c>
      <c r="FA16" s="13">
        <v>0.47313607470577634</v>
      </c>
      <c r="FB16" s="13">
        <v>0.41979126123474275</v>
      </c>
      <c r="FC16" s="13">
        <v>0.28289718569552991</v>
      </c>
      <c r="FD16" s="13">
        <v>8.999110005638189E-2</v>
      </c>
      <c r="FE16" s="13">
        <v>0</v>
      </c>
      <c r="FF16" s="13">
        <v>0</v>
      </c>
      <c r="FG16" s="13">
        <v>8.4469516840993096E-3</v>
      </c>
      <c r="FH16" s="13">
        <v>0.10427865276359265</v>
      </c>
      <c r="FI16" s="13">
        <v>0.21875459209313045</v>
      </c>
      <c r="FJ16" s="13">
        <v>0.23619751166397179</v>
      </c>
      <c r="FK16" s="13">
        <v>0.23573349533788104</v>
      </c>
      <c r="FL16" s="13">
        <v>0.15344170124084683</v>
      </c>
      <c r="FM16" s="13">
        <v>4.4319868993194081E-2</v>
      </c>
      <c r="FN16" s="11">
        <v>0</v>
      </c>
      <c r="FO16" s="13">
        <v>0</v>
      </c>
      <c r="FQ16" s="9" t="s">
        <v>155</v>
      </c>
      <c r="FR16" s="9" t="s">
        <v>207</v>
      </c>
      <c r="FS16" s="9" t="s">
        <v>208</v>
      </c>
      <c r="FT16" s="13">
        <v>0.44799200058903993</v>
      </c>
    </row>
    <row r="17" spans="2:176" x14ac:dyDescent="0.45">
      <c r="B17" s="8" t="s">
        <v>156</v>
      </c>
      <c r="C17" s="8" t="s">
        <v>31</v>
      </c>
      <c r="D17" s="12">
        <v>0</v>
      </c>
      <c r="E17" s="12">
        <v>0</v>
      </c>
      <c r="F17" s="12">
        <v>0.90786497835734647</v>
      </c>
      <c r="G17" s="12">
        <v>0.40537874640232457</v>
      </c>
      <c r="H17" s="12">
        <v>0.2960303573760486</v>
      </c>
      <c r="I17" s="12">
        <v>0.28183295225845467</v>
      </c>
      <c r="J17" s="12">
        <v>0.43543547028629315</v>
      </c>
      <c r="K17" s="12">
        <v>0.88090305718926565</v>
      </c>
      <c r="L17" s="12">
        <v>0</v>
      </c>
      <c r="M17" s="12">
        <v>0</v>
      </c>
      <c r="N17" s="12">
        <v>0</v>
      </c>
      <c r="O17" s="12">
        <v>0.60065413920117272</v>
      </c>
      <c r="P17" s="12">
        <v>0.27579480095853592</v>
      </c>
      <c r="Q17" s="12">
        <v>0.15627250226553627</v>
      </c>
      <c r="R17" s="12">
        <v>0.12229611140226877</v>
      </c>
      <c r="S17" s="12">
        <v>0.13452909459960688</v>
      </c>
      <c r="T17" s="12">
        <v>0.18767407601259276</v>
      </c>
      <c r="U17" s="12">
        <v>0.28146396430965986</v>
      </c>
      <c r="V17" s="12">
        <v>0.6614265803412962</v>
      </c>
      <c r="W17" s="12">
        <v>0</v>
      </c>
      <c r="X17" s="12">
        <v>0.97826086956521729</v>
      </c>
      <c r="Y17" s="12">
        <v>0.33837622057150663</v>
      </c>
      <c r="Z17" s="12">
        <v>0.20363551201117391</v>
      </c>
      <c r="AA17" s="12">
        <v>0.15244053984608971</v>
      </c>
      <c r="AB17" s="12">
        <v>0.11044599150234845</v>
      </c>
      <c r="AC17" s="12">
        <v>0.10343960921148379</v>
      </c>
      <c r="AD17" s="12">
        <v>0.12889617090377423</v>
      </c>
      <c r="AE17" s="12">
        <v>0.17942522580014128</v>
      </c>
      <c r="AF17" s="12">
        <v>0.32369184100221504</v>
      </c>
      <c r="AG17" s="12">
        <v>0</v>
      </c>
      <c r="AH17" s="12">
        <v>0</v>
      </c>
      <c r="AI17" s="12">
        <v>0.94941609695889106</v>
      </c>
      <c r="AJ17" s="12">
        <v>0.55130547328803903</v>
      </c>
      <c r="AK17" s="12">
        <v>0.34948872934817155</v>
      </c>
      <c r="AL17" s="12">
        <v>0.27849665262825457</v>
      </c>
      <c r="AM17" s="12">
        <v>0.28845372869475927</v>
      </c>
      <c r="AN17" s="12">
        <v>0.38530701081185148</v>
      </c>
      <c r="AO17" s="12">
        <v>0.66930727947822766</v>
      </c>
      <c r="AP17" s="12">
        <v>0.98351648351648346</v>
      </c>
      <c r="AQ17" s="12">
        <v>0</v>
      </c>
      <c r="EA17" s="8" t="s">
        <v>156</v>
      </c>
      <c r="EB17" s="12">
        <v>0</v>
      </c>
      <c r="EC17" s="12">
        <v>0</v>
      </c>
      <c r="ED17" s="12">
        <v>3.6780568956651999E-3</v>
      </c>
      <c r="EE17" s="12">
        <v>7.559271283456738E-2</v>
      </c>
      <c r="EF17" s="12">
        <v>0.14693570913465062</v>
      </c>
      <c r="EG17" s="12">
        <v>0.14094421324327966</v>
      </c>
      <c r="EH17" s="12">
        <v>7.3554187027737167E-2</v>
      </c>
      <c r="EI17" s="12">
        <v>8.0583936047946315E-3</v>
      </c>
      <c r="EJ17" s="12">
        <v>0</v>
      </c>
      <c r="EK17" s="12">
        <v>0</v>
      </c>
      <c r="EL17" s="10">
        <v>0</v>
      </c>
      <c r="EM17" s="12">
        <v>6.7658818348174998E-2</v>
      </c>
      <c r="EN17" s="12">
        <v>0.29254482910914376</v>
      </c>
      <c r="EO17" s="12">
        <v>0.49077585957090586</v>
      </c>
      <c r="EP17" s="12">
        <v>0.50640375061152132</v>
      </c>
      <c r="EQ17" s="12">
        <v>0.4765535629000433</v>
      </c>
      <c r="ER17" s="12">
        <v>0.42093324219814682</v>
      </c>
      <c r="ES17" s="12">
        <v>0.25018414720624838</v>
      </c>
      <c r="ET17" s="12">
        <v>4.3371203269946104E-2</v>
      </c>
      <c r="EU17" s="12">
        <v>0</v>
      </c>
      <c r="EV17" s="10">
        <v>5.2924685041540938E-6</v>
      </c>
      <c r="EW17" s="12">
        <v>0.1373621286000869</v>
      </c>
      <c r="EX17" s="12">
        <v>0.34041293107097487</v>
      </c>
      <c r="EY17" s="12">
        <v>0.46231613526199561</v>
      </c>
      <c r="EZ17" s="12">
        <v>0.4901202291603724</v>
      </c>
      <c r="FA17" s="12">
        <v>0.4853307079756437</v>
      </c>
      <c r="FB17" s="12">
        <v>0.4530105351469052</v>
      </c>
      <c r="FC17" s="12">
        <v>0.33270474013478513</v>
      </c>
      <c r="FD17" s="12">
        <v>0.12755799891718836</v>
      </c>
      <c r="FE17" s="12">
        <v>0</v>
      </c>
      <c r="FF17" s="12">
        <v>0</v>
      </c>
      <c r="FG17" s="12">
        <v>7.1468001473848214E-3</v>
      </c>
      <c r="FH17" s="12">
        <v>0.10523374875702861</v>
      </c>
      <c r="FI17" s="12">
        <v>0.23163703413534675</v>
      </c>
      <c r="FJ17" s="12">
        <v>0.24460823202849169</v>
      </c>
      <c r="FK17" s="12">
        <v>0.24625163792899232</v>
      </c>
      <c r="FL17" s="12">
        <v>0.18341201878108998</v>
      </c>
      <c r="FM17" s="12">
        <v>6.1263043413865445E-2</v>
      </c>
      <c r="FN17" s="10">
        <v>3.5466403121358595E-4</v>
      </c>
      <c r="FO17" s="12">
        <v>0</v>
      </c>
      <c r="FQ17" s="8" t="s">
        <v>156</v>
      </c>
      <c r="FR17" s="8" t="s">
        <v>207</v>
      </c>
      <c r="FS17" s="8" t="s">
        <v>208</v>
      </c>
      <c r="FT17" s="12">
        <v>0.45748330364148537</v>
      </c>
    </row>
    <row r="18" spans="2:176" x14ac:dyDescent="0.45">
      <c r="B18" s="9" t="s">
        <v>157</v>
      </c>
      <c r="C18" s="9" t="s">
        <v>31</v>
      </c>
      <c r="D18" s="13">
        <v>0</v>
      </c>
      <c r="E18" s="13">
        <v>0</v>
      </c>
      <c r="F18" s="13">
        <v>0.88692584996889401</v>
      </c>
      <c r="G18" s="13">
        <v>0.36258079521153047</v>
      </c>
      <c r="H18" s="13">
        <v>0.26469736531803412</v>
      </c>
      <c r="I18" s="13">
        <v>0.27734360380670414</v>
      </c>
      <c r="J18" s="13">
        <v>0.46263703154698155</v>
      </c>
      <c r="K18" s="13">
        <v>0.89493823712156328</v>
      </c>
      <c r="L18" s="13">
        <v>0</v>
      </c>
      <c r="M18" s="13">
        <v>0</v>
      </c>
      <c r="N18" s="13">
        <v>0</v>
      </c>
      <c r="O18" s="13">
        <v>0.60345790308666214</v>
      </c>
      <c r="P18" s="13">
        <v>0.28263444455695125</v>
      </c>
      <c r="Q18" s="13">
        <v>0.16488675950467294</v>
      </c>
      <c r="R18" s="13">
        <v>0.11265103220490834</v>
      </c>
      <c r="S18" s="13">
        <v>0.12816427320304485</v>
      </c>
      <c r="T18" s="13">
        <v>0.19570560411617216</v>
      </c>
      <c r="U18" s="13">
        <v>0.31260618354452258</v>
      </c>
      <c r="V18" s="13">
        <v>0.71866292263418385</v>
      </c>
      <c r="W18" s="13">
        <v>0</v>
      </c>
      <c r="X18" s="13">
        <v>0.93992652794520803</v>
      </c>
      <c r="Y18" s="13">
        <v>0.31906773021281892</v>
      </c>
      <c r="Z18" s="13">
        <v>0.18041602849523805</v>
      </c>
      <c r="AA18" s="13">
        <v>0.14187037161572344</v>
      </c>
      <c r="AB18" s="13">
        <v>0.122319174654788</v>
      </c>
      <c r="AC18" s="13">
        <v>0.11928777964653937</v>
      </c>
      <c r="AD18" s="13">
        <v>0.13440372887188698</v>
      </c>
      <c r="AE18" s="13">
        <v>0.19293704595504091</v>
      </c>
      <c r="AF18" s="13">
        <v>0.36740276990140447</v>
      </c>
      <c r="AG18" s="13">
        <v>0</v>
      </c>
      <c r="AH18" s="13">
        <v>0</v>
      </c>
      <c r="AI18" s="13">
        <v>0.92650817742426028</v>
      </c>
      <c r="AJ18" s="13">
        <v>0.50788718918095366</v>
      </c>
      <c r="AK18" s="13">
        <v>0.33192040413961205</v>
      </c>
      <c r="AL18" s="13">
        <v>0.2635642640720684</v>
      </c>
      <c r="AM18" s="13">
        <v>0.29602254918484089</v>
      </c>
      <c r="AN18" s="13">
        <v>0.40911629023231855</v>
      </c>
      <c r="AO18" s="13">
        <v>0.70074221378843538</v>
      </c>
      <c r="AP18" s="13">
        <v>0</v>
      </c>
      <c r="AQ18" s="13">
        <v>0</v>
      </c>
      <c r="EA18" s="9" t="s">
        <v>157</v>
      </c>
      <c r="EB18" s="13">
        <v>0</v>
      </c>
      <c r="EC18" s="13">
        <v>0</v>
      </c>
      <c r="ED18" s="13">
        <v>5.5032199663315583E-3</v>
      </c>
      <c r="EE18" s="13">
        <v>9.0129538999025413E-2</v>
      </c>
      <c r="EF18" s="13">
        <v>0.15811464023687385</v>
      </c>
      <c r="EG18" s="13">
        <v>0.14578603429473999</v>
      </c>
      <c r="EH18" s="13">
        <v>6.7412576382397602E-2</v>
      </c>
      <c r="EI18" s="13">
        <v>5.3770473219895499E-3</v>
      </c>
      <c r="EJ18" s="13">
        <v>0</v>
      </c>
      <c r="EK18" s="13">
        <v>0</v>
      </c>
      <c r="EL18" s="11">
        <v>0</v>
      </c>
      <c r="EM18" s="13">
        <v>7.3619479175161706E-2</v>
      </c>
      <c r="EN18" s="13">
        <v>0.30617358395481198</v>
      </c>
      <c r="EO18" s="13">
        <v>0.49827021730505788</v>
      </c>
      <c r="EP18" s="13">
        <v>0.51945801654302159</v>
      </c>
      <c r="EQ18" s="13">
        <v>0.49392014228737935</v>
      </c>
      <c r="ER18" s="13">
        <v>0.41397366807043168</v>
      </c>
      <c r="ES18" s="13">
        <v>0.22086237611421658</v>
      </c>
      <c r="ET18" s="13">
        <v>3.1804099283847254E-2</v>
      </c>
      <c r="EU18" s="13">
        <v>0</v>
      </c>
      <c r="EV18" s="11">
        <v>1.0497284540083476E-3</v>
      </c>
      <c r="EW18" s="13">
        <v>0.14677139515687643</v>
      </c>
      <c r="EX18" s="13">
        <v>0.36008354932155978</v>
      </c>
      <c r="EY18" s="13">
        <v>0.47722629337547601</v>
      </c>
      <c r="EZ18" s="13">
        <v>0.48354084032604955</v>
      </c>
      <c r="FA18" s="13">
        <v>0.46630500359629912</v>
      </c>
      <c r="FB18" s="13">
        <v>0.41898585932456561</v>
      </c>
      <c r="FC18" s="13">
        <v>0.28700575336803608</v>
      </c>
      <c r="FD18" s="13">
        <v>9.9571945681600771E-2</v>
      </c>
      <c r="FE18" s="13">
        <v>0</v>
      </c>
      <c r="FF18" s="13">
        <v>0</v>
      </c>
      <c r="FG18" s="13">
        <v>7.7137418116772112E-3</v>
      </c>
      <c r="FH18" s="13">
        <v>0.11134751261415035</v>
      </c>
      <c r="FI18" s="13">
        <v>0.23615715583881455</v>
      </c>
      <c r="FJ18" s="13">
        <v>0.25116845818420042</v>
      </c>
      <c r="FK18" s="13">
        <v>0.24548026250292451</v>
      </c>
      <c r="FL18" s="13">
        <v>0.16733769030825899</v>
      </c>
      <c r="FM18" s="13">
        <v>5.1282718527089134E-2</v>
      </c>
      <c r="FN18" s="11">
        <v>0</v>
      </c>
      <c r="FO18" s="13">
        <v>0</v>
      </c>
      <c r="FQ18" s="9" t="s">
        <v>157</v>
      </c>
      <c r="FR18" s="9" t="s">
        <v>207</v>
      </c>
      <c r="FS18" s="9" t="s">
        <v>208</v>
      </c>
      <c r="FT18" s="13">
        <v>0.45703603791152136</v>
      </c>
    </row>
    <row r="19" spans="2:176" x14ac:dyDescent="0.45">
      <c r="B19" s="8" t="s">
        <v>158</v>
      </c>
      <c r="C19" s="8" t="s">
        <v>31</v>
      </c>
      <c r="D19" s="12">
        <v>0</v>
      </c>
      <c r="E19" s="12">
        <v>0</v>
      </c>
      <c r="F19" s="12">
        <v>0.81455871790854373</v>
      </c>
      <c r="G19" s="12">
        <v>0.32454518033618895</v>
      </c>
      <c r="H19" s="12">
        <v>0.21035853234792801</v>
      </c>
      <c r="I19" s="12">
        <v>0.25971560721443399</v>
      </c>
      <c r="J19" s="12">
        <v>0.49667943570541467</v>
      </c>
      <c r="K19" s="12">
        <v>0.92745832347017032</v>
      </c>
      <c r="L19" s="12">
        <v>0</v>
      </c>
      <c r="M19" s="12">
        <v>0</v>
      </c>
      <c r="N19" s="12">
        <v>0.98728648163002763</v>
      </c>
      <c r="O19" s="12">
        <v>0.54042628810312299</v>
      </c>
      <c r="P19" s="12">
        <v>0.31318195691657136</v>
      </c>
      <c r="Q19" s="12">
        <v>0.22569298063087195</v>
      </c>
      <c r="R19" s="12">
        <v>0.16285079827203591</v>
      </c>
      <c r="S19" s="12">
        <v>0.18575053760898591</v>
      </c>
      <c r="T19" s="12">
        <v>0.25832143725844386</v>
      </c>
      <c r="U19" s="12">
        <v>0.37671777950211799</v>
      </c>
      <c r="V19" s="12">
        <v>0.80536136606945297</v>
      </c>
      <c r="W19" s="12">
        <v>0</v>
      </c>
      <c r="X19" s="12">
        <v>0.91497846620550471</v>
      </c>
      <c r="Y19" s="12">
        <v>0.26288873492412057</v>
      </c>
      <c r="Z19" s="12">
        <v>0.1564349374135339</v>
      </c>
      <c r="AA19" s="12">
        <v>0.13625991454418937</v>
      </c>
      <c r="AB19" s="12">
        <v>0.10849650101597458</v>
      </c>
      <c r="AC19" s="12">
        <v>0.1265603716143108</v>
      </c>
      <c r="AD19" s="12">
        <v>0.14930254849995236</v>
      </c>
      <c r="AE19" s="12">
        <v>0.18782666278167587</v>
      </c>
      <c r="AF19" s="12">
        <v>0.45947625314692536</v>
      </c>
      <c r="AG19" s="12">
        <v>0</v>
      </c>
      <c r="AH19" s="12">
        <v>0</v>
      </c>
      <c r="AI19" s="12">
        <v>0.89443596675330306</v>
      </c>
      <c r="AJ19" s="12">
        <v>0.47428301584648164</v>
      </c>
      <c r="AK19" s="12">
        <v>0.32301461575078838</v>
      </c>
      <c r="AL19" s="12">
        <v>0.25463547257974001</v>
      </c>
      <c r="AM19" s="12">
        <v>0.29397390338684548</v>
      </c>
      <c r="AN19" s="12">
        <v>0.43893867225809413</v>
      </c>
      <c r="AO19" s="12">
        <v>0.75837349223772954</v>
      </c>
      <c r="AP19" s="12">
        <v>0</v>
      </c>
      <c r="AQ19" s="12">
        <v>0</v>
      </c>
      <c r="EA19" s="8" t="s">
        <v>158</v>
      </c>
      <c r="EB19" s="12">
        <v>0</v>
      </c>
      <c r="EC19" s="12">
        <v>0</v>
      </c>
      <c r="ED19" s="12">
        <v>1.0917610584553953E-2</v>
      </c>
      <c r="EE19" s="12">
        <v>0.11424313430120764</v>
      </c>
      <c r="EF19" s="12">
        <v>0.16775481842053849</v>
      </c>
      <c r="EG19" s="12">
        <v>0.16911069669978496</v>
      </c>
      <c r="EH19" s="12">
        <v>6.9832914809984617E-2</v>
      </c>
      <c r="EI19" s="12">
        <v>4.5331915322637077E-3</v>
      </c>
      <c r="EJ19" s="12">
        <v>0</v>
      </c>
      <c r="EK19" s="12">
        <v>0</v>
      </c>
      <c r="EL19" s="10">
        <v>3.1388143269885641E-4</v>
      </c>
      <c r="EM19" s="12">
        <v>0.10623738009802676</v>
      </c>
      <c r="EN19" s="12">
        <v>0.33006469599538646</v>
      </c>
      <c r="EO19" s="12">
        <v>0.4561825673575613</v>
      </c>
      <c r="EP19" s="12">
        <v>0.45964126927986176</v>
      </c>
      <c r="EQ19" s="12">
        <v>0.44180541412611046</v>
      </c>
      <c r="ER19" s="12">
        <v>0.34846852214584023</v>
      </c>
      <c r="ES19" s="12">
        <v>0.17398900324417332</v>
      </c>
      <c r="ET19" s="12">
        <v>1.7326756581403563E-2</v>
      </c>
      <c r="EU19" s="12">
        <v>0</v>
      </c>
      <c r="EV19" s="10">
        <v>4.5654985613954174E-3</v>
      </c>
      <c r="EW19" s="12">
        <v>0.18956926456684819</v>
      </c>
      <c r="EX19" s="12">
        <v>0.4019407195948938</v>
      </c>
      <c r="EY19" s="12">
        <v>0.4912890035587909</v>
      </c>
      <c r="EZ19" s="12">
        <v>0.4825386087287738</v>
      </c>
      <c r="FA19" s="12">
        <v>0.46051795419459002</v>
      </c>
      <c r="FB19" s="12">
        <v>0.40331003166448282</v>
      </c>
      <c r="FC19" s="12">
        <v>0.25870633147112959</v>
      </c>
      <c r="FD19" s="12">
        <v>6.2964801971921919E-2</v>
      </c>
      <c r="FE19" s="12">
        <v>0</v>
      </c>
      <c r="FF19" s="12">
        <v>0</v>
      </c>
      <c r="FG19" s="12">
        <v>1.1998263742275138E-2</v>
      </c>
      <c r="FH19" s="12">
        <v>0.12364091590535202</v>
      </c>
      <c r="FI19" s="12">
        <v>0.23373682430094761</v>
      </c>
      <c r="FJ19" s="12">
        <v>0.24004656963958251</v>
      </c>
      <c r="FK19" s="12">
        <v>0.2316599693708212</v>
      </c>
      <c r="FL19" s="12">
        <v>0.145418128181178</v>
      </c>
      <c r="FM19" s="12">
        <v>3.9487223885110251E-2</v>
      </c>
      <c r="FN19" s="10">
        <v>0</v>
      </c>
      <c r="FO19" s="12">
        <v>0</v>
      </c>
      <c r="FQ19" s="8" t="s">
        <v>158</v>
      </c>
      <c r="FR19" s="8" t="s">
        <v>207</v>
      </c>
      <c r="FS19" s="8" t="s">
        <v>208</v>
      </c>
      <c r="FT19" s="12">
        <v>0.43086416978663267</v>
      </c>
    </row>
    <row r="20" spans="2:176" x14ac:dyDescent="0.45">
      <c r="B20" s="9" t="s">
        <v>159</v>
      </c>
      <c r="C20" s="9" t="s">
        <v>31</v>
      </c>
      <c r="D20" s="13">
        <v>0</v>
      </c>
      <c r="E20" s="13">
        <v>0</v>
      </c>
      <c r="F20" s="13">
        <v>0.86017363704560745</v>
      </c>
      <c r="G20" s="13">
        <v>0.36734555792203166</v>
      </c>
      <c r="H20" s="13">
        <v>0.26262153843651487</v>
      </c>
      <c r="I20" s="13">
        <v>0.30414342957484314</v>
      </c>
      <c r="J20" s="13">
        <v>0.50590547169002298</v>
      </c>
      <c r="K20" s="13">
        <v>0.93583465834370039</v>
      </c>
      <c r="L20" s="13">
        <v>0</v>
      </c>
      <c r="M20" s="13">
        <v>0</v>
      </c>
      <c r="N20" s="13">
        <v>0.97608393931073345</v>
      </c>
      <c r="O20" s="13">
        <v>0.54313722946713761</v>
      </c>
      <c r="P20" s="13">
        <v>0.27344067910376568</v>
      </c>
      <c r="Q20" s="13">
        <v>0.18584948714674973</v>
      </c>
      <c r="R20" s="13">
        <v>0.13618954769604716</v>
      </c>
      <c r="S20" s="13">
        <v>0.14984956421661272</v>
      </c>
      <c r="T20" s="13">
        <v>0.22549852045337859</v>
      </c>
      <c r="U20" s="13">
        <v>0.35627352619994795</v>
      </c>
      <c r="V20" s="13">
        <v>0.78036129562653211</v>
      </c>
      <c r="W20" s="13">
        <v>0</v>
      </c>
      <c r="X20" s="13">
        <v>0.9099106361033702</v>
      </c>
      <c r="Y20" s="13">
        <v>0.32730396126874239</v>
      </c>
      <c r="Z20" s="13">
        <v>0.20420532198475014</v>
      </c>
      <c r="AA20" s="13">
        <v>0.15028920274513505</v>
      </c>
      <c r="AB20" s="13">
        <v>0.11138037847381585</v>
      </c>
      <c r="AC20" s="13">
        <v>0.10982715348231484</v>
      </c>
      <c r="AD20" s="13">
        <v>0.1365850641499213</v>
      </c>
      <c r="AE20" s="13">
        <v>0.1880215482254996</v>
      </c>
      <c r="AF20" s="13">
        <v>0.39994560399222567</v>
      </c>
      <c r="AG20" s="13">
        <v>0</v>
      </c>
      <c r="AH20" s="13">
        <v>0</v>
      </c>
      <c r="AI20" s="13">
        <v>0.91023365196608241</v>
      </c>
      <c r="AJ20" s="13">
        <v>0.54680775531000303</v>
      </c>
      <c r="AK20" s="13">
        <v>0.39253734435142795</v>
      </c>
      <c r="AL20" s="13">
        <v>0.31040350631198632</v>
      </c>
      <c r="AM20" s="13">
        <v>0.34918695266717292</v>
      </c>
      <c r="AN20" s="13">
        <v>0.46903936892958153</v>
      </c>
      <c r="AO20" s="13">
        <v>0.76935908208623083</v>
      </c>
      <c r="AP20" s="13">
        <v>0</v>
      </c>
      <c r="AQ20" s="13">
        <v>0</v>
      </c>
      <c r="EA20" s="9" t="s">
        <v>159</v>
      </c>
      <c r="EB20" s="13">
        <v>0</v>
      </c>
      <c r="EC20" s="13">
        <v>0</v>
      </c>
      <c r="ED20" s="13">
        <v>8.6400117857718377E-3</v>
      </c>
      <c r="EE20" s="13">
        <v>9.5267723089383929E-2</v>
      </c>
      <c r="EF20" s="13">
        <v>0.14963954280708691</v>
      </c>
      <c r="EG20" s="13">
        <v>0.13619917301058268</v>
      </c>
      <c r="EH20" s="13">
        <v>5.5059550540868203E-2</v>
      </c>
      <c r="EI20" s="13">
        <v>4.2722770313258366E-3</v>
      </c>
      <c r="EJ20" s="13">
        <v>0</v>
      </c>
      <c r="EK20" s="13">
        <v>0</v>
      </c>
      <c r="EL20" s="11">
        <v>9.108806165824461E-4</v>
      </c>
      <c r="EM20" s="13">
        <v>0.10413440366149324</v>
      </c>
      <c r="EN20" s="13">
        <v>0.34259101043633466</v>
      </c>
      <c r="EO20" s="13">
        <v>0.49187056645081151</v>
      </c>
      <c r="EP20" s="13">
        <v>0.4772766698568372</v>
      </c>
      <c r="EQ20" s="13">
        <v>0.47124269108551153</v>
      </c>
      <c r="ER20" s="13">
        <v>0.38146763102663905</v>
      </c>
      <c r="ES20" s="13">
        <v>0.19148256503510877</v>
      </c>
      <c r="ET20" s="13">
        <v>2.3056561707725198E-2</v>
      </c>
      <c r="EU20" s="13">
        <v>0</v>
      </c>
      <c r="EV20" s="11">
        <v>5.2771672635143216E-3</v>
      </c>
      <c r="EW20" s="13">
        <v>0.16657105252588739</v>
      </c>
      <c r="EX20" s="13">
        <v>0.35915842206127951</v>
      </c>
      <c r="EY20" s="13">
        <v>0.46797033374234764</v>
      </c>
      <c r="EZ20" s="13">
        <v>0.47736667292040796</v>
      </c>
      <c r="FA20" s="13">
        <v>0.46801615110823386</v>
      </c>
      <c r="FB20" s="13">
        <v>0.40950669234407683</v>
      </c>
      <c r="FC20" s="13">
        <v>0.27222182457646932</v>
      </c>
      <c r="FD20" s="13">
        <v>8.2483147730466472E-2</v>
      </c>
      <c r="FE20" s="13">
        <v>0</v>
      </c>
      <c r="FF20" s="13">
        <v>0</v>
      </c>
      <c r="FG20" s="13">
        <v>1.0006180181175913E-2</v>
      </c>
      <c r="FH20" s="13">
        <v>0.10227938040850636</v>
      </c>
      <c r="FI20" s="13">
        <v>0.19768339864458173</v>
      </c>
      <c r="FJ20" s="13">
        <v>0.21172650496979972</v>
      </c>
      <c r="FK20" s="13">
        <v>0.20662281792856804</v>
      </c>
      <c r="FL20" s="13">
        <v>0.13526473735397385</v>
      </c>
      <c r="FM20" s="13">
        <v>3.8956483467496757E-2</v>
      </c>
      <c r="FN20" s="11">
        <v>0</v>
      </c>
      <c r="FO20" s="13">
        <v>0</v>
      </c>
      <c r="FQ20" s="9" t="s">
        <v>159</v>
      </c>
      <c r="FR20" s="9" t="s">
        <v>207</v>
      </c>
      <c r="FS20" s="9" t="s">
        <v>208</v>
      </c>
      <c r="FT20" s="13">
        <v>0.43445953572656093</v>
      </c>
    </row>
    <row r="21" spans="2:176" x14ac:dyDescent="0.45">
      <c r="B21" s="8" t="s">
        <v>160</v>
      </c>
      <c r="C21" s="8" t="s">
        <v>31</v>
      </c>
      <c r="D21" s="12">
        <v>0</v>
      </c>
      <c r="E21" s="12">
        <v>0</v>
      </c>
      <c r="F21" s="12">
        <v>0.83679970817131843</v>
      </c>
      <c r="G21" s="12">
        <v>0.34998189224764437</v>
      </c>
      <c r="H21" s="12">
        <v>0.22363670455498355</v>
      </c>
      <c r="I21" s="12">
        <v>0.27600724168388718</v>
      </c>
      <c r="J21" s="12">
        <v>0.50562232319742462</v>
      </c>
      <c r="K21" s="12">
        <v>0.93666007643469551</v>
      </c>
      <c r="L21" s="12">
        <v>0</v>
      </c>
      <c r="M21" s="12">
        <v>0</v>
      </c>
      <c r="N21" s="12">
        <v>0.96956521739130463</v>
      </c>
      <c r="O21" s="12">
        <v>0.52466724844574764</v>
      </c>
      <c r="P21" s="12">
        <v>0.29046800626423036</v>
      </c>
      <c r="Q21" s="12">
        <v>0.19417385003249535</v>
      </c>
      <c r="R21" s="12">
        <v>0.14621034425396595</v>
      </c>
      <c r="S21" s="12">
        <v>0.16788594504082319</v>
      </c>
      <c r="T21" s="12">
        <v>0.24944275686483494</v>
      </c>
      <c r="U21" s="12">
        <v>0.36414781465496199</v>
      </c>
      <c r="V21" s="12">
        <v>0.78013870847048628</v>
      </c>
      <c r="W21" s="12">
        <v>0</v>
      </c>
      <c r="X21" s="12">
        <v>0.90429495696231799</v>
      </c>
      <c r="Y21" s="12">
        <v>0.27554041627098202</v>
      </c>
      <c r="Z21" s="12">
        <v>0.17965891341901979</v>
      </c>
      <c r="AA21" s="12">
        <v>0.14484763804607512</v>
      </c>
      <c r="AB21" s="12">
        <v>0.10762777659191881</v>
      </c>
      <c r="AC21" s="12">
        <v>0.10576627869603004</v>
      </c>
      <c r="AD21" s="12">
        <v>0.12910592690859471</v>
      </c>
      <c r="AE21" s="12">
        <v>0.18484473367274992</v>
      </c>
      <c r="AF21" s="12">
        <v>0.41645020158963042</v>
      </c>
      <c r="AG21" s="12">
        <v>0</v>
      </c>
      <c r="AH21" s="12">
        <v>0</v>
      </c>
      <c r="AI21" s="12">
        <v>0.88982905854143135</v>
      </c>
      <c r="AJ21" s="12">
        <v>0.52142370464883225</v>
      </c>
      <c r="AK21" s="12">
        <v>0.35859441247586049</v>
      </c>
      <c r="AL21" s="12">
        <v>0.29551132045861744</v>
      </c>
      <c r="AM21" s="12">
        <v>0.34223477300171706</v>
      </c>
      <c r="AN21" s="12">
        <v>0.45926351660563924</v>
      </c>
      <c r="AO21" s="12">
        <v>0.75606187053512797</v>
      </c>
      <c r="AP21" s="12">
        <v>0</v>
      </c>
      <c r="AQ21" s="12">
        <v>0</v>
      </c>
      <c r="EA21" s="8" t="s">
        <v>160</v>
      </c>
      <c r="EB21" s="12">
        <v>0</v>
      </c>
      <c r="EC21" s="12">
        <v>0</v>
      </c>
      <c r="ED21" s="12">
        <v>7.4608917908702719E-3</v>
      </c>
      <c r="EE21" s="12">
        <v>9.9980415219403512E-2</v>
      </c>
      <c r="EF21" s="12">
        <v>0.15650096946551745</v>
      </c>
      <c r="EG21" s="12">
        <v>0.15092774830502836</v>
      </c>
      <c r="EH21" s="12">
        <v>6.3811631525969637E-2</v>
      </c>
      <c r="EI21" s="12">
        <v>4.8500927935503863E-3</v>
      </c>
      <c r="EJ21" s="12">
        <v>0</v>
      </c>
      <c r="EK21" s="12">
        <v>0</v>
      </c>
      <c r="EL21" s="10">
        <v>6.8301899822975436E-4</v>
      </c>
      <c r="EM21" s="12">
        <v>0.10366291273763992</v>
      </c>
      <c r="EN21" s="12">
        <v>0.33311858776366743</v>
      </c>
      <c r="EO21" s="12">
        <v>0.47951775556466275</v>
      </c>
      <c r="EP21" s="12">
        <v>0.47214040656443645</v>
      </c>
      <c r="EQ21" s="12">
        <v>0.45917233656535733</v>
      </c>
      <c r="ER21" s="12">
        <v>0.36345224025870609</v>
      </c>
      <c r="ES21" s="12">
        <v>0.17752573576803704</v>
      </c>
      <c r="ET21" s="12">
        <v>1.8573643877073026E-2</v>
      </c>
      <c r="EU21" s="12">
        <v>0</v>
      </c>
      <c r="EV21" s="10">
        <v>5.3346161209716983E-3</v>
      </c>
      <c r="EW21" s="12">
        <v>0.18380270346180114</v>
      </c>
      <c r="EX21" s="12">
        <v>0.38172176237127275</v>
      </c>
      <c r="EY21" s="12">
        <v>0.48114583024610375</v>
      </c>
      <c r="EZ21" s="12">
        <v>0.4813316118209317</v>
      </c>
      <c r="FA21" s="12">
        <v>0.47218342454382506</v>
      </c>
      <c r="FB21" s="12">
        <v>0.40998644605093071</v>
      </c>
      <c r="FC21" s="12">
        <v>0.26330803496149352</v>
      </c>
      <c r="FD21" s="12">
        <v>7.1505797476429198E-2</v>
      </c>
      <c r="FE21" s="12">
        <v>0</v>
      </c>
      <c r="FF21" s="12">
        <v>0</v>
      </c>
      <c r="FG21" s="12">
        <v>1.0417502844161968E-2</v>
      </c>
      <c r="FH21" s="12">
        <v>0.11450173771925952</v>
      </c>
      <c r="FI21" s="12">
        <v>0.21066625952613174</v>
      </c>
      <c r="FJ21" s="12">
        <v>0.2233247947023301</v>
      </c>
      <c r="FK21" s="12">
        <v>0.2180947930556669</v>
      </c>
      <c r="FL21" s="12">
        <v>0.14270097858516406</v>
      </c>
      <c r="FM21" s="12">
        <v>3.9730025354388729E-2</v>
      </c>
      <c r="FN21" s="10">
        <v>0</v>
      </c>
      <c r="FO21" s="12">
        <v>0</v>
      </c>
      <c r="FQ21" s="8" t="s">
        <v>160</v>
      </c>
      <c r="FR21" s="8" t="s">
        <v>207</v>
      </c>
      <c r="FS21" s="8" t="s">
        <v>208</v>
      </c>
      <c r="FT21" s="12">
        <v>0.43096029917578094</v>
      </c>
    </row>
    <row r="22" spans="2:176" x14ac:dyDescent="0.45">
      <c r="B22" s="9" t="s">
        <v>161</v>
      </c>
      <c r="C22" s="9" t="s">
        <v>31</v>
      </c>
      <c r="D22" s="13">
        <v>0</v>
      </c>
      <c r="E22" s="13">
        <v>0</v>
      </c>
      <c r="F22" s="13">
        <v>0.77286700374345729</v>
      </c>
      <c r="G22" s="13">
        <v>0.32610794813079014</v>
      </c>
      <c r="H22" s="13">
        <v>0.21616899398680964</v>
      </c>
      <c r="I22" s="13">
        <v>0.24278064591200299</v>
      </c>
      <c r="J22" s="13">
        <v>0.4484867848821098</v>
      </c>
      <c r="K22" s="13">
        <v>0.90703919412922362</v>
      </c>
      <c r="L22" s="13">
        <v>0</v>
      </c>
      <c r="M22" s="13">
        <v>0</v>
      </c>
      <c r="N22" s="13">
        <v>0</v>
      </c>
      <c r="O22" s="13">
        <v>0.56904802700665302</v>
      </c>
      <c r="P22" s="13">
        <v>0.30939944909645417</v>
      </c>
      <c r="Q22" s="13">
        <v>0.23104261168039406</v>
      </c>
      <c r="R22" s="13">
        <v>0.1854148848050316</v>
      </c>
      <c r="S22" s="13">
        <v>0.20399879605866572</v>
      </c>
      <c r="T22" s="13">
        <v>0.25092983897879795</v>
      </c>
      <c r="U22" s="13">
        <v>0.3860892357919018</v>
      </c>
      <c r="V22" s="13">
        <v>0.81426988305985737</v>
      </c>
      <c r="W22" s="13">
        <v>0</v>
      </c>
      <c r="X22" s="13">
        <v>0</v>
      </c>
      <c r="Y22" s="13">
        <v>0.31189633716072124</v>
      </c>
      <c r="Z22" s="13">
        <v>0.19906223104456733</v>
      </c>
      <c r="AA22" s="13">
        <v>0.15334353277574259</v>
      </c>
      <c r="AB22" s="13">
        <v>0.12088064584991043</v>
      </c>
      <c r="AC22" s="13">
        <v>0.130401463891997</v>
      </c>
      <c r="AD22" s="13">
        <v>0.15817362451900494</v>
      </c>
      <c r="AE22" s="13">
        <v>0.21494336529617294</v>
      </c>
      <c r="AF22" s="13">
        <v>0.58867740223289566</v>
      </c>
      <c r="AG22" s="13">
        <v>0</v>
      </c>
      <c r="AH22" s="13">
        <v>0</v>
      </c>
      <c r="AI22" s="13">
        <v>0.89785959469502785</v>
      </c>
      <c r="AJ22" s="13">
        <v>0.4041479062585262</v>
      </c>
      <c r="AK22" s="13">
        <v>0.25993092837485376</v>
      </c>
      <c r="AL22" s="13">
        <v>0.21742976174080889</v>
      </c>
      <c r="AM22" s="13">
        <v>0.23620138726965947</v>
      </c>
      <c r="AN22" s="13">
        <v>0.34146771968572026</v>
      </c>
      <c r="AO22" s="13">
        <v>0.71454143535217129</v>
      </c>
      <c r="AP22" s="13">
        <v>0</v>
      </c>
      <c r="AQ22" s="13">
        <v>0</v>
      </c>
      <c r="EA22" s="9" t="s">
        <v>161</v>
      </c>
      <c r="EB22" s="13">
        <v>0</v>
      </c>
      <c r="EC22" s="13">
        <v>0</v>
      </c>
      <c r="ED22" s="13">
        <v>2.2317905376712764E-2</v>
      </c>
      <c r="EE22" s="13">
        <v>0.16053743851456689</v>
      </c>
      <c r="EF22" s="13">
        <v>0.21208846128345063</v>
      </c>
      <c r="EG22" s="13">
        <v>0.21934090646555987</v>
      </c>
      <c r="EH22" s="13">
        <v>9.9823761726255025E-2</v>
      </c>
      <c r="EI22" s="13">
        <v>6.8540230601360878E-3</v>
      </c>
      <c r="EJ22" s="13">
        <v>0</v>
      </c>
      <c r="EK22" s="13">
        <v>0</v>
      </c>
      <c r="EL22" s="11">
        <v>0</v>
      </c>
      <c r="EM22" s="13">
        <v>8.5934395919941495E-2</v>
      </c>
      <c r="EN22" s="13">
        <v>0.30786800662731012</v>
      </c>
      <c r="EO22" s="13">
        <v>0.44129423739641899</v>
      </c>
      <c r="EP22" s="13">
        <v>0.441019623701914</v>
      </c>
      <c r="EQ22" s="13">
        <v>0.42157116506770231</v>
      </c>
      <c r="ER22" s="13">
        <v>0.32738883108459632</v>
      </c>
      <c r="ES22" s="13">
        <v>0.16210615886751228</v>
      </c>
      <c r="ET22" s="13">
        <v>1.2520659420168407E-2</v>
      </c>
      <c r="EU22" s="13">
        <v>0</v>
      </c>
      <c r="EV22" s="11">
        <v>0</v>
      </c>
      <c r="EW22" s="13">
        <v>0.15980179356059362</v>
      </c>
      <c r="EX22" s="13">
        <v>0.37933286369621855</v>
      </c>
      <c r="EY22" s="13">
        <v>0.48607884684941183</v>
      </c>
      <c r="EZ22" s="13">
        <v>0.4912862967521649</v>
      </c>
      <c r="FA22" s="13">
        <v>0.47077557541344289</v>
      </c>
      <c r="FB22" s="13">
        <v>0.39630484855429471</v>
      </c>
      <c r="FC22" s="13">
        <v>0.24928052626350147</v>
      </c>
      <c r="FD22" s="13">
        <v>4.8796877486328848E-2</v>
      </c>
      <c r="FE22" s="13">
        <v>0</v>
      </c>
      <c r="FF22" s="13">
        <v>0</v>
      </c>
      <c r="FG22" s="13">
        <v>1.2307573593379979E-2</v>
      </c>
      <c r="FH22" s="13">
        <v>0.15504175444306301</v>
      </c>
      <c r="FI22" s="13">
        <v>0.2889185057845664</v>
      </c>
      <c r="FJ22" s="13">
        <v>0.28952700753751348</v>
      </c>
      <c r="FK22" s="13">
        <v>0.29161803548662879</v>
      </c>
      <c r="FL22" s="13">
        <v>0.18431092395893417</v>
      </c>
      <c r="FM22" s="13">
        <v>4.535899368284884E-2</v>
      </c>
      <c r="FN22" s="11">
        <v>0</v>
      </c>
      <c r="FO22" s="13">
        <v>0</v>
      </c>
      <c r="FQ22" s="9" t="s">
        <v>161</v>
      </c>
      <c r="FR22" s="9" t="s">
        <v>207</v>
      </c>
      <c r="FS22" s="9" t="s">
        <v>208</v>
      </c>
      <c r="FT22" s="13">
        <v>0.44534932547678008</v>
      </c>
    </row>
    <row r="23" spans="2:176" x14ac:dyDescent="0.45">
      <c r="B23" s="8" t="s">
        <v>162</v>
      </c>
      <c r="C23" s="8" t="s">
        <v>31</v>
      </c>
      <c r="D23" s="12">
        <v>0</v>
      </c>
      <c r="E23" s="12">
        <v>0</v>
      </c>
      <c r="F23" s="12">
        <v>0.75428108433490615</v>
      </c>
      <c r="G23" s="12">
        <v>0.32542375277237884</v>
      </c>
      <c r="H23" s="12">
        <v>0.21065223366905414</v>
      </c>
      <c r="I23" s="12">
        <v>0.25490759806284774</v>
      </c>
      <c r="J23" s="12">
        <v>0.46339059698471119</v>
      </c>
      <c r="K23" s="12">
        <v>0.91710977107775404</v>
      </c>
      <c r="L23" s="12">
        <v>0</v>
      </c>
      <c r="M23" s="12">
        <v>0</v>
      </c>
      <c r="N23" s="12">
        <v>0.98980862822480431</v>
      </c>
      <c r="O23" s="12">
        <v>0.52966018877151588</v>
      </c>
      <c r="P23" s="12">
        <v>0.29503065004002244</v>
      </c>
      <c r="Q23" s="12">
        <v>0.222798829922151</v>
      </c>
      <c r="R23" s="12">
        <v>0.17612755677934688</v>
      </c>
      <c r="S23" s="12">
        <v>0.19424124209266921</v>
      </c>
      <c r="T23" s="12">
        <v>0.24461109769327169</v>
      </c>
      <c r="U23" s="12">
        <v>0.36401476964365598</v>
      </c>
      <c r="V23" s="12">
        <v>0.82211691014167165</v>
      </c>
      <c r="W23" s="12">
        <v>0</v>
      </c>
      <c r="X23" s="12">
        <v>0.92416995168345151</v>
      </c>
      <c r="Y23" s="12">
        <v>0.2789733106088314</v>
      </c>
      <c r="Z23" s="12">
        <v>0.15919614426981593</v>
      </c>
      <c r="AA23" s="12">
        <v>0.12671406120270579</v>
      </c>
      <c r="AB23" s="12">
        <v>0.10681700338275565</v>
      </c>
      <c r="AC23" s="12">
        <v>0.12023443778979541</v>
      </c>
      <c r="AD23" s="12">
        <v>0.14882663453613743</v>
      </c>
      <c r="AE23" s="12">
        <v>0.197105967162192</v>
      </c>
      <c r="AF23" s="12">
        <v>0.57484088657254917</v>
      </c>
      <c r="AG23" s="12">
        <v>0</v>
      </c>
      <c r="AH23" s="12">
        <v>0</v>
      </c>
      <c r="AI23" s="12">
        <v>0.87667138549519985</v>
      </c>
      <c r="AJ23" s="12">
        <v>0.40086482650833077</v>
      </c>
      <c r="AK23" s="12">
        <v>0.26564987107310595</v>
      </c>
      <c r="AL23" s="12">
        <v>0.20488342210247018</v>
      </c>
      <c r="AM23" s="12">
        <v>0.23971239124909105</v>
      </c>
      <c r="AN23" s="12">
        <v>0.35554550302904531</v>
      </c>
      <c r="AO23" s="12">
        <v>0.72891977242149775</v>
      </c>
      <c r="AP23" s="12">
        <v>0</v>
      </c>
      <c r="AQ23" s="12">
        <v>0</v>
      </c>
      <c r="EA23" s="8" t="s">
        <v>162</v>
      </c>
      <c r="EB23" s="12">
        <v>0</v>
      </c>
      <c r="EC23" s="12">
        <v>0</v>
      </c>
      <c r="ED23" s="12">
        <v>1.9741803714383235E-2</v>
      </c>
      <c r="EE23" s="12">
        <v>0.14563902370692788</v>
      </c>
      <c r="EF23" s="12">
        <v>0.19101233678567561</v>
      </c>
      <c r="EG23" s="12">
        <v>0.19226593752341634</v>
      </c>
      <c r="EH23" s="12">
        <v>7.6966481939658257E-2</v>
      </c>
      <c r="EI23" s="12">
        <v>4.0760413669756138E-3</v>
      </c>
      <c r="EJ23" s="12">
        <v>0</v>
      </c>
      <c r="EK23" s="12">
        <v>0</v>
      </c>
      <c r="EL23" s="10">
        <v>2.2652536115384392E-5</v>
      </c>
      <c r="EM23" s="12">
        <v>0.10075698976855263</v>
      </c>
      <c r="EN23" s="12">
        <v>0.32636937913059966</v>
      </c>
      <c r="EO23" s="12">
        <v>0.45003026390867001</v>
      </c>
      <c r="EP23" s="12">
        <v>0.4530281485276883</v>
      </c>
      <c r="EQ23" s="12">
        <v>0.43243083996088927</v>
      </c>
      <c r="ER23" s="12">
        <v>0.33970736416552366</v>
      </c>
      <c r="ES23" s="12">
        <v>0.16752103613462016</v>
      </c>
      <c r="ET23" s="12">
        <v>1.3200200393291839E-2</v>
      </c>
      <c r="EU23" s="12">
        <v>0</v>
      </c>
      <c r="EV23" s="10">
        <v>1.5679408575519122E-3</v>
      </c>
      <c r="EW23" s="12">
        <v>0.17555204162325486</v>
      </c>
      <c r="EX23" s="12">
        <v>0.39886174223003307</v>
      </c>
      <c r="EY23" s="12">
        <v>0.50049291888110847</v>
      </c>
      <c r="EZ23" s="12">
        <v>0.49611177489218411</v>
      </c>
      <c r="FA23" s="12">
        <v>0.47334624606537362</v>
      </c>
      <c r="FB23" s="12">
        <v>0.39643811415695734</v>
      </c>
      <c r="FC23" s="12">
        <v>0.24668384831597337</v>
      </c>
      <c r="FD23" s="12">
        <v>4.796056560644664E-2</v>
      </c>
      <c r="FE23" s="12">
        <v>0</v>
      </c>
      <c r="FF23" s="12">
        <v>0</v>
      </c>
      <c r="FG23" s="12">
        <v>1.5242407708122496E-2</v>
      </c>
      <c r="FH23" s="12">
        <v>0.14747532731767313</v>
      </c>
      <c r="FI23" s="12">
        <v>0.27797965130412616</v>
      </c>
      <c r="FJ23" s="12">
        <v>0.2788233121524713</v>
      </c>
      <c r="FK23" s="12">
        <v>0.26332297059634252</v>
      </c>
      <c r="FL23" s="12">
        <v>0.15654139193762109</v>
      </c>
      <c r="FM23" s="12">
        <v>3.7905088282602084E-2</v>
      </c>
      <c r="FN23" s="10">
        <v>0</v>
      </c>
      <c r="FO23" s="12">
        <v>0</v>
      </c>
      <c r="FQ23" s="8" t="s">
        <v>162</v>
      </c>
      <c r="FR23" s="8" t="s">
        <v>207</v>
      </c>
      <c r="FS23" s="8" t="s">
        <v>208</v>
      </c>
      <c r="FT23" s="12">
        <v>0.42024429479619446</v>
      </c>
    </row>
    <row r="24" spans="2:176" x14ac:dyDescent="0.45">
      <c r="B24" s="9" t="s">
        <v>163</v>
      </c>
      <c r="C24" s="9" t="s">
        <v>31</v>
      </c>
      <c r="D24" s="13">
        <v>0</v>
      </c>
      <c r="E24" s="13">
        <v>0</v>
      </c>
      <c r="F24" s="13">
        <v>0.82324719103248534</v>
      </c>
      <c r="G24" s="13">
        <v>0.29731518790218409</v>
      </c>
      <c r="H24" s="13">
        <v>0.18605420318604504</v>
      </c>
      <c r="I24" s="13">
        <v>0.21411993973881152</v>
      </c>
      <c r="J24" s="13">
        <v>0.39207883000624488</v>
      </c>
      <c r="K24" s="13">
        <v>0.87693496091072964</v>
      </c>
      <c r="L24" s="13">
        <v>0</v>
      </c>
      <c r="M24" s="13">
        <v>0</v>
      </c>
      <c r="N24" s="13">
        <v>0</v>
      </c>
      <c r="O24" s="13">
        <v>0.6326571781889041</v>
      </c>
      <c r="P24" s="13">
        <v>0.33115011338233175</v>
      </c>
      <c r="Q24" s="13">
        <v>0.2350803622944434</v>
      </c>
      <c r="R24" s="13">
        <v>0.16498128500745987</v>
      </c>
      <c r="S24" s="13">
        <v>0.17054116748080311</v>
      </c>
      <c r="T24" s="13">
        <v>0.24521704551789653</v>
      </c>
      <c r="U24" s="13">
        <v>0.34500444395937285</v>
      </c>
      <c r="V24" s="13">
        <v>0.8006077289432636</v>
      </c>
      <c r="W24" s="13">
        <v>0</v>
      </c>
      <c r="X24" s="13">
        <v>0</v>
      </c>
      <c r="Y24" s="13">
        <v>0.36189492868244344</v>
      </c>
      <c r="Z24" s="13">
        <v>0.2187797616820929</v>
      </c>
      <c r="AA24" s="13">
        <v>0.16415257092211044</v>
      </c>
      <c r="AB24" s="13">
        <v>0.12947063655105029</v>
      </c>
      <c r="AC24" s="13">
        <v>0.12903069922623181</v>
      </c>
      <c r="AD24" s="13">
        <v>0.14915020921425498</v>
      </c>
      <c r="AE24" s="13">
        <v>0.20319558724035924</v>
      </c>
      <c r="AF24" s="13">
        <v>0.46958134183257916</v>
      </c>
      <c r="AG24" s="13">
        <v>0</v>
      </c>
      <c r="AH24" s="13">
        <v>0</v>
      </c>
      <c r="AI24" s="13">
        <v>0.91133908009809561</v>
      </c>
      <c r="AJ24" s="13">
        <v>0.41970278013443335</v>
      </c>
      <c r="AK24" s="13">
        <v>0.27758973124528757</v>
      </c>
      <c r="AL24" s="13">
        <v>0.2209297186511075</v>
      </c>
      <c r="AM24" s="13">
        <v>0.23514760713988353</v>
      </c>
      <c r="AN24" s="13">
        <v>0.31474193187975047</v>
      </c>
      <c r="AO24" s="13">
        <v>0.67573875750608237</v>
      </c>
      <c r="AP24" s="13">
        <v>0</v>
      </c>
      <c r="AQ24" s="13">
        <v>0</v>
      </c>
      <c r="EA24" s="9" t="s">
        <v>163</v>
      </c>
      <c r="EB24" s="13">
        <v>0</v>
      </c>
      <c r="EC24" s="13">
        <v>0</v>
      </c>
      <c r="ED24" s="13">
        <v>1.0712516328233706E-2</v>
      </c>
      <c r="EE24" s="13">
        <v>0.14887758771358356</v>
      </c>
      <c r="EF24" s="13">
        <v>0.21898392368337097</v>
      </c>
      <c r="EG24" s="13">
        <v>0.22856969108939931</v>
      </c>
      <c r="EH24" s="13">
        <v>0.11595175453426838</v>
      </c>
      <c r="EI24" s="13">
        <v>9.466827891007704E-3</v>
      </c>
      <c r="EJ24" s="13">
        <v>0</v>
      </c>
      <c r="EK24" s="13">
        <v>0</v>
      </c>
      <c r="EL24" s="11">
        <v>0</v>
      </c>
      <c r="EM24" s="13">
        <v>6.5916489972374967E-2</v>
      </c>
      <c r="EN24" s="13">
        <v>0.26901256618582531</v>
      </c>
      <c r="EO24" s="13">
        <v>0.41262600326471732</v>
      </c>
      <c r="EP24" s="13">
        <v>0.44028420537602253</v>
      </c>
      <c r="EQ24" s="13">
        <v>0.42095353981123507</v>
      </c>
      <c r="ER24" s="13">
        <v>0.32747301272155233</v>
      </c>
      <c r="ES24" s="13">
        <v>0.17892312731820847</v>
      </c>
      <c r="ET24" s="13">
        <v>1.8746509958886583E-2</v>
      </c>
      <c r="EU24" s="13">
        <v>0</v>
      </c>
      <c r="EV24" s="11">
        <v>0</v>
      </c>
      <c r="EW24" s="13">
        <v>0.1352937384946174</v>
      </c>
      <c r="EX24" s="13">
        <v>0.36244806160329857</v>
      </c>
      <c r="EY24" s="13">
        <v>0.48579925462398998</v>
      </c>
      <c r="EZ24" s="13">
        <v>0.48913026115705088</v>
      </c>
      <c r="FA24" s="13">
        <v>0.46335862753081936</v>
      </c>
      <c r="FB24" s="13">
        <v>0.39615994282930106</v>
      </c>
      <c r="FC24" s="13">
        <v>0.25388991945155753</v>
      </c>
      <c r="FD24" s="13">
        <v>6.5400619826076728E-2</v>
      </c>
      <c r="FE24" s="13">
        <v>0</v>
      </c>
      <c r="FF24" s="13">
        <v>0</v>
      </c>
      <c r="FG24" s="13">
        <v>8.2394638489811101E-3</v>
      </c>
      <c r="FH24" s="13">
        <v>0.135303113896898</v>
      </c>
      <c r="FI24" s="13">
        <v>0.27022055117470622</v>
      </c>
      <c r="FJ24" s="13">
        <v>0.29132254250738421</v>
      </c>
      <c r="FK24" s="13">
        <v>0.30229972691123591</v>
      </c>
      <c r="FL24" s="13">
        <v>0.20615709192447959</v>
      </c>
      <c r="FM24" s="13">
        <v>5.3593808385929878E-2</v>
      </c>
      <c r="FN24" s="11">
        <v>0</v>
      </c>
      <c r="FO24" s="13">
        <v>0</v>
      </c>
      <c r="FQ24" s="9" t="s">
        <v>163</v>
      </c>
      <c r="FR24" s="9" t="s">
        <v>207</v>
      </c>
      <c r="FS24" s="9" t="s">
        <v>208</v>
      </c>
      <c r="FT24" s="13">
        <v>0.42925221628434218</v>
      </c>
    </row>
    <row r="25" spans="2:176" x14ac:dyDescent="0.45">
      <c r="B25" s="8" t="s">
        <v>164</v>
      </c>
      <c r="C25" s="8" t="s">
        <v>31</v>
      </c>
      <c r="D25" s="12">
        <v>0</v>
      </c>
      <c r="E25" s="12">
        <v>0</v>
      </c>
      <c r="F25" s="12">
        <v>0.85684952053446983</v>
      </c>
      <c r="G25" s="12">
        <v>0.30991821052648505</v>
      </c>
      <c r="H25" s="12">
        <v>0.19810048954432805</v>
      </c>
      <c r="I25" s="12">
        <v>0.20940266985356945</v>
      </c>
      <c r="J25" s="12">
        <v>0.34490666878044052</v>
      </c>
      <c r="K25" s="12">
        <v>0.86511782878958121</v>
      </c>
      <c r="L25" s="12">
        <v>0</v>
      </c>
      <c r="M25" s="12">
        <v>0</v>
      </c>
      <c r="N25" s="12">
        <v>0</v>
      </c>
      <c r="O25" s="12">
        <v>0.63800337926337281</v>
      </c>
      <c r="P25" s="12">
        <v>0.34716577822686179</v>
      </c>
      <c r="Q25" s="12">
        <v>0.25777090478493658</v>
      </c>
      <c r="R25" s="12">
        <v>0.18918201204082447</v>
      </c>
      <c r="S25" s="12">
        <v>0.18590973597429966</v>
      </c>
      <c r="T25" s="12">
        <v>0.24013533345330551</v>
      </c>
      <c r="U25" s="12">
        <v>0.33559076576714186</v>
      </c>
      <c r="V25" s="12">
        <v>0.75124823240359939</v>
      </c>
      <c r="W25" s="12">
        <v>0</v>
      </c>
      <c r="X25" s="12">
        <v>0</v>
      </c>
      <c r="Y25" s="12">
        <v>0.35648692617597588</v>
      </c>
      <c r="Z25" s="12">
        <v>0.20427050398675312</v>
      </c>
      <c r="AA25" s="12">
        <v>0.14842771803304711</v>
      </c>
      <c r="AB25" s="12">
        <v>0.12479105886368104</v>
      </c>
      <c r="AC25" s="12">
        <v>0.12228377106974644</v>
      </c>
      <c r="AD25" s="12">
        <v>0.13596193337602788</v>
      </c>
      <c r="AE25" s="12">
        <v>0.19754555317791533</v>
      </c>
      <c r="AF25" s="12">
        <v>0.41621484111577417</v>
      </c>
      <c r="AG25" s="12">
        <v>0</v>
      </c>
      <c r="AH25" s="12">
        <v>0</v>
      </c>
      <c r="AI25" s="12">
        <v>0.93286069641858138</v>
      </c>
      <c r="AJ25" s="12">
        <v>0.44859958568473929</v>
      </c>
      <c r="AK25" s="12">
        <v>0.29055896134196646</v>
      </c>
      <c r="AL25" s="12">
        <v>0.21768209071789321</v>
      </c>
      <c r="AM25" s="12">
        <v>0.22781702551997066</v>
      </c>
      <c r="AN25" s="12">
        <v>0.31682141819112197</v>
      </c>
      <c r="AO25" s="12">
        <v>0.65399969741044717</v>
      </c>
      <c r="AP25" s="12">
        <v>0</v>
      </c>
      <c r="AQ25" s="12">
        <v>0</v>
      </c>
      <c r="EA25" s="8" t="s">
        <v>164</v>
      </c>
      <c r="EB25" s="12">
        <v>0</v>
      </c>
      <c r="EC25" s="12">
        <v>0</v>
      </c>
      <c r="ED25" s="12">
        <v>5.9536655932712059E-3</v>
      </c>
      <c r="EE25" s="12">
        <v>0.12465711066177618</v>
      </c>
      <c r="EF25" s="12">
        <v>0.19469184603841344</v>
      </c>
      <c r="EG25" s="12">
        <v>0.20202878328772705</v>
      </c>
      <c r="EH25" s="12">
        <v>0.10241884056795207</v>
      </c>
      <c r="EI25" s="12">
        <v>7.5468109230070095E-3</v>
      </c>
      <c r="EJ25" s="12">
        <v>0</v>
      </c>
      <c r="EK25" s="12">
        <v>0</v>
      </c>
      <c r="EL25" s="10">
        <v>0</v>
      </c>
      <c r="EM25" s="12">
        <v>6.4255995464365001E-2</v>
      </c>
      <c r="EN25" s="12">
        <v>0.26142105958668788</v>
      </c>
      <c r="EO25" s="12">
        <v>0.39684879630438863</v>
      </c>
      <c r="EP25" s="12">
        <v>0.4285362556875264</v>
      </c>
      <c r="EQ25" s="12">
        <v>0.40997661000401248</v>
      </c>
      <c r="ER25" s="12">
        <v>0.33516477416319784</v>
      </c>
      <c r="ES25" s="12">
        <v>0.18185720153991533</v>
      </c>
      <c r="ET25" s="12">
        <v>2.1636269563496811E-2</v>
      </c>
      <c r="EU25" s="12">
        <v>0</v>
      </c>
      <c r="EV25" s="10">
        <v>0</v>
      </c>
      <c r="EW25" s="12">
        <v>0.12896144408727067</v>
      </c>
      <c r="EX25" s="12">
        <v>0.36069777376120593</v>
      </c>
      <c r="EY25" s="12">
        <v>0.49617832032124576</v>
      </c>
      <c r="EZ25" s="12">
        <v>0.49245998628635457</v>
      </c>
      <c r="FA25" s="12">
        <v>0.47105776811650246</v>
      </c>
      <c r="FB25" s="12">
        <v>0.41344862525047826</v>
      </c>
      <c r="FC25" s="12">
        <v>0.27290052251020275</v>
      </c>
      <c r="FD25" s="12">
        <v>7.8982272270081894E-2</v>
      </c>
      <c r="FE25" s="12">
        <v>0</v>
      </c>
      <c r="FF25" s="12">
        <v>0</v>
      </c>
      <c r="FG25" s="12">
        <v>6.9480192978740975E-3</v>
      </c>
      <c r="FH25" s="12">
        <v>0.12616984243024931</v>
      </c>
      <c r="FI25" s="12">
        <v>0.26086987292049313</v>
      </c>
      <c r="FJ25" s="12">
        <v>0.28301293825846419</v>
      </c>
      <c r="FK25" s="12">
        <v>0.29556435646830836</v>
      </c>
      <c r="FL25" s="12">
        <v>0.20757653606217596</v>
      </c>
      <c r="FM25" s="12">
        <v>5.5406114479981651E-2</v>
      </c>
      <c r="FN25" s="10">
        <v>0</v>
      </c>
      <c r="FO25" s="12">
        <v>0</v>
      </c>
      <c r="FQ25" s="8" t="s">
        <v>164</v>
      </c>
      <c r="FR25" s="8" t="s">
        <v>207</v>
      </c>
      <c r="FS25" s="8" t="s">
        <v>208</v>
      </c>
      <c r="FT25" s="12">
        <v>0.45287679488465854</v>
      </c>
    </row>
    <row r="26" spans="2:176" x14ac:dyDescent="0.45">
      <c r="B26" s="9" t="s">
        <v>165</v>
      </c>
      <c r="C26" s="9" t="s">
        <v>31</v>
      </c>
      <c r="D26" s="13">
        <v>0</v>
      </c>
      <c r="E26" s="13">
        <v>0</v>
      </c>
      <c r="F26" s="13">
        <v>0.874253525679628</v>
      </c>
      <c r="G26" s="13">
        <v>0.34034067431334375</v>
      </c>
      <c r="H26" s="13">
        <v>0.22400463476149637</v>
      </c>
      <c r="I26" s="13">
        <v>0.22687628369795937</v>
      </c>
      <c r="J26" s="13">
        <v>0.42079198808698753</v>
      </c>
      <c r="K26" s="13">
        <v>0.87528640257629742</v>
      </c>
      <c r="L26" s="13">
        <v>0</v>
      </c>
      <c r="M26" s="13">
        <v>0</v>
      </c>
      <c r="N26" s="13">
        <v>0</v>
      </c>
      <c r="O26" s="13">
        <v>0.63797230436549135</v>
      </c>
      <c r="P26" s="13">
        <v>0.33188634837904391</v>
      </c>
      <c r="Q26" s="13">
        <v>0.2377903259660602</v>
      </c>
      <c r="R26" s="13">
        <v>0.17833889733422073</v>
      </c>
      <c r="S26" s="13">
        <v>0.1808956858471345</v>
      </c>
      <c r="T26" s="13">
        <v>0.23583939074960011</v>
      </c>
      <c r="U26" s="13">
        <v>0.3248226851409225</v>
      </c>
      <c r="V26" s="13">
        <v>0.73468675137181283</v>
      </c>
      <c r="W26" s="13">
        <v>0</v>
      </c>
      <c r="X26" s="13">
        <v>0</v>
      </c>
      <c r="Y26" s="13">
        <v>0.33882333300425871</v>
      </c>
      <c r="Z26" s="13">
        <v>0.18993269688586545</v>
      </c>
      <c r="AA26" s="13">
        <v>0.15120690880671211</v>
      </c>
      <c r="AB26" s="13">
        <v>0.11299199230418561</v>
      </c>
      <c r="AC26" s="13">
        <v>0.10843788583482877</v>
      </c>
      <c r="AD26" s="13">
        <v>0.13390957217831251</v>
      </c>
      <c r="AE26" s="13">
        <v>0.1851037431634755</v>
      </c>
      <c r="AF26" s="13">
        <v>0.37672812028729297</v>
      </c>
      <c r="AG26" s="13">
        <v>0</v>
      </c>
      <c r="AH26" s="13">
        <v>0</v>
      </c>
      <c r="AI26" s="13">
        <v>0.93377445155334926</v>
      </c>
      <c r="AJ26" s="13">
        <v>0.5052096568911415</v>
      </c>
      <c r="AK26" s="13">
        <v>0.30069457714810605</v>
      </c>
      <c r="AL26" s="13">
        <v>0.23185981002784101</v>
      </c>
      <c r="AM26" s="13">
        <v>0.24724957220891697</v>
      </c>
      <c r="AN26" s="13">
        <v>0.34754972024743563</v>
      </c>
      <c r="AO26" s="13">
        <v>0.67293756394940352</v>
      </c>
      <c r="AP26" s="13">
        <v>0</v>
      </c>
      <c r="AQ26" s="13">
        <v>0</v>
      </c>
      <c r="EA26" s="9" t="s">
        <v>165</v>
      </c>
      <c r="EB26" s="13">
        <v>0</v>
      </c>
      <c r="EC26" s="13">
        <v>0</v>
      </c>
      <c r="ED26" s="13">
        <v>5.781177684463428E-3</v>
      </c>
      <c r="EE26" s="13">
        <v>0.10083234305404688</v>
      </c>
      <c r="EF26" s="13">
        <v>0.16077187434170206</v>
      </c>
      <c r="EG26" s="13">
        <v>0.16406665099388704</v>
      </c>
      <c r="EH26" s="13">
        <v>7.0531861657401468E-2</v>
      </c>
      <c r="EI26" s="13">
        <v>4.4527316761514522E-3</v>
      </c>
      <c r="EJ26" s="13">
        <v>0</v>
      </c>
      <c r="EK26" s="13">
        <v>0</v>
      </c>
      <c r="EL26" s="11">
        <v>0</v>
      </c>
      <c r="EM26" s="13">
        <v>6.3958878821347473E-2</v>
      </c>
      <c r="EN26" s="13">
        <v>0.27052966362666891</v>
      </c>
      <c r="EO26" s="13">
        <v>0.42527236542852975</v>
      </c>
      <c r="EP26" s="13">
        <v>0.44836340621407411</v>
      </c>
      <c r="EQ26" s="13">
        <v>0.42700966946348728</v>
      </c>
      <c r="ER26" s="13">
        <v>0.3403186048087869</v>
      </c>
      <c r="ES26" s="13">
        <v>0.18466022026733384</v>
      </c>
      <c r="ET26" s="13">
        <v>2.7105167915862632E-2</v>
      </c>
      <c r="EU26" s="13">
        <v>0</v>
      </c>
      <c r="EV26" s="11">
        <v>0</v>
      </c>
      <c r="EW26" s="13">
        <v>0.14207735708193395</v>
      </c>
      <c r="EX26" s="13">
        <v>0.37013824312461419</v>
      </c>
      <c r="EY26" s="13">
        <v>0.49500716238815273</v>
      </c>
      <c r="EZ26" s="13">
        <v>0.49588313950767787</v>
      </c>
      <c r="FA26" s="13">
        <v>0.47191067613611937</v>
      </c>
      <c r="FB26" s="13">
        <v>0.41602183379080104</v>
      </c>
      <c r="FC26" s="13">
        <v>0.28116972995917677</v>
      </c>
      <c r="FD26" s="13">
        <v>9.024198755137601E-2</v>
      </c>
      <c r="FE26" s="13">
        <v>0</v>
      </c>
      <c r="FF26" s="13">
        <v>0</v>
      </c>
      <c r="FG26" s="13">
        <v>8.0931812217161763E-3</v>
      </c>
      <c r="FH26" s="13">
        <v>0.11813643765341403</v>
      </c>
      <c r="FI26" s="13">
        <v>0.25192666796652607</v>
      </c>
      <c r="FJ26" s="13">
        <v>0.27224230147524719</v>
      </c>
      <c r="FK26" s="13">
        <v>0.26259524034538551</v>
      </c>
      <c r="FL26" s="13">
        <v>0.18478510392334574</v>
      </c>
      <c r="FM26" s="13">
        <v>5.0147779007754335E-2</v>
      </c>
      <c r="FN26" s="11">
        <v>0</v>
      </c>
      <c r="FO26" s="13">
        <v>0</v>
      </c>
      <c r="FQ26" s="9" t="s">
        <v>165</v>
      </c>
      <c r="FR26" s="9" t="s">
        <v>207</v>
      </c>
      <c r="FS26" s="9" t="s">
        <v>208</v>
      </c>
      <c r="FT26" s="13">
        <v>0.46673129732597335</v>
      </c>
    </row>
    <row r="27" spans="2:176" x14ac:dyDescent="0.45">
      <c r="B27" s="8" t="s">
        <v>166</v>
      </c>
      <c r="C27" s="8" t="s">
        <v>31</v>
      </c>
      <c r="D27" s="12">
        <v>0</v>
      </c>
      <c r="E27" s="12">
        <v>0</v>
      </c>
      <c r="F27" s="12">
        <v>0.87896269548850203</v>
      </c>
      <c r="G27" s="12">
        <v>0.37660338703769586</v>
      </c>
      <c r="H27" s="12">
        <v>0.25459521721417744</v>
      </c>
      <c r="I27" s="12">
        <v>0.26610620713055422</v>
      </c>
      <c r="J27" s="12">
        <v>0.46265773038334684</v>
      </c>
      <c r="K27" s="12">
        <v>0.87785880879891554</v>
      </c>
      <c r="L27" s="12">
        <v>0</v>
      </c>
      <c r="M27" s="12">
        <v>0</v>
      </c>
      <c r="N27" s="12">
        <v>0</v>
      </c>
      <c r="O27" s="12">
        <v>0.62758722252580701</v>
      </c>
      <c r="P27" s="12">
        <v>0.32454674780962772</v>
      </c>
      <c r="Q27" s="12">
        <v>0.21581809319071185</v>
      </c>
      <c r="R27" s="12">
        <v>0.1527569900861904</v>
      </c>
      <c r="S27" s="12">
        <v>0.16108453491656174</v>
      </c>
      <c r="T27" s="12">
        <v>0.22654095114731618</v>
      </c>
      <c r="U27" s="12">
        <v>0.32914054287021688</v>
      </c>
      <c r="V27" s="12">
        <v>0.73558122642644941</v>
      </c>
      <c r="W27" s="12">
        <v>0</v>
      </c>
      <c r="X27" s="12">
        <v>0.96270823932788741</v>
      </c>
      <c r="Y27" s="12">
        <v>0.3291248789315685</v>
      </c>
      <c r="Z27" s="12">
        <v>0.19122317345493864</v>
      </c>
      <c r="AA27" s="12">
        <v>0.14671512173953</v>
      </c>
      <c r="AB27" s="12">
        <v>0.11172381792360944</v>
      </c>
      <c r="AC27" s="12">
        <v>0.11642155211138142</v>
      </c>
      <c r="AD27" s="12">
        <v>0.13955150259960172</v>
      </c>
      <c r="AE27" s="12">
        <v>0.1776655416914121</v>
      </c>
      <c r="AF27" s="12">
        <v>0.36769414467874173</v>
      </c>
      <c r="AG27" s="12">
        <v>0</v>
      </c>
      <c r="AH27" s="12">
        <v>0</v>
      </c>
      <c r="AI27" s="12">
        <v>0.92621318650403661</v>
      </c>
      <c r="AJ27" s="12">
        <v>0.52340574009790997</v>
      </c>
      <c r="AK27" s="12">
        <v>0.33908606563433979</v>
      </c>
      <c r="AL27" s="12">
        <v>0.24381805422669908</v>
      </c>
      <c r="AM27" s="12">
        <v>0.26680790654362524</v>
      </c>
      <c r="AN27" s="12">
        <v>0.3835332854454091</v>
      </c>
      <c r="AO27" s="12">
        <v>0.69715991439061353</v>
      </c>
      <c r="AP27" s="12">
        <v>0</v>
      </c>
      <c r="AQ27" s="12">
        <v>0</v>
      </c>
      <c r="EA27" s="8" t="s">
        <v>166</v>
      </c>
      <c r="EB27" s="12">
        <v>0</v>
      </c>
      <c r="EC27" s="12">
        <v>0</v>
      </c>
      <c r="ED27" s="12">
        <v>4.6824486585626468E-3</v>
      </c>
      <c r="EE27" s="12">
        <v>9.5132657810325857E-2</v>
      </c>
      <c r="EF27" s="12">
        <v>0.15388905801820765</v>
      </c>
      <c r="EG27" s="12">
        <v>0.14936335167496087</v>
      </c>
      <c r="EH27" s="12">
        <v>6.5370937297251588E-2</v>
      </c>
      <c r="EI27" s="12">
        <v>4.5665244289374652E-3</v>
      </c>
      <c r="EJ27" s="12">
        <v>0</v>
      </c>
      <c r="EK27" s="12">
        <v>0</v>
      </c>
      <c r="EL27" s="10">
        <v>0</v>
      </c>
      <c r="EM27" s="12">
        <v>6.6989579434018703E-2</v>
      </c>
      <c r="EN27" s="12">
        <v>0.27681613507524888</v>
      </c>
      <c r="EO27" s="12">
        <v>0.44836814452723162</v>
      </c>
      <c r="EP27" s="12">
        <v>0.4721618731005286</v>
      </c>
      <c r="EQ27" s="12">
        <v>0.45203904848068971</v>
      </c>
      <c r="ER27" s="12">
        <v>0.35745368911866182</v>
      </c>
      <c r="ES27" s="12">
        <v>0.18982296637905466</v>
      </c>
      <c r="ET27" s="12">
        <v>2.8306224808842852E-2</v>
      </c>
      <c r="EU27" s="12">
        <v>0</v>
      </c>
      <c r="EV27" s="10">
        <v>1.8433430581564051E-5</v>
      </c>
      <c r="EW27" s="12">
        <v>0.15125861935730511</v>
      </c>
      <c r="EX27" s="12">
        <v>0.3728042478350978</v>
      </c>
      <c r="EY27" s="12">
        <v>0.48678082242964643</v>
      </c>
      <c r="EZ27" s="12">
        <v>0.48933944545325447</v>
      </c>
      <c r="FA27" s="12">
        <v>0.46541613958723432</v>
      </c>
      <c r="FB27" s="12">
        <v>0.41278390321645775</v>
      </c>
      <c r="FC27" s="12">
        <v>0.28070239118642665</v>
      </c>
      <c r="FD27" s="12">
        <v>9.3241059804684043E-2</v>
      </c>
      <c r="FE27" s="12">
        <v>0</v>
      </c>
      <c r="FF27" s="12">
        <v>0</v>
      </c>
      <c r="FG27" s="12">
        <v>8.2343537214683571E-3</v>
      </c>
      <c r="FH27" s="12">
        <v>0.11710175384871319</v>
      </c>
      <c r="FI27" s="12">
        <v>0.24398221723664407</v>
      </c>
      <c r="FJ27" s="12">
        <v>0.25655292895927678</v>
      </c>
      <c r="FK27" s="12">
        <v>0.24537649495034453</v>
      </c>
      <c r="FL27" s="12">
        <v>0.16811581678823509</v>
      </c>
      <c r="FM27" s="12">
        <v>5.0909197524253741E-2</v>
      </c>
      <c r="FN27" s="10">
        <v>0</v>
      </c>
      <c r="FO27" s="12">
        <v>0</v>
      </c>
      <c r="FQ27" s="8" t="s">
        <v>166</v>
      </c>
      <c r="FR27" s="8" t="s">
        <v>207</v>
      </c>
      <c r="FS27" s="8" t="s">
        <v>208</v>
      </c>
      <c r="FT27" s="12">
        <v>0.47082681394914838</v>
      </c>
    </row>
    <row r="28" spans="2:176" x14ac:dyDescent="0.45">
      <c r="B28" s="9" t="s">
        <v>167</v>
      </c>
      <c r="C28" s="9" t="s">
        <v>31</v>
      </c>
      <c r="D28" s="13">
        <v>0</v>
      </c>
      <c r="E28" s="13">
        <v>0</v>
      </c>
      <c r="F28" s="13">
        <v>0.86441833715183547</v>
      </c>
      <c r="G28" s="13">
        <v>0.35213487933563908</v>
      </c>
      <c r="H28" s="13">
        <v>0.23801399896392655</v>
      </c>
      <c r="I28" s="13">
        <v>0.25906772174954185</v>
      </c>
      <c r="J28" s="13">
        <v>0.46568311539378554</v>
      </c>
      <c r="K28" s="13">
        <v>0.90813312588877448</v>
      </c>
      <c r="L28" s="13">
        <v>0</v>
      </c>
      <c r="M28" s="13">
        <v>0</v>
      </c>
      <c r="N28" s="13">
        <v>0.99565217391304339</v>
      </c>
      <c r="O28" s="13">
        <v>0.59646122966762183</v>
      </c>
      <c r="P28" s="13">
        <v>0.32644436144139066</v>
      </c>
      <c r="Q28" s="13">
        <v>0.22908779397202908</v>
      </c>
      <c r="R28" s="13">
        <v>0.17467441134078079</v>
      </c>
      <c r="S28" s="13">
        <v>0.18944989410953325</v>
      </c>
      <c r="T28" s="13">
        <v>0.25632711000650221</v>
      </c>
      <c r="U28" s="13">
        <v>0.36283678117727935</v>
      </c>
      <c r="V28" s="13">
        <v>0.77662267869639334</v>
      </c>
      <c r="W28" s="13">
        <v>0</v>
      </c>
      <c r="X28" s="13">
        <v>0.933802958476601</v>
      </c>
      <c r="Y28" s="13">
        <v>0.29710462871514715</v>
      </c>
      <c r="Z28" s="13">
        <v>0.16930493016819198</v>
      </c>
      <c r="AA28" s="13">
        <v>0.1298893649277828</v>
      </c>
      <c r="AB28" s="13">
        <v>9.6895068919202756E-2</v>
      </c>
      <c r="AC28" s="13">
        <v>0.10830603282597184</v>
      </c>
      <c r="AD28" s="13">
        <v>0.14171676023369945</v>
      </c>
      <c r="AE28" s="13">
        <v>0.19205384794205893</v>
      </c>
      <c r="AF28" s="13">
        <v>0.41467123791983002</v>
      </c>
      <c r="AG28" s="13">
        <v>0</v>
      </c>
      <c r="AH28" s="13">
        <v>0</v>
      </c>
      <c r="AI28" s="13">
        <v>0.90370337325419969</v>
      </c>
      <c r="AJ28" s="13">
        <v>0.48250494480789363</v>
      </c>
      <c r="AK28" s="13">
        <v>0.30941177300570888</v>
      </c>
      <c r="AL28" s="13">
        <v>0.23774270137918452</v>
      </c>
      <c r="AM28" s="13">
        <v>0.27861301895236817</v>
      </c>
      <c r="AN28" s="13">
        <v>0.38367087105406794</v>
      </c>
      <c r="AO28" s="13">
        <v>0.71504137816854019</v>
      </c>
      <c r="AP28" s="13">
        <v>0</v>
      </c>
      <c r="AQ28" s="13">
        <v>0</v>
      </c>
      <c r="EA28" s="9" t="s">
        <v>167</v>
      </c>
      <c r="EB28" s="13">
        <v>0</v>
      </c>
      <c r="EC28" s="13">
        <v>0</v>
      </c>
      <c r="ED28" s="13">
        <v>6.7764607692440996E-3</v>
      </c>
      <c r="EE28" s="13">
        <v>0.10626467816388427</v>
      </c>
      <c r="EF28" s="13">
        <v>0.16374851324108824</v>
      </c>
      <c r="EG28" s="13">
        <v>0.15777181432306939</v>
      </c>
      <c r="EH28" s="13">
        <v>6.2160829805299862E-2</v>
      </c>
      <c r="EI28" s="13">
        <v>3.7297344269432054E-3</v>
      </c>
      <c r="EJ28" s="13">
        <v>0</v>
      </c>
      <c r="EK28" s="13">
        <v>0</v>
      </c>
      <c r="EL28" s="11">
        <v>2.4950249576642035E-6</v>
      </c>
      <c r="EM28" s="13">
        <v>8.2438392471158028E-2</v>
      </c>
      <c r="EN28" s="13">
        <v>0.29946918682215495</v>
      </c>
      <c r="EO28" s="13">
        <v>0.44144475686714435</v>
      </c>
      <c r="EP28" s="13">
        <v>0.44546687616875941</v>
      </c>
      <c r="EQ28" s="13">
        <v>0.42372744999577672</v>
      </c>
      <c r="ER28" s="13">
        <v>0.33171652257366563</v>
      </c>
      <c r="ES28" s="13">
        <v>0.17328208185175378</v>
      </c>
      <c r="ET28" s="13">
        <v>2.0265987973404821E-2</v>
      </c>
      <c r="EU28" s="13">
        <v>0</v>
      </c>
      <c r="EV28" s="11">
        <v>1.4840001291820627E-3</v>
      </c>
      <c r="EW28" s="13">
        <v>0.17422265728289807</v>
      </c>
      <c r="EX28" s="13">
        <v>0.39661806082440643</v>
      </c>
      <c r="EY28" s="13">
        <v>0.49950479670909503</v>
      </c>
      <c r="EZ28" s="13">
        <v>0.50153027836867625</v>
      </c>
      <c r="FA28" s="13">
        <v>0.48412682438508126</v>
      </c>
      <c r="FB28" s="13">
        <v>0.41937028910375734</v>
      </c>
      <c r="FC28" s="13">
        <v>0.27446333848203447</v>
      </c>
      <c r="FD28" s="13">
        <v>7.4481073386470767E-2</v>
      </c>
      <c r="FE28" s="13">
        <v>0</v>
      </c>
      <c r="FF28" s="13">
        <v>0</v>
      </c>
      <c r="FG28" s="13">
        <v>9.5865795136084887E-3</v>
      </c>
      <c r="FH28" s="13">
        <v>0.11915320402147903</v>
      </c>
      <c r="FI28" s="13">
        <v>0.22866855463488414</v>
      </c>
      <c r="FJ28" s="13">
        <v>0.25336517631910538</v>
      </c>
      <c r="FK28" s="13">
        <v>0.24772525697280678</v>
      </c>
      <c r="FL28" s="13">
        <v>0.16278753547120617</v>
      </c>
      <c r="FM28" s="13">
        <v>4.2546909595308879E-2</v>
      </c>
      <c r="FN28" s="11">
        <v>0</v>
      </c>
      <c r="FO28" s="13">
        <v>0</v>
      </c>
      <c r="FQ28" s="9" t="s">
        <v>167</v>
      </c>
      <c r="FR28" s="9" t="s">
        <v>207</v>
      </c>
      <c r="FS28" s="9" t="s">
        <v>208</v>
      </c>
      <c r="FT28" s="13">
        <v>0.44450668785909264</v>
      </c>
    </row>
    <row r="29" spans="2:176" x14ac:dyDescent="0.45">
      <c r="B29" s="8" t="s">
        <v>168</v>
      </c>
      <c r="C29" s="8" t="s">
        <v>31</v>
      </c>
      <c r="D29" s="12">
        <v>0</v>
      </c>
      <c r="E29" s="12">
        <v>0</v>
      </c>
      <c r="F29" s="12">
        <v>0.84948349628415021</v>
      </c>
      <c r="G29" s="12">
        <v>0.31091937373258749</v>
      </c>
      <c r="H29" s="12">
        <v>0.22255449440491595</v>
      </c>
      <c r="I29" s="12">
        <v>0.24319181760818914</v>
      </c>
      <c r="J29" s="12">
        <v>0.42778998604486329</v>
      </c>
      <c r="K29" s="12">
        <v>0.88435477375169347</v>
      </c>
      <c r="L29" s="12">
        <v>0</v>
      </c>
      <c r="M29" s="12">
        <v>0</v>
      </c>
      <c r="N29" s="12">
        <v>0</v>
      </c>
      <c r="O29" s="12">
        <v>0.6251465588049735</v>
      </c>
      <c r="P29" s="12">
        <v>0.33329873923160797</v>
      </c>
      <c r="Q29" s="12">
        <v>0.24528875277420401</v>
      </c>
      <c r="R29" s="12">
        <v>0.18289527405548178</v>
      </c>
      <c r="S29" s="12">
        <v>0.18407180368546575</v>
      </c>
      <c r="T29" s="12">
        <v>0.24221117785607274</v>
      </c>
      <c r="U29" s="12">
        <v>0.3673395532091841</v>
      </c>
      <c r="V29" s="12">
        <v>0.80015992060742813</v>
      </c>
      <c r="W29" s="12">
        <v>0</v>
      </c>
      <c r="X29" s="12">
        <v>0</v>
      </c>
      <c r="Y29" s="12">
        <v>0.30857898459532296</v>
      </c>
      <c r="Z29" s="12">
        <v>0.18716623792536088</v>
      </c>
      <c r="AA29" s="12">
        <v>0.1425171212291903</v>
      </c>
      <c r="AB29" s="12">
        <v>0.10550851658494335</v>
      </c>
      <c r="AC29" s="12">
        <v>0.10600248187385009</v>
      </c>
      <c r="AD29" s="12">
        <v>0.13426222044436803</v>
      </c>
      <c r="AE29" s="12">
        <v>0.196761272253029</v>
      </c>
      <c r="AF29" s="12">
        <v>0.43284715717556782</v>
      </c>
      <c r="AG29" s="12">
        <v>0</v>
      </c>
      <c r="AH29" s="12">
        <v>0</v>
      </c>
      <c r="AI29" s="12">
        <v>0.92379635223680268</v>
      </c>
      <c r="AJ29" s="12">
        <v>0.46666273430156258</v>
      </c>
      <c r="AK29" s="12">
        <v>0.28723902895304054</v>
      </c>
      <c r="AL29" s="12">
        <v>0.21673735213524417</v>
      </c>
      <c r="AM29" s="12">
        <v>0.23595224941888118</v>
      </c>
      <c r="AN29" s="12">
        <v>0.36368469305121864</v>
      </c>
      <c r="AO29" s="12">
        <v>0.71015084048583033</v>
      </c>
      <c r="AP29" s="12">
        <v>0</v>
      </c>
      <c r="AQ29" s="12">
        <v>0</v>
      </c>
      <c r="EA29" s="8" t="s">
        <v>168</v>
      </c>
      <c r="EB29" s="12">
        <v>0</v>
      </c>
      <c r="EC29" s="12">
        <v>0</v>
      </c>
      <c r="ED29" s="12">
        <v>8.673202783319291E-3</v>
      </c>
      <c r="EE29" s="12">
        <v>0.12615381038490267</v>
      </c>
      <c r="EF29" s="12">
        <v>0.18223453583836643</v>
      </c>
      <c r="EG29" s="12">
        <v>0.17905570851515193</v>
      </c>
      <c r="EH29" s="12">
        <v>7.7336302589812833E-2</v>
      </c>
      <c r="EI29" s="12">
        <v>4.7493936490119555E-3</v>
      </c>
      <c r="EJ29" s="12">
        <v>0</v>
      </c>
      <c r="EK29" s="12">
        <v>0</v>
      </c>
      <c r="EL29" s="10">
        <v>0</v>
      </c>
      <c r="EM29" s="12">
        <v>7.4052057713317063E-2</v>
      </c>
      <c r="EN29" s="12">
        <v>0.28414041015807223</v>
      </c>
      <c r="EO29" s="12">
        <v>0.4227414952629015</v>
      </c>
      <c r="EP29" s="12">
        <v>0.43149924835300946</v>
      </c>
      <c r="EQ29" s="12">
        <v>0.41131357471839303</v>
      </c>
      <c r="ER29" s="12">
        <v>0.32466164052801422</v>
      </c>
      <c r="ES29" s="12">
        <v>0.16394048033112024</v>
      </c>
      <c r="ET29" s="12">
        <v>1.7692393400905788E-2</v>
      </c>
      <c r="EU29" s="12">
        <v>0</v>
      </c>
      <c r="EV29" s="10">
        <v>0</v>
      </c>
      <c r="EW29" s="12">
        <v>0.16038031739841774</v>
      </c>
      <c r="EX29" s="12">
        <v>0.3822870469260885</v>
      </c>
      <c r="EY29" s="12">
        <v>0.4951022551503339</v>
      </c>
      <c r="EZ29" s="12">
        <v>0.49672178914559245</v>
      </c>
      <c r="FA29" s="12">
        <v>0.47989529898917921</v>
      </c>
      <c r="FB29" s="12">
        <v>0.41263482927432682</v>
      </c>
      <c r="FC29" s="12">
        <v>0.26046276505388027</v>
      </c>
      <c r="FD29" s="12">
        <v>6.9948038828744522E-2</v>
      </c>
      <c r="FE29" s="12">
        <v>0</v>
      </c>
      <c r="FF29" s="12">
        <v>0</v>
      </c>
      <c r="FG29" s="12">
        <v>9.2797884450171331E-3</v>
      </c>
      <c r="FH29" s="12">
        <v>0.12587133773841611</v>
      </c>
      <c r="FI29" s="12">
        <v>0.25425231993765995</v>
      </c>
      <c r="FJ29" s="12">
        <v>0.2619942654724241</v>
      </c>
      <c r="FK29" s="12">
        <v>0.26299372885418848</v>
      </c>
      <c r="FL29" s="12">
        <v>0.17095749523483572</v>
      </c>
      <c r="FM29" s="12">
        <v>4.5593285665225233E-2</v>
      </c>
      <c r="FN29" s="10">
        <v>0</v>
      </c>
      <c r="FO29" s="12">
        <v>0</v>
      </c>
      <c r="FQ29" s="8" t="s">
        <v>168</v>
      </c>
      <c r="FR29" s="8" t="s">
        <v>207</v>
      </c>
      <c r="FS29" s="8" t="s">
        <v>208</v>
      </c>
      <c r="FT29" s="12">
        <v>0.43060021605105087</v>
      </c>
    </row>
    <row r="30" spans="2:176" x14ac:dyDescent="0.45">
      <c r="B30" s="9" t="s">
        <v>169</v>
      </c>
      <c r="C30" s="9" t="s">
        <v>31</v>
      </c>
      <c r="D30" s="13">
        <v>0</v>
      </c>
      <c r="E30" s="13">
        <v>0</v>
      </c>
      <c r="F30" s="13">
        <v>0.83688212805396445</v>
      </c>
      <c r="G30" s="13">
        <v>0.34171217331442405</v>
      </c>
      <c r="H30" s="13">
        <v>0.22775463042657187</v>
      </c>
      <c r="I30" s="13">
        <v>0.25868937899395844</v>
      </c>
      <c r="J30" s="13">
        <v>0.45341013233201527</v>
      </c>
      <c r="K30" s="13">
        <v>0.90677461588218844</v>
      </c>
      <c r="L30" s="13">
        <v>0</v>
      </c>
      <c r="M30" s="13">
        <v>0</v>
      </c>
      <c r="N30" s="13">
        <v>0.99782608695652153</v>
      </c>
      <c r="O30" s="13">
        <v>0.58536894363720249</v>
      </c>
      <c r="P30" s="13">
        <v>0.32823643138924669</v>
      </c>
      <c r="Q30" s="13">
        <v>0.24026980804111719</v>
      </c>
      <c r="R30" s="13">
        <v>0.17934840156745652</v>
      </c>
      <c r="S30" s="13">
        <v>0.1939272745095359</v>
      </c>
      <c r="T30" s="13">
        <v>0.25296246883331513</v>
      </c>
      <c r="U30" s="13">
        <v>0.36484206743739067</v>
      </c>
      <c r="V30" s="13">
        <v>0.80350556880516866</v>
      </c>
      <c r="W30" s="13">
        <v>0</v>
      </c>
      <c r="X30" s="13">
        <v>0.93436594954983088</v>
      </c>
      <c r="Y30" s="13">
        <v>0.28560844083991765</v>
      </c>
      <c r="Z30" s="13">
        <v>0.16004480160955936</v>
      </c>
      <c r="AA30" s="13">
        <v>0.13120856441618292</v>
      </c>
      <c r="AB30" s="13">
        <v>0.10425641371526205</v>
      </c>
      <c r="AC30" s="13">
        <v>0.11272114909536275</v>
      </c>
      <c r="AD30" s="13">
        <v>0.14756764484187668</v>
      </c>
      <c r="AE30" s="13">
        <v>0.19235841692488623</v>
      </c>
      <c r="AF30" s="13">
        <v>0.43963408539054377</v>
      </c>
      <c r="AG30" s="13">
        <v>0</v>
      </c>
      <c r="AH30" s="13">
        <v>0</v>
      </c>
      <c r="AI30" s="13">
        <v>0.89753610850287668</v>
      </c>
      <c r="AJ30" s="13">
        <v>0.45313765183068633</v>
      </c>
      <c r="AK30" s="13">
        <v>0.29368570827916862</v>
      </c>
      <c r="AL30" s="13">
        <v>0.22443645247114846</v>
      </c>
      <c r="AM30" s="13">
        <v>0.25273216863076364</v>
      </c>
      <c r="AN30" s="13">
        <v>0.37217025779799984</v>
      </c>
      <c r="AO30" s="13">
        <v>0.72446557735787498</v>
      </c>
      <c r="AP30" s="13">
        <v>0</v>
      </c>
      <c r="AQ30" s="13">
        <v>0</v>
      </c>
      <c r="EA30" s="9" t="s">
        <v>169</v>
      </c>
      <c r="EB30" s="13">
        <v>0</v>
      </c>
      <c r="EC30" s="13">
        <v>0</v>
      </c>
      <c r="ED30" s="13">
        <v>8.9807719433979815E-3</v>
      </c>
      <c r="EE30" s="13">
        <v>0.11740130129204446</v>
      </c>
      <c r="EF30" s="13">
        <v>0.17106523948332872</v>
      </c>
      <c r="EG30" s="13">
        <v>0.16557570202359961</v>
      </c>
      <c r="EH30" s="13">
        <v>6.2310163268143703E-2</v>
      </c>
      <c r="EI30" s="13">
        <v>3.3171973220464343E-3</v>
      </c>
      <c r="EJ30" s="13">
        <v>0</v>
      </c>
      <c r="EK30" s="13">
        <v>0</v>
      </c>
      <c r="EL30" s="11">
        <v>1.1935166551799524E-6</v>
      </c>
      <c r="EM30" s="13">
        <v>8.9713798866811537E-2</v>
      </c>
      <c r="EN30" s="13">
        <v>0.3079210181756934</v>
      </c>
      <c r="EO30" s="13">
        <v>0.43091819926570868</v>
      </c>
      <c r="EP30" s="13">
        <v>0.43753099925350863</v>
      </c>
      <c r="EQ30" s="13">
        <v>0.41789814369216272</v>
      </c>
      <c r="ER30" s="13">
        <v>0.33370233272665145</v>
      </c>
      <c r="ES30" s="13">
        <v>0.17121766108516634</v>
      </c>
      <c r="ET30" s="13">
        <v>1.5878416774413037E-2</v>
      </c>
      <c r="EU30" s="13">
        <v>0</v>
      </c>
      <c r="EV30" s="11">
        <v>1.8407832198819175E-3</v>
      </c>
      <c r="EW30" s="13">
        <v>0.17525982130511625</v>
      </c>
      <c r="EX30" s="13">
        <v>0.40037024373606334</v>
      </c>
      <c r="EY30" s="13">
        <v>0.49558888773846854</v>
      </c>
      <c r="EZ30" s="13">
        <v>0.49447437496365332</v>
      </c>
      <c r="FA30" s="13">
        <v>0.47697443115833238</v>
      </c>
      <c r="FB30" s="13">
        <v>0.40871949457423534</v>
      </c>
      <c r="FC30" s="13">
        <v>0.26729428432511282</v>
      </c>
      <c r="FD30" s="13">
        <v>6.4644934032931256E-2</v>
      </c>
      <c r="FE30" s="13">
        <v>0</v>
      </c>
      <c r="FF30" s="13">
        <v>0</v>
      </c>
      <c r="FG30" s="13">
        <v>1.147746106497563E-2</v>
      </c>
      <c r="FH30" s="13">
        <v>0.12551510284279976</v>
      </c>
      <c r="FI30" s="13">
        <v>0.24359860948391435</v>
      </c>
      <c r="FJ30" s="13">
        <v>0.261892875890823</v>
      </c>
      <c r="FK30" s="13">
        <v>0.24692604395607423</v>
      </c>
      <c r="FL30" s="13">
        <v>0.15701652546843348</v>
      </c>
      <c r="FM30" s="13">
        <v>4.0874491917700012E-2</v>
      </c>
      <c r="FN30" s="11">
        <v>0</v>
      </c>
      <c r="FO30" s="13">
        <v>0</v>
      </c>
      <c r="FQ30" s="9" t="s">
        <v>169</v>
      </c>
      <c r="FR30" s="9" t="s">
        <v>207</v>
      </c>
      <c r="FS30" s="9" t="s">
        <v>208</v>
      </c>
      <c r="FT30" s="13">
        <v>0.43737650622672103</v>
      </c>
    </row>
    <row r="31" spans="2:176" x14ac:dyDescent="0.45">
      <c r="B31" s="8" t="s">
        <v>170</v>
      </c>
      <c r="C31" s="8" t="s">
        <v>31</v>
      </c>
      <c r="D31" s="12">
        <v>0.35133349699807331</v>
      </c>
      <c r="E31" s="12">
        <v>0.36461790898412749</v>
      </c>
      <c r="F31" s="12">
        <v>0.34796199380938975</v>
      </c>
      <c r="G31" s="12">
        <v>0.34338875979995465</v>
      </c>
      <c r="H31" s="12">
        <v>0.35088305319667989</v>
      </c>
      <c r="I31" s="12">
        <v>0.3630858337497137</v>
      </c>
      <c r="J31" s="12">
        <v>0.35313578255154648</v>
      </c>
      <c r="K31" s="12">
        <v>0.33871164254817548</v>
      </c>
      <c r="L31" s="12">
        <v>0.33479749270424503</v>
      </c>
      <c r="M31" s="12">
        <v>0.33906093801863912</v>
      </c>
      <c r="N31" s="12">
        <v>0.32304122612880998</v>
      </c>
      <c r="O31" s="12">
        <v>0.31613102612273036</v>
      </c>
      <c r="P31" s="12">
        <v>0.35742517786727174</v>
      </c>
      <c r="Q31" s="12">
        <v>0.37807043701419873</v>
      </c>
      <c r="R31" s="12">
        <v>0.40316289849329834</v>
      </c>
      <c r="S31" s="12">
        <v>0.39432702339834147</v>
      </c>
      <c r="T31" s="12">
        <v>0.3851138002381832</v>
      </c>
      <c r="U31" s="12">
        <v>0.38422768185563183</v>
      </c>
      <c r="V31" s="12">
        <v>0.36402523029073131</v>
      </c>
      <c r="W31" s="12">
        <v>0.3396249253749592</v>
      </c>
      <c r="X31" s="12">
        <v>0.42087552168700459</v>
      </c>
      <c r="Y31" s="12">
        <v>0.42056695377566755</v>
      </c>
      <c r="Z31" s="12">
        <v>0.49084839271046288</v>
      </c>
      <c r="AA31" s="12">
        <v>0.47998549078254421</v>
      </c>
      <c r="AB31" s="12">
        <v>0.48334566482366287</v>
      </c>
      <c r="AC31" s="12">
        <v>0.46047949012688993</v>
      </c>
      <c r="AD31" s="12">
        <v>0.43094365894047693</v>
      </c>
      <c r="AE31" s="12">
        <v>0.4212930844374288</v>
      </c>
      <c r="AF31" s="12">
        <v>0.40858012257339771</v>
      </c>
      <c r="AG31" s="12">
        <v>0.41861899337807829</v>
      </c>
      <c r="AH31" s="12">
        <v>0.37724369459443569</v>
      </c>
      <c r="AI31" s="12">
        <v>0.37952024705347293</v>
      </c>
      <c r="AJ31" s="12">
        <v>0.38746429660881371</v>
      </c>
      <c r="AK31" s="12">
        <v>0.40319078209302039</v>
      </c>
      <c r="AL31" s="12">
        <v>0.42891304377253547</v>
      </c>
      <c r="AM31" s="12">
        <v>0.42990456424415019</v>
      </c>
      <c r="AN31" s="12">
        <v>0.42524486905163217</v>
      </c>
      <c r="AO31" s="12">
        <v>0.38525757315279119</v>
      </c>
      <c r="AP31" s="12">
        <v>0.35906876004809968</v>
      </c>
      <c r="AQ31" s="12">
        <v>0.36695988444000677</v>
      </c>
      <c r="EA31" s="8" t="s">
        <v>170</v>
      </c>
      <c r="EB31" s="12">
        <v>0.4159424732324572</v>
      </c>
      <c r="EC31" s="12">
        <v>0.41037361178155413</v>
      </c>
      <c r="ED31" s="12">
        <v>0.41477916837720274</v>
      </c>
      <c r="EE31" s="12">
        <v>0.41418565994259987</v>
      </c>
      <c r="EF31" s="12">
        <v>0.38179952722993699</v>
      </c>
      <c r="EG31" s="12">
        <v>0.38279913362368301</v>
      </c>
      <c r="EH31" s="12">
        <v>0.39756993624299342</v>
      </c>
      <c r="EI31" s="12">
        <v>0.42105312575119497</v>
      </c>
      <c r="EJ31" s="12">
        <v>0.43025632801168362</v>
      </c>
      <c r="EK31" s="12">
        <v>0.42963759916893574</v>
      </c>
      <c r="EL31" s="10">
        <v>0.30005294441423763</v>
      </c>
      <c r="EM31" s="12">
        <v>0.29318924143427183</v>
      </c>
      <c r="EN31" s="12">
        <v>0.26028943146631256</v>
      </c>
      <c r="EO31" s="12">
        <v>0.24599284645855213</v>
      </c>
      <c r="EP31" s="12">
        <v>0.22654577432190742</v>
      </c>
      <c r="EQ31" s="12">
        <v>0.24572592711261157</v>
      </c>
      <c r="ER31" s="12">
        <v>0.25629237665698279</v>
      </c>
      <c r="ES31" s="12">
        <v>0.27262517832302113</v>
      </c>
      <c r="ET31" s="12">
        <v>0.29489139912740203</v>
      </c>
      <c r="EU31" s="12">
        <v>0.30779355779371431</v>
      </c>
      <c r="EV31" s="10">
        <v>0.17238429960996829</v>
      </c>
      <c r="EW31" s="12">
        <v>0.16488230685176172</v>
      </c>
      <c r="EX31" s="12">
        <v>0.15365667138922029</v>
      </c>
      <c r="EY31" s="12">
        <v>0.161018072494161</v>
      </c>
      <c r="EZ31" s="12">
        <v>0.1454470977478774</v>
      </c>
      <c r="FA31" s="12">
        <v>0.18042329525103593</v>
      </c>
      <c r="FB31" s="12">
        <v>0.19830548696708908</v>
      </c>
      <c r="FC31" s="12">
        <v>0.18551085449136867</v>
      </c>
      <c r="FD31" s="12">
        <v>0.17723614455707998</v>
      </c>
      <c r="FE31" s="12">
        <v>0.17609384331400535</v>
      </c>
      <c r="FF31" s="12">
        <v>0.32277397579835682</v>
      </c>
      <c r="FG31" s="12">
        <v>0.31556342247865155</v>
      </c>
      <c r="FH31" s="12">
        <v>0.30778649789915913</v>
      </c>
      <c r="FI31" s="12">
        <v>0.30568845771351616</v>
      </c>
      <c r="FJ31" s="12">
        <v>0.29961220857017651</v>
      </c>
      <c r="FK31" s="12">
        <v>0.30470110906213027</v>
      </c>
      <c r="FL31" s="12">
        <v>0.32474323164781044</v>
      </c>
      <c r="FM31" s="12">
        <v>0.34382048575435409</v>
      </c>
      <c r="FN31" s="10">
        <v>0.35333858061680995</v>
      </c>
      <c r="FO31" s="12">
        <v>0.35185247618593662</v>
      </c>
      <c r="FQ31" s="8" t="s">
        <v>180</v>
      </c>
      <c r="FR31" s="8" t="s">
        <v>207</v>
      </c>
      <c r="FS31" s="8" t="s">
        <v>208</v>
      </c>
      <c r="FT31" s="12">
        <v>0.44686526303419805</v>
      </c>
    </row>
    <row r="32" spans="2:176" x14ac:dyDescent="0.45">
      <c r="B32" s="9" t="s">
        <v>171</v>
      </c>
      <c r="C32" s="9" t="s">
        <v>31</v>
      </c>
      <c r="D32" s="13">
        <v>0.30532318942101455</v>
      </c>
      <c r="E32" s="13">
        <v>0.31244756417337066</v>
      </c>
      <c r="F32" s="13">
        <v>0.29648706472259323</v>
      </c>
      <c r="G32" s="13">
        <v>0.27818749197704035</v>
      </c>
      <c r="H32" s="13">
        <v>0.29466955719957505</v>
      </c>
      <c r="I32" s="13">
        <v>0.30913694246500395</v>
      </c>
      <c r="J32" s="13">
        <v>0.28518085346450073</v>
      </c>
      <c r="K32" s="13">
        <v>0.26680322161443631</v>
      </c>
      <c r="L32" s="13">
        <v>0.26514824739184178</v>
      </c>
      <c r="M32" s="13">
        <v>0.27269079974593524</v>
      </c>
      <c r="N32" s="13">
        <v>0.29044561096916821</v>
      </c>
      <c r="O32" s="13">
        <v>0.29673828781502848</v>
      </c>
      <c r="P32" s="13">
        <v>0.30250172432558903</v>
      </c>
      <c r="Q32" s="13">
        <v>0.32900954377529978</v>
      </c>
      <c r="R32" s="13">
        <v>0.35736847105309172</v>
      </c>
      <c r="S32" s="13">
        <v>0.35724926125309969</v>
      </c>
      <c r="T32" s="13">
        <v>0.33977751706624942</v>
      </c>
      <c r="U32" s="13">
        <v>0.32365786518122019</v>
      </c>
      <c r="V32" s="13">
        <v>0.32540496801944552</v>
      </c>
      <c r="W32" s="13">
        <v>0.31241017931384502</v>
      </c>
      <c r="X32" s="13">
        <v>0.3879748510599712</v>
      </c>
      <c r="Y32" s="13">
        <v>0.39291432112483965</v>
      </c>
      <c r="Z32" s="13">
        <v>0.41150161845337524</v>
      </c>
      <c r="AA32" s="13">
        <v>0.42163656840409097</v>
      </c>
      <c r="AB32" s="13">
        <v>0.43960118342095617</v>
      </c>
      <c r="AC32" s="13">
        <v>0.43178604423197053</v>
      </c>
      <c r="AD32" s="13">
        <v>0.40371036879930688</v>
      </c>
      <c r="AE32" s="13">
        <v>0.38934078484232593</v>
      </c>
      <c r="AF32" s="13">
        <v>0.38225450934881156</v>
      </c>
      <c r="AG32" s="13">
        <v>0.403008855232387</v>
      </c>
      <c r="AH32" s="13">
        <v>0.35283973930095469</v>
      </c>
      <c r="AI32" s="13">
        <v>0.34490061523109733</v>
      </c>
      <c r="AJ32" s="13">
        <v>0.34037286279490431</v>
      </c>
      <c r="AK32" s="13">
        <v>0.33393915029312449</v>
      </c>
      <c r="AL32" s="13">
        <v>0.35193935262808673</v>
      </c>
      <c r="AM32" s="13">
        <v>0.36283821695189322</v>
      </c>
      <c r="AN32" s="13">
        <v>0.35982342776126675</v>
      </c>
      <c r="AO32" s="13">
        <v>0.34582794362692465</v>
      </c>
      <c r="AP32" s="13">
        <v>0.33168848880628843</v>
      </c>
      <c r="AQ32" s="13">
        <v>0.33062076057762035</v>
      </c>
      <c r="EA32" s="9" t="s">
        <v>171</v>
      </c>
      <c r="EB32" s="13">
        <v>0.5881181443090655</v>
      </c>
      <c r="EC32" s="13">
        <v>0.5851822833642446</v>
      </c>
      <c r="ED32" s="13">
        <v>0.59796318041516794</v>
      </c>
      <c r="EE32" s="13">
        <v>0.6077811790197919</v>
      </c>
      <c r="EF32" s="13">
        <v>0.58951688574790173</v>
      </c>
      <c r="EG32" s="13">
        <v>0.57606337478544944</v>
      </c>
      <c r="EH32" s="13">
        <v>0.59563628367883203</v>
      </c>
      <c r="EI32" s="13">
        <v>0.62233843017546842</v>
      </c>
      <c r="EJ32" s="13">
        <v>0.62502592395840084</v>
      </c>
      <c r="EK32" s="13">
        <v>0.61900237110634893</v>
      </c>
      <c r="EL32" s="11">
        <v>0.51946225836334436</v>
      </c>
      <c r="EM32" s="13">
        <v>0.5093371410254256</v>
      </c>
      <c r="EN32" s="13">
        <v>0.50450538304647308</v>
      </c>
      <c r="EO32" s="13">
        <v>0.48678497000282223</v>
      </c>
      <c r="EP32" s="13">
        <v>0.41709126632341981</v>
      </c>
      <c r="EQ32" s="13">
        <v>0.42432579181243602</v>
      </c>
      <c r="ER32" s="13">
        <v>0.45694605265229482</v>
      </c>
      <c r="ES32" s="13">
        <v>0.49236403413582169</v>
      </c>
      <c r="ET32" s="13">
        <v>0.52593096410894158</v>
      </c>
      <c r="EU32" s="13">
        <v>0.53663662735941042</v>
      </c>
      <c r="EV32" s="11">
        <v>0.33420539484345463</v>
      </c>
      <c r="EW32" s="13">
        <v>0.32653106713411773</v>
      </c>
      <c r="EX32" s="13">
        <v>0.32151121097259361</v>
      </c>
      <c r="EY32" s="13">
        <v>0.30859729304789157</v>
      </c>
      <c r="EZ32" s="13">
        <v>0.27981564968128031</v>
      </c>
      <c r="FA32" s="13">
        <v>0.3066657033055899</v>
      </c>
      <c r="FB32" s="13">
        <v>0.3385258680598589</v>
      </c>
      <c r="FC32" s="13">
        <v>0.34338341654674914</v>
      </c>
      <c r="FD32" s="13">
        <v>0.3380429188468918</v>
      </c>
      <c r="FE32" s="13">
        <v>0.33377731187706983</v>
      </c>
      <c r="FF32" s="13">
        <v>0.48776089311419141</v>
      </c>
      <c r="FG32" s="13">
        <v>0.48866999646512982</v>
      </c>
      <c r="FH32" s="13">
        <v>0.4993076727331302</v>
      </c>
      <c r="FI32" s="13">
        <v>0.50585957691567707</v>
      </c>
      <c r="FJ32" s="13">
        <v>0.4867481860779323</v>
      </c>
      <c r="FK32" s="13">
        <v>0.4832313757637362</v>
      </c>
      <c r="FL32" s="13">
        <v>0.4926737052886338</v>
      </c>
      <c r="FM32" s="13">
        <v>0.5126530510733569</v>
      </c>
      <c r="FN32" s="11">
        <v>0.52428426857851118</v>
      </c>
      <c r="FO32" s="13">
        <v>0.5170213914394266</v>
      </c>
      <c r="FQ32" s="9" t="s">
        <v>181</v>
      </c>
      <c r="FR32" s="9" t="s">
        <v>207</v>
      </c>
      <c r="FS32" s="9" t="s">
        <v>208</v>
      </c>
      <c r="FT32" s="13">
        <v>0.42182845018308041</v>
      </c>
    </row>
    <row r="33" spans="2:176" x14ac:dyDescent="0.45">
      <c r="B33" s="8" t="s">
        <v>172</v>
      </c>
      <c r="C33" s="8" t="s">
        <v>31</v>
      </c>
      <c r="D33" s="12">
        <v>0.32080699078362634</v>
      </c>
      <c r="E33" s="12">
        <v>0.33260768816561742</v>
      </c>
      <c r="F33" s="12">
        <v>0.31537213258330565</v>
      </c>
      <c r="G33" s="12">
        <v>0.30694115603552541</v>
      </c>
      <c r="H33" s="12">
        <v>0.31747098497172593</v>
      </c>
      <c r="I33" s="12">
        <v>0.32759402367939672</v>
      </c>
      <c r="J33" s="12">
        <v>0.31071061893880114</v>
      </c>
      <c r="K33" s="12">
        <v>0.29919775110174984</v>
      </c>
      <c r="L33" s="12">
        <v>0.29310238859070331</v>
      </c>
      <c r="M33" s="12">
        <v>0.29950279820626013</v>
      </c>
      <c r="N33" s="12">
        <v>0.30214983109345822</v>
      </c>
      <c r="O33" s="12">
        <v>0.30741529891483071</v>
      </c>
      <c r="P33" s="12">
        <v>0.32350354634382333</v>
      </c>
      <c r="Q33" s="12">
        <v>0.35191678248725744</v>
      </c>
      <c r="R33" s="12">
        <v>0.38161516591044625</v>
      </c>
      <c r="S33" s="12">
        <v>0.37128975364759026</v>
      </c>
      <c r="T33" s="12">
        <v>0.35259684939811464</v>
      </c>
      <c r="U33" s="12">
        <v>0.34374501602154311</v>
      </c>
      <c r="V33" s="12">
        <v>0.35051161988552432</v>
      </c>
      <c r="W33" s="12">
        <v>0.3318811852582576</v>
      </c>
      <c r="X33" s="12">
        <v>0.40655407224990286</v>
      </c>
      <c r="Y33" s="12">
        <v>0.4130402028036198</v>
      </c>
      <c r="Z33" s="12">
        <v>0.44130097518561906</v>
      </c>
      <c r="AA33" s="12">
        <v>0.44877119343227451</v>
      </c>
      <c r="AB33" s="12">
        <v>0.45948338722558668</v>
      </c>
      <c r="AC33" s="12">
        <v>0.44932363806131465</v>
      </c>
      <c r="AD33" s="12">
        <v>0.40537859108485808</v>
      </c>
      <c r="AE33" s="12">
        <v>0.39447298785905643</v>
      </c>
      <c r="AF33" s="12">
        <v>0.40071522574604657</v>
      </c>
      <c r="AG33" s="12">
        <v>0.42858398354820154</v>
      </c>
      <c r="AH33" s="12">
        <v>0.36517527261775218</v>
      </c>
      <c r="AI33" s="12">
        <v>0.36471287838135458</v>
      </c>
      <c r="AJ33" s="12">
        <v>0.36024769355074637</v>
      </c>
      <c r="AK33" s="12">
        <v>0.36495135582734051</v>
      </c>
      <c r="AL33" s="12">
        <v>0.38872053050934441</v>
      </c>
      <c r="AM33" s="12">
        <v>0.39280933862021417</v>
      </c>
      <c r="AN33" s="12">
        <v>0.38786745270815509</v>
      </c>
      <c r="AO33" s="12">
        <v>0.35836604433185137</v>
      </c>
      <c r="AP33" s="12">
        <v>0.33914113049939715</v>
      </c>
      <c r="AQ33" s="12">
        <v>0.34489206069148326</v>
      </c>
      <c r="EA33" s="8" t="s">
        <v>172</v>
      </c>
      <c r="EB33" s="12">
        <v>0.52049689461852477</v>
      </c>
      <c r="EC33" s="12">
        <v>0.513736592300165</v>
      </c>
      <c r="ED33" s="12">
        <v>0.52090884981108665</v>
      </c>
      <c r="EE33" s="12">
        <v>0.52517232496604693</v>
      </c>
      <c r="EF33" s="12">
        <v>0.49743514783590786</v>
      </c>
      <c r="EG33" s="12">
        <v>0.4924498328481971</v>
      </c>
      <c r="EH33" s="12">
        <v>0.51170226984337697</v>
      </c>
      <c r="EI33" s="12">
        <v>0.53960545863036991</v>
      </c>
      <c r="EJ33" s="12">
        <v>0.54747725495921484</v>
      </c>
      <c r="EK33" s="12">
        <v>0.54523147808893091</v>
      </c>
      <c r="EL33" s="10">
        <v>0.4180453584149833</v>
      </c>
      <c r="EM33" s="12">
        <v>0.41116107638537491</v>
      </c>
      <c r="EN33" s="12">
        <v>0.38980793750084347</v>
      </c>
      <c r="EO33" s="12">
        <v>0.37008419790304159</v>
      </c>
      <c r="EP33" s="12">
        <v>0.31827834459121795</v>
      </c>
      <c r="EQ33" s="12">
        <v>0.32720873257963307</v>
      </c>
      <c r="ER33" s="12">
        <v>0.35476848209915152</v>
      </c>
      <c r="ES33" s="12">
        <v>0.38598978907603632</v>
      </c>
      <c r="ET33" s="12">
        <v>0.41344381695786858</v>
      </c>
      <c r="EU33" s="12">
        <v>0.42768612836623132</v>
      </c>
      <c r="EV33" s="10">
        <v>0.25579200860606016</v>
      </c>
      <c r="EW33" s="12">
        <v>0.25228686040997789</v>
      </c>
      <c r="EX33" s="12">
        <v>0.24379474624583275</v>
      </c>
      <c r="EY33" s="12">
        <v>0.23969695295467708</v>
      </c>
      <c r="EZ33" s="12">
        <v>0.21371257804286298</v>
      </c>
      <c r="FA33" s="12">
        <v>0.24635520096742464</v>
      </c>
      <c r="FB33" s="12">
        <v>0.27631245090402351</v>
      </c>
      <c r="FC33" s="12">
        <v>0.27396986404260454</v>
      </c>
      <c r="FD33" s="12">
        <v>0.26201779658478691</v>
      </c>
      <c r="FE33" s="12">
        <v>0.25754262164589825</v>
      </c>
      <c r="FF33" s="12">
        <v>0.4183344526620813</v>
      </c>
      <c r="FG33" s="12">
        <v>0.41544062639456097</v>
      </c>
      <c r="FH33" s="12">
        <v>0.41571706546676712</v>
      </c>
      <c r="FI33" s="12">
        <v>0.41610200578784234</v>
      </c>
      <c r="FJ33" s="12">
        <v>0.40164624487852668</v>
      </c>
      <c r="FK33" s="12">
        <v>0.39991666994464226</v>
      </c>
      <c r="FL33" s="12">
        <v>0.42332089961001534</v>
      </c>
      <c r="FM33" s="12">
        <v>0.44538081579238636</v>
      </c>
      <c r="FN33" s="10">
        <v>0.45599674205602964</v>
      </c>
      <c r="FO33" s="12">
        <v>0.44805170255134197</v>
      </c>
      <c r="FQ33" s="8" t="s">
        <v>182</v>
      </c>
      <c r="FR33" s="8" t="s">
        <v>207</v>
      </c>
      <c r="FS33" s="8" t="s">
        <v>208</v>
      </c>
      <c r="FT33" s="12">
        <v>0.43620413014309006</v>
      </c>
    </row>
    <row r="34" spans="2:176" x14ac:dyDescent="0.45">
      <c r="B34" s="9" t="s">
        <v>173</v>
      </c>
      <c r="C34" s="9" t="s">
        <v>31</v>
      </c>
      <c r="D34" s="13">
        <v>0.3080447913565954</v>
      </c>
      <c r="E34" s="13">
        <v>0.30003080806251975</v>
      </c>
      <c r="F34" s="13">
        <v>0.2973261560856722</v>
      </c>
      <c r="G34" s="13">
        <v>0.3061366663450506</v>
      </c>
      <c r="H34" s="13">
        <v>0.30805632000465133</v>
      </c>
      <c r="I34" s="13">
        <v>0.30048403344782787</v>
      </c>
      <c r="J34" s="13">
        <v>0.27674917449988556</v>
      </c>
      <c r="K34" s="13">
        <v>0.27164246936123415</v>
      </c>
      <c r="L34" s="13">
        <v>0.28232642969594085</v>
      </c>
      <c r="M34" s="13">
        <v>0.29147966503038641</v>
      </c>
      <c r="N34" s="13">
        <v>0.28013079271853192</v>
      </c>
      <c r="O34" s="13">
        <v>0.31678951299469099</v>
      </c>
      <c r="P34" s="13">
        <v>0.33664658326762781</v>
      </c>
      <c r="Q34" s="13">
        <v>0.33229695610339516</v>
      </c>
      <c r="R34" s="13">
        <v>0.35229531563072897</v>
      </c>
      <c r="S34" s="13">
        <v>0.3521795269445811</v>
      </c>
      <c r="T34" s="13">
        <v>0.32755270771539674</v>
      </c>
      <c r="U34" s="13">
        <v>0.30361813835905843</v>
      </c>
      <c r="V34" s="13">
        <v>0.27981895528228229</v>
      </c>
      <c r="W34" s="13">
        <v>0.26158654860663694</v>
      </c>
      <c r="X34" s="13">
        <v>0.33476131877617538</v>
      </c>
      <c r="Y34" s="13">
        <v>0.3381697571524967</v>
      </c>
      <c r="Z34" s="13">
        <v>0.35609287139621687</v>
      </c>
      <c r="AA34" s="13">
        <v>0.36630678541737743</v>
      </c>
      <c r="AB34" s="13">
        <v>0.39638023919117321</v>
      </c>
      <c r="AC34" s="13">
        <v>0.38903198137202188</v>
      </c>
      <c r="AD34" s="13">
        <v>0.38197094516014829</v>
      </c>
      <c r="AE34" s="13">
        <v>0.37678208428856791</v>
      </c>
      <c r="AF34" s="13">
        <v>0.38009537300859064</v>
      </c>
      <c r="AG34" s="13">
        <v>0.36840788188562656</v>
      </c>
      <c r="AH34" s="13">
        <v>0.32750062281869308</v>
      </c>
      <c r="AI34" s="13">
        <v>0.3217660711886563</v>
      </c>
      <c r="AJ34" s="13">
        <v>0.32273034151228119</v>
      </c>
      <c r="AK34" s="13">
        <v>0.32415576706448673</v>
      </c>
      <c r="AL34" s="13">
        <v>0.33068228274046657</v>
      </c>
      <c r="AM34" s="13">
        <v>0.346701669481845</v>
      </c>
      <c r="AN34" s="13">
        <v>0.35610567226218931</v>
      </c>
      <c r="AO34" s="13">
        <v>0.35541875334840378</v>
      </c>
      <c r="AP34" s="13">
        <v>0.34847732842851653</v>
      </c>
      <c r="AQ34" s="13">
        <v>0.34976223209853791</v>
      </c>
      <c r="EA34" s="9" t="s">
        <v>173</v>
      </c>
      <c r="EB34" s="13">
        <v>0.58318302916445852</v>
      </c>
      <c r="EC34" s="13">
        <v>0.60680586064969821</v>
      </c>
      <c r="ED34" s="13">
        <v>0.60792157045140793</v>
      </c>
      <c r="EE34" s="13">
        <v>0.60649701034133563</v>
      </c>
      <c r="EF34" s="13">
        <v>0.6115043522545468</v>
      </c>
      <c r="EG34" s="13">
        <v>0.61006771498812129</v>
      </c>
      <c r="EH34" s="13">
        <v>0.62123588986517375</v>
      </c>
      <c r="EI34" s="13">
        <v>0.62874898827293024</v>
      </c>
      <c r="EJ34" s="13">
        <v>0.62412854070783419</v>
      </c>
      <c r="EK34" s="13">
        <v>0.60198444902897497</v>
      </c>
      <c r="EL34" s="11">
        <v>0.57622404456329046</v>
      </c>
      <c r="EM34" s="13">
        <v>0.54375753687001949</v>
      </c>
      <c r="EN34" s="13">
        <v>0.53138553374945541</v>
      </c>
      <c r="EO34" s="13">
        <v>0.52776555328291008</v>
      </c>
      <c r="EP34" s="13">
        <v>0.49922982449188091</v>
      </c>
      <c r="EQ34" s="13">
        <v>0.51075457780399713</v>
      </c>
      <c r="ER34" s="13">
        <v>0.53836047145995403</v>
      </c>
      <c r="ES34" s="13">
        <v>0.5628232174325748</v>
      </c>
      <c r="ET34" s="13">
        <v>0.59020346379449473</v>
      </c>
      <c r="EU34" s="13">
        <v>0.59691062696702935</v>
      </c>
      <c r="EV34" s="11">
        <v>0.38365361711386015</v>
      </c>
      <c r="EW34" s="13">
        <v>0.3649472433426772</v>
      </c>
      <c r="EX34" s="13">
        <v>0.35236598194372609</v>
      </c>
      <c r="EY34" s="13">
        <v>0.358797255707058</v>
      </c>
      <c r="EZ34" s="13">
        <v>0.3293743941951176</v>
      </c>
      <c r="FA34" s="13">
        <v>0.35143158867218205</v>
      </c>
      <c r="FB34" s="13">
        <v>0.35688930615684689</v>
      </c>
      <c r="FC34" s="13">
        <v>0.35929804586024433</v>
      </c>
      <c r="FD34" s="13">
        <v>0.35648877417160463</v>
      </c>
      <c r="FE34" s="13">
        <v>0.38452742234335308</v>
      </c>
      <c r="FF34" s="13">
        <v>0.53672048083358104</v>
      </c>
      <c r="FG34" s="13">
        <v>0.53113807740333618</v>
      </c>
      <c r="FH34" s="13">
        <v>0.54420609908950235</v>
      </c>
      <c r="FI34" s="13">
        <v>0.55603698852613626</v>
      </c>
      <c r="FJ34" s="13">
        <v>0.54374658335111647</v>
      </c>
      <c r="FK34" s="13">
        <v>0.52675927561161606</v>
      </c>
      <c r="FL34" s="13">
        <v>0.52178181902215415</v>
      </c>
      <c r="FM34" s="13">
        <v>0.52151786673400502</v>
      </c>
      <c r="FN34" s="11">
        <v>0.53001082275637679</v>
      </c>
      <c r="FO34" s="13">
        <v>0.53824297045155789</v>
      </c>
      <c r="FQ34" s="9" t="s">
        <v>183</v>
      </c>
      <c r="FR34" s="9" t="s">
        <v>207</v>
      </c>
      <c r="FS34" s="9" t="s">
        <v>208</v>
      </c>
      <c r="FT34" s="13">
        <v>0.46272199290212279</v>
      </c>
    </row>
    <row r="35" spans="2:176" x14ac:dyDescent="0.45">
      <c r="B35" s="8" t="s">
        <v>174</v>
      </c>
      <c r="C35" s="8" t="s">
        <v>31</v>
      </c>
      <c r="D35" s="12">
        <v>0.30884416591229996</v>
      </c>
      <c r="E35" s="12">
        <v>0.30859033025935528</v>
      </c>
      <c r="F35" s="12">
        <v>0.29383088575660538</v>
      </c>
      <c r="G35" s="12">
        <v>0.28005387235441187</v>
      </c>
      <c r="H35" s="12">
        <v>0.29216758292099554</v>
      </c>
      <c r="I35" s="12">
        <v>0.30307976131364672</v>
      </c>
      <c r="J35" s="12">
        <v>0.28506220077402505</v>
      </c>
      <c r="K35" s="12">
        <v>0.27749249968081074</v>
      </c>
      <c r="L35" s="12">
        <v>0.28043343527037368</v>
      </c>
      <c r="M35" s="12">
        <v>0.28752352850975249</v>
      </c>
      <c r="N35" s="12">
        <v>0.28941309300428608</v>
      </c>
      <c r="O35" s="12">
        <v>0.31272203556304384</v>
      </c>
      <c r="P35" s="12">
        <v>0.32191677408885377</v>
      </c>
      <c r="Q35" s="12">
        <v>0.33807563931900864</v>
      </c>
      <c r="R35" s="12">
        <v>0.36278276568732898</v>
      </c>
      <c r="S35" s="12">
        <v>0.36607088801003496</v>
      </c>
      <c r="T35" s="12">
        <v>0.33907455677920068</v>
      </c>
      <c r="U35" s="12">
        <v>0.32323319008558704</v>
      </c>
      <c r="V35" s="12">
        <v>0.29642784177657261</v>
      </c>
      <c r="W35" s="12">
        <v>0.28428303599902566</v>
      </c>
      <c r="X35" s="12">
        <v>0.35318497468541593</v>
      </c>
      <c r="Y35" s="12">
        <v>0.35906609983446641</v>
      </c>
      <c r="Z35" s="12">
        <v>0.39040724623063328</v>
      </c>
      <c r="AA35" s="12">
        <v>0.41197634138399281</v>
      </c>
      <c r="AB35" s="12">
        <v>0.42372313018819041</v>
      </c>
      <c r="AC35" s="12">
        <v>0.42421153944728657</v>
      </c>
      <c r="AD35" s="12">
        <v>0.41676602080265696</v>
      </c>
      <c r="AE35" s="12">
        <v>0.3866073190183163</v>
      </c>
      <c r="AF35" s="12">
        <v>0.37482678582667889</v>
      </c>
      <c r="AG35" s="12">
        <v>0.3727564041321747</v>
      </c>
      <c r="AH35" s="12">
        <v>0.34882001157950537</v>
      </c>
      <c r="AI35" s="12">
        <v>0.33085833869066844</v>
      </c>
      <c r="AJ35" s="12">
        <v>0.33099997702730938</v>
      </c>
      <c r="AK35" s="12">
        <v>0.32770961035841084</v>
      </c>
      <c r="AL35" s="12">
        <v>0.32566428639129841</v>
      </c>
      <c r="AM35" s="12">
        <v>0.33838233589173261</v>
      </c>
      <c r="AN35" s="12">
        <v>0.34008682547354263</v>
      </c>
      <c r="AO35" s="12">
        <v>0.34009297693532858</v>
      </c>
      <c r="AP35" s="12">
        <v>0.3365028240483634</v>
      </c>
      <c r="AQ35" s="12">
        <v>0.34239122099337488</v>
      </c>
      <c r="EA35" s="8" t="s">
        <v>174</v>
      </c>
      <c r="EB35" s="12">
        <v>0.59533225769769516</v>
      </c>
      <c r="EC35" s="12">
        <v>0.60142103152442927</v>
      </c>
      <c r="ED35" s="12">
        <v>0.61330798119165297</v>
      </c>
      <c r="EE35" s="12">
        <v>0.6220864374304006</v>
      </c>
      <c r="EF35" s="12">
        <v>0.61582308850424328</v>
      </c>
      <c r="EG35" s="12">
        <v>0.59902026183894008</v>
      </c>
      <c r="EH35" s="12">
        <v>0.60769252180308098</v>
      </c>
      <c r="EI35" s="12">
        <v>0.62168655034705689</v>
      </c>
      <c r="EJ35" s="12">
        <v>0.62353904306107921</v>
      </c>
      <c r="EK35" s="12">
        <v>0.61346988971680638</v>
      </c>
      <c r="EL35" s="10">
        <v>0.55501065557365603</v>
      </c>
      <c r="EM35" s="12">
        <v>0.52410584790131121</v>
      </c>
      <c r="EN35" s="12">
        <v>0.52226214490685408</v>
      </c>
      <c r="EO35" s="12">
        <v>0.51812982881700786</v>
      </c>
      <c r="EP35" s="12">
        <v>0.47516144532048343</v>
      </c>
      <c r="EQ35" s="12">
        <v>0.49015816926240513</v>
      </c>
      <c r="ER35" s="12">
        <v>0.52169838661843249</v>
      </c>
      <c r="ES35" s="12">
        <v>0.54588907107700602</v>
      </c>
      <c r="ET35" s="12">
        <v>0.57731728075548039</v>
      </c>
      <c r="EU35" s="12">
        <v>0.58529616268132634</v>
      </c>
      <c r="EV35" s="10">
        <v>0.35646921775389445</v>
      </c>
      <c r="EW35" s="12">
        <v>0.34065383380503678</v>
      </c>
      <c r="EX35" s="12">
        <v>0.3335870603619458</v>
      </c>
      <c r="EY35" s="12">
        <v>0.33021920597535387</v>
      </c>
      <c r="EZ35" s="12">
        <v>0.3129087442706649</v>
      </c>
      <c r="FA35" s="12">
        <v>0.3463520889630981</v>
      </c>
      <c r="FB35" s="12">
        <v>0.3702730280966029</v>
      </c>
      <c r="FC35" s="12">
        <v>0.35708967442923373</v>
      </c>
      <c r="FD35" s="12">
        <v>0.34969194951045818</v>
      </c>
      <c r="FE35" s="12">
        <v>0.35553891365578155</v>
      </c>
      <c r="FF35" s="12">
        <v>0.51091625503627947</v>
      </c>
      <c r="FG35" s="12">
        <v>0.51833654198709367</v>
      </c>
      <c r="FH35" s="12">
        <v>0.53455884491185435</v>
      </c>
      <c r="FI35" s="12">
        <v>0.54476082402407455</v>
      </c>
      <c r="FJ35" s="12">
        <v>0.5361838970242282</v>
      </c>
      <c r="FK35" s="12">
        <v>0.52931319291138357</v>
      </c>
      <c r="FL35" s="12">
        <v>0.52394319461335637</v>
      </c>
      <c r="FM35" s="12">
        <v>0.53366023279689501</v>
      </c>
      <c r="FN35" s="10">
        <v>0.53423518236477108</v>
      </c>
      <c r="FO35" s="12">
        <v>0.5293871440381247</v>
      </c>
      <c r="FQ35" s="8" t="s">
        <v>184</v>
      </c>
      <c r="FR35" s="8" t="s">
        <v>207</v>
      </c>
      <c r="FS35" s="8" t="s">
        <v>208</v>
      </c>
      <c r="FT35" s="12">
        <v>0.45576518314082703</v>
      </c>
    </row>
    <row r="36" spans="2:176" x14ac:dyDescent="0.45">
      <c r="B36" s="9" t="s">
        <v>175</v>
      </c>
      <c r="C36" s="9" t="s">
        <v>31</v>
      </c>
      <c r="D36" s="13">
        <v>0.31685434618771818</v>
      </c>
      <c r="E36" s="13">
        <v>0.32236433963149203</v>
      </c>
      <c r="F36" s="13">
        <v>0.3090548385106564</v>
      </c>
      <c r="G36" s="13">
        <v>0.29539276314844976</v>
      </c>
      <c r="H36" s="13">
        <v>0.30823613472738948</v>
      </c>
      <c r="I36" s="13">
        <v>0.31029049501382061</v>
      </c>
      <c r="J36" s="13">
        <v>0.29342552962402152</v>
      </c>
      <c r="K36" s="13">
        <v>0.27433782500860532</v>
      </c>
      <c r="L36" s="13">
        <v>0.26979020379278079</v>
      </c>
      <c r="M36" s="13">
        <v>0.28597860843315936</v>
      </c>
      <c r="N36" s="13">
        <v>0.28835162088165084</v>
      </c>
      <c r="O36" s="13">
        <v>0.31720423241508278</v>
      </c>
      <c r="P36" s="13">
        <v>0.33175632588928006</v>
      </c>
      <c r="Q36" s="13">
        <v>0.33832875687425329</v>
      </c>
      <c r="R36" s="13">
        <v>0.35134739721635494</v>
      </c>
      <c r="S36" s="13">
        <v>0.35356551632673627</v>
      </c>
      <c r="T36" s="13">
        <v>0.3369599527011668</v>
      </c>
      <c r="U36" s="13">
        <v>0.32870798009692515</v>
      </c>
      <c r="V36" s="13">
        <v>0.31538378350742013</v>
      </c>
      <c r="W36" s="13">
        <v>0.29044520563732795</v>
      </c>
      <c r="X36" s="13">
        <v>0.34477477734156897</v>
      </c>
      <c r="Y36" s="13">
        <v>0.3447805299047968</v>
      </c>
      <c r="Z36" s="13">
        <v>0.37698603624568477</v>
      </c>
      <c r="AA36" s="13">
        <v>0.40049170674337203</v>
      </c>
      <c r="AB36" s="13">
        <v>0.4197004764202652</v>
      </c>
      <c r="AC36" s="13">
        <v>0.39695085442113243</v>
      </c>
      <c r="AD36" s="13">
        <v>0.37967637731933385</v>
      </c>
      <c r="AE36" s="13">
        <v>0.39707890474694169</v>
      </c>
      <c r="AF36" s="13">
        <v>0.3993021021867218</v>
      </c>
      <c r="AG36" s="13">
        <v>0.38235154182221237</v>
      </c>
      <c r="AH36" s="13">
        <v>0.34664605834813872</v>
      </c>
      <c r="AI36" s="13">
        <v>0.33806554853292553</v>
      </c>
      <c r="AJ36" s="13">
        <v>0.33263892637306158</v>
      </c>
      <c r="AK36" s="13">
        <v>0.3284040605869219</v>
      </c>
      <c r="AL36" s="13">
        <v>0.33761934789946663</v>
      </c>
      <c r="AM36" s="13">
        <v>0.3475926503799382</v>
      </c>
      <c r="AN36" s="13">
        <v>0.35153042698735365</v>
      </c>
      <c r="AO36" s="13">
        <v>0.35337909456488548</v>
      </c>
      <c r="AP36" s="13">
        <v>0.34195028833519264</v>
      </c>
      <c r="AQ36" s="13">
        <v>0.3411751946115979</v>
      </c>
      <c r="EA36" s="9" t="s">
        <v>175</v>
      </c>
      <c r="EB36" s="13">
        <v>0.5707263699389562</v>
      </c>
      <c r="EC36" s="13">
        <v>0.58094419838843803</v>
      </c>
      <c r="ED36" s="13">
        <v>0.59584168839769869</v>
      </c>
      <c r="EE36" s="13">
        <v>0.59426613979371901</v>
      </c>
      <c r="EF36" s="13">
        <v>0.58910545349785615</v>
      </c>
      <c r="EG36" s="13">
        <v>0.58016712710237583</v>
      </c>
      <c r="EH36" s="13">
        <v>0.59653775607686588</v>
      </c>
      <c r="EI36" s="13">
        <v>0.61279089815627086</v>
      </c>
      <c r="EJ36" s="13">
        <v>0.61525090505742064</v>
      </c>
      <c r="EK36" s="13">
        <v>0.59734359372738477</v>
      </c>
      <c r="EL36" s="11">
        <v>0.5239657930705649</v>
      </c>
      <c r="EM36" s="13">
        <v>0.49589312838590849</v>
      </c>
      <c r="EN36" s="13">
        <v>0.49285205660238079</v>
      </c>
      <c r="EO36" s="13">
        <v>0.48973250989280004</v>
      </c>
      <c r="EP36" s="13">
        <v>0.45039376663428099</v>
      </c>
      <c r="EQ36" s="13">
        <v>0.46817081713143766</v>
      </c>
      <c r="ER36" s="13">
        <v>0.49219340334777095</v>
      </c>
      <c r="ES36" s="13">
        <v>0.50862568720184576</v>
      </c>
      <c r="ET36" s="13">
        <v>0.52546758075298361</v>
      </c>
      <c r="EU36" s="13">
        <v>0.54300291716450888</v>
      </c>
      <c r="EV36" s="11">
        <v>0.33669392792422664</v>
      </c>
      <c r="EW36" s="13">
        <v>0.32998921647552243</v>
      </c>
      <c r="EX36" s="13">
        <v>0.31947086973020888</v>
      </c>
      <c r="EY36" s="13">
        <v>0.31892374416389052</v>
      </c>
      <c r="EZ36" s="13">
        <v>0.30440057129926718</v>
      </c>
      <c r="FA36" s="13">
        <v>0.33785293177065084</v>
      </c>
      <c r="FB36" s="13">
        <v>0.34765203932035632</v>
      </c>
      <c r="FC36" s="13">
        <v>0.3262748564466853</v>
      </c>
      <c r="FD36" s="13">
        <v>0.3167150478964097</v>
      </c>
      <c r="FE36" s="13">
        <v>0.32675665328502701</v>
      </c>
      <c r="FF36" s="13">
        <v>0.49069364342079153</v>
      </c>
      <c r="FG36" s="13">
        <v>0.49307642511198774</v>
      </c>
      <c r="FH36" s="13">
        <v>0.50208492190471432</v>
      </c>
      <c r="FI36" s="13">
        <v>0.51341527693365163</v>
      </c>
      <c r="FJ36" s="13">
        <v>0.49992542918475591</v>
      </c>
      <c r="FK36" s="13">
        <v>0.49138429604082096</v>
      </c>
      <c r="FL36" s="13">
        <v>0.49393561040988126</v>
      </c>
      <c r="FM36" s="13">
        <v>0.50100851390782764</v>
      </c>
      <c r="FN36" s="11">
        <v>0.50774297106755739</v>
      </c>
      <c r="FO36" s="13">
        <v>0.51041426491761388</v>
      </c>
      <c r="FQ36" s="9" t="s">
        <v>185</v>
      </c>
      <c r="FR36" s="9" t="s">
        <v>207</v>
      </c>
      <c r="FS36" s="9" t="s">
        <v>208</v>
      </c>
      <c r="FT36" s="13">
        <v>0.45143703961459136</v>
      </c>
    </row>
    <row r="37" spans="2:176" x14ac:dyDescent="0.45">
      <c r="B37" s="8" t="s">
        <v>176</v>
      </c>
      <c r="C37" s="8" t="s">
        <v>31</v>
      </c>
      <c r="D37" s="12">
        <v>0.33290376302764541</v>
      </c>
      <c r="E37" s="12">
        <v>0.33275200108346098</v>
      </c>
      <c r="F37" s="12">
        <v>0.33256313289370304</v>
      </c>
      <c r="G37" s="12">
        <v>0.32926756236065025</v>
      </c>
      <c r="H37" s="12">
        <v>0.33047915678859235</v>
      </c>
      <c r="I37" s="12">
        <v>0.32516840389197549</v>
      </c>
      <c r="J37" s="12">
        <v>0.31090354704272077</v>
      </c>
      <c r="K37" s="12">
        <v>0.29781925446383722</v>
      </c>
      <c r="L37" s="12">
        <v>0.29740174899726263</v>
      </c>
      <c r="M37" s="12">
        <v>0.32742725033173381</v>
      </c>
      <c r="N37" s="12">
        <v>0.32710074801479078</v>
      </c>
      <c r="O37" s="12">
        <v>0.34778875846790452</v>
      </c>
      <c r="P37" s="12">
        <v>0.36737291255234006</v>
      </c>
      <c r="Q37" s="12">
        <v>0.37210695475420263</v>
      </c>
      <c r="R37" s="12">
        <v>0.37761424311502506</v>
      </c>
      <c r="S37" s="12">
        <v>0.37404302516784743</v>
      </c>
      <c r="T37" s="12">
        <v>0.36707767252194584</v>
      </c>
      <c r="U37" s="12">
        <v>0.36297651291400307</v>
      </c>
      <c r="V37" s="12">
        <v>0.33444743306609215</v>
      </c>
      <c r="W37" s="12">
        <v>0.3055876898622894</v>
      </c>
      <c r="X37" s="12">
        <v>0.4088567564471226</v>
      </c>
      <c r="Y37" s="12">
        <v>0.40640915277804573</v>
      </c>
      <c r="Z37" s="12">
        <v>0.43149482001857264</v>
      </c>
      <c r="AA37" s="12">
        <v>0.42919638509501212</v>
      </c>
      <c r="AB37" s="12">
        <v>0.45921885828615083</v>
      </c>
      <c r="AC37" s="12">
        <v>0.45191840074473366</v>
      </c>
      <c r="AD37" s="12">
        <v>0.43078955884560888</v>
      </c>
      <c r="AE37" s="12">
        <v>0.43012413015744427</v>
      </c>
      <c r="AF37" s="12">
        <v>0.41585311596239882</v>
      </c>
      <c r="AG37" s="12">
        <v>0.38598710580011619</v>
      </c>
      <c r="AH37" s="12">
        <v>0.3270023733412179</v>
      </c>
      <c r="AI37" s="12">
        <v>0.32266153149632365</v>
      </c>
      <c r="AJ37" s="12">
        <v>0.32204705210794815</v>
      </c>
      <c r="AK37" s="12">
        <v>0.35366768041327279</v>
      </c>
      <c r="AL37" s="12">
        <v>0.37052641745351966</v>
      </c>
      <c r="AM37" s="12">
        <v>0.38170410907468483</v>
      </c>
      <c r="AN37" s="12">
        <v>0.37753080219590773</v>
      </c>
      <c r="AO37" s="12">
        <v>0.3515976682550358</v>
      </c>
      <c r="AP37" s="12">
        <v>0.3339695907996344</v>
      </c>
      <c r="AQ37" s="12">
        <v>0.32609930575012058</v>
      </c>
      <c r="EA37" s="8" t="s">
        <v>176</v>
      </c>
      <c r="EB37" s="12">
        <v>0.45409097932522657</v>
      </c>
      <c r="EC37" s="12">
        <v>0.46218444952398341</v>
      </c>
      <c r="ED37" s="12">
        <v>0.47386467771844043</v>
      </c>
      <c r="EE37" s="12">
        <v>0.47179799926233873</v>
      </c>
      <c r="EF37" s="12">
        <v>0.48451415370411627</v>
      </c>
      <c r="EG37" s="12">
        <v>0.49220245142336716</v>
      </c>
      <c r="EH37" s="12">
        <v>0.49736055054051115</v>
      </c>
      <c r="EI37" s="12">
        <v>0.51127077338671501</v>
      </c>
      <c r="EJ37" s="12">
        <v>0.51135352647004584</v>
      </c>
      <c r="EK37" s="12">
        <v>0.48072188840507418</v>
      </c>
      <c r="EL37" s="10">
        <v>0.37717546671198565</v>
      </c>
      <c r="EM37" s="12">
        <v>0.35915676846479822</v>
      </c>
      <c r="EN37" s="12">
        <v>0.34256678683758024</v>
      </c>
      <c r="EO37" s="12">
        <v>0.33858589081359353</v>
      </c>
      <c r="EP37" s="12">
        <v>0.32836850822894947</v>
      </c>
      <c r="EQ37" s="12">
        <v>0.34591522827043358</v>
      </c>
      <c r="ER37" s="12">
        <v>0.35492352978923053</v>
      </c>
      <c r="ES37" s="12">
        <v>0.37579000298453691</v>
      </c>
      <c r="ET37" s="12">
        <v>0.39386128449490615</v>
      </c>
      <c r="EU37" s="12">
        <v>0.39085525760510209</v>
      </c>
      <c r="EV37" s="10">
        <v>0.25739733878103932</v>
      </c>
      <c r="EW37" s="12">
        <v>0.25997385191450506</v>
      </c>
      <c r="EX37" s="12">
        <v>0.25831644166633838</v>
      </c>
      <c r="EY37" s="12">
        <v>0.26851530465887469</v>
      </c>
      <c r="EZ37" s="12">
        <v>0.24503961932295187</v>
      </c>
      <c r="FA37" s="12">
        <v>0.24688364984495675</v>
      </c>
      <c r="FB37" s="12">
        <v>0.25567661292841037</v>
      </c>
      <c r="FC37" s="12">
        <v>0.25559034678725495</v>
      </c>
      <c r="FD37" s="12">
        <v>0.26667242257023177</v>
      </c>
      <c r="FE37" s="12">
        <v>0.27479778449579934</v>
      </c>
      <c r="FF37" s="12">
        <v>0.40730090797502716</v>
      </c>
      <c r="FG37" s="12">
        <v>0.39675171146601301</v>
      </c>
      <c r="FH37" s="12">
        <v>0.41538171547009489</v>
      </c>
      <c r="FI37" s="12">
        <v>0.42078399732176847</v>
      </c>
      <c r="FJ37" s="12">
        <v>0.40926917290422443</v>
      </c>
      <c r="FK37" s="12">
        <v>0.39892744150896842</v>
      </c>
      <c r="FL37" s="12">
        <v>0.4017773180125262</v>
      </c>
      <c r="FM37" s="12">
        <v>0.43391842005688563</v>
      </c>
      <c r="FN37" s="10">
        <v>0.4572023128713682</v>
      </c>
      <c r="FO37" s="12">
        <v>0.45072883360182764</v>
      </c>
      <c r="FQ37" s="8" t="s">
        <v>186</v>
      </c>
      <c r="FR37" s="8" t="s">
        <v>207</v>
      </c>
      <c r="FS37" s="8" t="s">
        <v>208</v>
      </c>
      <c r="FT37" s="12">
        <v>0.45997185870928964</v>
      </c>
    </row>
    <row r="38" spans="2:176" x14ac:dyDescent="0.45">
      <c r="B38" s="9" t="s">
        <v>177</v>
      </c>
      <c r="C38" s="9" t="s">
        <v>31</v>
      </c>
      <c r="D38" s="13">
        <v>0.30125575519789677</v>
      </c>
      <c r="E38" s="13">
        <v>0.31047313552669825</v>
      </c>
      <c r="F38" s="13">
        <v>0.30455326345198097</v>
      </c>
      <c r="G38" s="13">
        <v>0.31211729810323408</v>
      </c>
      <c r="H38" s="13">
        <v>0.2951019654715894</v>
      </c>
      <c r="I38" s="13">
        <v>0.28726307537835055</v>
      </c>
      <c r="J38" s="13">
        <v>0.27518938569422324</v>
      </c>
      <c r="K38" s="13">
        <v>0.26339332359186168</v>
      </c>
      <c r="L38" s="13">
        <v>0.27143782741996431</v>
      </c>
      <c r="M38" s="13">
        <v>0.28675030301503457</v>
      </c>
      <c r="N38" s="13">
        <v>0.29734773878077281</v>
      </c>
      <c r="O38" s="13">
        <v>0.32269497918070927</v>
      </c>
      <c r="P38" s="13">
        <v>0.32911935153949523</v>
      </c>
      <c r="Q38" s="13">
        <v>0.32406463140188224</v>
      </c>
      <c r="R38" s="13">
        <v>0.34531247480526955</v>
      </c>
      <c r="S38" s="13">
        <v>0.35135681858906026</v>
      </c>
      <c r="T38" s="13">
        <v>0.35534432966447083</v>
      </c>
      <c r="U38" s="13">
        <v>0.34953396222284866</v>
      </c>
      <c r="V38" s="13">
        <v>0.3238544853980318</v>
      </c>
      <c r="W38" s="13">
        <v>0.28869275461662669</v>
      </c>
      <c r="X38" s="13">
        <v>0.40204867994275845</v>
      </c>
      <c r="Y38" s="13">
        <v>0.39938718390222511</v>
      </c>
      <c r="Z38" s="13">
        <v>0.40114700239109208</v>
      </c>
      <c r="AA38" s="13">
        <v>0.40648605808217136</v>
      </c>
      <c r="AB38" s="13">
        <v>0.4505350729640758</v>
      </c>
      <c r="AC38" s="13">
        <v>0.44776765095097226</v>
      </c>
      <c r="AD38" s="13">
        <v>0.42581269457548343</v>
      </c>
      <c r="AE38" s="13">
        <v>0.40522007501554008</v>
      </c>
      <c r="AF38" s="13">
        <v>0.38734810398845082</v>
      </c>
      <c r="AG38" s="13">
        <v>0.36243635942903785</v>
      </c>
      <c r="AH38" s="13">
        <v>0.30833865993796633</v>
      </c>
      <c r="AI38" s="13">
        <v>0.31509486210830451</v>
      </c>
      <c r="AJ38" s="13">
        <v>0.31599495145297113</v>
      </c>
      <c r="AK38" s="13">
        <v>0.32782819487187487</v>
      </c>
      <c r="AL38" s="13">
        <v>0.34732482704903445</v>
      </c>
      <c r="AM38" s="13">
        <v>0.36447831349835597</v>
      </c>
      <c r="AN38" s="13">
        <v>0.34743540773541509</v>
      </c>
      <c r="AO38" s="13">
        <v>0.31793086172969687</v>
      </c>
      <c r="AP38" s="13">
        <v>0.30793154457320848</v>
      </c>
      <c r="AQ38" s="13">
        <v>0.30604551526406809</v>
      </c>
      <c r="EA38" s="9" t="s">
        <v>177</v>
      </c>
      <c r="EB38" s="13">
        <v>0.57481513954465768</v>
      </c>
      <c r="EC38" s="13">
        <v>0.57121954538374287</v>
      </c>
      <c r="ED38" s="13">
        <v>0.58208317750686678</v>
      </c>
      <c r="EE38" s="13">
        <v>0.57625111058473411</v>
      </c>
      <c r="EF38" s="13">
        <v>0.60372242177073365</v>
      </c>
      <c r="EG38" s="13">
        <v>0.61741035654254861</v>
      </c>
      <c r="EH38" s="13">
        <v>0.62600748834664999</v>
      </c>
      <c r="EI38" s="13">
        <v>0.64231446956063309</v>
      </c>
      <c r="EJ38" s="13">
        <v>0.63651339384826655</v>
      </c>
      <c r="EK38" s="13">
        <v>0.60515226944947664</v>
      </c>
      <c r="EL38" s="11">
        <v>0.52607196381928645</v>
      </c>
      <c r="EM38" s="13">
        <v>0.49083092895105584</v>
      </c>
      <c r="EN38" s="13">
        <v>0.48738060036412234</v>
      </c>
      <c r="EO38" s="13">
        <v>0.48815455642806888</v>
      </c>
      <c r="EP38" s="13">
        <v>0.47440498186642893</v>
      </c>
      <c r="EQ38" s="13">
        <v>0.48197448664431447</v>
      </c>
      <c r="ER38" s="13">
        <v>0.49771439661357697</v>
      </c>
      <c r="ES38" s="13">
        <v>0.52614622213353623</v>
      </c>
      <c r="ET38" s="13">
        <v>0.54481104221283561</v>
      </c>
      <c r="EU38" s="13">
        <v>0.54913723976491458</v>
      </c>
      <c r="EV38" s="11">
        <v>0.36589594374650958</v>
      </c>
      <c r="EW38" s="13">
        <v>0.35643495943267234</v>
      </c>
      <c r="EX38" s="13">
        <v>0.3625161396487534</v>
      </c>
      <c r="EY38" s="13">
        <v>0.36009188597963715</v>
      </c>
      <c r="EZ38" s="13">
        <v>0.32006333008934756</v>
      </c>
      <c r="FA38" s="13">
        <v>0.32591049079755763</v>
      </c>
      <c r="FB38" s="13">
        <v>0.35283686220126204</v>
      </c>
      <c r="FC38" s="13">
        <v>0.38459112411013996</v>
      </c>
      <c r="FD38" s="13">
        <v>0.4139220078781955</v>
      </c>
      <c r="FE38" s="13">
        <v>0.40689178127212783</v>
      </c>
      <c r="FF38" s="13">
        <v>0.51621896936033007</v>
      </c>
      <c r="FG38" s="13">
        <v>0.5019713493167165</v>
      </c>
      <c r="FH38" s="13">
        <v>0.521289882483842</v>
      </c>
      <c r="FI38" s="13">
        <v>0.52890118210409076</v>
      </c>
      <c r="FJ38" s="13">
        <v>0.5139220543532016</v>
      </c>
      <c r="FK38" s="13">
        <v>0.49923565614933091</v>
      </c>
      <c r="FL38" s="13">
        <v>0.50316641082632152</v>
      </c>
      <c r="FM38" s="13">
        <v>0.54019361587544457</v>
      </c>
      <c r="FN38" s="11">
        <v>0.56928258356801997</v>
      </c>
      <c r="FO38" s="13">
        <v>0.55924448206446309</v>
      </c>
      <c r="FQ38" s="9" t="s">
        <v>187</v>
      </c>
      <c r="FR38" s="9" t="s">
        <v>207</v>
      </c>
      <c r="FS38" s="9" t="s">
        <v>208</v>
      </c>
      <c r="FT38" s="13">
        <v>0.45635643124695541</v>
      </c>
    </row>
    <row r="39" spans="2:176" x14ac:dyDescent="0.45">
      <c r="B39" s="8" t="s">
        <v>178</v>
      </c>
      <c r="C39" s="8" t="s">
        <v>31</v>
      </c>
      <c r="D39" s="12">
        <v>0.29984069449646794</v>
      </c>
      <c r="E39" s="12">
        <v>0.29570215831672647</v>
      </c>
      <c r="F39" s="12">
        <v>0.30145816682155246</v>
      </c>
      <c r="G39" s="12">
        <v>0.31272975733446423</v>
      </c>
      <c r="H39" s="12">
        <v>0.30245690667119168</v>
      </c>
      <c r="I39" s="12">
        <v>0.29872777810099593</v>
      </c>
      <c r="J39" s="12">
        <v>0.27264125757871949</v>
      </c>
      <c r="K39" s="12">
        <v>0.26546674570369155</v>
      </c>
      <c r="L39" s="12">
        <v>0.27099864084006225</v>
      </c>
      <c r="M39" s="12">
        <v>0.28097590590389748</v>
      </c>
      <c r="N39" s="12">
        <v>0.27958089088864263</v>
      </c>
      <c r="O39" s="12">
        <v>0.31597538610072723</v>
      </c>
      <c r="P39" s="12">
        <v>0.33524788442729703</v>
      </c>
      <c r="Q39" s="12">
        <v>0.32363104274760329</v>
      </c>
      <c r="R39" s="12">
        <v>0.33627442856596401</v>
      </c>
      <c r="S39" s="12">
        <v>0.34191863778105552</v>
      </c>
      <c r="T39" s="12">
        <v>0.33120206647814437</v>
      </c>
      <c r="U39" s="12">
        <v>0.32767026993009724</v>
      </c>
      <c r="V39" s="12">
        <v>0.30316132015526309</v>
      </c>
      <c r="W39" s="12">
        <v>0.2743761295088365</v>
      </c>
      <c r="X39" s="12">
        <v>0.35629729438745783</v>
      </c>
      <c r="Y39" s="12">
        <v>0.3587999398131676</v>
      </c>
      <c r="Z39" s="12">
        <v>0.36209703309477009</v>
      </c>
      <c r="AA39" s="12">
        <v>0.37488862161366104</v>
      </c>
      <c r="AB39" s="12">
        <v>0.4095923239732473</v>
      </c>
      <c r="AC39" s="12">
        <v>0.39894300621695661</v>
      </c>
      <c r="AD39" s="12">
        <v>0.39570949144388928</v>
      </c>
      <c r="AE39" s="12">
        <v>0.39126494405978124</v>
      </c>
      <c r="AF39" s="12">
        <v>0.39715339694012486</v>
      </c>
      <c r="AG39" s="12">
        <v>0.38426734732672391</v>
      </c>
      <c r="AH39" s="12">
        <v>0.31556217512734064</v>
      </c>
      <c r="AI39" s="12">
        <v>0.32160756842178506</v>
      </c>
      <c r="AJ39" s="12">
        <v>0.31988150610377042</v>
      </c>
      <c r="AK39" s="12">
        <v>0.32590025874981748</v>
      </c>
      <c r="AL39" s="12">
        <v>0.34079351917723177</v>
      </c>
      <c r="AM39" s="12">
        <v>0.35200141564939236</v>
      </c>
      <c r="AN39" s="12">
        <v>0.34585597028453208</v>
      </c>
      <c r="AO39" s="12">
        <v>0.33063610712490471</v>
      </c>
      <c r="AP39" s="12">
        <v>0.32401914353423922</v>
      </c>
      <c r="AQ39" s="12">
        <v>0.32337042647599279</v>
      </c>
      <c r="EA39" s="8" t="s">
        <v>178</v>
      </c>
      <c r="EB39" s="12">
        <v>0.58226353603074432</v>
      </c>
      <c r="EC39" s="12">
        <v>0.59985124622851049</v>
      </c>
      <c r="ED39" s="12">
        <v>0.60318691541188196</v>
      </c>
      <c r="EE39" s="12">
        <v>0.59261239230026375</v>
      </c>
      <c r="EF39" s="12">
        <v>0.61222117111630203</v>
      </c>
      <c r="EG39" s="12">
        <v>0.61381946011961919</v>
      </c>
      <c r="EH39" s="12">
        <v>0.63376788727089162</v>
      </c>
      <c r="EI39" s="12">
        <v>0.64206873489157001</v>
      </c>
      <c r="EJ39" s="12">
        <v>0.63594216789855218</v>
      </c>
      <c r="EK39" s="12">
        <v>0.60594486449322116</v>
      </c>
      <c r="EL39" s="10">
        <v>0.55858907606968633</v>
      </c>
      <c r="EM39" s="12">
        <v>0.52946333576580518</v>
      </c>
      <c r="EN39" s="12">
        <v>0.51934377024592859</v>
      </c>
      <c r="EO39" s="12">
        <v>0.51774323168835767</v>
      </c>
      <c r="EP39" s="12">
        <v>0.4997466615959989</v>
      </c>
      <c r="EQ39" s="12">
        <v>0.50713162216902352</v>
      </c>
      <c r="ER39" s="12">
        <v>0.52820608704930339</v>
      </c>
      <c r="ES39" s="12">
        <v>0.54316219240625496</v>
      </c>
      <c r="ET39" s="12">
        <v>0.56427799870109185</v>
      </c>
      <c r="EU39" s="12">
        <v>0.57317641978150702</v>
      </c>
      <c r="EV39" s="10">
        <v>0.38367114708858102</v>
      </c>
      <c r="EW39" s="12">
        <v>0.35730464924047645</v>
      </c>
      <c r="EX39" s="12">
        <v>0.36051006136250113</v>
      </c>
      <c r="EY39" s="12">
        <v>0.36004889152485908</v>
      </c>
      <c r="EZ39" s="12">
        <v>0.31937016149659703</v>
      </c>
      <c r="FA39" s="12">
        <v>0.3350574788129107</v>
      </c>
      <c r="FB39" s="12">
        <v>0.34914124501754273</v>
      </c>
      <c r="FC39" s="12">
        <v>0.36446174998348957</v>
      </c>
      <c r="FD39" s="12">
        <v>0.36083372517327933</v>
      </c>
      <c r="FE39" s="12">
        <v>0.38537861147068525</v>
      </c>
      <c r="FF39" s="12">
        <v>0.53640613560914296</v>
      </c>
      <c r="FG39" s="12">
        <v>0.51986993848495944</v>
      </c>
      <c r="FH39" s="12">
        <v>0.53662440073669371</v>
      </c>
      <c r="FI39" s="12">
        <v>0.53921011732500002</v>
      </c>
      <c r="FJ39" s="12">
        <v>0.52441572838567752</v>
      </c>
      <c r="FK39" s="12">
        <v>0.51342377613653545</v>
      </c>
      <c r="FL39" s="12">
        <v>0.51490459558199164</v>
      </c>
      <c r="FM39" s="12">
        <v>0.53242527845860277</v>
      </c>
      <c r="FN39" s="10">
        <v>0.55072757666063155</v>
      </c>
      <c r="FO39" s="12">
        <v>0.55022637353318493</v>
      </c>
      <c r="FQ39" s="8" t="s">
        <v>188</v>
      </c>
      <c r="FR39" s="8" t="s">
        <v>207</v>
      </c>
      <c r="FS39" s="8" t="s">
        <v>208</v>
      </c>
      <c r="FT39" s="12">
        <v>0.47618310548386</v>
      </c>
    </row>
    <row r="40" spans="2:176" x14ac:dyDescent="0.45">
      <c r="B40" s="9" t="s">
        <v>179</v>
      </c>
      <c r="C40" s="9" t="s">
        <v>31</v>
      </c>
      <c r="D40" s="13">
        <v>0.314468995607322</v>
      </c>
      <c r="E40" s="13">
        <v>0.31931488813555992</v>
      </c>
      <c r="F40" s="13">
        <v>0.31308944915369186</v>
      </c>
      <c r="G40" s="13">
        <v>0.31521723395921525</v>
      </c>
      <c r="H40" s="13">
        <v>0.31650693232828647</v>
      </c>
      <c r="I40" s="13">
        <v>0.30920844336881353</v>
      </c>
      <c r="J40" s="13">
        <v>0.29230302555876636</v>
      </c>
      <c r="K40" s="13">
        <v>0.27705551474270074</v>
      </c>
      <c r="L40" s="13">
        <v>0.27890760212888643</v>
      </c>
      <c r="M40" s="13">
        <v>0.30092172691314245</v>
      </c>
      <c r="N40" s="13">
        <v>0.30727239259368389</v>
      </c>
      <c r="O40" s="13">
        <v>0.33880175445529687</v>
      </c>
      <c r="P40" s="13">
        <v>0.3533005793650722</v>
      </c>
      <c r="Q40" s="13">
        <v>0.34498793119009835</v>
      </c>
      <c r="R40" s="13">
        <v>0.35705103415611633</v>
      </c>
      <c r="S40" s="13">
        <v>0.36115199855513397</v>
      </c>
      <c r="T40" s="13">
        <v>0.36104211630742605</v>
      </c>
      <c r="U40" s="13">
        <v>0.35424857632447715</v>
      </c>
      <c r="V40" s="13">
        <v>0.33754678956807083</v>
      </c>
      <c r="W40" s="13">
        <v>0.29683139418010956</v>
      </c>
      <c r="X40" s="13">
        <v>0.3961957112623456</v>
      </c>
      <c r="Y40" s="13">
        <v>0.39416232284000219</v>
      </c>
      <c r="Z40" s="13">
        <v>0.39880412938943782</v>
      </c>
      <c r="AA40" s="13">
        <v>0.40375731601230147</v>
      </c>
      <c r="AB40" s="13">
        <v>0.44203013525086482</v>
      </c>
      <c r="AC40" s="13">
        <v>0.43204206898858427</v>
      </c>
      <c r="AD40" s="13">
        <v>0.42320287319810829</v>
      </c>
      <c r="AE40" s="13">
        <v>0.42165379243331613</v>
      </c>
      <c r="AF40" s="13">
        <v>0.42122042357965261</v>
      </c>
      <c r="AG40" s="13">
        <v>0.3988320715583708</v>
      </c>
      <c r="AH40" s="13">
        <v>0.32141493038445035</v>
      </c>
      <c r="AI40" s="13">
        <v>0.33128830080518712</v>
      </c>
      <c r="AJ40" s="13">
        <v>0.32819256510642159</v>
      </c>
      <c r="AK40" s="13">
        <v>0.34203237365437256</v>
      </c>
      <c r="AL40" s="13">
        <v>0.35848035300170378</v>
      </c>
      <c r="AM40" s="13">
        <v>0.37071554108263216</v>
      </c>
      <c r="AN40" s="13">
        <v>0.36186080583895908</v>
      </c>
      <c r="AO40" s="13">
        <v>0.33376588596748114</v>
      </c>
      <c r="AP40" s="13">
        <v>0.31914016142052515</v>
      </c>
      <c r="AQ40" s="13">
        <v>0.32654976116658252</v>
      </c>
      <c r="EA40" s="9" t="s">
        <v>179</v>
      </c>
      <c r="EB40" s="13">
        <v>0.53918109707152606</v>
      </c>
      <c r="EC40" s="13">
        <v>0.55162604342874733</v>
      </c>
      <c r="ED40" s="13">
        <v>0.56413028128208864</v>
      </c>
      <c r="EE40" s="13">
        <v>0.55701780207983631</v>
      </c>
      <c r="EF40" s="13">
        <v>0.573491185552088</v>
      </c>
      <c r="EG40" s="13">
        <v>0.58166545039127715</v>
      </c>
      <c r="EH40" s="13">
        <v>0.59742234539000139</v>
      </c>
      <c r="EI40" s="13">
        <v>0.60516106263158898</v>
      </c>
      <c r="EJ40" s="13">
        <v>0.60448020683127635</v>
      </c>
      <c r="EK40" s="13">
        <v>0.56638742163869293</v>
      </c>
      <c r="EL40" s="11">
        <v>0.47908132499946976</v>
      </c>
      <c r="EM40" s="13">
        <v>0.45496679694588654</v>
      </c>
      <c r="EN40" s="13">
        <v>0.4436352588175973</v>
      </c>
      <c r="EO40" s="13">
        <v>0.44161384892471039</v>
      </c>
      <c r="EP40" s="13">
        <v>0.4278999343169872</v>
      </c>
      <c r="EQ40" s="13">
        <v>0.43941777302564278</v>
      </c>
      <c r="ER40" s="13">
        <v>0.45322687066469436</v>
      </c>
      <c r="ES40" s="13">
        <v>0.46564870604875197</v>
      </c>
      <c r="ET40" s="13">
        <v>0.48081228920058394</v>
      </c>
      <c r="EU40" s="13">
        <v>0.49075582114913435</v>
      </c>
      <c r="EV40" s="11">
        <v>0.33110227005560056</v>
      </c>
      <c r="EW40" s="13">
        <v>0.31770514786027226</v>
      </c>
      <c r="EX40" s="13">
        <v>0.32334043001373447</v>
      </c>
      <c r="EY40" s="13">
        <v>0.32967853759582827</v>
      </c>
      <c r="EZ40" s="13">
        <v>0.29766281958457635</v>
      </c>
      <c r="FA40" s="13">
        <v>0.30699879960272858</v>
      </c>
      <c r="FB40" s="13">
        <v>0.31464283348788669</v>
      </c>
      <c r="FC40" s="13">
        <v>0.32202093544478544</v>
      </c>
      <c r="FD40" s="13">
        <v>0.32339083808082242</v>
      </c>
      <c r="FE40" s="13">
        <v>0.33944435733137218</v>
      </c>
      <c r="FF40" s="13">
        <v>0.49642480222010343</v>
      </c>
      <c r="FG40" s="13">
        <v>0.47886761807115635</v>
      </c>
      <c r="FH40" s="13">
        <v>0.49224058447232111</v>
      </c>
      <c r="FI40" s="13">
        <v>0.49710620446930454</v>
      </c>
      <c r="FJ40" s="13">
        <v>0.48356073956898754</v>
      </c>
      <c r="FK40" s="13">
        <v>0.47853005840966806</v>
      </c>
      <c r="FL40" s="13">
        <v>0.47846220605802614</v>
      </c>
      <c r="FM40" s="13">
        <v>0.50380971639001926</v>
      </c>
      <c r="FN40" s="11">
        <v>0.53009517169322384</v>
      </c>
      <c r="FO40" s="13">
        <v>0.52923660716306553</v>
      </c>
      <c r="FQ40" s="9" t="s">
        <v>189</v>
      </c>
      <c r="FR40" s="9" t="s">
        <v>207</v>
      </c>
      <c r="FS40" s="9" t="s">
        <v>208</v>
      </c>
      <c r="FT40" s="13">
        <v>0.50273477410841805</v>
      </c>
    </row>
    <row r="41" spans="2:176" x14ac:dyDescent="0.45">
      <c r="B41" s="8" t="s">
        <v>180</v>
      </c>
      <c r="C41" s="8" t="s">
        <v>31</v>
      </c>
      <c r="D41" s="12">
        <v>0.34850633121577246</v>
      </c>
      <c r="E41" s="12">
        <v>0.33015188791162475</v>
      </c>
      <c r="F41" s="12">
        <v>0.33158233951531391</v>
      </c>
      <c r="G41" s="12">
        <v>0.35970605638756442</v>
      </c>
      <c r="H41" s="12">
        <v>0.40729374057602241</v>
      </c>
      <c r="I41" s="12">
        <v>0.4190604812420673</v>
      </c>
      <c r="J41" s="12">
        <v>0.4063366979633366</v>
      </c>
      <c r="K41" s="12">
        <v>0.37561909356990481</v>
      </c>
      <c r="L41" s="12">
        <v>0.35921070284369655</v>
      </c>
      <c r="M41" s="12">
        <v>0.35418035499859607</v>
      </c>
      <c r="N41" s="12">
        <v>0.31283628005590086</v>
      </c>
      <c r="O41" s="12">
        <v>0.309409723774832</v>
      </c>
      <c r="P41" s="12">
        <v>0.37109260628834512</v>
      </c>
      <c r="Q41" s="12">
        <v>0.36407690489151495</v>
      </c>
      <c r="R41" s="12">
        <v>0.39983626188347082</v>
      </c>
      <c r="S41" s="12">
        <v>0.39003962494264521</v>
      </c>
      <c r="T41" s="12">
        <v>0.37283147242091474</v>
      </c>
      <c r="U41" s="12">
        <v>0.37185439715707985</v>
      </c>
      <c r="V41" s="12">
        <v>0.34138572652711124</v>
      </c>
      <c r="W41" s="12">
        <v>0.31741285718983664</v>
      </c>
      <c r="X41" s="12">
        <v>0.32255989601175711</v>
      </c>
      <c r="Y41" s="12">
        <v>0.34439034674853508</v>
      </c>
      <c r="Z41" s="12">
        <v>0.46310512820701877</v>
      </c>
      <c r="AA41" s="12">
        <v>0.44065922463209439</v>
      </c>
      <c r="AB41" s="12">
        <v>0.47263501529050067</v>
      </c>
      <c r="AC41" s="12">
        <v>0.45970300297403444</v>
      </c>
      <c r="AD41" s="12">
        <v>0.44247834173971357</v>
      </c>
      <c r="AE41" s="12">
        <v>0.43211949391754462</v>
      </c>
      <c r="AF41" s="12">
        <v>0.3633735960514759</v>
      </c>
      <c r="AG41" s="12">
        <v>0.32606323002751292</v>
      </c>
      <c r="AH41" s="12">
        <v>0.36316434254116831</v>
      </c>
      <c r="AI41" s="12">
        <v>0.3598260855401843</v>
      </c>
      <c r="AJ41" s="12">
        <v>0.38951948917226642</v>
      </c>
      <c r="AK41" s="12">
        <v>0.42580905326629431</v>
      </c>
      <c r="AL41" s="12">
        <v>0.43309175040666537</v>
      </c>
      <c r="AM41" s="12">
        <v>0.42334516516871407</v>
      </c>
      <c r="AN41" s="12">
        <v>0.40318496373175999</v>
      </c>
      <c r="AO41" s="12">
        <v>0.37390683674244063</v>
      </c>
      <c r="AP41" s="12">
        <v>0.34509105153764347</v>
      </c>
      <c r="AQ41" s="12">
        <v>0.34140497528329028</v>
      </c>
      <c r="EA41" s="8" t="s">
        <v>180</v>
      </c>
      <c r="EB41" s="12">
        <v>0.4180256656310895</v>
      </c>
      <c r="EC41" s="12">
        <v>0.4216428842444982</v>
      </c>
      <c r="ED41" s="12">
        <v>0.42623533621758425</v>
      </c>
      <c r="EE41" s="12">
        <v>0.41619556234609517</v>
      </c>
      <c r="EF41" s="12">
        <v>0.37126928805966602</v>
      </c>
      <c r="EG41" s="12">
        <v>0.36492950149455256</v>
      </c>
      <c r="EH41" s="12">
        <v>0.38696247311192855</v>
      </c>
      <c r="EI41" s="12">
        <v>0.42887562938780699</v>
      </c>
      <c r="EJ41" s="12">
        <v>0.44738496259437099</v>
      </c>
      <c r="EK41" s="12">
        <v>0.43909705329024346</v>
      </c>
      <c r="EL41" s="10">
        <v>0.35245403598677139</v>
      </c>
      <c r="EM41" s="12">
        <v>0.33233520859588572</v>
      </c>
      <c r="EN41" s="12">
        <v>0.27850569413597759</v>
      </c>
      <c r="EO41" s="12">
        <v>0.26587309112366919</v>
      </c>
      <c r="EP41" s="12">
        <v>0.23629479697111955</v>
      </c>
      <c r="EQ41" s="12">
        <v>0.2621406042784335</v>
      </c>
      <c r="ER41" s="12">
        <v>0.26469290493775982</v>
      </c>
      <c r="ES41" s="12">
        <v>0.27836508763564988</v>
      </c>
      <c r="ET41" s="12">
        <v>0.32781394358351484</v>
      </c>
      <c r="EU41" s="12">
        <v>0.35510117091019777</v>
      </c>
      <c r="EV41" s="10">
        <v>0.18559183698301562</v>
      </c>
      <c r="EW41" s="12">
        <v>0.14319533598027462</v>
      </c>
      <c r="EX41" s="12">
        <v>0.10538325366872216</v>
      </c>
      <c r="EY41" s="12">
        <v>0.12396102092750963</v>
      </c>
      <c r="EZ41" s="12">
        <v>0.10553664494526994</v>
      </c>
      <c r="FA41" s="12">
        <v>0.13784977830339268</v>
      </c>
      <c r="FB41" s="12">
        <v>0.14332546272182464</v>
      </c>
      <c r="FC41" s="12">
        <v>0.13577404789944891</v>
      </c>
      <c r="FD41" s="12">
        <v>0.15437932019902884</v>
      </c>
      <c r="FE41" s="12">
        <v>0.19816181547363798</v>
      </c>
      <c r="FF41" s="12">
        <v>0.31549887186732262</v>
      </c>
      <c r="FG41" s="12">
        <v>0.3001458230246043</v>
      </c>
      <c r="FH41" s="12">
        <v>0.28951797954269226</v>
      </c>
      <c r="FI41" s="12">
        <v>0.26946314095493307</v>
      </c>
      <c r="FJ41" s="12">
        <v>0.2493175403308176</v>
      </c>
      <c r="FK41" s="12">
        <v>0.26241152949707286</v>
      </c>
      <c r="FL41" s="12">
        <v>0.27570840663542456</v>
      </c>
      <c r="FM41" s="12">
        <v>0.31878061944004399</v>
      </c>
      <c r="FN41" s="10">
        <v>0.3546137477713065</v>
      </c>
      <c r="FO41" s="12">
        <v>0.3606893347480003</v>
      </c>
      <c r="FQ41" s="8" t="s">
        <v>190</v>
      </c>
      <c r="FR41" s="8" t="s">
        <v>207</v>
      </c>
      <c r="FS41" s="8" t="s">
        <v>208</v>
      </c>
      <c r="FT41" s="12">
        <v>0.38552323832648355</v>
      </c>
    </row>
    <row r="42" spans="2:176" x14ac:dyDescent="0.45">
      <c r="B42" s="9" t="s">
        <v>181</v>
      </c>
      <c r="C42" s="9" t="s">
        <v>31</v>
      </c>
      <c r="D42" s="13">
        <v>0.32756875643521505</v>
      </c>
      <c r="E42" s="13">
        <v>0.3308478774680389</v>
      </c>
      <c r="F42" s="13">
        <v>0.32650911015777667</v>
      </c>
      <c r="G42" s="13">
        <v>0.34979677739355225</v>
      </c>
      <c r="H42" s="13">
        <v>0.40083959397722241</v>
      </c>
      <c r="I42" s="13">
        <v>0.4031306363488053</v>
      </c>
      <c r="J42" s="13">
        <v>0.37553999065989646</v>
      </c>
      <c r="K42" s="13">
        <v>0.34239645876479136</v>
      </c>
      <c r="L42" s="13">
        <v>0.32370422570472046</v>
      </c>
      <c r="M42" s="13">
        <v>0.32365655621984418</v>
      </c>
      <c r="N42" s="13">
        <v>0.34414313286658144</v>
      </c>
      <c r="O42" s="13">
        <v>0.35693544792792509</v>
      </c>
      <c r="P42" s="13">
        <v>0.43450199991268801</v>
      </c>
      <c r="Q42" s="13">
        <v>0.44281503884733203</v>
      </c>
      <c r="R42" s="13">
        <v>0.45948489315551638</v>
      </c>
      <c r="S42" s="13">
        <v>0.41966765539993051</v>
      </c>
      <c r="T42" s="13">
        <v>0.40632428094359851</v>
      </c>
      <c r="U42" s="13">
        <v>0.37298710811476993</v>
      </c>
      <c r="V42" s="13">
        <v>0.32853417350009578</v>
      </c>
      <c r="W42" s="13">
        <v>0.32617705082521103</v>
      </c>
      <c r="X42" s="13">
        <v>0.30973207796418067</v>
      </c>
      <c r="Y42" s="13">
        <v>0.35588145503867524</v>
      </c>
      <c r="Z42" s="13">
        <v>0.48828039115737298</v>
      </c>
      <c r="AA42" s="13">
        <v>0.46679920204106407</v>
      </c>
      <c r="AB42" s="13">
        <v>0.46398055728644078</v>
      </c>
      <c r="AC42" s="13">
        <v>0.45064273569011182</v>
      </c>
      <c r="AD42" s="13">
        <v>0.4429263500762266</v>
      </c>
      <c r="AE42" s="13">
        <v>0.42699245417708198</v>
      </c>
      <c r="AF42" s="13">
        <v>0.36143201709781092</v>
      </c>
      <c r="AG42" s="13">
        <v>0.33445102966452017</v>
      </c>
      <c r="AH42" s="13">
        <v>0.37115433713054857</v>
      </c>
      <c r="AI42" s="13">
        <v>0.37433218952202368</v>
      </c>
      <c r="AJ42" s="13">
        <v>0.40458509548682881</v>
      </c>
      <c r="AK42" s="13">
        <v>0.44991893867697424</v>
      </c>
      <c r="AL42" s="13">
        <v>0.46702919623262179</v>
      </c>
      <c r="AM42" s="13">
        <v>0.44871214713340418</v>
      </c>
      <c r="AN42" s="13">
        <v>0.41800311433266146</v>
      </c>
      <c r="AO42" s="13">
        <v>0.37140602390614369</v>
      </c>
      <c r="AP42" s="13">
        <v>0.33546086576995832</v>
      </c>
      <c r="AQ42" s="13">
        <v>0.33776665426681896</v>
      </c>
      <c r="EA42" s="9" t="s">
        <v>181</v>
      </c>
      <c r="EB42" s="13">
        <v>0.40228271154834588</v>
      </c>
      <c r="EC42" s="13">
        <v>0.40409068849751623</v>
      </c>
      <c r="ED42" s="13">
        <v>0.40274663563614654</v>
      </c>
      <c r="EE42" s="13">
        <v>0.38291309339356716</v>
      </c>
      <c r="EF42" s="13">
        <v>0.35071211716199568</v>
      </c>
      <c r="EG42" s="13">
        <v>0.36185330834612572</v>
      </c>
      <c r="EH42" s="13">
        <v>0.38417459056475833</v>
      </c>
      <c r="EI42" s="13">
        <v>0.41774123659133883</v>
      </c>
      <c r="EJ42" s="13">
        <v>0.42190038107379696</v>
      </c>
      <c r="EK42" s="13">
        <v>0.40993461868908682</v>
      </c>
      <c r="EL42" s="11">
        <v>0.31816927454966698</v>
      </c>
      <c r="EM42" s="13">
        <v>0.30259740449704781</v>
      </c>
      <c r="EN42" s="13">
        <v>0.2597523839905444</v>
      </c>
      <c r="EO42" s="13">
        <v>0.24851645871953287</v>
      </c>
      <c r="EP42" s="13">
        <v>0.21564720028117793</v>
      </c>
      <c r="EQ42" s="13">
        <v>0.24333643418409828</v>
      </c>
      <c r="ER42" s="13">
        <v>0.25624809796176273</v>
      </c>
      <c r="ES42" s="13">
        <v>0.27013681828020786</v>
      </c>
      <c r="ET42" s="13">
        <v>0.31923174724722458</v>
      </c>
      <c r="EU42" s="13">
        <v>0.32821810462648127</v>
      </c>
      <c r="EV42" s="11">
        <v>0.15639312458983498</v>
      </c>
      <c r="EW42" s="13">
        <v>0.13160516936876571</v>
      </c>
      <c r="EX42" s="13">
        <v>0.10259266149976662</v>
      </c>
      <c r="EY42" s="13">
        <v>0.11785745706367182</v>
      </c>
      <c r="EZ42" s="13">
        <v>9.9950304291258285E-2</v>
      </c>
      <c r="FA42" s="13">
        <v>0.12181296250968385</v>
      </c>
      <c r="FB42" s="13">
        <v>0.14357585060017197</v>
      </c>
      <c r="FC42" s="13">
        <v>0.13820394905319389</v>
      </c>
      <c r="FD42" s="13">
        <v>0.15887155404328371</v>
      </c>
      <c r="FE42" s="13">
        <v>0.17238191573471848</v>
      </c>
      <c r="FF42" s="13">
        <v>0.29144252445883351</v>
      </c>
      <c r="FG42" s="13">
        <v>0.2682288770391299</v>
      </c>
      <c r="FH42" s="13">
        <v>0.25947039783265274</v>
      </c>
      <c r="FI42" s="13">
        <v>0.24496835106787473</v>
      </c>
      <c r="FJ42" s="13">
        <v>0.2338152443900843</v>
      </c>
      <c r="FK42" s="13">
        <v>0.26091788217950934</v>
      </c>
      <c r="FL42" s="13">
        <v>0.27571525493502097</v>
      </c>
      <c r="FM42" s="13">
        <v>0.31910562113178154</v>
      </c>
      <c r="FN42" s="11">
        <v>0.34612246909851324</v>
      </c>
      <c r="FO42" s="13">
        <v>0.34515180962315667</v>
      </c>
      <c r="FQ42" s="9" t="s">
        <v>191</v>
      </c>
      <c r="FR42" s="9" t="s">
        <v>207</v>
      </c>
      <c r="FS42" s="9" t="s">
        <v>208</v>
      </c>
      <c r="FT42" s="13">
        <v>0.41809991289965764</v>
      </c>
    </row>
    <row r="43" spans="2:176" x14ac:dyDescent="0.45">
      <c r="B43" s="8" t="s">
        <v>182</v>
      </c>
      <c r="C43" s="8" t="s">
        <v>31</v>
      </c>
      <c r="D43" s="12">
        <v>0.34556831985471426</v>
      </c>
      <c r="E43" s="12">
        <v>0.33520359043286929</v>
      </c>
      <c r="F43" s="12">
        <v>0.33205981692195841</v>
      </c>
      <c r="G43" s="12">
        <v>0.34762747522427934</v>
      </c>
      <c r="H43" s="12">
        <v>0.37379584510524505</v>
      </c>
      <c r="I43" s="12">
        <v>0.37935420597974145</v>
      </c>
      <c r="J43" s="12">
        <v>0.37528166099606519</v>
      </c>
      <c r="K43" s="12">
        <v>0.36064633183994504</v>
      </c>
      <c r="L43" s="12">
        <v>0.36655362871272518</v>
      </c>
      <c r="M43" s="12">
        <v>0.36032064070896652</v>
      </c>
      <c r="N43" s="12">
        <v>0.33154334119824841</v>
      </c>
      <c r="O43" s="12">
        <v>0.3313290176455384</v>
      </c>
      <c r="P43" s="12">
        <v>0.38210693431160531</v>
      </c>
      <c r="Q43" s="12">
        <v>0.38387915326838157</v>
      </c>
      <c r="R43" s="12">
        <v>0.40225438361891297</v>
      </c>
      <c r="S43" s="12">
        <v>0.39826908289448393</v>
      </c>
      <c r="T43" s="12">
        <v>0.39556580482313625</v>
      </c>
      <c r="U43" s="12">
        <v>0.39208165067931505</v>
      </c>
      <c r="V43" s="12">
        <v>0.34407118834380596</v>
      </c>
      <c r="W43" s="12">
        <v>0.32796789311546048</v>
      </c>
      <c r="X43" s="12">
        <v>0.31947721267777757</v>
      </c>
      <c r="Y43" s="12">
        <v>0.3582335429816102</v>
      </c>
      <c r="Z43" s="12">
        <v>0.4854777219278148</v>
      </c>
      <c r="AA43" s="12">
        <v>0.4697165127675163</v>
      </c>
      <c r="AB43" s="12">
        <v>0.48064579303956706</v>
      </c>
      <c r="AC43" s="12">
        <v>0.46633701265782757</v>
      </c>
      <c r="AD43" s="12">
        <v>0.44722234900874985</v>
      </c>
      <c r="AE43" s="12">
        <v>0.44938585791272539</v>
      </c>
      <c r="AF43" s="12">
        <v>0.39021255809084476</v>
      </c>
      <c r="AG43" s="12">
        <v>0.32687330779602658</v>
      </c>
      <c r="AH43" s="12">
        <v>0.39109306388973675</v>
      </c>
      <c r="AI43" s="12">
        <v>0.38702891282854701</v>
      </c>
      <c r="AJ43" s="12">
        <v>0.4029242837615386</v>
      </c>
      <c r="AK43" s="12">
        <v>0.42815131637605902</v>
      </c>
      <c r="AL43" s="12">
        <v>0.43272653516756587</v>
      </c>
      <c r="AM43" s="12">
        <v>0.41900487949008935</v>
      </c>
      <c r="AN43" s="12">
        <v>0.40002159281128563</v>
      </c>
      <c r="AO43" s="12">
        <v>0.37778252599454609</v>
      </c>
      <c r="AP43" s="12">
        <v>0.36947451866367864</v>
      </c>
      <c r="AQ43" s="12">
        <v>0.36950872813783375</v>
      </c>
      <c r="EA43" s="8" t="s">
        <v>182</v>
      </c>
      <c r="EB43" s="12">
        <v>0.42776062269307469</v>
      </c>
      <c r="EC43" s="12">
        <v>0.43384926171676558</v>
      </c>
      <c r="ED43" s="12">
        <v>0.4354696474634735</v>
      </c>
      <c r="EE43" s="12">
        <v>0.42608039927663838</v>
      </c>
      <c r="EF43" s="12">
        <v>0.39079655688971859</v>
      </c>
      <c r="EG43" s="12">
        <v>0.37876271572183962</v>
      </c>
      <c r="EH43" s="12">
        <v>0.39803008191640549</v>
      </c>
      <c r="EI43" s="12">
        <v>0.43051049272140035</v>
      </c>
      <c r="EJ43" s="12">
        <v>0.43903101657442722</v>
      </c>
      <c r="EK43" s="12">
        <v>0.43468195800319487</v>
      </c>
      <c r="EL43" s="10">
        <v>0.34000271876552568</v>
      </c>
      <c r="EM43" s="12">
        <v>0.33088808363370442</v>
      </c>
      <c r="EN43" s="12">
        <v>0.28636297583096132</v>
      </c>
      <c r="EO43" s="12">
        <v>0.28511872989067133</v>
      </c>
      <c r="EP43" s="12">
        <v>0.26468000527395874</v>
      </c>
      <c r="EQ43" s="12">
        <v>0.30343392907757549</v>
      </c>
      <c r="ER43" s="12">
        <v>0.29748781912371686</v>
      </c>
      <c r="ES43" s="12">
        <v>0.2926981846879953</v>
      </c>
      <c r="ET43" s="12">
        <v>0.33668923718014515</v>
      </c>
      <c r="EU43" s="12">
        <v>0.35316630294887991</v>
      </c>
      <c r="EV43" s="10">
        <v>0.17764290075981104</v>
      </c>
      <c r="EW43" s="12">
        <v>0.13592001674032617</v>
      </c>
      <c r="EX43" s="12">
        <v>0.10888796159746646</v>
      </c>
      <c r="EY43" s="12">
        <v>0.12862779136847644</v>
      </c>
      <c r="EZ43" s="12">
        <v>0.11928016515521728</v>
      </c>
      <c r="FA43" s="12">
        <v>0.14977473522930118</v>
      </c>
      <c r="FB43" s="12">
        <v>0.16332702577776351</v>
      </c>
      <c r="FC43" s="12">
        <v>0.14943014301348764</v>
      </c>
      <c r="FD43" s="12">
        <v>0.16828163718078273</v>
      </c>
      <c r="FE43" s="12">
        <v>0.19747500849905203</v>
      </c>
      <c r="FF43" s="12">
        <v>0.32359178902739477</v>
      </c>
      <c r="FG43" s="12">
        <v>0.30729881966218331</v>
      </c>
      <c r="FH43" s="12">
        <v>0.28931070535856368</v>
      </c>
      <c r="FI43" s="12">
        <v>0.26794582989273319</v>
      </c>
      <c r="FJ43" s="12">
        <v>0.25388050986217009</v>
      </c>
      <c r="FK43" s="12">
        <v>0.27122293114732277</v>
      </c>
      <c r="FL43" s="12">
        <v>0.29155412221002802</v>
      </c>
      <c r="FM43" s="12">
        <v>0.31943428342827862</v>
      </c>
      <c r="FN43" s="10">
        <v>0.34278881753722001</v>
      </c>
      <c r="FO43" s="12">
        <v>0.35004243107218735</v>
      </c>
      <c r="FQ43" s="8" t="s">
        <v>192</v>
      </c>
      <c r="FR43" s="8" t="s">
        <v>207</v>
      </c>
      <c r="FS43" s="8" t="s">
        <v>208</v>
      </c>
      <c r="FT43" s="12">
        <v>0.40312343922663363</v>
      </c>
    </row>
    <row r="44" spans="2:176" x14ac:dyDescent="0.45">
      <c r="B44" s="9" t="s">
        <v>183</v>
      </c>
      <c r="C44" s="9" t="s">
        <v>31</v>
      </c>
      <c r="D44" s="13">
        <v>0.31856455871073541</v>
      </c>
      <c r="E44" s="13">
        <v>0.31274369393702584</v>
      </c>
      <c r="F44" s="13">
        <v>0.31205769241967363</v>
      </c>
      <c r="G44" s="13">
        <v>0.33255842154946774</v>
      </c>
      <c r="H44" s="13">
        <v>0.35691512563241551</v>
      </c>
      <c r="I44" s="13">
        <v>0.36044405568825028</v>
      </c>
      <c r="J44" s="13">
        <v>0.35103609511201311</v>
      </c>
      <c r="K44" s="13">
        <v>0.32979747931487058</v>
      </c>
      <c r="L44" s="13">
        <v>0.3139023145558209</v>
      </c>
      <c r="M44" s="13">
        <v>0.32034173151741402</v>
      </c>
      <c r="N44" s="13">
        <v>0.32426130676498655</v>
      </c>
      <c r="O44" s="13">
        <v>0.34587242792710055</v>
      </c>
      <c r="P44" s="13">
        <v>0.40604224860312532</v>
      </c>
      <c r="Q44" s="13">
        <v>0.41547708366543978</v>
      </c>
      <c r="R44" s="13">
        <v>0.43072440427622344</v>
      </c>
      <c r="S44" s="13">
        <v>0.42084035488139515</v>
      </c>
      <c r="T44" s="13">
        <v>0.4061363264302657</v>
      </c>
      <c r="U44" s="13">
        <v>0.37593902276247038</v>
      </c>
      <c r="V44" s="13">
        <v>0.31907468817213241</v>
      </c>
      <c r="W44" s="13">
        <v>0.30663880963305379</v>
      </c>
      <c r="X44" s="13">
        <v>0.33778320012342467</v>
      </c>
      <c r="Y44" s="13">
        <v>0.38074549695280457</v>
      </c>
      <c r="Z44" s="13">
        <v>0.45775030373138476</v>
      </c>
      <c r="AA44" s="13">
        <v>0.43680068358062762</v>
      </c>
      <c r="AB44" s="13">
        <v>0.46499234008134016</v>
      </c>
      <c r="AC44" s="13">
        <v>0.45843385648744384</v>
      </c>
      <c r="AD44" s="13">
        <v>0.4307450298435922</v>
      </c>
      <c r="AE44" s="13">
        <v>0.38468782971216858</v>
      </c>
      <c r="AF44" s="13">
        <v>0.3470735527369489</v>
      </c>
      <c r="AG44" s="13">
        <v>0.34376896063354606</v>
      </c>
      <c r="AH44" s="13">
        <v>0.34372382444426525</v>
      </c>
      <c r="AI44" s="13">
        <v>0.34574009641306686</v>
      </c>
      <c r="AJ44" s="13">
        <v>0.37399478545148906</v>
      </c>
      <c r="AK44" s="13">
        <v>0.39620639842947403</v>
      </c>
      <c r="AL44" s="13">
        <v>0.42650425026976413</v>
      </c>
      <c r="AM44" s="13">
        <v>0.42569606703678209</v>
      </c>
      <c r="AN44" s="13">
        <v>0.42540492172719474</v>
      </c>
      <c r="AO44" s="13">
        <v>0.39235510634791565</v>
      </c>
      <c r="AP44" s="13">
        <v>0.34870097926439519</v>
      </c>
      <c r="AQ44" s="13">
        <v>0.3339524377943085</v>
      </c>
      <c r="EA44" s="9" t="s">
        <v>183</v>
      </c>
      <c r="EB44" s="13">
        <v>0.44872207891483878</v>
      </c>
      <c r="EC44" s="13">
        <v>0.44918426045014792</v>
      </c>
      <c r="ED44" s="13">
        <v>0.45071739414277234</v>
      </c>
      <c r="EE44" s="13">
        <v>0.43139641130961337</v>
      </c>
      <c r="EF44" s="13">
        <v>0.39960433579401933</v>
      </c>
      <c r="EG44" s="13">
        <v>0.40587598272292857</v>
      </c>
      <c r="EH44" s="13">
        <v>0.42665172429827292</v>
      </c>
      <c r="EI44" s="13">
        <v>0.45793127731197342</v>
      </c>
      <c r="EJ44" s="13">
        <v>0.46434088205381413</v>
      </c>
      <c r="EK44" s="13">
        <v>0.45873636363944531</v>
      </c>
      <c r="EL44" s="11">
        <v>0.36378055407607052</v>
      </c>
      <c r="EM44" s="13">
        <v>0.34740908189388076</v>
      </c>
      <c r="EN44" s="13">
        <v>0.30599024724855967</v>
      </c>
      <c r="EO44" s="13">
        <v>0.29608568948781883</v>
      </c>
      <c r="EP44" s="13">
        <v>0.26384143917047104</v>
      </c>
      <c r="EQ44" s="13">
        <v>0.30130592948399548</v>
      </c>
      <c r="ER44" s="13">
        <v>0.30419541719041604</v>
      </c>
      <c r="ES44" s="13">
        <v>0.31934457047399883</v>
      </c>
      <c r="ET44" s="13">
        <v>0.37332647848676892</v>
      </c>
      <c r="EU44" s="13">
        <v>0.37736202934977464</v>
      </c>
      <c r="EV44" s="11">
        <v>0.17875635780949625</v>
      </c>
      <c r="EW44" s="13">
        <v>0.14647026918720604</v>
      </c>
      <c r="EX44" s="13">
        <v>0.11073330583906194</v>
      </c>
      <c r="EY44" s="13">
        <v>0.12773843119572795</v>
      </c>
      <c r="EZ44" s="13">
        <v>0.11365901536492319</v>
      </c>
      <c r="FA44" s="13">
        <v>0.13436430962282681</v>
      </c>
      <c r="FB44" s="13">
        <v>0.1443047997566323</v>
      </c>
      <c r="FC44" s="13">
        <v>0.13170879411017819</v>
      </c>
      <c r="FD44" s="13">
        <v>0.16205575021380964</v>
      </c>
      <c r="FE44" s="13">
        <v>0.18653815594993564</v>
      </c>
      <c r="FF44" s="13">
        <v>0.36167663550890694</v>
      </c>
      <c r="FG44" s="13">
        <v>0.3415792721636231</v>
      </c>
      <c r="FH44" s="13">
        <v>0.31806808535689113</v>
      </c>
      <c r="FI44" s="13">
        <v>0.29792246717839699</v>
      </c>
      <c r="FJ44" s="13">
        <v>0.27883791894096494</v>
      </c>
      <c r="FK44" s="13">
        <v>0.30203455227795817</v>
      </c>
      <c r="FL44" s="13">
        <v>0.32210109165174655</v>
      </c>
      <c r="FM44" s="13">
        <v>0.34604908117843014</v>
      </c>
      <c r="FN44" s="11">
        <v>0.37235723154346745</v>
      </c>
      <c r="FO44" s="13">
        <v>0.37875769486886912</v>
      </c>
      <c r="FQ44" s="9" t="s">
        <v>193</v>
      </c>
      <c r="FR44" s="9" t="s">
        <v>207</v>
      </c>
      <c r="FS44" s="9" t="s">
        <v>208</v>
      </c>
      <c r="FT44" s="13">
        <v>0.42567927257543303</v>
      </c>
    </row>
    <row r="45" spans="2:176" x14ac:dyDescent="0.45">
      <c r="B45" s="8" t="s">
        <v>184</v>
      </c>
      <c r="C45" s="8" t="s">
        <v>31</v>
      </c>
      <c r="D45" s="12">
        <v>0.33268196780312415</v>
      </c>
      <c r="E45" s="12">
        <v>0.33166380615552787</v>
      </c>
      <c r="F45" s="12">
        <v>0.33187961934963406</v>
      </c>
      <c r="G45" s="12">
        <v>0.34621450767817546</v>
      </c>
      <c r="H45" s="12">
        <v>0.35055276260580576</v>
      </c>
      <c r="I45" s="12">
        <v>0.36129845460147503</v>
      </c>
      <c r="J45" s="12">
        <v>0.34998733000744281</v>
      </c>
      <c r="K45" s="12">
        <v>0.32458077551587988</v>
      </c>
      <c r="L45" s="12">
        <v>0.31500475423814606</v>
      </c>
      <c r="M45" s="12">
        <v>0.3236697345297847</v>
      </c>
      <c r="N45" s="12">
        <v>0.31361346929748551</v>
      </c>
      <c r="O45" s="12">
        <v>0.31821711204589109</v>
      </c>
      <c r="P45" s="12">
        <v>0.36829570523237343</v>
      </c>
      <c r="Q45" s="12">
        <v>0.35822778214806916</v>
      </c>
      <c r="R45" s="12">
        <v>0.36237924950519285</v>
      </c>
      <c r="S45" s="12">
        <v>0.34663951511141511</v>
      </c>
      <c r="T45" s="12">
        <v>0.35037127323647388</v>
      </c>
      <c r="U45" s="12">
        <v>0.3642951087019794</v>
      </c>
      <c r="V45" s="12">
        <v>0.32097679934564288</v>
      </c>
      <c r="W45" s="12">
        <v>0.31140911373564356</v>
      </c>
      <c r="X45" s="12">
        <v>0.34198807633546396</v>
      </c>
      <c r="Y45" s="12">
        <v>0.390614871543287</v>
      </c>
      <c r="Z45" s="12">
        <v>0.48240082635367493</v>
      </c>
      <c r="AA45" s="12">
        <v>0.50664513687662704</v>
      </c>
      <c r="AB45" s="12">
        <v>0.48847586858680991</v>
      </c>
      <c r="AC45" s="12">
        <v>0.46360115010977471</v>
      </c>
      <c r="AD45" s="12">
        <v>0.44085483507723694</v>
      </c>
      <c r="AE45" s="12">
        <v>0.42164350016855667</v>
      </c>
      <c r="AF45" s="12">
        <v>0.36317006850764061</v>
      </c>
      <c r="AG45" s="12">
        <v>0.32403430481747414</v>
      </c>
      <c r="AH45" s="12">
        <v>0.38254727558696183</v>
      </c>
      <c r="AI45" s="12">
        <v>0.37348611879744348</v>
      </c>
      <c r="AJ45" s="12">
        <v>0.38173510643434849</v>
      </c>
      <c r="AK45" s="12">
        <v>0.39483194221641815</v>
      </c>
      <c r="AL45" s="12">
        <v>0.3967402130092702</v>
      </c>
      <c r="AM45" s="12">
        <v>0.39129139134096574</v>
      </c>
      <c r="AN45" s="12">
        <v>0.39081340670930131</v>
      </c>
      <c r="AO45" s="12">
        <v>0.37531905207567628</v>
      </c>
      <c r="AP45" s="12">
        <v>0.36030309588450005</v>
      </c>
      <c r="AQ45" s="12">
        <v>0.35933471664395911</v>
      </c>
      <c r="EA45" s="8" t="s">
        <v>184</v>
      </c>
      <c r="EB45" s="12">
        <v>0.43678035964459799</v>
      </c>
      <c r="EC45" s="12">
        <v>0.4458094067946391</v>
      </c>
      <c r="ED45" s="12">
        <v>0.44429870750111194</v>
      </c>
      <c r="EE45" s="12">
        <v>0.43054753286937186</v>
      </c>
      <c r="EF45" s="12">
        <v>0.39336517640070423</v>
      </c>
      <c r="EG45" s="12">
        <v>0.38580503437729557</v>
      </c>
      <c r="EH45" s="12">
        <v>0.40926597642975121</v>
      </c>
      <c r="EI45" s="12">
        <v>0.44284784139373617</v>
      </c>
      <c r="EJ45" s="12">
        <v>0.45600041119842366</v>
      </c>
      <c r="EK45" s="12">
        <v>0.44781569204318128</v>
      </c>
      <c r="EL45" s="10">
        <v>0.34690052873943339</v>
      </c>
      <c r="EM45" s="12">
        <v>0.33147808467891299</v>
      </c>
      <c r="EN45" s="12">
        <v>0.28662861651177041</v>
      </c>
      <c r="EO45" s="12">
        <v>0.28074392290911321</v>
      </c>
      <c r="EP45" s="12">
        <v>0.26232366960296799</v>
      </c>
      <c r="EQ45" s="12">
        <v>0.30063482863126689</v>
      </c>
      <c r="ER45" s="12">
        <v>0.30865469757948422</v>
      </c>
      <c r="ES45" s="12">
        <v>0.31399858757038518</v>
      </c>
      <c r="ET45" s="12">
        <v>0.36268728816486789</v>
      </c>
      <c r="EU45" s="12">
        <v>0.36765572639667643</v>
      </c>
      <c r="EV45" s="10">
        <v>0.18877093040908449</v>
      </c>
      <c r="EW45" s="12">
        <v>0.1607731284032913</v>
      </c>
      <c r="EX45" s="12">
        <v>0.13907920985197911</v>
      </c>
      <c r="EY45" s="12">
        <v>0.15308545877408353</v>
      </c>
      <c r="EZ45" s="12">
        <v>0.14376930756369469</v>
      </c>
      <c r="FA45" s="12">
        <v>0.17915972318746465</v>
      </c>
      <c r="FB45" s="12">
        <v>0.19715870673852759</v>
      </c>
      <c r="FC45" s="12">
        <v>0.18388412999239487</v>
      </c>
      <c r="FD45" s="12">
        <v>0.18981877981262002</v>
      </c>
      <c r="FE45" s="12">
        <v>0.20936313593327957</v>
      </c>
      <c r="FF45" s="12">
        <v>0.33868890775280058</v>
      </c>
      <c r="FG45" s="12">
        <v>0.32914444371967927</v>
      </c>
      <c r="FH45" s="12">
        <v>0.31770192754350651</v>
      </c>
      <c r="FI45" s="12">
        <v>0.30775787756387424</v>
      </c>
      <c r="FJ45" s="12">
        <v>0.28550703722836973</v>
      </c>
      <c r="FK45" s="12">
        <v>0.29832280511679754</v>
      </c>
      <c r="FL45" s="12">
        <v>0.31723833622639513</v>
      </c>
      <c r="FM45" s="12">
        <v>0.34297814049294745</v>
      </c>
      <c r="FN45" s="10">
        <v>0.35514047977829449</v>
      </c>
      <c r="FO45" s="12">
        <v>0.35471700335714668</v>
      </c>
      <c r="FQ45" s="8" t="s">
        <v>194</v>
      </c>
      <c r="FR45" s="8" t="s">
        <v>207</v>
      </c>
      <c r="FS45" s="8" t="s">
        <v>208</v>
      </c>
      <c r="FT45" s="12">
        <v>0.19754873865951125</v>
      </c>
    </row>
    <row r="46" spans="2:176" x14ac:dyDescent="0.45">
      <c r="B46" s="9" t="s">
        <v>185</v>
      </c>
      <c r="C46" s="9" t="s">
        <v>31</v>
      </c>
      <c r="D46" s="13">
        <v>0.34130129403635923</v>
      </c>
      <c r="E46" s="13">
        <v>0.34187667123161053</v>
      </c>
      <c r="F46" s="13">
        <v>0.34817867244191614</v>
      </c>
      <c r="G46" s="13">
        <v>0.36423477089241219</v>
      </c>
      <c r="H46" s="13">
        <v>0.39302002826352983</v>
      </c>
      <c r="I46" s="13">
        <v>0.40515841365426936</v>
      </c>
      <c r="J46" s="13">
        <v>0.38207367067442571</v>
      </c>
      <c r="K46" s="13">
        <v>0.3497162416164683</v>
      </c>
      <c r="L46" s="13">
        <v>0.33936544967492793</v>
      </c>
      <c r="M46" s="13">
        <v>0.35243570776737859</v>
      </c>
      <c r="N46" s="13">
        <v>0.29095013871995784</v>
      </c>
      <c r="O46" s="13">
        <v>0.29318474698646668</v>
      </c>
      <c r="P46" s="13">
        <v>0.36017354726377759</v>
      </c>
      <c r="Q46" s="13">
        <v>0.34975111736747788</v>
      </c>
      <c r="R46" s="13">
        <v>0.35145595695095705</v>
      </c>
      <c r="S46" s="13">
        <v>0.36834095719512688</v>
      </c>
      <c r="T46" s="13">
        <v>0.37418718877225987</v>
      </c>
      <c r="U46" s="13">
        <v>0.37522021619423179</v>
      </c>
      <c r="V46" s="13">
        <v>0.34443237341559829</v>
      </c>
      <c r="W46" s="13">
        <v>0.31602655684850395</v>
      </c>
      <c r="X46" s="13">
        <v>0.34415645451470461</v>
      </c>
      <c r="Y46" s="13">
        <v>0.37448225097259163</v>
      </c>
      <c r="Z46" s="13">
        <v>0.47430770511740306</v>
      </c>
      <c r="AA46" s="13">
        <v>0.44875333638285225</v>
      </c>
      <c r="AB46" s="13">
        <v>0.44738537481125973</v>
      </c>
      <c r="AC46" s="13">
        <v>0.42378790119737919</v>
      </c>
      <c r="AD46" s="13">
        <v>0.43020298546302571</v>
      </c>
      <c r="AE46" s="13">
        <v>0.41929707724304677</v>
      </c>
      <c r="AF46" s="13">
        <v>0.36671850252345961</v>
      </c>
      <c r="AG46" s="13">
        <v>0.34021644444003535</v>
      </c>
      <c r="AH46" s="13">
        <v>0.35168055400472253</v>
      </c>
      <c r="AI46" s="13">
        <v>0.36397191269356249</v>
      </c>
      <c r="AJ46" s="13">
        <v>0.38490150712118698</v>
      </c>
      <c r="AK46" s="13">
        <v>0.40162382996121404</v>
      </c>
      <c r="AL46" s="13">
        <v>0.40028846733410361</v>
      </c>
      <c r="AM46" s="13">
        <v>0.39616707512396876</v>
      </c>
      <c r="AN46" s="13">
        <v>0.38553916185154424</v>
      </c>
      <c r="AO46" s="13">
        <v>0.34730469355978966</v>
      </c>
      <c r="AP46" s="13">
        <v>0.33051838170587766</v>
      </c>
      <c r="AQ46" s="13">
        <v>0.33880522396853707</v>
      </c>
      <c r="EA46" s="9" t="s">
        <v>185</v>
      </c>
      <c r="EB46" s="13">
        <v>0.42493129971024585</v>
      </c>
      <c r="EC46" s="13">
        <v>0.42427220087293949</v>
      </c>
      <c r="ED46" s="13">
        <v>0.43041135468670166</v>
      </c>
      <c r="EE46" s="13">
        <v>0.42229962429486667</v>
      </c>
      <c r="EF46" s="13">
        <v>0.3845279960652499</v>
      </c>
      <c r="EG46" s="13">
        <v>0.39099608163742688</v>
      </c>
      <c r="EH46" s="13">
        <v>0.41460354421175083</v>
      </c>
      <c r="EI46" s="13">
        <v>0.44205658060160824</v>
      </c>
      <c r="EJ46" s="13">
        <v>0.45153504589422699</v>
      </c>
      <c r="EK46" s="13">
        <v>0.44164260328162747</v>
      </c>
      <c r="EL46" s="11">
        <v>0.36723795015670485</v>
      </c>
      <c r="EM46" s="13">
        <v>0.356161117288396</v>
      </c>
      <c r="EN46" s="13">
        <v>0.31208840463029802</v>
      </c>
      <c r="EO46" s="13">
        <v>0.28234410426962225</v>
      </c>
      <c r="EP46" s="13">
        <v>0.24118021040472323</v>
      </c>
      <c r="EQ46" s="13">
        <v>0.27227140631109431</v>
      </c>
      <c r="ER46" s="13">
        <v>0.28760873107566615</v>
      </c>
      <c r="ES46" s="13">
        <v>0.28927390987126045</v>
      </c>
      <c r="ET46" s="13">
        <v>0.34485759977927982</v>
      </c>
      <c r="EU46" s="13">
        <v>0.37769582459723744</v>
      </c>
      <c r="EV46" s="11">
        <v>0.19132693098852341</v>
      </c>
      <c r="EW46" s="13">
        <v>0.16850311145109192</v>
      </c>
      <c r="EX46" s="13">
        <v>0.12842556355990481</v>
      </c>
      <c r="EY46" s="13">
        <v>0.15414448817641438</v>
      </c>
      <c r="EZ46" s="13">
        <v>0.13649955151030821</v>
      </c>
      <c r="FA46" s="13">
        <v>0.16884232496374199</v>
      </c>
      <c r="FB46" s="13">
        <v>0.17968840330894462</v>
      </c>
      <c r="FC46" s="13">
        <v>0.17149160321713947</v>
      </c>
      <c r="FD46" s="13">
        <v>0.1913781824464337</v>
      </c>
      <c r="FE46" s="13">
        <v>0.21898123824368315</v>
      </c>
      <c r="FF46" s="13">
        <v>0.32892648696588039</v>
      </c>
      <c r="FG46" s="13">
        <v>0.32427281648980411</v>
      </c>
      <c r="FH46" s="13">
        <v>0.3154763744102132</v>
      </c>
      <c r="FI46" s="13">
        <v>0.29359318483142338</v>
      </c>
      <c r="FJ46" s="13">
        <v>0.2929662852797934</v>
      </c>
      <c r="FK46" s="13">
        <v>0.30634967119811141</v>
      </c>
      <c r="FL46" s="13">
        <v>0.31733682998670487</v>
      </c>
      <c r="FM46" s="13">
        <v>0.35596485960444424</v>
      </c>
      <c r="FN46" s="11">
        <v>0.38383818480007686</v>
      </c>
      <c r="FO46" s="13">
        <v>0.37624684948989723</v>
      </c>
      <c r="FQ46" s="9" t="s">
        <v>195</v>
      </c>
      <c r="FR46" s="9" t="s">
        <v>207</v>
      </c>
      <c r="FS46" s="9" t="s">
        <v>208</v>
      </c>
      <c r="FT46" s="13">
        <v>0.47442312295213229</v>
      </c>
    </row>
    <row r="47" spans="2:176" x14ac:dyDescent="0.45">
      <c r="B47" s="8" t="s">
        <v>186</v>
      </c>
      <c r="C47" s="8" t="s">
        <v>31</v>
      </c>
      <c r="D47" s="12">
        <v>0.34413615803827452</v>
      </c>
      <c r="E47" s="12">
        <v>0.3294953395705213</v>
      </c>
      <c r="F47" s="12">
        <v>0.31913544692763757</v>
      </c>
      <c r="G47" s="12">
        <v>0.33316780831231974</v>
      </c>
      <c r="H47" s="12">
        <v>0.34918871049361583</v>
      </c>
      <c r="I47" s="12">
        <v>0.38583245070022681</v>
      </c>
      <c r="J47" s="12">
        <v>0.38246468995439614</v>
      </c>
      <c r="K47" s="12">
        <v>0.34307343690639314</v>
      </c>
      <c r="L47" s="12">
        <v>0.33202578189006593</v>
      </c>
      <c r="M47" s="12">
        <v>0.34045664146636173</v>
      </c>
      <c r="N47" s="12">
        <v>0.31225642592888508</v>
      </c>
      <c r="O47" s="12">
        <v>0.31508827783465509</v>
      </c>
      <c r="P47" s="12">
        <v>0.37647255799964408</v>
      </c>
      <c r="Q47" s="12">
        <v>0.38205446476817229</v>
      </c>
      <c r="R47" s="12">
        <v>0.37633041245116111</v>
      </c>
      <c r="S47" s="12">
        <v>0.36348797071383498</v>
      </c>
      <c r="T47" s="12">
        <v>0.35825911834801122</v>
      </c>
      <c r="U47" s="12">
        <v>0.36633183689200105</v>
      </c>
      <c r="V47" s="12">
        <v>0.34154070225064387</v>
      </c>
      <c r="W47" s="12">
        <v>0.32227173746195109</v>
      </c>
      <c r="X47" s="12">
        <v>0.34421752335238726</v>
      </c>
      <c r="Y47" s="12">
        <v>0.36386393087755708</v>
      </c>
      <c r="Z47" s="12">
        <v>0.47865317907834215</v>
      </c>
      <c r="AA47" s="12">
        <v>0.46876945059259378</v>
      </c>
      <c r="AB47" s="12">
        <v>0.44006886136618251</v>
      </c>
      <c r="AC47" s="12">
        <v>0.43451478516962405</v>
      </c>
      <c r="AD47" s="12">
        <v>0.42981091257728671</v>
      </c>
      <c r="AE47" s="12">
        <v>0.41285378553992996</v>
      </c>
      <c r="AF47" s="12">
        <v>0.36145997885364234</v>
      </c>
      <c r="AG47" s="12">
        <v>0.33690450709030562</v>
      </c>
      <c r="AH47" s="12">
        <v>0.36221156560952983</v>
      </c>
      <c r="AI47" s="12">
        <v>0.3724016386763595</v>
      </c>
      <c r="AJ47" s="12">
        <v>0.39936255002236493</v>
      </c>
      <c r="AK47" s="12">
        <v>0.43373877665850924</v>
      </c>
      <c r="AL47" s="12">
        <v>0.44799424755724765</v>
      </c>
      <c r="AM47" s="12">
        <v>0.41892319854250731</v>
      </c>
      <c r="AN47" s="12">
        <v>0.39892002191774789</v>
      </c>
      <c r="AO47" s="12">
        <v>0.36629971901936764</v>
      </c>
      <c r="AP47" s="12">
        <v>0.34849728377759082</v>
      </c>
      <c r="AQ47" s="12">
        <v>0.34744352228143371</v>
      </c>
      <c r="EA47" s="8" t="s">
        <v>186</v>
      </c>
      <c r="EB47" s="12">
        <v>0.44970438956906428</v>
      </c>
      <c r="EC47" s="12">
        <v>0.45412733221555168</v>
      </c>
      <c r="ED47" s="12">
        <v>0.45705101723870695</v>
      </c>
      <c r="EE47" s="12">
        <v>0.44639684684483982</v>
      </c>
      <c r="EF47" s="12">
        <v>0.40787868164541019</v>
      </c>
      <c r="EG47" s="12">
        <v>0.39283602190508288</v>
      </c>
      <c r="EH47" s="12">
        <v>0.41136139255513388</v>
      </c>
      <c r="EI47" s="12">
        <v>0.44935143992535764</v>
      </c>
      <c r="EJ47" s="12">
        <v>0.46002122913076549</v>
      </c>
      <c r="EK47" s="12">
        <v>0.4579524678356976</v>
      </c>
      <c r="EL47" s="10">
        <v>0.36905677895602601</v>
      </c>
      <c r="EM47" s="12">
        <v>0.35009775920429542</v>
      </c>
      <c r="EN47" s="12">
        <v>0.30471064802639075</v>
      </c>
      <c r="EO47" s="12">
        <v>0.29382561887433367</v>
      </c>
      <c r="EP47" s="12">
        <v>0.27259615176153529</v>
      </c>
      <c r="EQ47" s="12">
        <v>0.3044287687578287</v>
      </c>
      <c r="ER47" s="12">
        <v>0.30883062089762719</v>
      </c>
      <c r="ES47" s="12">
        <v>0.32388606268130632</v>
      </c>
      <c r="ET47" s="12">
        <v>0.36529501745062409</v>
      </c>
      <c r="EU47" s="12">
        <v>0.38132477810114096</v>
      </c>
      <c r="EV47" s="10">
        <v>0.19303422994975203</v>
      </c>
      <c r="EW47" s="12">
        <v>0.15207145318724297</v>
      </c>
      <c r="EX47" s="12">
        <v>0.12780431597986436</v>
      </c>
      <c r="EY47" s="12">
        <v>0.14941639766935447</v>
      </c>
      <c r="EZ47" s="12">
        <v>0.13053860167331099</v>
      </c>
      <c r="FA47" s="12">
        <v>0.17417580317123812</v>
      </c>
      <c r="FB47" s="12">
        <v>0.19930107880008965</v>
      </c>
      <c r="FC47" s="12">
        <v>0.18746585255876</v>
      </c>
      <c r="FD47" s="12">
        <v>0.19313726040001641</v>
      </c>
      <c r="FE47" s="12">
        <v>0.21220762188459275</v>
      </c>
      <c r="FF47" s="12">
        <v>0.33853426282320304</v>
      </c>
      <c r="FG47" s="12">
        <v>0.31604070847899424</v>
      </c>
      <c r="FH47" s="12">
        <v>0.3025555196253969</v>
      </c>
      <c r="FI47" s="12">
        <v>0.28971626316588039</v>
      </c>
      <c r="FJ47" s="12">
        <v>0.28944885461722086</v>
      </c>
      <c r="FK47" s="12">
        <v>0.2966781258486913</v>
      </c>
      <c r="FL47" s="12">
        <v>0.30813993735712053</v>
      </c>
      <c r="FM47" s="12">
        <v>0.34444000501817512</v>
      </c>
      <c r="FN47" s="10">
        <v>0.36499854263418646</v>
      </c>
      <c r="FO47" s="12">
        <v>0.36480460334718595</v>
      </c>
      <c r="FQ47" s="8" t="s">
        <v>196</v>
      </c>
      <c r="FR47" s="8" t="s">
        <v>207</v>
      </c>
      <c r="FS47" s="8" t="s">
        <v>208</v>
      </c>
      <c r="FT47" s="12">
        <v>0.32984077422711283</v>
      </c>
    </row>
    <row r="48" spans="2:176" x14ac:dyDescent="0.45">
      <c r="B48" s="9" t="s">
        <v>187</v>
      </c>
      <c r="C48" s="9" t="s">
        <v>31</v>
      </c>
      <c r="D48" s="13">
        <v>0.33809022031854885</v>
      </c>
      <c r="E48" s="13">
        <v>0.34747833213522805</v>
      </c>
      <c r="F48" s="13">
        <v>0.34029329894391475</v>
      </c>
      <c r="G48" s="13">
        <v>0.34769773583710267</v>
      </c>
      <c r="H48" s="13">
        <v>0.36244624236638862</v>
      </c>
      <c r="I48" s="13">
        <v>0.38348835573063278</v>
      </c>
      <c r="J48" s="13">
        <v>0.36746979354708292</v>
      </c>
      <c r="K48" s="13">
        <v>0.33073861146064271</v>
      </c>
      <c r="L48" s="13">
        <v>0.32258485620640975</v>
      </c>
      <c r="M48" s="13">
        <v>0.33060003161996832</v>
      </c>
      <c r="N48" s="13">
        <v>0.32444942800220716</v>
      </c>
      <c r="O48" s="13">
        <v>0.31752186149235123</v>
      </c>
      <c r="P48" s="13">
        <v>0.37518978991504487</v>
      </c>
      <c r="Q48" s="13">
        <v>0.39274733863569494</v>
      </c>
      <c r="R48" s="13">
        <v>0.40576533356264927</v>
      </c>
      <c r="S48" s="13">
        <v>0.38490942401729905</v>
      </c>
      <c r="T48" s="13">
        <v>0.38038484114889654</v>
      </c>
      <c r="U48" s="13">
        <v>0.38433666216030399</v>
      </c>
      <c r="V48" s="13">
        <v>0.34814642903090687</v>
      </c>
      <c r="W48" s="13">
        <v>0.33289639155124789</v>
      </c>
      <c r="X48" s="13">
        <v>0.38666998846848932</v>
      </c>
      <c r="Y48" s="13">
        <v>0.40871347259759833</v>
      </c>
      <c r="Z48" s="13">
        <v>0.49835590895859599</v>
      </c>
      <c r="AA48" s="13">
        <v>0.5003219917048678</v>
      </c>
      <c r="AB48" s="13">
        <v>0.47205975319792876</v>
      </c>
      <c r="AC48" s="13">
        <v>0.43904666643568713</v>
      </c>
      <c r="AD48" s="13">
        <v>0.40785791899519841</v>
      </c>
      <c r="AE48" s="13">
        <v>0.39665927030440046</v>
      </c>
      <c r="AF48" s="13">
        <v>0.36009005753132711</v>
      </c>
      <c r="AG48" s="13">
        <v>0.37597088294359282</v>
      </c>
      <c r="AH48" s="13">
        <v>0.37727369700606533</v>
      </c>
      <c r="AI48" s="13">
        <v>0.3670978222074977</v>
      </c>
      <c r="AJ48" s="13">
        <v>0.3896845966763442</v>
      </c>
      <c r="AK48" s="13">
        <v>0.41088168861518232</v>
      </c>
      <c r="AL48" s="13">
        <v>0.41867892933377104</v>
      </c>
      <c r="AM48" s="13">
        <v>0.4113697330276459</v>
      </c>
      <c r="AN48" s="13">
        <v>0.41411025507069515</v>
      </c>
      <c r="AO48" s="13">
        <v>0.38705162054078934</v>
      </c>
      <c r="AP48" s="13">
        <v>0.36364821290007016</v>
      </c>
      <c r="AQ48" s="13">
        <v>0.37166636176512957</v>
      </c>
      <c r="EA48" s="9" t="s">
        <v>187</v>
      </c>
      <c r="EB48" s="13">
        <v>0.44342620481994938</v>
      </c>
      <c r="EC48" s="13">
        <v>0.44331633339383231</v>
      </c>
      <c r="ED48" s="13">
        <v>0.43472664304488229</v>
      </c>
      <c r="EE48" s="13">
        <v>0.41841997853212676</v>
      </c>
      <c r="EF48" s="13">
        <v>0.38506211490777359</v>
      </c>
      <c r="EG48" s="13">
        <v>0.37995937745312214</v>
      </c>
      <c r="EH48" s="13">
        <v>0.40147165210557445</v>
      </c>
      <c r="EI48" s="13">
        <v>0.44116115748839285</v>
      </c>
      <c r="EJ48" s="13">
        <v>0.45636298183681789</v>
      </c>
      <c r="EK48" s="13">
        <v>0.45251886922206253</v>
      </c>
      <c r="EL48" s="11">
        <v>0.32814386188703443</v>
      </c>
      <c r="EM48" s="13">
        <v>0.30866033429594575</v>
      </c>
      <c r="EN48" s="13">
        <v>0.26854603452433323</v>
      </c>
      <c r="EO48" s="13">
        <v>0.26965999065526264</v>
      </c>
      <c r="EP48" s="13">
        <v>0.25575992940770398</v>
      </c>
      <c r="EQ48" s="13">
        <v>0.28401152566777954</v>
      </c>
      <c r="ER48" s="13">
        <v>0.28756103160684904</v>
      </c>
      <c r="ES48" s="13">
        <v>0.28564671492343663</v>
      </c>
      <c r="ET48" s="13">
        <v>0.32841891360920572</v>
      </c>
      <c r="EU48" s="13">
        <v>0.33864383126395586</v>
      </c>
      <c r="EV48" s="11">
        <v>0.1864866966569142</v>
      </c>
      <c r="EW48" s="13">
        <v>0.16962751244145829</v>
      </c>
      <c r="EX48" s="13">
        <v>0.15077193993602797</v>
      </c>
      <c r="EY48" s="13">
        <v>0.16378708138761236</v>
      </c>
      <c r="EZ48" s="13">
        <v>0.15392175821020301</v>
      </c>
      <c r="FA48" s="13">
        <v>0.1864160459470714</v>
      </c>
      <c r="FB48" s="13">
        <v>0.21335258013450117</v>
      </c>
      <c r="FC48" s="13">
        <v>0.18993950868848408</v>
      </c>
      <c r="FD48" s="13">
        <v>0.18236584602853204</v>
      </c>
      <c r="FE48" s="13">
        <v>0.19295749107054846</v>
      </c>
      <c r="FF48" s="13">
        <v>0.34629045400274444</v>
      </c>
      <c r="FG48" s="13">
        <v>0.33183242967826987</v>
      </c>
      <c r="FH48" s="13">
        <v>0.31780012458612333</v>
      </c>
      <c r="FI48" s="13">
        <v>0.30958205312962855</v>
      </c>
      <c r="FJ48" s="13">
        <v>0.30017649369919391</v>
      </c>
      <c r="FK48" s="13">
        <v>0.30730539528314921</v>
      </c>
      <c r="FL48" s="13">
        <v>0.3156391566661918</v>
      </c>
      <c r="FM48" s="13">
        <v>0.34171663491376214</v>
      </c>
      <c r="FN48" s="11">
        <v>0.35759100096874774</v>
      </c>
      <c r="FO48" s="13">
        <v>0.36133874790720272</v>
      </c>
      <c r="FQ48" s="9" t="s">
        <v>197</v>
      </c>
      <c r="FR48" s="9" t="s">
        <v>207</v>
      </c>
      <c r="FS48" s="9" t="s">
        <v>208</v>
      </c>
      <c r="FT48" s="13">
        <v>0.34467900865212608</v>
      </c>
    </row>
    <row r="49" spans="2:176" x14ac:dyDescent="0.45">
      <c r="B49" s="8" t="s">
        <v>188</v>
      </c>
      <c r="C49" s="8" t="s">
        <v>31</v>
      </c>
      <c r="D49" s="12">
        <v>0.33709374119845265</v>
      </c>
      <c r="E49" s="12">
        <v>0.34715924478156585</v>
      </c>
      <c r="F49" s="12">
        <v>0.33810466743421774</v>
      </c>
      <c r="G49" s="12">
        <v>0.33920155328215784</v>
      </c>
      <c r="H49" s="12">
        <v>0.35139048963455283</v>
      </c>
      <c r="I49" s="12">
        <v>0.36014742362951696</v>
      </c>
      <c r="J49" s="12">
        <v>0.34899838131688488</v>
      </c>
      <c r="K49" s="12">
        <v>0.32656071899309358</v>
      </c>
      <c r="L49" s="12">
        <v>0.32896294579505025</v>
      </c>
      <c r="M49" s="12">
        <v>0.33569202079111593</v>
      </c>
      <c r="N49" s="12">
        <v>0.31957675613945863</v>
      </c>
      <c r="O49" s="12">
        <v>0.31535413433496173</v>
      </c>
      <c r="P49" s="12">
        <v>0.36843063659828773</v>
      </c>
      <c r="Q49" s="12">
        <v>0.3801742916973721</v>
      </c>
      <c r="R49" s="12">
        <v>0.39916575674522531</v>
      </c>
      <c r="S49" s="12">
        <v>0.38287991900656249</v>
      </c>
      <c r="T49" s="12">
        <v>0.36446144349167181</v>
      </c>
      <c r="U49" s="12">
        <v>0.36407435091616419</v>
      </c>
      <c r="V49" s="12">
        <v>0.32624532514546312</v>
      </c>
      <c r="W49" s="12">
        <v>0.3171573186487886</v>
      </c>
      <c r="X49" s="12">
        <v>0.40332850103587947</v>
      </c>
      <c r="Y49" s="12">
        <v>0.40356519236296862</v>
      </c>
      <c r="Z49" s="12">
        <v>0.50647201454102186</v>
      </c>
      <c r="AA49" s="12">
        <v>0.47840878527602249</v>
      </c>
      <c r="AB49" s="12">
        <v>0.46392581641652897</v>
      </c>
      <c r="AC49" s="12">
        <v>0.4482719936976664</v>
      </c>
      <c r="AD49" s="12">
        <v>0.44201715216167198</v>
      </c>
      <c r="AE49" s="12">
        <v>0.43711060707486249</v>
      </c>
      <c r="AF49" s="12">
        <v>0.3967279695319314</v>
      </c>
      <c r="AG49" s="12">
        <v>0.38854254514046799</v>
      </c>
      <c r="AH49" s="12">
        <v>0.34836616137137205</v>
      </c>
      <c r="AI49" s="12">
        <v>0.35448642783639067</v>
      </c>
      <c r="AJ49" s="12">
        <v>0.37979168841611777</v>
      </c>
      <c r="AK49" s="12">
        <v>0.41067644719890667</v>
      </c>
      <c r="AL49" s="12">
        <v>0.4266217652020583</v>
      </c>
      <c r="AM49" s="12">
        <v>0.42150950726777847</v>
      </c>
      <c r="AN49" s="12">
        <v>0.4196367581740601</v>
      </c>
      <c r="AO49" s="12">
        <v>0.37993771800915427</v>
      </c>
      <c r="AP49" s="12">
        <v>0.3400024056996262</v>
      </c>
      <c r="AQ49" s="12">
        <v>0.33621232355851666</v>
      </c>
      <c r="EA49" s="8" t="s">
        <v>188</v>
      </c>
      <c r="EB49" s="12">
        <v>0.46287561332464522</v>
      </c>
      <c r="EC49" s="12">
        <v>0.45463361730695484</v>
      </c>
      <c r="ED49" s="12">
        <v>0.46161838641992403</v>
      </c>
      <c r="EE49" s="12">
        <v>0.45819895408147332</v>
      </c>
      <c r="EF49" s="12">
        <v>0.4218703594396383</v>
      </c>
      <c r="EG49" s="12">
        <v>0.42218838112392398</v>
      </c>
      <c r="EH49" s="12">
        <v>0.43981308543097231</v>
      </c>
      <c r="EI49" s="12">
        <v>0.46813096866514348</v>
      </c>
      <c r="EJ49" s="12">
        <v>0.47622609774524721</v>
      </c>
      <c r="EK49" s="12">
        <v>0.47473349628703354</v>
      </c>
      <c r="EL49" s="10">
        <v>0.35324580255418475</v>
      </c>
      <c r="EM49" s="12">
        <v>0.34528530601834506</v>
      </c>
      <c r="EN49" s="12">
        <v>0.2917440705698176</v>
      </c>
      <c r="EO49" s="12">
        <v>0.279045880830599</v>
      </c>
      <c r="EP49" s="12">
        <v>0.26944095326246909</v>
      </c>
      <c r="EQ49" s="12">
        <v>0.29648285714518624</v>
      </c>
      <c r="ER49" s="12">
        <v>0.29592758867137919</v>
      </c>
      <c r="ES49" s="12">
        <v>0.30883599371263548</v>
      </c>
      <c r="ET49" s="12">
        <v>0.34802180218285389</v>
      </c>
      <c r="EU49" s="12">
        <v>0.36889454899790514</v>
      </c>
      <c r="EV49" s="10">
        <v>0.20146354110337486</v>
      </c>
      <c r="EW49" s="12">
        <v>0.18304204355300288</v>
      </c>
      <c r="EX49" s="12">
        <v>0.16169098021620434</v>
      </c>
      <c r="EY49" s="12">
        <v>0.17822496713785008</v>
      </c>
      <c r="EZ49" s="12">
        <v>0.16863288302152429</v>
      </c>
      <c r="FA49" s="12">
        <v>0.2169986716509637</v>
      </c>
      <c r="FB49" s="12">
        <v>0.22852751002495406</v>
      </c>
      <c r="FC49" s="12">
        <v>0.20295365843172303</v>
      </c>
      <c r="FD49" s="12">
        <v>0.20598271063558965</v>
      </c>
      <c r="FE49" s="12">
        <v>0.20943502411948217</v>
      </c>
      <c r="FF49" s="12">
        <v>0.36750302597089918</v>
      </c>
      <c r="FG49" s="12">
        <v>0.35527286541459019</v>
      </c>
      <c r="FH49" s="12">
        <v>0.3410178343909242</v>
      </c>
      <c r="FI49" s="12">
        <v>0.33782920131777106</v>
      </c>
      <c r="FJ49" s="12">
        <v>0.32750988567412131</v>
      </c>
      <c r="FK49" s="12">
        <v>0.34048007432449828</v>
      </c>
      <c r="FL49" s="12">
        <v>0.35189796939637435</v>
      </c>
      <c r="FM49" s="12">
        <v>0.38015314310272119</v>
      </c>
      <c r="FN49" s="10">
        <v>0.39646929670293674</v>
      </c>
      <c r="FO49" s="12">
        <v>0.40081221997044914</v>
      </c>
      <c r="FQ49" s="8" t="s">
        <v>198</v>
      </c>
      <c r="FR49" s="8" t="s">
        <v>207</v>
      </c>
      <c r="FS49" s="8" t="s">
        <v>208</v>
      </c>
      <c r="FT49" s="12">
        <v>0.39765897939195255</v>
      </c>
    </row>
    <row r="50" spans="2:176" x14ac:dyDescent="0.45">
      <c r="B50" s="9" t="s">
        <v>189</v>
      </c>
      <c r="C50" s="9" t="s">
        <v>31</v>
      </c>
      <c r="D50" s="13">
        <v>0.34758113770878113</v>
      </c>
      <c r="E50" s="13">
        <v>0.32919722598739992</v>
      </c>
      <c r="F50" s="13">
        <v>0.32229462509816198</v>
      </c>
      <c r="G50" s="13">
        <v>0.32919248977184717</v>
      </c>
      <c r="H50" s="13">
        <v>0.34055184736589572</v>
      </c>
      <c r="I50" s="13">
        <v>0.3425462342857869</v>
      </c>
      <c r="J50" s="13">
        <v>0.33918254541464016</v>
      </c>
      <c r="K50" s="13">
        <v>0.31856845484988772</v>
      </c>
      <c r="L50" s="13">
        <v>0.30922296871523663</v>
      </c>
      <c r="M50" s="13">
        <v>0.33628576132174748</v>
      </c>
      <c r="N50" s="13">
        <v>0.31352360683676811</v>
      </c>
      <c r="O50" s="13">
        <v>0.31417290541036175</v>
      </c>
      <c r="P50" s="13">
        <v>0.34643850740775289</v>
      </c>
      <c r="Q50" s="13">
        <v>0.36642957613659999</v>
      </c>
      <c r="R50" s="13">
        <v>0.37496881695574175</v>
      </c>
      <c r="S50" s="13">
        <v>0.36092542402325983</v>
      </c>
      <c r="T50" s="13">
        <v>0.35746934879432968</v>
      </c>
      <c r="U50" s="13">
        <v>0.35331081165167944</v>
      </c>
      <c r="V50" s="13">
        <v>0.34245838647066473</v>
      </c>
      <c r="W50" s="13">
        <v>0.31372002370150381</v>
      </c>
      <c r="X50" s="13">
        <v>0.35210851032326129</v>
      </c>
      <c r="Y50" s="13">
        <v>0.36602170607373213</v>
      </c>
      <c r="Z50" s="13">
        <v>0.43138722422901049</v>
      </c>
      <c r="AA50" s="13">
        <v>0.42417830522773003</v>
      </c>
      <c r="AB50" s="13">
        <v>0.42369292651489154</v>
      </c>
      <c r="AC50" s="13">
        <v>0.42435559062118994</v>
      </c>
      <c r="AD50" s="13">
        <v>0.40365522172174573</v>
      </c>
      <c r="AE50" s="13">
        <v>0.38991379025286926</v>
      </c>
      <c r="AF50" s="13">
        <v>0.37024464564552417</v>
      </c>
      <c r="AG50" s="13">
        <v>0.36798291247378651</v>
      </c>
      <c r="AH50" s="13">
        <v>0.3147201463125171</v>
      </c>
      <c r="AI50" s="13">
        <v>0.30658795697985641</v>
      </c>
      <c r="AJ50" s="13">
        <v>0.30735756657248242</v>
      </c>
      <c r="AK50" s="13">
        <v>0.34968001734422627</v>
      </c>
      <c r="AL50" s="13">
        <v>0.35806331247807016</v>
      </c>
      <c r="AM50" s="13">
        <v>0.35993318074831965</v>
      </c>
      <c r="AN50" s="13">
        <v>0.36546840278056197</v>
      </c>
      <c r="AO50" s="13">
        <v>0.34241824502801804</v>
      </c>
      <c r="AP50" s="13">
        <v>0.32804377273155744</v>
      </c>
      <c r="AQ50" s="13">
        <v>0.32206522371736512</v>
      </c>
      <c r="EA50" s="9" t="s">
        <v>189</v>
      </c>
      <c r="EB50" s="13">
        <v>0.44718760134539776</v>
      </c>
      <c r="EC50" s="13">
        <v>0.46181064641904113</v>
      </c>
      <c r="ED50" s="13">
        <v>0.46892445073326178</v>
      </c>
      <c r="EE50" s="13">
        <v>0.47135711094103211</v>
      </c>
      <c r="EF50" s="13">
        <v>0.46564740017370487</v>
      </c>
      <c r="EG50" s="13">
        <v>0.46838435969461995</v>
      </c>
      <c r="EH50" s="13">
        <v>0.4739570085795336</v>
      </c>
      <c r="EI50" s="13">
        <v>0.4918302820527376</v>
      </c>
      <c r="EJ50" s="13">
        <v>0.50276485242345503</v>
      </c>
      <c r="EK50" s="13">
        <v>0.47274051092551106</v>
      </c>
      <c r="EL50" s="11">
        <v>0.38480345299836544</v>
      </c>
      <c r="EM50" s="13">
        <v>0.37438280575086125</v>
      </c>
      <c r="EN50" s="13">
        <v>0.3320773683009513</v>
      </c>
      <c r="EO50" s="13">
        <v>0.33187607506900779</v>
      </c>
      <c r="EP50" s="13">
        <v>0.31704199287846929</v>
      </c>
      <c r="EQ50" s="13">
        <v>0.34130453727407289</v>
      </c>
      <c r="ER50" s="13">
        <v>0.33905739576186611</v>
      </c>
      <c r="ES50" s="13">
        <v>0.32840843252446178</v>
      </c>
      <c r="ET50" s="13">
        <v>0.35597900530920451</v>
      </c>
      <c r="EU50" s="13">
        <v>0.38010362857732588</v>
      </c>
      <c r="EV50" s="11">
        <v>0.23520760222786014</v>
      </c>
      <c r="EW50" s="13">
        <v>0.23709215778415449</v>
      </c>
      <c r="EX50" s="13">
        <v>0.2185758661484983</v>
      </c>
      <c r="EY50" s="13">
        <v>0.24917384883521196</v>
      </c>
      <c r="EZ50" s="13">
        <v>0.23759041382395865</v>
      </c>
      <c r="FA50" s="13">
        <v>0.26776864308431431</v>
      </c>
      <c r="FB50" s="13">
        <v>0.26667209500141986</v>
      </c>
      <c r="FC50" s="13">
        <v>0.23158155932034891</v>
      </c>
      <c r="FD50" s="13">
        <v>0.20940340352252776</v>
      </c>
      <c r="FE50" s="13">
        <v>0.23386880862078108</v>
      </c>
      <c r="FF50" s="13">
        <v>0.41506142332870283</v>
      </c>
      <c r="FG50" s="13">
        <v>0.40670448481361154</v>
      </c>
      <c r="FH50" s="13">
        <v>0.40645536506106394</v>
      </c>
      <c r="FI50" s="13">
        <v>0.40270771435190666</v>
      </c>
      <c r="FJ50" s="13">
        <v>0.398163560593088</v>
      </c>
      <c r="FK50" s="13">
        <v>0.40199450698169603</v>
      </c>
      <c r="FL50" s="13">
        <v>0.39957064152057697</v>
      </c>
      <c r="FM50" s="13">
        <v>0.42009222695238363</v>
      </c>
      <c r="FN50" s="11">
        <v>0.44166214445887364</v>
      </c>
      <c r="FO50" s="13">
        <v>0.44659850533902873</v>
      </c>
      <c r="FQ50" s="9" t="s">
        <v>199</v>
      </c>
      <c r="FR50" s="9" t="s">
        <v>207</v>
      </c>
      <c r="FS50" s="9" t="s">
        <v>208</v>
      </c>
      <c r="FT50" s="13">
        <v>0.4115216841857684</v>
      </c>
    </row>
    <row r="51" spans="2:176" x14ac:dyDescent="0.45">
      <c r="B51" s="8" t="s">
        <v>190</v>
      </c>
      <c r="C51" s="8" t="s">
        <v>31</v>
      </c>
      <c r="D51" s="12">
        <v>0.38427177424639619</v>
      </c>
      <c r="E51" s="12">
        <v>0.39415223586265186</v>
      </c>
      <c r="F51" s="12">
        <v>0.38945238875121824</v>
      </c>
      <c r="G51" s="12">
        <v>0.40043996886433131</v>
      </c>
      <c r="H51" s="12">
        <v>0.40576442879187696</v>
      </c>
      <c r="I51" s="12">
        <v>0.41681406056317105</v>
      </c>
      <c r="J51" s="12">
        <v>0.39488314402104363</v>
      </c>
      <c r="K51" s="12">
        <v>0.36253843136413377</v>
      </c>
      <c r="L51" s="12">
        <v>0.35041452162635672</v>
      </c>
      <c r="M51" s="12">
        <v>0.36439249841229898</v>
      </c>
      <c r="N51" s="12">
        <v>0.35232413498234144</v>
      </c>
      <c r="O51" s="12">
        <v>0.37683916534076456</v>
      </c>
      <c r="P51" s="12">
        <v>0.42351156292675801</v>
      </c>
      <c r="Q51" s="12">
        <v>0.43418928223600878</v>
      </c>
      <c r="R51" s="12">
        <v>0.42385803645265824</v>
      </c>
      <c r="S51" s="12">
        <v>0.42801131482534455</v>
      </c>
      <c r="T51" s="12">
        <v>0.39772446450960502</v>
      </c>
      <c r="U51" s="12">
        <v>0.37910500985701828</v>
      </c>
      <c r="V51" s="12">
        <v>0.34597707143333417</v>
      </c>
      <c r="W51" s="12">
        <v>0.33264108916241558</v>
      </c>
      <c r="X51" s="12">
        <v>0.43131764181175497</v>
      </c>
      <c r="Y51" s="12">
        <v>0.45743428423339016</v>
      </c>
      <c r="Z51" s="12">
        <v>0.53022343902285451</v>
      </c>
      <c r="AA51" s="12">
        <v>0.52805839689166612</v>
      </c>
      <c r="AB51" s="12">
        <v>0.52111025677917966</v>
      </c>
      <c r="AC51" s="12">
        <v>0.48399737815112481</v>
      </c>
      <c r="AD51" s="12">
        <v>0.47473587953068341</v>
      </c>
      <c r="AE51" s="12">
        <v>0.44356969908063976</v>
      </c>
      <c r="AF51" s="12">
        <v>0.40006845423214782</v>
      </c>
      <c r="AG51" s="12">
        <v>0.3909301608502716</v>
      </c>
      <c r="AH51" s="12">
        <v>0.36885363354799344</v>
      </c>
      <c r="AI51" s="12">
        <v>0.34100753757638858</v>
      </c>
      <c r="AJ51" s="12">
        <v>0.33774265567853684</v>
      </c>
      <c r="AK51" s="12">
        <v>0.34971802846384425</v>
      </c>
      <c r="AL51" s="12">
        <v>0.37446208721310986</v>
      </c>
      <c r="AM51" s="12">
        <v>0.36812053250024157</v>
      </c>
      <c r="AN51" s="12">
        <v>0.37720537255940423</v>
      </c>
      <c r="AO51" s="12">
        <v>0.38011245131666827</v>
      </c>
      <c r="AP51" s="12">
        <v>0.36026467817096863</v>
      </c>
      <c r="AQ51" s="12">
        <v>0.36252930508700615</v>
      </c>
      <c r="EA51" s="8" t="s">
        <v>190</v>
      </c>
      <c r="EB51" s="12">
        <v>0.33514700987393431</v>
      </c>
      <c r="EC51" s="12">
        <v>0.342440131012617</v>
      </c>
      <c r="ED51" s="12">
        <v>0.35325820209349346</v>
      </c>
      <c r="EE51" s="12">
        <v>0.36865607336806522</v>
      </c>
      <c r="EF51" s="12">
        <v>0.33608164812241381</v>
      </c>
      <c r="EG51" s="12">
        <v>0.35536811553072933</v>
      </c>
      <c r="EH51" s="12">
        <v>0.36558039271205728</v>
      </c>
      <c r="EI51" s="12">
        <v>0.38194063215509949</v>
      </c>
      <c r="EJ51" s="12">
        <v>0.38556963169331088</v>
      </c>
      <c r="EK51" s="12">
        <v>0.35821741710395905</v>
      </c>
      <c r="EL51" s="10">
        <v>0.2407275564014878</v>
      </c>
      <c r="EM51" s="12">
        <v>0.22942944110526114</v>
      </c>
      <c r="EN51" s="12">
        <v>0.21531030810705315</v>
      </c>
      <c r="EO51" s="12">
        <v>0.2201528801519233</v>
      </c>
      <c r="EP51" s="12">
        <v>0.19945271234311257</v>
      </c>
      <c r="EQ51" s="12">
        <v>0.23291768591393905</v>
      </c>
      <c r="ER51" s="12">
        <v>0.23338890966955381</v>
      </c>
      <c r="ES51" s="12">
        <v>0.23017729822907987</v>
      </c>
      <c r="ET51" s="12">
        <v>0.25177626781346629</v>
      </c>
      <c r="EU51" s="12">
        <v>0.25680998789110104</v>
      </c>
      <c r="EV51" s="10">
        <v>0.17185516895950076</v>
      </c>
      <c r="EW51" s="12">
        <v>0.1682275737424421</v>
      </c>
      <c r="EX51" s="12">
        <v>0.14145872687495159</v>
      </c>
      <c r="EY51" s="12">
        <v>0.14457918916095283</v>
      </c>
      <c r="EZ51" s="12">
        <v>0.11660727282686349</v>
      </c>
      <c r="FA51" s="12">
        <v>0.13699507323943916</v>
      </c>
      <c r="FB51" s="12">
        <v>0.14210740071509081</v>
      </c>
      <c r="FC51" s="12">
        <v>0.1255775830711939</v>
      </c>
      <c r="FD51" s="12">
        <v>0.14386890874508049</v>
      </c>
      <c r="FE51" s="12">
        <v>0.16241575221765697</v>
      </c>
      <c r="FF51" s="12">
        <v>0.30626365812239503</v>
      </c>
      <c r="FG51" s="12">
        <v>0.32867869627158963</v>
      </c>
      <c r="FH51" s="12">
        <v>0.33653479620304999</v>
      </c>
      <c r="FI51" s="12">
        <v>0.33340346447343783</v>
      </c>
      <c r="FJ51" s="12">
        <v>0.28482348796313184</v>
      </c>
      <c r="FK51" s="12">
        <v>0.28435909307611568</v>
      </c>
      <c r="FL51" s="12">
        <v>0.27397927806313843</v>
      </c>
      <c r="FM51" s="12">
        <v>0.28919809832378679</v>
      </c>
      <c r="FN51" s="10">
        <v>0.31720617881901786</v>
      </c>
      <c r="FO51" s="12">
        <v>0.31813070786573605</v>
      </c>
      <c r="FQ51" s="8" t="s">
        <v>170</v>
      </c>
      <c r="FR51" s="8" t="s">
        <v>207</v>
      </c>
      <c r="FS51" s="8" t="s">
        <v>208</v>
      </c>
      <c r="FT51" s="12">
        <v>0.43025632801168362</v>
      </c>
    </row>
    <row r="52" spans="2:176" x14ac:dyDescent="0.45">
      <c r="B52" s="9" t="s">
        <v>191</v>
      </c>
      <c r="C52" s="9" t="s">
        <v>31</v>
      </c>
      <c r="D52" s="13">
        <v>0.37825084437064072</v>
      </c>
      <c r="E52" s="13">
        <v>0.37894901297050432</v>
      </c>
      <c r="F52" s="13">
        <v>0.37702293729507091</v>
      </c>
      <c r="G52" s="13">
        <v>0.37958728676366399</v>
      </c>
      <c r="H52" s="13">
        <v>0.39169951470959291</v>
      </c>
      <c r="I52" s="13">
        <v>0.39251334622555867</v>
      </c>
      <c r="J52" s="13">
        <v>0.379413215556137</v>
      </c>
      <c r="K52" s="13">
        <v>0.35962106037742203</v>
      </c>
      <c r="L52" s="13">
        <v>0.35980784041687014</v>
      </c>
      <c r="M52" s="13">
        <v>0.36730991694313891</v>
      </c>
      <c r="N52" s="13">
        <v>0.31912124254582069</v>
      </c>
      <c r="O52" s="13">
        <v>0.32844178286610809</v>
      </c>
      <c r="P52" s="13">
        <v>0.39751952260142615</v>
      </c>
      <c r="Q52" s="13">
        <v>0.43519289570141934</v>
      </c>
      <c r="R52" s="13">
        <v>0.43270722971604192</v>
      </c>
      <c r="S52" s="13">
        <v>0.41768805205935783</v>
      </c>
      <c r="T52" s="13">
        <v>0.40912723647085125</v>
      </c>
      <c r="U52" s="13">
        <v>0.39339518623679193</v>
      </c>
      <c r="V52" s="13">
        <v>0.35134684818618894</v>
      </c>
      <c r="W52" s="13">
        <v>0.30617814063511783</v>
      </c>
      <c r="X52" s="13">
        <v>0.35720494236287398</v>
      </c>
      <c r="Y52" s="13">
        <v>0.40352507420548644</v>
      </c>
      <c r="Z52" s="13">
        <v>0.51382111113970219</v>
      </c>
      <c r="AA52" s="13">
        <v>0.5152797149366537</v>
      </c>
      <c r="AB52" s="13">
        <v>0.51164866226080863</v>
      </c>
      <c r="AC52" s="13">
        <v>0.49699248542271574</v>
      </c>
      <c r="AD52" s="13">
        <v>0.4780043681612054</v>
      </c>
      <c r="AE52" s="13">
        <v>0.44982820853835331</v>
      </c>
      <c r="AF52" s="13">
        <v>0.37344745289235537</v>
      </c>
      <c r="AG52" s="13">
        <v>0.33414501482031644</v>
      </c>
      <c r="AH52" s="13">
        <v>0.34242541961602829</v>
      </c>
      <c r="AI52" s="13">
        <v>0.30564629947502164</v>
      </c>
      <c r="AJ52" s="13">
        <v>0.31289720792447795</v>
      </c>
      <c r="AK52" s="13">
        <v>0.34380566965121562</v>
      </c>
      <c r="AL52" s="13">
        <v>0.3689455787809644</v>
      </c>
      <c r="AM52" s="13">
        <v>0.3765234097225606</v>
      </c>
      <c r="AN52" s="13">
        <v>0.39042255848927665</v>
      </c>
      <c r="AO52" s="13">
        <v>0.37087226962649766</v>
      </c>
      <c r="AP52" s="13">
        <v>0.35855848814423735</v>
      </c>
      <c r="AQ52" s="13">
        <v>0.3537574743375077</v>
      </c>
      <c r="EA52" s="9" t="s">
        <v>191</v>
      </c>
      <c r="EB52" s="13">
        <v>0.37831459621502933</v>
      </c>
      <c r="EC52" s="13">
        <v>0.38913734308622178</v>
      </c>
      <c r="ED52" s="13">
        <v>0.40079229840112363</v>
      </c>
      <c r="EE52" s="13">
        <v>0.40672876479462516</v>
      </c>
      <c r="EF52" s="13">
        <v>0.38152598191855136</v>
      </c>
      <c r="EG52" s="13">
        <v>0.38079465158043041</v>
      </c>
      <c r="EH52" s="13">
        <v>0.38236075220766258</v>
      </c>
      <c r="EI52" s="13">
        <v>0.40810043795875456</v>
      </c>
      <c r="EJ52" s="13">
        <v>0.41809991289965764</v>
      </c>
      <c r="EK52" s="13">
        <v>0.39604170929523835</v>
      </c>
      <c r="EL52" s="11">
        <v>0.31858881996104682</v>
      </c>
      <c r="EM52" s="13">
        <v>0.29312117007113553</v>
      </c>
      <c r="EN52" s="13">
        <v>0.2427167009479001</v>
      </c>
      <c r="EO52" s="13">
        <v>0.21817726704401427</v>
      </c>
      <c r="EP52" s="13">
        <v>0.21093275390052044</v>
      </c>
      <c r="EQ52" s="13">
        <v>0.25356786642742224</v>
      </c>
      <c r="ER52" s="13">
        <v>0.25795305741266517</v>
      </c>
      <c r="ES52" s="13">
        <v>0.25551638628275436</v>
      </c>
      <c r="ET52" s="13">
        <v>0.29883156195716604</v>
      </c>
      <c r="EU52" s="13">
        <v>0.33096181185382584</v>
      </c>
      <c r="EV52" s="11">
        <v>0.2128186186828076</v>
      </c>
      <c r="EW52" s="13">
        <v>0.19960170871925947</v>
      </c>
      <c r="EX52" s="13">
        <v>0.16702045764624665</v>
      </c>
      <c r="EY52" s="13">
        <v>0.18310089451255732</v>
      </c>
      <c r="EZ52" s="13">
        <v>0.17069596124011713</v>
      </c>
      <c r="FA52" s="13">
        <v>0.19343231094807412</v>
      </c>
      <c r="FB52" s="13">
        <v>0.1923709104399661</v>
      </c>
      <c r="FC52" s="13">
        <v>0.17073437039978426</v>
      </c>
      <c r="FD52" s="13">
        <v>0.18361857864356523</v>
      </c>
      <c r="FE52" s="13">
        <v>0.22311680481045806</v>
      </c>
      <c r="FF52" s="13">
        <v>0.35437096968484333</v>
      </c>
      <c r="FG52" s="13">
        <v>0.34984684064401844</v>
      </c>
      <c r="FH52" s="13">
        <v>0.34534764740779622</v>
      </c>
      <c r="FI52" s="13">
        <v>0.33195711832044822</v>
      </c>
      <c r="FJ52" s="13">
        <v>0.30555885552143669</v>
      </c>
      <c r="FK52" s="13">
        <v>0.32269057022689096</v>
      </c>
      <c r="FL52" s="13">
        <v>0.33172513791648833</v>
      </c>
      <c r="FM52" s="13">
        <v>0.34903837014946759</v>
      </c>
      <c r="FN52" s="11">
        <v>0.37468000687749031</v>
      </c>
      <c r="FO52" s="13">
        <v>0.3723342670657579</v>
      </c>
      <c r="FQ52" s="9" t="s">
        <v>171</v>
      </c>
      <c r="FR52" s="9" t="s">
        <v>207</v>
      </c>
      <c r="FS52" s="9" t="s">
        <v>208</v>
      </c>
      <c r="FT52" s="13">
        <v>0.62502592395840084</v>
      </c>
    </row>
    <row r="53" spans="2:176" x14ac:dyDescent="0.45">
      <c r="B53" s="8" t="s">
        <v>192</v>
      </c>
      <c r="C53" s="8" t="s">
        <v>31</v>
      </c>
      <c r="D53" s="12">
        <v>0.37653000372915207</v>
      </c>
      <c r="E53" s="12">
        <v>0.39579615452327799</v>
      </c>
      <c r="F53" s="12">
        <v>0.39770657105774193</v>
      </c>
      <c r="G53" s="12">
        <v>0.41042049807742836</v>
      </c>
      <c r="H53" s="12">
        <v>0.4297732298402101</v>
      </c>
      <c r="I53" s="12">
        <v>0.4329909699924116</v>
      </c>
      <c r="J53" s="12">
        <v>0.40659815132347621</v>
      </c>
      <c r="K53" s="12">
        <v>0.37677472025578668</v>
      </c>
      <c r="L53" s="12">
        <v>0.36058855449916638</v>
      </c>
      <c r="M53" s="12">
        <v>0.36749790482459099</v>
      </c>
      <c r="N53" s="12">
        <v>0.29954663824268135</v>
      </c>
      <c r="O53" s="12">
        <v>0.32091890711116955</v>
      </c>
      <c r="P53" s="12">
        <v>0.39847137986898495</v>
      </c>
      <c r="Q53" s="12">
        <v>0.41745688572333378</v>
      </c>
      <c r="R53" s="12">
        <v>0.42376485075366915</v>
      </c>
      <c r="S53" s="12">
        <v>0.40715288002484629</v>
      </c>
      <c r="T53" s="12">
        <v>0.38807615278805124</v>
      </c>
      <c r="U53" s="12">
        <v>0.38300843815175273</v>
      </c>
      <c r="V53" s="12">
        <v>0.33490819576740649</v>
      </c>
      <c r="W53" s="12">
        <v>0.29365733598593186</v>
      </c>
      <c r="X53" s="12">
        <v>0.36263052511476118</v>
      </c>
      <c r="Y53" s="12">
        <v>0.42687254177238926</v>
      </c>
      <c r="Z53" s="12">
        <v>0.52416255583058147</v>
      </c>
      <c r="AA53" s="12">
        <v>0.53173071532937644</v>
      </c>
      <c r="AB53" s="12">
        <v>0.52291185998663547</v>
      </c>
      <c r="AC53" s="12">
        <v>0.48623540836218454</v>
      </c>
      <c r="AD53" s="12">
        <v>0.49576977083738827</v>
      </c>
      <c r="AE53" s="12">
        <v>0.48518415084996885</v>
      </c>
      <c r="AF53" s="12">
        <v>0.4253408417513535</v>
      </c>
      <c r="AG53" s="12">
        <v>0.33829591111429091</v>
      </c>
      <c r="AH53" s="12">
        <v>0.35994912559466535</v>
      </c>
      <c r="AI53" s="12">
        <v>0.34895749170109669</v>
      </c>
      <c r="AJ53" s="12">
        <v>0.35113940773193802</v>
      </c>
      <c r="AK53" s="12">
        <v>0.36131344171267876</v>
      </c>
      <c r="AL53" s="12">
        <v>0.37282175913930848</v>
      </c>
      <c r="AM53" s="12">
        <v>0.37386226793795119</v>
      </c>
      <c r="AN53" s="12">
        <v>0.37814423244155287</v>
      </c>
      <c r="AO53" s="12">
        <v>0.35651906234993852</v>
      </c>
      <c r="AP53" s="12">
        <v>0.34402798107718169</v>
      </c>
      <c r="AQ53" s="12">
        <v>0.35017169380739832</v>
      </c>
      <c r="EA53" s="8" t="s">
        <v>192</v>
      </c>
      <c r="EB53" s="12">
        <v>0.36242683967457173</v>
      </c>
      <c r="EC53" s="12">
        <v>0.3602611530534402</v>
      </c>
      <c r="ED53" s="12">
        <v>0.37146801280551073</v>
      </c>
      <c r="EE53" s="12">
        <v>0.37094678659399688</v>
      </c>
      <c r="EF53" s="12">
        <v>0.34352250632921066</v>
      </c>
      <c r="EG53" s="12">
        <v>0.3584790153413997</v>
      </c>
      <c r="EH53" s="12">
        <v>0.37385357482560438</v>
      </c>
      <c r="EI53" s="12">
        <v>0.38774898801614494</v>
      </c>
      <c r="EJ53" s="12">
        <v>0.40312343922663363</v>
      </c>
      <c r="EK53" s="12">
        <v>0.38651519033948312</v>
      </c>
      <c r="EL53" s="10">
        <v>0.32436401917964153</v>
      </c>
      <c r="EM53" s="12">
        <v>0.29314802400968659</v>
      </c>
      <c r="EN53" s="12">
        <v>0.24601151518990516</v>
      </c>
      <c r="EO53" s="12">
        <v>0.22588479316762497</v>
      </c>
      <c r="EP53" s="12">
        <v>0.21862576581193152</v>
      </c>
      <c r="EQ53" s="12">
        <v>0.26230662114014652</v>
      </c>
      <c r="ER53" s="12">
        <v>0.27261133435877022</v>
      </c>
      <c r="ES53" s="12">
        <v>0.26162384387749466</v>
      </c>
      <c r="ET53" s="12">
        <v>0.3061986864195006</v>
      </c>
      <c r="EU53" s="12">
        <v>0.33475075465292653</v>
      </c>
      <c r="EV53" s="10">
        <v>0.21176114483220712</v>
      </c>
      <c r="EW53" s="12">
        <v>0.19264304244402167</v>
      </c>
      <c r="EX53" s="12">
        <v>0.1501204232553415</v>
      </c>
      <c r="EY53" s="12">
        <v>0.16544114307498395</v>
      </c>
      <c r="EZ53" s="12">
        <v>0.14697263955679449</v>
      </c>
      <c r="FA53" s="12">
        <v>0.16684801255071308</v>
      </c>
      <c r="FB53" s="12">
        <v>0.17412520569777998</v>
      </c>
      <c r="FC53" s="12">
        <v>0.15300412782382372</v>
      </c>
      <c r="FD53" s="12">
        <v>0.17394788008937698</v>
      </c>
      <c r="FE53" s="12">
        <v>0.21518902065528245</v>
      </c>
      <c r="FF53" s="12">
        <v>0.34224559421647038</v>
      </c>
      <c r="FG53" s="12">
        <v>0.33919411314036174</v>
      </c>
      <c r="FH53" s="12">
        <v>0.32965459105350081</v>
      </c>
      <c r="FI53" s="12">
        <v>0.31284761737662203</v>
      </c>
      <c r="FJ53" s="12">
        <v>0.29469286538010986</v>
      </c>
      <c r="FK53" s="12">
        <v>0.30877108183260227</v>
      </c>
      <c r="FL53" s="12">
        <v>0.3121413536577875</v>
      </c>
      <c r="FM53" s="12">
        <v>0.33830102518871702</v>
      </c>
      <c r="FN53" s="10">
        <v>0.36899889510470174</v>
      </c>
      <c r="FO53" s="12">
        <v>0.36688988268672723</v>
      </c>
      <c r="FQ53" s="8" t="s">
        <v>172</v>
      </c>
      <c r="FR53" s="8" t="s">
        <v>207</v>
      </c>
      <c r="FS53" s="8" t="s">
        <v>208</v>
      </c>
      <c r="FT53" s="12">
        <v>0.54747725495921484</v>
      </c>
    </row>
    <row r="54" spans="2:176" x14ac:dyDescent="0.45">
      <c r="B54" s="9" t="s">
        <v>193</v>
      </c>
      <c r="C54" s="9" t="s">
        <v>31</v>
      </c>
      <c r="D54" s="13">
        <v>0.3681267588651479</v>
      </c>
      <c r="E54" s="13">
        <v>0.37313541649761783</v>
      </c>
      <c r="F54" s="13">
        <v>0.36774755037942741</v>
      </c>
      <c r="G54" s="13">
        <v>0.37116151583668511</v>
      </c>
      <c r="H54" s="13">
        <v>0.38194674203683721</v>
      </c>
      <c r="I54" s="13">
        <v>0.38713620772885721</v>
      </c>
      <c r="J54" s="13">
        <v>0.37149817546790642</v>
      </c>
      <c r="K54" s="13">
        <v>0.34207606987134243</v>
      </c>
      <c r="L54" s="13">
        <v>0.33578958420259064</v>
      </c>
      <c r="M54" s="13">
        <v>0.35545829490099234</v>
      </c>
      <c r="N54" s="13">
        <v>0.30696917912032623</v>
      </c>
      <c r="O54" s="13">
        <v>0.31525254763034338</v>
      </c>
      <c r="P54" s="13">
        <v>0.37517156933979873</v>
      </c>
      <c r="Q54" s="13">
        <v>0.39912239254905157</v>
      </c>
      <c r="R54" s="13">
        <v>0.41747711277125271</v>
      </c>
      <c r="S54" s="13">
        <v>0.40206845916149359</v>
      </c>
      <c r="T54" s="13">
        <v>0.40152336397021515</v>
      </c>
      <c r="U54" s="13">
        <v>0.41059172596480309</v>
      </c>
      <c r="V54" s="13">
        <v>0.36182313749877842</v>
      </c>
      <c r="W54" s="13">
        <v>0.30462173725247682</v>
      </c>
      <c r="X54" s="13">
        <v>0.36395660004031472</v>
      </c>
      <c r="Y54" s="13">
        <v>0.41866728311143714</v>
      </c>
      <c r="Z54" s="13">
        <v>0.50962733829765594</v>
      </c>
      <c r="AA54" s="13">
        <v>0.49847014029539116</v>
      </c>
      <c r="AB54" s="13">
        <v>0.47614186818414439</v>
      </c>
      <c r="AC54" s="13">
        <v>0.45882291072149028</v>
      </c>
      <c r="AD54" s="13">
        <v>0.45942263446211495</v>
      </c>
      <c r="AE54" s="13">
        <v>0.42699612269138304</v>
      </c>
      <c r="AF54" s="13">
        <v>0.35878503646019866</v>
      </c>
      <c r="AG54" s="13">
        <v>0.32380994704833665</v>
      </c>
      <c r="AH54" s="13">
        <v>0.34950514484764333</v>
      </c>
      <c r="AI54" s="13">
        <v>0.34952854439905257</v>
      </c>
      <c r="AJ54" s="13">
        <v>0.35539396221066721</v>
      </c>
      <c r="AK54" s="13">
        <v>0.37478258299069062</v>
      </c>
      <c r="AL54" s="13">
        <v>0.37513615400263522</v>
      </c>
      <c r="AM54" s="13">
        <v>0.37681710718198541</v>
      </c>
      <c r="AN54" s="13">
        <v>0.369823087758825</v>
      </c>
      <c r="AO54" s="13">
        <v>0.34981682489751348</v>
      </c>
      <c r="AP54" s="13">
        <v>0.33489338172157601</v>
      </c>
      <c r="AQ54" s="13">
        <v>0.3464243082771411</v>
      </c>
      <c r="EA54" s="9" t="s">
        <v>193</v>
      </c>
      <c r="EB54" s="13">
        <v>0.37698046749327468</v>
      </c>
      <c r="EC54" s="13">
        <v>0.38366146335170981</v>
      </c>
      <c r="ED54" s="13">
        <v>0.39183171745624529</v>
      </c>
      <c r="EE54" s="13">
        <v>0.38626029367311898</v>
      </c>
      <c r="EF54" s="13">
        <v>0.37151958824433956</v>
      </c>
      <c r="EG54" s="13">
        <v>0.37878594227406254</v>
      </c>
      <c r="EH54" s="13">
        <v>0.38702902212757773</v>
      </c>
      <c r="EI54" s="13">
        <v>0.41323895094385787</v>
      </c>
      <c r="EJ54" s="13">
        <v>0.42660827508901888</v>
      </c>
      <c r="EK54" s="13">
        <v>0.40313217322372291</v>
      </c>
      <c r="EL54" s="11">
        <v>0.33947325894660008</v>
      </c>
      <c r="EM54" s="13">
        <v>0.32891535579361714</v>
      </c>
      <c r="EN54" s="13">
        <v>0.27911193102036369</v>
      </c>
      <c r="EO54" s="13">
        <v>0.25072089214144883</v>
      </c>
      <c r="EP54" s="13">
        <v>0.22554561320561828</v>
      </c>
      <c r="EQ54" s="13">
        <v>0.26610691826033273</v>
      </c>
      <c r="ER54" s="13">
        <v>0.26758586386719152</v>
      </c>
      <c r="ES54" s="13">
        <v>0.26513452255725589</v>
      </c>
      <c r="ET54" s="13">
        <v>0.31644037841229211</v>
      </c>
      <c r="EU54" s="13">
        <v>0.34893981365226678</v>
      </c>
      <c r="EV54" s="11">
        <v>0.18605184800786614</v>
      </c>
      <c r="EW54" s="13">
        <v>0.17705604646459033</v>
      </c>
      <c r="EX54" s="13">
        <v>0.14959008961246081</v>
      </c>
      <c r="EY54" s="13">
        <v>0.17342716813181291</v>
      </c>
      <c r="EZ54" s="13">
        <v>0.16516617072230627</v>
      </c>
      <c r="FA54" s="13">
        <v>0.18927517731344415</v>
      </c>
      <c r="FB54" s="13">
        <v>0.19673434885124694</v>
      </c>
      <c r="FC54" s="13">
        <v>0.17814977529316237</v>
      </c>
      <c r="FD54" s="13">
        <v>0.19553964538023216</v>
      </c>
      <c r="FE54" s="13">
        <v>0.2139152286836456</v>
      </c>
      <c r="FF54" s="13">
        <v>0.32943328445548237</v>
      </c>
      <c r="FG54" s="13">
        <v>0.32464789193110039</v>
      </c>
      <c r="FH54" s="13">
        <v>0.32300985117057379</v>
      </c>
      <c r="FI54" s="13">
        <v>0.30914707407964598</v>
      </c>
      <c r="FJ54" s="13">
        <v>0.30904021623690137</v>
      </c>
      <c r="FK54" s="13">
        <v>0.3271278973864763</v>
      </c>
      <c r="FL54" s="13">
        <v>0.33071517842698922</v>
      </c>
      <c r="FM54" s="13">
        <v>0.36068156564114057</v>
      </c>
      <c r="FN54" s="11">
        <v>0.37947594944938884</v>
      </c>
      <c r="FO54" s="13">
        <v>0.36568558901557535</v>
      </c>
      <c r="FQ54" s="9" t="s">
        <v>173</v>
      </c>
      <c r="FR54" s="9" t="s">
        <v>207</v>
      </c>
      <c r="FS54" s="9" t="s">
        <v>208</v>
      </c>
      <c r="FT54" s="13">
        <v>0.62874898827293024</v>
      </c>
    </row>
    <row r="55" spans="2:176" x14ac:dyDescent="0.45">
      <c r="B55" s="8" t="s">
        <v>194</v>
      </c>
      <c r="C55" s="8" t="s">
        <v>31</v>
      </c>
      <c r="D55" s="12">
        <v>0.48513300978361074</v>
      </c>
      <c r="E55" s="12">
        <v>0.50283087961481721</v>
      </c>
      <c r="F55" s="12">
        <v>0.49714295236839406</v>
      </c>
      <c r="G55" s="12">
        <v>0.51643150861458031</v>
      </c>
      <c r="H55" s="12">
        <v>0.50965529902594608</v>
      </c>
      <c r="I55" s="12">
        <v>0.50214509934412643</v>
      </c>
      <c r="J55" s="12">
        <v>0.48437277703890202</v>
      </c>
      <c r="K55" s="12">
        <v>0.45842187105274629</v>
      </c>
      <c r="L55" s="12">
        <v>0.46724334678271862</v>
      </c>
      <c r="M55" s="12">
        <v>0.46946129620777566</v>
      </c>
      <c r="N55" s="12">
        <v>0.4821994760659552</v>
      </c>
      <c r="O55" s="12">
        <v>0.49689551409189092</v>
      </c>
      <c r="P55" s="12">
        <v>0.515840449554266</v>
      </c>
      <c r="Q55" s="12">
        <v>0.48928003284864763</v>
      </c>
      <c r="R55" s="12">
        <v>0.49202741551120471</v>
      </c>
      <c r="S55" s="12">
        <v>0.45628500119137311</v>
      </c>
      <c r="T55" s="12">
        <v>0.43081123358410889</v>
      </c>
      <c r="U55" s="12">
        <v>0.43000149721872472</v>
      </c>
      <c r="V55" s="12">
        <v>0.4630600263711574</v>
      </c>
      <c r="W55" s="12">
        <v>0.48835662082927944</v>
      </c>
      <c r="X55" s="12">
        <v>0.47797474736918616</v>
      </c>
      <c r="Y55" s="12">
        <v>0.53711730927504542</v>
      </c>
      <c r="Z55" s="12">
        <v>0.57194182972078678</v>
      </c>
      <c r="AA55" s="12">
        <v>0.51675503426401592</v>
      </c>
      <c r="AB55" s="12">
        <v>0.44554786325020207</v>
      </c>
      <c r="AC55" s="12">
        <v>0.38647248726291322</v>
      </c>
      <c r="AD55" s="12">
        <v>0.35416756813379308</v>
      </c>
      <c r="AE55" s="12">
        <v>0.36625717812128339</v>
      </c>
      <c r="AF55" s="12">
        <v>0.39501755470770727</v>
      </c>
      <c r="AG55" s="12">
        <v>0.42788992424419181</v>
      </c>
      <c r="AH55" s="12">
        <v>0.47823478236449724</v>
      </c>
      <c r="AI55" s="12">
        <v>0.48422409253224818</v>
      </c>
      <c r="AJ55" s="12">
        <v>0.50181151771926957</v>
      </c>
      <c r="AK55" s="12">
        <v>0.50308992509804984</v>
      </c>
      <c r="AL55" s="12">
        <v>0.5013489573118286</v>
      </c>
      <c r="AM55" s="12">
        <v>0.46388923601074222</v>
      </c>
      <c r="AN55" s="12">
        <v>0.47580280899134259</v>
      </c>
      <c r="AO55" s="12">
        <v>0.45240683292064149</v>
      </c>
      <c r="AP55" s="12">
        <v>0.45390013090123782</v>
      </c>
      <c r="AQ55" s="12">
        <v>0.45865150814146716</v>
      </c>
      <c r="EA55" s="8" t="s">
        <v>194</v>
      </c>
      <c r="EB55" s="12">
        <v>0.18702707971464577</v>
      </c>
      <c r="EC55" s="12">
        <v>0.19113709945614918</v>
      </c>
      <c r="ED55" s="12">
        <v>0.18821591812119914</v>
      </c>
      <c r="EE55" s="12">
        <v>0.18702177145808518</v>
      </c>
      <c r="EF55" s="12">
        <v>0.17245025178659223</v>
      </c>
      <c r="EG55" s="12">
        <v>0.19027275593006909</v>
      </c>
      <c r="EH55" s="12">
        <v>0.19646417638277017</v>
      </c>
      <c r="EI55" s="12">
        <v>0.19754873865951125</v>
      </c>
      <c r="EJ55" s="12">
        <v>0.19444976373414677</v>
      </c>
      <c r="EK55" s="12">
        <v>0.18190812501680573</v>
      </c>
      <c r="EL55" s="10">
        <v>0.10349922455613851</v>
      </c>
      <c r="EM55" s="12">
        <v>0.10292015004277523</v>
      </c>
      <c r="EN55" s="12">
        <v>9.8045591609673993E-2</v>
      </c>
      <c r="EO55" s="12">
        <v>0.11082346096728661</v>
      </c>
      <c r="EP55" s="12">
        <v>0.11243897967996375</v>
      </c>
      <c r="EQ55" s="12">
        <v>0.14467907882032979</v>
      </c>
      <c r="ER55" s="12">
        <v>0.1493438995514316</v>
      </c>
      <c r="ES55" s="12">
        <v>0.12978940057298594</v>
      </c>
      <c r="ET55" s="12">
        <v>0.12004131028336376</v>
      </c>
      <c r="EU55" s="12">
        <v>0.10686618797525603</v>
      </c>
      <c r="EV55" s="10">
        <v>2.9008501555605821E-2</v>
      </c>
      <c r="EW55" s="12">
        <v>3.2769611354245526E-2</v>
      </c>
      <c r="EX55" s="12">
        <v>3.7048433854317588E-2</v>
      </c>
      <c r="EY55" s="12">
        <v>6.2890221216146291E-2</v>
      </c>
      <c r="EZ55" s="12">
        <v>5.464873672423045E-2</v>
      </c>
      <c r="FA55" s="12">
        <v>7.0430239809088718E-2</v>
      </c>
      <c r="FB55" s="12">
        <v>7.977585226123847E-2</v>
      </c>
      <c r="FC55" s="12">
        <v>6.9402634372388569E-2</v>
      </c>
      <c r="FD55" s="12">
        <v>5.5060281730619332E-2</v>
      </c>
      <c r="FE55" s="12">
        <v>3.7786856342047995E-2</v>
      </c>
      <c r="FF55" s="12">
        <v>0.11052799815145979</v>
      </c>
      <c r="FG55" s="12">
        <v>0.10817955494016507</v>
      </c>
      <c r="FH55" s="12">
        <v>0.11136709585294968</v>
      </c>
      <c r="FI55" s="12">
        <v>0.11859618879228764</v>
      </c>
      <c r="FJ55" s="12">
        <v>0.12187067600160215</v>
      </c>
      <c r="FK55" s="12">
        <v>0.15331903804316918</v>
      </c>
      <c r="FL55" s="12">
        <v>0.15784885474690696</v>
      </c>
      <c r="FM55" s="12">
        <v>0.15292434366895646</v>
      </c>
      <c r="FN55" s="10">
        <v>0.14728168851563936</v>
      </c>
      <c r="FO55" s="12">
        <v>0.13337566278181401</v>
      </c>
      <c r="FQ55" s="8" t="s">
        <v>174</v>
      </c>
      <c r="FR55" s="8" t="s">
        <v>207</v>
      </c>
      <c r="FS55" s="8" t="s">
        <v>208</v>
      </c>
      <c r="FT55" s="12">
        <v>0.62353904306107921</v>
      </c>
    </row>
    <row r="56" spans="2:176" x14ac:dyDescent="0.45">
      <c r="B56" s="9" t="s">
        <v>195</v>
      </c>
      <c r="C56" s="9" t="s">
        <v>31</v>
      </c>
      <c r="D56" s="13">
        <v>0.34534796490543473</v>
      </c>
      <c r="E56" s="13">
        <v>0.34066401215585074</v>
      </c>
      <c r="F56" s="13">
        <v>0.33359471352746961</v>
      </c>
      <c r="G56" s="13">
        <v>0.35345228018480163</v>
      </c>
      <c r="H56" s="13">
        <v>0.38352613144750219</v>
      </c>
      <c r="I56" s="13">
        <v>0.38588924568327426</v>
      </c>
      <c r="J56" s="13">
        <v>0.36216529099170747</v>
      </c>
      <c r="K56" s="13">
        <v>0.33811200333142027</v>
      </c>
      <c r="L56" s="13">
        <v>0.33109104945560963</v>
      </c>
      <c r="M56" s="13">
        <v>0.33455987376516994</v>
      </c>
      <c r="N56" s="13">
        <v>0.4165406521224832</v>
      </c>
      <c r="O56" s="13">
        <v>0.42559797553063222</v>
      </c>
      <c r="P56" s="13">
        <v>0.4610859034183678</v>
      </c>
      <c r="Q56" s="13">
        <v>0.44529696472565711</v>
      </c>
      <c r="R56" s="13">
        <v>0.48493785199010386</v>
      </c>
      <c r="S56" s="13">
        <v>0.44665919309513474</v>
      </c>
      <c r="T56" s="13">
        <v>0.41213732208326087</v>
      </c>
      <c r="U56" s="13">
        <v>0.382950311560733</v>
      </c>
      <c r="V56" s="13">
        <v>0.35982814208606412</v>
      </c>
      <c r="W56" s="13">
        <v>0.38448146068792272</v>
      </c>
      <c r="X56" s="13">
        <v>0.41941552146989841</v>
      </c>
      <c r="Y56" s="13">
        <v>0.46960468731417354</v>
      </c>
      <c r="Z56" s="13">
        <v>0.50236525653785058</v>
      </c>
      <c r="AA56" s="13">
        <v>0.48721413475084829</v>
      </c>
      <c r="AB56" s="13">
        <v>0.51727298889386641</v>
      </c>
      <c r="AC56" s="13">
        <v>0.48350252335672994</v>
      </c>
      <c r="AD56" s="13">
        <v>0.41919613367924446</v>
      </c>
      <c r="AE56" s="13">
        <v>0.37731484118048486</v>
      </c>
      <c r="AF56" s="13">
        <v>0.37220877140964959</v>
      </c>
      <c r="AG56" s="13">
        <v>0.37102693634766604</v>
      </c>
      <c r="AH56" s="13">
        <v>0.37157354000494713</v>
      </c>
      <c r="AI56" s="13">
        <v>0.38473899314760973</v>
      </c>
      <c r="AJ56" s="13">
        <v>0.4117960524532705</v>
      </c>
      <c r="AK56" s="13">
        <v>0.42151887553856071</v>
      </c>
      <c r="AL56" s="13">
        <v>0.44204278514799944</v>
      </c>
      <c r="AM56" s="13">
        <v>0.43130512886127481</v>
      </c>
      <c r="AN56" s="13">
        <v>0.42481263716554163</v>
      </c>
      <c r="AO56" s="13">
        <v>0.38789580844317517</v>
      </c>
      <c r="AP56" s="13">
        <v>0.36500007891343778</v>
      </c>
      <c r="AQ56" s="13">
        <v>0.37143210786683339</v>
      </c>
      <c r="EA56" s="9" t="s">
        <v>195</v>
      </c>
      <c r="EB56" s="13">
        <v>0.44515829327051315</v>
      </c>
      <c r="EC56" s="13">
        <v>0.44581666082989668</v>
      </c>
      <c r="ED56" s="13">
        <v>0.44320665261331116</v>
      </c>
      <c r="EE56" s="13">
        <v>0.4301122006508204</v>
      </c>
      <c r="EF56" s="13">
        <v>0.40897257718257346</v>
      </c>
      <c r="EG56" s="13">
        <v>0.42100989629693708</v>
      </c>
      <c r="EH56" s="13">
        <v>0.44229513265781167</v>
      </c>
      <c r="EI56" s="13">
        <v>0.47157106867779353</v>
      </c>
      <c r="EJ56" s="13">
        <v>0.47450232556030664</v>
      </c>
      <c r="EK56" s="13">
        <v>0.45898719694701878</v>
      </c>
      <c r="EL56" s="11">
        <v>0.28251501795394712</v>
      </c>
      <c r="EM56" s="13">
        <v>0.28326603973810072</v>
      </c>
      <c r="EN56" s="13">
        <v>0.26868485530301855</v>
      </c>
      <c r="EO56" s="13">
        <v>0.27792348984554183</v>
      </c>
      <c r="EP56" s="13">
        <v>0.24767424980125102</v>
      </c>
      <c r="EQ56" s="13">
        <v>0.28184077051609407</v>
      </c>
      <c r="ER56" s="13">
        <v>0.28481585658349612</v>
      </c>
      <c r="ES56" s="13">
        <v>0.28815580086063181</v>
      </c>
      <c r="ET56" s="13">
        <v>0.30848364141912493</v>
      </c>
      <c r="EU56" s="13">
        <v>0.29046526642695375</v>
      </c>
      <c r="EV56" s="11">
        <v>0.12567751066595909</v>
      </c>
      <c r="EW56" s="13">
        <v>0.12151578429257877</v>
      </c>
      <c r="EX56" s="13">
        <v>0.10883516039256488</v>
      </c>
      <c r="EY56" s="13">
        <v>0.12340468969758123</v>
      </c>
      <c r="EZ56" s="13">
        <v>0.10672670989421659</v>
      </c>
      <c r="FA56" s="13">
        <v>0.12888778866779813</v>
      </c>
      <c r="FB56" s="13">
        <v>0.13427513338368957</v>
      </c>
      <c r="FC56" s="13">
        <v>0.12076536088474095</v>
      </c>
      <c r="FD56" s="13">
        <v>0.13754394107121143</v>
      </c>
      <c r="FE56" s="13">
        <v>0.13373718473303761</v>
      </c>
      <c r="FF56" s="13">
        <v>0.34687435333379912</v>
      </c>
      <c r="FG56" s="13">
        <v>0.33711144236755514</v>
      </c>
      <c r="FH56" s="13">
        <v>0.33290943510875176</v>
      </c>
      <c r="FI56" s="13">
        <v>0.33700588471072002</v>
      </c>
      <c r="FJ56" s="13">
        <v>0.31750896764679898</v>
      </c>
      <c r="FK56" s="13">
        <v>0.33295526221519395</v>
      </c>
      <c r="FL56" s="13">
        <v>0.33573865134652781</v>
      </c>
      <c r="FM56" s="13">
        <v>0.34430133503576937</v>
      </c>
      <c r="FN56" s="11">
        <v>0.36133227700425347</v>
      </c>
      <c r="FO56" s="13">
        <v>0.36605315084309603</v>
      </c>
      <c r="FQ56" s="9" t="s">
        <v>175</v>
      </c>
      <c r="FR56" s="9" t="s">
        <v>207</v>
      </c>
      <c r="FS56" s="9" t="s">
        <v>208</v>
      </c>
      <c r="FT56" s="13">
        <v>0.61279089815627086</v>
      </c>
    </row>
    <row r="57" spans="2:176" x14ac:dyDescent="0.45">
      <c r="B57" s="8" t="s">
        <v>196</v>
      </c>
      <c r="C57" s="8" t="s">
        <v>31</v>
      </c>
      <c r="D57" s="12">
        <v>0.37303123641340186</v>
      </c>
      <c r="E57" s="12">
        <v>0.39200561108423493</v>
      </c>
      <c r="F57" s="12">
        <v>0.37914577456407916</v>
      </c>
      <c r="G57" s="12">
        <v>0.39836277351877636</v>
      </c>
      <c r="H57" s="12">
        <v>0.4221787878265158</v>
      </c>
      <c r="I57" s="12">
        <v>0.41425064349509372</v>
      </c>
      <c r="J57" s="12">
        <v>0.39591796406194113</v>
      </c>
      <c r="K57" s="12">
        <v>0.36746025621849959</v>
      </c>
      <c r="L57" s="12">
        <v>0.34514694072623814</v>
      </c>
      <c r="M57" s="12">
        <v>0.34960608607317828</v>
      </c>
      <c r="N57" s="12">
        <v>0.43050498152658101</v>
      </c>
      <c r="O57" s="12">
        <v>0.4350165329888902</v>
      </c>
      <c r="P57" s="12">
        <v>0.47118316194823717</v>
      </c>
      <c r="Q57" s="12">
        <v>0.45381419132310724</v>
      </c>
      <c r="R57" s="12">
        <v>0.45422450706525613</v>
      </c>
      <c r="S57" s="12">
        <v>0.42611637658386725</v>
      </c>
      <c r="T57" s="12">
        <v>0.39111465087630093</v>
      </c>
      <c r="U57" s="12">
        <v>0.36194928951723032</v>
      </c>
      <c r="V57" s="12">
        <v>0.35249196557876633</v>
      </c>
      <c r="W57" s="12">
        <v>0.38293830492738923</v>
      </c>
      <c r="X57" s="12">
        <v>0.39396667591282553</v>
      </c>
      <c r="Y57" s="12">
        <v>0.45247701406506996</v>
      </c>
      <c r="Z57" s="12">
        <v>0.53312824132691639</v>
      </c>
      <c r="AA57" s="12">
        <v>0.49701532371934615</v>
      </c>
      <c r="AB57" s="12">
        <v>0.50443096125112885</v>
      </c>
      <c r="AC57" s="12">
        <v>0.46255097578417231</v>
      </c>
      <c r="AD57" s="12">
        <v>0.43344380283929279</v>
      </c>
      <c r="AE57" s="12">
        <v>0.40074986386562295</v>
      </c>
      <c r="AF57" s="12">
        <v>0.36282615114430139</v>
      </c>
      <c r="AG57" s="12">
        <v>0.36307299028412754</v>
      </c>
      <c r="AH57" s="12">
        <v>0.38736064314133362</v>
      </c>
      <c r="AI57" s="12">
        <v>0.39141789319081294</v>
      </c>
      <c r="AJ57" s="12">
        <v>0.41622697343659315</v>
      </c>
      <c r="AK57" s="12">
        <v>0.44387191326351694</v>
      </c>
      <c r="AL57" s="12">
        <v>0.45380137333700266</v>
      </c>
      <c r="AM57" s="12">
        <v>0.44576078346794273</v>
      </c>
      <c r="AN57" s="12">
        <v>0.43332483196409827</v>
      </c>
      <c r="AO57" s="12">
        <v>0.39044476270148548</v>
      </c>
      <c r="AP57" s="12">
        <v>0.36803460379008207</v>
      </c>
      <c r="AQ57" s="12">
        <v>0.37194874051737215</v>
      </c>
      <c r="EA57" s="8" t="s">
        <v>196</v>
      </c>
      <c r="EB57" s="12">
        <v>0.31491671195745696</v>
      </c>
      <c r="EC57" s="12">
        <v>0.32246542399680422</v>
      </c>
      <c r="ED57" s="12">
        <v>0.31758548234161521</v>
      </c>
      <c r="EE57" s="12">
        <v>0.30334217312555389</v>
      </c>
      <c r="EF57" s="12">
        <v>0.27964644407073591</v>
      </c>
      <c r="EG57" s="12">
        <v>0.29146028699942028</v>
      </c>
      <c r="EH57" s="12">
        <v>0.30895066474565641</v>
      </c>
      <c r="EI57" s="12">
        <v>0.32989631782544893</v>
      </c>
      <c r="EJ57" s="12">
        <v>0.32639401123961786</v>
      </c>
      <c r="EK57" s="12">
        <v>0.31317681549064313</v>
      </c>
      <c r="EL57" s="10">
        <v>0.22669618986850265</v>
      </c>
      <c r="EM57" s="12">
        <v>0.22959342514506986</v>
      </c>
      <c r="EN57" s="12">
        <v>0.21378488707494511</v>
      </c>
      <c r="EO57" s="12">
        <v>0.22103968207432792</v>
      </c>
      <c r="EP57" s="12">
        <v>0.19642592234778819</v>
      </c>
      <c r="EQ57" s="12">
        <v>0.22311040738448931</v>
      </c>
      <c r="ER57" s="12">
        <v>0.22185891963994592</v>
      </c>
      <c r="ES57" s="12">
        <v>0.22306225925173437</v>
      </c>
      <c r="ET57" s="12">
        <v>0.24287821466356757</v>
      </c>
      <c r="EU57" s="12">
        <v>0.23040711527268951</v>
      </c>
      <c r="EV57" s="10">
        <v>0.10542507695806426</v>
      </c>
      <c r="EW57" s="12">
        <v>0.10221222667494322</v>
      </c>
      <c r="EX57" s="12">
        <v>9.7856472463045949E-2</v>
      </c>
      <c r="EY57" s="12">
        <v>0.11179339796588002</v>
      </c>
      <c r="EZ57" s="12">
        <v>9.0954917104275085E-2</v>
      </c>
      <c r="FA57" s="12">
        <v>0.11099877946425681</v>
      </c>
      <c r="FB57" s="12">
        <v>0.13153313059752789</v>
      </c>
      <c r="FC57" s="12">
        <v>0.12394874405422307</v>
      </c>
      <c r="FD57" s="12">
        <v>0.12556159578718437</v>
      </c>
      <c r="FE57" s="12">
        <v>0.11718271736238374</v>
      </c>
      <c r="FF57" s="12">
        <v>0.23373280552790479</v>
      </c>
      <c r="FG57" s="12">
        <v>0.22226058448592934</v>
      </c>
      <c r="FH57" s="12">
        <v>0.22776788524304586</v>
      </c>
      <c r="FI57" s="12">
        <v>0.22611568117049721</v>
      </c>
      <c r="FJ57" s="12">
        <v>0.21753800856305963</v>
      </c>
      <c r="FK57" s="12">
        <v>0.24877831092129707</v>
      </c>
      <c r="FL57" s="12">
        <v>0.26038641483340086</v>
      </c>
      <c r="FM57" s="12">
        <v>0.28530711185986041</v>
      </c>
      <c r="FN57" s="10">
        <v>0.2954264455532809</v>
      </c>
      <c r="FO57" s="12">
        <v>0.27844335637276935</v>
      </c>
      <c r="FQ57" s="8" t="s">
        <v>176</v>
      </c>
      <c r="FR57" s="8" t="s">
        <v>207</v>
      </c>
      <c r="FS57" s="8" t="s">
        <v>208</v>
      </c>
      <c r="FT57" s="12">
        <v>0.51135352647004584</v>
      </c>
    </row>
    <row r="58" spans="2:176" x14ac:dyDescent="0.45">
      <c r="B58" s="9" t="s">
        <v>197</v>
      </c>
      <c r="C58" s="9" t="s">
        <v>31</v>
      </c>
      <c r="D58" s="13">
        <v>0.38979615836833165</v>
      </c>
      <c r="E58" s="13">
        <v>0.3969929014447986</v>
      </c>
      <c r="F58" s="13">
        <v>0.41533012457995527</v>
      </c>
      <c r="G58" s="13">
        <v>0.42572527896667484</v>
      </c>
      <c r="H58" s="13">
        <v>0.43321724467787143</v>
      </c>
      <c r="I58" s="13">
        <v>0.42953374438852421</v>
      </c>
      <c r="J58" s="13">
        <v>0.41748661539292903</v>
      </c>
      <c r="K58" s="13">
        <v>0.39378589637550648</v>
      </c>
      <c r="L58" s="13">
        <v>0.37676532973066762</v>
      </c>
      <c r="M58" s="13">
        <v>0.36888541485090603</v>
      </c>
      <c r="N58" s="13">
        <v>0.35566152953952862</v>
      </c>
      <c r="O58" s="13">
        <v>0.39278494410427556</v>
      </c>
      <c r="P58" s="13">
        <v>0.42666500119483886</v>
      </c>
      <c r="Q58" s="13">
        <v>0.43238142497477799</v>
      </c>
      <c r="R58" s="13">
        <v>0.41965556550387922</v>
      </c>
      <c r="S58" s="13">
        <v>0.40358749990272702</v>
      </c>
      <c r="T58" s="13">
        <v>0.38750345369434136</v>
      </c>
      <c r="U58" s="13">
        <v>0.38600667583711851</v>
      </c>
      <c r="V58" s="13">
        <v>0.36875112940295479</v>
      </c>
      <c r="W58" s="13">
        <v>0.34717724592029137</v>
      </c>
      <c r="X58" s="13">
        <v>0.42842583418004254</v>
      </c>
      <c r="Y58" s="13">
        <v>0.44848346000765804</v>
      </c>
      <c r="Z58" s="13">
        <v>0.49654235279372799</v>
      </c>
      <c r="AA58" s="13">
        <v>0.47077947123330549</v>
      </c>
      <c r="AB58" s="13">
        <v>0.48621153829618657</v>
      </c>
      <c r="AC58" s="13">
        <v>0.45987067210968802</v>
      </c>
      <c r="AD58" s="13">
        <v>0.42691103496057881</v>
      </c>
      <c r="AE58" s="13">
        <v>0.39086258215160469</v>
      </c>
      <c r="AF58" s="13">
        <v>0.36984360566524055</v>
      </c>
      <c r="AG58" s="13">
        <v>0.38756011724826106</v>
      </c>
      <c r="AH58" s="13">
        <v>0.41057602272564891</v>
      </c>
      <c r="AI58" s="13">
        <v>0.39207678150215175</v>
      </c>
      <c r="AJ58" s="13">
        <v>0.39535228688524049</v>
      </c>
      <c r="AK58" s="13">
        <v>0.39559153426433569</v>
      </c>
      <c r="AL58" s="13">
        <v>0.38914822041485458</v>
      </c>
      <c r="AM58" s="13">
        <v>0.36123366225335413</v>
      </c>
      <c r="AN58" s="13">
        <v>0.36829845024624353</v>
      </c>
      <c r="AO58" s="13">
        <v>0.3758587569677071</v>
      </c>
      <c r="AP58" s="13">
        <v>0.37734862529715441</v>
      </c>
      <c r="AQ58" s="13">
        <v>0.3850933026422918</v>
      </c>
      <c r="EA58" s="9" t="s">
        <v>197</v>
      </c>
      <c r="EB58" s="13">
        <v>0.3063512605179779</v>
      </c>
      <c r="EC58" s="13">
        <v>0.30885580889124559</v>
      </c>
      <c r="ED58" s="13">
        <v>0.30930642685643989</v>
      </c>
      <c r="EE58" s="13">
        <v>0.31572670670389563</v>
      </c>
      <c r="EF58" s="13">
        <v>0.29595333923058775</v>
      </c>
      <c r="EG58" s="13">
        <v>0.31421869281432013</v>
      </c>
      <c r="EH58" s="13">
        <v>0.33090269560250568</v>
      </c>
      <c r="EI58" s="13">
        <v>0.34311302084878265</v>
      </c>
      <c r="EJ58" s="13">
        <v>0.34494958044066987</v>
      </c>
      <c r="EK58" s="13">
        <v>0.32559879614313403</v>
      </c>
      <c r="EL58" s="11">
        <v>0.22742834233445106</v>
      </c>
      <c r="EM58" s="13">
        <v>0.22649267828329647</v>
      </c>
      <c r="EN58" s="13">
        <v>0.22092368883350669</v>
      </c>
      <c r="EO58" s="13">
        <v>0.24194214924555468</v>
      </c>
      <c r="EP58" s="13">
        <v>0.22627750172536593</v>
      </c>
      <c r="EQ58" s="13">
        <v>0.26010514729113843</v>
      </c>
      <c r="ER58" s="13">
        <v>0.26374197824251527</v>
      </c>
      <c r="ES58" s="13">
        <v>0.25127034222136996</v>
      </c>
      <c r="ET58" s="13">
        <v>0.26045797190801723</v>
      </c>
      <c r="EU58" s="13">
        <v>0.24446058716773286</v>
      </c>
      <c r="EV58" s="11">
        <v>0.13021953567458538</v>
      </c>
      <c r="EW58" s="13">
        <v>0.1278822585619909</v>
      </c>
      <c r="EX58" s="13">
        <v>0.1190110034052009</v>
      </c>
      <c r="EY58" s="13">
        <v>0.13813217579693909</v>
      </c>
      <c r="EZ58" s="13">
        <v>0.11841142099833915</v>
      </c>
      <c r="FA58" s="13">
        <v>0.13599731916236996</v>
      </c>
      <c r="FB58" s="13">
        <v>0.13705367104064606</v>
      </c>
      <c r="FC58" s="13">
        <v>0.12535496433575397</v>
      </c>
      <c r="FD58" s="13">
        <v>0.12686659610620415</v>
      </c>
      <c r="FE58" s="13">
        <v>0.13377343053324378</v>
      </c>
      <c r="FF58" s="13">
        <v>0.24521863943395106</v>
      </c>
      <c r="FG58" s="13">
        <v>0.24667728842453437</v>
      </c>
      <c r="FH58" s="13">
        <v>0.26083869189378783</v>
      </c>
      <c r="FI58" s="13">
        <v>0.28581316740000307</v>
      </c>
      <c r="FJ58" s="13">
        <v>0.27173095730244651</v>
      </c>
      <c r="FK58" s="13">
        <v>0.28254405029803464</v>
      </c>
      <c r="FL58" s="13">
        <v>0.2759138908235147</v>
      </c>
      <c r="FM58" s="13">
        <v>0.27868060097642222</v>
      </c>
      <c r="FN58" s="11">
        <v>0.2867200043929603</v>
      </c>
      <c r="FO58" s="13">
        <v>0.27487871546661713</v>
      </c>
      <c r="FQ58" s="9" t="s">
        <v>177</v>
      </c>
      <c r="FR58" s="9" t="s">
        <v>207</v>
      </c>
      <c r="FS58" s="9" t="s">
        <v>208</v>
      </c>
      <c r="FT58" s="13">
        <v>0.64231446956063309</v>
      </c>
    </row>
    <row r="59" spans="2:176" x14ac:dyDescent="0.45">
      <c r="B59" s="8" t="s">
        <v>198</v>
      </c>
      <c r="C59" s="8" t="s">
        <v>31</v>
      </c>
      <c r="D59" s="12">
        <v>0.34836583876879523</v>
      </c>
      <c r="E59" s="12">
        <v>0.36435292794912583</v>
      </c>
      <c r="F59" s="12">
        <v>0.37343143819632996</v>
      </c>
      <c r="G59" s="12">
        <v>0.39652584641719124</v>
      </c>
      <c r="H59" s="12">
        <v>0.42061776506826321</v>
      </c>
      <c r="I59" s="12">
        <v>0.41319489335001469</v>
      </c>
      <c r="J59" s="12">
        <v>0.36874634055768074</v>
      </c>
      <c r="K59" s="12">
        <v>0.33978332579664011</v>
      </c>
      <c r="L59" s="12">
        <v>0.34590189433167845</v>
      </c>
      <c r="M59" s="12">
        <v>0.35372018280607864</v>
      </c>
      <c r="N59" s="12">
        <v>0.33542088886278171</v>
      </c>
      <c r="O59" s="12">
        <v>0.3644378598201799</v>
      </c>
      <c r="P59" s="12">
        <v>0.4238491691318893</v>
      </c>
      <c r="Q59" s="12">
        <v>0.44200419913944433</v>
      </c>
      <c r="R59" s="12">
        <v>0.45647414770085665</v>
      </c>
      <c r="S59" s="12">
        <v>0.40883181379321792</v>
      </c>
      <c r="T59" s="12">
        <v>0.37496289071119265</v>
      </c>
      <c r="U59" s="12">
        <v>0.36653999669856463</v>
      </c>
      <c r="V59" s="12">
        <v>0.35148538555736086</v>
      </c>
      <c r="W59" s="12">
        <v>0.33936054595300985</v>
      </c>
      <c r="X59" s="12">
        <v>0.34685400549026763</v>
      </c>
      <c r="Y59" s="12">
        <v>0.4079777578236537</v>
      </c>
      <c r="Z59" s="12">
        <v>0.52818439026592356</v>
      </c>
      <c r="AA59" s="12">
        <v>0.50290989978977674</v>
      </c>
      <c r="AB59" s="12">
        <v>0.51786672453411831</v>
      </c>
      <c r="AC59" s="12">
        <v>0.47934147051968762</v>
      </c>
      <c r="AD59" s="12">
        <v>0.46107102482217632</v>
      </c>
      <c r="AE59" s="12">
        <v>0.44935044296212506</v>
      </c>
      <c r="AF59" s="12">
        <v>0.39148458365446476</v>
      </c>
      <c r="AG59" s="12">
        <v>0.34456528544333398</v>
      </c>
      <c r="AH59" s="12">
        <v>0.37516018324757566</v>
      </c>
      <c r="AI59" s="12">
        <v>0.38847109525279161</v>
      </c>
      <c r="AJ59" s="12">
        <v>0.41177313946537714</v>
      </c>
      <c r="AK59" s="12">
        <v>0.44295061983341438</v>
      </c>
      <c r="AL59" s="12">
        <v>0.45950787724364339</v>
      </c>
      <c r="AM59" s="12">
        <v>0.43287340795190082</v>
      </c>
      <c r="AN59" s="12">
        <v>0.39924902062332024</v>
      </c>
      <c r="AO59" s="12">
        <v>0.35049042257295399</v>
      </c>
      <c r="AP59" s="12">
        <v>0.3387629861088628</v>
      </c>
      <c r="AQ59" s="12">
        <v>0.3505484422884943</v>
      </c>
      <c r="EA59" s="8" t="s">
        <v>198</v>
      </c>
      <c r="EB59" s="12">
        <v>0.35633705487903167</v>
      </c>
      <c r="EC59" s="12">
        <v>0.35819099545764682</v>
      </c>
      <c r="ED59" s="12">
        <v>0.36137608105701985</v>
      </c>
      <c r="EE59" s="12">
        <v>0.35619428094869571</v>
      </c>
      <c r="EF59" s="12">
        <v>0.33637152790398811</v>
      </c>
      <c r="EG59" s="12">
        <v>0.35141966054802914</v>
      </c>
      <c r="EH59" s="12">
        <v>0.37769733537908001</v>
      </c>
      <c r="EI59" s="12">
        <v>0.39799626585589143</v>
      </c>
      <c r="EJ59" s="12">
        <v>0.39239069323382186</v>
      </c>
      <c r="EK59" s="12">
        <v>0.36683632314295889</v>
      </c>
      <c r="EL59" s="10">
        <v>0.26436955992666505</v>
      </c>
      <c r="EM59" s="12">
        <v>0.2475697797397042</v>
      </c>
      <c r="EN59" s="12">
        <v>0.20601726468743517</v>
      </c>
      <c r="EO59" s="12">
        <v>0.19841829217655729</v>
      </c>
      <c r="EP59" s="12">
        <v>0.18540705805365676</v>
      </c>
      <c r="EQ59" s="12">
        <v>0.2147476765935791</v>
      </c>
      <c r="ER59" s="12">
        <v>0.23262443682377243</v>
      </c>
      <c r="ES59" s="12">
        <v>0.23756465588568254</v>
      </c>
      <c r="ET59" s="12">
        <v>0.27250093596384273</v>
      </c>
      <c r="EU59" s="12">
        <v>0.27747886898392571</v>
      </c>
      <c r="EV59" s="10">
        <v>0.13721440150945199</v>
      </c>
      <c r="EW59" s="12">
        <v>0.12455112759530464</v>
      </c>
      <c r="EX59" s="12">
        <v>0.10693367973180154</v>
      </c>
      <c r="EY59" s="12">
        <v>0.12424155382645866</v>
      </c>
      <c r="EZ59" s="12">
        <v>0.10320366203865947</v>
      </c>
      <c r="FA59" s="12">
        <v>0.11755667082031004</v>
      </c>
      <c r="FB59" s="12">
        <v>0.13116525909865784</v>
      </c>
      <c r="FC59" s="12">
        <v>0.11992818749786362</v>
      </c>
      <c r="FD59" s="12">
        <v>0.13166217132572169</v>
      </c>
      <c r="FE59" s="12">
        <v>0.14282725853108308</v>
      </c>
      <c r="FF59" s="12">
        <v>0.25976397155535957</v>
      </c>
      <c r="FG59" s="12">
        <v>0.25025130756674396</v>
      </c>
      <c r="FH59" s="12">
        <v>0.24491665284315045</v>
      </c>
      <c r="FI59" s="12">
        <v>0.24370595189882197</v>
      </c>
      <c r="FJ59" s="12">
        <v>0.22971926789705388</v>
      </c>
      <c r="FK59" s="12">
        <v>0.2623220013690204</v>
      </c>
      <c r="FL59" s="12">
        <v>0.2813392542352417</v>
      </c>
      <c r="FM59" s="12">
        <v>0.31231400359606015</v>
      </c>
      <c r="FN59" s="10">
        <v>0.31993000709174546</v>
      </c>
      <c r="FO59" s="12">
        <v>0.30076424938417295</v>
      </c>
      <c r="FQ59" s="8" t="s">
        <v>178</v>
      </c>
      <c r="FR59" s="8" t="s">
        <v>207</v>
      </c>
      <c r="FS59" s="8" t="s">
        <v>208</v>
      </c>
      <c r="FT59" s="12">
        <v>0.64206873489157001</v>
      </c>
    </row>
    <row r="60" spans="2:176" x14ac:dyDescent="0.45">
      <c r="B60" s="9" t="s">
        <v>199</v>
      </c>
      <c r="C60" s="9" t="s">
        <v>31</v>
      </c>
      <c r="D60" s="13">
        <v>0.35681754614507089</v>
      </c>
      <c r="E60" s="13">
        <v>0.37935162926504806</v>
      </c>
      <c r="F60" s="13">
        <v>0.37901932799100069</v>
      </c>
      <c r="G60" s="13">
        <v>0.38480555722864745</v>
      </c>
      <c r="H60" s="13">
        <v>0.40345014107676191</v>
      </c>
      <c r="I60" s="13">
        <v>0.39996661801090461</v>
      </c>
      <c r="J60" s="13">
        <v>0.38318761169955823</v>
      </c>
      <c r="K60" s="13">
        <v>0.36930814453968119</v>
      </c>
      <c r="L60" s="13">
        <v>0.36643365688099439</v>
      </c>
      <c r="M60" s="13">
        <v>0.36052318234512776</v>
      </c>
      <c r="N60" s="13">
        <v>0.33702842468745092</v>
      </c>
      <c r="O60" s="13">
        <v>0.38247524279408462</v>
      </c>
      <c r="P60" s="13">
        <v>0.41812176750841062</v>
      </c>
      <c r="Q60" s="13">
        <v>0.42524540860146137</v>
      </c>
      <c r="R60" s="13">
        <v>0.43032247526634065</v>
      </c>
      <c r="S60" s="13">
        <v>0.3984035277991626</v>
      </c>
      <c r="T60" s="13">
        <v>0.38774707387343421</v>
      </c>
      <c r="U60" s="13">
        <v>0.39455805843669417</v>
      </c>
      <c r="V60" s="13">
        <v>0.36926569075229454</v>
      </c>
      <c r="W60" s="13">
        <v>0.3320213644275376</v>
      </c>
      <c r="X60" s="13">
        <v>0.38580812131852033</v>
      </c>
      <c r="Y60" s="13">
        <v>0.43816474240386594</v>
      </c>
      <c r="Z60" s="13">
        <v>0.51744978265809716</v>
      </c>
      <c r="AA60" s="13">
        <v>0.49041283406052211</v>
      </c>
      <c r="AB60" s="13">
        <v>0.48609730636623377</v>
      </c>
      <c r="AC60" s="13">
        <v>0.43769124872030329</v>
      </c>
      <c r="AD60" s="13">
        <v>0.41703742721821557</v>
      </c>
      <c r="AE60" s="13">
        <v>0.42742301576443431</v>
      </c>
      <c r="AF60" s="13">
        <v>0.39858211468649568</v>
      </c>
      <c r="AG60" s="13">
        <v>0.36822727660922272</v>
      </c>
      <c r="AH60" s="13">
        <v>0.40114543684555709</v>
      </c>
      <c r="AI60" s="13">
        <v>0.41688613484680287</v>
      </c>
      <c r="AJ60" s="13">
        <v>0.43307015808029309</v>
      </c>
      <c r="AK60" s="13">
        <v>0.44971643897728686</v>
      </c>
      <c r="AL60" s="13">
        <v>0.44308499112262079</v>
      </c>
      <c r="AM60" s="13">
        <v>0.41519167103380428</v>
      </c>
      <c r="AN60" s="13">
        <v>0.39951426384439731</v>
      </c>
      <c r="AO60" s="13">
        <v>0.36121200776947759</v>
      </c>
      <c r="AP60" s="13">
        <v>0.34971774467721578</v>
      </c>
      <c r="AQ60" s="13">
        <v>0.35609606038239666</v>
      </c>
      <c r="EA60" s="9" t="s">
        <v>199</v>
      </c>
      <c r="EB60" s="13">
        <v>0.38251890406542566</v>
      </c>
      <c r="EC60" s="13">
        <v>0.38951038135702681</v>
      </c>
      <c r="ED60" s="13">
        <v>0.39129926611693688</v>
      </c>
      <c r="EE60" s="13">
        <v>0.38269643908919637</v>
      </c>
      <c r="EF60" s="13">
        <v>0.35408998260218494</v>
      </c>
      <c r="EG60" s="13">
        <v>0.36248984967886505</v>
      </c>
      <c r="EH60" s="13">
        <v>0.39491361608334785</v>
      </c>
      <c r="EI60" s="13">
        <v>0.41153290174427964</v>
      </c>
      <c r="EJ60" s="13">
        <v>0.40605806420829665</v>
      </c>
      <c r="EK60" s="13">
        <v>0.38512904562077321</v>
      </c>
      <c r="EL60" s="11">
        <v>0.27121281056858776</v>
      </c>
      <c r="EM60" s="13">
        <v>0.24903348622829369</v>
      </c>
      <c r="EN60" s="13">
        <v>0.22593044216769917</v>
      </c>
      <c r="EO60" s="13">
        <v>0.229384857806951</v>
      </c>
      <c r="EP60" s="13">
        <v>0.21788882903282028</v>
      </c>
      <c r="EQ60" s="13">
        <v>0.24407892703047551</v>
      </c>
      <c r="ER60" s="13">
        <v>0.25333071334694113</v>
      </c>
      <c r="ES60" s="13">
        <v>0.2469868560778716</v>
      </c>
      <c r="ET60" s="13">
        <v>0.27579782238692468</v>
      </c>
      <c r="EU60" s="13">
        <v>0.28201120385099498</v>
      </c>
      <c r="EV60" s="11">
        <v>0.13164226777063848</v>
      </c>
      <c r="EW60" s="13">
        <v>0.131509872400942</v>
      </c>
      <c r="EX60" s="13">
        <v>0.11566634952500786</v>
      </c>
      <c r="EY60" s="13">
        <v>0.13795092307607731</v>
      </c>
      <c r="EZ60" s="13">
        <v>0.1114632674981908</v>
      </c>
      <c r="FA60" s="13">
        <v>0.12117246950932896</v>
      </c>
      <c r="FB60" s="13">
        <v>0.12577787572592877</v>
      </c>
      <c r="FC60" s="13">
        <v>0.11459829471193103</v>
      </c>
      <c r="FD60" s="13">
        <v>0.13054569903386087</v>
      </c>
      <c r="FE60" s="13">
        <v>0.14596166394750881</v>
      </c>
      <c r="FF60" s="13">
        <v>0.27927502091439416</v>
      </c>
      <c r="FG60" s="13">
        <v>0.27695445115588802</v>
      </c>
      <c r="FH60" s="13">
        <v>0.27171250051985729</v>
      </c>
      <c r="FI60" s="13">
        <v>0.27228760649022471</v>
      </c>
      <c r="FJ60" s="13">
        <v>0.25913436460262035</v>
      </c>
      <c r="FK60" s="13">
        <v>0.29092811061993767</v>
      </c>
      <c r="FL60" s="13">
        <v>0.289926960167387</v>
      </c>
      <c r="FM60" s="13">
        <v>0.30477813229051082</v>
      </c>
      <c r="FN60" s="11">
        <v>0.30693567507286318</v>
      </c>
      <c r="FO60" s="13">
        <v>0.29902648784583891</v>
      </c>
      <c r="FQ60" s="9" t="s">
        <v>179</v>
      </c>
      <c r="FR60" s="9" t="s">
        <v>207</v>
      </c>
      <c r="FS60" s="9" t="s">
        <v>208</v>
      </c>
      <c r="FT60" s="13">
        <v>0.60516106263158898</v>
      </c>
    </row>
  </sheetData>
  <mergeCells count="1">
    <mergeCell ref="A1:AN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F265-5C45-48C1-B565-E80FB2F0AB15}">
  <dimension ref="A1:H50"/>
  <sheetViews>
    <sheetView workbookViewId="0">
      <selection sqref="A1:H1"/>
    </sheetView>
  </sheetViews>
  <sheetFormatPr defaultRowHeight="14.25" x14ac:dyDescent="0.45"/>
  <cols>
    <col min="2" max="4" width="10.59765625" customWidth="1"/>
    <col min="5" max="5" width="13.06640625" bestFit="1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209</v>
      </c>
      <c r="C10" s="7" t="s">
        <v>57</v>
      </c>
      <c r="D10" s="7" t="s">
        <v>56</v>
      </c>
      <c r="E10" s="7" t="s">
        <v>55</v>
      </c>
    </row>
    <row r="11" spans="1:8" x14ac:dyDescent="0.45">
      <c r="B11" s="12">
        <v>5.1369863013698627E-2</v>
      </c>
      <c r="C11" s="12">
        <v>7.995425502821769E-3</v>
      </c>
      <c r="D11" s="8" t="s">
        <v>60</v>
      </c>
      <c r="E11" s="8" t="s">
        <v>210</v>
      </c>
    </row>
    <row r="12" spans="1:8" x14ac:dyDescent="0.45">
      <c r="B12" s="13">
        <v>2.0547945205479451E-2</v>
      </c>
      <c r="C12" s="13">
        <v>2.0406235238545112E-2</v>
      </c>
      <c r="D12" s="9" t="s">
        <v>62</v>
      </c>
      <c r="E12" s="9" t="s">
        <v>210</v>
      </c>
    </row>
    <row r="13" spans="1:8" x14ac:dyDescent="0.45">
      <c r="B13" s="12">
        <v>2.0547945205479451E-2</v>
      </c>
      <c r="C13" s="12">
        <v>3.0281182408074987E-2</v>
      </c>
      <c r="D13" s="8" t="s">
        <v>63</v>
      </c>
      <c r="E13" s="8" t="s">
        <v>210</v>
      </c>
    </row>
    <row r="14" spans="1:8" x14ac:dyDescent="0.45">
      <c r="B14" s="13">
        <v>2.0547945205479451E-2</v>
      </c>
      <c r="C14" s="13">
        <v>2.5686796111677408E-2</v>
      </c>
      <c r="D14" s="9" t="s">
        <v>64</v>
      </c>
      <c r="E14" s="9" t="s">
        <v>210</v>
      </c>
    </row>
    <row r="15" spans="1:8" x14ac:dyDescent="0.45">
      <c r="B15" s="12">
        <v>2.0547945205479451E-2</v>
      </c>
      <c r="C15" s="12">
        <v>2.5477960370932053E-2</v>
      </c>
      <c r="D15" s="8" t="s">
        <v>65</v>
      </c>
      <c r="E15" s="8" t="s">
        <v>210</v>
      </c>
    </row>
    <row r="16" spans="1:8" x14ac:dyDescent="0.45">
      <c r="B16" s="13">
        <v>2.0547945205479451E-2</v>
      </c>
      <c r="C16" s="13">
        <v>2.6939810556149468E-2</v>
      </c>
      <c r="D16" s="9" t="s">
        <v>66</v>
      </c>
      <c r="E16" s="9" t="s">
        <v>210</v>
      </c>
    </row>
    <row r="17" spans="2:5" x14ac:dyDescent="0.45">
      <c r="B17" s="12">
        <v>2.0547945205479451E-2</v>
      </c>
      <c r="C17" s="12">
        <v>3.5502075926708607E-2</v>
      </c>
      <c r="D17" s="8" t="s">
        <v>67</v>
      </c>
      <c r="E17" s="8" t="s">
        <v>210</v>
      </c>
    </row>
    <row r="18" spans="2:5" x14ac:dyDescent="0.45">
      <c r="B18" s="13">
        <v>2.0547945205479451E-2</v>
      </c>
      <c r="C18" s="13">
        <v>3.5502075926708607E-2</v>
      </c>
      <c r="D18" s="9" t="s">
        <v>68</v>
      </c>
      <c r="E18" s="9" t="s">
        <v>210</v>
      </c>
    </row>
    <row r="19" spans="2:5" x14ac:dyDescent="0.45">
      <c r="B19" s="12">
        <v>2.0547945205479451E-2</v>
      </c>
      <c r="C19" s="12">
        <v>2.386694179946797E-2</v>
      </c>
      <c r="D19" s="8" t="s">
        <v>69</v>
      </c>
      <c r="E19" s="8" t="s">
        <v>210</v>
      </c>
    </row>
    <row r="20" spans="2:5" x14ac:dyDescent="0.45">
      <c r="B20" s="13">
        <v>3.0821917808219176E-2</v>
      </c>
      <c r="C20" s="13">
        <v>1.4916838624667481E-2</v>
      </c>
      <c r="D20" s="9" t="s">
        <v>70</v>
      </c>
      <c r="E20" s="9" t="s">
        <v>210</v>
      </c>
    </row>
    <row r="21" spans="2:5" x14ac:dyDescent="0.45">
      <c r="B21" s="12">
        <v>5.2511415525114152E-2</v>
      </c>
      <c r="C21" s="12">
        <v>8.1731016251066976E-3</v>
      </c>
      <c r="D21" s="8" t="s">
        <v>71</v>
      </c>
      <c r="E21" s="8" t="s">
        <v>210</v>
      </c>
    </row>
    <row r="22" spans="2:5" x14ac:dyDescent="0.45">
      <c r="B22" s="13">
        <v>2.1004566210045664E-2</v>
      </c>
      <c r="C22" s="13">
        <v>2.0859707132735002E-2</v>
      </c>
      <c r="D22" s="9" t="s">
        <v>72</v>
      </c>
      <c r="E22" s="9" t="s">
        <v>210</v>
      </c>
    </row>
    <row r="23" spans="2:5" x14ac:dyDescent="0.45">
      <c r="B23" s="12">
        <v>2.1004566210045664E-2</v>
      </c>
      <c r="C23" s="12">
        <v>3.0954097572698874E-2</v>
      </c>
      <c r="D23" s="8" t="s">
        <v>73</v>
      </c>
      <c r="E23" s="8" t="s">
        <v>210</v>
      </c>
    </row>
    <row r="24" spans="2:5" x14ac:dyDescent="0.45">
      <c r="B24" s="13">
        <v>2.1004566210045664E-2</v>
      </c>
      <c r="C24" s="13">
        <v>2.6257613803048016E-2</v>
      </c>
      <c r="D24" s="9" t="s">
        <v>74</v>
      </c>
      <c r="E24" s="9" t="s">
        <v>210</v>
      </c>
    </row>
    <row r="25" spans="2:5" x14ac:dyDescent="0.45">
      <c r="B25" s="12">
        <v>2.1004566210045664E-2</v>
      </c>
      <c r="C25" s="12">
        <v>2.6044137268063879E-2</v>
      </c>
      <c r="D25" s="8" t="s">
        <v>75</v>
      </c>
      <c r="E25" s="8" t="s">
        <v>210</v>
      </c>
    </row>
    <row r="26" spans="2:5" x14ac:dyDescent="0.45">
      <c r="B26" s="13">
        <v>2.1004566210045664E-2</v>
      </c>
      <c r="C26" s="13">
        <v>2.7538473012952789E-2</v>
      </c>
      <c r="D26" s="9" t="s">
        <v>76</v>
      </c>
      <c r="E26" s="9" t="s">
        <v>210</v>
      </c>
    </row>
    <row r="27" spans="2:5" x14ac:dyDescent="0.45">
      <c r="B27" s="12">
        <v>2.1004566210045664E-2</v>
      </c>
      <c r="C27" s="12">
        <v>3.6291010947302131E-2</v>
      </c>
      <c r="D27" s="8" t="s">
        <v>77</v>
      </c>
      <c r="E27" s="8" t="s">
        <v>210</v>
      </c>
    </row>
    <row r="28" spans="2:5" x14ac:dyDescent="0.45">
      <c r="B28" s="13">
        <v>2.1004566210045664E-2</v>
      </c>
      <c r="C28" s="13">
        <v>3.6291010947302131E-2</v>
      </c>
      <c r="D28" s="9" t="s">
        <v>78</v>
      </c>
      <c r="E28" s="9" t="s">
        <v>210</v>
      </c>
    </row>
    <row r="29" spans="2:5" x14ac:dyDescent="0.45">
      <c r="B29" s="12">
        <v>2.1004566210045664E-2</v>
      </c>
      <c r="C29" s="12">
        <v>2.4397318283900592E-2</v>
      </c>
      <c r="D29" s="8" t="s">
        <v>79</v>
      </c>
      <c r="E29" s="8" t="s">
        <v>210</v>
      </c>
    </row>
    <row r="30" spans="2:5" x14ac:dyDescent="0.45">
      <c r="B30" s="13">
        <v>3.1506849315068496E-2</v>
      </c>
      <c r="C30" s="13">
        <v>1.5248323927437872E-2</v>
      </c>
      <c r="D30" s="9" t="s">
        <v>80</v>
      </c>
      <c r="E30" s="9" t="s">
        <v>210</v>
      </c>
    </row>
    <row r="31" spans="2:5" x14ac:dyDescent="0.45">
      <c r="B31" s="12">
        <v>5.2511415525114152E-2</v>
      </c>
      <c r="C31" s="12">
        <v>8.1731016251066976E-3</v>
      </c>
      <c r="D31" s="8" t="s">
        <v>81</v>
      </c>
      <c r="E31" s="8" t="s">
        <v>210</v>
      </c>
    </row>
    <row r="32" spans="2:5" x14ac:dyDescent="0.45">
      <c r="B32" s="13">
        <v>2.1004566210045664E-2</v>
      </c>
      <c r="C32" s="13">
        <v>2.0859707132735002E-2</v>
      </c>
      <c r="D32" s="9" t="s">
        <v>82</v>
      </c>
      <c r="E32" s="9" t="s">
        <v>210</v>
      </c>
    </row>
    <row r="33" spans="2:5" x14ac:dyDescent="0.45">
      <c r="B33" s="12">
        <v>2.1004566210045664E-2</v>
      </c>
      <c r="C33" s="12">
        <v>3.0954097572698874E-2</v>
      </c>
      <c r="D33" s="8" t="s">
        <v>83</v>
      </c>
      <c r="E33" s="8" t="s">
        <v>210</v>
      </c>
    </row>
    <row r="34" spans="2:5" x14ac:dyDescent="0.45">
      <c r="B34" s="13">
        <v>2.1004566210045664E-2</v>
      </c>
      <c r="C34" s="13">
        <v>2.6257613803048016E-2</v>
      </c>
      <c r="D34" s="9" t="s">
        <v>84</v>
      </c>
      <c r="E34" s="9" t="s">
        <v>210</v>
      </c>
    </row>
    <row r="35" spans="2:5" x14ac:dyDescent="0.45">
      <c r="B35" s="12">
        <v>2.1004566210045664E-2</v>
      </c>
      <c r="C35" s="12">
        <v>2.6044137268063879E-2</v>
      </c>
      <c r="D35" s="8" t="s">
        <v>85</v>
      </c>
      <c r="E35" s="8" t="s">
        <v>210</v>
      </c>
    </row>
    <row r="36" spans="2:5" x14ac:dyDescent="0.45">
      <c r="B36" s="13">
        <v>2.1004566210045664E-2</v>
      </c>
      <c r="C36" s="13">
        <v>2.7538473012952789E-2</v>
      </c>
      <c r="D36" s="9" t="s">
        <v>86</v>
      </c>
      <c r="E36" s="9" t="s">
        <v>210</v>
      </c>
    </row>
    <row r="37" spans="2:5" x14ac:dyDescent="0.45">
      <c r="B37" s="12">
        <v>2.1004566210045664E-2</v>
      </c>
      <c r="C37" s="12">
        <v>3.6291010947302131E-2</v>
      </c>
      <c r="D37" s="8" t="s">
        <v>87</v>
      </c>
      <c r="E37" s="8" t="s">
        <v>210</v>
      </c>
    </row>
    <row r="38" spans="2:5" x14ac:dyDescent="0.45">
      <c r="B38" s="13">
        <v>2.1004566210045664E-2</v>
      </c>
      <c r="C38" s="13">
        <v>3.6291010947302131E-2</v>
      </c>
      <c r="D38" s="9" t="s">
        <v>88</v>
      </c>
      <c r="E38" s="9" t="s">
        <v>210</v>
      </c>
    </row>
    <row r="39" spans="2:5" x14ac:dyDescent="0.45">
      <c r="B39" s="12">
        <v>2.1004566210045664E-2</v>
      </c>
      <c r="C39" s="12">
        <v>2.4397318283900592E-2</v>
      </c>
      <c r="D39" s="8" t="s">
        <v>89</v>
      </c>
      <c r="E39" s="8" t="s">
        <v>210</v>
      </c>
    </row>
    <row r="40" spans="2:5" x14ac:dyDescent="0.45">
      <c r="B40" s="13">
        <v>3.1506849315068496E-2</v>
      </c>
      <c r="C40" s="13">
        <v>1.5248323927437872E-2</v>
      </c>
      <c r="D40" s="9" t="s">
        <v>90</v>
      </c>
      <c r="E40" s="9" t="s">
        <v>210</v>
      </c>
    </row>
    <row r="41" spans="2:5" x14ac:dyDescent="0.45">
      <c r="B41" s="12">
        <v>5.194063926940639E-2</v>
      </c>
      <c r="C41" s="12">
        <v>8.0842635639642325E-3</v>
      </c>
      <c r="D41" s="8" t="s">
        <v>91</v>
      </c>
      <c r="E41" s="8" t="s">
        <v>210</v>
      </c>
    </row>
    <row r="42" spans="2:5" x14ac:dyDescent="0.45">
      <c r="B42" s="13">
        <v>2.0776255707762557E-2</v>
      </c>
      <c r="C42" s="13">
        <v>2.0632971185640059E-2</v>
      </c>
      <c r="D42" s="9" t="s">
        <v>92</v>
      </c>
      <c r="E42" s="9" t="s">
        <v>210</v>
      </c>
    </row>
    <row r="43" spans="2:5" x14ac:dyDescent="0.45">
      <c r="B43" s="12">
        <v>2.0776255707762557E-2</v>
      </c>
      <c r="C43" s="12">
        <v>3.0617639990386931E-2</v>
      </c>
      <c r="D43" s="8" t="s">
        <v>93</v>
      </c>
      <c r="E43" s="8" t="s">
        <v>210</v>
      </c>
    </row>
    <row r="44" spans="2:5" x14ac:dyDescent="0.45">
      <c r="B44" s="13">
        <v>2.0776255707762557E-2</v>
      </c>
      <c r="C44" s="13">
        <v>2.5972204957362712E-2</v>
      </c>
      <c r="D44" s="9" t="s">
        <v>94</v>
      </c>
      <c r="E44" s="9" t="s">
        <v>210</v>
      </c>
    </row>
    <row r="45" spans="2:5" x14ac:dyDescent="0.45">
      <c r="B45" s="12">
        <v>2.0776255707762557E-2</v>
      </c>
      <c r="C45" s="12">
        <v>2.5761048819497968E-2</v>
      </c>
      <c r="D45" s="8" t="s">
        <v>95</v>
      </c>
      <c r="E45" s="8" t="s">
        <v>210</v>
      </c>
    </row>
    <row r="46" spans="2:5" x14ac:dyDescent="0.45">
      <c r="B46" s="13">
        <v>2.0776255707762557E-2</v>
      </c>
      <c r="C46" s="13">
        <v>2.723914178455113E-2</v>
      </c>
      <c r="D46" s="9" t="s">
        <v>96</v>
      </c>
      <c r="E46" s="9" t="s">
        <v>210</v>
      </c>
    </row>
    <row r="47" spans="2:5" x14ac:dyDescent="0.45">
      <c r="B47" s="12">
        <v>2.0776255707762557E-2</v>
      </c>
      <c r="C47" s="12">
        <v>3.5896543437005365E-2</v>
      </c>
      <c r="D47" s="8" t="s">
        <v>97</v>
      </c>
      <c r="E47" s="8" t="s">
        <v>210</v>
      </c>
    </row>
    <row r="48" spans="2:5" x14ac:dyDescent="0.45">
      <c r="B48" s="13">
        <v>2.0776255707762557E-2</v>
      </c>
      <c r="C48" s="13">
        <v>3.5896543437005365E-2</v>
      </c>
      <c r="D48" s="9" t="s">
        <v>98</v>
      </c>
      <c r="E48" s="9" t="s">
        <v>210</v>
      </c>
    </row>
    <row r="49" spans="2:5" x14ac:dyDescent="0.45">
      <c r="B49" s="12">
        <v>2.0776255707762557E-2</v>
      </c>
      <c r="C49" s="12">
        <v>2.4132130041684283E-2</v>
      </c>
      <c r="D49" s="8" t="s">
        <v>99</v>
      </c>
      <c r="E49" s="8" t="s">
        <v>210</v>
      </c>
    </row>
    <row r="50" spans="2:5" x14ac:dyDescent="0.45">
      <c r="B50" s="13">
        <v>3.1164383561643836E-2</v>
      </c>
      <c r="C50" s="13">
        <v>1.5082581276052677E-2</v>
      </c>
      <c r="D50" s="9" t="s">
        <v>100</v>
      </c>
      <c r="E50" s="9" t="s">
        <v>210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6746-33BC-4C21-BB40-334DF8A920B6}">
  <dimension ref="A1:H9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55</v>
      </c>
      <c r="C10" s="7" t="s">
        <v>56</v>
      </c>
      <c r="D10" s="7" t="s">
        <v>57</v>
      </c>
    </row>
    <row r="11" spans="1:8" x14ac:dyDescent="0.45">
      <c r="B11" s="8" t="s">
        <v>216</v>
      </c>
      <c r="C11" s="8" t="s">
        <v>60</v>
      </c>
      <c r="D11" s="12">
        <v>4.4516783549462362E-2</v>
      </c>
    </row>
    <row r="12" spans="1:8" x14ac:dyDescent="0.45">
      <c r="B12" s="9" t="s">
        <v>216</v>
      </c>
      <c r="C12" s="9" t="s">
        <v>62</v>
      </c>
      <c r="D12" s="13">
        <v>2.0513050632638519E-2</v>
      </c>
    </row>
    <row r="13" spans="1:8" x14ac:dyDescent="0.45">
      <c r="B13" s="8" t="s">
        <v>216</v>
      </c>
      <c r="C13" s="8" t="s">
        <v>63</v>
      </c>
      <c r="D13" s="12">
        <v>2.325301207784124E-2</v>
      </c>
    </row>
    <row r="14" spans="1:8" x14ac:dyDescent="0.45">
      <c r="B14" s="9" t="s">
        <v>216</v>
      </c>
      <c r="C14" s="9" t="s">
        <v>64</v>
      </c>
      <c r="D14" s="13">
        <v>2.3445518270051067E-2</v>
      </c>
    </row>
    <row r="15" spans="1:8" x14ac:dyDescent="0.45">
      <c r="B15" s="8" t="s">
        <v>216</v>
      </c>
      <c r="C15" s="8" t="s">
        <v>65</v>
      </c>
      <c r="D15" s="12">
        <v>2.348927029972436E-2</v>
      </c>
    </row>
    <row r="16" spans="1:8" x14ac:dyDescent="0.45">
      <c r="B16" s="9" t="s">
        <v>216</v>
      </c>
      <c r="C16" s="9" t="s">
        <v>66</v>
      </c>
      <c r="D16" s="13">
        <v>2.349115976306184E-2</v>
      </c>
    </row>
    <row r="17" spans="2:4" x14ac:dyDescent="0.45">
      <c r="B17" s="8" t="s">
        <v>216</v>
      </c>
      <c r="C17" s="8" t="s">
        <v>67</v>
      </c>
      <c r="D17" s="12">
        <v>2.3548877391316499E-2</v>
      </c>
    </row>
    <row r="18" spans="2:4" x14ac:dyDescent="0.45">
      <c r="B18" s="9" t="s">
        <v>216</v>
      </c>
      <c r="C18" s="9" t="s">
        <v>68</v>
      </c>
      <c r="D18" s="13">
        <v>2.3735516662945821E-2</v>
      </c>
    </row>
    <row r="19" spans="2:4" x14ac:dyDescent="0.45">
      <c r="B19" s="8" t="s">
        <v>216</v>
      </c>
      <c r="C19" s="8" t="s">
        <v>69</v>
      </c>
      <c r="D19" s="12">
        <v>2.3669173223802669E-2</v>
      </c>
    </row>
    <row r="20" spans="2:4" x14ac:dyDescent="0.45">
      <c r="B20" s="9" t="s">
        <v>216</v>
      </c>
      <c r="C20" s="9" t="s">
        <v>70</v>
      </c>
      <c r="D20" s="13">
        <v>3.3589124191370147E-2</v>
      </c>
    </row>
    <row r="21" spans="2:4" x14ac:dyDescent="0.45">
      <c r="B21" s="8" t="s">
        <v>216</v>
      </c>
      <c r="C21" s="8" t="s">
        <v>71</v>
      </c>
      <c r="D21" s="12">
        <v>4.2538762973728647E-2</v>
      </c>
    </row>
    <row r="22" spans="2:4" x14ac:dyDescent="0.45">
      <c r="B22" s="9" t="s">
        <v>216</v>
      </c>
      <c r="C22" s="9" t="s">
        <v>72</v>
      </c>
      <c r="D22" s="13">
        <v>1.9207215571326978E-2</v>
      </c>
    </row>
    <row r="23" spans="2:4" x14ac:dyDescent="0.45">
      <c r="B23" s="8" t="s">
        <v>216</v>
      </c>
      <c r="C23" s="8" t="s">
        <v>73</v>
      </c>
      <c r="D23" s="12">
        <v>2.1899283228453595E-2</v>
      </c>
    </row>
    <row r="24" spans="2:4" x14ac:dyDescent="0.45">
      <c r="B24" s="9" t="s">
        <v>216</v>
      </c>
      <c r="C24" s="9" t="s">
        <v>74</v>
      </c>
      <c r="D24" s="13">
        <v>2.2900472883222823E-2</v>
      </c>
    </row>
    <row r="25" spans="2:4" x14ac:dyDescent="0.45">
      <c r="B25" s="8" t="s">
        <v>216</v>
      </c>
      <c r="C25" s="8" t="s">
        <v>75</v>
      </c>
      <c r="D25" s="12">
        <v>2.2938104694694282E-2</v>
      </c>
    </row>
    <row r="26" spans="2:4" x14ac:dyDescent="0.45">
      <c r="B26" s="9" t="s">
        <v>216</v>
      </c>
      <c r="C26" s="9" t="s">
        <v>76</v>
      </c>
      <c r="D26" s="13">
        <v>2.291709468388731E-2</v>
      </c>
    </row>
    <row r="27" spans="2:4" x14ac:dyDescent="0.45">
      <c r="B27" s="8" t="s">
        <v>216</v>
      </c>
      <c r="C27" s="8" t="s">
        <v>77</v>
      </c>
      <c r="D27" s="12">
        <v>2.2858179026342584E-2</v>
      </c>
    </row>
    <row r="28" spans="2:4" x14ac:dyDescent="0.45">
      <c r="B28" s="9" t="s">
        <v>216</v>
      </c>
      <c r="C28" s="9" t="s">
        <v>78</v>
      </c>
      <c r="D28" s="13">
        <v>2.2986217550983422E-2</v>
      </c>
    </row>
    <row r="29" spans="2:4" x14ac:dyDescent="0.45">
      <c r="B29" s="8" t="s">
        <v>216</v>
      </c>
      <c r="C29" s="8" t="s">
        <v>79</v>
      </c>
      <c r="D29" s="12">
        <v>2.3011355628429885E-2</v>
      </c>
    </row>
    <row r="30" spans="2:4" x14ac:dyDescent="0.45">
      <c r="B30" s="9" t="s">
        <v>216</v>
      </c>
      <c r="C30" s="9" t="s">
        <v>80</v>
      </c>
      <c r="D30" s="13">
        <v>3.1577918454142817E-2</v>
      </c>
    </row>
    <row r="31" spans="2:4" x14ac:dyDescent="0.45">
      <c r="B31" s="8" t="s">
        <v>216</v>
      </c>
      <c r="C31" s="8" t="s">
        <v>81</v>
      </c>
      <c r="D31" s="12">
        <v>3.9831863601743935E-2</v>
      </c>
    </row>
    <row r="32" spans="2:4" x14ac:dyDescent="0.45">
      <c r="B32" s="9" t="s">
        <v>216</v>
      </c>
      <c r="C32" s="9" t="s">
        <v>82</v>
      </c>
      <c r="D32" s="13">
        <v>1.7027126713294465E-2</v>
      </c>
    </row>
    <row r="33" spans="2:4" x14ac:dyDescent="0.45">
      <c r="B33" s="8" t="s">
        <v>216</v>
      </c>
      <c r="C33" s="8" t="s">
        <v>83</v>
      </c>
      <c r="D33" s="12">
        <v>2.0309145068140647E-2</v>
      </c>
    </row>
    <row r="34" spans="2:4" x14ac:dyDescent="0.45">
      <c r="B34" s="9" t="s">
        <v>216</v>
      </c>
      <c r="C34" s="9" t="s">
        <v>84</v>
      </c>
      <c r="D34" s="13">
        <v>2.209901451926596E-2</v>
      </c>
    </row>
    <row r="35" spans="2:4" x14ac:dyDescent="0.45">
      <c r="B35" s="8" t="s">
        <v>216</v>
      </c>
      <c r="C35" s="8" t="s">
        <v>85</v>
      </c>
      <c r="D35" s="12">
        <v>2.2302604193879336E-2</v>
      </c>
    </row>
    <row r="36" spans="2:4" x14ac:dyDescent="0.45">
      <c r="B36" s="9" t="s">
        <v>216</v>
      </c>
      <c r="C36" s="9" t="s">
        <v>86</v>
      </c>
      <c r="D36" s="13">
        <v>2.2347020274073408E-2</v>
      </c>
    </row>
    <row r="37" spans="2:4" x14ac:dyDescent="0.45">
      <c r="B37" s="8" t="s">
        <v>216</v>
      </c>
      <c r="C37" s="8" t="s">
        <v>87</v>
      </c>
      <c r="D37" s="12">
        <v>2.2201141381833038E-2</v>
      </c>
    </row>
    <row r="38" spans="2:4" x14ac:dyDescent="0.45">
      <c r="B38" s="9" t="s">
        <v>216</v>
      </c>
      <c r="C38" s="9" t="s">
        <v>88</v>
      </c>
      <c r="D38" s="13">
        <v>2.2149256444750597E-2</v>
      </c>
    </row>
    <row r="39" spans="2:4" x14ac:dyDescent="0.45">
      <c r="B39" s="8" t="s">
        <v>216</v>
      </c>
      <c r="C39" s="8" t="s">
        <v>89</v>
      </c>
      <c r="D39" s="12">
        <v>2.2022436487044796E-2</v>
      </c>
    </row>
    <row r="40" spans="2:4" x14ac:dyDescent="0.45">
      <c r="B40" s="9" t="s">
        <v>216</v>
      </c>
      <c r="C40" s="9" t="s">
        <v>90</v>
      </c>
      <c r="D40" s="13">
        <v>2.9742565582524784E-2</v>
      </c>
    </row>
    <row r="41" spans="2:4" x14ac:dyDescent="0.45">
      <c r="B41" s="8" t="s">
        <v>216</v>
      </c>
      <c r="C41" s="8" t="s">
        <v>91</v>
      </c>
      <c r="D41" s="12">
        <v>4.1219855469730123E-2</v>
      </c>
    </row>
    <row r="42" spans="2:4" x14ac:dyDescent="0.45">
      <c r="B42" s="9" t="s">
        <v>216</v>
      </c>
      <c r="C42" s="9" t="s">
        <v>92</v>
      </c>
      <c r="D42" s="13">
        <v>1.8077099973052818E-2</v>
      </c>
    </row>
    <row r="43" spans="2:4" x14ac:dyDescent="0.45">
      <c r="B43" s="8" t="s">
        <v>216</v>
      </c>
      <c r="C43" s="8" t="s">
        <v>93</v>
      </c>
      <c r="D43" s="12">
        <v>2.0956676328779265E-2</v>
      </c>
    </row>
    <row r="44" spans="2:4" x14ac:dyDescent="0.45">
      <c r="B44" s="9" t="s">
        <v>216</v>
      </c>
      <c r="C44" s="9" t="s">
        <v>94</v>
      </c>
      <c r="D44" s="13">
        <v>2.2146387872633636E-2</v>
      </c>
    </row>
    <row r="45" spans="2:4" x14ac:dyDescent="0.45">
      <c r="B45" s="8" t="s">
        <v>216</v>
      </c>
      <c r="C45" s="8" t="s">
        <v>95</v>
      </c>
      <c r="D45" s="12">
        <v>2.2205324067823339E-2</v>
      </c>
    </row>
    <row r="46" spans="2:4" x14ac:dyDescent="0.45">
      <c r="B46" s="9" t="s">
        <v>216</v>
      </c>
      <c r="C46" s="9" t="s">
        <v>96</v>
      </c>
      <c r="D46" s="13">
        <v>2.2174086309820016E-2</v>
      </c>
    </row>
    <row r="47" spans="2:4" x14ac:dyDescent="0.45">
      <c r="B47" s="8" t="s">
        <v>216</v>
      </c>
      <c r="C47" s="8" t="s">
        <v>97</v>
      </c>
      <c r="D47" s="12">
        <v>2.209007365011877E-2</v>
      </c>
    </row>
    <row r="48" spans="2:4" x14ac:dyDescent="0.45">
      <c r="B48" s="9" t="s">
        <v>216</v>
      </c>
      <c r="C48" s="9" t="s">
        <v>98</v>
      </c>
      <c r="D48" s="13">
        <v>2.2269250910741382E-2</v>
      </c>
    </row>
    <row r="49" spans="2:4" x14ac:dyDescent="0.45">
      <c r="B49" s="8" t="s">
        <v>216</v>
      </c>
      <c r="C49" s="8" t="s">
        <v>99</v>
      </c>
      <c r="D49" s="12">
        <v>2.2274802920765641E-2</v>
      </c>
    </row>
    <row r="50" spans="2:4" x14ac:dyDescent="0.45">
      <c r="B50" s="9" t="s">
        <v>216</v>
      </c>
      <c r="C50" s="9" t="s">
        <v>100</v>
      </c>
      <c r="D50" s="13">
        <v>3.046817747255717E-2</v>
      </c>
    </row>
    <row r="51" spans="2:4" x14ac:dyDescent="0.45">
      <c r="B51" s="8" t="s">
        <v>217</v>
      </c>
      <c r="C51" s="8" t="s">
        <v>60</v>
      </c>
      <c r="D51" s="12">
        <v>5.0514530962233045E-2</v>
      </c>
    </row>
    <row r="52" spans="2:4" x14ac:dyDescent="0.45">
      <c r="B52" s="9" t="s">
        <v>217</v>
      </c>
      <c r="C52" s="9" t="s">
        <v>62</v>
      </c>
      <c r="D52" s="13">
        <v>2.0437647241780498E-2</v>
      </c>
    </row>
    <row r="53" spans="2:4" x14ac:dyDescent="0.45">
      <c r="B53" s="8" t="s">
        <v>217</v>
      </c>
      <c r="C53" s="8" t="s">
        <v>63</v>
      </c>
      <c r="D53" s="12">
        <v>2.0672362474792965E-2</v>
      </c>
    </row>
    <row r="54" spans="2:4" x14ac:dyDescent="0.45">
      <c r="B54" s="9" t="s">
        <v>217</v>
      </c>
      <c r="C54" s="9" t="s">
        <v>64</v>
      </c>
      <c r="D54" s="13">
        <v>2.0688853267333121E-2</v>
      </c>
    </row>
    <row r="55" spans="2:4" x14ac:dyDescent="0.45">
      <c r="B55" s="8" t="s">
        <v>217</v>
      </c>
      <c r="C55" s="8" t="s">
        <v>65</v>
      </c>
      <c r="D55" s="12">
        <v>2.0692601228041663E-2</v>
      </c>
    </row>
    <row r="56" spans="2:4" x14ac:dyDescent="0.45">
      <c r="B56" s="9" t="s">
        <v>217</v>
      </c>
      <c r="C56" s="9" t="s">
        <v>66</v>
      </c>
      <c r="D56" s="13">
        <v>2.0692763086460616E-2</v>
      </c>
    </row>
    <row r="57" spans="2:4" x14ac:dyDescent="0.45">
      <c r="B57" s="8" t="s">
        <v>217</v>
      </c>
      <c r="C57" s="8" t="s">
        <v>67</v>
      </c>
      <c r="D57" s="12">
        <v>2.0697707392004931E-2</v>
      </c>
    </row>
    <row r="58" spans="2:4" x14ac:dyDescent="0.45">
      <c r="B58" s="9" t="s">
        <v>217</v>
      </c>
      <c r="C58" s="9" t="s">
        <v>68</v>
      </c>
      <c r="D58" s="13">
        <v>2.0713695602425357E-2</v>
      </c>
    </row>
    <row r="59" spans="2:4" x14ac:dyDescent="0.45">
      <c r="B59" s="8" t="s">
        <v>217</v>
      </c>
      <c r="C59" s="8" t="s">
        <v>69</v>
      </c>
      <c r="D59" s="12">
        <v>2.070801237801189E-2</v>
      </c>
    </row>
    <row r="60" spans="2:4" x14ac:dyDescent="0.45">
      <c r="B60" s="9" t="s">
        <v>217</v>
      </c>
      <c r="C60" s="9" t="s">
        <v>70</v>
      </c>
      <c r="D60" s="13">
        <v>3.0898003795138247E-2</v>
      </c>
    </row>
    <row r="61" spans="2:4" x14ac:dyDescent="0.45">
      <c r="B61" s="8" t="s">
        <v>217</v>
      </c>
      <c r="C61" s="8" t="s">
        <v>71</v>
      </c>
      <c r="D61" s="12">
        <v>5.164457628007748E-2</v>
      </c>
    </row>
    <row r="62" spans="2:4" x14ac:dyDescent="0.45">
      <c r="B62" s="9" t="s">
        <v>217</v>
      </c>
      <c r="C62" s="9" t="s">
        <v>72</v>
      </c>
      <c r="D62" s="13">
        <v>2.0845580530874888E-2</v>
      </c>
    </row>
    <row r="63" spans="2:4" x14ac:dyDescent="0.45">
      <c r="B63" s="8" t="s">
        <v>217</v>
      </c>
      <c r="C63" s="8" t="s">
        <v>73</v>
      </c>
      <c r="D63" s="12">
        <v>2.1076193004832912E-2</v>
      </c>
    </row>
    <row r="64" spans="2:4" x14ac:dyDescent="0.45">
      <c r="B64" s="9" t="s">
        <v>217</v>
      </c>
      <c r="C64" s="9" t="s">
        <v>74</v>
      </c>
      <c r="D64" s="13">
        <v>2.1161958614243317E-2</v>
      </c>
    </row>
    <row r="65" spans="2:4" x14ac:dyDescent="0.45">
      <c r="B65" s="8" t="s">
        <v>217</v>
      </c>
      <c r="C65" s="8" t="s">
        <v>75</v>
      </c>
      <c r="D65" s="12">
        <v>2.1165182294420888E-2</v>
      </c>
    </row>
    <row r="66" spans="2:4" x14ac:dyDescent="0.45">
      <c r="B66" s="9" t="s">
        <v>217</v>
      </c>
      <c r="C66" s="9" t="s">
        <v>76</v>
      </c>
      <c r="D66" s="13">
        <v>2.1163382499175307E-2</v>
      </c>
    </row>
    <row r="67" spans="2:4" x14ac:dyDescent="0.45">
      <c r="B67" s="8" t="s">
        <v>217</v>
      </c>
      <c r="C67" s="8" t="s">
        <v>77</v>
      </c>
      <c r="D67" s="12">
        <v>2.1158335566010274E-2</v>
      </c>
    </row>
    <row r="68" spans="2:4" x14ac:dyDescent="0.45">
      <c r="B68" s="9" t="s">
        <v>217</v>
      </c>
      <c r="C68" s="9" t="s">
        <v>78</v>
      </c>
      <c r="D68" s="13">
        <v>2.116930381966883E-2</v>
      </c>
    </row>
    <row r="69" spans="2:4" x14ac:dyDescent="0.45">
      <c r="B69" s="8" t="s">
        <v>217</v>
      </c>
      <c r="C69" s="8" t="s">
        <v>79</v>
      </c>
      <c r="D69" s="12">
        <v>2.1171457240373222E-2</v>
      </c>
    </row>
    <row r="70" spans="2:4" x14ac:dyDescent="0.45">
      <c r="B70" s="9" t="s">
        <v>217</v>
      </c>
      <c r="C70" s="9" t="s">
        <v>80</v>
      </c>
      <c r="D70" s="13">
        <v>3.1505410398323129E-2</v>
      </c>
    </row>
    <row r="71" spans="2:4" x14ac:dyDescent="0.45">
      <c r="B71" s="8" t="s">
        <v>217</v>
      </c>
      <c r="C71" s="8" t="s">
        <v>81</v>
      </c>
      <c r="D71" s="12">
        <v>5.1618648108105354E-2</v>
      </c>
    </row>
    <row r="72" spans="2:4" x14ac:dyDescent="0.45">
      <c r="B72" s="9" t="s">
        <v>217</v>
      </c>
      <c r="C72" s="9" t="s">
        <v>82</v>
      </c>
      <c r="D72" s="13">
        <v>2.0741207991368433E-2</v>
      </c>
    </row>
    <row r="73" spans="2:4" x14ac:dyDescent="0.45">
      <c r="B73" s="8" t="s">
        <v>217</v>
      </c>
      <c r="C73" s="8" t="s">
        <v>83</v>
      </c>
      <c r="D73" s="12">
        <v>2.1022357824428184E-2</v>
      </c>
    </row>
    <row r="74" spans="2:4" x14ac:dyDescent="0.45">
      <c r="B74" s="9" t="s">
        <v>217</v>
      </c>
      <c r="C74" s="9" t="s">
        <v>84</v>
      </c>
      <c r="D74" s="13">
        <v>2.1175684662664659E-2</v>
      </c>
    </row>
    <row r="75" spans="2:4" x14ac:dyDescent="0.45">
      <c r="B75" s="8" t="s">
        <v>217</v>
      </c>
      <c r="C75" s="8" t="s">
        <v>85</v>
      </c>
      <c r="D75" s="12">
        <v>2.1193124907307327E-2</v>
      </c>
    </row>
    <row r="76" spans="2:4" x14ac:dyDescent="0.45">
      <c r="B76" s="9" t="s">
        <v>217</v>
      </c>
      <c r="C76" s="9" t="s">
        <v>86</v>
      </c>
      <c r="D76" s="13">
        <v>2.1196929753039922E-2</v>
      </c>
    </row>
    <row r="77" spans="2:4" x14ac:dyDescent="0.45">
      <c r="B77" s="8" t="s">
        <v>217</v>
      </c>
      <c r="C77" s="8" t="s">
        <v>87</v>
      </c>
      <c r="D77" s="12">
        <v>2.1184433227498019E-2</v>
      </c>
    </row>
    <row r="78" spans="2:4" x14ac:dyDescent="0.45">
      <c r="B78" s="9" t="s">
        <v>217</v>
      </c>
      <c r="C78" s="9" t="s">
        <v>88</v>
      </c>
      <c r="D78" s="13">
        <v>2.1179988571855705E-2</v>
      </c>
    </row>
    <row r="79" spans="2:4" x14ac:dyDescent="0.45">
      <c r="B79" s="8" t="s">
        <v>217</v>
      </c>
      <c r="C79" s="8" t="s">
        <v>89</v>
      </c>
      <c r="D79" s="12">
        <v>2.1169124705148507E-2</v>
      </c>
    </row>
    <row r="80" spans="2:4" x14ac:dyDescent="0.45">
      <c r="B80" s="9" t="s">
        <v>217</v>
      </c>
      <c r="C80" s="9" t="s">
        <v>90</v>
      </c>
      <c r="D80" s="13">
        <v>3.14717601869633E-2</v>
      </c>
    </row>
    <row r="81" spans="2:4" x14ac:dyDescent="0.45">
      <c r="B81" s="8" t="s">
        <v>217</v>
      </c>
      <c r="C81" s="8" t="s">
        <v>91</v>
      </c>
      <c r="D81" s="12">
        <v>5.1109664216872415E-2</v>
      </c>
    </row>
    <row r="82" spans="2:4" x14ac:dyDescent="0.45">
      <c r="B82" s="9" t="s">
        <v>217</v>
      </c>
      <c r="C82" s="9" t="s">
        <v>92</v>
      </c>
      <c r="D82" s="13">
        <v>2.0579998821209911E-2</v>
      </c>
    </row>
    <row r="83" spans="2:4" x14ac:dyDescent="0.45">
      <c r="B83" s="8" t="s">
        <v>217</v>
      </c>
      <c r="C83" s="8" t="s">
        <v>93</v>
      </c>
      <c r="D83" s="12">
        <v>2.0826673983918818E-2</v>
      </c>
    </row>
    <row r="84" spans="2:4" x14ac:dyDescent="0.45">
      <c r="B84" s="9" t="s">
        <v>217</v>
      </c>
      <c r="C84" s="9" t="s">
        <v>94</v>
      </c>
      <c r="D84" s="13">
        <v>2.0928589075725063E-2</v>
      </c>
    </row>
    <row r="85" spans="2:4" x14ac:dyDescent="0.45">
      <c r="B85" s="8" t="s">
        <v>217</v>
      </c>
      <c r="C85" s="8" t="s">
        <v>95</v>
      </c>
      <c r="D85" s="12">
        <v>2.0933637768220732E-2</v>
      </c>
    </row>
    <row r="86" spans="2:4" x14ac:dyDescent="0.45">
      <c r="B86" s="9" t="s">
        <v>217</v>
      </c>
      <c r="C86" s="9" t="s">
        <v>96</v>
      </c>
      <c r="D86" s="13">
        <v>2.093096182631601E-2</v>
      </c>
    </row>
    <row r="87" spans="2:4" x14ac:dyDescent="0.45">
      <c r="B87" s="8" t="s">
        <v>217</v>
      </c>
      <c r="C87" s="8" t="s">
        <v>97</v>
      </c>
      <c r="D87" s="12">
        <v>2.0923764991107874E-2</v>
      </c>
    </row>
    <row r="88" spans="2:4" x14ac:dyDescent="0.45">
      <c r="B88" s="9" t="s">
        <v>217</v>
      </c>
      <c r="C88" s="9" t="s">
        <v>98</v>
      </c>
      <c r="D88" s="13">
        <v>2.0939113978062127E-2</v>
      </c>
    </row>
    <row r="89" spans="2:4" x14ac:dyDescent="0.45">
      <c r="B89" s="8" t="s">
        <v>217</v>
      </c>
      <c r="C89" s="8" t="s">
        <v>99</v>
      </c>
      <c r="D89" s="12">
        <v>2.09395895837787E-2</v>
      </c>
    </row>
    <row r="90" spans="2:4" x14ac:dyDescent="0.45">
      <c r="B90" s="9" t="s">
        <v>217</v>
      </c>
      <c r="C90" s="9" t="s">
        <v>100</v>
      </c>
      <c r="D90" s="13">
        <v>3.1157188140186403E-2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6DAD-5D92-4AF5-BD5E-ECC22E00306A}">
  <dimension ref="A1:H50"/>
  <sheetViews>
    <sheetView workbookViewId="0">
      <selection sqref="A1:H1"/>
    </sheetView>
  </sheetViews>
  <sheetFormatPr defaultRowHeight="14.25" x14ac:dyDescent="0.45"/>
  <cols>
    <col min="2" max="2" width="10.59765625" bestFit="1" customWidth="1"/>
    <col min="3" max="4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IF(A11="x","DeActivated","~TFM_DINS-AT")</f>
        <v>~TFM_DINS-AT</v>
      </c>
    </row>
    <row r="10" spans="1:8" ht="15.75" thickBot="1" x14ac:dyDescent="0.6">
      <c r="B10" s="7" t="s">
        <v>55</v>
      </c>
      <c r="C10" s="7" t="s">
        <v>56</v>
      </c>
      <c r="D10" s="7" t="s">
        <v>218</v>
      </c>
    </row>
    <row r="11" spans="1:8" x14ac:dyDescent="0.45">
      <c r="B11" s="8" t="s">
        <v>12</v>
      </c>
      <c r="C11" s="8" t="s">
        <v>60</v>
      </c>
      <c r="D11" s="12">
        <v>0.1018748514771779</v>
      </c>
    </row>
    <row r="12" spans="1:8" x14ac:dyDescent="0.45">
      <c r="B12" s="9" t="s">
        <v>12</v>
      </c>
      <c r="C12" s="9" t="s">
        <v>62</v>
      </c>
      <c r="D12" s="13">
        <v>0.16639210356716538</v>
      </c>
    </row>
    <row r="13" spans="1:8" x14ac:dyDescent="0.45">
      <c r="B13" s="8" t="s">
        <v>12</v>
      </c>
      <c r="C13" s="8" t="s">
        <v>63</v>
      </c>
      <c r="D13" s="12">
        <v>0.10325936861860541</v>
      </c>
    </row>
    <row r="14" spans="1:8" x14ac:dyDescent="0.45">
      <c r="B14" s="9" t="s">
        <v>12</v>
      </c>
      <c r="C14" s="9" t="s">
        <v>64</v>
      </c>
      <c r="D14" s="13">
        <v>8.1868155950799659E-2</v>
      </c>
    </row>
    <row r="15" spans="1:8" x14ac:dyDescent="0.45">
      <c r="B15" s="8" t="s">
        <v>12</v>
      </c>
      <c r="C15" s="8" t="s">
        <v>65</v>
      </c>
      <c r="D15" s="12">
        <v>6.5958581927505699E-2</v>
      </c>
    </row>
    <row r="16" spans="1:8" x14ac:dyDescent="0.45">
      <c r="B16" s="9" t="s">
        <v>12</v>
      </c>
      <c r="C16" s="9" t="s">
        <v>66</v>
      </c>
      <c r="D16" s="13">
        <v>6.4006294775290629E-2</v>
      </c>
    </row>
    <row r="17" spans="2:4" x14ac:dyDescent="0.45">
      <c r="B17" s="8" t="s">
        <v>12</v>
      </c>
      <c r="C17" s="8" t="s">
        <v>67</v>
      </c>
      <c r="D17" s="12">
        <v>6.4196521725885969E-2</v>
      </c>
    </row>
    <row r="18" spans="2:4" x14ac:dyDescent="0.45">
      <c r="B18" s="9" t="s">
        <v>12</v>
      </c>
      <c r="C18" s="9" t="s">
        <v>68</v>
      </c>
      <c r="D18" s="13">
        <v>5.9151060625885377E-2</v>
      </c>
    </row>
    <row r="19" spans="2:4" x14ac:dyDescent="0.45">
      <c r="B19" s="8" t="s">
        <v>12</v>
      </c>
      <c r="C19" s="8" t="s">
        <v>69</v>
      </c>
      <c r="D19" s="12">
        <v>6.0516841290692902E-2</v>
      </c>
    </row>
    <row r="20" spans="2:4" x14ac:dyDescent="0.45">
      <c r="B20" s="9" t="s">
        <v>12</v>
      </c>
      <c r="C20" s="9" t="s">
        <v>70</v>
      </c>
      <c r="D20" s="13">
        <v>0.11090757802026507</v>
      </c>
    </row>
    <row r="21" spans="2:4" x14ac:dyDescent="0.45">
      <c r="B21" s="8" t="s">
        <v>12</v>
      </c>
      <c r="C21" s="8" t="s">
        <v>71</v>
      </c>
      <c r="D21" s="12">
        <v>0.12497535727614606</v>
      </c>
    </row>
    <row r="22" spans="2:4" x14ac:dyDescent="0.45">
      <c r="B22" s="9" t="s">
        <v>12</v>
      </c>
      <c r="C22" s="9" t="s">
        <v>72</v>
      </c>
      <c r="D22" s="13">
        <v>0.21115984389306797</v>
      </c>
    </row>
    <row r="23" spans="2:4" x14ac:dyDescent="0.45">
      <c r="B23" s="8" t="s">
        <v>12</v>
      </c>
      <c r="C23" s="8" t="s">
        <v>73</v>
      </c>
      <c r="D23" s="12">
        <v>0.15111336910323292</v>
      </c>
    </row>
    <row r="24" spans="2:4" x14ac:dyDescent="0.45">
      <c r="B24" s="9" t="s">
        <v>12</v>
      </c>
      <c r="C24" s="9" t="s">
        <v>74</v>
      </c>
      <c r="D24" s="13">
        <v>9.6801264120474073E-2</v>
      </c>
    </row>
    <row r="25" spans="2:4" x14ac:dyDescent="0.45">
      <c r="B25" s="8" t="s">
        <v>12</v>
      </c>
      <c r="C25" s="8" t="s">
        <v>75</v>
      </c>
      <c r="D25" s="12">
        <v>9.5431406395979357E-2</v>
      </c>
    </row>
    <row r="26" spans="2:4" x14ac:dyDescent="0.45">
      <c r="B26" s="9" t="s">
        <v>12</v>
      </c>
      <c r="C26" s="9" t="s">
        <v>76</v>
      </c>
      <c r="D26" s="13">
        <v>9.5968552581106925E-2</v>
      </c>
    </row>
    <row r="27" spans="2:4" x14ac:dyDescent="0.45">
      <c r="B27" s="8" t="s">
        <v>12</v>
      </c>
      <c r="C27" s="8" t="s">
        <v>77</v>
      </c>
      <c r="D27" s="12">
        <v>9.9945357531769918E-2</v>
      </c>
    </row>
    <row r="28" spans="2:4" x14ac:dyDescent="0.45">
      <c r="B28" s="9" t="s">
        <v>12</v>
      </c>
      <c r="C28" s="9" t="s">
        <v>78</v>
      </c>
      <c r="D28" s="13">
        <v>9.7197688050016717E-2</v>
      </c>
    </row>
    <row r="29" spans="2:4" x14ac:dyDescent="0.45">
      <c r="B29" s="8" t="s">
        <v>12</v>
      </c>
      <c r="C29" s="8" t="s">
        <v>79</v>
      </c>
      <c r="D29" s="12">
        <v>9.5303108119617397E-2</v>
      </c>
    </row>
    <row r="30" spans="2:4" x14ac:dyDescent="0.45">
      <c r="B30" s="9" t="s">
        <v>12</v>
      </c>
      <c r="C30" s="9" t="s">
        <v>80</v>
      </c>
      <c r="D30" s="13">
        <v>0.18045987624447091</v>
      </c>
    </row>
    <row r="31" spans="2:4" x14ac:dyDescent="0.45">
      <c r="B31" s="8" t="s">
        <v>12</v>
      </c>
      <c r="C31" s="8" t="s">
        <v>81</v>
      </c>
      <c r="D31" s="12">
        <v>0.24617098360081391</v>
      </c>
    </row>
    <row r="32" spans="2:4" x14ac:dyDescent="0.45">
      <c r="B32" s="9" t="s">
        <v>12</v>
      </c>
      <c r="C32" s="9" t="s">
        <v>82</v>
      </c>
      <c r="D32" s="13">
        <v>0.16824638157533234</v>
      </c>
    </row>
    <row r="33" spans="2:4" x14ac:dyDescent="0.45">
      <c r="B33" s="8" t="s">
        <v>12</v>
      </c>
      <c r="C33" s="8" t="s">
        <v>83</v>
      </c>
      <c r="D33" s="12">
        <v>0.15277016758505901</v>
      </c>
    </row>
    <row r="34" spans="2:4" x14ac:dyDescent="0.45">
      <c r="B34" s="9" t="s">
        <v>12</v>
      </c>
      <c r="C34" s="9" t="s">
        <v>84</v>
      </c>
      <c r="D34" s="13">
        <v>0.10160422093671806</v>
      </c>
    </row>
    <row r="35" spans="2:4" x14ac:dyDescent="0.45">
      <c r="B35" s="8" t="s">
        <v>12</v>
      </c>
      <c r="C35" s="8" t="s">
        <v>85</v>
      </c>
      <c r="D35" s="12">
        <v>9.6530601482020195E-2</v>
      </c>
    </row>
    <row r="36" spans="2:4" x14ac:dyDescent="0.45">
      <c r="B36" s="9" t="s">
        <v>12</v>
      </c>
      <c r="C36" s="9" t="s">
        <v>86</v>
      </c>
      <c r="D36" s="13">
        <v>9.4648439845909316E-2</v>
      </c>
    </row>
    <row r="37" spans="2:4" x14ac:dyDescent="0.45">
      <c r="B37" s="8" t="s">
        <v>12</v>
      </c>
      <c r="C37" s="8" t="s">
        <v>87</v>
      </c>
      <c r="D37" s="12">
        <v>8.2985902512197729E-2</v>
      </c>
    </row>
    <row r="38" spans="2:4" x14ac:dyDescent="0.45">
      <c r="B38" s="9" t="s">
        <v>12</v>
      </c>
      <c r="C38" s="9" t="s">
        <v>88</v>
      </c>
      <c r="D38" s="13">
        <v>7.5608583715701894E-2</v>
      </c>
    </row>
    <row r="39" spans="2:4" x14ac:dyDescent="0.45">
      <c r="B39" s="8" t="s">
        <v>12</v>
      </c>
      <c r="C39" s="8" t="s">
        <v>89</v>
      </c>
      <c r="D39" s="12">
        <v>8.0848496344748222E-2</v>
      </c>
    </row>
    <row r="40" spans="2:4" x14ac:dyDescent="0.45">
      <c r="B40" s="9" t="s">
        <v>12</v>
      </c>
      <c r="C40" s="9" t="s">
        <v>90</v>
      </c>
      <c r="D40" s="13">
        <v>0.15886287331349846</v>
      </c>
    </row>
    <row r="41" spans="2:4" x14ac:dyDescent="0.45">
      <c r="B41" s="8" t="s">
        <v>12</v>
      </c>
      <c r="C41" s="8" t="s">
        <v>91</v>
      </c>
      <c r="D41" s="12">
        <v>0.11298134537303506</v>
      </c>
    </row>
    <row r="42" spans="2:4" x14ac:dyDescent="0.45">
      <c r="B42" s="9" t="s">
        <v>12</v>
      </c>
      <c r="C42" s="9" t="s">
        <v>92</v>
      </c>
      <c r="D42" s="13">
        <v>0.19541311640415748</v>
      </c>
    </row>
    <row r="43" spans="2:4" x14ac:dyDescent="0.45">
      <c r="B43" s="8" t="s">
        <v>12</v>
      </c>
      <c r="C43" s="8" t="s">
        <v>93</v>
      </c>
      <c r="D43" s="12">
        <v>0.1138568600274954</v>
      </c>
    </row>
    <row r="44" spans="2:4" x14ac:dyDescent="0.45">
      <c r="B44" s="9" t="s">
        <v>12</v>
      </c>
      <c r="C44" s="9" t="s">
        <v>94</v>
      </c>
      <c r="D44" s="13">
        <v>5.1457745532715204E-2</v>
      </c>
    </row>
    <row r="45" spans="2:4" x14ac:dyDescent="0.45">
      <c r="B45" s="8" t="s">
        <v>12</v>
      </c>
      <c r="C45" s="8" t="s">
        <v>95</v>
      </c>
      <c r="D45" s="12">
        <v>4.8317920242786139E-2</v>
      </c>
    </row>
    <row r="46" spans="2:4" x14ac:dyDescent="0.45">
      <c r="B46" s="9" t="s">
        <v>12</v>
      </c>
      <c r="C46" s="9" t="s">
        <v>96</v>
      </c>
      <c r="D46" s="13">
        <v>5.2022279291598528E-2</v>
      </c>
    </row>
    <row r="47" spans="2:4" x14ac:dyDescent="0.45">
      <c r="B47" s="8" t="s">
        <v>12</v>
      </c>
      <c r="C47" s="8" t="s">
        <v>97</v>
      </c>
      <c r="D47" s="12">
        <v>5.4162875444740743E-2</v>
      </c>
    </row>
    <row r="48" spans="2:4" x14ac:dyDescent="0.45">
      <c r="B48" s="9" t="s">
        <v>12</v>
      </c>
      <c r="C48" s="9" t="s">
        <v>98</v>
      </c>
      <c r="D48" s="13">
        <v>4.818309224153694E-2</v>
      </c>
    </row>
    <row r="49" spans="2:4" x14ac:dyDescent="0.45">
      <c r="B49" s="8" t="s">
        <v>12</v>
      </c>
      <c r="C49" s="8" t="s">
        <v>99</v>
      </c>
      <c r="D49" s="12">
        <v>5.0278970293577308E-2</v>
      </c>
    </row>
    <row r="50" spans="2:4" x14ac:dyDescent="0.45">
      <c r="B50" s="9" t="s">
        <v>12</v>
      </c>
      <c r="C50" s="9" t="s">
        <v>100</v>
      </c>
      <c r="D50" s="13">
        <v>0.11528227675702185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C3A4F-C68D-459E-AA0D-249B4E8EF73A}">
  <dimension ref="A1:H126"/>
  <sheetViews>
    <sheetView tabSelected="1" workbookViewId="0"/>
  </sheetViews>
  <sheetFormatPr defaultRowHeight="14.25" x14ac:dyDescent="0.45"/>
  <cols>
    <col min="2" max="5" width="10.59765625" customWidth="1"/>
  </cols>
  <sheetData>
    <row r="1" spans="1:8" ht="22.05" customHeight="1" x14ac:dyDescent="0.45">
      <c r="A1" s="17" t="s">
        <v>53</v>
      </c>
      <c r="B1" s="17"/>
      <c r="C1" s="17"/>
      <c r="D1" s="17"/>
      <c r="E1" s="17"/>
      <c r="F1" s="17"/>
      <c r="G1" s="17"/>
      <c r="H1" s="17"/>
    </row>
    <row r="9" spans="1:8" ht="14.65" thickBot="1" x14ac:dyDescent="0.5">
      <c r="B9" s="6" t="str">
        <f>IF(A11="x","DeActivated","~TFM_INS-AT")</f>
        <v>~TFM_INS-AT</v>
      </c>
    </row>
    <row r="10" spans="1:8" ht="15.75" thickBot="1" x14ac:dyDescent="0.6">
      <c r="B10" s="18" t="s">
        <v>219</v>
      </c>
      <c r="C10" s="18" t="s">
        <v>56</v>
      </c>
      <c r="D10" s="18" t="s">
        <v>220</v>
      </c>
      <c r="E10" s="18" t="s">
        <v>221</v>
      </c>
    </row>
    <row r="11" spans="1:8" x14ac:dyDescent="0.45">
      <c r="B11" s="19">
        <v>2020</v>
      </c>
      <c r="C11" s="20" t="s">
        <v>37</v>
      </c>
      <c r="D11" s="21">
        <v>0.1928</v>
      </c>
      <c r="E11" s="20" t="s">
        <v>222</v>
      </c>
    </row>
    <row r="12" spans="1:8" x14ac:dyDescent="0.45">
      <c r="B12" s="22">
        <v>2020</v>
      </c>
      <c r="C12" s="23" t="s">
        <v>41</v>
      </c>
      <c r="D12" s="24">
        <v>0.17526666666666668</v>
      </c>
      <c r="E12" s="23" t="s">
        <v>222</v>
      </c>
    </row>
    <row r="13" spans="1:8" x14ac:dyDescent="0.45">
      <c r="B13" s="19">
        <v>2020</v>
      </c>
      <c r="C13" s="20" t="s">
        <v>43</v>
      </c>
      <c r="D13" s="21">
        <v>0.19456666666666667</v>
      </c>
      <c r="E13" s="20" t="s">
        <v>222</v>
      </c>
    </row>
    <row r="14" spans="1:8" x14ac:dyDescent="0.45">
      <c r="B14" s="22">
        <v>2020</v>
      </c>
      <c r="C14" s="23" t="s">
        <v>45</v>
      </c>
      <c r="D14" s="24">
        <v>0.19109999999999996</v>
      </c>
      <c r="E14" s="23" t="s">
        <v>222</v>
      </c>
    </row>
    <row r="15" spans="1:8" x14ac:dyDescent="0.45">
      <c r="B15" s="19">
        <v>2021</v>
      </c>
      <c r="C15" s="20" t="s">
        <v>37</v>
      </c>
      <c r="D15" s="21">
        <v>0.20653333333333332</v>
      </c>
      <c r="E15" s="20" t="s">
        <v>222</v>
      </c>
    </row>
    <row r="16" spans="1:8" x14ac:dyDescent="0.45">
      <c r="B16" s="22">
        <v>2021</v>
      </c>
      <c r="C16" s="23" t="s">
        <v>41</v>
      </c>
      <c r="D16" s="24">
        <v>0.28960000000000002</v>
      </c>
      <c r="E16" s="23" t="s">
        <v>222</v>
      </c>
    </row>
    <row r="17" spans="2:5" x14ac:dyDescent="0.45">
      <c r="B17" s="19">
        <v>2021</v>
      </c>
      <c r="C17" s="20" t="s">
        <v>43</v>
      </c>
      <c r="D17" s="21">
        <v>0.17736666666666667</v>
      </c>
      <c r="E17" s="20" t="s">
        <v>222</v>
      </c>
    </row>
    <row r="18" spans="2:5" x14ac:dyDescent="0.45">
      <c r="B18" s="22">
        <v>2021</v>
      </c>
      <c r="C18" s="23" t="s">
        <v>45</v>
      </c>
      <c r="D18" s="24">
        <v>0.18889999999999998</v>
      </c>
      <c r="E18" s="23" t="s">
        <v>222</v>
      </c>
    </row>
    <row r="19" spans="2:5" x14ac:dyDescent="0.45">
      <c r="B19" s="19">
        <v>2022</v>
      </c>
      <c r="C19" s="20" t="s">
        <v>37</v>
      </c>
      <c r="D19" s="21">
        <v>0.23840000000000003</v>
      </c>
      <c r="E19" s="20" t="s">
        <v>222</v>
      </c>
    </row>
    <row r="20" spans="2:5" x14ac:dyDescent="0.45">
      <c r="B20" s="22">
        <v>2022</v>
      </c>
      <c r="C20" s="23" t="s">
        <v>41</v>
      </c>
      <c r="D20" s="24">
        <v>0.23149999999999996</v>
      </c>
      <c r="E20" s="23" t="s">
        <v>222</v>
      </c>
    </row>
    <row r="21" spans="2:5" x14ac:dyDescent="0.45">
      <c r="B21" s="19">
        <v>2022</v>
      </c>
      <c r="C21" s="20" t="s">
        <v>43</v>
      </c>
      <c r="D21" s="21">
        <v>0.12036666666666666</v>
      </c>
      <c r="E21" s="20" t="s">
        <v>222</v>
      </c>
    </row>
    <row r="22" spans="2:5" x14ac:dyDescent="0.45">
      <c r="B22" s="22">
        <v>2022</v>
      </c>
      <c r="C22" s="23" t="s">
        <v>45</v>
      </c>
      <c r="D22" s="24">
        <v>0.13536666666666666</v>
      </c>
      <c r="E22" s="23" t="s">
        <v>222</v>
      </c>
    </row>
    <row r="23" spans="2:5" x14ac:dyDescent="0.45">
      <c r="B23" s="19">
        <v>2025</v>
      </c>
      <c r="C23" s="20" t="s">
        <v>37</v>
      </c>
      <c r="D23" s="21">
        <v>0.32003333333333334</v>
      </c>
      <c r="E23" s="20" t="s">
        <v>222</v>
      </c>
    </row>
    <row r="24" spans="2:5" x14ac:dyDescent="0.45">
      <c r="B24" s="22">
        <v>2025</v>
      </c>
      <c r="C24" s="23" t="s">
        <v>41</v>
      </c>
      <c r="D24" s="24">
        <v>0.32726666666666665</v>
      </c>
      <c r="E24" s="23" t="s">
        <v>222</v>
      </c>
    </row>
    <row r="25" spans="2:5" x14ac:dyDescent="0.45">
      <c r="B25" s="19">
        <v>2025</v>
      </c>
      <c r="C25" s="20" t="s">
        <v>43</v>
      </c>
      <c r="D25" s="21">
        <v>0.24466666666666667</v>
      </c>
      <c r="E25" s="20" t="s">
        <v>222</v>
      </c>
    </row>
    <row r="26" spans="2:5" x14ac:dyDescent="0.45">
      <c r="B26" s="22">
        <v>2025</v>
      </c>
      <c r="C26" s="23" t="s">
        <v>45</v>
      </c>
      <c r="D26" s="24">
        <v>0.23916666666666667</v>
      </c>
      <c r="E26" s="23" t="s">
        <v>222</v>
      </c>
    </row>
    <row r="27" spans="2:5" x14ac:dyDescent="0.45">
      <c r="B27" s="19">
        <v>2026</v>
      </c>
      <c r="C27" s="20" t="s">
        <v>37</v>
      </c>
      <c r="D27" s="21">
        <v>0.34260000000000002</v>
      </c>
      <c r="E27" s="20" t="s">
        <v>222</v>
      </c>
    </row>
    <row r="28" spans="2:5" x14ac:dyDescent="0.45">
      <c r="B28" s="22">
        <v>2026</v>
      </c>
      <c r="C28" s="23" t="s">
        <v>41</v>
      </c>
      <c r="D28" s="24">
        <v>0.37166666666666665</v>
      </c>
      <c r="E28" s="23" t="s">
        <v>222</v>
      </c>
    </row>
    <row r="29" spans="2:5" x14ac:dyDescent="0.45">
      <c r="B29" s="19">
        <v>2026</v>
      </c>
      <c r="C29" s="20" t="s">
        <v>43</v>
      </c>
      <c r="D29" s="21">
        <v>0.25059999999999999</v>
      </c>
      <c r="E29" s="20" t="s">
        <v>222</v>
      </c>
    </row>
    <row r="30" spans="2:5" x14ac:dyDescent="0.45">
      <c r="B30" s="22">
        <v>2026</v>
      </c>
      <c r="C30" s="23" t="s">
        <v>45</v>
      </c>
      <c r="D30" s="24">
        <v>0.25303333333333333</v>
      </c>
      <c r="E30" s="23" t="s">
        <v>222</v>
      </c>
    </row>
    <row r="31" spans="2:5" x14ac:dyDescent="0.45">
      <c r="B31" s="19">
        <v>2027</v>
      </c>
      <c r="C31" s="20" t="s">
        <v>37</v>
      </c>
      <c r="D31" s="21">
        <v>0.29649999999999999</v>
      </c>
      <c r="E31" s="20" t="s">
        <v>222</v>
      </c>
    </row>
    <row r="32" spans="2:5" x14ac:dyDescent="0.45">
      <c r="B32" s="22">
        <v>2027</v>
      </c>
      <c r="C32" s="23" t="s">
        <v>41</v>
      </c>
      <c r="D32" s="24">
        <v>0.30259999999999998</v>
      </c>
      <c r="E32" s="23" t="s">
        <v>222</v>
      </c>
    </row>
    <row r="33" spans="2:5" x14ac:dyDescent="0.45">
      <c r="B33" s="19">
        <v>2027</v>
      </c>
      <c r="C33" s="20" t="s">
        <v>43</v>
      </c>
      <c r="D33" s="21">
        <v>0.18333333333333335</v>
      </c>
      <c r="E33" s="20" t="s">
        <v>222</v>
      </c>
    </row>
    <row r="34" spans="2:5" x14ac:dyDescent="0.45">
      <c r="B34" s="22">
        <v>2027</v>
      </c>
      <c r="C34" s="23" t="s">
        <v>45</v>
      </c>
      <c r="D34" s="24">
        <v>0.2286</v>
      </c>
      <c r="E34" s="23" t="s">
        <v>222</v>
      </c>
    </row>
    <row r="35" spans="2:5" x14ac:dyDescent="0.45">
      <c r="B35" s="19">
        <v>2028</v>
      </c>
      <c r="C35" s="20" t="s">
        <v>37</v>
      </c>
      <c r="D35" s="21">
        <v>0.28813333333333335</v>
      </c>
      <c r="E35" s="20" t="s">
        <v>222</v>
      </c>
    </row>
    <row r="36" spans="2:5" x14ac:dyDescent="0.45">
      <c r="B36" s="22">
        <v>2028</v>
      </c>
      <c r="C36" s="23" t="s">
        <v>41</v>
      </c>
      <c r="D36" s="24">
        <v>0.32773333333333332</v>
      </c>
      <c r="E36" s="23" t="s">
        <v>222</v>
      </c>
    </row>
    <row r="37" spans="2:5" x14ac:dyDescent="0.45">
      <c r="B37" s="19">
        <v>2028</v>
      </c>
      <c r="C37" s="20" t="s">
        <v>43</v>
      </c>
      <c r="D37" s="21">
        <v>0.18840000000000001</v>
      </c>
      <c r="E37" s="20" t="s">
        <v>222</v>
      </c>
    </row>
    <row r="38" spans="2:5" x14ac:dyDescent="0.45">
      <c r="B38" s="22">
        <v>2028</v>
      </c>
      <c r="C38" s="23" t="s">
        <v>45</v>
      </c>
      <c r="D38" s="24">
        <v>0.20659999999999998</v>
      </c>
      <c r="E38" s="23" t="s">
        <v>222</v>
      </c>
    </row>
    <row r="39" spans="2:5" x14ac:dyDescent="0.45">
      <c r="B39" s="19">
        <v>2029</v>
      </c>
      <c r="C39" s="20" t="s">
        <v>37</v>
      </c>
      <c r="D39" s="21">
        <v>0.30890000000000001</v>
      </c>
      <c r="E39" s="20" t="s">
        <v>222</v>
      </c>
    </row>
    <row r="40" spans="2:5" x14ac:dyDescent="0.45">
      <c r="B40" s="22">
        <v>2029</v>
      </c>
      <c r="C40" s="23" t="s">
        <v>41</v>
      </c>
      <c r="D40" s="24">
        <v>0.3382</v>
      </c>
      <c r="E40" s="23" t="s">
        <v>222</v>
      </c>
    </row>
    <row r="41" spans="2:5" x14ac:dyDescent="0.45">
      <c r="B41" s="19">
        <v>2029</v>
      </c>
      <c r="C41" s="20" t="s">
        <v>43</v>
      </c>
      <c r="D41" s="21">
        <v>0.19136666666666668</v>
      </c>
      <c r="E41" s="20" t="s">
        <v>222</v>
      </c>
    </row>
    <row r="42" spans="2:5" x14ac:dyDescent="0.45">
      <c r="B42" s="22">
        <v>2029</v>
      </c>
      <c r="C42" s="23" t="s">
        <v>45</v>
      </c>
      <c r="D42" s="24">
        <v>0.29533333333333339</v>
      </c>
      <c r="E42" s="23" t="s">
        <v>222</v>
      </c>
    </row>
    <row r="43" spans="2:5" x14ac:dyDescent="0.45">
      <c r="B43" s="19">
        <v>2030</v>
      </c>
      <c r="C43" s="20" t="s">
        <v>37</v>
      </c>
      <c r="D43" s="21">
        <v>0.31983333333333336</v>
      </c>
      <c r="E43" s="20" t="s">
        <v>222</v>
      </c>
    </row>
    <row r="44" spans="2:5" x14ac:dyDescent="0.45">
      <c r="B44" s="22">
        <v>2030</v>
      </c>
      <c r="C44" s="23" t="s">
        <v>41</v>
      </c>
      <c r="D44" s="24">
        <v>0.34233333333333332</v>
      </c>
      <c r="E44" s="23" t="s">
        <v>222</v>
      </c>
    </row>
    <row r="45" spans="2:5" x14ac:dyDescent="0.45">
      <c r="B45" s="19">
        <v>2030</v>
      </c>
      <c r="C45" s="20" t="s">
        <v>43</v>
      </c>
      <c r="D45" s="21">
        <v>0.20220000000000002</v>
      </c>
      <c r="E45" s="20" t="s">
        <v>222</v>
      </c>
    </row>
    <row r="46" spans="2:5" x14ac:dyDescent="0.45">
      <c r="B46" s="22">
        <v>2030</v>
      </c>
      <c r="C46" s="23" t="s">
        <v>45</v>
      </c>
      <c r="D46" s="24">
        <v>0.22879999999999998</v>
      </c>
      <c r="E46" s="23" t="s">
        <v>222</v>
      </c>
    </row>
    <row r="47" spans="2:5" x14ac:dyDescent="0.45">
      <c r="B47" s="19">
        <v>2031</v>
      </c>
      <c r="C47" s="20" t="s">
        <v>37</v>
      </c>
      <c r="D47" s="21">
        <v>0.30259999999999998</v>
      </c>
      <c r="E47" s="20" t="s">
        <v>222</v>
      </c>
    </row>
    <row r="48" spans="2:5" x14ac:dyDescent="0.45">
      <c r="B48" s="22">
        <v>2031</v>
      </c>
      <c r="C48" s="23" t="s">
        <v>41</v>
      </c>
      <c r="D48" s="24">
        <v>0.30776666666666669</v>
      </c>
      <c r="E48" s="23" t="s">
        <v>222</v>
      </c>
    </row>
    <row r="49" spans="2:5" x14ac:dyDescent="0.45">
      <c r="B49" s="19">
        <v>2031</v>
      </c>
      <c r="C49" s="20" t="s">
        <v>43</v>
      </c>
      <c r="D49" s="21">
        <v>0.19779999999999998</v>
      </c>
      <c r="E49" s="20" t="s">
        <v>222</v>
      </c>
    </row>
    <row r="50" spans="2:5" x14ac:dyDescent="0.45">
      <c r="B50" s="22">
        <v>2031</v>
      </c>
      <c r="C50" s="23" t="s">
        <v>45</v>
      </c>
      <c r="D50" s="24">
        <v>0.24779999999999999</v>
      </c>
      <c r="E50" s="23" t="s">
        <v>222</v>
      </c>
    </row>
    <row r="51" spans="2:5" x14ac:dyDescent="0.45">
      <c r="B51" s="19">
        <v>2032</v>
      </c>
      <c r="C51" s="20" t="s">
        <v>37</v>
      </c>
      <c r="D51" s="21">
        <v>0.31676666666666664</v>
      </c>
      <c r="E51" s="20" t="s">
        <v>222</v>
      </c>
    </row>
    <row r="52" spans="2:5" x14ac:dyDescent="0.45">
      <c r="B52" s="22">
        <v>2032</v>
      </c>
      <c r="C52" s="23" t="s">
        <v>41</v>
      </c>
      <c r="D52" s="24">
        <v>0.3227666666666667</v>
      </c>
      <c r="E52" s="23" t="s">
        <v>222</v>
      </c>
    </row>
    <row r="53" spans="2:5" x14ac:dyDescent="0.45">
      <c r="B53" s="19">
        <v>2032</v>
      </c>
      <c r="C53" s="20" t="s">
        <v>43</v>
      </c>
      <c r="D53" s="21">
        <v>0.22673333333333334</v>
      </c>
      <c r="E53" s="20" t="s">
        <v>222</v>
      </c>
    </row>
    <row r="54" spans="2:5" x14ac:dyDescent="0.45">
      <c r="B54" s="22">
        <v>2032</v>
      </c>
      <c r="C54" s="23" t="s">
        <v>45</v>
      </c>
      <c r="D54" s="24">
        <v>0.22766666666666668</v>
      </c>
      <c r="E54" s="23" t="s">
        <v>222</v>
      </c>
    </row>
    <row r="55" spans="2:5" x14ac:dyDescent="0.45">
      <c r="B55" s="19">
        <v>2033</v>
      </c>
      <c r="C55" s="20" t="s">
        <v>37</v>
      </c>
      <c r="D55" s="21">
        <v>0.29386666666666666</v>
      </c>
      <c r="E55" s="20" t="s">
        <v>222</v>
      </c>
    </row>
    <row r="56" spans="2:5" x14ac:dyDescent="0.45">
      <c r="B56" s="22">
        <v>2033</v>
      </c>
      <c r="C56" s="23" t="s">
        <v>41</v>
      </c>
      <c r="D56" s="24">
        <v>0.34999999999999992</v>
      </c>
      <c r="E56" s="23" t="s">
        <v>222</v>
      </c>
    </row>
    <row r="57" spans="2:5" x14ac:dyDescent="0.45">
      <c r="B57" s="19">
        <v>2033</v>
      </c>
      <c r="C57" s="20" t="s">
        <v>43</v>
      </c>
      <c r="D57" s="21">
        <v>0.18733333333333332</v>
      </c>
      <c r="E57" s="20" t="s">
        <v>222</v>
      </c>
    </row>
    <row r="58" spans="2:5" x14ac:dyDescent="0.45">
      <c r="B58" s="22">
        <v>2033</v>
      </c>
      <c r="C58" s="23" t="s">
        <v>45</v>
      </c>
      <c r="D58" s="24">
        <v>0.20950000000000002</v>
      </c>
      <c r="E58" s="23" t="s">
        <v>222</v>
      </c>
    </row>
    <row r="59" spans="2:5" x14ac:dyDescent="0.45">
      <c r="B59" s="19">
        <v>2034</v>
      </c>
      <c r="C59" s="20" t="s">
        <v>37</v>
      </c>
      <c r="D59" s="21">
        <v>0.29860000000000003</v>
      </c>
      <c r="E59" s="20" t="s">
        <v>222</v>
      </c>
    </row>
    <row r="60" spans="2:5" x14ac:dyDescent="0.45">
      <c r="B60" s="22">
        <v>2034</v>
      </c>
      <c r="C60" s="23" t="s">
        <v>41</v>
      </c>
      <c r="D60" s="24">
        <v>0.33856666666666668</v>
      </c>
      <c r="E60" s="23" t="s">
        <v>222</v>
      </c>
    </row>
    <row r="61" spans="2:5" x14ac:dyDescent="0.45">
      <c r="B61" s="19">
        <v>2034</v>
      </c>
      <c r="C61" s="20" t="s">
        <v>43</v>
      </c>
      <c r="D61" s="21">
        <v>0.20516666666666664</v>
      </c>
      <c r="E61" s="20" t="s">
        <v>222</v>
      </c>
    </row>
    <row r="62" spans="2:5" x14ac:dyDescent="0.45">
      <c r="B62" s="22">
        <v>2034</v>
      </c>
      <c r="C62" s="23" t="s">
        <v>45</v>
      </c>
      <c r="D62" s="24">
        <v>0.21740000000000001</v>
      </c>
      <c r="E62" s="23" t="s">
        <v>222</v>
      </c>
    </row>
    <row r="63" spans="2:5" x14ac:dyDescent="0.45">
      <c r="B63" s="19">
        <v>2035</v>
      </c>
      <c r="C63" s="20" t="s">
        <v>37</v>
      </c>
      <c r="D63" s="21">
        <v>0.30656666666666665</v>
      </c>
      <c r="E63" s="20" t="s">
        <v>222</v>
      </c>
    </row>
    <row r="64" spans="2:5" x14ac:dyDescent="0.45">
      <c r="B64" s="22">
        <v>2035</v>
      </c>
      <c r="C64" s="23" t="s">
        <v>41</v>
      </c>
      <c r="D64" s="24">
        <v>0.3297666666666666</v>
      </c>
      <c r="E64" s="23" t="s">
        <v>222</v>
      </c>
    </row>
    <row r="65" spans="2:5" x14ac:dyDescent="0.45">
      <c r="B65" s="19">
        <v>2035</v>
      </c>
      <c r="C65" s="20" t="s">
        <v>43</v>
      </c>
      <c r="D65" s="21">
        <v>0.20076666666666668</v>
      </c>
      <c r="E65" s="20" t="s">
        <v>222</v>
      </c>
    </row>
    <row r="66" spans="2:5" x14ac:dyDescent="0.45">
      <c r="B66" s="22">
        <v>2035</v>
      </c>
      <c r="C66" s="23" t="s">
        <v>45</v>
      </c>
      <c r="D66" s="24">
        <v>0.19193333333333332</v>
      </c>
      <c r="E66" s="23" t="s">
        <v>222</v>
      </c>
    </row>
    <row r="67" spans="2:5" x14ac:dyDescent="0.45">
      <c r="B67" s="19">
        <v>2036</v>
      </c>
      <c r="C67" s="20" t="s">
        <v>37</v>
      </c>
      <c r="D67" s="21">
        <v>0.37280000000000002</v>
      </c>
      <c r="E67" s="20" t="s">
        <v>222</v>
      </c>
    </row>
    <row r="68" spans="2:5" x14ac:dyDescent="0.45">
      <c r="B68" s="22">
        <v>2036</v>
      </c>
      <c r="C68" s="23" t="s">
        <v>41</v>
      </c>
      <c r="D68" s="24">
        <v>0.38203333333333339</v>
      </c>
      <c r="E68" s="23" t="s">
        <v>222</v>
      </c>
    </row>
    <row r="69" spans="2:5" x14ac:dyDescent="0.45">
      <c r="B69" s="19">
        <v>2036</v>
      </c>
      <c r="C69" s="20" t="s">
        <v>43</v>
      </c>
      <c r="D69" s="21">
        <v>0.19276666666666667</v>
      </c>
      <c r="E69" s="20" t="s">
        <v>222</v>
      </c>
    </row>
    <row r="70" spans="2:5" x14ac:dyDescent="0.45">
      <c r="B70" s="22">
        <v>2036</v>
      </c>
      <c r="C70" s="23" t="s">
        <v>45</v>
      </c>
      <c r="D70" s="24">
        <v>0.27233333333333337</v>
      </c>
      <c r="E70" s="23" t="s">
        <v>222</v>
      </c>
    </row>
    <row r="71" spans="2:5" x14ac:dyDescent="0.45">
      <c r="B71" s="19">
        <v>2037</v>
      </c>
      <c r="C71" s="20" t="s">
        <v>37</v>
      </c>
      <c r="D71" s="21">
        <v>0.30116666666666664</v>
      </c>
      <c r="E71" s="20" t="s">
        <v>222</v>
      </c>
    </row>
    <row r="72" spans="2:5" x14ac:dyDescent="0.45">
      <c r="B72" s="22">
        <v>2037</v>
      </c>
      <c r="C72" s="23" t="s">
        <v>41</v>
      </c>
      <c r="D72" s="24">
        <v>0.34026666666666666</v>
      </c>
      <c r="E72" s="23" t="s">
        <v>222</v>
      </c>
    </row>
    <row r="73" spans="2:5" x14ac:dyDescent="0.45">
      <c r="B73" s="19">
        <v>2037</v>
      </c>
      <c r="C73" s="20" t="s">
        <v>43</v>
      </c>
      <c r="D73" s="21">
        <v>0.19603333333333331</v>
      </c>
      <c r="E73" s="20" t="s">
        <v>222</v>
      </c>
    </row>
    <row r="74" spans="2:5" x14ac:dyDescent="0.45">
      <c r="B74" s="22">
        <v>2037</v>
      </c>
      <c r="C74" s="23" t="s">
        <v>45</v>
      </c>
      <c r="D74" s="24">
        <v>0.22156666666666669</v>
      </c>
      <c r="E74" s="23" t="s">
        <v>222</v>
      </c>
    </row>
    <row r="75" spans="2:5" x14ac:dyDescent="0.45">
      <c r="B75" s="19">
        <v>2038</v>
      </c>
      <c r="C75" s="20" t="s">
        <v>37</v>
      </c>
      <c r="D75" s="21">
        <v>0.3450333333333333</v>
      </c>
      <c r="E75" s="20" t="s">
        <v>222</v>
      </c>
    </row>
    <row r="76" spans="2:5" x14ac:dyDescent="0.45">
      <c r="B76" s="22">
        <v>2038</v>
      </c>
      <c r="C76" s="23" t="s">
        <v>41</v>
      </c>
      <c r="D76" s="24">
        <v>0.35016666666666668</v>
      </c>
      <c r="E76" s="23" t="s">
        <v>222</v>
      </c>
    </row>
    <row r="77" spans="2:5" x14ac:dyDescent="0.45">
      <c r="B77" s="19">
        <v>2038</v>
      </c>
      <c r="C77" s="20" t="s">
        <v>43</v>
      </c>
      <c r="D77" s="21">
        <v>0.21280000000000002</v>
      </c>
      <c r="E77" s="20" t="s">
        <v>222</v>
      </c>
    </row>
    <row r="78" spans="2:5" x14ac:dyDescent="0.45">
      <c r="B78" s="22">
        <v>2038</v>
      </c>
      <c r="C78" s="23" t="s">
        <v>45</v>
      </c>
      <c r="D78" s="24">
        <v>0.23713333333333333</v>
      </c>
      <c r="E78" s="23" t="s">
        <v>222</v>
      </c>
    </row>
    <row r="79" spans="2:5" x14ac:dyDescent="0.45">
      <c r="B79" s="19">
        <v>2039</v>
      </c>
      <c r="C79" s="20" t="s">
        <v>37</v>
      </c>
      <c r="D79" s="21">
        <v>0.3242666666666667</v>
      </c>
      <c r="E79" s="20" t="s">
        <v>222</v>
      </c>
    </row>
    <row r="80" spans="2:5" x14ac:dyDescent="0.45">
      <c r="B80" s="22">
        <v>2039</v>
      </c>
      <c r="C80" s="23" t="s">
        <v>41</v>
      </c>
      <c r="D80" s="24">
        <v>0.38946666666666668</v>
      </c>
      <c r="E80" s="23" t="s">
        <v>222</v>
      </c>
    </row>
    <row r="81" spans="2:5" x14ac:dyDescent="0.45">
      <c r="B81" s="19">
        <v>2039</v>
      </c>
      <c r="C81" s="20" t="s">
        <v>43</v>
      </c>
      <c r="D81" s="21">
        <v>0.21703333333333333</v>
      </c>
      <c r="E81" s="20" t="s">
        <v>222</v>
      </c>
    </row>
    <row r="82" spans="2:5" x14ac:dyDescent="0.45">
      <c r="B82" s="22">
        <v>2039</v>
      </c>
      <c r="C82" s="23" t="s">
        <v>45</v>
      </c>
      <c r="D82" s="24">
        <v>0.19233333333333333</v>
      </c>
      <c r="E82" s="23" t="s">
        <v>222</v>
      </c>
    </row>
    <row r="83" spans="2:5" x14ac:dyDescent="0.45">
      <c r="B83" s="19">
        <v>2040</v>
      </c>
      <c r="C83" s="20" t="s">
        <v>37</v>
      </c>
      <c r="D83" s="21">
        <v>0.30743333333333334</v>
      </c>
      <c r="E83" s="20" t="s">
        <v>222</v>
      </c>
    </row>
    <row r="84" spans="2:5" x14ac:dyDescent="0.45">
      <c r="B84" s="22">
        <v>2040</v>
      </c>
      <c r="C84" s="23" t="s">
        <v>41</v>
      </c>
      <c r="D84" s="24">
        <v>0.33236666666666664</v>
      </c>
      <c r="E84" s="23" t="s">
        <v>222</v>
      </c>
    </row>
    <row r="85" spans="2:5" x14ac:dyDescent="0.45">
      <c r="B85" s="19">
        <v>2040</v>
      </c>
      <c r="C85" s="20" t="s">
        <v>43</v>
      </c>
      <c r="D85" s="21">
        <v>0.23306666666666667</v>
      </c>
      <c r="E85" s="20" t="s">
        <v>222</v>
      </c>
    </row>
    <row r="86" spans="2:5" x14ac:dyDescent="0.45">
      <c r="B86" s="22">
        <v>2040</v>
      </c>
      <c r="C86" s="23" t="s">
        <v>45</v>
      </c>
      <c r="D86" s="24">
        <v>0.23723333333333332</v>
      </c>
      <c r="E86" s="23" t="s">
        <v>222</v>
      </c>
    </row>
    <row r="87" spans="2:5" x14ac:dyDescent="0.45">
      <c r="B87" s="19">
        <v>2041</v>
      </c>
      <c r="C87" s="20" t="s">
        <v>37</v>
      </c>
      <c r="D87" s="21">
        <v>0.31993333333333335</v>
      </c>
      <c r="E87" s="20" t="s">
        <v>222</v>
      </c>
    </row>
    <row r="88" spans="2:5" x14ac:dyDescent="0.45">
      <c r="B88" s="22">
        <v>2041</v>
      </c>
      <c r="C88" s="23" t="s">
        <v>41</v>
      </c>
      <c r="D88" s="24">
        <v>0.3620666666666667</v>
      </c>
      <c r="E88" s="23" t="s">
        <v>222</v>
      </c>
    </row>
    <row r="89" spans="2:5" x14ac:dyDescent="0.45">
      <c r="B89" s="19">
        <v>2041</v>
      </c>
      <c r="C89" s="20" t="s">
        <v>43</v>
      </c>
      <c r="D89" s="21">
        <v>0.2069</v>
      </c>
      <c r="E89" s="20" t="s">
        <v>222</v>
      </c>
    </row>
    <row r="90" spans="2:5" x14ac:dyDescent="0.45">
      <c r="B90" s="22">
        <v>2041</v>
      </c>
      <c r="C90" s="23" t="s">
        <v>45</v>
      </c>
      <c r="D90" s="24">
        <v>0.23903333333333335</v>
      </c>
      <c r="E90" s="23" t="s">
        <v>222</v>
      </c>
    </row>
    <row r="91" spans="2:5" x14ac:dyDescent="0.45">
      <c r="B91" s="19">
        <v>2042</v>
      </c>
      <c r="C91" s="20" t="s">
        <v>37</v>
      </c>
      <c r="D91" s="21">
        <v>0.3143333333333333</v>
      </c>
      <c r="E91" s="20" t="s">
        <v>222</v>
      </c>
    </row>
    <row r="92" spans="2:5" x14ac:dyDescent="0.45">
      <c r="B92" s="22">
        <v>2042</v>
      </c>
      <c r="C92" s="23" t="s">
        <v>41</v>
      </c>
      <c r="D92" s="24">
        <v>0.31546666666666673</v>
      </c>
      <c r="E92" s="23" t="s">
        <v>222</v>
      </c>
    </row>
    <row r="93" spans="2:5" x14ac:dyDescent="0.45">
      <c r="B93" s="19">
        <v>2042</v>
      </c>
      <c r="C93" s="20" t="s">
        <v>43</v>
      </c>
      <c r="D93" s="21">
        <v>0.20426666666666668</v>
      </c>
      <c r="E93" s="20" t="s">
        <v>222</v>
      </c>
    </row>
    <row r="94" spans="2:5" x14ac:dyDescent="0.45">
      <c r="B94" s="22">
        <v>2042</v>
      </c>
      <c r="C94" s="23" t="s">
        <v>45</v>
      </c>
      <c r="D94" s="24">
        <v>0.21929999999999997</v>
      </c>
      <c r="E94" s="23" t="s">
        <v>222</v>
      </c>
    </row>
    <row r="95" spans="2:5" x14ac:dyDescent="0.45">
      <c r="B95" s="19">
        <v>2043</v>
      </c>
      <c r="C95" s="20" t="s">
        <v>37</v>
      </c>
      <c r="D95" s="21">
        <v>0.28986666666666666</v>
      </c>
      <c r="E95" s="20" t="s">
        <v>222</v>
      </c>
    </row>
    <row r="96" spans="2:5" x14ac:dyDescent="0.45">
      <c r="B96" s="22">
        <v>2043</v>
      </c>
      <c r="C96" s="23" t="s">
        <v>41</v>
      </c>
      <c r="D96" s="24">
        <v>0.35949999999999999</v>
      </c>
      <c r="E96" s="23" t="s">
        <v>222</v>
      </c>
    </row>
    <row r="97" spans="2:5" x14ac:dyDescent="0.45">
      <c r="B97" s="19">
        <v>2043</v>
      </c>
      <c r="C97" s="20" t="s">
        <v>43</v>
      </c>
      <c r="D97" s="21">
        <v>0.20263333333333333</v>
      </c>
      <c r="E97" s="20" t="s">
        <v>222</v>
      </c>
    </row>
    <row r="98" spans="2:5" x14ac:dyDescent="0.45">
      <c r="B98" s="22">
        <v>2043</v>
      </c>
      <c r="C98" s="23" t="s">
        <v>45</v>
      </c>
      <c r="D98" s="24">
        <v>0.2215</v>
      </c>
      <c r="E98" s="23" t="s">
        <v>222</v>
      </c>
    </row>
    <row r="99" spans="2:5" x14ac:dyDescent="0.45">
      <c r="B99" s="19">
        <v>2044</v>
      </c>
      <c r="C99" s="20" t="s">
        <v>37</v>
      </c>
      <c r="D99" s="21">
        <v>0.29596666666666666</v>
      </c>
      <c r="E99" s="20" t="s">
        <v>222</v>
      </c>
    </row>
    <row r="100" spans="2:5" x14ac:dyDescent="0.45">
      <c r="B100" s="22">
        <v>2044</v>
      </c>
      <c r="C100" s="23" t="s">
        <v>41</v>
      </c>
      <c r="D100" s="24">
        <v>0.31086666666666668</v>
      </c>
      <c r="E100" s="23" t="s">
        <v>222</v>
      </c>
    </row>
    <row r="101" spans="2:5" x14ac:dyDescent="0.45">
      <c r="B101" s="19">
        <v>2044</v>
      </c>
      <c r="C101" s="20" t="s">
        <v>43</v>
      </c>
      <c r="D101" s="21">
        <v>0.13103333333333333</v>
      </c>
      <c r="E101" s="20" t="s">
        <v>222</v>
      </c>
    </row>
    <row r="102" spans="2:5" x14ac:dyDescent="0.45">
      <c r="B102" s="22">
        <v>2044</v>
      </c>
      <c r="C102" s="23" t="s">
        <v>45</v>
      </c>
      <c r="D102" s="24">
        <v>0.23450000000000001</v>
      </c>
      <c r="E102" s="23" t="s">
        <v>222</v>
      </c>
    </row>
    <row r="103" spans="2:5" x14ac:dyDescent="0.45">
      <c r="B103" s="19">
        <v>2045</v>
      </c>
      <c r="C103" s="20" t="s">
        <v>37</v>
      </c>
      <c r="D103" s="21">
        <v>0.28610000000000002</v>
      </c>
      <c r="E103" s="20" t="s">
        <v>222</v>
      </c>
    </row>
    <row r="104" spans="2:5" x14ac:dyDescent="0.45">
      <c r="B104" s="22">
        <v>2045</v>
      </c>
      <c r="C104" s="23" t="s">
        <v>41</v>
      </c>
      <c r="D104" s="24">
        <v>0.32653333333333334</v>
      </c>
      <c r="E104" s="23" t="s">
        <v>222</v>
      </c>
    </row>
    <row r="105" spans="2:5" x14ac:dyDescent="0.45">
      <c r="B105" s="19">
        <v>2045</v>
      </c>
      <c r="C105" s="20" t="s">
        <v>43</v>
      </c>
      <c r="D105" s="21">
        <v>0.1952666666666667</v>
      </c>
      <c r="E105" s="20" t="s">
        <v>222</v>
      </c>
    </row>
    <row r="106" spans="2:5" x14ac:dyDescent="0.45">
      <c r="B106" s="22">
        <v>2045</v>
      </c>
      <c r="C106" s="23" t="s">
        <v>45</v>
      </c>
      <c r="D106" s="24">
        <v>0.17756666666666665</v>
      </c>
      <c r="E106" s="23" t="s">
        <v>222</v>
      </c>
    </row>
    <row r="107" spans="2:5" x14ac:dyDescent="0.45">
      <c r="B107" s="19">
        <v>2046</v>
      </c>
      <c r="C107" s="20" t="s">
        <v>37</v>
      </c>
      <c r="D107" s="21">
        <v>0.32646666666666663</v>
      </c>
      <c r="E107" s="20" t="s">
        <v>222</v>
      </c>
    </row>
    <row r="108" spans="2:5" x14ac:dyDescent="0.45">
      <c r="B108" s="22">
        <v>2046</v>
      </c>
      <c r="C108" s="23" t="s">
        <v>41</v>
      </c>
      <c r="D108" s="24">
        <v>0.32569999999999993</v>
      </c>
      <c r="E108" s="23" t="s">
        <v>222</v>
      </c>
    </row>
    <row r="109" spans="2:5" x14ac:dyDescent="0.45">
      <c r="B109" s="19">
        <v>2046</v>
      </c>
      <c r="C109" s="20" t="s">
        <v>43</v>
      </c>
      <c r="D109" s="21">
        <v>0.18556666666666666</v>
      </c>
      <c r="E109" s="20" t="s">
        <v>222</v>
      </c>
    </row>
    <row r="110" spans="2:5" x14ac:dyDescent="0.45">
      <c r="B110" s="22">
        <v>2046</v>
      </c>
      <c r="C110" s="23" t="s">
        <v>45</v>
      </c>
      <c r="D110" s="24">
        <v>0.25856666666666667</v>
      </c>
      <c r="E110" s="23" t="s">
        <v>222</v>
      </c>
    </row>
    <row r="111" spans="2:5" x14ac:dyDescent="0.45">
      <c r="B111" s="19">
        <v>2047</v>
      </c>
      <c r="C111" s="20" t="s">
        <v>37</v>
      </c>
      <c r="D111" s="21">
        <v>0.31429999999999997</v>
      </c>
      <c r="E111" s="20" t="s">
        <v>222</v>
      </c>
    </row>
    <row r="112" spans="2:5" x14ac:dyDescent="0.45">
      <c r="B112" s="22">
        <v>2047</v>
      </c>
      <c r="C112" s="23" t="s">
        <v>41</v>
      </c>
      <c r="D112" s="24">
        <v>0.31966666666666671</v>
      </c>
      <c r="E112" s="23" t="s">
        <v>222</v>
      </c>
    </row>
    <row r="113" spans="2:5" x14ac:dyDescent="0.45">
      <c r="B113" s="19">
        <v>2047</v>
      </c>
      <c r="C113" s="20" t="s">
        <v>43</v>
      </c>
      <c r="D113" s="21">
        <v>0.1623</v>
      </c>
      <c r="E113" s="20" t="s">
        <v>222</v>
      </c>
    </row>
    <row r="114" spans="2:5" x14ac:dyDescent="0.45">
      <c r="B114" s="22">
        <v>2047</v>
      </c>
      <c r="C114" s="23" t="s">
        <v>45</v>
      </c>
      <c r="D114" s="24">
        <v>0.2177</v>
      </c>
      <c r="E114" s="23" t="s">
        <v>222</v>
      </c>
    </row>
    <row r="115" spans="2:5" x14ac:dyDescent="0.45">
      <c r="B115" s="19">
        <v>2048</v>
      </c>
      <c r="C115" s="20" t="s">
        <v>37</v>
      </c>
      <c r="D115" s="21">
        <v>0.28489999999999999</v>
      </c>
      <c r="E115" s="20" t="s">
        <v>222</v>
      </c>
    </row>
    <row r="116" spans="2:5" x14ac:dyDescent="0.45">
      <c r="B116" s="22">
        <v>2048</v>
      </c>
      <c r="C116" s="23" t="s">
        <v>41</v>
      </c>
      <c r="D116" s="24">
        <v>0.32293333333333329</v>
      </c>
      <c r="E116" s="23" t="s">
        <v>222</v>
      </c>
    </row>
    <row r="117" spans="2:5" x14ac:dyDescent="0.45">
      <c r="B117" s="19">
        <v>2048</v>
      </c>
      <c r="C117" s="20" t="s">
        <v>43</v>
      </c>
      <c r="D117" s="21">
        <v>0.20363333333333333</v>
      </c>
      <c r="E117" s="20" t="s">
        <v>222</v>
      </c>
    </row>
    <row r="118" spans="2:5" x14ac:dyDescent="0.45">
      <c r="B118" s="22">
        <v>2048</v>
      </c>
      <c r="C118" s="23" t="s">
        <v>45</v>
      </c>
      <c r="D118" s="24">
        <v>0.2359</v>
      </c>
      <c r="E118" s="23" t="s">
        <v>222</v>
      </c>
    </row>
    <row r="119" spans="2:5" x14ac:dyDescent="0.45">
      <c r="B119" s="19">
        <v>2049</v>
      </c>
      <c r="C119" s="20" t="s">
        <v>37</v>
      </c>
      <c r="D119" s="21">
        <v>0.31936666666666663</v>
      </c>
      <c r="E119" s="20" t="s">
        <v>222</v>
      </c>
    </row>
    <row r="120" spans="2:5" x14ac:dyDescent="0.45">
      <c r="B120" s="22">
        <v>2049</v>
      </c>
      <c r="C120" s="23" t="s">
        <v>41</v>
      </c>
      <c r="D120" s="24">
        <v>0.35413333333333336</v>
      </c>
      <c r="E120" s="23" t="s">
        <v>222</v>
      </c>
    </row>
    <row r="121" spans="2:5" x14ac:dyDescent="0.45">
      <c r="B121" s="19">
        <v>2049</v>
      </c>
      <c r="C121" s="20" t="s">
        <v>43</v>
      </c>
      <c r="D121" s="21">
        <v>0.18579999999999999</v>
      </c>
      <c r="E121" s="20" t="s">
        <v>222</v>
      </c>
    </row>
    <row r="122" spans="2:5" x14ac:dyDescent="0.45">
      <c r="B122" s="22">
        <v>2049</v>
      </c>
      <c r="C122" s="23" t="s">
        <v>45</v>
      </c>
      <c r="D122" s="24">
        <v>0.23020000000000004</v>
      </c>
      <c r="E122" s="23" t="s">
        <v>222</v>
      </c>
    </row>
    <row r="123" spans="2:5" x14ac:dyDescent="0.45">
      <c r="B123" s="19">
        <v>2050</v>
      </c>
      <c r="C123" s="20" t="s">
        <v>37</v>
      </c>
      <c r="D123" s="21">
        <v>0.30760000000000004</v>
      </c>
      <c r="E123" s="20" t="s">
        <v>222</v>
      </c>
    </row>
    <row r="124" spans="2:5" x14ac:dyDescent="0.45">
      <c r="B124" s="22">
        <v>2050</v>
      </c>
      <c r="C124" s="23" t="s">
        <v>41</v>
      </c>
      <c r="D124" s="24">
        <v>0.3557333333333334</v>
      </c>
      <c r="E124" s="23" t="s">
        <v>222</v>
      </c>
    </row>
    <row r="125" spans="2:5" x14ac:dyDescent="0.45">
      <c r="B125" s="19">
        <v>2050</v>
      </c>
      <c r="C125" s="20" t="s">
        <v>43</v>
      </c>
      <c r="D125" s="21">
        <v>0.17353333333333332</v>
      </c>
      <c r="E125" s="20" t="s">
        <v>222</v>
      </c>
    </row>
    <row r="126" spans="2:5" x14ac:dyDescent="0.45">
      <c r="B126" s="22">
        <v>2050</v>
      </c>
      <c r="C126" s="23" t="s">
        <v>45</v>
      </c>
      <c r="D126" s="24">
        <v>0.21530000000000002</v>
      </c>
      <c r="E126" s="23" t="s">
        <v>222</v>
      </c>
    </row>
  </sheetData>
  <mergeCells count="1">
    <mergeCell ref="A1:H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2026-06-09T10:17:09Z</dcterms:modified>
</cp:coreProperties>
</file>