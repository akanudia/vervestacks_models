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drawings/drawing7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POL_grids_kan\SuppXLS\"/>
    </mc:Choice>
  </mc:AlternateContent>
  <xr:revisionPtr revIDLastSave="0" documentId="8_{13F18767-D751-4AD2-866B-AA899E91C779}" xr6:coauthVersionLast="47" xr6:coauthVersionMax="47" xr10:uidLastSave="{00000000-0000-0000-0000-000000000000}"/>
  <bookViews>
    <workbookView xWindow="-98" yWindow="-98" windowWidth="28996" windowHeight="17475" firstSheet="7" activeTab="7" xr2:uid="{00000000-000D-0000-FFFF-FFFF00000000}"/>
  </bookViews>
  <sheets>
    <sheet name="ev_charging_uc" sheetId="6" r:id="rId1"/>
    <sheet name="timeslice_def" sheetId="7" r:id="rId2"/>
    <sheet name="resource_profiles" sheetId="8" r:id="rId3"/>
    <sheet name="firmness" sheetId="9" r:id="rId4"/>
    <sheet name="load_shapes" sheetId="10" r:id="rId5"/>
    <sheet name="demand" sheetId="11" r:id="rId6"/>
    <sheet name="peak_factors" sheetId="12" r:id="rId7"/>
    <sheet name="hydro_af" sheetId="13" r:id="rId8"/>
  </sheets>
  <externalReferences>
    <externalReference r:id="rId9"/>
  </externalReferenc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9" i="13" l="1"/>
  <c r="B9" i="12"/>
  <c r="B9" i="11"/>
  <c r="A10" i="6"/>
  <c r="H24" i="6" s="1"/>
  <c r="B9" i="10"/>
  <c r="IS9" i="9"/>
  <c r="GI9" i="9"/>
  <c r="DX9" i="9"/>
  <c r="BM9" i="9"/>
  <c r="B9" i="9"/>
  <c r="L9" i="8"/>
  <c r="G9" i="8"/>
  <c r="B9" i="8"/>
  <c r="A11" i="7"/>
  <c r="C9" i="7" s="1"/>
  <c r="H23" i="6" l="1"/>
  <c r="H21" i="6" s="1"/>
  <c r="I24" i="6"/>
  <c r="I23" i="6" s="1"/>
  <c r="E24" i="6"/>
  <c r="E23" i="6"/>
</calcChain>
</file>

<file path=xl/sharedStrings.xml><?xml version="1.0" encoding="utf-8"?>
<sst xmlns="http://schemas.openxmlformats.org/spreadsheetml/2006/main" count="10505" uniqueCount="245">
  <si>
    <t>share of charging at night</t>
  </si>
  <si>
    <t>~UC_Sets: R_E: AllRegions</t>
  </si>
  <si>
    <t>UC_N</t>
  </si>
  <si>
    <t>Pset_CI</t>
  </si>
  <si>
    <t>Pset_CO</t>
  </si>
  <si>
    <t>pset_pn</t>
  </si>
  <si>
    <t>Cset_CN</t>
  </si>
  <si>
    <t>TimeSlice</t>
  </si>
  <si>
    <t>UC_FLO</t>
  </si>
  <si>
    <t>UC_RHSRT</t>
  </si>
  <si>
    <t>UC_RHSRT~0</t>
  </si>
  <si>
    <t>UC_bev night chg limit</t>
  </si>
  <si>
    <t>ELC</t>
  </si>
  <si>
    <t>*EV*</t>
  </si>
  <si>
    <t>AuxStoIN</t>
  </si>
  <si>
    <t>night</t>
  </si>
  <si>
    <t>day</t>
  </si>
  <si>
    <t>~UC_T: LO</t>
  </si>
  <si>
    <t>PSET_SET</t>
  </si>
  <si>
    <t>PSET_PN</t>
  </si>
  <si>
    <t>PSET_CO</t>
  </si>
  <si>
    <t>UC_ACT</t>
  </si>
  <si>
    <t>UC_COMPRD</t>
  </si>
  <si>
    <t>UC_RHSRTS</t>
  </si>
  <si>
    <t>UC_RHSRTS~0</t>
  </si>
  <si>
    <t>UC_Desc</t>
  </si>
  <si>
    <t>UCE_Min-DispatchablePrd</t>
  </si>
  <si>
    <t>ELE,CHP</t>
  </si>
  <si>
    <t>*,-solar,-wind*,-ELC,-ELCSPV,-elc[_]???[_]*,-e[_]*</t>
  </si>
  <si>
    <t>DAYNITE</t>
  </si>
  <si>
    <t>Min dispatchable electricity generation in each grid in each TS</t>
  </si>
  <si>
    <t>DEF_E</t>
  </si>
  <si>
    <t>season</t>
  </si>
  <si>
    <t>weekly</t>
  </si>
  <si>
    <t>daynite</t>
  </si>
  <si>
    <t>wparent</t>
  </si>
  <si>
    <t>dparent</t>
  </si>
  <si>
    <t>S01</t>
  </si>
  <si>
    <t>a</t>
  </si>
  <si>
    <t>H01</t>
  </si>
  <si>
    <t>S01,S02,S03,S04,S05,S06</t>
  </si>
  <si>
    <t>S02</t>
  </si>
  <si>
    <t>H02</t>
  </si>
  <si>
    <t>S03</t>
  </si>
  <si>
    <t>H03</t>
  </si>
  <si>
    <t>S04</t>
  </si>
  <si>
    <t>H04</t>
  </si>
  <si>
    <t>S05</t>
  </si>
  <si>
    <t>H05</t>
  </si>
  <si>
    <t>S06</t>
  </si>
  <si>
    <t>H06</t>
  </si>
  <si>
    <t>H07</t>
  </si>
  <si>
    <t>H08</t>
  </si>
  <si>
    <t>H09</t>
  </si>
  <si>
    <t>H10</t>
  </si>
  <si>
    <t>VERVESTACKS - the open USE platform · Powered by data · Shaped by vision · Guided by intuition · Fueled by passion</t>
  </si>
  <si>
    <t>ts_60c</t>
  </si>
  <si>
    <t>commodity</t>
  </si>
  <si>
    <t>timeslice</t>
  </si>
  <si>
    <t>com_fr</t>
  </si>
  <si>
    <t>process</t>
  </si>
  <si>
    <t>elc_spv_POL_001</t>
  </si>
  <si>
    <t>S01aH01</t>
  </si>
  <si>
    <t>IMPNRGZ</t>
  </si>
  <si>
    <t>S01aH02</t>
  </si>
  <si>
    <t>S01aH03</t>
  </si>
  <si>
    <t>S01aH04</t>
  </si>
  <si>
    <t>S01aH05</t>
  </si>
  <si>
    <t>S01aH06</t>
  </si>
  <si>
    <t>S01aH07</t>
  </si>
  <si>
    <t>S01aH08</t>
  </si>
  <si>
    <t>S01aH09</t>
  </si>
  <si>
    <t>S01aH10</t>
  </si>
  <si>
    <t>S02aH01</t>
  </si>
  <si>
    <t>S02aH02</t>
  </si>
  <si>
    <t>S02aH03</t>
  </si>
  <si>
    <t>S02aH04</t>
  </si>
  <si>
    <t>S02aH05</t>
  </si>
  <si>
    <t>S02aH06</t>
  </si>
  <si>
    <t>S02aH07</t>
  </si>
  <si>
    <t>S02aH08</t>
  </si>
  <si>
    <t>S02aH09</t>
  </si>
  <si>
    <t>S02aH10</t>
  </si>
  <si>
    <t>S03aH01</t>
  </si>
  <si>
    <t>S03aH02</t>
  </si>
  <si>
    <t>S03aH03</t>
  </si>
  <si>
    <t>S03aH04</t>
  </si>
  <si>
    <t>S03aH05</t>
  </si>
  <si>
    <t>S03aH06</t>
  </si>
  <si>
    <t>S03aH07</t>
  </si>
  <si>
    <t>S03aH08</t>
  </si>
  <si>
    <t>S03aH09</t>
  </si>
  <si>
    <t>S03aH10</t>
  </si>
  <si>
    <t>S04aH01</t>
  </si>
  <si>
    <t>S04aH02</t>
  </si>
  <si>
    <t>S04aH03</t>
  </si>
  <si>
    <t>S04aH04</t>
  </si>
  <si>
    <t>S04aH05</t>
  </si>
  <si>
    <t>S04aH06</t>
  </si>
  <si>
    <t>S04aH07</t>
  </si>
  <si>
    <t>S04aH08</t>
  </si>
  <si>
    <t>S04aH09</t>
  </si>
  <si>
    <t>S04aH10</t>
  </si>
  <si>
    <t>S05aH01</t>
  </si>
  <si>
    <t>S05aH02</t>
  </si>
  <si>
    <t>S05aH03</t>
  </si>
  <si>
    <t>S05aH04</t>
  </si>
  <si>
    <t>S05aH05</t>
  </si>
  <si>
    <t>S05aH06</t>
  </si>
  <si>
    <t>S05aH07</t>
  </si>
  <si>
    <t>S05aH08</t>
  </si>
  <si>
    <t>S05aH09</t>
  </si>
  <si>
    <t>S05aH10</t>
  </si>
  <si>
    <t>S06aH01</t>
  </si>
  <si>
    <t>S06aH02</t>
  </si>
  <si>
    <t>S06aH03</t>
  </si>
  <si>
    <t>S06aH04</t>
  </si>
  <si>
    <t>S06aH05</t>
  </si>
  <si>
    <t>S06aH06</t>
  </si>
  <si>
    <t>S06aH07</t>
  </si>
  <si>
    <t>S06aH08</t>
  </si>
  <si>
    <t>S06aH09</t>
  </si>
  <si>
    <t>S06aH10</t>
  </si>
  <si>
    <t>elc_spv_POL_002</t>
  </si>
  <si>
    <t>elc_spv_POL_003</t>
  </si>
  <si>
    <t>elc_spv_POL_004</t>
  </si>
  <si>
    <t>elc_spv_POL_005</t>
  </si>
  <si>
    <t>elc_spv_POL_006</t>
  </si>
  <si>
    <t>elc_spv_POL_007</t>
  </si>
  <si>
    <t>elc_spv_POL_008</t>
  </si>
  <si>
    <t>elc_spv_POL_009</t>
  </si>
  <si>
    <t>elc_spv_POL_010</t>
  </si>
  <si>
    <t>elc_spv_POL_011</t>
  </si>
  <si>
    <t>elc_spv_POL_012</t>
  </si>
  <si>
    <t>elc_spv_POL_013</t>
  </si>
  <si>
    <t>elc_spv_POL_014</t>
  </si>
  <si>
    <t>elc_spv_POL_015</t>
  </si>
  <si>
    <t>elc_spv_POL_016</t>
  </si>
  <si>
    <t>elc_spv_POL_017</t>
  </si>
  <si>
    <t>elc_spv_POL_018</t>
  </si>
  <si>
    <t>elc_spv_POL_019</t>
  </si>
  <si>
    <t>elc_spv_POL_020</t>
  </si>
  <si>
    <t>elc_won_POL_001</t>
  </si>
  <si>
    <t>elc_won_POL_002</t>
  </si>
  <si>
    <t>elc_won_POL_003</t>
  </si>
  <si>
    <t>elc_won_POL_004</t>
  </si>
  <si>
    <t>elc_won_POL_005</t>
  </si>
  <si>
    <t>elc_won_POL_006</t>
  </si>
  <si>
    <t>elc_won_POL_007</t>
  </si>
  <si>
    <t>elc_won_POL_008</t>
  </si>
  <si>
    <t>elc_won_POL_009</t>
  </si>
  <si>
    <t>elc_won_POL_010</t>
  </si>
  <si>
    <t>elc_won_POL_011</t>
  </si>
  <si>
    <t>elc_won_POL_012</t>
  </si>
  <si>
    <t>elc_won_POL_013</t>
  </si>
  <si>
    <t>elc_won_POL_014</t>
  </si>
  <si>
    <t>elc_won_POL_015</t>
  </si>
  <si>
    <t>elc_won_POL_016</t>
  </si>
  <si>
    <t>elc_won_POL_017</t>
  </si>
  <si>
    <t>elc_won_POL_018</t>
  </si>
  <si>
    <t>elc_won_POL_019</t>
  </si>
  <si>
    <t>elc_won_POL_020</t>
  </si>
  <si>
    <t>elc_wof_POL_001</t>
  </si>
  <si>
    <t>elc_wof_POL_002</t>
  </si>
  <si>
    <t>elc_wof_POL_003</t>
  </si>
  <si>
    <t>elc_wof_POL_004</t>
  </si>
  <si>
    <t>elc_wof_POL_005</t>
  </si>
  <si>
    <t>elc_wof_POL_006</t>
  </si>
  <si>
    <t>elc_wof_POL_007</t>
  </si>
  <si>
    <t>elc_wof_POL_008</t>
  </si>
  <si>
    <t>elc_wof_POL_009</t>
  </si>
  <si>
    <t>elc_wof_POL_010</t>
  </si>
  <si>
    <t>distr_solelc_spv_POL_001</t>
  </si>
  <si>
    <t>distr_solelc_spv_POL_002</t>
  </si>
  <si>
    <t>distr_solelc_spv_POL_003</t>
  </si>
  <si>
    <t>distr_solelc_spv_POL_004</t>
  </si>
  <si>
    <t>distr_solelc_spv_POL_005</t>
  </si>
  <si>
    <t>distr_solelc_spv_POL_006</t>
  </si>
  <si>
    <t>distr_solelc_spv_POL_007</t>
  </si>
  <si>
    <t>distr_solelc_spv_POL_008</t>
  </si>
  <si>
    <t>distr_solelc_spv_POL_009</t>
  </si>
  <si>
    <t>distr_solelc_spv_POL_010</t>
  </si>
  <si>
    <t>distr_solelc_spv_POL_011</t>
  </si>
  <si>
    <t>distr_solelc_spv_POL_012</t>
  </si>
  <si>
    <t>distr_solelc_spv_POL_013</t>
  </si>
  <si>
    <t>distr_solelc_spv_POL_014</t>
  </si>
  <si>
    <t>distr_solelc_spv_POL_015</t>
  </si>
  <si>
    <t>distr_solelc_spv_POL_016</t>
  </si>
  <si>
    <t>distr_solelc_spv_POL_017</t>
  </si>
  <si>
    <t>distr_solelc_spv_POL_018</t>
  </si>
  <si>
    <t>distr_solelc_spv_POL_019</t>
  </si>
  <si>
    <t>distr_solelc_spv_POL_020</t>
  </si>
  <si>
    <t>distr_wofelc_wof_POL_001</t>
  </si>
  <si>
    <t>distr_wofelc_wof_POL_002</t>
  </si>
  <si>
    <t>distr_wofelc_wof_POL_003</t>
  </si>
  <si>
    <t>distr_wofelc_wof_POL_004</t>
  </si>
  <si>
    <t>distr_wofelc_wof_POL_005</t>
  </si>
  <si>
    <t>distr_wofelc_wof_POL_006</t>
  </si>
  <si>
    <t>distr_wofelc_wof_POL_007</t>
  </si>
  <si>
    <t>distr_wofelc_wof_POL_008</t>
  </si>
  <si>
    <t>distr_wofelc_wof_POL_009</t>
  </si>
  <si>
    <t>distr_wofelc_wof_POL_010</t>
  </si>
  <si>
    <t>distr_wonelc_won_POL_001</t>
  </si>
  <si>
    <t>distr_wonelc_won_POL_002</t>
  </si>
  <si>
    <t>distr_wonelc_won_POL_003</t>
  </si>
  <si>
    <t>distr_wonelc_won_POL_004</t>
  </si>
  <si>
    <t>distr_wonelc_won_POL_005</t>
  </si>
  <si>
    <t>distr_wonelc_won_POL_006</t>
  </si>
  <si>
    <t>distr_wonelc_won_POL_007</t>
  </si>
  <si>
    <t>distr_wonelc_won_POL_008</t>
  </si>
  <si>
    <t>distr_wonelc_won_POL_009</t>
  </si>
  <si>
    <t>distr_wonelc_won_POL_010</t>
  </si>
  <si>
    <t>distr_wonelc_won_POL_011</t>
  </si>
  <si>
    <t>distr_wonelc_won_POL_012</t>
  </si>
  <si>
    <t>distr_wonelc_won_POL_013</t>
  </si>
  <si>
    <t>distr_wonelc_won_POL_014</t>
  </si>
  <si>
    <t>distr_wonelc_won_POL_015</t>
  </si>
  <si>
    <t>distr_wonelc_won_POL_016</t>
  </si>
  <si>
    <t>distr_wonelc_won_POL_017</t>
  </si>
  <si>
    <t>distr_wonelc_won_POL_018</t>
  </si>
  <si>
    <t>distr_wonelc_won_POL_019</t>
  </si>
  <si>
    <t>distr_wonelc_won_POL_020</t>
  </si>
  <si>
    <t>distr_sol*</t>
  </si>
  <si>
    <t>ELC4H</t>
  </si>
  <si>
    <t>distr_won*</t>
  </si>
  <si>
    <t>distr_wof*</t>
  </si>
  <si>
    <t>ELC8H</t>
  </si>
  <si>
    <t>other_indexes</t>
  </si>
  <si>
    <t>ncap_com</t>
  </si>
  <si>
    <t>DEF_C</t>
  </si>
  <si>
    <t>OUT</t>
  </si>
  <si>
    <t>g_yrfr</t>
  </si>
  <si>
    <t>elc_roadtransport</t>
  </si>
  <si>
    <t>day_night</t>
  </si>
  <si>
    <t>D</t>
  </si>
  <si>
    <t>S01aH02,S04aH04,S03aH04,S04aH03,S01aH03,S05aH02,S05aH03,S05aH06,S01aH06,S02aH03,S05aH07,S03aH02,S05aH08,S04aH05,S04aH08,S02aH04,S02aH05,S06aH07,S03aH03,S01aH05,S01aH08,S02aH08,S03aH06,S03aH07,S06aH05,S04aH06,S05aH04,S06aH02,S06aH03,S02aH06,S03aH05,S03aH08,S04aH07,S05aH05,S06aH04,S06aH08,S02aH02,S06aH06,S01aH04,S01aH07,S02aH07,S04aH02</t>
  </si>
  <si>
    <t>N</t>
  </si>
  <si>
    <t>S01aH08,S02aH08,S02aH09,S04aH09,S05aH01,S02aH01,S02aH10,S05aH02,S01aH01,S04aH01,S06aH02,S04aH02,S04aH08,S06aH01,S05aH08,S03aH08,S03aH10,S06aH08,S02aH02,S04aH10,S06aH10,S01aH02,S05aH10,S06aH09,S03aH09,S05aH09,S03aH01,S01aH09,S01aH10,S03aH02</t>
  </si>
  <si>
    <t>elc_buildings</t>
  </si>
  <si>
    <t>elc_industry</t>
  </si>
  <si>
    <t>com_pkflx</t>
  </si>
  <si>
    <t>Year</t>
  </si>
  <si>
    <t>ncap_afs</t>
  </si>
  <si>
    <t>pset_ci</t>
  </si>
  <si>
    <t>hydro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</si>
</sst>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0.0000"/>
    <numFmt numFmtId="165" formatCode="0.000"/>
    <numFmt numFmtId="166" formatCode="0.00000"/>
    <numFmt numFmtId="167" formatCode="0."/>
  </numFmts>
  <fonts count="9" x14ac:knownFonts="1">
    <font>
      <sz val="11"/>
      <color theme="1"/>
      <name val="Aptos Narrow"/>
      <family val="2"/>
      <scheme val="minor"/>
    </font>
    <font>
      <b/>
      <i/>
      <sz val="11"/>
      <color theme="1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3F3F76"/>
      <name val="Aptos Narrow"/>
      <family val="2"/>
      <scheme val="minor"/>
    </font>
    <font>
      <sz val="9"/>
      <color theme="1"/>
      <name val="Segoe UI"/>
      <family val="2"/>
    </font>
    <font>
      <b/>
      <sz val="9"/>
      <color rgb="FFFFFFFF"/>
      <name val="Segoe UI"/>
      <family val="2"/>
    </font>
    <font>
      <i/>
      <sz val="7"/>
      <color rgb="FF969696"/>
      <name val="Consolas"/>
      <family val="3"/>
    </font>
    <font>
      <b/>
      <sz val="10"/>
      <color rgb="FFFFFFFF"/>
      <name val="Segoe UI"/>
      <family val="2"/>
    </font>
  </fonts>
  <fills count="7">
    <fill>
      <patternFill patternType="none"/>
    </fill>
    <fill>
      <patternFill patternType="gray125"/>
    </fill>
    <fill>
      <patternFill patternType="solid">
        <fgColor rgb="FFFFCC99"/>
      </patternFill>
    </fill>
    <fill>
      <patternFill patternType="solid">
        <fgColor rgb="FFFFFF00"/>
        <bgColor indexed="64"/>
      </patternFill>
    </fill>
    <fill>
      <patternFill patternType="solid">
        <fgColor rgb="FF19375F"/>
        <bgColor indexed="64"/>
      </patternFill>
    </fill>
    <fill>
      <patternFill patternType="solid">
        <fgColor rgb="FF4F81BD"/>
        <bgColor indexed="64"/>
      </patternFill>
    </fill>
    <fill>
      <patternFill patternType="solid">
        <fgColor rgb="FFF7F9FC"/>
        <bgColor indexed="64"/>
      </patternFill>
    </fill>
  </fills>
  <borders count="6">
    <border>
      <left/>
      <right/>
      <top/>
      <bottom/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</borders>
  <cellStyleXfs count="4">
    <xf numFmtId="0" fontId="0" fillId="0" borderId="0"/>
    <xf numFmtId="0" fontId="4" fillId="2" borderId="3" applyNumberFormat="0" applyAlignment="0" applyProtection="0"/>
    <xf numFmtId="0" fontId="2" fillId="0" borderId="1" applyNumberFormat="0" applyFill="0" applyAlignment="0" applyProtection="0"/>
    <xf numFmtId="0" fontId="3" fillId="0" borderId="2" applyNumberFormat="0" applyFill="0" applyAlignment="0" applyProtection="0"/>
  </cellStyleXfs>
  <cellXfs count="25">
    <xf numFmtId="0" fontId="0" fillId="0" borderId="0" xfId="0"/>
    <xf numFmtId="0" fontId="1" fillId="0" borderId="0" xfId="0" applyFont="1"/>
    <xf numFmtId="0" fontId="4" fillId="2" borderId="3" xfId="1"/>
    <xf numFmtId="0" fontId="2" fillId="0" borderId="1" xfId="2"/>
    <xf numFmtId="0" fontId="3" fillId="0" borderId="2" xfId="3"/>
    <xf numFmtId="0" fontId="0" fillId="3" borderId="0" xfId="0" applyFill="1"/>
    <xf numFmtId="0" fontId="7" fillId="0" borderId="0" xfId="0" applyFont="1"/>
    <xf numFmtId="0" fontId="8" fillId="5" borderId="5" xfId="0" applyFont="1" applyFill="1" applyBorder="1"/>
    <xf numFmtId="0" fontId="5" fillId="6" borderId="4" xfId="0" applyFont="1" applyFill="1" applyBorder="1"/>
    <xf numFmtId="0" fontId="5" fillId="0" borderId="4" xfId="0" applyFont="1" applyBorder="1"/>
    <xf numFmtId="164" fontId="5" fillId="6" borderId="4" xfId="0" applyNumberFormat="1" applyFont="1" applyFill="1" applyBorder="1"/>
    <xf numFmtId="164" fontId="5" fillId="0" borderId="4" xfId="0" applyNumberFormat="1" applyFont="1" applyBorder="1"/>
    <xf numFmtId="165" fontId="5" fillId="6" borderId="4" xfId="0" applyNumberFormat="1" applyFont="1" applyFill="1" applyBorder="1"/>
    <xf numFmtId="165" fontId="5" fillId="0" borderId="4" xfId="0" applyNumberFormat="1" applyFont="1" applyBorder="1"/>
    <xf numFmtId="166" fontId="5" fillId="6" borderId="4" xfId="0" applyNumberFormat="1" applyFont="1" applyFill="1" applyBorder="1"/>
    <xf numFmtId="166" fontId="5" fillId="0" borderId="4" xfId="0" applyNumberFormat="1" applyFont="1" applyBorder="1"/>
    <xf numFmtId="0" fontId="5" fillId="3" borderId="4" xfId="0" applyFont="1" applyFill="1" applyBorder="1"/>
    <xf numFmtId="0" fontId="6" fillId="4" borderId="4" xfId="0" applyFont="1" applyFill="1" applyBorder="1" applyAlignment="1">
      <alignment horizontal="left" vertical="center"/>
    </xf>
    <xf numFmtId="0" fontId="8" fillId="5" borderId="5" xfId="0" applyFont="1" applyFill="1" applyBorder="1" applyAlignment="1"/>
    <xf numFmtId="167" fontId="5" fillId="6" borderId="4" xfId="0" applyNumberFormat="1" applyFont="1" applyFill="1" applyBorder="1" applyAlignment="1"/>
    <xf numFmtId="0" fontId="5" fillId="6" borderId="4" xfId="0" applyFont="1" applyFill="1" applyBorder="1" applyAlignment="1"/>
    <xf numFmtId="165" fontId="5" fillId="6" borderId="4" xfId="0" applyNumberFormat="1" applyFont="1" applyFill="1" applyBorder="1" applyAlignment="1"/>
    <xf numFmtId="167" fontId="5" fillId="0" borderId="4" xfId="0" applyNumberFormat="1" applyFont="1" applyBorder="1" applyAlignment="1"/>
    <xf numFmtId="0" fontId="5" fillId="0" borderId="4" xfId="0" applyFont="1" applyBorder="1" applyAlignment="1"/>
    <xf numFmtId="165" fontId="5" fillId="0" borderId="4" xfId="0" applyNumberFormat="1" applyFont="1" applyBorder="1" applyAlignment="1"/>
  </cellXfs>
  <cellStyles count="4">
    <cellStyle name="Heading 2 2" xfId="2" xr:uid="{A6AB1C46-4E7B-4C21-A104-E4DF3FE4CE4A}"/>
    <cellStyle name="Heading 3 2" xfId="3" xr:uid="{F2503A68-FC7E-4C35-8B5A-10334C80FC2A}"/>
    <cellStyle name="Input 2" xfId="1" xr:uid="{08B5D232-691F-4F66-AEAC-8298A30D4B38}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externalLink" Target="externalLinks/externalLink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5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6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7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8</xdr:col>
      <xdr:colOff>63500</xdr:colOff>
      <xdr:row>0</xdr:row>
      <xdr:rowOff>12700</xdr:rowOff>
    </xdr:from>
    <xdr:to>
      <xdr:col>9</xdr:col>
      <xdr:colOff>406400</xdr:colOff>
      <xdr:row>0</xdr:row>
      <xdr:rowOff>266700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E4CE4BD0-DB63-90F7-B6B3-B84C4555CD7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5245100" y="12700"/>
          <a:ext cx="990600" cy="254000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8</xdr:col>
      <xdr:colOff>63500</xdr:colOff>
      <xdr:row>0</xdr:row>
      <xdr:rowOff>12700</xdr:rowOff>
    </xdr:from>
    <xdr:to>
      <xdr:col>9</xdr:col>
      <xdr:colOff>406400</xdr:colOff>
      <xdr:row>0</xdr:row>
      <xdr:rowOff>266700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EAEDF25E-54AF-FE0F-8A33-E15084072202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5245100" y="12700"/>
          <a:ext cx="990600" cy="254000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8</xdr:col>
      <xdr:colOff>63500</xdr:colOff>
      <xdr:row>0</xdr:row>
      <xdr:rowOff>12700</xdr:rowOff>
    </xdr:from>
    <xdr:to>
      <xdr:col>9</xdr:col>
      <xdr:colOff>296862</xdr:colOff>
      <xdr:row>0</xdr:row>
      <xdr:rowOff>266700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66648C1E-EF49-32C1-4C2E-680AA34970EE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5245100" y="12700"/>
          <a:ext cx="990600" cy="254000"/>
        </a:xfrm>
        <a:prstGeom prst="rect">
          <a:avLst/>
        </a:prstGeom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8</xdr:col>
      <xdr:colOff>63500</xdr:colOff>
      <xdr:row>0</xdr:row>
      <xdr:rowOff>12700</xdr:rowOff>
    </xdr:from>
    <xdr:to>
      <xdr:col>9</xdr:col>
      <xdr:colOff>406400</xdr:colOff>
      <xdr:row>0</xdr:row>
      <xdr:rowOff>266700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2A95065C-64FE-73AD-F68E-63B3172B374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5245100" y="12700"/>
          <a:ext cx="990600" cy="254000"/>
        </a:xfrm>
        <a:prstGeom prst="rect">
          <a:avLst/>
        </a:prstGeom>
      </xdr:spPr>
    </xdr:pic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 editAs="oneCell">
    <xdr:from>
      <xdr:col>8</xdr:col>
      <xdr:colOff>63500</xdr:colOff>
      <xdr:row>0</xdr:row>
      <xdr:rowOff>12700</xdr:rowOff>
    </xdr:from>
    <xdr:to>
      <xdr:col>9</xdr:col>
      <xdr:colOff>406400</xdr:colOff>
      <xdr:row>0</xdr:row>
      <xdr:rowOff>266700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9DA3D3DF-08AB-8D6C-1DB6-119A883A7FEC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5245100" y="12700"/>
          <a:ext cx="990600" cy="254000"/>
        </a:xfrm>
        <a:prstGeom prst="rect">
          <a:avLst/>
        </a:prstGeom>
      </xdr:spPr>
    </xdr:pic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 editAs="oneCell">
    <xdr:from>
      <xdr:col>8</xdr:col>
      <xdr:colOff>63500</xdr:colOff>
      <xdr:row>0</xdr:row>
      <xdr:rowOff>12700</xdr:rowOff>
    </xdr:from>
    <xdr:to>
      <xdr:col>9</xdr:col>
      <xdr:colOff>406400</xdr:colOff>
      <xdr:row>0</xdr:row>
      <xdr:rowOff>266700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03D9D39C-716E-C6A4-7B8C-3E212D9EC57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5245100" y="12700"/>
          <a:ext cx="990600" cy="254000"/>
        </a:xfrm>
        <a:prstGeom prst="rect">
          <a:avLst/>
        </a:prstGeom>
      </xdr:spPr>
    </xdr:pic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 editAs="oneCell">
    <xdr:from>
      <xdr:col>8</xdr:col>
      <xdr:colOff>63500</xdr:colOff>
      <xdr:row>0</xdr:row>
      <xdr:rowOff>12700</xdr:rowOff>
    </xdr:from>
    <xdr:to>
      <xdr:col>9</xdr:col>
      <xdr:colOff>406400</xdr:colOff>
      <xdr:row>0</xdr:row>
      <xdr:rowOff>266700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C21189D2-C36F-6A0E-324A-7769E5E63E4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5245100" y="12700"/>
          <a:ext cx="990600" cy="254000"/>
        </a:xfrm>
        <a:prstGeom prst="rect">
          <a:avLst/>
        </a:prstGeom>
      </xdr:spPr>
    </xdr:pic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1" Type="http://schemas.microsoft.com/office/2006/relationships/xlExternalLinkPath/xlPathMissing" Target="Veda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Veda"/>
    </sheetNames>
    <sheetDataSet>
      <sheetData sheetId="0" refreshError="1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7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ACD839-B60C-4CDA-B632-BF39C559A5EF}">
  <dimension ref="A1:N32"/>
  <sheetViews>
    <sheetView workbookViewId="0">
      <selection activeCell="C29" sqref="C29"/>
    </sheetView>
  </sheetViews>
  <sheetFormatPr defaultRowHeight="14.25" x14ac:dyDescent="0.45"/>
  <cols>
    <col min="3" max="3" width="10.59765625" customWidth="1"/>
    <col min="4" max="4" width="30.59765625" customWidth="1"/>
  </cols>
  <sheetData>
    <row r="1" spans="1:8" ht="22.05" customHeight="1" x14ac:dyDescent="0.45">
      <c r="A1" s="17" t="s">
        <v>55</v>
      </c>
      <c r="B1" s="17"/>
      <c r="C1" s="17"/>
      <c r="D1" s="17"/>
      <c r="E1" s="17"/>
      <c r="F1" s="17"/>
      <c r="G1" s="17"/>
      <c r="H1" s="17"/>
    </row>
    <row r="9" spans="1:8" ht="14.65" thickBot="1" x14ac:dyDescent="0.5"/>
    <row r="10" spans="1:8" ht="15.75" thickBot="1" x14ac:dyDescent="0.6">
      <c r="A10" t="str">
        <f>IFERROR([1]Veda!D5,"ts_60c")</f>
        <v>ts_60c</v>
      </c>
      <c r="B10" s="5"/>
      <c r="C10" s="7" t="s">
        <v>233</v>
      </c>
      <c r="D10" s="7" t="s">
        <v>56</v>
      </c>
    </row>
    <row r="11" spans="1:8" x14ac:dyDescent="0.45">
      <c r="B11" s="5"/>
      <c r="C11" s="8" t="s">
        <v>234</v>
      </c>
      <c r="D11" s="8" t="s">
        <v>235</v>
      </c>
    </row>
    <row r="12" spans="1:8" x14ac:dyDescent="0.45">
      <c r="B12" s="5"/>
      <c r="C12" s="16" t="s">
        <v>236</v>
      </c>
      <c r="D12" s="9" t="s">
        <v>237</v>
      </c>
    </row>
    <row r="17" spans="3:14" x14ac:dyDescent="0.45">
      <c r="I17" s="2">
        <v>0.75</v>
      </c>
      <c r="K17" s="1" t="s">
        <v>0</v>
      </c>
    </row>
    <row r="18" spans="3:14" ht="17.649999999999999" thickBot="1" x14ac:dyDescent="0.6">
      <c r="C18" s="3" t="s">
        <v>1</v>
      </c>
    </row>
    <row r="19" spans="3:14" ht="14.65" thickTop="1" x14ac:dyDescent="0.45"/>
    <row r="21" spans="3:14" ht="17.649999999999999" thickBot="1" x14ac:dyDescent="0.6">
      <c r="H21" s="3" t="str">
        <f>IF(H23=H24,"Not Required!","~UC_T: LO")</f>
        <v>~UC_T: LO</v>
      </c>
    </row>
    <row r="22" spans="3:14" ht="15" thickTop="1" thickBot="1" x14ac:dyDescent="0.5">
      <c r="C22" s="4" t="s">
        <v>2</v>
      </c>
      <c r="D22" s="4" t="s">
        <v>3</v>
      </c>
      <c r="E22" s="4" t="s">
        <v>4</v>
      </c>
      <c r="F22" s="4" t="s">
        <v>5</v>
      </c>
      <c r="G22" s="4" t="s">
        <v>6</v>
      </c>
      <c r="H22" s="4" t="s">
        <v>7</v>
      </c>
      <c r="I22" s="4" t="s">
        <v>8</v>
      </c>
      <c r="J22" s="4" t="s">
        <v>9</v>
      </c>
      <c r="K22" s="4" t="s">
        <v>10</v>
      </c>
    </row>
    <row r="23" spans="3:14" x14ac:dyDescent="0.45">
      <c r="C23" t="s">
        <v>11</v>
      </c>
      <c r="D23" t="s">
        <v>12</v>
      </c>
      <c r="E23" t="str">
        <f>G23</f>
        <v>AuxStoIN</v>
      </c>
      <c r="F23" t="s">
        <v>13</v>
      </c>
      <c r="G23" t="s">
        <v>14</v>
      </c>
      <c r="H23" t="str">
        <f>HLOOKUP($A$10,$D$10:$CU$12,3,FALSE)</f>
        <v>S01aH08,S02aH08,S02aH09,S04aH09,S05aH01,S02aH01,S02aH10,S05aH02,S01aH01,S04aH01,S06aH02,S04aH02,S04aH08,S06aH01,S05aH08,S03aH08,S03aH10,S06aH08,S02aH02,S04aH10,S06aH10,S01aH02,S05aH10,S06aH09,S03aH09,S05aH09,S03aH01,S01aH09,S01aH10,S03aH02</v>
      </c>
      <c r="I23">
        <f>1+I24</f>
        <v>0.25</v>
      </c>
      <c r="J23">
        <v>0</v>
      </c>
      <c r="K23">
        <v>3</v>
      </c>
      <c r="M23" t="s">
        <v>15</v>
      </c>
    </row>
    <row r="24" spans="3:14" x14ac:dyDescent="0.45">
      <c r="D24" t="s">
        <v>12</v>
      </c>
      <c r="E24" t="str">
        <f>G24</f>
        <v>AuxStoIN</v>
      </c>
      <c r="F24" t="s">
        <v>13</v>
      </c>
      <c r="G24" t="s">
        <v>14</v>
      </c>
      <c r="H24" t="str">
        <f>HLOOKUP($A$10,$D$10:$CU$12,2,FALSE)</f>
        <v>S01aH02,S04aH04,S03aH04,S04aH03,S01aH03,S05aH02,S05aH03,S05aH06,S01aH06,S02aH03,S05aH07,S03aH02,S05aH08,S04aH05,S04aH08,S02aH04,S02aH05,S06aH07,S03aH03,S01aH05,S01aH08,S02aH08,S03aH06,S03aH07,S06aH05,S04aH06,S05aH04,S06aH02,S06aH03,S02aH06,S03aH05,S03aH08,S04aH07,S05aH05,S06aH04,S06aH08,S02aH02,S06aH06,S01aH04,S01aH07,S02aH07,S04aH02</v>
      </c>
      <c r="I24">
        <f>-$I$17</f>
        <v>-0.75</v>
      </c>
      <c r="M24" t="s">
        <v>16</v>
      </c>
    </row>
    <row r="29" spans="3:14" ht="17.649999999999999" thickBot="1" x14ac:dyDescent="0.6">
      <c r="I29" s="3" t="s">
        <v>17</v>
      </c>
    </row>
    <row r="30" spans="3:14" ht="15" thickTop="1" thickBot="1" x14ac:dyDescent="0.5">
      <c r="C30" s="4" t="s">
        <v>2</v>
      </c>
      <c r="D30" s="4" t="s">
        <v>18</v>
      </c>
      <c r="E30" s="4" t="s">
        <v>19</v>
      </c>
      <c r="F30" s="4" t="s">
        <v>3</v>
      </c>
      <c r="G30" s="4" t="s">
        <v>20</v>
      </c>
      <c r="H30" s="4" t="s">
        <v>6</v>
      </c>
      <c r="I30" s="4" t="s">
        <v>7</v>
      </c>
      <c r="J30" s="4" t="s">
        <v>21</v>
      </c>
      <c r="K30" s="4" t="s">
        <v>22</v>
      </c>
      <c r="L30" s="4" t="s">
        <v>23</v>
      </c>
      <c r="M30" s="4" t="s">
        <v>24</v>
      </c>
      <c r="N30" s="4" t="s">
        <v>25</v>
      </c>
    </row>
    <row r="31" spans="3:14" x14ac:dyDescent="0.45">
      <c r="C31" t="s">
        <v>26</v>
      </c>
      <c r="D31" t="s">
        <v>27</v>
      </c>
      <c r="F31" t="s">
        <v>28</v>
      </c>
      <c r="I31" t="s">
        <v>29</v>
      </c>
      <c r="J31">
        <v>1</v>
      </c>
      <c r="L31">
        <v>0</v>
      </c>
      <c r="M31">
        <v>5</v>
      </c>
      <c r="N31" t="s">
        <v>30</v>
      </c>
    </row>
    <row r="32" spans="3:14" x14ac:dyDescent="0.45">
      <c r="H32" t="s">
        <v>31</v>
      </c>
      <c r="I32" t="s">
        <v>29</v>
      </c>
      <c r="K32">
        <v>-1</v>
      </c>
    </row>
  </sheetData>
  <mergeCells count="1">
    <mergeCell ref="A1:H1"/>
  </mergeCells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354F586-281F-48FB-BE61-2C4D3DFE7405}">
  <dimension ref="A1:H20"/>
  <sheetViews>
    <sheetView workbookViewId="0">
      <selection sqref="A1:H1"/>
    </sheetView>
  </sheetViews>
  <sheetFormatPr defaultRowHeight="14.25" x14ac:dyDescent="0.45"/>
  <cols>
    <col min="3" max="5" width="10.59765625" customWidth="1"/>
    <col min="6" max="6" width="18.1328125" bestFit="1" customWidth="1"/>
    <col min="7" max="7" width="10.59765625" customWidth="1"/>
  </cols>
  <sheetData>
    <row r="1" spans="1:8" ht="22.05" customHeight="1" x14ac:dyDescent="0.45">
      <c r="A1" s="17" t="s">
        <v>55</v>
      </c>
      <c r="B1" s="17"/>
      <c r="C1" s="17"/>
      <c r="D1" s="17"/>
      <c r="E1" s="17"/>
      <c r="F1" s="17"/>
      <c r="G1" s="17"/>
      <c r="H1" s="17"/>
    </row>
    <row r="9" spans="1:8" ht="14.65" thickBot="1" x14ac:dyDescent="0.5">
      <c r="C9" s="6" t="str">
        <f>IF(A11="x","DeActivated","~TimeSlices")</f>
        <v>~TimeSlices</v>
      </c>
    </row>
    <row r="10" spans="1:8" ht="15.75" thickBot="1" x14ac:dyDescent="0.6">
      <c r="A10" t="s">
        <v>56</v>
      </c>
      <c r="C10" s="7" t="s">
        <v>32</v>
      </c>
      <c r="D10" s="7" t="s">
        <v>33</v>
      </c>
      <c r="E10" s="7" t="s">
        <v>34</v>
      </c>
      <c r="F10" s="7" t="s">
        <v>35</v>
      </c>
      <c r="G10" s="7" t="s">
        <v>36</v>
      </c>
    </row>
    <row r="11" spans="1:8" x14ac:dyDescent="0.45">
      <c r="A11" t="str">
        <f>IFERROR(IF([1]Veda!D5=A10,"ok","x"),"")</f>
        <v/>
      </c>
      <c r="C11" s="8" t="s">
        <v>37</v>
      </c>
      <c r="D11" s="8" t="s">
        <v>38</v>
      </c>
      <c r="E11" s="8" t="s">
        <v>39</v>
      </c>
      <c r="F11" s="8" t="s">
        <v>40</v>
      </c>
      <c r="G11" s="8" t="s">
        <v>38</v>
      </c>
    </row>
    <row r="12" spans="1:8" x14ac:dyDescent="0.45">
      <c r="C12" s="9" t="s">
        <v>41</v>
      </c>
      <c r="D12" s="9"/>
      <c r="E12" s="9" t="s">
        <v>42</v>
      </c>
      <c r="F12" s="9"/>
      <c r="G12" s="9" t="s">
        <v>38</v>
      </c>
    </row>
    <row r="13" spans="1:8" x14ac:dyDescent="0.45">
      <c r="C13" s="8" t="s">
        <v>43</v>
      </c>
      <c r="D13" s="8"/>
      <c r="E13" s="8" t="s">
        <v>44</v>
      </c>
      <c r="F13" s="8"/>
      <c r="G13" s="8" t="s">
        <v>38</v>
      </c>
    </row>
    <row r="14" spans="1:8" x14ac:dyDescent="0.45">
      <c r="C14" s="9" t="s">
        <v>45</v>
      </c>
      <c r="D14" s="9"/>
      <c r="E14" s="9" t="s">
        <v>46</v>
      </c>
      <c r="F14" s="9"/>
      <c r="G14" s="9" t="s">
        <v>38</v>
      </c>
    </row>
    <row r="15" spans="1:8" x14ac:dyDescent="0.45">
      <c r="C15" s="8" t="s">
        <v>47</v>
      </c>
      <c r="D15" s="8"/>
      <c r="E15" s="8" t="s">
        <v>48</v>
      </c>
      <c r="F15" s="8"/>
      <c r="G15" s="8" t="s">
        <v>38</v>
      </c>
    </row>
    <row r="16" spans="1:8" x14ac:dyDescent="0.45">
      <c r="C16" s="9" t="s">
        <v>49</v>
      </c>
      <c r="D16" s="9"/>
      <c r="E16" s="9" t="s">
        <v>50</v>
      </c>
      <c r="F16" s="9"/>
      <c r="G16" s="9" t="s">
        <v>38</v>
      </c>
    </row>
    <row r="17" spans="3:7" x14ac:dyDescent="0.45">
      <c r="C17" s="8"/>
      <c r="D17" s="8"/>
      <c r="E17" s="8" t="s">
        <v>51</v>
      </c>
      <c r="F17" s="8"/>
      <c r="G17" s="8" t="s">
        <v>38</v>
      </c>
    </row>
    <row r="18" spans="3:7" x14ac:dyDescent="0.45">
      <c r="C18" s="9"/>
      <c r="D18" s="9"/>
      <c r="E18" s="9" t="s">
        <v>52</v>
      </c>
      <c r="F18" s="9"/>
      <c r="G18" s="9" t="s">
        <v>38</v>
      </c>
    </row>
    <row r="19" spans="3:7" x14ac:dyDescent="0.45">
      <c r="C19" s="8"/>
      <c r="D19" s="8"/>
      <c r="E19" s="8" t="s">
        <v>53</v>
      </c>
      <c r="F19" s="8"/>
      <c r="G19" s="8" t="s">
        <v>38</v>
      </c>
    </row>
    <row r="20" spans="3:7" x14ac:dyDescent="0.45">
      <c r="C20" s="9"/>
      <c r="D20" s="9"/>
      <c r="E20" s="9" t="s">
        <v>54</v>
      </c>
      <c r="F20" s="9"/>
      <c r="G20" s="9" t="s">
        <v>38</v>
      </c>
    </row>
  </sheetData>
  <mergeCells count="1">
    <mergeCell ref="A1:H1"/>
  </mergeCells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2BE6BC0-6BE5-4DB3-8C62-101A222057AB}">
  <dimension ref="A1:O1210"/>
  <sheetViews>
    <sheetView workbookViewId="0">
      <selection sqref="A1:H1"/>
    </sheetView>
  </sheetViews>
  <sheetFormatPr defaultRowHeight="14.25" x14ac:dyDescent="0.45"/>
  <cols>
    <col min="2" max="2" width="12.53125" bestFit="1" customWidth="1"/>
    <col min="3" max="5" width="10.59765625" customWidth="1"/>
    <col min="7" max="7" width="13.19921875" bestFit="1" customWidth="1"/>
    <col min="8" max="10" width="10.59765625" customWidth="1"/>
    <col min="12" max="12" width="12.796875" bestFit="1" customWidth="1"/>
    <col min="13" max="15" width="10.59765625" customWidth="1"/>
  </cols>
  <sheetData>
    <row r="1" spans="1:15" ht="22.05" customHeight="1" x14ac:dyDescent="0.45">
      <c r="A1" s="17" t="s">
        <v>55</v>
      </c>
      <c r="B1" s="17"/>
      <c r="C1" s="17"/>
      <c r="D1" s="17"/>
      <c r="E1" s="17"/>
      <c r="F1" s="17"/>
      <c r="G1" s="17"/>
      <c r="H1" s="17"/>
    </row>
    <row r="9" spans="1:15" ht="14.65" thickBot="1" x14ac:dyDescent="0.5">
      <c r="B9" s="6" t="str">
        <f>IF(A11="x","DeActivated","~TFM_DINS-AT")</f>
        <v>~TFM_DINS-AT</v>
      </c>
      <c r="G9" s="6" t="str">
        <f>IF(A11="x","DeActivated","~TFM_DINS-AT")</f>
        <v>~TFM_DINS-AT</v>
      </c>
      <c r="L9" s="6" t="str">
        <f>IF(A11="x","DeActivated","~TFM_DINS-AT")</f>
        <v>~TFM_DINS-AT</v>
      </c>
    </row>
    <row r="10" spans="1:15" ht="15.75" thickBot="1" x14ac:dyDescent="0.6">
      <c r="B10" s="7" t="s">
        <v>57</v>
      </c>
      <c r="C10" s="7" t="s">
        <v>58</v>
      </c>
      <c r="D10" s="7" t="s">
        <v>59</v>
      </c>
      <c r="E10" s="7" t="s">
        <v>60</v>
      </c>
      <c r="G10" s="7" t="s">
        <v>57</v>
      </c>
      <c r="H10" s="7" t="s">
        <v>58</v>
      </c>
      <c r="I10" s="7" t="s">
        <v>59</v>
      </c>
      <c r="J10" s="7" t="s">
        <v>60</v>
      </c>
      <c r="L10" s="7" t="s">
        <v>57</v>
      </c>
      <c r="M10" s="7" t="s">
        <v>58</v>
      </c>
      <c r="N10" s="7" t="s">
        <v>59</v>
      </c>
      <c r="O10" s="7" t="s">
        <v>60</v>
      </c>
    </row>
    <row r="11" spans="1:15" x14ac:dyDescent="0.45">
      <c r="B11" s="8" t="s">
        <v>61</v>
      </c>
      <c r="C11" s="8" t="s">
        <v>62</v>
      </c>
      <c r="D11" s="10">
        <v>0</v>
      </c>
      <c r="E11" s="8" t="s">
        <v>63</v>
      </c>
      <c r="G11" s="8" t="s">
        <v>142</v>
      </c>
      <c r="H11" s="8" t="s">
        <v>62</v>
      </c>
      <c r="I11" s="12">
        <v>3.9019633599312181E-2</v>
      </c>
      <c r="J11" s="8" t="s">
        <v>63</v>
      </c>
      <c r="L11" s="8" t="s">
        <v>162</v>
      </c>
      <c r="M11" s="8" t="s">
        <v>62</v>
      </c>
      <c r="N11" s="12">
        <v>3.6735302040981022E-2</v>
      </c>
      <c r="O11" s="8" t="s">
        <v>63</v>
      </c>
    </row>
    <row r="12" spans="1:15" x14ac:dyDescent="0.45">
      <c r="B12" s="9" t="s">
        <v>61</v>
      </c>
      <c r="C12" s="9" t="s">
        <v>64</v>
      </c>
      <c r="D12" s="11">
        <v>0</v>
      </c>
      <c r="E12" s="9" t="s">
        <v>63</v>
      </c>
      <c r="G12" s="9" t="s">
        <v>142</v>
      </c>
      <c r="H12" s="9" t="s">
        <v>64</v>
      </c>
      <c r="I12" s="13">
        <v>1.6069073743107405E-2</v>
      </c>
      <c r="J12" s="9" t="s">
        <v>63</v>
      </c>
      <c r="L12" s="9" t="s">
        <v>162</v>
      </c>
      <c r="M12" s="9" t="s">
        <v>64</v>
      </c>
      <c r="N12" s="13">
        <v>1.4311475210130329E-2</v>
      </c>
      <c r="O12" s="9" t="s">
        <v>63</v>
      </c>
    </row>
    <row r="13" spans="1:15" x14ac:dyDescent="0.45">
      <c r="B13" s="8" t="s">
        <v>61</v>
      </c>
      <c r="C13" s="8" t="s">
        <v>65</v>
      </c>
      <c r="D13" s="10">
        <v>2.886377869921911E-4</v>
      </c>
      <c r="E13" s="8" t="s">
        <v>63</v>
      </c>
      <c r="G13" s="8" t="s">
        <v>142</v>
      </c>
      <c r="H13" s="8" t="s">
        <v>65</v>
      </c>
      <c r="I13" s="12">
        <v>1.6544610570457637E-2</v>
      </c>
      <c r="J13" s="8" t="s">
        <v>63</v>
      </c>
      <c r="L13" s="8" t="s">
        <v>162</v>
      </c>
      <c r="M13" s="8" t="s">
        <v>65</v>
      </c>
      <c r="N13" s="12">
        <v>1.4725336070132145E-2</v>
      </c>
      <c r="O13" s="8" t="s">
        <v>63</v>
      </c>
    </row>
    <row r="14" spans="1:15" x14ac:dyDescent="0.45">
      <c r="B14" s="9" t="s">
        <v>61</v>
      </c>
      <c r="C14" s="9" t="s">
        <v>66</v>
      </c>
      <c r="D14" s="11">
        <v>8.9450527173238793E-3</v>
      </c>
      <c r="E14" s="9" t="s">
        <v>63</v>
      </c>
      <c r="G14" s="9" t="s">
        <v>142</v>
      </c>
      <c r="H14" s="9" t="s">
        <v>66</v>
      </c>
      <c r="I14" s="13">
        <v>1.6179429208069973E-2</v>
      </c>
      <c r="J14" s="9" t="s">
        <v>63</v>
      </c>
      <c r="L14" s="9" t="s">
        <v>162</v>
      </c>
      <c r="M14" s="9" t="s">
        <v>66</v>
      </c>
      <c r="N14" s="13">
        <v>1.4714793268025885E-2</v>
      </c>
      <c r="O14" s="9" t="s">
        <v>63</v>
      </c>
    </row>
    <row r="15" spans="1:15" x14ac:dyDescent="0.45">
      <c r="B15" s="8" t="s">
        <v>61</v>
      </c>
      <c r="C15" s="8" t="s">
        <v>67</v>
      </c>
      <c r="D15" s="10">
        <v>1.7623995010623707E-2</v>
      </c>
      <c r="E15" s="8" t="s">
        <v>63</v>
      </c>
      <c r="G15" s="8" t="s">
        <v>142</v>
      </c>
      <c r="H15" s="8" t="s">
        <v>67</v>
      </c>
      <c r="I15" s="12">
        <v>1.4137574104255311E-2</v>
      </c>
      <c r="J15" s="8" t="s">
        <v>63</v>
      </c>
      <c r="L15" s="8" t="s">
        <v>162</v>
      </c>
      <c r="M15" s="8" t="s">
        <v>67</v>
      </c>
      <c r="N15" s="12">
        <v>1.337929647071472E-2</v>
      </c>
      <c r="O15" s="8" t="s">
        <v>63</v>
      </c>
    </row>
    <row r="16" spans="1:15" x14ac:dyDescent="0.45">
      <c r="B16" s="9" t="s">
        <v>61</v>
      </c>
      <c r="C16" s="9" t="s">
        <v>68</v>
      </c>
      <c r="D16" s="11">
        <v>1.6963393361601537E-2</v>
      </c>
      <c r="E16" s="9" t="s">
        <v>63</v>
      </c>
      <c r="G16" s="9" t="s">
        <v>142</v>
      </c>
      <c r="H16" s="9" t="s">
        <v>68</v>
      </c>
      <c r="I16" s="13">
        <v>1.3709001731936321E-2</v>
      </c>
      <c r="J16" s="9" t="s">
        <v>63</v>
      </c>
      <c r="L16" s="9" t="s">
        <v>162</v>
      </c>
      <c r="M16" s="9" t="s">
        <v>68</v>
      </c>
      <c r="N16" s="13">
        <v>1.3525732586894608E-2</v>
      </c>
      <c r="O16" s="9" t="s">
        <v>63</v>
      </c>
    </row>
    <row r="17" spans="2:15" x14ac:dyDescent="0.45">
      <c r="B17" s="8" t="s">
        <v>61</v>
      </c>
      <c r="C17" s="8" t="s">
        <v>69</v>
      </c>
      <c r="D17" s="10">
        <v>1.0320735113612907E-2</v>
      </c>
      <c r="E17" s="8" t="s">
        <v>63</v>
      </c>
      <c r="G17" s="8" t="s">
        <v>142</v>
      </c>
      <c r="H17" s="8" t="s">
        <v>69</v>
      </c>
      <c r="I17" s="12">
        <v>1.4386598269797275E-2</v>
      </c>
      <c r="J17" s="8" t="s">
        <v>63</v>
      </c>
      <c r="L17" s="8" t="s">
        <v>162</v>
      </c>
      <c r="M17" s="8" t="s">
        <v>69</v>
      </c>
      <c r="N17" s="12">
        <v>1.4061009609391112E-2</v>
      </c>
      <c r="O17" s="8" t="s">
        <v>63</v>
      </c>
    </row>
    <row r="18" spans="2:15" x14ac:dyDescent="0.45">
      <c r="B18" s="9" t="s">
        <v>61</v>
      </c>
      <c r="C18" s="9" t="s">
        <v>70</v>
      </c>
      <c r="D18" s="11">
        <v>1.3737020741010923E-3</v>
      </c>
      <c r="E18" s="9" t="s">
        <v>63</v>
      </c>
      <c r="G18" s="9" t="s">
        <v>142</v>
      </c>
      <c r="H18" s="9" t="s">
        <v>70</v>
      </c>
      <c r="I18" s="13">
        <v>1.6330399145707091E-2</v>
      </c>
      <c r="J18" s="9" t="s">
        <v>63</v>
      </c>
      <c r="L18" s="9" t="s">
        <v>162</v>
      </c>
      <c r="M18" s="9" t="s">
        <v>70</v>
      </c>
      <c r="N18" s="13">
        <v>1.5595512368546685E-2</v>
      </c>
      <c r="O18" s="9" t="s">
        <v>63</v>
      </c>
    </row>
    <row r="19" spans="2:15" x14ac:dyDescent="0.45">
      <c r="B19" s="8" t="s">
        <v>61</v>
      </c>
      <c r="C19" s="8" t="s">
        <v>71</v>
      </c>
      <c r="D19" s="10">
        <v>0</v>
      </c>
      <c r="E19" s="8" t="s">
        <v>63</v>
      </c>
      <c r="G19" s="8" t="s">
        <v>142</v>
      </c>
      <c r="H19" s="8" t="s">
        <v>71</v>
      </c>
      <c r="I19" s="12">
        <v>1.747451071966729E-2</v>
      </c>
      <c r="J19" s="8" t="s">
        <v>63</v>
      </c>
      <c r="L19" s="8" t="s">
        <v>162</v>
      </c>
      <c r="M19" s="8" t="s">
        <v>71</v>
      </c>
      <c r="N19" s="12">
        <v>1.5987803467642718E-2</v>
      </c>
      <c r="O19" s="8" t="s">
        <v>63</v>
      </c>
    </row>
    <row r="20" spans="2:15" x14ac:dyDescent="0.45">
      <c r="B20" s="9" t="s">
        <v>61</v>
      </c>
      <c r="C20" s="9" t="s">
        <v>72</v>
      </c>
      <c r="D20" s="11">
        <v>0</v>
      </c>
      <c r="E20" s="9" t="s">
        <v>63</v>
      </c>
      <c r="G20" s="9" t="s">
        <v>142</v>
      </c>
      <c r="H20" s="9" t="s">
        <v>72</v>
      </c>
      <c r="I20" s="13">
        <v>2.5392483377337998E-2</v>
      </c>
      <c r="J20" s="9" t="s">
        <v>63</v>
      </c>
      <c r="L20" s="9" t="s">
        <v>162</v>
      </c>
      <c r="M20" s="9" t="s">
        <v>72</v>
      </c>
      <c r="N20" s="13">
        <v>2.3202892082947832E-2</v>
      </c>
      <c r="O20" s="9" t="s">
        <v>63</v>
      </c>
    </row>
    <row r="21" spans="2:15" x14ac:dyDescent="0.45">
      <c r="B21" s="8" t="s">
        <v>61</v>
      </c>
      <c r="C21" s="8" t="s">
        <v>73</v>
      </c>
      <c r="D21" s="10">
        <v>0</v>
      </c>
      <c r="E21" s="8" t="s">
        <v>63</v>
      </c>
      <c r="G21" s="8" t="s">
        <v>142</v>
      </c>
      <c r="H21" s="8" t="s">
        <v>73</v>
      </c>
      <c r="I21" s="12">
        <v>4.4699818754192308E-2</v>
      </c>
      <c r="J21" s="8" t="s">
        <v>63</v>
      </c>
      <c r="L21" s="8" t="s">
        <v>162</v>
      </c>
      <c r="M21" s="8" t="s">
        <v>73</v>
      </c>
      <c r="N21" s="12">
        <v>3.967346579133748E-2</v>
      </c>
      <c r="O21" s="8" t="s">
        <v>63</v>
      </c>
    </row>
    <row r="22" spans="2:15" x14ac:dyDescent="0.45">
      <c r="B22" s="9" t="s">
        <v>61</v>
      </c>
      <c r="C22" s="9" t="s">
        <v>74</v>
      </c>
      <c r="D22" s="11">
        <v>1.9980906536397817E-3</v>
      </c>
      <c r="E22" s="9" t="s">
        <v>63</v>
      </c>
      <c r="G22" s="9" t="s">
        <v>142</v>
      </c>
      <c r="H22" s="9" t="s">
        <v>74</v>
      </c>
      <c r="I22" s="13">
        <v>1.767105239373163E-2</v>
      </c>
      <c r="J22" s="9" t="s">
        <v>63</v>
      </c>
      <c r="L22" s="9" t="s">
        <v>162</v>
      </c>
      <c r="M22" s="9" t="s">
        <v>74</v>
      </c>
      <c r="N22" s="13">
        <v>1.6024680891120337E-2</v>
      </c>
      <c r="O22" s="9" t="s">
        <v>63</v>
      </c>
    </row>
    <row r="23" spans="2:15" x14ac:dyDescent="0.45">
      <c r="B23" s="8" t="s">
        <v>61</v>
      </c>
      <c r="C23" s="8" t="s">
        <v>75</v>
      </c>
      <c r="D23" s="10">
        <v>1.9382729355049699E-2</v>
      </c>
      <c r="E23" s="8" t="s">
        <v>63</v>
      </c>
      <c r="G23" s="8" t="s">
        <v>142</v>
      </c>
      <c r="H23" s="8" t="s">
        <v>75</v>
      </c>
      <c r="I23" s="12">
        <v>1.5534173481970505E-2</v>
      </c>
      <c r="J23" s="8" t="s">
        <v>63</v>
      </c>
      <c r="L23" s="8" t="s">
        <v>162</v>
      </c>
      <c r="M23" s="8" t="s">
        <v>75</v>
      </c>
      <c r="N23" s="12">
        <v>1.471246349792046E-2</v>
      </c>
      <c r="O23" s="8" t="s">
        <v>63</v>
      </c>
    </row>
    <row r="24" spans="2:15" x14ac:dyDescent="0.45">
      <c r="B24" s="9" t="s">
        <v>61</v>
      </c>
      <c r="C24" s="9" t="s">
        <v>76</v>
      </c>
      <c r="D24" s="11">
        <v>4.0445130500091644E-2</v>
      </c>
      <c r="E24" s="9" t="s">
        <v>63</v>
      </c>
      <c r="G24" s="9" t="s">
        <v>142</v>
      </c>
      <c r="H24" s="9" t="s">
        <v>76</v>
      </c>
      <c r="I24" s="13">
        <v>1.4406191569692549E-2</v>
      </c>
      <c r="J24" s="9" t="s">
        <v>63</v>
      </c>
      <c r="L24" s="9" t="s">
        <v>162</v>
      </c>
      <c r="M24" s="9" t="s">
        <v>76</v>
      </c>
      <c r="N24" s="13">
        <v>1.3493560025965924E-2</v>
      </c>
      <c r="O24" s="9" t="s">
        <v>63</v>
      </c>
    </row>
    <row r="25" spans="2:15" x14ac:dyDescent="0.45">
      <c r="B25" s="8" t="s">
        <v>61</v>
      </c>
      <c r="C25" s="8" t="s">
        <v>77</v>
      </c>
      <c r="D25" s="10">
        <v>4.5583006329128935E-2</v>
      </c>
      <c r="E25" s="8" t="s">
        <v>63</v>
      </c>
      <c r="G25" s="8" t="s">
        <v>142</v>
      </c>
      <c r="H25" s="8" t="s">
        <v>77</v>
      </c>
      <c r="I25" s="12">
        <v>1.3025280207547566E-2</v>
      </c>
      <c r="J25" s="8" t="s">
        <v>63</v>
      </c>
      <c r="L25" s="8" t="s">
        <v>162</v>
      </c>
      <c r="M25" s="8" t="s">
        <v>77</v>
      </c>
      <c r="N25" s="12">
        <v>1.207327304638205E-2</v>
      </c>
      <c r="O25" s="8" t="s">
        <v>63</v>
      </c>
    </row>
    <row r="26" spans="2:15" x14ac:dyDescent="0.45">
      <c r="B26" s="9" t="s">
        <v>61</v>
      </c>
      <c r="C26" s="9" t="s">
        <v>78</v>
      </c>
      <c r="D26" s="11">
        <v>4.1809414528288763E-2</v>
      </c>
      <c r="E26" s="9" t="s">
        <v>63</v>
      </c>
      <c r="G26" s="9" t="s">
        <v>142</v>
      </c>
      <c r="H26" s="9" t="s">
        <v>78</v>
      </c>
      <c r="I26" s="13">
        <v>1.4212668698401964E-2</v>
      </c>
      <c r="J26" s="9" t="s">
        <v>63</v>
      </c>
      <c r="L26" s="9" t="s">
        <v>162</v>
      </c>
      <c r="M26" s="9" t="s">
        <v>78</v>
      </c>
      <c r="N26" s="13">
        <v>1.3183897159237821E-2</v>
      </c>
      <c r="O26" s="9" t="s">
        <v>63</v>
      </c>
    </row>
    <row r="27" spans="2:15" x14ac:dyDescent="0.45">
      <c r="B27" s="8" t="s">
        <v>61</v>
      </c>
      <c r="C27" s="8" t="s">
        <v>79</v>
      </c>
      <c r="D27" s="10">
        <v>3.4324192341753525E-2</v>
      </c>
      <c r="E27" s="8" t="s">
        <v>63</v>
      </c>
      <c r="G27" s="8" t="s">
        <v>142</v>
      </c>
      <c r="H27" s="8" t="s">
        <v>79</v>
      </c>
      <c r="I27" s="12">
        <v>1.4129034106266402E-2</v>
      </c>
      <c r="J27" s="8" t="s">
        <v>63</v>
      </c>
      <c r="L27" s="8" t="s">
        <v>162</v>
      </c>
      <c r="M27" s="8" t="s">
        <v>79</v>
      </c>
      <c r="N27" s="12">
        <v>1.4211246895366236E-2</v>
      </c>
      <c r="O27" s="8" t="s">
        <v>63</v>
      </c>
    </row>
    <row r="28" spans="2:15" x14ac:dyDescent="0.45">
      <c r="B28" s="9" t="s">
        <v>61</v>
      </c>
      <c r="C28" s="9" t="s">
        <v>80</v>
      </c>
      <c r="D28" s="11">
        <v>1.9410733495470896E-2</v>
      </c>
      <c r="E28" s="9" t="s">
        <v>63</v>
      </c>
      <c r="G28" s="9" t="s">
        <v>142</v>
      </c>
      <c r="H28" s="9" t="s">
        <v>80</v>
      </c>
      <c r="I28" s="13">
        <v>1.5063465094353233E-2</v>
      </c>
      <c r="J28" s="9" t="s">
        <v>63</v>
      </c>
      <c r="L28" s="9" t="s">
        <v>162</v>
      </c>
      <c r="M28" s="9" t="s">
        <v>80</v>
      </c>
      <c r="N28" s="13">
        <v>1.5059189140532944E-2</v>
      </c>
      <c r="O28" s="9" t="s">
        <v>63</v>
      </c>
    </row>
    <row r="29" spans="2:15" x14ac:dyDescent="0.45">
      <c r="B29" s="8" t="s">
        <v>61</v>
      </c>
      <c r="C29" s="8" t="s">
        <v>81</v>
      </c>
      <c r="D29" s="10">
        <v>2.0099858215728234E-3</v>
      </c>
      <c r="E29" s="8" t="s">
        <v>63</v>
      </c>
      <c r="G29" s="8" t="s">
        <v>142</v>
      </c>
      <c r="H29" s="8" t="s">
        <v>81</v>
      </c>
      <c r="I29" s="12">
        <v>1.7812829386934043E-2</v>
      </c>
      <c r="J29" s="8" t="s">
        <v>63</v>
      </c>
      <c r="L29" s="8" t="s">
        <v>162</v>
      </c>
      <c r="M29" s="8" t="s">
        <v>81</v>
      </c>
      <c r="N29" s="12">
        <v>1.5772166501880343E-2</v>
      </c>
      <c r="O29" s="8" t="s">
        <v>63</v>
      </c>
    </row>
    <row r="30" spans="2:15" x14ac:dyDescent="0.45">
      <c r="B30" s="9" t="s">
        <v>61</v>
      </c>
      <c r="C30" s="9" t="s">
        <v>82</v>
      </c>
      <c r="D30" s="11">
        <v>0</v>
      </c>
      <c r="E30" s="9" t="s">
        <v>63</v>
      </c>
      <c r="G30" s="9" t="s">
        <v>142</v>
      </c>
      <c r="H30" s="9" t="s">
        <v>82</v>
      </c>
      <c r="I30" s="13">
        <v>2.734615734494094E-2</v>
      </c>
      <c r="J30" s="9" t="s">
        <v>63</v>
      </c>
      <c r="L30" s="9" t="s">
        <v>162</v>
      </c>
      <c r="M30" s="9" t="s">
        <v>82</v>
      </c>
      <c r="N30" s="13">
        <v>2.3693510976670301E-2</v>
      </c>
      <c r="O30" s="9" t="s">
        <v>63</v>
      </c>
    </row>
    <row r="31" spans="2:15" x14ac:dyDescent="0.45">
      <c r="B31" s="8" t="s">
        <v>61</v>
      </c>
      <c r="C31" s="8" t="s">
        <v>83</v>
      </c>
      <c r="D31" s="10">
        <v>0</v>
      </c>
      <c r="E31" s="8" t="s">
        <v>63</v>
      </c>
      <c r="G31" s="8" t="s">
        <v>142</v>
      </c>
      <c r="H31" s="8" t="s">
        <v>83</v>
      </c>
      <c r="I31" s="12">
        <v>2.8888848772675318E-2</v>
      </c>
      <c r="J31" s="8" t="s">
        <v>63</v>
      </c>
      <c r="L31" s="8" t="s">
        <v>162</v>
      </c>
      <c r="M31" s="8" t="s">
        <v>83</v>
      </c>
      <c r="N31" s="12">
        <v>2.4049145712226012E-2</v>
      </c>
      <c r="O31" s="8" t="s">
        <v>63</v>
      </c>
    </row>
    <row r="32" spans="2:15" x14ac:dyDescent="0.45">
      <c r="B32" s="9" t="s">
        <v>61</v>
      </c>
      <c r="C32" s="9" t="s">
        <v>84</v>
      </c>
      <c r="D32" s="11">
        <v>1.168538694835226E-2</v>
      </c>
      <c r="E32" s="9" t="s">
        <v>63</v>
      </c>
      <c r="G32" s="9" t="s">
        <v>142</v>
      </c>
      <c r="H32" s="9" t="s">
        <v>84</v>
      </c>
      <c r="I32" s="13">
        <v>9.4417789789585423E-3</v>
      </c>
      <c r="J32" s="9" t="s">
        <v>63</v>
      </c>
      <c r="L32" s="9" t="s">
        <v>162</v>
      </c>
      <c r="M32" s="9" t="s">
        <v>84</v>
      </c>
      <c r="N32" s="13">
        <v>9.0997753981995923E-3</v>
      </c>
      <c r="O32" s="9" t="s">
        <v>63</v>
      </c>
    </row>
    <row r="33" spans="2:15" x14ac:dyDescent="0.45">
      <c r="B33" s="8" t="s">
        <v>61</v>
      </c>
      <c r="C33" s="8" t="s">
        <v>85</v>
      </c>
      <c r="D33" s="10">
        <v>3.3013240103272848E-2</v>
      </c>
      <c r="E33" s="8" t="s">
        <v>63</v>
      </c>
      <c r="G33" s="8" t="s">
        <v>142</v>
      </c>
      <c r="H33" s="8" t="s">
        <v>85</v>
      </c>
      <c r="I33" s="12">
        <v>6.8075502933140049E-3</v>
      </c>
      <c r="J33" s="8" t="s">
        <v>63</v>
      </c>
      <c r="L33" s="8" t="s">
        <v>162</v>
      </c>
      <c r="M33" s="8" t="s">
        <v>85</v>
      </c>
      <c r="N33" s="12">
        <v>7.3612592427726832E-3</v>
      </c>
      <c r="O33" s="8" t="s">
        <v>63</v>
      </c>
    </row>
    <row r="34" spans="2:15" x14ac:dyDescent="0.45">
      <c r="B34" s="9" t="s">
        <v>61</v>
      </c>
      <c r="C34" s="9" t="s">
        <v>86</v>
      </c>
      <c r="D34" s="11">
        <v>4.5176323176151251E-2</v>
      </c>
      <c r="E34" s="9" t="s">
        <v>63</v>
      </c>
      <c r="G34" s="9" t="s">
        <v>142</v>
      </c>
      <c r="H34" s="9" t="s">
        <v>86</v>
      </c>
      <c r="I34" s="13">
        <v>7.2297518469697526E-3</v>
      </c>
      <c r="J34" s="9" t="s">
        <v>63</v>
      </c>
      <c r="L34" s="9" t="s">
        <v>162</v>
      </c>
      <c r="M34" s="9" t="s">
        <v>86</v>
      </c>
      <c r="N34" s="13">
        <v>7.4492245158101792E-3</v>
      </c>
      <c r="O34" s="9" t="s">
        <v>63</v>
      </c>
    </row>
    <row r="35" spans="2:15" x14ac:dyDescent="0.45">
      <c r="B35" s="8" t="s">
        <v>61</v>
      </c>
      <c r="C35" s="8" t="s">
        <v>87</v>
      </c>
      <c r="D35" s="10">
        <v>4.6461679830196577E-2</v>
      </c>
      <c r="E35" s="8" t="s">
        <v>63</v>
      </c>
      <c r="G35" s="8" t="s">
        <v>142</v>
      </c>
      <c r="H35" s="8" t="s">
        <v>87</v>
      </c>
      <c r="I35" s="12">
        <v>5.9897417669614629E-3</v>
      </c>
      <c r="J35" s="8" t="s">
        <v>63</v>
      </c>
      <c r="L35" s="8" t="s">
        <v>162</v>
      </c>
      <c r="M35" s="8" t="s">
        <v>87</v>
      </c>
      <c r="N35" s="12">
        <v>6.8909652465144874E-3</v>
      </c>
      <c r="O35" s="8" t="s">
        <v>63</v>
      </c>
    </row>
    <row r="36" spans="2:15" x14ac:dyDescent="0.45">
      <c r="B36" s="9" t="s">
        <v>61</v>
      </c>
      <c r="C36" s="9" t="s">
        <v>88</v>
      </c>
      <c r="D36" s="11">
        <v>4.3390388458859758E-2</v>
      </c>
      <c r="E36" s="9" t="s">
        <v>63</v>
      </c>
      <c r="G36" s="9" t="s">
        <v>142</v>
      </c>
      <c r="H36" s="9" t="s">
        <v>88</v>
      </c>
      <c r="I36" s="13">
        <v>7.2831724863313269E-3</v>
      </c>
      <c r="J36" s="9" t="s">
        <v>63</v>
      </c>
      <c r="L36" s="9" t="s">
        <v>162</v>
      </c>
      <c r="M36" s="9" t="s">
        <v>88</v>
      </c>
      <c r="N36" s="13">
        <v>7.9237462858235547E-3</v>
      </c>
      <c r="O36" s="9" t="s">
        <v>63</v>
      </c>
    </row>
    <row r="37" spans="2:15" x14ac:dyDescent="0.45">
      <c r="B37" s="8" t="s">
        <v>61</v>
      </c>
      <c r="C37" s="8" t="s">
        <v>89</v>
      </c>
      <c r="D37" s="10">
        <v>3.7136520055783606E-2</v>
      </c>
      <c r="E37" s="8" t="s">
        <v>63</v>
      </c>
      <c r="G37" s="8" t="s">
        <v>142</v>
      </c>
      <c r="H37" s="8" t="s">
        <v>89</v>
      </c>
      <c r="I37" s="12">
        <v>7.6114934119421978E-3</v>
      </c>
      <c r="J37" s="8" t="s">
        <v>63</v>
      </c>
      <c r="L37" s="8" t="s">
        <v>162</v>
      </c>
      <c r="M37" s="8" t="s">
        <v>89</v>
      </c>
      <c r="N37" s="12">
        <v>8.1783338366987774E-3</v>
      </c>
      <c r="O37" s="8" t="s">
        <v>63</v>
      </c>
    </row>
    <row r="38" spans="2:15" x14ac:dyDescent="0.45">
      <c r="B38" s="9" t="s">
        <v>61</v>
      </c>
      <c r="C38" s="9" t="s">
        <v>90</v>
      </c>
      <c r="D38" s="11">
        <v>2.4726415760076483E-2</v>
      </c>
      <c r="E38" s="9" t="s">
        <v>63</v>
      </c>
      <c r="G38" s="9" t="s">
        <v>142</v>
      </c>
      <c r="H38" s="9" t="s">
        <v>90</v>
      </c>
      <c r="I38" s="13">
        <v>7.8416629956034652E-3</v>
      </c>
      <c r="J38" s="9" t="s">
        <v>63</v>
      </c>
      <c r="L38" s="9" t="s">
        <v>162</v>
      </c>
      <c r="M38" s="9" t="s">
        <v>90</v>
      </c>
      <c r="N38" s="13">
        <v>8.4582810865451736E-3</v>
      </c>
      <c r="O38" s="9" t="s">
        <v>63</v>
      </c>
    </row>
    <row r="39" spans="2:15" x14ac:dyDescent="0.45">
      <c r="B39" s="8" t="s">
        <v>61</v>
      </c>
      <c r="C39" s="8" t="s">
        <v>91</v>
      </c>
      <c r="D39" s="10">
        <v>8.8620078265014227E-3</v>
      </c>
      <c r="E39" s="8" t="s">
        <v>63</v>
      </c>
      <c r="G39" s="8" t="s">
        <v>142</v>
      </c>
      <c r="H39" s="8" t="s">
        <v>91</v>
      </c>
      <c r="I39" s="12">
        <v>8.9072734212059298E-3</v>
      </c>
      <c r="J39" s="8" t="s">
        <v>63</v>
      </c>
      <c r="L39" s="8" t="s">
        <v>162</v>
      </c>
      <c r="M39" s="8" t="s">
        <v>91</v>
      </c>
      <c r="N39" s="12">
        <v>9.1708249318375006E-3</v>
      </c>
      <c r="O39" s="8" t="s">
        <v>63</v>
      </c>
    </row>
    <row r="40" spans="2:15" x14ac:dyDescent="0.45">
      <c r="B40" s="9" t="s">
        <v>61</v>
      </c>
      <c r="C40" s="9" t="s">
        <v>92</v>
      </c>
      <c r="D40" s="11">
        <v>0</v>
      </c>
      <c r="E40" s="9" t="s">
        <v>63</v>
      </c>
      <c r="G40" s="9" t="s">
        <v>142</v>
      </c>
      <c r="H40" s="9" t="s">
        <v>92</v>
      </c>
      <c r="I40" s="13">
        <v>1.6964132095077793E-2</v>
      </c>
      <c r="J40" s="9" t="s">
        <v>63</v>
      </c>
      <c r="L40" s="9" t="s">
        <v>162</v>
      </c>
      <c r="M40" s="9" t="s">
        <v>92</v>
      </c>
      <c r="N40" s="13">
        <v>1.5254983868551508E-2</v>
      </c>
      <c r="O40" s="9" t="s">
        <v>63</v>
      </c>
    </row>
    <row r="41" spans="2:15" x14ac:dyDescent="0.45">
      <c r="B41" s="8" t="s">
        <v>61</v>
      </c>
      <c r="C41" s="8" t="s">
        <v>93</v>
      </c>
      <c r="D41" s="10">
        <v>0</v>
      </c>
      <c r="E41" s="8" t="s">
        <v>63</v>
      </c>
      <c r="G41" s="8" t="s">
        <v>142</v>
      </c>
      <c r="H41" s="8" t="s">
        <v>93</v>
      </c>
      <c r="I41" s="12">
        <v>2.290638524239207E-2</v>
      </c>
      <c r="J41" s="8" t="s">
        <v>63</v>
      </c>
      <c r="L41" s="8" t="s">
        <v>162</v>
      </c>
      <c r="M41" s="8" t="s">
        <v>93</v>
      </c>
      <c r="N41" s="12">
        <v>2.0362249244962764E-2</v>
      </c>
      <c r="O41" s="8" t="s">
        <v>63</v>
      </c>
    </row>
    <row r="42" spans="2:15" x14ac:dyDescent="0.45">
      <c r="B42" s="9" t="s">
        <v>61</v>
      </c>
      <c r="C42" s="9" t="s">
        <v>94</v>
      </c>
      <c r="D42" s="11">
        <v>1.0997440915704412E-2</v>
      </c>
      <c r="E42" s="9" t="s">
        <v>63</v>
      </c>
      <c r="G42" s="9" t="s">
        <v>142</v>
      </c>
      <c r="H42" s="9" t="s">
        <v>94</v>
      </c>
      <c r="I42" s="13">
        <v>7.0005015585694321E-3</v>
      </c>
      <c r="J42" s="9" t="s">
        <v>63</v>
      </c>
      <c r="L42" s="9" t="s">
        <v>162</v>
      </c>
      <c r="M42" s="9" t="s">
        <v>94</v>
      </c>
      <c r="N42" s="13">
        <v>7.4867595601396325E-3</v>
      </c>
      <c r="O42" s="9" t="s">
        <v>63</v>
      </c>
    </row>
    <row r="43" spans="2:15" x14ac:dyDescent="0.45">
      <c r="B43" s="8" t="s">
        <v>61</v>
      </c>
      <c r="C43" s="8" t="s">
        <v>95</v>
      </c>
      <c r="D43" s="10">
        <v>3.6634755024553871E-2</v>
      </c>
      <c r="E43" s="8" t="s">
        <v>63</v>
      </c>
      <c r="G43" s="8" t="s">
        <v>142</v>
      </c>
      <c r="H43" s="8" t="s">
        <v>95</v>
      </c>
      <c r="I43" s="12">
        <v>5.1974777217820289E-3</v>
      </c>
      <c r="J43" s="8" t="s">
        <v>63</v>
      </c>
      <c r="L43" s="8" t="s">
        <v>162</v>
      </c>
      <c r="M43" s="8" t="s">
        <v>95</v>
      </c>
      <c r="N43" s="12">
        <v>7.3960964628235377E-3</v>
      </c>
      <c r="O43" s="8" t="s">
        <v>63</v>
      </c>
    </row>
    <row r="44" spans="2:15" x14ac:dyDescent="0.45">
      <c r="B44" s="9" t="s">
        <v>61</v>
      </c>
      <c r="C44" s="9" t="s">
        <v>96</v>
      </c>
      <c r="D44" s="11">
        <v>5.3054997672961797E-2</v>
      </c>
      <c r="E44" s="9" t="s">
        <v>63</v>
      </c>
      <c r="G44" s="9" t="s">
        <v>142</v>
      </c>
      <c r="H44" s="9" t="s">
        <v>96</v>
      </c>
      <c r="I44" s="13">
        <v>6.3297488065718471E-3</v>
      </c>
      <c r="J44" s="9" t="s">
        <v>63</v>
      </c>
      <c r="L44" s="9" t="s">
        <v>162</v>
      </c>
      <c r="M44" s="9" t="s">
        <v>96</v>
      </c>
      <c r="N44" s="13">
        <v>8.0333022305149465E-3</v>
      </c>
      <c r="O44" s="9" t="s">
        <v>63</v>
      </c>
    </row>
    <row r="45" spans="2:15" x14ac:dyDescent="0.45">
      <c r="B45" s="8" t="s">
        <v>61</v>
      </c>
      <c r="C45" s="8" t="s">
        <v>97</v>
      </c>
      <c r="D45" s="10">
        <v>5.4994649562613553E-2</v>
      </c>
      <c r="E45" s="8" t="s">
        <v>63</v>
      </c>
      <c r="G45" s="8" t="s">
        <v>142</v>
      </c>
      <c r="H45" s="8" t="s">
        <v>97</v>
      </c>
      <c r="I45" s="12">
        <v>5.5070826883150299E-3</v>
      </c>
      <c r="J45" s="8" t="s">
        <v>63</v>
      </c>
      <c r="L45" s="8" t="s">
        <v>162</v>
      </c>
      <c r="M45" s="8" t="s">
        <v>97</v>
      </c>
      <c r="N45" s="12">
        <v>7.518829452566456E-3</v>
      </c>
      <c r="O45" s="8" t="s">
        <v>63</v>
      </c>
    </row>
    <row r="46" spans="2:15" x14ac:dyDescent="0.45">
      <c r="B46" s="9" t="s">
        <v>61</v>
      </c>
      <c r="C46" s="9" t="s">
        <v>98</v>
      </c>
      <c r="D46" s="11">
        <v>5.1377564658018834E-2</v>
      </c>
      <c r="E46" s="9" t="s">
        <v>63</v>
      </c>
      <c r="G46" s="9" t="s">
        <v>142</v>
      </c>
      <c r="H46" s="9" t="s">
        <v>98</v>
      </c>
      <c r="I46" s="13">
        <v>7.1984356518419741E-3</v>
      </c>
      <c r="J46" s="9" t="s">
        <v>63</v>
      </c>
      <c r="L46" s="9" t="s">
        <v>162</v>
      </c>
      <c r="M46" s="9" t="s">
        <v>98</v>
      </c>
      <c r="N46" s="13">
        <v>9.2309452024535599E-3</v>
      </c>
      <c r="O46" s="9" t="s">
        <v>63</v>
      </c>
    </row>
    <row r="47" spans="2:15" x14ac:dyDescent="0.45">
      <c r="B47" s="8" t="s">
        <v>61</v>
      </c>
      <c r="C47" s="8" t="s">
        <v>99</v>
      </c>
      <c r="D47" s="10">
        <v>4.6078674436946861E-2</v>
      </c>
      <c r="E47" s="8" t="s">
        <v>63</v>
      </c>
      <c r="G47" s="8" t="s">
        <v>142</v>
      </c>
      <c r="H47" s="8" t="s">
        <v>99</v>
      </c>
      <c r="I47" s="12">
        <v>7.5296562308634117E-3</v>
      </c>
      <c r="J47" s="8" t="s">
        <v>63</v>
      </c>
      <c r="L47" s="8" t="s">
        <v>162</v>
      </c>
      <c r="M47" s="8" t="s">
        <v>99</v>
      </c>
      <c r="N47" s="12">
        <v>9.9743351470557365E-3</v>
      </c>
      <c r="O47" s="8" t="s">
        <v>63</v>
      </c>
    </row>
    <row r="48" spans="2:15" x14ac:dyDescent="0.45">
      <c r="B48" s="9" t="s">
        <v>61</v>
      </c>
      <c r="C48" s="9" t="s">
        <v>100</v>
      </c>
      <c r="D48" s="11">
        <v>3.2424051511242238E-2</v>
      </c>
      <c r="E48" s="9" t="s">
        <v>63</v>
      </c>
      <c r="G48" s="9" t="s">
        <v>142</v>
      </c>
      <c r="H48" s="9" t="s">
        <v>100</v>
      </c>
      <c r="I48" s="13">
        <v>6.8041437360305025E-3</v>
      </c>
      <c r="J48" s="9" t="s">
        <v>63</v>
      </c>
      <c r="L48" s="9" t="s">
        <v>162</v>
      </c>
      <c r="M48" s="9" t="s">
        <v>100</v>
      </c>
      <c r="N48" s="13">
        <v>9.0983364311340176E-3</v>
      </c>
      <c r="O48" s="9" t="s">
        <v>63</v>
      </c>
    </row>
    <row r="49" spans="2:15" x14ac:dyDescent="0.45">
      <c r="B49" s="8" t="s">
        <v>61</v>
      </c>
      <c r="C49" s="8" t="s">
        <v>101</v>
      </c>
      <c r="D49" s="10">
        <v>1.1570591416034856E-2</v>
      </c>
      <c r="E49" s="8" t="s">
        <v>63</v>
      </c>
      <c r="G49" s="8" t="s">
        <v>142</v>
      </c>
      <c r="H49" s="8" t="s">
        <v>101</v>
      </c>
      <c r="I49" s="12">
        <v>7.8711963886040816E-3</v>
      </c>
      <c r="J49" s="8" t="s">
        <v>63</v>
      </c>
      <c r="L49" s="8" t="s">
        <v>162</v>
      </c>
      <c r="M49" s="8" t="s">
        <v>101</v>
      </c>
      <c r="N49" s="12">
        <v>8.6689045532288497E-3</v>
      </c>
      <c r="O49" s="8" t="s">
        <v>63</v>
      </c>
    </row>
    <row r="50" spans="2:15" x14ac:dyDescent="0.45">
      <c r="B50" s="9" t="s">
        <v>61</v>
      </c>
      <c r="C50" s="9" t="s">
        <v>102</v>
      </c>
      <c r="D50" s="11">
        <v>0</v>
      </c>
      <c r="E50" s="9" t="s">
        <v>63</v>
      </c>
      <c r="G50" s="9" t="s">
        <v>142</v>
      </c>
      <c r="H50" s="9" t="s">
        <v>102</v>
      </c>
      <c r="I50" s="13">
        <v>1.5224196835337531E-2</v>
      </c>
      <c r="J50" s="9" t="s">
        <v>63</v>
      </c>
      <c r="L50" s="9" t="s">
        <v>162</v>
      </c>
      <c r="M50" s="9" t="s">
        <v>102</v>
      </c>
      <c r="N50" s="13">
        <v>1.2725167959428945E-2</v>
      </c>
      <c r="O50" s="9" t="s">
        <v>63</v>
      </c>
    </row>
    <row r="51" spans="2:15" x14ac:dyDescent="0.45">
      <c r="B51" s="8" t="s">
        <v>61</v>
      </c>
      <c r="C51" s="8" t="s">
        <v>103</v>
      </c>
      <c r="D51" s="10">
        <v>0</v>
      </c>
      <c r="E51" s="8" t="s">
        <v>63</v>
      </c>
      <c r="G51" s="8" t="s">
        <v>142</v>
      </c>
      <c r="H51" s="8" t="s">
        <v>103</v>
      </c>
      <c r="I51" s="12">
        <v>3.6199650748331827E-2</v>
      </c>
      <c r="J51" s="8" t="s">
        <v>63</v>
      </c>
      <c r="L51" s="8" t="s">
        <v>162</v>
      </c>
      <c r="M51" s="8" t="s">
        <v>103</v>
      </c>
      <c r="N51" s="12">
        <v>3.3912765615808034E-2</v>
      </c>
      <c r="O51" s="8" t="s">
        <v>63</v>
      </c>
    </row>
    <row r="52" spans="2:15" x14ac:dyDescent="0.45">
      <c r="B52" s="9" t="s">
        <v>61</v>
      </c>
      <c r="C52" s="9" t="s">
        <v>104</v>
      </c>
      <c r="D52" s="11">
        <v>1.6957522872564938E-4</v>
      </c>
      <c r="E52" s="9" t="s">
        <v>63</v>
      </c>
      <c r="G52" s="9" t="s">
        <v>142</v>
      </c>
      <c r="H52" s="9" t="s">
        <v>104</v>
      </c>
      <c r="I52" s="13">
        <v>1.3024451170373111E-2</v>
      </c>
      <c r="J52" s="9" t="s">
        <v>63</v>
      </c>
      <c r="L52" s="9" t="s">
        <v>162</v>
      </c>
      <c r="M52" s="9" t="s">
        <v>104</v>
      </c>
      <c r="N52" s="13">
        <v>1.3154680837522628E-2</v>
      </c>
      <c r="O52" s="9" t="s">
        <v>63</v>
      </c>
    </row>
    <row r="53" spans="2:15" x14ac:dyDescent="0.45">
      <c r="B53" s="8" t="s">
        <v>61</v>
      </c>
      <c r="C53" s="8" t="s">
        <v>105</v>
      </c>
      <c r="D53" s="10">
        <v>1.3235093273215329E-2</v>
      </c>
      <c r="E53" s="8" t="s">
        <v>63</v>
      </c>
      <c r="G53" s="8" t="s">
        <v>142</v>
      </c>
      <c r="H53" s="8" t="s">
        <v>105</v>
      </c>
      <c r="I53" s="12">
        <v>1.2146948598076595E-2</v>
      </c>
      <c r="J53" s="8" t="s">
        <v>63</v>
      </c>
      <c r="L53" s="8" t="s">
        <v>162</v>
      </c>
      <c r="M53" s="8" t="s">
        <v>105</v>
      </c>
      <c r="N53" s="12">
        <v>1.2798852848090231E-2</v>
      </c>
      <c r="O53" s="8" t="s">
        <v>63</v>
      </c>
    </row>
    <row r="54" spans="2:15" x14ac:dyDescent="0.45">
      <c r="B54" s="9" t="s">
        <v>61</v>
      </c>
      <c r="C54" s="9" t="s">
        <v>106</v>
      </c>
      <c r="D54" s="11">
        <v>2.8689281118610539E-2</v>
      </c>
      <c r="E54" s="9" t="s">
        <v>63</v>
      </c>
      <c r="G54" s="9" t="s">
        <v>142</v>
      </c>
      <c r="H54" s="9" t="s">
        <v>106</v>
      </c>
      <c r="I54" s="13">
        <v>1.1313420220110129E-2</v>
      </c>
      <c r="J54" s="9" t="s">
        <v>63</v>
      </c>
      <c r="L54" s="9" t="s">
        <v>162</v>
      </c>
      <c r="M54" s="9" t="s">
        <v>106</v>
      </c>
      <c r="N54" s="13">
        <v>1.2715581531094275E-2</v>
      </c>
      <c r="O54" s="9" t="s">
        <v>63</v>
      </c>
    </row>
    <row r="55" spans="2:15" x14ac:dyDescent="0.45">
      <c r="B55" s="8" t="s">
        <v>61</v>
      </c>
      <c r="C55" s="8" t="s">
        <v>107</v>
      </c>
      <c r="D55" s="10">
        <v>3.3218284752066195E-2</v>
      </c>
      <c r="E55" s="8" t="s">
        <v>63</v>
      </c>
      <c r="G55" s="8" t="s">
        <v>142</v>
      </c>
      <c r="H55" s="8" t="s">
        <v>107</v>
      </c>
      <c r="I55" s="12">
        <v>1.0373168980479694E-2</v>
      </c>
      <c r="J55" s="8" t="s">
        <v>63</v>
      </c>
      <c r="L55" s="8" t="s">
        <v>162</v>
      </c>
      <c r="M55" s="8" t="s">
        <v>107</v>
      </c>
      <c r="N55" s="12">
        <v>1.2293885488155052E-2</v>
      </c>
      <c r="O55" s="8" t="s">
        <v>63</v>
      </c>
    </row>
    <row r="56" spans="2:15" x14ac:dyDescent="0.45">
      <c r="B56" s="9" t="s">
        <v>61</v>
      </c>
      <c r="C56" s="9" t="s">
        <v>108</v>
      </c>
      <c r="D56" s="11">
        <v>3.4011035188438801E-2</v>
      </c>
      <c r="E56" s="9" t="s">
        <v>63</v>
      </c>
      <c r="G56" s="9" t="s">
        <v>142</v>
      </c>
      <c r="H56" s="9" t="s">
        <v>108</v>
      </c>
      <c r="I56" s="13">
        <v>1.1428351231936119E-2</v>
      </c>
      <c r="J56" s="9" t="s">
        <v>63</v>
      </c>
      <c r="L56" s="9" t="s">
        <v>162</v>
      </c>
      <c r="M56" s="9" t="s">
        <v>108</v>
      </c>
      <c r="N56" s="13">
        <v>1.3120584875639916E-2</v>
      </c>
      <c r="O56" s="9" t="s">
        <v>63</v>
      </c>
    </row>
    <row r="57" spans="2:15" x14ac:dyDescent="0.45">
      <c r="B57" s="8" t="s">
        <v>61</v>
      </c>
      <c r="C57" s="8" t="s">
        <v>109</v>
      </c>
      <c r="D57" s="10">
        <v>2.6874330930612467E-2</v>
      </c>
      <c r="E57" s="8" t="s">
        <v>63</v>
      </c>
      <c r="G57" s="8" t="s">
        <v>142</v>
      </c>
      <c r="H57" s="8" t="s">
        <v>109</v>
      </c>
      <c r="I57" s="12">
        <v>1.1728216958696212E-2</v>
      </c>
      <c r="J57" s="8" t="s">
        <v>63</v>
      </c>
      <c r="L57" s="8" t="s">
        <v>162</v>
      </c>
      <c r="M57" s="8" t="s">
        <v>109</v>
      </c>
      <c r="N57" s="12">
        <v>1.4428076595098843E-2</v>
      </c>
      <c r="O57" s="8" t="s">
        <v>63</v>
      </c>
    </row>
    <row r="58" spans="2:15" x14ac:dyDescent="0.45">
      <c r="B58" s="9" t="s">
        <v>61</v>
      </c>
      <c r="C58" s="9" t="s">
        <v>110</v>
      </c>
      <c r="D58" s="11">
        <v>9.4528833397579549E-3</v>
      </c>
      <c r="E58" s="9" t="s">
        <v>63</v>
      </c>
      <c r="G58" s="9" t="s">
        <v>142</v>
      </c>
      <c r="H58" s="9" t="s">
        <v>110</v>
      </c>
      <c r="I58" s="13">
        <v>1.3733560129724333E-2</v>
      </c>
      <c r="J58" s="9" t="s">
        <v>63</v>
      </c>
      <c r="L58" s="9" t="s">
        <v>162</v>
      </c>
      <c r="M58" s="9" t="s">
        <v>110</v>
      </c>
      <c r="N58" s="13">
        <v>1.5039549666561737E-2</v>
      </c>
      <c r="O58" s="9" t="s">
        <v>63</v>
      </c>
    </row>
    <row r="59" spans="2:15" x14ac:dyDescent="0.45">
      <c r="B59" s="8" t="s">
        <v>61</v>
      </c>
      <c r="C59" s="8" t="s">
        <v>111</v>
      </c>
      <c r="D59" s="10">
        <v>6.2460298604412919E-5</v>
      </c>
      <c r="E59" s="8" t="s">
        <v>63</v>
      </c>
      <c r="G59" s="8" t="s">
        <v>142</v>
      </c>
      <c r="H59" s="8" t="s">
        <v>111</v>
      </c>
      <c r="I59" s="12">
        <v>1.5968145143300125E-2</v>
      </c>
      <c r="J59" s="8" t="s">
        <v>63</v>
      </c>
      <c r="L59" s="8" t="s">
        <v>162</v>
      </c>
      <c r="M59" s="8" t="s">
        <v>111</v>
      </c>
      <c r="N59" s="12">
        <v>1.5347136138014805E-2</v>
      </c>
      <c r="O59" s="8" t="s">
        <v>63</v>
      </c>
    </row>
    <row r="60" spans="2:15" x14ac:dyDescent="0.45">
      <c r="B60" s="9" t="s">
        <v>61</v>
      </c>
      <c r="C60" s="9" t="s">
        <v>112</v>
      </c>
      <c r="D60" s="11">
        <v>0</v>
      </c>
      <c r="E60" s="9" t="s">
        <v>63</v>
      </c>
      <c r="G60" s="9" t="s">
        <v>142</v>
      </c>
      <c r="H60" s="9" t="s">
        <v>112</v>
      </c>
      <c r="I60" s="13">
        <v>2.5281649219450752E-2</v>
      </c>
      <c r="J60" s="9" t="s">
        <v>63</v>
      </c>
      <c r="L60" s="9" t="s">
        <v>162</v>
      </c>
      <c r="M60" s="9" t="s">
        <v>112</v>
      </c>
      <c r="N60" s="13">
        <v>2.2833452012336709E-2</v>
      </c>
      <c r="O60" s="9" t="s">
        <v>63</v>
      </c>
    </row>
    <row r="61" spans="2:15" x14ac:dyDescent="0.45">
      <c r="B61" s="8" t="s">
        <v>61</v>
      </c>
      <c r="C61" s="8" t="s">
        <v>113</v>
      </c>
      <c r="D61" s="10">
        <v>0</v>
      </c>
      <c r="E61" s="8" t="s">
        <v>63</v>
      </c>
      <c r="G61" s="8" t="s">
        <v>142</v>
      </c>
      <c r="H61" s="8" t="s">
        <v>113</v>
      </c>
      <c r="I61" s="12">
        <v>5.4088788335641041E-2</v>
      </c>
      <c r="J61" s="8" t="s">
        <v>63</v>
      </c>
      <c r="L61" s="8" t="s">
        <v>162</v>
      </c>
      <c r="M61" s="8" t="s">
        <v>113</v>
      </c>
      <c r="N61" s="12">
        <v>5.8595660830758463E-2</v>
      </c>
      <c r="O61" s="8" t="s">
        <v>63</v>
      </c>
    </row>
    <row r="62" spans="2:15" x14ac:dyDescent="0.45">
      <c r="B62" s="9" t="s">
        <v>61</v>
      </c>
      <c r="C62" s="9" t="s">
        <v>114</v>
      </c>
      <c r="D62" s="11">
        <v>0</v>
      </c>
      <c r="E62" s="9" t="s">
        <v>63</v>
      </c>
      <c r="G62" s="9" t="s">
        <v>142</v>
      </c>
      <c r="H62" s="9" t="s">
        <v>114</v>
      </c>
      <c r="I62" s="13">
        <v>2.1794136538048368E-2</v>
      </c>
      <c r="J62" s="9" t="s">
        <v>63</v>
      </c>
      <c r="L62" s="9" t="s">
        <v>162</v>
      </c>
      <c r="M62" s="9" t="s">
        <v>114</v>
      </c>
      <c r="N62" s="13">
        <v>2.3335736512656947E-2</v>
      </c>
      <c r="O62" s="9" t="s">
        <v>63</v>
      </c>
    </row>
    <row r="63" spans="2:15" x14ac:dyDescent="0.45">
      <c r="B63" s="8" t="s">
        <v>61</v>
      </c>
      <c r="C63" s="8" t="s">
        <v>115</v>
      </c>
      <c r="D63" s="10">
        <v>2.5484685385464306E-4</v>
      </c>
      <c r="E63" s="8" t="s">
        <v>63</v>
      </c>
      <c r="G63" s="8" t="s">
        <v>142</v>
      </c>
      <c r="H63" s="8" t="s">
        <v>115</v>
      </c>
      <c r="I63" s="12">
        <v>2.1764264024733044E-2</v>
      </c>
      <c r="J63" s="8" t="s">
        <v>63</v>
      </c>
      <c r="L63" s="8" t="s">
        <v>162</v>
      </c>
      <c r="M63" s="8" t="s">
        <v>115</v>
      </c>
      <c r="N63" s="12">
        <v>2.3036887555588404E-2</v>
      </c>
      <c r="O63" s="8" t="s">
        <v>63</v>
      </c>
    </row>
    <row r="64" spans="2:15" x14ac:dyDescent="0.45">
      <c r="B64" s="9" t="s">
        <v>61</v>
      </c>
      <c r="C64" s="9" t="s">
        <v>116</v>
      </c>
      <c r="D64" s="11">
        <v>8.9082001172153431E-3</v>
      </c>
      <c r="E64" s="9" t="s">
        <v>63</v>
      </c>
      <c r="G64" s="9" t="s">
        <v>142</v>
      </c>
      <c r="H64" s="9" t="s">
        <v>116</v>
      </c>
      <c r="I64" s="13">
        <v>2.0835358973871475E-2</v>
      </c>
      <c r="J64" s="9" t="s">
        <v>63</v>
      </c>
      <c r="L64" s="9" t="s">
        <v>162</v>
      </c>
      <c r="M64" s="9" t="s">
        <v>116</v>
      </c>
      <c r="N64" s="13">
        <v>2.2941625928693442E-2</v>
      </c>
      <c r="O64" s="9" t="s">
        <v>63</v>
      </c>
    </row>
    <row r="65" spans="2:15" x14ac:dyDescent="0.45">
      <c r="B65" s="8" t="s">
        <v>61</v>
      </c>
      <c r="C65" s="8" t="s">
        <v>117</v>
      </c>
      <c r="D65" s="10">
        <v>1.4683617496913407E-2</v>
      </c>
      <c r="E65" s="8" t="s">
        <v>63</v>
      </c>
      <c r="G65" s="8" t="s">
        <v>142</v>
      </c>
      <c r="H65" s="8" t="s">
        <v>117</v>
      </c>
      <c r="I65" s="12">
        <v>1.9235148652841198E-2</v>
      </c>
      <c r="J65" s="8" t="s">
        <v>63</v>
      </c>
      <c r="L65" s="8" t="s">
        <v>162</v>
      </c>
      <c r="M65" s="8" t="s">
        <v>117</v>
      </c>
      <c r="N65" s="12">
        <v>2.2015413988558108E-2</v>
      </c>
      <c r="O65" s="8" t="s">
        <v>63</v>
      </c>
    </row>
    <row r="66" spans="2:15" x14ac:dyDescent="0.45">
      <c r="B66" s="9" t="s">
        <v>61</v>
      </c>
      <c r="C66" s="9" t="s">
        <v>118</v>
      </c>
      <c r="D66" s="11">
        <v>1.4574839052253669E-2</v>
      </c>
      <c r="E66" s="9" t="s">
        <v>63</v>
      </c>
      <c r="G66" s="9" t="s">
        <v>142</v>
      </c>
      <c r="H66" s="9" t="s">
        <v>118</v>
      </c>
      <c r="I66" s="13">
        <v>1.9092744678836544E-2</v>
      </c>
      <c r="J66" s="9" t="s">
        <v>63</v>
      </c>
      <c r="L66" s="9" t="s">
        <v>162</v>
      </c>
      <c r="M66" s="9" t="s">
        <v>118</v>
      </c>
      <c r="N66" s="13">
        <v>2.1470248943505132E-2</v>
      </c>
      <c r="O66" s="9" t="s">
        <v>63</v>
      </c>
    </row>
    <row r="67" spans="2:15" x14ac:dyDescent="0.45">
      <c r="B67" s="8" t="s">
        <v>61</v>
      </c>
      <c r="C67" s="8" t="s">
        <v>119</v>
      </c>
      <c r="D67" s="10">
        <v>7.8020659032101572E-3</v>
      </c>
      <c r="E67" s="8" t="s">
        <v>63</v>
      </c>
      <c r="G67" s="8" t="s">
        <v>142</v>
      </c>
      <c r="H67" s="8" t="s">
        <v>119</v>
      </c>
      <c r="I67" s="12">
        <v>2.0605025584753221E-2</v>
      </c>
      <c r="J67" s="8" t="s">
        <v>63</v>
      </c>
      <c r="L67" s="8" t="s">
        <v>162</v>
      </c>
      <c r="M67" s="8" t="s">
        <v>119</v>
      </c>
      <c r="N67" s="12">
        <v>2.2067526721372511E-2</v>
      </c>
      <c r="O67" s="8" t="s">
        <v>63</v>
      </c>
    </row>
    <row r="68" spans="2:15" x14ac:dyDescent="0.45">
      <c r="B68" s="9" t="s">
        <v>61</v>
      </c>
      <c r="C68" s="9" t="s">
        <v>120</v>
      </c>
      <c r="D68" s="11">
        <v>0</v>
      </c>
      <c r="E68" s="9" t="s">
        <v>63</v>
      </c>
      <c r="G68" s="9" t="s">
        <v>142</v>
      </c>
      <c r="H68" s="9" t="s">
        <v>120</v>
      </c>
      <c r="I68" s="13">
        <v>2.2653562690863646E-2</v>
      </c>
      <c r="J68" s="9" t="s">
        <v>63</v>
      </c>
      <c r="L68" s="9" t="s">
        <v>162</v>
      </c>
      <c r="M68" s="9" t="s">
        <v>120</v>
      </c>
      <c r="N68" s="13">
        <v>2.2900424713366788E-2</v>
      </c>
      <c r="O68" s="9" t="s">
        <v>63</v>
      </c>
    </row>
    <row r="69" spans="2:15" x14ac:dyDescent="0.45">
      <c r="B69" s="8" t="s">
        <v>61</v>
      </c>
      <c r="C69" s="8" t="s">
        <v>121</v>
      </c>
      <c r="D69" s="10">
        <v>0</v>
      </c>
      <c r="E69" s="8" t="s">
        <v>63</v>
      </c>
      <c r="G69" s="8" t="s">
        <v>142</v>
      </c>
      <c r="H69" s="8" t="s">
        <v>121</v>
      </c>
      <c r="I69" s="12">
        <v>2.3116447405668712E-2</v>
      </c>
      <c r="J69" s="8" t="s">
        <v>63</v>
      </c>
      <c r="L69" s="8" t="s">
        <v>162</v>
      </c>
      <c r="M69" s="8" t="s">
        <v>121</v>
      </c>
      <c r="N69" s="12">
        <v>2.3511752507436975E-2</v>
      </c>
      <c r="O69" s="8" t="s">
        <v>63</v>
      </c>
    </row>
    <row r="70" spans="2:15" x14ac:dyDescent="0.45">
      <c r="B70" s="9" t="s">
        <v>61</v>
      </c>
      <c r="C70" s="9" t="s">
        <v>122</v>
      </c>
      <c r="D70" s="11">
        <v>0</v>
      </c>
      <c r="E70" s="9" t="s">
        <v>63</v>
      </c>
      <c r="G70" s="9" t="s">
        <v>142</v>
      </c>
      <c r="H70" s="9" t="s">
        <v>122</v>
      </c>
      <c r="I70" s="13">
        <v>3.3938744277238309E-2</v>
      </c>
      <c r="J70" s="9" t="s">
        <v>63</v>
      </c>
      <c r="L70" s="9" t="s">
        <v>162</v>
      </c>
      <c r="M70" s="9" t="s">
        <v>122</v>
      </c>
      <c r="N70" s="13">
        <v>3.6012083218636186E-2</v>
      </c>
      <c r="O70" s="9" t="s">
        <v>63</v>
      </c>
    </row>
    <row r="71" spans="2:15" x14ac:dyDescent="0.45">
      <c r="B71" s="8" t="s">
        <v>123</v>
      </c>
      <c r="C71" s="8" t="s">
        <v>62</v>
      </c>
      <c r="D71" s="10">
        <v>0</v>
      </c>
      <c r="E71" s="8" t="s">
        <v>63</v>
      </c>
      <c r="G71" s="8" t="s">
        <v>143</v>
      </c>
      <c r="H71" s="8" t="s">
        <v>62</v>
      </c>
      <c r="I71" s="12">
        <v>4.055323110241503E-2</v>
      </c>
      <c r="J71" s="8" t="s">
        <v>63</v>
      </c>
      <c r="L71" s="8" t="s">
        <v>163</v>
      </c>
      <c r="M71" s="8" t="s">
        <v>62</v>
      </c>
      <c r="N71" s="12">
        <v>3.4362205189565141E-2</v>
      </c>
      <c r="O71" s="8" t="s">
        <v>63</v>
      </c>
    </row>
    <row r="72" spans="2:15" x14ac:dyDescent="0.45">
      <c r="B72" s="9" t="s">
        <v>123</v>
      </c>
      <c r="C72" s="9" t="s">
        <v>64</v>
      </c>
      <c r="D72" s="11">
        <v>0</v>
      </c>
      <c r="E72" s="9" t="s">
        <v>63</v>
      </c>
      <c r="G72" s="9" t="s">
        <v>143</v>
      </c>
      <c r="H72" s="9" t="s">
        <v>64</v>
      </c>
      <c r="I72" s="13">
        <v>1.6719489705235371E-2</v>
      </c>
      <c r="J72" s="9" t="s">
        <v>63</v>
      </c>
      <c r="L72" s="9" t="s">
        <v>163</v>
      </c>
      <c r="M72" s="9" t="s">
        <v>64</v>
      </c>
      <c r="N72" s="13">
        <v>1.3713751928448E-2</v>
      </c>
      <c r="O72" s="9" t="s">
        <v>63</v>
      </c>
    </row>
    <row r="73" spans="2:15" x14ac:dyDescent="0.45">
      <c r="B73" s="8" t="s">
        <v>123</v>
      </c>
      <c r="C73" s="8" t="s">
        <v>65</v>
      </c>
      <c r="D73" s="10">
        <v>7.7909925145441599E-4</v>
      </c>
      <c r="E73" s="8" t="s">
        <v>63</v>
      </c>
      <c r="G73" s="8" t="s">
        <v>143</v>
      </c>
      <c r="H73" s="8" t="s">
        <v>65</v>
      </c>
      <c r="I73" s="12">
        <v>1.7052422660110353E-2</v>
      </c>
      <c r="J73" s="8" t="s">
        <v>63</v>
      </c>
      <c r="L73" s="8" t="s">
        <v>163</v>
      </c>
      <c r="M73" s="8" t="s">
        <v>65</v>
      </c>
      <c r="N73" s="12">
        <v>1.3792655797756157E-2</v>
      </c>
      <c r="O73" s="8" t="s">
        <v>63</v>
      </c>
    </row>
    <row r="74" spans="2:15" x14ac:dyDescent="0.45">
      <c r="B74" s="9" t="s">
        <v>123</v>
      </c>
      <c r="C74" s="9" t="s">
        <v>66</v>
      </c>
      <c r="D74" s="11">
        <v>1.0809902101902471E-2</v>
      </c>
      <c r="E74" s="9" t="s">
        <v>63</v>
      </c>
      <c r="G74" s="9" t="s">
        <v>143</v>
      </c>
      <c r="H74" s="9" t="s">
        <v>66</v>
      </c>
      <c r="I74" s="13">
        <v>1.6340090248520588E-2</v>
      </c>
      <c r="J74" s="9" t="s">
        <v>63</v>
      </c>
      <c r="L74" s="9" t="s">
        <v>163</v>
      </c>
      <c r="M74" s="9" t="s">
        <v>66</v>
      </c>
      <c r="N74" s="13">
        <v>1.4202567626155665E-2</v>
      </c>
      <c r="O74" s="9" t="s">
        <v>63</v>
      </c>
    </row>
    <row r="75" spans="2:15" x14ac:dyDescent="0.45">
      <c r="B75" s="8" t="s">
        <v>123</v>
      </c>
      <c r="C75" s="8" t="s">
        <v>67</v>
      </c>
      <c r="D75" s="10">
        <v>1.9752746909083272E-2</v>
      </c>
      <c r="E75" s="8" t="s">
        <v>63</v>
      </c>
      <c r="G75" s="8" t="s">
        <v>143</v>
      </c>
      <c r="H75" s="8" t="s">
        <v>67</v>
      </c>
      <c r="I75" s="12">
        <v>1.4901580904167105E-2</v>
      </c>
      <c r="J75" s="8" t="s">
        <v>63</v>
      </c>
      <c r="L75" s="8" t="s">
        <v>163</v>
      </c>
      <c r="M75" s="8" t="s">
        <v>67</v>
      </c>
      <c r="N75" s="12">
        <v>1.4083923553848401E-2</v>
      </c>
      <c r="O75" s="8" t="s">
        <v>63</v>
      </c>
    </row>
    <row r="76" spans="2:15" x14ac:dyDescent="0.45">
      <c r="B76" s="9" t="s">
        <v>123</v>
      </c>
      <c r="C76" s="9" t="s">
        <v>68</v>
      </c>
      <c r="D76" s="11">
        <v>1.9909715556191383E-2</v>
      </c>
      <c r="E76" s="9" t="s">
        <v>63</v>
      </c>
      <c r="G76" s="9" t="s">
        <v>143</v>
      </c>
      <c r="H76" s="9" t="s">
        <v>68</v>
      </c>
      <c r="I76" s="13">
        <v>1.5468582644504611E-2</v>
      </c>
      <c r="J76" s="9" t="s">
        <v>63</v>
      </c>
      <c r="L76" s="9" t="s">
        <v>163</v>
      </c>
      <c r="M76" s="9" t="s">
        <v>68</v>
      </c>
      <c r="N76" s="13">
        <v>1.3697706232213851E-2</v>
      </c>
      <c r="O76" s="9" t="s">
        <v>63</v>
      </c>
    </row>
    <row r="77" spans="2:15" x14ac:dyDescent="0.45">
      <c r="B77" s="8" t="s">
        <v>123</v>
      </c>
      <c r="C77" s="8" t="s">
        <v>69</v>
      </c>
      <c r="D77" s="10">
        <v>1.2204831368484964E-2</v>
      </c>
      <c r="E77" s="8" t="s">
        <v>63</v>
      </c>
      <c r="G77" s="8" t="s">
        <v>143</v>
      </c>
      <c r="H77" s="8" t="s">
        <v>69</v>
      </c>
      <c r="I77" s="12">
        <v>1.6275399599732818E-2</v>
      </c>
      <c r="J77" s="8" t="s">
        <v>63</v>
      </c>
      <c r="L77" s="8" t="s">
        <v>163</v>
      </c>
      <c r="M77" s="8" t="s">
        <v>69</v>
      </c>
      <c r="N77" s="12">
        <v>1.4096246137409202E-2</v>
      </c>
      <c r="O77" s="8" t="s">
        <v>63</v>
      </c>
    </row>
    <row r="78" spans="2:15" x14ac:dyDescent="0.45">
      <c r="B78" s="9" t="s">
        <v>123</v>
      </c>
      <c r="C78" s="9" t="s">
        <v>70</v>
      </c>
      <c r="D78" s="11">
        <v>1.4933527399181509E-3</v>
      </c>
      <c r="E78" s="9" t="s">
        <v>63</v>
      </c>
      <c r="G78" s="9" t="s">
        <v>143</v>
      </c>
      <c r="H78" s="9" t="s">
        <v>70</v>
      </c>
      <c r="I78" s="13">
        <v>1.7945972067929129E-2</v>
      </c>
      <c r="J78" s="9" t="s">
        <v>63</v>
      </c>
      <c r="L78" s="9" t="s">
        <v>163</v>
      </c>
      <c r="M78" s="9" t="s">
        <v>70</v>
      </c>
      <c r="N78" s="13">
        <v>1.4817605937562211E-2</v>
      </c>
      <c r="O78" s="9" t="s">
        <v>63</v>
      </c>
    </row>
    <row r="79" spans="2:15" x14ac:dyDescent="0.45">
      <c r="B79" s="8" t="s">
        <v>123</v>
      </c>
      <c r="C79" s="8" t="s">
        <v>71</v>
      </c>
      <c r="D79" s="10">
        <v>0</v>
      </c>
      <c r="E79" s="8" t="s">
        <v>63</v>
      </c>
      <c r="G79" s="8" t="s">
        <v>143</v>
      </c>
      <c r="H79" s="8" t="s">
        <v>71</v>
      </c>
      <c r="I79" s="12">
        <v>1.8262115152993728E-2</v>
      </c>
      <c r="J79" s="8" t="s">
        <v>63</v>
      </c>
      <c r="L79" s="8" t="s">
        <v>163</v>
      </c>
      <c r="M79" s="8" t="s">
        <v>71</v>
      </c>
      <c r="N79" s="12">
        <v>1.4977591919140455E-2</v>
      </c>
      <c r="O79" s="8" t="s">
        <v>63</v>
      </c>
    </row>
    <row r="80" spans="2:15" x14ac:dyDescent="0.45">
      <c r="B80" s="9" t="s">
        <v>123</v>
      </c>
      <c r="C80" s="9" t="s">
        <v>72</v>
      </c>
      <c r="D80" s="11">
        <v>0</v>
      </c>
      <c r="E80" s="9" t="s">
        <v>63</v>
      </c>
      <c r="G80" s="9" t="s">
        <v>143</v>
      </c>
      <c r="H80" s="9" t="s">
        <v>72</v>
      </c>
      <c r="I80" s="13">
        <v>2.59318388605706E-2</v>
      </c>
      <c r="J80" s="9" t="s">
        <v>63</v>
      </c>
      <c r="L80" s="9" t="s">
        <v>163</v>
      </c>
      <c r="M80" s="9" t="s">
        <v>72</v>
      </c>
      <c r="N80" s="13">
        <v>2.187552309396357E-2</v>
      </c>
      <c r="O80" s="9" t="s">
        <v>63</v>
      </c>
    </row>
    <row r="81" spans="2:15" x14ac:dyDescent="0.45">
      <c r="B81" s="8" t="s">
        <v>123</v>
      </c>
      <c r="C81" s="8" t="s">
        <v>73</v>
      </c>
      <c r="D81" s="10">
        <v>0</v>
      </c>
      <c r="E81" s="8" t="s">
        <v>63</v>
      </c>
      <c r="G81" s="8" t="s">
        <v>143</v>
      </c>
      <c r="H81" s="8" t="s">
        <v>73</v>
      </c>
      <c r="I81" s="12">
        <v>4.5185743845063894E-2</v>
      </c>
      <c r="J81" s="8" t="s">
        <v>63</v>
      </c>
      <c r="L81" s="8" t="s">
        <v>163</v>
      </c>
      <c r="M81" s="8" t="s">
        <v>73</v>
      </c>
      <c r="N81" s="12">
        <v>4.0910211702421664E-2</v>
      </c>
      <c r="O81" s="8" t="s">
        <v>63</v>
      </c>
    </row>
    <row r="82" spans="2:15" x14ac:dyDescent="0.45">
      <c r="B82" s="9" t="s">
        <v>123</v>
      </c>
      <c r="C82" s="9" t="s">
        <v>74</v>
      </c>
      <c r="D82" s="11">
        <v>2.9235800111813643E-3</v>
      </c>
      <c r="E82" s="9" t="s">
        <v>63</v>
      </c>
      <c r="G82" s="9" t="s">
        <v>143</v>
      </c>
      <c r="H82" s="9" t="s">
        <v>74</v>
      </c>
      <c r="I82" s="13">
        <v>1.7482422397804308E-2</v>
      </c>
      <c r="J82" s="9" t="s">
        <v>63</v>
      </c>
      <c r="L82" s="9" t="s">
        <v>163</v>
      </c>
      <c r="M82" s="9" t="s">
        <v>74</v>
      </c>
      <c r="N82" s="13">
        <v>1.6097156108325166E-2</v>
      </c>
      <c r="O82" s="9" t="s">
        <v>63</v>
      </c>
    </row>
    <row r="83" spans="2:15" x14ac:dyDescent="0.45">
      <c r="B83" s="8" t="s">
        <v>123</v>
      </c>
      <c r="C83" s="8" t="s">
        <v>75</v>
      </c>
      <c r="D83" s="10">
        <v>2.0693116107618991E-2</v>
      </c>
      <c r="E83" s="8" t="s">
        <v>63</v>
      </c>
      <c r="G83" s="8" t="s">
        <v>143</v>
      </c>
      <c r="H83" s="8" t="s">
        <v>75</v>
      </c>
      <c r="I83" s="12">
        <v>1.534567694628379E-2</v>
      </c>
      <c r="J83" s="8" t="s">
        <v>63</v>
      </c>
      <c r="L83" s="8" t="s">
        <v>163</v>
      </c>
      <c r="M83" s="8" t="s">
        <v>75</v>
      </c>
      <c r="N83" s="12">
        <v>1.5814626851991059E-2</v>
      </c>
      <c r="O83" s="8" t="s">
        <v>63</v>
      </c>
    </row>
    <row r="84" spans="2:15" x14ac:dyDescent="0.45">
      <c r="B84" s="9" t="s">
        <v>123</v>
      </c>
      <c r="C84" s="9" t="s">
        <v>76</v>
      </c>
      <c r="D84" s="11">
        <v>3.8359061784289383E-2</v>
      </c>
      <c r="E84" s="9" t="s">
        <v>63</v>
      </c>
      <c r="G84" s="9" t="s">
        <v>143</v>
      </c>
      <c r="H84" s="9" t="s">
        <v>76</v>
      </c>
      <c r="I84" s="13">
        <v>1.4695544083078875E-2</v>
      </c>
      <c r="J84" s="9" t="s">
        <v>63</v>
      </c>
      <c r="L84" s="9" t="s">
        <v>163</v>
      </c>
      <c r="M84" s="9" t="s">
        <v>76</v>
      </c>
      <c r="N84" s="13">
        <v>1.5330402638413107E-2</v>
      </c>
      <c r="O84" s="9" t="s">
        <v>63</v>
      </c>
    </row>
    <row r="85" spans="2:15" x14ac:dyDescent="0.45">
      <c r="B85" s="8" t="s">
        <v>123</v>
      </c>
      <c r="C85" s="8" t="s">
        <v>77</v>
      </c>
      <c r="D85" s="10">
        <v>4.3448800195018587E-2</v>
      </c>
      <c r="E85" s="8" t="s">
        <v>63</v>
      </c>
      <c r="G85" s="8" t="s">
        <v>143</v>
      </c>
      <c r="H85" s="8" t="s">
        <v>77</v>
      </c>
      <c r="I85" s="12">
        <v>1.3191447997542606E-2</v>
      </c>
      <c r="J85" s="8" t="s">
        <v>63</v>
      </c>
      <c r="L85" s="8" t="s">
        <v>163</v>
      </c>
      <c r="M85" s="8" t="s">
        <v>77</v>
      </c>
      <c r="N85" s="12">
        <v>1.317688973605808E-2</v>
      </c>
      <c r="O85" s="8" t="s">
        <v>63</v>
      </c>
    </row>
    <row r="86" spans="2:15" x14ac:dyDescent="0.45">
      <c r="B86" s="9" t="s">
        <v>123</v>
      </c>
      <c r="C86" s="9" t="s">
        <v>78</v>
      </c>
      <c r="D86" s="11">
        <v>4.111599887901015E-2</v>
      </c>
      <c r="E86" s="9" t="s">
        <v>63</v>
      </c>
      <c r="G86" s="9" t="s">
        <v>143</v>
      </c>
      <c r="H86" s="9" t="s">
        <v>78</v>
      </c>
      <c r="I86" s="13">
        <v>1.4779464206970395E-2</v>
      </c>
      <c r="J86" s="9" t="s">
        <v>63</v>
      </c>
      <c r="L86" s="9" t="s">
        <v>163</v>
      </c>
      <c r="M86" s="9" t="s">
        <v>78</v>
      </c>
      <c r="N86" s="13">
        <v>1.3452775538920594E-2</v>
      </c>
      <c r="O86" s="9" t="s">
        <v>63</v>
      </c>
    </row>
    <row r="87" spans="2:15" x14ac:dyDescent="0.45">
      <c r="B87" s="8" t="s">
        <v>123</v>
      </c>
      <c r="C87" s="8" t="s">
        <v>79</v>
      </c>
      <c r="D87" s="10">
        <v>3.3957637820860732E-2</v>
      </c>
      <c r="E87" s="8" t="s">
        <v>63</v>
      </c>
      <c r="G87" s="8" t="s">
        <v>143</v>
      </c>
      <c r="H87" s="8" t="s">
        <v>79</v>
      </c>
      <c r="I87" s="12">
        <v>1.5093782120187719E-2</v>
      </c>
      <c r="J87" s="8" t="s">
        <v>63</v>
      </c>
      <c r="L87" s="8" t="s">
        <v>163</v>
      </c>
      <c r="M87" s="8" t="s">
        <v>79</v>
      </c>
      <c r="N87" s="12">
        <v>1.4646781484175656E-2</v>
      </c>
      <c r="O87" s="8" t="s">
        <v>63</v>
      </c>
    </row>
    <row r="88" spans="2:15" x14ac:dyDescent="0.45">
      <c r="B88" s="9" t="s">
        <v>123</v>
      </c>
      <c r="C88" s="9" t="s">
        <v>80</v>
      </c>
      <c r="D88" s="11">
        <v>1.8164253805631751E-2</v>
      </c>
      <c r="E88" s="9" t="s">
        <v>63</v>
      </c>
      <c r="G88" s="9" t="s">
        <v>143</v>
      </c>
      <c r="H88" s="9" t="s">
        <v>80</v>
      </c>
      <c r="I88" s="13">
        <v>1.6375699239145464E-2</v>
      </c>
      <c r="J88" s="9" t="s">
        <v>63</v>
      </c>
      <c r="L88" s="9" t="s">
        <v>163</v>
      </c>
      <c r="M88" s="9" t="s">
        <v>80</v>
      </c>
      <c r="N88" s="13">
        <v>1.6079259569893228E-2</v>
      </c>
      <c r="O88" s="9" t="s">
        <v>63</v>
      </c>
    </row>
    <row r="89" spans="2:15" x14ac:dyDescent="0.45">
      <c r="B89" s="8" t="s">
        <v>123</v>
      </c>
      <c r="C89" s="8" t="s">
        <v>81</v>
      </c>
      <c r="D89" s="10">
        <v>1.557898489452473E-3</v>
      </c>
      <c r="E89" s="8" t="s">
        <v>63</v>
      </c>
      <c r="G89" s="8" t="s">
        <v>143</v>
      </c>
      <c r="H89" s="8" t="s">
        <v>81</v>
      </c>
      <c r="I89" s="12">
        <v>1.9018287524500816E-2</v>
      </c>
      <c r="J89" s="8" t="s">
        <v>63</v>
      </c>
      <c r="L89" s="8" t="s">
        <v>163</v>
      </c>
      <c r="M89" s="8" t="s">
        <v>81</v>
      </c>
      <c r="N89" s="12">
        <v>1.7266696524606738E-2</v>
      </c>
      <c r="O89" s="8" t="s">
        <v>63</v>
      </c>
    </row>
    <row r="90" spans="2:15" x14ac:dyDescent="0.45">
      <c r="B90" s="9" t="s">
        <v>123</v>
      </c>
      <c r="C90" s="9" t="s">
        <v>82</v>
      </c>
      <c r="D90" s="11">
        <v>0</v>
      </c>
      <c r="E90" s="9" t="s">
        <v>63</v>
      </c>
      <c r="G90" s="9" t="s">
        <v>143</v>
      </c>
      <c r="H90" s="9" t="s">
        <v>82</v>
      </c>
      <c r="I90" s="13">
        <v>2.8436161297174838E-2</v>
      </c>
      <c r="J90" s="9" t="s">
        <v>63</v>
      </c>
      <c r="L90" s="9" t="s">
        <v>163</v>
      </c>
      <c r="M90" s="9" t="s">
        <v>82</v>
      </c>
      <c r="N90" s="13">
        <v>2.5991637549514487E-2</v>
      </c>
      <c r="O90" s="9" t="s">
        <v>63</v>
      </c>
    </row>
    <row r="91" spans="2:15" x14ac:dyDescent="0.45">
      <c r="B91" s="8" t="s">
        <v>123</v>
      </c>
      <c r="C91" s="8" t="s">
        <v>83</v>
      </c>
      <c r="D91" s="10">
        <v>0</v>
      </c>
      <c r="E91" s="8" t="s">
        <v>63</v>
      </c>
      <c r="G91" s="8" t="s">
        <v>143</v>
      </c>
      <c r="H91" s="8" t="s">
        <v>83</v>
      </c>
      <c r="I91" s="12">
        <v>2.3786959768077022E-2</v>
      </c>
      <c r="J91" s="8" t="s">
        <v>63</v>
      </c>
      <c r="L91" s="8" t="s">
        <v>163</v>
      </c>
      <c r="M91" s="8" t="s">
        <v>83</v>
      </c>
      <c r="N91" s="12">
        <v>2.8164752002365404E-2</v>
      </c>
      <c r="O91" s="8" t="s">
        <v>63</v>
      </c>
    </row>
    <row r="92" spans="2:15" x14ac:dyDescent="0.45">
      <c r="B92" s="9" t="s">
        <v>123</v>
      </c>
      <c r="C92" s="9" t="s">
        <v>84</v>
      </c>
      <c r="D92" s="11">
        <v>1.0274878268651328E-2</v>
      </c>
      <c r="E92" s="9" t="s">
        <v>63</v>
      </c>
      <c r="G92" s="9" t="s">
        <v>143</v>
      </c>
      <c r="H92" s="9" t="s">
        <v>84</v>
      </c>
      <c r="I92" s="13">
        <v>8.7511730861018506E-3</v>
      </c>
      <c r="J92" s="9" t="s">
        <v>63</v>
      </c>
      <c r="L92" s="9" t="s">
        <v>163</v>
      </c>
      <c r="M92" s="9" t="s">
        <v>84</v>
      </c>
      <c r="N92" s="13">
        <v>1.1298119308641998E-2</v>
      </c>
      <c r="O92" s="9" t="s">
        <v>63</v>
      </c>
    </row>
    <row r="93" spans="2:15" x14ac:dyDescent="0.45">
      <c r="B93" s="8" t="s">
        <v>123</v>
      </c>
      <c r="C93" s="8" t="s">
        <v>85</v>
      </c>
      <c r="D93" s="10">
        <v>2.8884753158319568E-2</v>
      </c>
      <c r="E93" s="8" t="s">
        <v>63</v>
      </c>
      <c r="G93" s="8" t="s">
        <v>143</v>
      </c>
      <c r="H93" s="8" t="s">
        <v>85</v>
      </c>
      <c r="I93" s="12">
        <v>6.9142891815333505E-3</v>
      </c>
      <c r="J93" s="8" t="s">
        <v>63</v>
      </c>
      <c r="L93" s="8" t="s">
        <v>163</v>
      </c>
      <c r="M93" s="8" t="s">
        <v>85</v>
      </c>
      <c r="N93" s="12">
        <v>1.094918564165186E-2</v>
      </c>
      <c r="O93" s="8" t="s">
        <v>63</v>
      </c>
    </row>
    <row r="94" spans="2:15" x14ac:dyDescent="0.45">
      <c r="B94" s="9" t="s">
        <v>123</v>
      </c>
      <c r="C94" s="9" t="s">
        <v>86</v>
      </c>
      <c r="D94" s="11">
        <v>3.9373164195853454E-2</v>
      </c>
      <c r="E94" s="9" t="s">
        <v>63</v>
      </c>
      <c r="G94" s="9" t="s">
        <v>143</v>
      </c>
      <c r="H94" s="9" t="s">
        <v>86</v>
      </c>
      <c r="I94" s="13">
        <v>6.5861939136370382E-3</v>
      </c>
      <c r="J94" s="9" t="s">
        <v>63</v>
      </c>
      <c r="L94" s="9" t="s">
        <v>163</v>
      </c>
      <c r="M94" s="9" t="s">
        <v>86</v>
      </c>
      <c r="N94" s="13">
        <v>1.0165318212525623E-2</v>
      </c>
      <c r="O94" s="9" t="s">
        <v>63</v>
      </c>
    </row>
    <row r="95" spans="2:15" x14ac:dyDescent="0.45">
      <c r="B95" s="8" t="s">
        <v>123</v>
      </c>
      <c r="C95" s="8" t="s">
        <v>87</v>
      </c>
      <c r="D95" s="10">
        <v>4.297678691384945E-2</v>
      </c>
      <c r="E95" s="8" t="s">
        <v>63</v>
      </c>
      <c r="G95" s="8" t="s">
        <v>143</v>
      </c>
      <c r="H95" s="8" t="s">
        <v>87</v>
      </c>
      <c r="I95" s="12">
        <v>5.2136764439561258E-3</v>
      </c>
      <c r="J95" s="8" t="s">
        <v>63</v>
      </c>
      <c r="L95" s="8" t="s">
        <v>163</v>
      </c>
      <c r="M95" s="8" t="s">
        <v>87</v>
      </c>
      <c r="N95" s="12">
        <v>8.5297182667565721E-3</v>
      </c>
      <c r="O95" s="8" t="s">
        <v>63</v>
      </c>
    </row>
    <row r="96" spans="2:15" x14ac:dyDescent="0.45">
      <c r="B96" s="9" t="s">
        <v>123</v>
      </c>
      <c r="C96" s="9" t="s">
        <v>88</v>
      </c>
      <c r="D96" s="11">
        <v>4.2627093391173147E-2</v>
      </c>
      <c r="E96" s="9" t="s">
        <v>63</v>
      </c>
      <c r="G96" s="9" t="s">
        <v>143</v>
      </c>
      <c r="H96" s="9" t="s">
        <v>88</v>
      </c>
      <c r="I96" s="13">
        <v>6.3271199572339483E-3</v>
      </c>
      <c r="J96" s="9" t="s">
        <v>63</v>
      </c>
      <c r="L96" s="9" t="s">
        <v>163</v>
      </c>
      <c r="M96" s="9" t="s">
        <v>88</v>
      </c>
      <c r="N96" s="13">
        <v>8.7920937455910168E-3</v>
      </c>
      <c r="O96" s="9" t="s">
        <v>63</v>
      </c>
    </row>
    <row r="97" spans="2:15" x14ac:dyDescent="0.45">
      <c r="B97" s="8" t="s">
        <v>123</v>
      </c>
      <c r="C97" s="8" t="s">
        <v>89</v>
      </c>
      <c r="D97" s="10">
        <v>3.619726813372591E-2</v>
      </c>
      <c r="E97" s="8" t="s">
        <v>63</v>
      </c>
      <c r="G97" s="8" t="s">
        <v>143</v>
      </c>
      <c r="H97" s="8" t="s">
        <v>89</v>
      </c>
      <c r="I97" s="12">
        <v>7.6924736360336962E-3</v>
      </c>
      <c r="J97" s="8" t="s">
        <v>63</v>
      </c>
      <c r="L97" s="8" t="s">
        <v>163</v>
      </c>
      <c r="M97" s="8" t="s">
        <v>89</v>
      </c>
      <c r="N97" s="12">
        <v>9.2620263903713859E-3</v>
      </c>
      <c r="O97" s="8" t="s">
        <v>63</v>
      </c>
    </row>
    <row r="98" spans="2:15" x14ac:dyDescent="0.45">
      <c r="B98" s="9" t="s">
        <v>123</v>
      </c>
      <c r="C98" s="9" t="s">
        <v>90</v>
      </c>
      <c r="D98" s="11">
        <v>2.263244831320451E-2</v>
      </c>
      <c r="E98" s="9" t="s">
        <v>63</v>
      </c>
      <c r="G98" s="9" t="s">
        <v>143</v>
      </c>
      <c r="H98" s="9" t="s">
        <v>90</v>
      </c>
      <c r="I98" s="13">
        <v>7.5848040692402348E-3</v>
      </c>
      <c r="J98" s="9" t="s">
        <v>63</v>
      </c>
      <c r="L98" s="9" t="s">
        <v>163</v>
      </c>
      <c r="M98" s="9" t="s">
        <v>90</v>
      </c>
      <c r="N98" s="13">
        <v>9.4352923511676744E-3</v>
      </c>
      <c r="O98" s="9" t="s">
        <v>63</v>
      </c>
    </row>
    <row r="99" spans="2:15" x14ac:dyDescent="0.45">
      <c r="B99" s="8" t="s">
        <v>123</v>
      </c>
      <c r="C99" s="8" t="s">
        <v>91</v>
      </c>
      <c r="D99" s="10">
        <v>7.0711002472425063E-3</v>
      </c>
      <c r="E99" s="8" t="s">
        <v>63</v>
      </c>
      <c r="G99" s="8" t="s">
        <v>143</v>
      </c>
      <c r="H99" s="8" t="s">
        <v>91</v>
      </c>
      <c r="I99" s="12">
        <v>9.315015053630353E-3</v>
      </c>
      <c r="J99" s="8" t="s">
        <v>63</v>
      </c>
      <c r="L99" s="8" t="s">
        <v>163</v>
      </c>
      <c r="M99" s="8" t="s">
        <v>91</v>
      </c>
      <c r="N99" s="12">
        <v>9.8354254771775215E-3</v>
      </c>
      <c r="O99" s="8" t="s">
        <v>63</v>
      </c>
    </row>
    <row r="100" spans="2:15" x14ac:dyDescent="0.45">
      <c r="B100" s="9" t="s">
        <v>123</v>
      </c>
      <c r="C100" s="9" t="s">
        <v>92</v>
      </c>
      <c r="D100" s="11">
        <v>0</v>
      </c>
      <c r="E100" s="9" t="s">
        <v>63</v>
      </c>
      <c r="G100" s="9" t="s">
        <v>143</v>
      </c>
      <c r="H100" s="9" t="s">
        <v>92</v>
      </c>
      <c r="I100" s="13">
        <v>1.4758207100425384E-2</v>
      </c>
      <c r="J100" s="9" t="s">
        <v>63</v>
      </c>
      <c r="L100" s="9" t="s">
        <v>163</v>
      </c>
      <c r="M100" s="9" t="s">
        <v>92</v>
      </c>
      <c r="N100" s="13">
        <v>1.5548418444935064E-2</v>
      </c>
      <c r="O100" s="9" t="s">
        <v>63</v>
      </c>
    </row>
    <row r="101" spans="2:15" x14ac:dyDescent="0.45">
      <c r="B101" s="8" t="s">
        <v>123</v>
      </c>
      <c r="C101" s="8" t="s">
        <v>93</v>
      </c>
      <c r="D101" s="10">
        <v>0</v>
      </c>
      <c r="E101" s="8" t="s">
        <v>63</v>
      </c>
      <c r="G101" s="8" t="s">
        <v>143</v>
      </c>
      <c r="H101" s="8" t="s">
        <v>93</v>
      </c>
      <c r="I101" s="12">
        <v>2.1400025110434494E-2</v>
      </c>
      <c r="J101" s="8" t="s">
        <v>63</v>
      </c>
      <c r="L101" s="8" t="s">
        <v>163</v>
      </c>
      <c r="M101" s="8" t="s">
        <v>93</v>
      </c>
      <c r="N101" s="12">
        <v>2.4589574660824565E-2</v>
      </c>
      <c r="O101" s="8" t="s">
        <v>63</v>
      </c>
    </row>
    <row r="102" spans="2:15" x14ac:dyDescent="0.45">
      <c r="B102" s="9" t="s">
        <v>123</v>
      </c>
      <c r="C102" s="9" t="s">
        <v>94</v>
      </c>
      <c r="D102" s="11">
        <v>1.2195838885078561E-2</v>
      </c>
      <c r="E102" s="9" t="s">
        <v>63</v>
      </c>
      <c r="G102" s="9" t="s">
        <v>143</v>
      </c>
      <c r="H102" s="9" t="s">
        <v>94</v>
      </c>
      <c r="I102" s="13">
        <v>6.8411457852759414E-3</v>
      </c>
      <c r="J102" s="9" t="s">
        <v>63</v>
      </c>
      <c r="L102" s="9" t="s">
        <v>163</v>
      </c>
      <c r="M102" s="9" t="s">
        <v>94</v>
      </c>
      <c r="N102" s="13">
        <v>9.2893568553950329E-3</v>
      </c>
      <c r="O102" s="9" t="s">
        <v>63</v>
      </c>
    </row>
    <row r="103" spans="2:15" x14ac:dyDescent="0.45">
      <c r="B103" s="8" t="s">
        <v>123</v>
      </c>
      <c r="C103" s="8" t="s">
        <v>95</v>
      </c>
      <c r="D103" s="10">
        <v>3.9506888021438147E-2</v>
      </c>
      <c r="E103" s="8" t="s">
        <v>63</v>
      </c>
      <c r="G103" s="8" t="s">
        <v>143</v>
      </c>
      <c r="H103" s="8" t="s">
        <v>95</v>
      </c>
      <c r="I103" s="12">
        <v>5.3411337990242665E-3</v>
      </c>
      <c r="J103" s="8" t="s">
        <v>63</v>
      </c>
      <c r="L103" s="8" t="s">
        <v>163</v>
      </c>
      <c r="M103" s="8" t="s">
        <v>95</v>
      </c>
      <c r="N103" s="12">
        <v>9.4884515674335014E-3</v>
      </c>
      <c r="O103" s="8" t="s">
        <v>63</v>
      </c>
    </row>
    <row r="104" spans="2:15" x14ac:dyDescent="0.45">
      <c r="B104" s="9" t="s">
        <v>123</v>
      </c>
      <c r="C104" s="9" t="s">
        <v>96</v>
      </c>
      <c r="D104" s="11">
        <v>5.4402545760624914E-2</v>
      </c>
      <c r="E104" s="9" t="s">
        <v>63</v>
      </c>
      <c r="G104" s="9" t="s">
        <v>143</v>
      </c>
      <c r="H104" s="9" t="s">
        <v>96</v>
      </c>
      <c r="I104" s="13">
        <v>6.6262551881689875E-3</v>
      </c>
      <c r="J104" s="9" t="s">
        <v>63</v>
      </c>
      <c r="L104" s="9" t="s">
        <v>163</v>
      </c>
      <c r="M104" s="9" t="s">
        <v>96</v>
      </c>
      <c r="N104" s="13">
        <v>9.4120619204875865E-3</v>
      </c>
      <c r="O104" s="9" t="s">
        <v>63</v>
      </c>
    </row>
    <row r="105" spans="2:15" x14ac:dyDescent="0.45">
      <c r="B105" s="8" t="s">
        <v>123</v>
      </c>
      <c r="C105" s="8" t="s">
        <v>97</v>
      </c>
      <c r="D105" s="10">
        <v>5.3954793105334506E-2</v>
      </c>
      <c r="E105" s="8" t="s">
        <v>63</v>
      </c>
      <c r="G105" s="8" t="s">
        <v>143</v>
      </c>
      <c r="H105" s="8" t="s">
        <v>97</v>
      </c>
      <c r="I105" s="12">
        <v>5.6350504381617204E-3</v>
      </c>
      <c r="J105" s="8" t="s">
        <v>63</v>
      </c>
      <c r="L105" s="8" t="s">
        <v>163</v>
      </c>
      <c r="M105" s="8" t="s">
        <v>97</v>
      </c>
      <c r="N105" s="12">
        <v>8.8792830409306755E-3</v>
      </c>
      <c r="O105" s="8" t="s">
        <v>63</v>
      </c>
    </row>
    <row r="106" spans="2:15" x14ac:dyDescent="0.45">
      <c r="B106" s="9" t="s">
        <v>123</v>
      </c>
      <c r="C106" s="9" t="s">
        <v>98</v>
      </c>
      <c r="D106" s="11">
        <v>5.0609017060615658E-2</v>
      </c>
      <c r="E106" s="9" t="s">
        <v>63</v>
      </c>
      <c r="G106" s="9" t="s">
        <v>143</v>
      </c>
      <c r="H106" s="9" t="s">
        <v>98</v>
      </c>
      <c r="I106" s="13">
        <v>6.7081330833657759E-3</v>
      </c>
      <c r="J106" s="9" t="s">
        <v>63</v>
      </c>
      <c r="L106" s="9" t="s">
        <v>163</v>
      </c>
      <c r="M106" s="9" t="s">
        <v>98</v>
      </c>
      <c r="N106" s="13">
        <v>9.8369277390576732E-3</v>
      </c>
      <c r="O106" s="9" t="s">
        <v>63</v>
      </c>
    </row>
    <row r="107" spans="2:15" x14ac:dyDescent="0.45">
      <c r="B107" s="8" t="s">
        <v>123</v>
      </c>
      <c r="C107" s="8" t="s">
        <v>99</v>
      </c>
      <c r="D107" s="10">
        <v>4.5782698466450444E-2</v>
      </c>
      <c r="E107" s="8" t="s">
        <v>63</v>
      </c>
      <c r="G107" s="8" t="s">
        <v>143</v>
      </c>
      <c r="H107" s="8" t="s">
        <v>99</v>
      </c>
      <c r="I107" s="12">
        <v>7.6697443871484097E-3</v>
      </c>
      <c r="J107" s="8" t="s">
        <v>63</v>
      </c>
      <c r="L107" s="8" t="s">
        <v>163</v>
      </c>
      <c r="M107" s="8" t="s">
        <v>99</v>
      </c>
      <c r="N107" s="12">
        <v>1.1002909797511E-2</v>
      </c>
      <c r="O107" s="8" t="s">
        <v>63</v>
      </c>
    </row>
    <row r="108" spans="2:15" x14ac:dyDescent="0.45">
      <c r="B108" s="9" t="s">
        <v>123</v>
      </c>
      <c r="C108" s="9" t="s">
        <v>100</v>
      </c>
      <c r="D108" s="11">
        <v>3.1242426526572366E-2</v>
      </c>
      <c r="E108" s="9" t="s">
        <v>63</v>
      </c>
      <c r="G108" s="9" t="s">
        <v>143</v>
      </c>
      <c r="H108" s="9" t="s">
        <v>100</v>
      </c>
      <c r="I108" s="13">
        <v>7.1442529554161466E-3</v>
      </c>
      <c r="J108" s="9" t="s">
        <v>63</v>
      </c>
      <c r="L108" s="9" t="s">
        <v>163</v>
      </c>
      <c r="M108" s="9" t="s">
        <v>100</v>
      </c>
      <c r="N108" s="13">
        <v>1.1164780540166435E-2</v>
      </c>
      <c r="O108" s="9" t="s">
        <v>63</v>
      </c>
    </row>
    <row r="109" spans="2:15" x14ac:dyDescent="0.45">
      <c r="B109" s="8" t="s">
        <v>123</v>
      </c>
      <c r="C109" s="8" t="s">
        <v>101</v>
      </c>
      <c r="D109" s="10">
        <v>9.6743639522455151E-3</v>
      </c>
      <c r="E109" s="8" t="s">
        <v>63</v>
      </c>
      <c r="G109" s="8" t="s">
        <v>143</v>
      </c>
      <c r="H109" s="8" t="s">
        <v>101</v>
      </c>
      <c r="I109" s="12">
        <v>8.0855119151525372E-3</v>
      </c>
      <c r="J109" s="8" t="s">
        <v>63</v>
      </c>
      <c r="L109" s="8" t="s">
        <v>163</v>
      </c>
      <c r="M109" s="8" t="s">
        <v>101</v>
      </c>
      <c r="N109" s="12">
        <v>1.0816013751872806E-2</v>
      </c>
      <c r="O109" s="8" t="s">
        <v>63</v>
      </c>
    </row>
    <row r="110" spans="2:15" x14ac:dyDescent="0.45">
      <c r="B110" s="9" t="s">
        <v>123</v>
      </c>
      <c r="C110" s="9" t="s">
        <v>102</v>
      </c>
      <c r="D110" s="11">
        <v>0</v>
      </c>
      <c r="E110" s="9" t="s">
        <v>63</v>
      </c>
      <c r="G110" s="9" t="s">
        <v>143</v>
      </c>
      <c r="H110" s="9" t="s">
        <v>102</v>
      </c>
      <c r="I110" s="13">
        <v>1.4004334981957012E-2</v>
      </c>
      <c r="J110" s="9" t="s">
        <v>63</v>
      </c>
      <c r="L110" s="9" t="s">
        <v>163</v>
      </c>
      <c r="M110" s="9" t="s">
        <v>102</v>
      </c>
      <c r="N110" s="13">
        <v>1.5761109979912667E-2</v>
      </c>
      <c r="O110" s="9" t="s">
        <v>63</v>
      </c>
    </row>
    <row r="111" spans="2:15" x14ac:dyDescent="0.45">
      <c r="B111" s="8" t="s">
        <v>123</v>
      </c>
      <c r="C111" s="8" t="s">
        <v>103</v>
      </c>
      <c r="D111" s="10">
        <v>0</v>
      </c>
      <c r="E111" s="8" t="s">
        <v>63</v>
      </c>
      <c r="G111" s="8" t="s">
        <v>143</v>
      </c>
      <c r="H111" s="8" t="s">
        <v>103</v>
      </c>
      <c r="I111" s="12">
        <v>3.4468876052833018E-2</v>
      </c>
      <c r="J111" s="8" t="s">
        <v>63</v>
      </c>
      <c r="L111" s="8" t="s">
        <v>163</v>
      </c>
      <c r="M111" s="8" t="s">
        <v>103</v>
      </c>
      <c r="N111" s="12">
        <v>3.1767750798770283E-2</v>
      </c>
      <c r="O111" s="8" t="s">
        <v>63</v>
      </c>
    </row>
    <row r="112" spans="2:15" x14ac:dyDescent="0.45">
      <c r="B112" s="9" t="s">
        <v>123</v>
      </c>
      <c r="C112" s="9" t="s">
        <v>104</v>
      </c>
      <c r="D112" s="11">
        <v>6.3123503422838484E-4</v>
      </c>
      <c r="E112" s="9" t="s">
        <v>63</v>
      </c>
      <c r="G112" s="9" t="s">
        <v>143</v>
      </c>
      <c r="H112" s="9" t="s">
        <v>104</v>
      </c>
      <c r="I112" s="13">
        <v>1.2052026408039098E-2</v>
      </c>
      <c r="J112" s="9" t="s">
        <v>63</v>
      </c>
      <c r="L112" s="9" t="s">
        <v>163</v>
      </c>
      <c r="M112" s="9" t="s">
        <v>104</v>
      </c>
      <c r="N112" s="13">
        <v>1.2802569163407234E-2</v>
      </c>
      <c r="O112" s="9" t="s">
        <v>63</v>
      </c>
    </row>
    <row r="113" spans="2:15" x14ac:dyDescent="0.45">
      <c r="B113" s="8" t="s">
        <v>123</v>
      </c>
      <c r="C113" s="8" t="s">
        <v>105</v>
      </c>
      <c r="D113" s="10">
        <v>1.5102556107444723E-2</v>
      </c>
      <c r="E113" s="8" t="s">
        <v>63</v>
      </c>
      <c r="G113" s="8" t="s">
        <v>143</v>
      </c>
      <c r="H113" s="8" t="s">
        <v>105</v>
      </c>
      <c r="I113" s="12">
        <v>1.1419638014860553E-2</v>
      </c>
      <c r="J113" s="8" t="s">
        <v>63</v>
      </c>
      <c r="L113" s="8" t="s">
        <v>163</v>
      </c>
      <c r="M113" s="8" t="s">
        <v>105</v>
      </c>
      <c r="N113" s="12">
        <v>1.3156703063258602E-2</v>
      </c>
      <c r="O113" s="8" t="s">
        <v>63</v>
      </c>
    </row>
    <row r="114" spans="2:15" x14ac:dyDescent="0.45">
      <c r="B114" s="9" t="s">
        <v>123</v>
      </c>
      <c r="C114" s="9" t="s">
        <v>106</v>
      </c>
      <c r="D114" s="11">
        <v>3.1343396745044126E-2</v>
      </c>
      <c r="E114" s="9" t="s">
        <v>63</v>
      </c>
      <c r="G114" s="9" t="s">
        <v>143</v>
      </c>
      <c r="H114" s="9" t="s">
        <v>106</v>
      </c>
      <c r="I114" s="13">
        <v>1.1153554203480772E-2</v>
      </c>
      <c r="J114" s="9" t="s">
        <v>63</v>
      </c>
      <c r="L114" s="9" t="s">
        <v>163</v>
      </c>
      <c r="M114" s="9" t="s">
        <v>106</v>
      </c>
      <c r="N114" s="13">
        <v>1.3396043869836267E-2</v>
      </c>
      <c r="O114" s="9" t="s">
        <v>63</v>
      </c>
    </row>
    <row r="115" spans="2:15" x14ac:dyDescent="0.45">
      <c r="B115" s="8" t="s">
        <v>123</v>
      </c>
      <c r="C115" s="8" t="s">
        <v>107</v>
      </c>
      <c r="D115" s="10">
        <v>3.3894387163919258E-2</v>
      </c>
      <c r="E115" s="8" t="s">
        <v>63</v>
      </c>
      <c r="G115" s="8" t="s">
        <v>143</v>
      </c>
      <c r="H115" s="8" t="s">
        <v>107</v>
      </c>
      <c r="I115" s="12">
        <v>1.0816509674014039E-2</v>
      </c>
      <c r="J115" s="8" t="s">
        <v>63</v>
      </c>
      <c r="L115" s="8" t="s">
        <v>163</v>
      </c>
      <c r="M115" s="8" t="s">
        <v>107</v>
      </c>
      <c r="N115" s="12">
        <v>1.2830651666031041E-2</v>
      </c>
      <c r="O115" s="8" t="s">
        <v>63</v>
      </c>
    </row>
    <row r="116" spans="2:15" x14ac:dyDescent="0.45">
      <c r="B116" s="9" t="s">
        <v>123</v>
      </c>
      <c r="C116" s="9" t="s">
        <v>108</v>
      </c>
      <c r="D116" s="11">
        <v>3.4061337247402464E-2</v>
      </c>
      <c r="E116" s="9" t="s">
        <v>63</v>
      </c>
      <c r="G116" s="9" t="s">
        <v>143</v>
      </c>
      <c r="H116" s="9" t="s">
        <v>108</v>
      </c>
      <c r="I116" s="13">
        <v>1.2129082951732624E-2</v>
      </c>
      <c r="J116" s="9" t="s">
        <v>63</v>
      </c>
      <c r="L116" s="9" t="s">
        <v>163</v>
      </c>
      <c r="M116" s="9" t="s">
        <v>108</v>
      </c>
      <c r="N116" s="13">
        <v>1.2860058308885661E-2</v>
      </c>
      <c r="O116" s="9" t="s">
        <v>63</v>
      </c>
    </row>
    <row r="117" spans="2:15" x14ac:dyDescent="0.45">
      <c r="B117" s="8" t="s">
        <v>123</v>
      </c>
      <c r="C117" s="8" t="s">
        <v>109</v>
      </c>
      <c r="D117" s="10">
        <v>2.6414255007442159E-2</v>
      </c>
      <c r="E117" s="8" t="s">
        <v>63</v>
      </c>
      <c r="G117" s="8" t="s">
        <v>143</v>
      </c>
      <c r="H117" s="8" t="s">
        <v>109</v>
      </c>
      <c r="I117" s="12">
        <v>1.2426078980227196E-2</v>
      </c>
      <c r="J117" s="8" t="s">
        <v>63</v>
      </c>
      <c r="L117" s="8" t="s">
        <v>163</v>
      </c>
      <c r="M117" s="8" t="s">
        <v>109</v>
      </c>
      <c r="N117" s="12">
        <v>1.3539819463544744E-2</v>
      </c>
      <c r="O117" s="8" t="s">
        <v>63</v>
      </c>
    </row>
    <row r="118" spans="2:15" x14ac:dyDescent="0.45">
      <c r="B118" s="9" t="s">
        <v>123</v>
      </c>
      <c r="C118" s="9" t="s">
        <v>110</v>
      </c>
      <c r="D118" s="11">
        <v>8.3314161561162513E-3</v>
      </c>
      <c r="E118" s="9" t="s">
        <v>63</v>
      </c>
      <c r="G118" s="9" t="s">
        <v>143</v>
      </c>
      <c r="H118" s="9" t="s">
        <v>110</v>
      </c>
      <c r="I118" s="13">
        <v>1.4514818050632665E-2</v>
      </c>
      <c r="J118" s="9" t="s">
        <v>63</v>
      </c>
      <c r="L118" s="9" t="s">
        <v>163</v>
      </c>
      <c r="M118" s="9" t="s">
        <v>110</v>
      </c>
      <c r="N118" s="13">
        <v>1.4341216586867928E-2</v>
      </c>
      <c r="O118" s="9" t="s">
        <v>63</v>
      </c>
    </row>
    <row r="119" spans="2:15" x14ac:dyDescent="0.45">
      <c r="B119" s="8" t="s">
        <v>123</v>
      </c>
      <c r="C119" s="8" t="s">
        <v>111</v>
      </c>
      <c r="D119" s="10">
        <v>6.1182494558961802E-7</v>
      </c>
      <c r="E119" s="8" t="s">
        <v>63</v>
      </c>
      <c r="G119" s="8" t="s">
        <v>143</v>
      </c>
      <c r="H119" s="8" t="s">
        <v>111</v>
      </c>
      <c r="I119" s="12">
        <v>1.6139869557536431E-2</v>
      </c>
      <c r="J119" s="8" t="s">
        <v>63</v>
      </c>
      <c r="L119" s="8" t="s">
        <v>163</v>
      </c>
      <c r="M119" s="8" t="s">
        <v>111</v>
      </c>
      <c r="N119" s="12">
        <v>1.4824222086399943E-2</v>
      </c>
      <c r="O119" s="8" t="s">
        <v>63</v>
      </c>
    </row>
    <row r="120" spans="2:15" x14ac:dyDescent="0.45">
      <c r="B120" s="9" t="s">
        <v>123</v>
      </c>
      <c r="C120" s="9" t="s">
        <v>112</v>
      </c>
      <c r="D120" s="11">
        <v>0</v>
      </c>
      <c r="E120" s="9" t="s">
        <v>63</v>
      </c>
      <c r="G120" s="9" t="s">
        <v>143</v>
      </c>
      <c r="H120" s="9" t="s">
        <v>112</v>
      </c>
      <c r="I120" s="13">
        <v>2.4341110479110036E-2</v>
      </c>
      <c r="J120" s="9" t="s">
        <v>63</v>
      </c>
      <c r="L120" s="9" t="s">
        <v>163</v>
      </c>
      <c r="M120" s="9" t="s">
        <v>112</v>
      </c>
      <c r="N120" s="13">
        <v>2.1619375770521788E-2</v>
      </c>
      <c r="O120" s="9" t="s">
        <v>63</v>
      </c>
    </row>
    <row r="121" spans="2:15" x14ac:dyDescent="0.45">
      <c r="B121" s="8" t="s">
        <v>123</v>
      </c>
      <c r="C121" s="8" t="s">
        <v>113</v>
      </c>
      <c r="D121" s="10">
        <v>0</v>
      </c>
      <c r="E121" s="8" t="s">
        <v>63</v>
      </c>
      <c r="G121" s="8" t="s">
        <v>143</v>
      </c>
      <c r="H121" s="8" t="s">
        <v>113</v>
      </c>
      <c r="I121" s="12">
        <v>5.4817974192511415E-2</v>
      </c>
      <c r="J121" s="8" t="s">
        <v>63</v>
      </c>
      <c r="L121" s="8" t="s">
        <v>163</v>
      </c>
      <c r="M121" s="8" t="s">
        <v>113</v>
      </c>
      <c r="N121" s="12">
        <v>4.9931147465114872E-2</v>
      </c>
      <c r="O121" s="8" t="s">
        <v>63</v>
      </c>
    </row>
    <row r="122" spans="2:15" x14ac:dyDescent="0.45">
      <c r="B122" s="9" t="s">
        <v>123</v>
      </c>
      <c r="C122" s="9" t="s">
        <v>114</v>
      </c>
      <c r="D122" s="11">
        <v>0</v>
      </c>
      <c r="E122" s="9" t="s">
        <v>63</v>
      </c>
      <c r="G122" s="9" t="s">
        <v>143</v>
      </c>
      <c r="H122" s="9" t="s">
        <v>114</v>
      </c>
      <c r="I122" s="13">
        <v>2.1550197382207138E-2</v>
      </c>
      <c r="J122" s="9" t="s">
        <v>63</v>
      </c>
      <c r="L122" s="9" t="s">
        <v>163</v>
      </c>
      <c r="M122" s="9" t="s">
        <v>114</v>
      </c>
      <c r="N122" s="13">
        <v>1.9821537222931621E-2</v>
      </c>
      <c r="O122" s="9" t="s">
        <v>63</v>
      </c>
    </row>
    <row r="123" spans="2:15" x14ac:dyDescent="0.45">
      <c r="B123" s="8" t="s">
        <v>123</v>
      </c>
      <c r="C123" s="8" t="s">
        <v>115</v>
      </c>
      <c r="D123" s="10">
        <v>8.7396065842962627E-4</v>
      </c>
      <c r="E123" s="8" t="s">
        <v>63</v>
      </c>
      <c r="G123" s="8" t="s">
        <v>143</v>
      </c>
      <c r="H123" s="8" t="s">
        <v>115</v>
      </c>
      <c r="I123" s="12">
        <v>2.1089584790837258E-2</v>
      </c>
      <c r="J123" s="8" t="s">
        <v>63</v>
      </c>
      <c r="L123" s="8" t="s">
        <v>163</v>
      </c>
      <c r="M123" s="8" t="s">
        <v>115</v>
      </c>
      <c r="N123" s="12">
        <v>2.039902641027477E-2</v>
      </c>
      <c r="O123" s="8" t="s">
        <v>63</v>
      </c>
    </row>
    <row r="124" spans="2:15" x14ac:dyDescent="0.45">
      <c r="B124" s="9" t="s">
        <v>123</v>
      </c>
      <c r="C124" s="9" t="s">
        <v>116</v>
      </c>
      <c r="D124" s="11">
        <v>1.0501467042112786E-2</v>
      </c>
      <c r="E124" s="9" t="s">
        <v>63</v>
      </c>
      <c r="G124" s="9" t="s">
        <v>143</v>
      </c>
      <c r="H124" s="9" t="s">
        <v>116</v>
      </c>
      <c r="I124" s="13">
        <v>1.9497388698762365E-2</v>
      </c>
      <c r="J124" s="9" t="s">
        <v>63</v>
      </c>
      <c r="L124" s="9" t="s">
        <v>163</v>
      </c>
      <c r="M124" s="9" t="s">
        <v>116</v>
      </c>
      <c r="N124" s="13">
        <v>2.0455724231739823E-2</v>
      </c>
      <c r="O124" s="9" t="s">
        <v>63</v>
      </c>
    </row>
    <row r="125" spans="2:15" x14ac:dyDescent="0.45">
      <c r="B125" s="8" t="s">
        <v>123</v>
      </c>
      <c r="C125" s="8" t="s">
        <v>117</v>
      </c>
      <c r="D125" s="10">
        <v>1.7166543245778362E-2</v>
      </c>
      <c r="E125" s="8" t="s">
        <v>63</v>
      </c>
      <c r="G125" s="8" t="s">
        <v>143</v>
      </c>
      <c r="H125" s="8" t="s">
        <v>117</v>
      </c>
      <c r="I125" s="12">
        <v>1.8033066746568703E-2</v>
      </c>
      <c r="J125" s="8" t="s">
        <v>63</v>
      </c>
      <c r="L125" s="8" t="s">
        <v>163</v>
      </c>
      <c r="M125" s="8" t="s">
        <v>117</v>
      </c>
      <c r="N125" s="12">
        <v>1.9525957044894474E-2</v>
      </c>
      <c r="O125" s="8" t="s">
        <v>63</v>
      </c>
    </row>
    <row r="126" spans="2:15" x14ac:dyDescent="0.45">
      <c r="B126" s="9" t="s">
        <v>123</v>
      </c>
      <c r="C126" s="9" t="s">
        <v>118</v>
      </c>
      <c r="D126" s="11">
        <v>1.9033786822984521E-2</v>
      </c>
      <c r="E126" s="9" t="s">
        <v>63</v>
      </c>
      <c r="G126" s="9" t="s">
        <v>143</v>
      </c>
      <c r="H126" s="9" t="s">
        <v>118</v>
      </c>
      <c r="I126" s="13">
        <v>1.9025769579572267E-2</v>
      </c>
      <c r="J126" s="9" t="s">
        <v>63</v>
      </c>
      <c r="L126" s="9" t="s">
        <v>163</v>
      </c>
      <c r="M126" s="9" t="s">
        <v>118</v>
      </c>
      <c r="N126" s="13">
        <v>1.9152486791681956E-2</v>
      </c>
      <c r="O126" s="9" t="s">
        <v>63</v>
      </c>
    </row>
    <row r="127" spans="2:15" x14ac:dyDescent="0.45">
      <c r="B127" s="8" t="s">
        <v>123</v>
      </c>
      <c r="C127" s="8" t="s">
        <v>119</v>
      </c>
      <c r="D127" s="10">
        <v>1.0068987523673112E-2</v>
      </c>
      <c r="E127" s="8" t="s">
        <v>63</v>
      </c>
      <c r="G127" s="8" t="s">
        <v>143</v>
      </c>
      <c r="H127" s="8" t="s">
        <v>119</v>
      </c>
      <c r="I127" s="12">
        <v>2.0700200774471086E-2</v>
      </c>
      <c r="J127" s="8" t="s">
        <v>63</v>
      </c>
      <c r="L127" s="8" t="s">
        <v>163</v>
      </c>
      <c r="M127" s="8" t="s">
        <v>119</v>
      </c>
      <c r="N127" s="12">
        <v>1.9324429504633246E-2</v>
      </c>
      <c r="O127" s="8" t="s">
        <v>63</v>
      </c>
    </row>
    <row r="128" spans="2:15" x14ac:dyDescent="0.45">
      <c r="B128" s="9" t="s">
        <v>123</v>
      </c>
      <c r="C128" s="9" t="s">
        <v>120</v>
      </c>
      <c r="D128" s="11">
        <v>0</v>
      </c>
      <c r="E128" s="9" t="s">
        <v>63</v>
      </c>
      <c r="G128" s="9" t="s">
        <v>143</v>
      </c>
      <c r="H128" s="9" t="s">
        <v>120</v>
      </c>
      <c r="I128" s="13">
        <v>2.2711465628745358E-2</v>
      </c>
      <c r="J128" s="9" t="s">
        <v>63</v>
      </c>
      <c r="L128" s="9" t="s">
        <v>163</v>
      </c>
      <c r="M128" s="9" t="s">
        <v>120</v>
      </c>
      <c r="N128" s="13">
        <v>1.9815425382364301E-2</v>
      </c>
      <c r="O128" s="9" t="s">
        <v>63</v>
      </c>
    </row>
    <row r="129" spans="2:15" x14ac:dyDescent="0.45">
      <c r="B129" s="8" t="s">
        <v>123</v>
      </c>
      <c r="C129" s="8" t="s">
        <v>121</v>
      </c>
      <c r="D129" s="10">
        <v>0</v>
      </c>
      <c r="E129" s="8" t="s">
        <v>63</v>
      </c>
      <c r="G129" s="8" t="s">
        <v>143</v>
      </c>
      <c r="H129" s="8" t="s">
        <v>121</v>
      </c>
      <c r="I129" s="12">
        <v>2.3115799780579115E-2</v>
      </c>
      <c r="J129" s="8" t="s">
        <v>63</v>
      </c>
      <c r="L129" s="8" t="s">
        <v>163</v>
      </c>
      <c r="M129" s="8" t="s">
        <v>121</v>
      </c>
      <c r="N129" s="12">
        <v>1.9792741620651148E-2</v>
      </c>
      <c r="O129" s="8" t="s">
        <v>63</v>
      </c>
    </row>
    <row r="130" spans="2:15" x14ac:dyDescent="0.45">
      <c r="B130" s="9" t="s">
        <v>123</v>
      </c>
      <c r="C130" s="9" t="s">
        <v>122</v>
      </c>
      <c r="D130" s="11">
        <v>0</v>
      </c>
      <c r="E130" s="9" t="s">
        <v>63</v>
      </c>
      <c r="G130" s="9" t="s">
        <v>143</v>
      </c>
      <c r="H130" s="9" t="s">
        <v>122</v>
      </c>
      <c r="I130" s="13">
        <v>3.4556535595373458E-2</v>
      </c>
      <c r="J130" s="9" t="s">
        <v>63</v>
      </c>
      <c r="L130" s="9" t="s">
        <v>163</v>
      </c>
      <c r="M130" s="9" t="s">
        <v>122</v>
      </c>
      <c r="N130" s="13">
        <v>3.0036078733034252E-2</v>
      </c>
      <c r="O130" s="9" t="s">
        <v>63</v>
      </c>
    </row>
    <row r="131" spans="2:15" x14ac:dyDescent="0.45">
      <c r="B131" s="8" t="s">
        <v>124</v>
      </c>
      <c r="C131" s="8" t="s">
        <v>62</v>
      </c>
      <c r="D131" s="10">
        <v>0</v>
      </c>
      <c r="E131" s="8" t="s">
        <v>63</v>
      </c>
      <c r="G131" s="8" t="s">
        <v>144</v>
      </c>
      <c r="H131" s="8" t="s">
        <v>62</v>
      </c>
      <c r="I131" s="12">
        <v>4.0070614044528947E-2</v>
      </c>
      <c r="J131" s="8" t="s">
        <v>63</v>
      </c>
      <c r="L131" s="8" t="s">
        <v>164</v>
      </c>
      <c r="M131" s="8" t="s">
        <v>62</v>
      </c>
      <c r="N131" s="12">
        <v>3.5797293008201288E-2</v>
      </c>
      <c r="O131" s="8" t="s">
        <v>63</v>
      </c>
    </row>
    <row r="132" spans="2:15" x14ac:dyDescent="0.45">
      <c r="B132" s="9" t="s">
        <v>124</v>
      </c>
      <c r="C132" s="9" t="s">
        <v>64</v>
      </c>
      <c r="D132" s="11">
        <v>0</v>
      </c>
      <c r="E132" s="9" t="s">
        <v>63</v>
      </c>
      <c r="G132" s="9" t="s">
        <v>144</v>
      </c>
      <c r="H132" s="9" t="s">
        <v>64</v>
      </c>
      <c r="I132" s="13">
        <v>1.6358130463664661E-2</v>
      </c>
      <c r="J132" s="9" t="s">
        <v>63</v>
      </c>
      <c r="L132" s="9" t="s">
        <v>164</v>
      </c>
      <c r="M132" s="9" t="s">
        <v>64</v>
      </c>
      <c r="N132" s="13">
        <v>1.4092034850103723E-2</v>
      </c>
      <c r="O132" s="9" t="s">
        <v>63</v>
      </c>
    </row>
    <row r="133" spans="2:15" x14ac:dyDescent="0.45">
      <c r="B133" s="8" t="s">
        <v>124</v>
      </c>
      <c r="C133" s="8" t="s">
        <v>65</v>
      </c>
      <c r="D133" s="10">
        <v>5.0066600413036866E-4</v>
      </c>
      <c r="E133" s="8" t="s">
        <v>63</v>
      </c>
      <c r="G133" s="8" t="s">
        <v>144</v>
      </c>
      <c r="H133" s="8" t="s">
        <v>65</v>
      </c>
      <c r="I133" s="12">
        <v>1.6569209812280099E-2</v>
      </c>
      <c r="J133" s="8" t="s">
        <v>63</v>
      </c>
      <c r="L133" s="8" t="s">
        <v>164</v>
      </c>
      <c r="M133" s="8" t="s">
        <v>65</v>
      </c>
      <c r="N133" s="12">
        <v>1.4162597779419401E-2</v>
      </c>
      <c r="O133" s="8" t="s">
        <v>63</v>
      </c>
    </row>
    <row r="134" spans="2:15" x14ac:dyDescent="0.45">
      <c r="B134" s="9" t="s">
        <v>124</v>
      </c>
      <c r="C134" s="9" t="s">
        <v>66</v>
      </c>
      <c r="D134" s="11">
        <v>8.6786648046937587E-3</v>
      </c>
      <c r="E134" s="9" t="s">
        <v>63</v>
      </c>
      <c r="G134" s="9" t="s">
        <v>144</v>
      </c>
      <c r="H134" s="9" t="s">
        <v>66</v>
      </c>
      <c r="I134" s="13">
        <v>1.6331396752307575E-2</v>
      </c>
      <c r="J134" s="9" t="s">
        <v>63</v>
      </c>
      <c r="L134" s="9" t="s">
        <v>164</v>
      </c>
      <c r="M134" s="9" t="s">
        <v>66</v>
      </c>
      <c r="N134" s="13">
        <v>1.4354740628684338E-2</v>
      </c>
      <c r="O134" s="9" t="s">
        <v>63</v>
      </c>
    </row>
    <row r="135" spans="2:15" x14ac:dyDescent="0.45">
      <c r="B135" s="8" t="s">
        <v>124</v>
      </c>
      <c r="C135" s="8" t="s">
        <v>67</v>
      </c>
      <c r="D135" s="10">
        <v>1.7274873923343193E-2</v>
      </c>
      <c r="E135" s="8" t="s">
        <v>63</v>
      </c>
      <c r="G135" s="8" t="s">
        <v>144</v>
      </c>
      <c r="H135" s="8" t="s">
        <v>67</v>
      </c>
      <c r="I135" s="12">
        <v>1.4833050522407073E-2</v>
      </c>
      <c r="J135" s="8" t="s">
        <v>63</v>
      </c>
      <c r="L135" s="8" t="s">
        <v>164</v>
      </c>
      <c r="M135" s="8" t="s">
        <v>67</v>
      </c>
      <c r="N135" s="12">
        <v>1.3699107189803612E-2</v>
      </c>
      <c r="O135" s="8" t="s">
        <v>63</v>
      </c>
    </row>
    <row r="136" spans="2:15" x14ac:dyDescent="0.45">
      <c r="B136" s="9" t="s">
        <v>124</v>
      </c>
      <c r="C136" s="9" t="s">
        <v>68</v>
      </c>
      <c r="D136" s="11">
        <v>1.7125008066296139E-2</v>
      </c>
      <c r="E136" s="9" t="s">
        <v>63</v>
      </c>
      <c r="G136" s="9" t="s">
        <v>144</v>
      </c>
      <c r="H136" s="9" t="s">
        <v>68</v>
      </c>
      <c r="I136" s="13">
        <v>1.4355819162608896E-2</v>
      </c>
      <c r="J136" s="9" t="s">
        <v>63</v>
      </c>
      <c r="L136" s="9" t="s">
        <v>164</v>
      </c>
      <c r="M136" s="9" t="s">
        <v>68</v>
      </c>
      <c r="N136" s="13">
        <v>1.361507658161731E-2</v>
      </c>
      <c r="O136" s="9" t="s">
        <v>63</v>
      </c>
    </row>
    <row r="137" spans="2:15" x14ac:dyDescent="0.45">
      <c r="B137" s="8" t="s">
        <v>124</v>
      </c>
      <c r="C137" s="8" t="s">
        <v>69</v>
      </c>
      <c r="D137" s="10">
        <v>9.5623342545167987E-3</v>
      </c>
      <c r="E137" s="8" t="s">
        <v>63</v>
      </c>
      <c r="G137" s="8" t="s">
        <v>144</v>
      </c>
      <c r="H137" s="8" t="s">
        <v>69</v>
      </c>
      <c r="I137" s="12">
        <v>1.4939161856782459E-2</v>
      </c>
      <c r="J137" s="8" t="s">
        <v>63</v>
      </c>
      <c r="L137" s="8" t="s">
        <v>164</v>
      </c>
      <c r="M137" s="8" t="s">
        <v>69</v>
      </c>
      <c r="N137" s="12">
        <v>1.4255508975371398E-2</v>
      </c>
      <c r="O137" s="8" t="s">
        <v>63</v>
      </c>
    </row>
    <row r="138" spans="2:15" x14ac:dyDescent="0.45">
      <c r="B138" s="9" t="s">
        <v>124</v>
      </c>
      <c r="C138" s="9" t="s">
        <v>70</v>
      </c>
      <c r="D138" s="11">
        <v>1.036392760669398E-3</v>
      </c>
      <c r="E138" s="9" t="s">
        <v>63</v>
      </c>
      <c r="G138" s="9" t="s">
        <v>144</v>
      </c>
      <c r="H138" s="9" t="s">
        <v>70</v>
      </c>
      <c r="I138" s="13">
        <v>1.6488672123361477E-2</v>
      </c>
      <c r="J138" s="9" t="s">
        <v>63</v>
      </c>
      <c r="L138" s="9" t="s">
        <v>164</v>
      </c>
      <c r="M138" s="9" t="s">
        <v>70</v>
      </c>
      <c r="N138" s="13">
        <v>1.5402700389895335E-2</v>
      </c>
      <c r="O138" s="9" t="s">
        <v>63</v>
      </c>
    </row>
    <row r="139" spans="2:15" x14ac:dyDescent="0.45">
      <c r="B139" s="8" t="s">
        <v>124</v>
      </c>
      <c r="C139" s="8" t="s">
        <v>71</v>
      </c>
      <c r="D139" s="10">
        <v>0</v>
      </c>
      <c r="E139" s="8" t="s">
        <v>63</v>
      </c>
      <c r="G139" s="8" t="s">
        <v>144</v>
      </c>
      <c r="H139" s="8" t="s">
        <v>71</v>
      </c>
      <c r="I139" s="12">
        <v>1.7016633464708979E-2</v>
      </c>
      <c r="J139" s="8" t="s">
        <v>63</v>
      </c>
      <c r="L139" s="8" t="s">
        <v>164</v>
      </c>
      <c r="M139" s="8" t="s">
        <v>71</v>
      </c>
      <c r="N139" s="12">
        <v>1.5733163115058103E-2</v>
      </c>
      <c r="O139" s="8" t="s">
        <v>63</v>
      </c>
    </row>
    <row r="140" spans="2:15" x14ac:dyDescent="0.45">
      <c r="B140" s="9" t="s">
        <v>124</v>
      </c>
      <c r="C140" s="9" t="s">
        <v>72</v>
      </c>
      <c r="D140" s="11">
        <v>0</v>
      </c>
      <c r="E140" s="9" t="s">
        <v>63</v>
      </c>
      <c r="G140" s="9" t="s">
        <v>144</v>
      </c>
      <c r="H140" s="9" t="s">
        <v>72</v>
      </c>
      <c r="I140" s="13">
        <v>2.4862261938991503E-2</v>
      </c>
      <c r="J140" s="9" t="s">
        <v>63</v>
      </c>
      <c r="L140" s="9" t="s">
        <v>164</v>
      </c>
      <c r="M140" s="9" t="s">
        <v>72</v>
      </c>
      <c r="N140" s="13">
        <v>2.2943988408691194E-2</v>
      </c>
      <c r="O140" s="9" t="s">
        <v>63</v>
      </c>
    </row>
    <row r="141" spans="2:15" x14ac:dyDescent="0.45">
      <c r="B141" s="8" t="s">
        <v>124</v>
      </c>
      <c r="C141" s="8" t="s">
        <v>73</v>
      </c>
      <c r="D141" s="10">
        <v>0</v>
      </c>
      <c r="E141" s="8" t="s">
        <v>63</v>
      </c>
      <c r="G141" s="8" t="s">
        <v>144</v>
      </c>
      <c r="H141" s="8" t="s">
        <v>73</v>
      </c>
      <c r="I141" s="12">
        <v>4.260332236018266E-2</v>
      </c>
      <c r="J141" s="8" t="s">
        <v>63</v>
      </c>
      <c r="L141" s="8" t="s">
        <v>164</v>
      </c>
      <c r="M141" s="8" t="s">
        <v>73</v>
      </c>
      <c r="N141" s="12">
        <v>4.0585710908925245E-2</v>
      </c>
      <c r="O141" s="8" t="s">
        <v>63</v>
      </c>
    </row>
    <row r="142" spans="2:15" x14ac:dyDescent="0.45">
      <c r="B142" s="9" t="s">
        <v>124</v>
      </c>
      <c r="C142" s="9" t="s">
        <v>74</v>
      </c>
      <c r="D142" s="11">
        <v>2.619694249449528E-3</v>
      </c>
      <c r="E142" s="9" t="s">
        <v>63</v>
      </c>
      <c r="G142" s="9" t="s">
        <v>144</v>
      </c>
      <c r="H142" s="9" t="s">
        <v>74</v>
      </c>
      <c r="I142" s="13">
        <v>1.7231813254667157E-2</v>
      </c>
      <c r="J142" s="9" t="s">
        <v>63</v>
      </c>
      <c r="L142" s="9" t="s">
        <v>164</v>
      </c>
      <c r="M142" s="9" t="s">
        <v>74</v>
      </c>
      <c r="N142" s="13">
        <v>1.6145482379964993E-2</v>
      </c>
      <c r="O142" s="9" t="s">
        <v>63</v>
      </c>
    </row>
    <row r="143" spans="2:15" x14ac:dyDescent="0.45">
      <c r="B143" s="8" t="s">
        <v>124</v>
      </c>
      <c r="C143" s="8" t="s">
        <v>75</v>
      </c>
      <c r="D143" s="10">
        <v>2.0577845320444023E-2</v>
      </c>
      <c r="E143" s="8" t="s">
        <v>63</v>
      </c>
      <c r="G143" s="8" t="s">
        <v>144</v>
      </c>
      <c r="H143" s="8" t="s">
        <v>75</v>
      </c>
      <c r="I143" s="12">
        <v>1.5563622940999786E-2</v>
      </c>
      <c r="J143" s="8" t="s">
        <v>63</v>
      </c>
      <c r="L143" s="8" t="s">
        <v>164</v>
      </c>
      <c r="M143" s="8" t="s">
        <v>75</v>
      </c>
      <c r="N143" s="12">
        <v>1.5490476889819828E-2</v>
      </c>
      <c r="O143" s="8" t="s">
        <v>63</v>
      </c>
    </row>
    <row r="144" spans="2:15" x14ac:dyDescent="0.45">
      <c r="B144" s="9" t="s">
        <v>124</v>
      </c>
      <c r="C144" s="9" t="s">
        <v>76</v>
      </c>
      <c r="D144" s="11">
        <v>3.8503627541371037E-2</v>
      </c>
      <c r="E144" s="9" t="s">
        <v>63</v>
      </c>
      <c r="G144" s="9" t="s">
        <v>144</v>
      </c>
      <c r="H144" s="9" t="s">
        <v>76</v>
      </c>
      <c r="I144" s="13">
        <v>1.5229203116963934E-2</v>
      </c>
      <c r="J144" s="9" t="s">
        <v>63</v>
      </c>
      <c r="L144" s="9" t="s">
        <v>164</v>
      </c>
      <c r="M144" s="9" t="s">
        <v>76</v>
      </c>
      <c r="N144" s="13">
        <v>1.466698571692519E-2</v>
      </c>
      <c r="O144" s="9" t="s">
        <v>63</v>
      </c>
    </row>
    <row r="145" spans="2:15" x14ac:dyDescent="0.45">
      <c r="B145" s="8" t="s">
        <v>124</v>
      </c>
      <c r="C145" s="8" t="s">
        <v>77</v>
      </c>
      <c r="D145" s="10">
        <v>4.4050664410448886E-2</v>
      </c>
      <c r="E145" s="8" t="s">
        <v>63</v>
      </c>
      <c r="G145" s="8" t="s">
        <v>144</v>
      </c>
      <c r="H145" s="8" t="s">
        <v>77</v>
      </c>
      <c r="I145" s="12">
        <v>1.4412774845397139E-2</v>
      </c>
      <c r="J145" s="8" t="s">
        <v>63</v>
      </c>
      <c r="L145" s="8" t="s">
        <v>164</v>
      </c>
      <c r="M145" s="8" t="s">
        <v>77</v>
      </c>
      <c r="N145" s="12">
        <v>1.2521927330185374E-2</v>
      </c>
      <c r="O145" s="8" t="s">
        <v>63</v>
      </c>
    </row>
    <row r="146" spans="2:15" x14ac:dyDescent="0.45">
      <c r="B146" s="9" t="s">
        <v>124</v>
      </c>
      <c r="C146" s="9" t="s">
        <v>78</v>
      </c>
      <c r="D146" s="11">
        <v>4.0981170966713672E-2</v>
      </c>
      <c r="E146" s="9" t="s">
        <v>63</v>
      </c>
      <c r="G146" s="9" t="s">
        <v>144</v>
      </c>
      <c r="H146" s="9" t="s">
        <v>78</v>
      </c>
      <c r="I146" s="13">
        <v>1.6354338972627169E-2</v>
      </c>
      <c r="J146" s="9" t="s">
        <v>63</v>
      </c>
      <c r="L146" s="9" t="s">
        <v>164</v>
      </c>
      <c r="M146" s="9" t="s">
        <v>78</v>
      </c>
      <c r="N146" s="13">
        <v>1.2920552757261129E-2</v>
      </c>
      <c r="O146" s="9" t="s">
        <v>63</v>
      </c>
    </row>
    <row r="147" spans="2:15" x14ac:dyDescent="0.45">
      <c r="B147" s="8" t="s">
        <v>124</v>
      </c>
      <c r="C147" s="8" t="s">
        <v>79</v>
      </c>
      <c r="D147" s="10">
        <v>3.3451571680364639E-2</v>
      </c>
      <c r="E147" s="8" t="s">
        <v>63</v>
      </c>
      <c r="G147" s="8" t="s">
        <v>144</v>
      </c>
      <c r="H147" s="8" t="s">
        <v>79</v>
      </c>
      <c r="I147" s="12">
        <v>1.5708434951062691E-2</v>
      </c>
      <c r="J147" s="8" t="s">
        <v>63</v>
      </c>
      <c r="L147" s="8" t="s">
        <v>164</v>
      </c>
      <c r="M147" s="8" t="s">
        <v>79</v>
      </c>
      <c r="N147" s="12">
        <v>1.4349444466547999E-2</v>
      </c>
      <c r="O147" s="8" t="s">
        <v>63</v>
      </c>
    </row>
    <row r="148" spans="2:15" x14ac:dyDescent="0.45">
      <c r="B148" s="9" t="s">
        <v>124</v>
      </c>
      <c r="C148" s="9" t="s">
        <v>80</v>
      </c>
      <c r="D148" s="11">
        <v>1.840826537215122E-2</v>
      </c>
      <c r="E148" s="9" t="s">
        <v>63</v>
      </c>
      <c r="G148" s="9" t="s">
        <v>144</v>
      </c>
      <c r="H148" s="9" t="s">
        <v>80</v>
      </c>
      <c r="I148" s="13">
        <v>1.583441624076086E-2</v>
      </c>
      <c r="J148" s="9" t="s">
        <v>63</v>
      </c>
      <c r="L148" s="9" t="s">
        <v>164</v>
      </c>
      <c r="M148" s="9" t="s">
        <v>80</v>
      </c>
      <c r="N148" s="13">
        <v>1.5655606470734454E-2</v>
      </c>
      <c r="O148" s="9" t="s">
        <v>63</v>
      </c>
    </row>
    <row r="149" spans="2:15" x14ac:dyDescent="0.45">
      <c r="B149" s="8" t="s">
        <v>124</v>
      </c>
      <c r="C149" s="8" t="s">
        <v>81</v>
      </c>
      <c r="D149" s="10">
        <v>1.8058240659310366E-3</v>
      </c>
      <c r="E149" s="8" t="s">
        <v>63</v>
      </c>
      <c r="G149" s="8" t="s">
        <v>144</v>
      </c>
      <c r="H149" s="8" t="s">
        <v>81</v>
      </c>
      <c r="I149" s="12">
        <v>1.7723381762835701E-2</v>
      </c>
      <c r="J149" s="8" t="s">
        <v>63</v>
      </c>
      <c r="L149" s="8" t="s">
        <v>164</v>
      </c>
      <c r="M149" s="8" t="s">
        <v>81</v>
      </c>
      <c r="N149" s="12">
        <v>1.6524770184297301E-2</v>
      </c>
      <c r="O149" s="8" t="s">
        <v>63</v>
      </c>
    </row>
    <row r="150" spans="2:15" x14ac:dyDescent="0.45">
      <c r="B150" s="9" t="s">
        <v>124</v>
      </c>
      <c r="C150" s="9" t="s">
        <v>82</v>
      </c>
      <c r="D150" s="11">
        <v>0</v>
      </c>
      <c r="E150" s="9" t="s">
        <v>63</v>
      </c>
      <c r="G150" s="9" t="s">
        <v>144</v>
      </c>
      <c r="H150" s="9" t="s">
        <v>82</v>
      </c>
      <c r="I150" s="13">
        <v>2.6479134567666714E-2</v>
      </c>
      <c r="J150" s="9" t="s">
        <v>63</v>
      </c>
      <c r="L150" s="9" t="s">
        <v>164</v>
      </c>
      <c r="M150" s="9" t="s">
        <v>82</v>
      </c>
      <c r="N150" s="13">
        <v>2.4867099842759414E-2</v>
      </c>
      <c r="O150" s="9" t="s">
        <v>63</v>
      </c>
    </row>
    <row r="151" spans="2:15" x14ac:dyDescent="0.45">
      <c r="B151" s="8" t="s">
        <v>124</v>
      </c>
      <c r="C151" s="8" t="s">
        <v>83</v>
      </c>
      <c r="D151" s="10">
        <v>0</v>
      </c>
      <c r="E151" s="8" t="s">
        <v>63</v>
      </c>
      <c r="G151" s="8" t="s">
        <v>144</v>
      </c>
      <c r="H151" s="8" t="s">
        <v>83</v>
      </c>
      <c r="I151" s="12">
        <v>2.6194153248664878E-2</v>
      </c>
      <c r="J151" s="8" t="s">
        <v>63</v>
      </c>
      <c r="L151" s="8" t="s">
        <v>164</v>
      </c>
      <c r="M151" s="8" t="s">
        <v>83</v>
      </c>
      <c r="N151" s="12">
        <v>2.579912186323597E-2</v>
      </c>
      <c r="O151" s="8" t="s">
        <v>63</v>
      </c>
    </row>
    <row r="152" spans="2:15" x14ac:dyDescent="0.45">
      <c r="B152" s="9" t="s">
        <v>124</v>
      </c>
      <c r="C152" s="9" t="s">
        <v>84</v>
      </c>
      <c r="D152" s="11">
        <v>1.2203071171428105E-2</v>
      </c>
      <c r="E152" s="9" t="s">
        <v>63</v>
      </c>
      <c r="G152" s="9" t="s">
        <v>144</v>
      </c>
      <c r="H152" s="9" t="s">
        <v>84</v>
      </c>
      <c r="I152" s="13">
        <v>8.7875189253248109E-3</v>
      </c>
      <c r="J152" s="9" t="s">
        <v>63</v>
      </c>
      <c r="L152" s="9" t="s">
        <v>164</v>
      </c>
      <c r="M152" s="9" t="s">
        <v>84</v>
      </c>
      <c r="N152" s="13">
        <v>1.0374220854665894E-2</v>
      </c>
      <c r="O152" s="9" t="s">
        <v>63</v>
      </c>
    </row>
    <row r="153" spans="2:15" x14ac:dyDescent="0.45">
      <c r="B153" s="8" t="s">
        <v>124</v>
      </c>
      <c r="C153" s="8" t="s">
        <v>85</v>
      </c>
      <c r="D153" s="10">
        <v>3.1766478536406649E-2</v>
      </c>
      <c r="E153" s="8" t="s">
        <v>63</v>
      </c>
      <c r="G153" s="8" t="s">
        <v>144</v>
      </c>
      <c r="H153" s="8" t="s">
        <v>85</v>
      </c>
      <c r="I153" s="12">
        <v>6.6649294487435883E-3</v>
      </c>
      <c r="J153" s="8" t="s">
        <v>63</v>
      </c>
      <c r="L153" s="8" t="s">
        <v>164</v>
      </c>
      <c r="M153" s="8" t="s">
        <v>85</v>
      </c>
      <c r="N153" s="12">
        <v>9.3434287016631659E-3</v>
      </c>
      <c r="O153" s="8" t="s">
        <v>63</v>
      </c>
    </row>
    <row r="154" spans="2:15" x14ac:dyDescent="0.45">
      <c r="B154" s="9" t="s">
        <v>124</v>
      </c>
      <c r="C154" s="9" t="s">
        <v>86</v>
      </c>
      <c r="D154" s="11">
        <v>4.2989875583935598E-2</v>
      </c>
      <c r="E154" s="9" t="s">
        <v>63</v>
      </c>
      <c r="G154" s="9" t="s">
        <v>144</v>
      </c>
      <c r="H154" s="9" t="s">
        <v>86</v>
      </c>
      <c r="I154" s="13">
        <v>7.0792886183889186E-3</v>
      </c>
      <c r="J154" s="9" t="s">
        <v>63</v>
      </c>
      <c r="L154" s="9" t="s">
        <v>164</v>
      </c>
      <c r="M154" s="9" t="s">
        <v>86</v>
      </c>
      <c r="N154" s="13">
        <v>8.7176733727472554E-3</v>
      </c>
      <c r="O154" s="9" t="s">
        <v>63</v>
      </c>
    </row>
    <row r="155" spans="2:15" x14ac:dyDescent="0.45">
      <c r="B155" s="8" t="s">
        <v>124</v>
      </c>
      <c r="C155" s="8" t="s">
        <v>87</v>
      </c>
      <c r="D155" s="10">
        <v>4.5778872265709203E-2</v>
      </c>
      <c r="E155" s="8" t="s">
        <v>63</v>
      </c>
      <c r="G155" s="8" t="s">
        <v>144</v>
      </c>
      <c r="H155" s="8" t="s">
        <v>87</v>
      </c>
      <c r="I155" s="12">
        <v>6.2149007026526511E-3</v>
      </c>
      <c r="J155" s="8" t="s">
        <v>63</v>
      </c>
      <c r="L155" s="8" t="s">
        <v>164</v>
      </c>
      <c r="M155" s="8" t="s">
        <v>87</v>
      </c>
      <c r="N155" s="12">
        <v>7.3561483818162876E-3</v>
      </c>
      <c r="O155" s="8" t="s">
        <v>63</v>
      </c>
    </row>
    <row r="156" spans="2:15" x14ac:dyDescent="0.45">
      <c r="B156" s="9" t="s">
        <v>124</v>
      </c>
      <c r="C156" s="9" t="s">
        <v>88</v>
      </c>
      <c r="D156" s="11">
        <v>4.3625096734583049E-2</v>
      </c>
      <c r="E156" s="9" t="s">
        <v>63</v>
      </c>
      <c r="G156" s="9" t="s">
        <v>144</v>
      </c>
      <c r="H156" s="9" t="s">
        <v>88</v>
      </c>
      <c r="I156" s="13">
        <v>7.4444379909524277E-3</v>
      </c>
      <c r="J156" s="9" t="s">
        <v>63</v>
      </c>
      <c r="L156" s="9" t="s">
        <v>164</v>
      </c>
      <c r="M156" s="9" t="s">
        <v>88</v>
      </c>
      <c r="N156" s="13">
        <v>7.9259961436181862E-3</v>
      </c>
      <c r="O156" s="9" t="s">
        <v>63</v>
      </c>
    </row>
    <row r="157" spans="2:15" x14ac:dyDescent="0.45">
      <c r="B157" s="8" t="s">
        <v>124</v>
      </c>
      <c r="C157" s="8" t="s">
        <v>89</v>
      </c>
      <c r="D157" s="10">
        <v>3.6489942130421386E-2</v>
      </c>
      <c r="E157" s="8" t="s">
        <v>63</v>
      </c>
      <c r="G157" s="8" t="s">
        <v>144</v>
      </c>
      <c r="H157" s="8" t="s">
        <v>89</v>
      </c>
      <c r="I157" s="12">
        <v>7.9535570885571113E-3</v>
      </c>
      <c r="J157" s="8" t="s">
        <v>63</v>
      </c>
      <c r="L157" s="8" t="s">
        <v>164</v>
      </c>
      <c r="M157" s="8" t="s">
        <v>89</v>
      </c>
      <c r="N157" s="12">
        <v>8.3997981498726282E-3</v>
      </c>
      <c r="O157" s="8" t="s">
        <v>63</v>
      </c>
    </row>
    <row r="158" spans="2:15" x14ac:dyDescent="0.45">
      <c r="B158" s="9" t="s">
        <v>124</v>
      </c>
      <c r="C158" s="9" t="s">
        <v>90</v>
      </c>
      <c r="D158" s="11">
        <v>2.388921548776126E-2</v>
      </c>
      <c r="E158" s="9" t="s">
        <v>63</v>
      </c>
      <c r="G158" s="9" t="s">
        <v>144</v>
      </c>
      <c r="H158" s="9" t="s">
        <v>90</v>
      </c>
      <c r="I158" s="13">
        <v>7.2005053815222125E-3</v>
      </c>
      <c r="J158" s="9" t="s">
        <v>63</v>
      </c>
      <c r="L158" s="9" t="s">
        <v>164</v>
      </c>
      <c r="M158" s="9" t="s">
        <v>90</v>
      </c>
      <c r="N158" s="13">
        <v>8.8215357121152558E-3</v>
      </c>
      <c r="O158" s="9" t="s">
        <v>63</v>
      </c>
    </row>
    <row r="159" spans="2:15" x14ac:dyDescent="0.45">
      <c r="B159" s="8" t="s">
        <v>124</v>
      </c>
      <c r="C159" s="8" t="s">
        <v>91</v>
      </c>
      <c r="D159" s="10">
        <v>7.8875337166405841E-3</v>
      </c>
      <c r="E159" s="8" t="s">
        <v>63</v>
      </c>
      <c r="G159" s="8" t="s">
        <v>144</v>
      </c>
      <c r="H159" s="8" t="s">
        <v>91</v>
      </c>
      <c r="I159" s="12">
        <v>8.6669916195734036E-3</v>
      </c>
      <c r="J159" s="8" t="s">
        <v>63</v>
      </c>
      <c r="L159" s="8" t="s">
        <v>164</v>
      </c>
      <c r="M159" s="8" t="s">
        <v>91</v>
      </c>
      <c r="N159" s="12">
        <v>9.2960877957155158E-3</v>
      </c>
      <c r="O159" s="8" t="s">
        <v>63</v>
      </c>
    </row>
    <row r="160" spans="2:15" x14ac:dyDescent="0.45">
      <c r="B160" s="9" t="s">
        <v>124</v>
      </c>
      <c r="C160" s="9" t="s">
        <v>92</v>
      </c>
      <c r="D160" s="11">
        <v>0</v>
      </c>
      <c r="E160" s="9" t="s">
        <v>63</v>
      </c>
      <c r="G160" s="9" t="s">
        <v>144</v>
      </c>
      <c r="H160" s="9" t="s">
        <v>92</v>
      </c>
      <c r="I160" s="13">
        <v>1.6031714779306632E-2</v>
      </c>
      <c r="J160" s="9" t="s">
        <v>63</v>
      </c>
      <c r="L160" s="9" t="s">
        <v>164</v>
      </c>
      <c r="M160" s="9" t="s">
        <v>92</v>
      </c>
      <c r="N160" s="13">
        <v>1.5082031144940831E-2</v>
      </c>
      <c r="O160" s="9" t="s">
        <v>63</v>
      </c>
    </row>
    <row r="161" spans="2:15" x14ac:dyDescent="0.45">
      <c r="B161" s="8" t="s">
        <v>124</v>
      </c>
      <c r="C161" s="8" t="s">
        <v>93</v>
      </c>
      <c r="D161" s="10">
        <v>0</v>
      </c>
      <c r="E161" s="8" t="s">
        <v>63</v>
      </c>
      <c r="G161" s="8" t="s">
        <v>144</v>
      </c>
      <c r="H161" s="8" t="s">
        <v>93</v>
      </c>
      <c r="I161" s="12">
        <v>2.2192776098406343E-2</v>
      </c>
      <c r="J161" s="8" t="s">
        <v>63</v>
      </c>
      <c r="L161" s="8" t="s">
        <v>164</v>
      </c>
      <c r="M161" s="8" t="s">
        <v>93</v>
      </c>
      <c r="N161" s="12">
        <v>2.2942082212990836E-2</v>
      </c>
      <c r="O161" s="8" t="s">
        <v>63</v>
      </c>
    </row>
    <row r="162" spans="2:15" x14ac:dyDescent="0.45">
      <c r="B162" s="9" t="s">
        <v>124</v>
      </c>
      <c r="C162" s="9" t="s">
        <v>94</v>
      </c>
      <c r="D162" s="11">
        <v>1.2293254933281548E-2</v>
      </c>
      <c r="E162" s="9" t="s">
        <v>63</v>
      </c>
      <c r="G162" s="9" t="s">
        <v>144</v>
      </c>
      <c r="H162" s="9" t="s">
        <v>94</v>
      </c>
      <c r="I162" s="13">
        <v>6.8023395969014112E-3</v>
      </c>
      <c r="J162" s="9" t="s">
        <v>63</v>
      </c>
      <c r="L162" s="9" t="s">
        <v>164</v>
      </c>
      <c r="M162" s="9" t="s">
        <v>94</v>
      </c>
      <c r="N162" s="13">
        <v>8.6601549018753624E-3</v>
      </c>
      <c r="O162" s="9" t="s">
        <v>63</v>
      </c>
    </row>
    <row r="163" spans="2:15" x14ac:dyDescent="0.45">
      <c r="B163" s="8" t="s">
        <v>124</v>
      </c>
      <c r="C163" s="8" t="s">
        <v>95</v>
      </c>
      <c r="D163" s="10">
        <v>3.9272232649740481E-2</v>
      </c>
      <c r="E163" s="8" t="s">
        <v>63</v>
      </c>
      <c r="G163" s="8" t="s">
        <v>144</v>
      </c>
      <c r="H163" s="8" t="s">
        <v>95</v>
      </c>
      <c r="I163" s="12">
        <v>5.5618748273310661E-3</v>
      </c>
      <c r="J163" s="8" t="s">
        <v>63</v>
      </c>
      <c r="L163" s="8" t="s">
        <v>164</v>
      </c>
      <c r="M163" s="8" t="s">
        <v>95</v>
      </c>
      <c r="N163" s="12">
        <v>8.7633841020914021E-3</v>
      </c>
      <c r="O163" s="8" t="s">
        <v>63</v>
      </c>
    </row>
    <row r="164" spans="2:15" x14ac:dyDescent="0.45">
      <c r="B164" s="9" t="s">
        <v>124</v>
      </c>
      <c r="C164" s="9" t="s">
        <v>96</v>
      </c>
      <c r="D164" s="11">
        <v>5.3963558117560144E-2</v>
      </c>
      <c r="E164" s="9" t="s">
        <v>63</v>
      </c>
      <c r="G164" s="9" t="s">
        <v>144</v>
      </c>
      <c r="H164" s="9" t="s">
        <v>96</v>
      </c>
      <c r="I164" s="13">
        <v>6.782375601178608E-3</v>
      </c>
      <c r="J164" s="9" t="s">
        <v>63</v>
      </c>
      <c r="L164" s="9" t="s">
        <v>164</v>
      </c>
      <c r="M164" s="9" t="s">
        <v>96</v>
      </c>
      <c r="N164" s="13">
        <v>8.9494747462236304E-3</v>
      </c>
      <c r="O164" s="9" t="s">
        <v>63</v>
      </c>
    </row>
    <row r="165" spans="2:15" x14ac:dyDescent="0.45">
      <c r="B165" s="8" t="s">
        <v>124</v>
      </c>
      <c r="C165" s="8" t="s">
        <v>97</v>
      </c>
      <c r="D165" s="10">
        <v>5.4116674238711485E-2</v>
      </c>
      <c r="E165" s="8" t="s">
        <v>63</v>
      </c>
      <c r="G165" s="8" t="s">
        <v>144</v>
      </c>
      <c r="H165" s="8" t="s">
        <v>97</v>
      </c>
      <c r="I165" s="12">
        <v>6.3688883057670493E-3</v>
      </c>
      <c r="J165" s="8" t="s">
        <v>63</v>
      </c>
      <c r="L165" s="8" t="s">
        <v>164</v>
      </c>
      <c r="M165" s="8" t="s">
        <v>97</v>
      </c>
      <c r="N165" s="12">
        <v>8.3311689780590503E-3</v>
      </c>
      <c r="O165" s="8" t="s">
        <v>63</v>
      </c>
    </row>
    <row r="166" spans="2:15" x14ac:dyDescent="0.45">
      <c r="B166" s="9" t="s">
        <v>124</v>
      </c>
      <c r="C166" s="9" t="s">
        <v>98</v>
      </c>
      <c r="D166" s="11">
        <v>5.1268596603812056E-2</v>
      </c>
      <c r="E166" s="9" t="s">
        <v>63</v>
      </c>
      <c r="G166" s="9" t="s">
        <v>144</v>
      </c>
      <c r="H166" s="9" t="s">
        <v>98</v>
      </c>
      <c r="I166" s="13">
        <v>8.0667069781212714E-3</v>
      </c>
      <c r="J166" s="9" t="s">
        <v>63</v>
      </c>
      <c r="L166" s="9" t="s">
        <v>164</v>
      </c>
      <c r="M166" s="9" t="s">
        <v>98</v>
      </c>
      <c r="N166" s="13">
        <v>9.5671379844354896E-3</v>
      </c>
      <c r="O166" s="9" t="s">
        <v>63</v>
      </c>
    </row>
    <row r="167" spans="2:15" x14ac:dyDescent="0.45">
      <c r="B167" s="8" t="s">
        <v>124</v>
      </c>
      <c r="C167" s="8" t="s">
        <v>99</v>
      </c>
      <c r="D167" s="10">
        <v>4.631492832022345E-2</v>
      </c>
      <c r="E167" s="8" t="s">
        <v>63</v>
      </c>
      <c r="G167" s="8" t="s">
        <v>144</v>
      </c>
      <c r="H167" s="8" t="s">
        <v>99</v>
      </c>
      <c r="I167" s="12">
        <v>8.7382888834355611E-3</v>
      </c>
      <c r="J167" s="8" t="s">
        <v>63</v>
      </c>
      <c r="L167" s="8" t="s">
        <v>164</v>
      </c>
      <c r="M167" s="8" t="s">
        <v>99</v>
      </c>
      <c r="N167" s="12">
        <v>1.0714329224566096E-2</v>
      </c>
      <c r="O167" s="8" t="s">
        <v>63</v>
      </c>
    </row>
    <row r="168" spans="2:15" x14ac:dyDescent="0.45">
      <c r="B168" s="9" t="s">
        <v>124</v>
      </c>
      <c r="C168" s="9" t="s">
        <v>100</v>
      </c>
      <c r="D168" s="11">
        <v>3.2396791233610917E-2</v>
      </c>
      <c r="E168" s="9" t="s">
        <v>63</v>
      </c>
      <c r="G168" s="9" t="s">
        <v>144</v>
      </c>
      <c r="H168" s="9" t="s">
        <v>100</v>
      </c>
      <c r="I168" s="13">
        <v>8.0514944948699031E-3</v>
      </c>
      <c r="J168" s="9" t="s">
        <v>63</v>
      </c>
      <c r="L168" s="9" t="s">
        <v>164</v>
      </c>
      <c r="M168" s="9" t="s">
        <v>100</v>
      </c>
      <c r="N168" s="13">
        <v>1.0517746918287503E-2</v>
      </c>
      <c r="O168" s="9" t="s">
        <v>63</v>
      </c>
    </row>
    <row r="169" spans="2:15" x14ac:dyDescent="0.45">
      <c r="B169" s="8" t="s">
        <v>124</v>
      </c>
      <c r="C169" s="8" t="s">
        <v>101</v>
      </c>
      <c r="D169" s="10">
        <v>1.049463018198118E-2</v>
      </c>
      <c r="E169" s="8" t="s">
        <v>63</v>
      </c>
      <c r="G169" s="8" t="s">
        <v>144</v>
      </c>
      <c r="H169" s="8" t="s">
        <v>101</v>
      </c>
      <c r="I169" s="12">
        <v>9.1145552636133342E-3</v>
      </c>
      <c r="J169" s="8" t="s">
        <v>63</v>
      </c>
      <c r="L169" s="8" t="s">
        <v>164</v>
      </c>
      <c r="M169" s="8" t="s">
        <v>101</v>
      </c>
      <c r="N169" s="12">
        <v>9.9960349865502261E-3</v>
      </c>
      <c r="O169" s="8" t="s">
        <v>63</v>
      </c>
    </row>
    <row r="170" spans="2:15" x14ac:dyDescent="0.45">
      <c r="B170" s="9" t="s">
        <v>124</v>
      </c>
      <c r="C170" s="9" t="s">
        <v>102</v>
      </c>
      <c r="D170" s="11">
        <v>0</v>
      </c>
      <c r="E170" s="9" t="s">
        <v>63</v>
      </c>
      <c r="G170" s="9" t="s">
        <v>144</v>
      </c>
      <c r="H170" s="9" t="s">
        <v>102</v>
      </c>
      <c r="I170" s="13">
        <v>1.5563234125425122E-2</v>
      </c>
      <c r="J170" s="9" t="s">
        <v>63</v>
      </c>
      <c r="L170" s="9" t="s">
        <v>164</v>
      </c>
      <c r="M170" s="9" t="s">
        <v>102</v>
      </c>
      <c r="N170" s="13">
        <v>1.4553073811343483E-2</v>
      </c>
      <c r="O170" s="9" t="s">
        <v>63</v>
      </c>
    </row>
    <row r="171" spans="2:15" x14ac:dyDescent="0.45">
      <c r="B171" s="8" t="s">
        <v>124</v>
      </c>
      <c r="C171" s="8" t="s">
        <v>103</v>
      </c>
      <c r="D171" s="10">
        <v>0</v>
      </c>
      <c r="E171" s="8" t="s">
        <v>63</v>
      </c>
      <c r="G171" s="8" t="s">
        <v>144</v>
      </c>
      <c r="H171" s="8" t="s">
        <v>103</v>
      </c>
      <c r="I171" s="12">
        <v>3.609339487454722E-2</v>
      </c>
      <c r="J171" s="8" t="s">
        <v>63</v>
      </c>
      <c r="L171" s="8" t="s">
        <v>164</v>
      </c>
      <c r="M171" s="8" t="s">
        <v>103</v>
      </c>
      <c r="N171" s="12">
        <v>3.2442914157444255E-2</v>
      </c>
      <c r="O171" s="8" t="s">
        <v>63</v>
      </c>
    </row>
    <row r="172" spans="2:15" x14ac:dyDescent="0.45">
      <c r="B172" s="9" t="s">
        <v>124</v>
      </c>
      <c r="C172" s="9" t="s">
        <v>104</v>
      </c>
      <c r="D172" s="11">
        <v>6.731684605828153E-4</v>
      </c>
      <c r="E172" s="9" t="s">
        <v>63</v>
      </c>
      <c r="G172" s="9" t="s">
        <v>144</v>
      </c>
      <c r="H172" s="9" t="s">
        <v>104</v>
      </c>
      <c r="I172" s="13">
        <v>1.3353715221714576E-2</v>
      </c>
      <c r="J172" s="9" t="s">
        <v>63</v>
      </c>
      <c r="L172" s="9" t="s">
        <v>164</v>
      </c>
      <c r="M172" s="9" t="s">
        <v>104</v>
      </c>
      <c r="N172" s="13">
        <v>1.2836422980552171E-2</v>
      </c>
      <c r="O172" s="9" t="s">
        <v>63</v>
      </c>
    </row>
    <row r="173" spans="2:15" x14ac:dyDescent="0.45">
      <c r="B173" s="8" t="s">
        <v>124</v>
      </c>
      <c r="C173" s="8" t="s">
        <v>105</v>
      </c>
      <c r="D173" s="10">
        <v>1.4750812960471546E-2</v>
      </c>
      <c r="E173" s="8" t="s">
        <v>63</v>
      </c>
      <c r="G173" s="8" t="s">
        <v>144</v>
      </c>
      <c r="H173" s="8" t="s">
        <v>105</v>
      </c>
      <c r="I173" s="12">
        <v>1.2360112990009161E-2</v>
      </c>
      <c r="J173" s="8" t="s">
        <v>63</v>
      </c>
      <c r="L173" s="8" t="s">
        <v>164</v>
      </c>
      <c r="M173" s="8" t="s">
        <v>105</v>
      </c>
      <c r="N173" s="12">
        <v>1.2912807369548168E-2</v>
      </c>
      <c r="O173" s="8" t="s">
        <v>63</v>
      </c>
    </row>
    <row r="174" spans="2:15" x14ac:dyDescent="0.45">
      <c r="B174" s="9" t="s">
        <v>124</v>
      </c>
      <c r="C174" s="9" t="s">
        <v>106</v>
      </c>
      <c r="D174" s="11">
        <v>3.0418205492166787E-2</v>
      </c>
      <c r="E174" s="9" t="s">
        <v>63</v>
      </c>
      <c r="G174" s="9" t="s">
        <v>144</v>
      </c>
      <c r="H174" s="9" t="s">
        <v>106</v>
      </c>
      <c r="I174" s="13">
        <v>1.1473903965215651E-2</v>
      </c>
      <c r="J174" s="9" t="s">
        <v>63</v>
      </c>
      <c r="L174" s="9" t="s">
        <v>164</v>
      </c>
      <c r="M174" s="9" t="s">
        <v>106</v>
      </c>
      <c r="N174" s="13">
        <v>1.2953646825443987E-2</v>
      </c>
      <c r="O174" s="9" t="s">
        <v>63</v>
      </c>
    </row>
    <row r="175" spans="2:15" x14ac:dyDescent="0.45">
      <c r="B175" s="8" t="s">
        <v>124</v>
      </c>
      <c r="C175" s="8" t="s">
        <v>107</v>
      </c>
      <c r="D175" s="10">
        <v>3.4651095727733332E-2</v>
      </c>
      <c r="E175" s="8" t="s">
        <v>63</v>
      </c>
      <c r="G175" s="8" t="s">
        <v>144</v>
      </c>
      <c r="H175" s="8" t="s">
        <v>107</v>
      </c>
      <c r="I175" s="12">
        <v>1.0714100852953976E-2</v>
      </c>
      <c r="J175" s="8" t="s">
        <v>63</v>
      </c>
      <c r="L175" s="8" t="s">
        <v>164</v>
      </c>
      <c r="M175" s="8" t="s">
        <v>107</v>
      </c>
      <c r="N175" s="12">
        <v>1.2409737021805744E-2</v>
      </c>
      <c r="O175" s="8" t="s">
        <v>63</v>
      </c>
    </row>
    <row r="176" spans="2:15" x14ac:dyDescent="0.45">
      <c r="B176" s="9" t="s">
        <v>124</v>
      </c>
      <c r="C176" s="9" t="s">
        <v>108</v>
      </c>
      <c r="D176" s="11">
        <v>3.4181672678096159E-2</v>
      </c>
      <c r="E176" s="9" t="s">
        <v>63</v>
      </c>
      <c r="G176" s="9" t="s">
        <v>144</v>
      </c>
      <c r="H176" s="9" t="s">
        <v>108</v>
      </c>
      <c r="I176" s="13">
        <v>1.1758790615951883E-2</v>
      </c>
      <c r="J176" s="9" t="s">
        <v>63</v>
      </c>
      <c r="L176" s="9" t="s">
        <v>164</v>
      </c>
      <c r="M176" s="9" t="s">
        <v>108</v>
      </c>
      <c r="N176" s="13">
        <v>1.2863788933952449E-2</v>
      </c>
      <c r="O176" s="9" t="s">
        <v>63</v>
      </c>
    </row>
    <row r="177" spans="2:15" x14ac:dyDescent="0.45">
      <c r="B177" s="8" t="s">
        <v>124</v>
      </c>
      <c r="C177" s="8" t="s">
        <v>109</v>
      </c>
      <c r="D177" s="10">
        <v>2.6018542044832532E-2</v>
      </c>
      <c r="E177" s="8" t="s">
        <v>63</v>
      </c>
      <c r="G177" s="8" t="s">
        <v>144</v>
      </c>
      <c r="H177" s="8" t="s">
        <v>109</v>
      </c>
      <c r="I177" s="12">
        <v>1.2626321611012341E-2</v>
      </c>
      <c r="J177" s="8" t="s">
        <v>63</v>
      </c>
      <c r="L177" s="8" t="s">
        <v>164</v>
      </c>
      <c r="M177" s="8" t="s">
        <v>109</v>
      </c>
      <c r="N177" s="12">
        <v>1.4061480974548686E-2</v>
      </c>
      <c r="O177" s="8" t="s">
        <v>63</v>
      </c>
    </row>
    <row r="178" spans="2:15" x14ac:dyDescent="0.45">
      <c r="B178" s="9" t="s">
        <v>124</v>
      </c>
      <c r="C178" s="9" t="s">
        <v>110</v>
      </c>
      <c r="D178" s="11">
        <v>7.9125413713990456E-3</v>
      </c>
      <c r="E178" s="9" t="s">
        <v>63</v>
      </c>
      <c r="G178" s="9" t="s">
        <v>144</v>
      </c>
      <c r="H178" s="9" t="s">
        <v>110</v>
      </c>
      <c r="I178" s="13">
        <v>1.3841205607319133E-2</v>
      </c>
      <c r="J178" s="9" t="s">
        <v>63</v>
      </c>
      <c r="L178" s="9" t="s">
        <v>164</v>
      </c>
      <c r="M178" s="9" t="s">
        <v>110</v>
      </c>
      <c r="N178" s="13">
        <v>1.4890545010873174E-2</v>
      </c>
      <c r="O178" s="9" t="s">
        <v>63</v>
      </c>
    </row>
    <row r="179" spans="2:15" x14ac:dyDescent="0.45">
      <c r="B179" s="8" t="s">
        <v>124</v>
      </c>
      <c r="C179" s="8" t="s">
        <v>111</v>
      </c>
      <c r="D179" s="10">
        <v>2.1109788960211287E-5</v>
      </c>
      <c r="E179" s="8" t="s">
        <v>63</v>
      </c>
      <c r="G179" s="8" t="s">
        <v>144</v>
      </c>
      <c r="H179" s="8" t="s">
        <v>111</v>
      </c>
      <c r="I179" s="12">
        <v>1.5158222549715543E-2</v>
      </c>
      <c r="J179" s="8" t="s">
        <v>63</v>
      </c>
      <c r="L179" s="8" t="s">
        <v>164</v>
      </c>
      <c r="M179" s="8" t="s">
        <v>111</v>
      </c>
      <c r="N179" s="12">
        <v>1.5248767256284067E-2</v>
      </c>
      <c r="O179" s="8" t="s">
        <v>63</v>
      </c>
    </row>
    <row r="180" spans="2:15" x14ac:dyDescent="0.45">
      <c r="B180" s="9" t="s">
        <v>124</v>
      </c>
      <c r="C180" s="9" t="s">
        <v>112</v>
      </c>
      <c r="D180" s="11">
        <v>0</v>
      </c>
      <c r="E180" s="9" t="s">
        <v>63</v>
      </c>
      <c r="G180" s="9" t="s">
        <v>144</v>
      </c>
      <c r="H180" s="9" t="s">
        <v>112</v>
      </c>
      <c r="I180" s="13">
        <v>2.3275809888290894E-2</v>
      </c>
      <c r="J180" s="9" t="s">
        <v>63</v>
      </c>
      <c r="L180" s="9" t="s">
        <v>164</v>
      </c>
      <c r="M180" s="9" t="s">
        <v>112</v>
      </c>
      <c r="N180" s="13">
        <v>2.2022115826589934E-2</v>
      </c>
      <c r="O180" s="9" t="s">
        <v>63</v>
      </c>
    </row>
    <row r="181" spans="2:15" x14ac:dyDescent="0.45">
      <c r="B181" s="8" t="s">
        <v>124</v>
      </c>
      <c r="C181" s="8" t="s">
        <v>113</v>
      </c>
      <c r="D181" s="10">
        <v>0</v>
      </c>
      <c r="E181" s="8" t="s">
        <v>63</v>
      </c>
      <c r="G181" s="8" t="s">
        <v>144</v>
      </c>
      <c r="H181" s="8" t="s">
        <v>113</v>
      </c>
      <c r="I181" s="12">
        <v>5.3653709764601668E-2</v>
      </c>
      <c r="J181" s="8" t="s">
        <v>63</v>
      </c>
      <c r="L181" s="8" t="s">
        <v>164</v>
      </c>
      <c r="M181" s="8" t="s">
        <v>113</v>
      </c>
      <c r="N181" s="12">
        <v>5.4112729783185154E-2</v>
      </c>
      <c r="O181" s="8" t="s">
        <v>63</v>
      </c>
    </row>
    <row r="182" spans="2:15" x14ac:dyDescent="0.45">
      <c r="B182" s="9" t="s">
        <v>124</v>
      </c>
      <c r="C182" s="9" t="s">
        <v>114</v>
      </c>
      <c r="D182" s="11">
        <v>0</v>
      </c>
      <c r="E182" s="9" t="s">
        <v>63</v>
      </c>
      <c r="G182" s="9" t="s">
        <v>144</v>
      </c>
      <c r="H182" s="9" t="s">
        <v>114</v>
      </c>
      <c r="I182" s="13">
        <v>2.1500912113917199E-2</v>
      </c>
      <c r="J182" s="9" t="s">
        <v>63</v>
      </c>
      <c r="L182" s="9" t="s">
        <v>164</v>
      </c>
      <c r="M182" s="9" t="s">
        <v>114</v>
      </c>
      <c r="N182" s="13">
        <v>2.151025979246346E-2</v>
      </c>
      <c r="O182" s="9" t="s">
        <v>63</v>
      </c>
    </row>
    <row r="183" spans="2:15" x14ac:dyDescent="0.45">
      <c r="B183" s="8" t="s">
        <v>124</v>
      </c>
      <c r="C183" s="8" t="s">
        <v>115</v>
      </c>
      <c r="D183" s="10">
        <v>7.6159445108330817E-4</v>
      </c>
      <c r="E183" s="8" t="s">
        <v>63</v>
      </c>
      <c r="G183" s="8" t="s">
        <v>144</v>
      </c>
      <c r="H183" s="8" t="s">
        <v>115</v>
      </c>
      <c r="I183" s="12">
        <v>2.1143876810740675E-2</v>
      </c>
      <c r="J183" s="8" t="s">
        <v>63</v>
      </c>
      <c r="L183" s="8" t="s">
        <v>164</v>
      </c>
      <c r="M183" s="8" t="s">
        <v>115</v>
      </c>
      <c r="N183" s="12">
        <v>2.174985853407874E-2</v>
      </c>
      <c r="O183" s="8" t="s">
        <v>63</v>
      </c>
    </row>
    <row r="184" spans="2:15" x14ac:dyDescent="0.45">
      <c r="B184" s="9" t="s">
        <v>124</v>
      </c>
      <c r="C184" s="9" t="s">
        <v>116</v>
      </c>
      <c r="D184" s="11">
        <v>1.1219568237738828E-2</v>
      </c>
      <c r="E184" s="9" t="s">
        <v>63</v>
      </c>
      <c r="G184" s="9" t="s">
        <v>144</v>
      </c>
      <c r="H184" s="9" t="s">
        <v>116</v>
      </c>
      <c r="I184" s="13">
        <v>2.0136229992398693E-2</v>
      </c>
      <c r="J184" s="9" t="s">
        <v>63</v>
      </c>
      <c r="L184" s="9" t="s">
        <v>164</v>
      </c>
      <c r="M184" s="9" t="s">
        <v>116</v>
      </c>
      <c r="N184" s="13">
        <v>2.1758225658745748E-2</v>
      </c>
      <c r="O184" s="9" t="s">
        <v>63</v>
      </c>
    </row>
    <row r="185" spans="2:15" x14ac:dyDescent="0.45">
      <c r="B185" s="8" t="s">
        <v>124</v>
      </c>
      <c r="C185" s="8" t="s">
        <v>117</v>
      </c>
      <c r="D185" s="10">
        <v>1.6170224564100277E-2</v>
      </c>
      <c r="E185" s="8" t="s">
        <v>63</v>
      </c>
      <c r="G185" s="8" t="s">
        <v>144</v>
      </c>
      <c r="H185" s="8" t="s">
        <v>117</v>
      </c>
      <c r="I185" s="12">
        <v>1.8989278678402638E-2</v>
      </c>
      <c r="J185" s="8" t="s">
        <v>63</v>
      </c>
      <c r="L185" s="8" t="s">
        <v>164</v>
      </c>
      <c r="M185" s="8" t="s">
        <v>117</v>
      </c>
      <c r="N185" s="12">
        <v>2.0760760012353236E-2</v>
      </c>
      <c r="O185" s="8" t="s">
        <v>63</v>
      </c>
    </row>
    <row r="186" spans="2:15" x14ac:dyDescent="0.45">
      <c r="B186" s="9" t="s">
        <v>124</v>
      </c>
      <c r="C186" s="9" t="s">
        <v>118</v>
      </c>
      <c r="D186" s="11">
        <v>1.6364699781286365E-2</v>
      </c>
      <c r="E186" s="9" t="s">
        <v>63</v>
      </c>
      <c r="G186" s="9" t="s">
        <v>144</v>
      </c>
      <c r="H186" s="9" t="s">
        <v>118</v>
      </c>
      <c r="I186" s="13">
        <v>1.8800210795967456E-2</v>
      </c>
      <c r="J186" s="9" t="s">
        <v>63</v>
      </c>
      <c r="L186" s="9" t="s">
        <v>164</v>
      </c>
      <c r="M186" s="9" t="s">
        <v>118</v>
      </c>
      <c r="N186" s="13">
        <v>2.004141990971111E-2</v>
      </c>
      <c r="O186" s="9" t="s">
        <v>63</v>
      </c>
    </row>
    <row r="187" spans="2:15" x14ac:dyDescent="0.45">
      <c r="B187" s="8" t="s">
        <v>124</v>
      </c>
      <c r="C187" s="8" t="s">
        <v>119</v>
      </c>
      <c r="D187" s="10">
        <v>7.5294091152177979E-3</v>
      </c>
      <c r="E187" s="8" t="s">
        <v>63</v>
      </c>
      <c r="G187" s="8" t="s">
        <v>144</v>
      </c>
      <c r="H187" s="8" t="s">
        <v>119</v>
      </c>
      <c r="I187" s="12">
        <v>2.0088556927653968E-2</v>
      </c>
      <c r="J187" s="8" t="s">
        <v>63</v>
      </c>
      <c r="L187" s="8" t="s">
        <v>164</v>
      </c>
      <c r="M187" s="8" t="s">
        <v>119</v>
      </c>
      <c r="N187" s="12">
        <v>2.0429516995310527E-2</v>
      </c>
      <c r="O187" s="8" t="s">
        <v>63</v>
      </c>
    </row>
    <row r="188" spans="2:15" x14ac:dyDescent="0.45">
      <c r="B188" s="9" t="s">
        <v>124</v>
      </c>
      <c r="C188" s="9" t="s">
        <v>120</v>
      </c>
      <c r="D188" s="11">
        <v>0</v>
      </c>
      <c r="E188" s="9" t="s">
        <v>63</v>
      </c>
      <c r="G188" s="9" t="s">
        <v>144</v>
      </c>
      <c r="H188" s="9" t="s">
        <v>120</v>
      </c>
      <c r="I188" s="13">
        <v>2.1497211896583084E-2</v>
      </c>
      <c r="J188" s="9" t="s">
        <v>63</v>
      </c>
      <c r="L188" s="9" t="s">
        <v>164</v>
      </c>
      <c r="M188" s="9" t="s">
        <v>120</v>
      </c>
      <c r="N188" s="13">
        <v>2.1057715602550094E-2</v>
      </c>
      <c r="O188" s="9" t="s">
        <v>63</v>
      </c>
    </row>
    <row r="189" spans="2:15" x14ac:dyDescent="0.45">
      <c r="B189" s="8" t="s">
        <v>124</v>
      </c>
      <c r="C189" s="8" t="s">
        <v>121</v>
      </c>
      <c r="D189" s="10">
        <v>0</v>
      </c>
      <c r="E189" s="8" t="s">
        <v>63</v>
      </c>
      <c r="G189" s="8" t="s">
        <v>144</v>
      </c>
      <c r="H189" s="8" t="s">
        <v>121</v>
      </c>
      <c r="I189" s="12">
        <v>2.1862523602864073E-2</v>
      </c>
      <c r="J189" s="8" t="s">
        <v>63</v>
      </c>
      <c r="L189" s="8" t="s">
        <v>164</v>
      </c>
      <c r="M189" s="8" t="s">
        <v>121</v>
      </c>
      <c r="N189" s="12">
        <v>2.1334164159993195E-2</v>
      </c>
      <c r="O189" s="8" t="s">
        <v>63</v>
      </c>
    </row>
    <row r="190" spans="2:15" x14ac:dyDescent="0.45">
      <c r="B190" s="9" t="s">
        <v>124</v>
      </c>
      <c r="C190" s="9" t="s">
        <v>122</v>
      </c>
      <c r="D190" s="11">
        <v>0</v>
      </c>
      <c r="E190" s="9" t="s">
        <v>63</v>
      </c>
      <c r="G190" s="9" t="s">
        <v>144</v>
      </c>
      <c r="H190" s="9" t="s">
        <v>122</v>
      </c>
      <c r="I190" s="13">
        <v>3.3225986106595683E-2</v>
      </c>
      <c r="J190" s="9" t="s">
        <v>63</v>
      </c>
      <c r="L190" s="9" t="s">
        <v>164</v>
      </c>
      <c r="M190" s="9" t="s">
        <v>122</v>
      </c>
      <c r="N190" s="13">
        <v>3.2708225333486142E-2</v>
      </c>
      <c r="O190" s="9" t="s">
        <v>63</v>
      </c>
    </row>
    <row r="191" spans="2:15" x14ac:dyDescent="0.45">
      <c r="B191" s="8" t="s">
        <v>125</v>
      </c>
      <c r="C191" s="8" t="s">
        <v>62</v>
      </c>
      <c r="D191" s="10">
        <v>0</v>
      </c>
      <c r="E191" s="8" t="s">
        <v>63</v>
      </c>
      <c r="G191" s="8" t="s">
        <v>145</v>
      </c>
      <c r="H191" s="8" t="s">
        <v>62</v>
      </c>
      <c r="I191" s="12">
        <v>4.0049829311499967E-2</v>
      </c>
      <c r="J191" s="8" t="s">
        <v>63</v>
      </c>
      <c r="L191" s="8" t="s">
        <v>165</v>
      </c>
      <c r="M191" s="8" t="s">
        <v>62</v>
      </c>
      <c r="N191" s="12">
        <v>3.2166002582293324E-2</v>
      </c>
      <c r="O191" s="8" t="s">
        <v>63</v>
      </c>
    </row>
    <row r="192" spans="2:15" x14ac:dyDescent="0.45">
      <c r="B192" s="9" t="s">
        <v>125</v>
      </c>
      <c r="C192" s="9" t="s">
        <v>64</v>
      </c>
      <c r="D192" s="11">
        <v>0</v>
      </c>
      <c r="E192" s="9" t="s">
        <v>63</v>
      </c>
      <c r="G192" s="9" t="s">
        <v>145</v>
      </c>
      <c r="H192" s="9" t="s">
        <v>64</v>
      </c>
      <c r="I192" s="13">
        <v>1.5880930168465909E-2</v>
      </c>
      <c r="J192" s="9" t="s">
        <v>63</v>
      </c>
      <c r="L192" s="9" t="s">
        <v>165</v>
      </c>
      <c r="M192" s="9" t="s">
        <v>64</v>
      </c>
      <c r="N192" s="13">
        <v>1.3375083596775863E-2</v>
      </c>
      <c r="O192" s="9" t="s">
        <v>63</v>
      </c>
    </row>
    <row r="193" spans="2:15" x14ac:dyDescent="0.45">
      <c r="B193" s="8" t="s">
        <v>125</v>
      </c>
      <c r="C193" s="8" t="s">
        <v>65</v>
      </c>
      <c r="D193" s="10">
        <v>3.3399334107021036E-4</v>
      </c>
      <c r="E193" s="8" t="s">
        <v>63</v>
      </c>
      <c r="G193" s="8" t="s">
        <v>145</v>
      </c>
      <c r="H193" s="8" t="s">
        <v>65</v>
      </c>
      <c r="I193" s="12">
        <v>1.5831935382832771E-2</v>
      </c>
      <c r="J193" s="8" t="s">
        <v>63</v>
      </c>
      <c r="L193" s="8" t="s">
        <v>165</v>
      </c>
      <c r="M193" s="8" t="s">
        <v>65</v>
      </c>
      <c r="N193" s="12">
        <v>1.372248001303485E-2</v>
      </c>
      <c r="O193" s="8" t="s">
        <v>63</v>
      </c>
    </row>
    <row r="194" spans="2:15" x14ac:dyDescent="0.45">
      <c r="B194" s="9" t="s">
        <v>125</v>
      </c>
      <c r="C194" s="9" t="s">
        <v>66</v>
      </c>
      <c r="D194" s="11">
        <v>8.0204193413058646E-3</v>
      </c>
      <c r="E194" s="9" t="s">
        <v>63</v>
      </c>
      <c r="G194" s="9" t="s">
        <v>145</v>
      </c>
      <c r="H194" s="9" t="s">
        <v>66</v>
      </c>
      <c r="I194" s="13">
        <v>1.505117523907556E-2</v>
      </c>
      <c r="J194" s="9" t="s">
        <v>63</v>
      </c>
      <c r="L194" s="9" t="s">
        <v>165</v>
      </c>
      <c r="M194" s="9" t="s">
        <v>66</v>
      </c>
      <c r="N194" s="13">
        <v>1.3927255943879998E-2</v>
      </c>
      <c r="O194" s="9" t="s">
        <v>63</v>
      </c>
    </row>
    <row r="195" spans="2:15" x14ac:dyDescent="0.45">
      <c r="B195" s="8" t="s">
        <v>125</v>
      </c>
      <c r="C195" s="8" t="s">
        <v>67</v>
      </c>
      <c r="D195" s="10">
        <v>1.5803761851078048E-2</v>
      </c>
      <c r="E195" s="8" t="s">
        <v>63</v>
      </c>
      <c r="G195" s="8" t="s">
        <v>145</v>
      </c>
      <c r="H195" s="8" t="s">
        <v>67</v>
      </c>
      <c r="I195" s="12">
        <v>1.4359868831813274E-2</v>
      </c>
      <c r="J195" s="8" t="s">
        <v>63</v>
      </c>
      <c r="L195" s="8" t="s">
        <v>165</v>
      </c>
      <c r="M195" s="8" t="s">
        <v>67</v>
      </c>
      <c r="N195" s="12">
        <v>1.3918379055661805E-2</v>
      </c>
      <c r="O195" s="8" t="s">
        <v>63</v>
      </c>
    </row>
    <row r="196" spans="2:15" x14ac:dyDescent="0.45">
      <c r="B196" s="9" t="s">
        <v>125</v>
      </c>
      <c r="C196" s="9" t="s">
        <v>68</v>
      </c>
      <c r="D196" s="11">
        <v>1.4717547135270089E-2</v>
      </c>
      <c r="E196" s="9" t="s">
        <v>63</v>
      </c>
      <c r="G196" s="9" t="s">
        <v>145</v>
      </c>
      <c r="H196" s="9" t="s">
        <v>68</v>
      </c>
      <c r="I196" s="13">
        <v>1.4843130421279842E-2</v>
      </c>
      <c r="J196" s="9" t="s">
        <v>63</v>
      </c>
      <c r="L196" s="9" t="s">
        <v>165</v>
      </c>
      <c r="M196" s="9" t="s">
        <v>68</v>
      </c>
      <c r="N196" s="13">
        <v>1.3482059253323651E-2</v>
      </c>
      <c r="O196" s="9" t="s">
        <v>63</v>
      </c>
    </row>
    <row r="197" spans="2:15" x14ac:dyDescent="0.45">
      <c r="B197" s="8" t="s">
        <v>125</v>
      </c>
      <c r="C197" s="8" t="s">
        <v>69</v>
      </c>
      <c r="D197" s="10">
        <v>9.1433781589599326E-3</v>
      </c>
      <c r="E197" s="8" t="s">
        <v>63</v>
      </c>
      <c r="G197" s="8" t="s">
        <v>145</v>
      </c>
      <c r="H197" s="8" t="s">
        <v>69</v>
      </c>
      <c r="I197" s="12">
        <v>1.5343042936668097E-2</v>
      </c>
      <c r="J197" s="8" t="s">
        <v>63</v>
      </c>
      <c r="L197" s="8" t="s">
        <v>165</v>
      </c>
      <c r="M197" s="8" t="s">
        <v>69</v>
      </c>
      <c r="N197" s="12">
        <v>1.3689270952477113E-2</v>
      </c>
      <c r="O197" s="8" t="s">
        <v>63</v>
      </c>
    </row>
    <row r="198" spans="2:15" x14ac:dyDescent="0.45">
      <c r="B198" s="9" t="s">
        <v>125</v>
      </c>
      <c r="C198" s="9" t="s">
        <v>70</v>
      </c>
      <c r="D198" s="11">
        <v>1.2467238846203303E-3</v>
      </c>
      <c r="E198" s="9" t="s">
        <v>63</v>
      </c>
      <c r="G198" s="9" t="s">
        <v>145</v>
      </c>
      <c r="H198" s="9" t="s">
        <v>70</v>
      </c>
      <c r="I198" s="13">
        <v>1.6739179217965534E-2</v>
      </c>
      <c r="J198" s="9" t="s">
        <v>63</v>
      </c>
      <c r="L198" s="9" t="s">
        <v>165</v>
      </c>
      <c r="M198" s="9" t="s">
        <v>70</v>
      </c>
      <c r="N198" s="13">
        <v>1.4123112714072615E-2</v>
      </c>
      <c r="O198" s="9" t="s">
        <v>63</v>
      </c>
    </row>
    <row r="199" spans="2:15" x14ac:dyDescent="0.45">
      <c r="B199" s="8" t="s">
        <v>125</v>
      </c>
      <c r="C199" s="8" t="s">
        <v>71</v>
      </c>
      <c r="D199" s="10">
        <v>0</v>
      </c>
      <c r="E199" s="8" t="s">
        <v>63</v>
      </c>
      <c r="G199" s="8" t="s">
        <v>145</v>
      </c>
      <c r="H199" s="8" t="s">
        <v>71</v>
      </c>
      <c r="I199" s="12">
        <v>1.7353755511409649E-2</v>
      </c>
      <c r="J199" s="8" t="s">
        <v>63</v>
      </c>
      <c r="L199" s="8" t="s">
        <v>165</v>
      </c>
      <c r="M199" s="8" t="s">
        <v>71</v>
      </c>
      <c r="N199" s="12">
        <v>1.3956676406204885E-2</v>
      </c>
      <c r="O199" s="8" t="s">
        <v>63</v>
      </c>
    </row>
    <row r="200" spans="2:15" x14ac:dyDescent="0.45">
      <c r="B200" s="9" t="s">
        <v>125</v>
      </c>
      <c r="C200" s="9" t="s">
        <v>72</v>
      </c>
      <c r="D200" s="11">
        <v>0</v>
      </c>
      <c r="E200" s="9" t="s">
        <v>63</v>
      </c>
      <c r="G200" s="9" t="s">
        <v>145</v>
      </c>
      <c r="H200" s="9" t="s">
        <v>72</v>
      </c>
      <c r="I200" s="13">
        <v>2.5484279002654663E-2</v>
      </c>
      <c r="J200" s="9" t="s">
        <v>63</v>
      </c>
      <c r="L200" s="9" t="s">
        <v>165</v>
      </c>
      <c r="M200" s="9" t="s">
        <v>72</v>
      </c>
      <c r="N200" s="13">
        <v>2.0137378539302357E-2</v>
      </c>
      <c r="O200" s="9" t="s">
        <v>63</v>
      </c>
    </row>
    <row r="201" spans="2:15" x14ac:dyDescent="0.45">
      <c r="B201" s="8" t="s">
        <v>125</v>
      </c>
      <c r="C201" s="8" t="s">
        <v>73</v>
      </c>
      <c r="D201" s="10">
        <v>0</v>
      </c>
      <c r="E201" s="8" t="s">
        <v>63</v>
      </c>
      <c r="G201" s="8" t="s">
        <v>145</v>
      </c>
      <c r="H201" s="8" t="s">
        <v>73</v>
      </c>
      <c r="I201" s="12">
        <v>4.4865483927514577E-2</v>
      </c>
      <c r="J201" s="8" t="s">
        <v>63</v>
      </c>
      <c r="L201" s="8" t="s">
        <v>165</v>
      </c>
      <c r="M201" s="8" t="s">
        <v>73</v>
      </c>
      <c r="N201" s="12">
        <v>4.1203535405424048E-2</v>
      </c>
      <c r="O201" s="8" t="s">
        <v>63</v>
      </c>
    </row>
    <row r="202" spans="2:15" x14ac:dyDescent="0.45">
      <c r="B202" s="9" t="s">
        <v>125</v>
      </c>
      <c r="C202" s="9" t="s">
        <v>74</v>
      </c>
      <c r="D202" s="11">
        <v>2.1194933113487021E-3</v>
      </c>
      <c r="E202" s="9" t="s">
        <v>63</v>
      </c>
      <c r="G202" s="9" t="s">
        <v>145</v>
      </c>
      <c r="H202" s="9" t="s">
        <v>74</v>
      </c>
      <c r="I202" s="13">
        <v>1.7912036546640718E-2</v>
      </c>
      <c r="J202" s="9" t="s">
        <v>63</v>
      </c>
      <c r="L202" s="9" t="s">
        <v>165</v>
      </c>
      <c r="M202" s="9" t="s">
        <v>74</v>
      </c>
      <c r="N202" s="13">
        <v>1.5366765152626447E-2</v>
      </c>
      <c r="O202" s="9" t="s">
        <v>63</v>
      </c>
    </row>
    <row r="203" spans="2:15" x14ac:dyDescent="0.45">
      <c r="B203" s="8" t="s">
        <v>125</v>
      </c>
      <c r="C203" s="8" t="s">
        <v>75</v>
      </c>
      <c r="D203" s="10">
        <v>2.1107824812009873E-2</v>
      </c>
      <c r="E203" s="8" t="s">
        <v>63</v>
      </c>
      <c r="G203" s="8" t="s">
        <v>145</v>
      </c>
      <c r="H203" s="8" t="s">
        <v>75</v>
      </c>
      <c r="I203" s="12">
        <v>1.6074727762411738E-2</v>
      </c>
      <c r="J203" s="8" t="s">
        <v>63</v>
      </c>
      <c r="L203" s="8" t="s">
        <v>165</v>
      </c>
      <c r="M203" s="8" t="s">
        <v>75</v>
      </c>
      <c r="N203" s="12">
        <v>1.5209037191129171E-2</v>
      </c>
      <c r="O203" s="8" t="s">
        <v>63</v>
      </c>
    </row>
    <row r="204" spans="2:15" x14ac:dyDescent="0.45">
      <c r="B204" s="9" t="s">
        <v>125</v>
      </c>
      <c r="C204" s="9" t="s">
        <v>76</v>
      </c>
      <c r="D204" s="11">
        <v>4.2480507739356799E-2</v>
      </c>
      <c r="E204" s="9" t="s">
        <v>63</v>
      </c>
      <c r="G204" s="9" t="s">
        <v>145</v>
      </c>
      <c r="H204" s="9" t="s">
        <v>76</v>
      </c>
      <c r="I204" s="13">
        <v>1.5375751098356561E-2</v>
      </c>
      <c r="J204" s="9" t="s">
        <v>63</v>
      </c>
      <c r="L204" s="9" t="s">
        <v>165</v>
      </c>
      <c r="M204" s="9" t="s">
        <v>76</v>
      </c>
      <c r="N204" s="13">
        <v>1.5227892261855884E-2</v>
      </c>
      <c r="O204" s="9" t="s">
        <v>63</v>
      </c>
    </row>
    <row r="205" spans="2:15" x14ac:dyDescent="0.45">
      <c r="B205" s="8" t="s">
        <v>125</v>
      </c>
      <c r="C205" s="8" t="s">
        <v>77</v>
      </c>
      <c r="D205" s="10">
        <v>4.7011579078147223E-2</v>
      </c>
      <c r="E205" s="8" t="s">
        <v>63</v>
      </c>
      <c r="G205" s="8" t="s">
        <v>145</v>
      </c>
      <c r="H205" s="8" t="s">
        <v>77</v>
      </c>
      <c r="I205" s="12">
        <v>1.3793434253199862E-2</v>
      </c>
      <c r="J205" s="8" t="s">
        <v>63</v>
      </c>
      <c r="L205" s="8" t="s">
        <v>165</v>
      </c>
      <c r="M205" s="8" t="s">
        <v>77</v>
      </c>
      <c r="N205" s="12">
        <v>1.4362137475255955E-2</v>
      </c>
      <c r="O205" s="8" t="s">
        <v>63</v>
      </c>
    </row>
    <row r="206" spans="2:15" x14ac:dyDescent="0.45">
      <c r="B206" s="9" t="s">
        <v>125</v>
      </c>
      <c r="C206" s="9" t="s">
        <v>78</v>
      </c>
      <c r="D206" s="11">
        <v>4.328833986489139E-2</v>
      </c>
      <c r="E206" s="9" t="s">
        <v>63</v>
      </c>
      <c r="G206" s="9" t="s">
        <v>145</v>
      </c>
      <c r="H206" s="9" t="s">
        <v>78</v>
      </c>
      <c r="I206" s="13">
        <v>1.5437184063555768E-2</v>
      </c>
      <c r="J206" s="9" t="s">
        <v>63</v>
      </c>
      <c r="L206" s="9" t="s">
        <v>165</v>
      </c>
      <c r="M206" s="9" t="s">
        <v>78</v>
      </c>
      <c r="N206" s="13">
        <v>1.4561771995915839E-2</v>
      </c>
      <c r="O206" s="9" t="s">
        <v>63</v>
      </c>
    </row>
    <row r="207" spans="2:15" x14ac:dyDescent="0.45">
      <c r="B207" s="8" t="s">
        <v>125</v>
      </c>
      <c r="C207" s="8" t="s">
        <v>79</v>
      </c>
      <c r="D207" s="10">
        <v>3.6577047321830945E-2</v>
      </c>
      <c r="E207" s="8" t="s">
        <v>63</v>
      </c>
      <c r="G207" s="8" t="s">
        <v>145</v>
      </c>
      <c r="H207" s="8" t="s">
        <v>79</v>
      </c>
      <c r="I207" s="12">
        <v>1.5401546174824771E-2</v>
      </c>
      <c r="J207" s="8" t="s">
        <v>63</v>
      </c>
      <c r="L207" s="8" t="s">
        <v>165</v>
      </c>
      <c r="M207" s="8" t="s">
        <v>79</v>
      </c>
      <c r="N207" s="12">
        <v>1.5405871021608869E-2</v>
      </c>
      <c r="O207" s="8" t="s">
        <v>63</v>
      </c>
    </row>
    <row r="208" spans="2:15" x14ac:dyDescent="0.45">
      <c r="B208" s="9" t="s">
        <v>125</v>
      </c>
      <c r="C208" s="9" t="s">
        <v>80</v>
      </c>
      <c r="D208" s="11">
        <v>1.9541680431653236E-2</v>
      </c>
      <c r="E208" s="9" t="s">
        <v>63</v>
      </c>
      <c r="G208" s="9" t="s">
        <v>145</v>
      </c>
      <c r="H208" s="9" t="s">
        <v>80</v>
      </c>
      <c r="I208" s="13">
        <v>1.633135727036937E-2</v>
      </c>
      <c r="J208" s="9" t="s">
        <v>63</v>
      </c>
      <c r="L208" s="9" t="s">
        <v>165</v>
      </c>
      <c r="M208" s="9" t="s">
        <v>80</v>
      </c>
      <c r="N208" s="13">
        <v>1.6596286118888776E-2</v>
      </c>
      <c r="O208" s="9" t="s">
        <v>63</v>
      </c>
    </row>
    <row r="209" spans="2:15" x14ac:dyDescent="0.45">
      <c r="B209" s="8" t="s">
        <v>125</v>
      </c>
      <c r="C209" s="8" t="s">
        <v>81</v>
      </c>
      <c r="D209" s="10">
        <v>1.8992656978277041E-3</v>
      </c>
      <c r="E209" s="8" t="s">
        <v>63</v>
      </c>
      <c r="G209" s="8" t="s">
        <v>145</v>
      </c>
      <c r="H209" s="8" t="s">
        <v>81</v>
      </c>
      <c r="I209" s="12">
        <v>1.8413822301453751E-2</v>
      </c>
      <c r="J209" s="8" t="s">
        <v>63</v>
      </c>
      <c r="L209" s="8" t="s">
        <v>165</v>
      </c>
      <c r="M209" s="8" t="s">
        <v>81</v>
      </c>
      <c r="N209" s="12">
        <v>1.7526317029928212E-2</v>
      </c>
      <c r="O209" s="8" t="s">
        <v>63</v>
      </c>
    </row>
    <row r="210" spans="2:15" x14ac:dyDescent="0.45">
      <c r="B210" s="9" t="s">
        <v>125</v>
      </c>
      <c r="C210" s="9" t="s">
        <v>82</v>
      </c>
      <c r="D210" s="11">
        <v>0</v>
      </c>
      <c r="E210" s="9" t="s">
        <v>63</v>
      </c>
      <c r="G210" s="9" t="s">
        <v>145</v>
      </c>
      <c r="H210" s="9" t="s">
        <v>82</v>
      </c>
      <c r="I210" s="13">
        <v>2.7046845918205081E-2</v>
      </c>
      <c r="J210" s="9" t="s">
        <v>63</v>
      </c>
      <c r="L210" s="9" t="s">
        <v>165</v>
      </c>
      <c r="M210" s="9" t="s">
        <v>82</v>
      </c>
      <c r="N210" s="13">
        <v>2.5997292602674298E-2</v>
      </c>
      <c r="O210" s="9" t="s">
        <v>63</v>
      </c>
    </row>
    <row r="211" spans="2:15" x14ac:dyDescent="0.45">
      <c r="B211" s="8" t="s">
        <v>125</v>
      </c>
      <c r="C211" s="8" t="s">
        <v>83</v>
      </c>
      <c r="D211" s="10">
        <v>0</v>
      </c>
      <c r="E211" s="8" t="s">
        <v>63</v>
      </c>
      <c r="G211" s="8" t="s">
        <v>145</v>
      </c>
      <c r="H211" s="8" t="s">
        <v>83</v>
      </c>
      <c r="I211" s="12">
        <v>2.4020177924242627E-2</v>
      </c>
      <c r="J211" s="8" t="s">
        <v>63</v>
      </c>
      <c r="L211" s="8" t="s">
        <v>165</v>
      </c>
      <c r="M211" s="8" t="s">
        <v>83</v>
      </c>
      <c r="N211" s="12">
        <v>3.2132079833591079E-2</v>
      </c>
      <c r="O211" s="8" t="s">
        <v>63</v>
      </c>
    </row>
    <row r="212" spans="2:15" x14ac:dyDescent="0.45">
      <c r="B212" s="9" t="s">
        <v>125</v>
      </c>
      <c r="C212" s="9" t="s">
        <v>84</v>
      </c>
      <c r="D212" s="11">
        <v>1.3067934845919981E-2</v>
      </c>
      <c r="E212" s="9" t="s">
        <v>63</v>
      </c>
      <c r="G212" s="9" t="s">
        <v>145</v>
      </c>
      <c r="H212" s="9" t="s">
        <v>84</v>
      </c>
      <c r="I212" s="13">
        <v>7.846887369146207E-3</v>
      </c>
      <c r="J212" s="9" t="s">
        <v>63</v>
      </c>
      <c r="L212" s="9" t="s">
        <v>165</v>
      </c>
      <c r="M212" s="9" t="s">
        <v>84</v>
      </c>
      <c r="N212" s="13">
        <v>1.2098751144451124E-2</v>
      </c>
      <c r="O212" s="9" t="s">
        <v>63</v>
      </c>
    </row>
    <row r="213" spans="2:15" x14ac:dyDescent="0.45">
      <c r="B213" s="8" t="s">
        <v>125</v>
      </c>
      <c r="C213" s="8" t="s">
        <v>85</v>
      </c>
      <c r="D213" s="10">
        <v>3.5612530642483368E-2</v>
      </c>
      <c r="E213" s="8" t="s">
        <v>63</v>
      </c>
      <c r="G213" s="8" t="s">
        <v>145</v>
      </c>
      <c r="H213" s="8" t="s">
        <v>85</v>
      </c>
      <c r="I213" s="12">
        <v>6.2799292679839034E-3</v>
      </c>
      <c r="J213" s="8" t="s">
        <v>63</v>
      </c>
      <c r="L213" s="8" t="s">
        <v>165</v>
      </c>
      <c r="M213" s="8" t="s">
        <v>85</v>
      </c>
      <c r="N213" s="12">
        <v>1.1795375620523487E-2</v>
      </c>
      <c r="O213" s="8" t="s">
        <v>63</v>
      </c>
    </row>
    <row r="214" spans="2:15" x14ac:dyDescent="0.45">
      <c r="B214" s="9" t="s">
        <v>125</v>
      </c>
      <c r="C214" s="9" t="s">
        <v>86</v>
      </c>
      <c r="D214" s="11">
        <v>4.7791740752308583E-2</v>
      </c>
      <c r="E214" s="9" t="s">
        <v>63</v>
      </c>
      <c r="G214" s="9" t="s">
        <v>145</v>
      </c>
      <c r="H214" s="9" t="s">
        <v>86</v>
      </c>
      <c r="I214" s="13">
        <v>6.2920846444738665E-3</v>
      </c>
      <c r="J214" s="9" t="s">
        <v>63</v>
      </c>
      <c r="L214" s="9" t="s">
        <v>165</v>
      </c>
      <c r="M214" s="9" t="s">
        <v>86</v>
      </c>
      <c r="N214" s="13">
        <v>1.1425906826262371E-2</v>
      </c>
      <c r="O214" s="9" t="s">
        <v>63</v>
      </c>
    </row>
    <row r="215" spans="2:15" x14ac:dyDescent="0.45">
      <c r="B215" s="8" t="s">
        <v>125</v>
      </c>
      <c r="C215" s="8" t="s">
        <v>87</v>
      </c>
      <c r="D215" s="10">
        <v>4.983841716814677E-2</v>
      </c>
      <c r="E215" s="8" t="s">
        <v>63</v>
      </c>
      <c r="G215" s="8" t="s">
        <v>145</v>
      </c>
      <c r="H215" s="8" t="s">
        <v>87</v>
      </c>
      <c r="I215" s="12">
        <v>5.3279863180576096E-3</v>
      </c>
      <c r="J215" s="8" t="s">
        <v>63</v>
      </c>
      <c r="L215" s="8" t="s">
        <v>165</v>
      </c>
      <c r="M215" s="8" t="s">
        <v>87</v>
      </c>
      <c r="N215" s="12">
        <v>1.0646730280512407E-2</v>
      </c>
      <c r="O215" s="8" t="s">
        <v>63</v>
      </c>
    </row>
    <row r="216" spans="2:15" x14ac:dyDescent="0.45">
      <c r="B216" s="9" t="s">
        <v>125</v>
      </c>
      <c r="C216" s="9" t="s">
        <v>88</v>
      </c>
      <c r="D216" s="11">
        <v>4.6669302327602642E-2</v>
      </c>
      <c r="E216" s="9" t="s">
        <v>63</v>
      </c>
      <c r="G216" s="9" t="s">
        <v>145</v>
      </c>
      <c r="H216" s="9" t="s">
        <v>88</v>
      </c>
      <c r="I216" s="13">
        <v>6.3991323193860151E-3</v>
      </c>
      <c r="J216" s="9" t="s">
        <v>63</v>
      </c>
      <c r="L216" s="9" t="s">
        <v>165</v>
      </c>
      <c r="M216" s="9" t="s">
        <v>88</v>
      </c>
      <c r="N216" s="13">
        <v>1.089687014565773E-2</v>
      </c>
      <c r="O216" s="9" t="s">
        <v>63</v>
      </c>
    </row>
    <row r="217" spans="2:15" x14ac:dyDescent="0.45">
      <c r="B217" s="8" t="s">
        <v>125</v>
      </c>
      <c r="C217" s="8" t="s">
        <v>89</v>
      </c>
      <c r="D217" s="10">
        <v>4.0105841527778227E-2</v>
      </c>
      <c r="E217" s="8" t="s">
        <v>63</v>
      </c>
      <c r="G217" s="8" t="s">
        <v>145</v>
      </c>
      <c r="H217" s="8" t="s">
        <v>89</v>
      </c>
      <c r="I217" s="12">
        <v>6.8939038892567254E-3</v>
      </c>
      <c r="J217" s="8" t="s">
        <v>63</v>
      </c>
      <c r="L217" s="8" t="s">
        <v>165</v>
      </c>
      <c r="M217" s="8" t="s">
        <v>89</v>
      </c>
      <c r="N217" s="12">
        <v>1.1166180259692796E-2</v>
      </c>
      <c r="O217" s="8" t="s">
        <v>63</v>
      </c>
    </row>
    <row r="218" spans="2:15" x14ac:dyDescent="0.45">
      <c r="B218" s="9" t="s">
        <v>125</v>
      </c>
      <c r="C218" s="9" t="s">
        <v>90</v>
      </c>
      <c r="D218" s="11">
        <v>2.6749345647245397E-2</v>
      </c>
      <c r="E218" s="9" t="s">
        <v>63</v>
      </c>
      <c r="G218" s="9" t="s">
        <v>145</v>
      </c>
      <c r="H218" s="9" t="s">
        <v>90</v>
      </c>
      <c r="I218" s="13">
        <v>7.1371649320218222E-3</v>
      </c>
      <c r="J218" s="9" t="s">
        <v>63</v>
      </c>
      <c r="L218" s="9" t="s">
        <v>165</v>
      </c>
      <c r="M218" s="9" t="s">
        <v>90</v>
      </c>
      <c r="N218" s="13">
        <v>1.1092385110856274E-2</v>
      </c>
      <c r="O218" s="9" t="s">
        <v>63</v>
      </c>
    </row>
    <row r="219" spans="2:15" x14ac:dyDescent="0.45">
      <c r="B219" s="8" t="s">
        <v>125</v>
      </c>
      <c r="C219" s="8" t="s">
        <v>91</v>
      </c>
      <c r="D219" s="10">
        <v>9.902407245879501E-3</v>
      </c>
      <c r="E219" s="8" t="s">
        <v>63</v>
      </c>
      <c r="G219" s="8" t="s">
        <v>145</v>
      </c>
      <c r="H219" s="8" t="s">
        <v>91</v>
      </c>
      <c r="I219" s="12">
        <v>9.2631084975282277E-3</v>
      </c>
      <c r="J219" s="8" t="s">
        <v>63</v>
      </c>
      <c r="L219" s="8" t="s">
        <v>165</v>
      </c>
      <c r="M219" s="8" t="s">
        <v>91</v>
      </c>
      <c r="N219" s="12">
        <v>1.1179441612426757E-2</v>
      </c>
      <c r="O219" s="8" t="s">
        <v>63</v>
      </c>
    </row>
    <row r="220" spans="2:15" x14ac:dyDescent="0.45">
      <c r="B220" s="9" t="s">
        <v>125</v>
      </c>
      <c r="C220" s="9" t="s">
        <v>92</v>
      </c>
      <c r="D220" s="11">
        <v>0</v>
      </c>
      <c r="E220" s="9" t="s">
        <v>63</v>
      </c>
      <c r="G220" s="9" t="s">
        <v>145</v>
      </c>
      <c r="H220" s="9" t="s">
        <v>92</v>
      </c>
      <c r="I220" s="13">
        <v>1.5786991240822983E-2</v>
      </c>
      <c r="J220" s="9" t="s">
        <v>63</v>
      </c>
      <c r="L220" s="9" t="s">
        <v>165</v>
      </c>
      <c r="M220" s="9" t="s">
        <v>92</v>
      </c>
      <c r="N220" s="13">
        <v>1.8129460047307529E-2</v>
      </c>
      <c r="O220" s="9" t="s">
        <v>63</v>
      </c>
    </row>
    <row r="221" spans="2:15" x14ac:dyDescent="0.45">
      <c r="B221" s="8" t="s">
        <v>125</v>
      </c>
      <c r="C221" s="8" t="s">
        <v>93</v>
      </c>
      <c r="D221" s="10">
        <v>0</v>
      </c>
      <c r="E221" s="8" t="s">
        <v>63</v>
      </c>
      <c r="G221" s="8" t="s">
        <v>145</v>
      </c>
      <c r="H221" s="8" t="s">
        <v>93</v>
      </c>
      <c r="I221" s="12">
        <v>2.170348874461623E-2</v>
      </c>
      <c r="J221" s="8" t="s">
        <v>63</v>
      </c>
      <c r="L221" s="8" t="s">
        <v>165</v>
      </c>
      <c r="M221" s="8" t="s">
        <v>93</v>
      </c>
      <c r="N221" s="12">
        <v>2.4691557947785752E-2</v>
      </c>
      <c r="O221" s="8" t="s">
        <v>63</v>
      </c>
    </row>
    <row r="222" spans="2:15" x14ac:dyDescent="0.45">
      <c r="B222" s="9" t="s">
        <v>125</v>
      </c>
      <c r="C222" s="9" t="s">
        <v>94</v>
      </c>
      <c r="D222" s="11">
        <v>1.091322062108583E-2</v>
      </c>
      <c r="E222" s="9" t="s">
        <v>63</v>
      </c>
      <c r="G222" s="9" t="s">
        <v>145</v>
      </c>
      <c r="H222" s="9" t="s">
        <v>94</v>
      </c>
      <c r="I222" s="13">
        <v>7.2269319265602242E-3</v>
      </c>
      <c r="J222" s="9" t="s">
        <v>63</v>
      </c>
      <c r="L222" s="9" t="s">
        <v>165</v>
      </c>
      <c r="M222" s="9" t="s">
        <v>94</v>
      </c>
      <c r="N222" s="13">
        <v>9.6549478712175067E-3</v>
      </c>
      <c r="O222" s="9" t="s">
        <v>63</v>
      </c>
    </row>
    <row r="223" spans="2:15" x14ac:dyDescent="0.45">
      <c r="B223" s="8" t="s">
        <v>125</v>
      </c>
      <c r="C223" s="8" t="s">
        <v>95</v>
      </c>
      <c r="D223" s="10">
        <v>3.517730008110382E-2</v>
      </c>
      <c r="E223" s="8" t="s">
        <v>63</v>
      </c>
      <c r="G223" s="8" t="s">
        <v>145</v>
      </c>
      <c r="H223" s="8" t="s">
        <v>95</v>
      </c>
      <c r="I223" s="12">
        <v>5.4780171200207528E-3</v>
      </c>
      <c r="J223" s="8" t="s">
        <v>63</v>
      </c>
      <c r="L223" s="8" t="s">
        <v>165</v>
      </c>
      <c r="M223" s="8" t="s">
        <v>95</v>
      </c>
      <c r="N223" s="12">
        <v>9.0967139638515118E-3</v>
      </c>
      <c r="O223" s="8" t="s">
        <v>63</v>
      </c>
    </row>
    <row r="224" spans="2:15" x14ac:dyDescent="0.45">
      <c r="B224" s="9" t="s">
        <v>125</v>
      </c>
      <c r="C224" s="9" t="s">
        <v>96</v>
      </c>
      <c r="D224" s="11">
        <v>5.101903516370649E-2</v>
      </c>
      <c r="E224" s="9" t="s">
        <v>63</v>
      </c>
      <c r="G224" s="9" t="s">
        <v>145</v>
      </c>
      <c r="H224" s="9" t="s">
        <v>96</v>
      </c>
      <c r="I224" s="13">
        <v>6.639080342595664E-3</v>
      </c>
      <c r="J224" s="9" t="s">
        <v>63</v>
      </c>
      <c r="L224" s="9" t="s">
        <v>165</v>
      </c>
      <c r="M224" s="9" t="s">
        <v>96</v>
      </c>
      <c r="N224" s="13">
        <v>9.5621686284289506E-3</v>
      </c>
      <c r="O224" s="9" t="s">
        <v>63</v>
      </c>
    </row>
    <row r="225" spans="2:15" x14ac:dyDescent="0.45">
      <c r="B225" s="8" t="s">
        <v>125</v>
      </c>
      <c r="C225" s="8" t="s">
        <v>97</v>
      </c>
      <c r="D225" s="10">
        <v>5.3114725339207636E-2</v>
      </c>
      <c r="E225" s="8" t="s">
        <v>63</v>
      </c>
      <c r="G225" s="8" t="s">
        <v>145</v>
      </c>
      <c r="H225" s="8" t="s">
        <v>97</v>
      </c>
      <c r="I225" s="12">
        <v>6.0915703069147117E-3</v>
      </c>
      <c r="J225" s="8" t="s">
        <v>63</v>
      </c>
      <c r="L225" s="8" t="s">
        <v>165</v>
      </c>
      <c r="M225" s="8" t="s">
        <v>97</v>
      </c>
      <c r="N225" s="12">
        <v>8.8394995899711871E-3</v>
      </c>
      <c r="O225" s="8" t="s">
        <v>63</v>
      </c>
    </row>
    <row r="226" spans="2:15" x14ac:dyDescent="0.45">
      <c r="B226" s="9" t="s">
        <v>125</v>
      </c>
      <c r="C226" s="9" t="s">
        <v>98</v>
      </c>
      <c r="D226" s="11">
        <v>5.1519899911976627E-2</v>
      </c>
      <c r="E226" s="9" t="s">
        <v>63</v>
      </c>
      <c r="G226" s="9" t="s">
        <v>145</v>
      </c>
      <c r="H226" s="9" t="s">
        <v>98</v>
      </c>
      <c r="I226" s="13">
        <v>7.2617936524767305E-3</v>
      </c>
      <c r="J226" s="9" t="s">
        <v>63</v>
      </c>
      <c r="L226" s="9" t="s">
        <v>165</v>
      </c>
      <c r="M226" s="9" t="s">
        <v>98</v>
      </c>
      <c r="N226" s="13">
        <v>9.7615431110972661E-3</v>
      </c>
      <c r="O226" s="9" t="s">
        <v>63</v>
      </c>
    </row>
    <row r="227" spans="2:15" x14ac:dyDescent="0.45">
      <c r="B227" s="8" t="s">
        <v>125</v>
      </c>
      <c r="C227" s="8" t="s">
        <v>99</v>
      </c>
      <c r="D227" s="10">
        <v>4.5533456016479609E-2</v>
      </c>
      <c r="E227" s="8" t="s">
        <v>63</v>
      </c>
      <c r="G227" s="8" t="s">
        <v>145</v>
      </c>
      <c r="H227" s="8" t="s">
        <v>99</v>
      </c>
      <c r="I227" s="12">
        <v>7.6595652024867202E-3</v>
      </c>
      <c r="J227" s="8" t="s">
        <v>63</v>
      </c>
      <c r="L227" s="8" t="s">
        <v>165</v>
      </c>
      <c r="M227" s="8" t="s">
        <v>99</v>
      </c>
      <c r="N227" s="12">
        <v>9.9987778981377885E-3</v>
      </c>
      <c r="O227" s="8" t="s">
        <v>63</v>
      </c>
    </row>
    <row r="228" spans="2:15" x14ac:dyDescent="0.45">
      <c r="B228" s="9" t="s">
        <v>125</v>
      </c>
      <c r="C228" s="9" t="s">
        <v>100</v>
      </c>
      <c r="D228" s="11">
        <v>3.1126413056153327E-2</v>
      </c>
      <c r="E228" s="9" t="s">
        <v>63</v>
      </c>
      <c r="G228" s="9" t="s">
        <v>145</v>
      </c>
      <c r="H228" s="9" t="s">
        <v>100</v>
      </c>
      <c r="I228" s="13">
        <v>6.6570160061024284E-3</v>
      </c>
      <c r="J228" s="9" t="s">
        <v>63</v>
      </c>
      <c r="L228" s="9" t="s">
        <v>165</v>
      </c>
      <c r="M228" s="9" t="s">
        <v>100</v>
      </c>
      <c r="N228" s="13">
        <v>9.979854410531782E-3</v>
      </c>
      <c r="O228" s="9" t="s">
        <v>63</v>
      </c>
    </row>
    <row r="229" spans="2:15" x14ac:dyDescent="0.45">
      <c r="B229" s="8" t="s">
        <v>125</v>
      </c>
      <c r="C229" s="8" t="s">
        <v>101</v>
      </c>
      <c r="D229" s="10">
        <v>1.1602203871472925E-2</v>
      </c>
      <c r="E229" s="8" t="s">
        <v>63</v>
      </c>
      <c r="G229" s="8" t="s">
        <v>145</v>
      </c>
      <c r="H229" s="8" t="s">
        <v>101</v>
      </c>
      <c r="I229" s="12">
        <v>8.0808731622780544E-3</v>
      </c>
      <c r="J229" s="8" t="s">
        <v>63</v>
      </c>
      <c r="L229" s="8" t="s">
        <v>165</v>
      </c>
      <c r="M229" s="8" t="s">
        <v>101</v>
      </c>
      <c r="N229" s="12">
        <v>9.9664879035454724E-3</v>
      </c>
      <c r="O229" s="8" t="s">
        <v>63</v>
      </c>
    </row>
    <row r="230" spans="2:15" x14ac:dyDescent="0.45">
      <c r="B230" s="9" t="s">
        <v>125</v>
      </c>
      <c r="C230" s="9" t="s">
        <v>102</v>
      </c>
      <c r="D230" s="11">
        <v>0</v>
      </c>
      <c r="E230" s="9" t="s">
        <v>63</v>
      </c>
      <c r="G230" s="9" t="s">
        <v>145</v>
      </c>
      <c r="H230" s="9" t="s">
        <v>102</v>
      </c>
      <c r="I230" s="13">
        <v>1.3659910294836913E-2</v>
      </c>
      <c r="J230" s="9" t="s">
        <v>63</v>
      </c>
      <c r="L230" s="9" t="s">
        <v>165</v>
      </c>
      <c r="M230" s="9" t="s">
        <v>102</v>
      </c>
      <c r="N230" s="13">
        <v>1.6010659526335968E-2</v>
      </c>
      <c r="O230" s="9" t="s">
        <v>63</v>
      </c>
    </row>
    <row r="231" spans="2:15" x14ac:dyDescent="0.45">
      <c r="B231" s="8" t="s">
        <v>125</v>
      </c>
      <c r="C231" s="8" t="s">
        <v>103</v>
      </c>
      <c r="D231" s="10">
        <v>0</v>
      </c>
      <c r="E231" s="8" t="s">
        <v>63</v>
      </c>
      <c r="G231" s="8" t="s">
        <v>145</v>
      </c>
      <c r="H231" s="8" t="s">
        <v>103</v>
      </c>
      <c r="I231" s="12">
        <v>3.7000818047345209E-2</v>
      </c>
      <c r="J231" s="8" t="s">
        <v>63</v>
      </c>
      <c r="L231" s="8" t="s">
        <v>165</v>
      </c>
      <c r="M231" s="8" t="s">
        <v>103</v>
      </c>
      <c r="N231" s="12">
        <v>3.411963893712075E-2</v>
      </c>
      <c r="O231" s="8" t="s">
        <v>63</v>
      </c>
    </row>
    <row r="232" spans="2:15" x14ac:dyDescent="0.45">
      <c r="B232" s="9" t="s">
        <v>125</v>
      </c>
      <c r="C232" s="9" t="s">
        <v>104</v>
      </c>
      <c r="D232" s="11">
        <v>2.1980744649166122E-4</v>
      </c>
      <c r="E232" s="9" t="s">
        <v>63</v>
      </c>
      <c r="G232" s="9" t="s">
        <v>145</v>
      </c>
      <c r="H232" s="9" t="s">
        <v>104</v>
      </c>
      <c r="I232" s="13">
        <v>1.4198079790016136E-2</v>
      </c>
      <c r="J232" s="9" t="s">
        <v>63</v>
      </c>
      <c r="L232" s="9" t="s">
        <v>165</v>
      </c>
      <c r="M232" s="9" t="s">
        <v>104</v>
      </c>
      <c r="N232" s="13">
        <v>1.3357769221720198E-2</v>
      </c>
      <c r="O232" s="9" t="s">
        <v>63</v>
      </c>
    </row>
    <row r="233" spans="2:15" x14ac:dyDescent="0.45">
      <c r="B233" s="8" t="s">
        <v>125</v>
      </c>
      <c r="C233" s="8" t="s">
        <v>105</v>
      </c>
      <c r="D233" s="10">
        <v>1.244725743525228E-2</v>
      </c>
      <c r="E233" s="8" t="s">
        <v>63</v>
      </c>
      <c r="G233" s="8" t="s">
        <v>145</v>
      </c>
      <c r="H233" s="8" t="s">
        <v>105</v>
      </c>
      <c r="I233" s="12">
        <v>1.2861087530241564E-2</v>
      </c>
      <c r="J233" s="8" t="s">
        <v>63</v>
      </c>
      <c r="L233" s="8" t="s">
        <v>165</v>
      </c>
      <c r="M233" s="8" t="s">
        <v>105</v>
      </c>
      <c r="N233" s="12">
        <v>1.3833458951297339E-2</v>
      </c>
      <c r="O233" s="8" t="s">
        <v>63</v>
      </c>
    </row>
    <row r="234" spans="2:15" x14ac:dyDescent="0.45">
      <c r="B234" s="9" t="s">
        <v>125</v>
      </c>
      <c r="C234" s="9" t="s">
        <v>106</v>
      </c>
      <c r="D234" s="11">
        <v>2.7569976657964953E-2</v>
      </c>
      <c r="E234" s="9" t="s">
        <v>63</v>
      </c>
      <c r="G234" s="9" t="s">
        <v>145</v>
      </c>
      <c r="H234" s="9" t="s">
        <v>106</v>
      </c>
      <c r="I234" s="13">
        <v>1.1882365198257317E-2</v>
      </c>
      <c r="J234" s="9" t="s">
        <v>63</v>
      </c>
      <c r="L234" s="9" t="s">
        <v>165</v>
      </c>
      <c r="M234" s="9" t="s">
        <v>106</v>
      </c>
      <c r="N234" s="13">
        <v>1.4128904225422532E-2</v>
      </c>
      <c r="O234" s="9" t="s">
        <v>63</v>
      </c>
    </row>
    <row r="235" spans="2:15" x14ac:dyDescent="0.45">
      <c r="B235" s="8" t="s">
        <v>125</v>
      </c>
      <c r="C235" s="8" t="s">
        <v>107</v>
      </c>
      <c r="D235" s="10">
        <v>3.2391851285689263E-2</v>
      </c>
      <c r="E235" s="8" t="s">
        <v>63</v>
      </c>
      <c r="G235" s="8" t="s">
        <v>145</v>
      </c>
      <c r="H235" s="8" t="s">
        <v>107</v>
      </c>
      <c r="I235" s="12">
        <v>1.1126418896018292E-2</v>
      </c>
      <c r="J235" s="8" t="s">
        <v>63</v>
      </c>
      <c r="L235" s="8" t="s">
        <v>165</v>
      </c>
      <c r="M235" s="8" t="s">
        <v>107</v>
      </c>
      <c r="N235" s="12">
        <v>1.3412885443398635E-2</v>
      </c>
      <c r="O235" s="8" t="s">
        <v>63</v>
      </c>
    </row>
    <row r="236" spans="2:15" x14ac:dyDescent="0.45">
      <c r="B236" s="9" t="s">
        <v>125</v>
      </c>
      <c r="C236" s="9" t="s">
        <v>108</v>
      </c>
      <c r="D236" s="11">
        <v>3.2133208023760143E-2</v>
      </c>
      <c r="E236" s="9" t="s">
        <v>63</v>
      </c>
      <c r="G236" s="9" t="s">
        <v>145</v>
      </c>
      <c r="H236" s="9" t="s">
        <v>108</v>
      </c>
      <c r="I236" s="13">
        <v>1.2426403113426019E-2</v>
      </c>
      <c r="J236" s="9" t="s">
        <v>63</v>
      </c>
      <c r="L236" s="9" t="s">
        <v>165</v>
      </c>
      <c r="M236" s="9" t="s">
        <v>108</v>
      </c>
      <c r="N236" s="13">
        <v>1.3111144532820923E-2</v>
      </c>
      <c r="O236" s="9" t="s">
        <v>63</v>
      </c>
    </row>
    <row r="237" spans="2:15" x14ac:dyDescent="0.45">
      <c r="B237" s="8" t="s">
        <v>125</v>
      </c>
      <c r="C237" s="8" t="s">
        <v>109</v>
      </c>
      <c r="D237" s="10">
        <v>2.4576614132387042E-2</v>
      </c>
      <c r="E237" s="8" t="s">
        <v>63</v>
      </c>
      <c r="G237" s="8" t="s">
        <v>145</v>
      </c>
      <c r="H237" s="8" t="s">
        <v>109</v>
      </c>
      <c r="I237" s="12">
        <v>1.2928509219137393E-2</v>
      </c>
      <c r="J237" s="8" t="s">
        <v>63</v>
      </c>
      <c r="L237" s="8" t="s">
        <v>165</v>
      </c>
      <c r="M237" s="8" t="s">
        <v>109</v>
      </c>
      <c r="N237" s="12">
        <v>1.3214952310150584E-2</v>
      </c>
      <c r="O237" s="8" t="s">
        <v>63</v>
      </c>
    </row>
    <row r="238" spans="2:15" x14ac:dyDescent="0.45">
      <c r="B238" s="9" t="s">
        <v>125</v>
      </c>
      <c r="C238" s="9" t="s">
        <v>110</v>
      </c>
      <c r="D238" s="11">
        <v>8.7436725997844609E-3</v>
      </c>
      <c r="E238" s="9" t="s">
        <v>63</v>
      </c>
      <c r="G238" s="9" t="s">
        <v>145</v>
      </c>
      <c r="H238" s="9" t="s">
        <v>110</v>
      </c>
      <c r="I238" s="13">
        <v>1.3718108941053599E-2</v>
      </c>
      <c r="J238" s="9" t="s">
        <v>63</v>
      </c>
      <c r="L238" s="9" t="s">
        <v>165</v>
      </c>
      <c r="M238" s="9" t="s">
        <v>110</v>
      </c>
      <c r="N238" s="13">
        <v>1.3384482538331509E-2</v>
      </c>
      <c r="O238" s="9" t="s">
        <v>63</v>
      </c>
    </row>
    <row r="239" spans="2:15" x14ac:dyDescent="0.45">
      <c r="B239" s="8" t="s">
        <v>125</v>
      </c>
      <c r="C239" s="8" t="s">
        <v>111</v>
      </c>
      <c r="D239" s="10">
        <v>8.5777209637607135E-5</v>
      </c>
      <c r="E239" s="8" t="s">
        <v>63</v>
      </c>
      <c r="G239" s="8" t="s">
        <v>145</v>
      </c>
      <c r="H239" s="8" t="s">
        <v>111</v>
      </c>
      <c r="I239" s="12">
        <v>1.5132427895314786E-2</v>
      </c>
      <c r="J239" s="8" t="s">
        <v>63</v>
      </c>
      <c r="L239" s="8" t="s">
        <v>165</v>
      </c>
      <c r="M239" s="8" t="s">
        <v>111</v>
      </c>
      <c r="N239" s="12">
        <v>1.3732629426489779E-2</v>
      </c>
      <c r="O239" s="8" t="s">
        <v>63</v>
      </c>
    </row>
    <row r="240" spans="2:15" x14ac:dyDescent="0.45">
      <c r="B240" s="9" t="s">
        <v>125</v>
      </c>
      <c r="C240" s="9" t="s">
        <v>112</v>
      </c>
      <c r="D240" s="11">
        <v>0</v>
      </c>
      <c r="E240" s="9" t="s">
        <v>63</v>
      </c>
      <c r="G240" s="9" t="s">
        <v>145</v>
      </c>
      <c r="H240" s="9" t="s">
        <v>112</v>
      </c>
      <c r="I240" s="13">
        <v>2.3363026972086937E-2</v>
      </c>
      <c r="J240" s="9" t="s">
        <v>63</v>
      </c>
      <c r="L240" s="9" t="s">
        <v>165</v>
      </c>
      <c r="M240" s="9" t="s">
        <v>112</v>
      </c>
      <c r="N240" s="13">
        <v>2.0908378627967978E-2</v>
      </c>
      <c r="O240" s="9" t="s">
        <v>63</v>
      </c>
    </row>
    <row r="241" spans="2:15" x14ac:dyDescent="0.45">
      <c r="B241" s="8" t="s">
        <v>125</v>
      </c>
      <c r="C241" s="8" t="s">
        <v>113</v>
      </c>
      <c r="D241" s="10">
        <v>0</v>
      </c>
      <c r="E241" s="8" t="s">
        <v>63</v>
      </c>
      <c r="G241" s="8" t="s">
        <v>145</v>
      </c>
      <c r="H241" s="8" t="s">
        <v>113</v>
      </c>
      <c r="I241" s="12">
        <v>5.5979046712387452E-2</v>
      </c>
      <c r="J241" s="8" t="s">
        <v>63</v>
      </c>
      <c r="L241" s="8" t="s">
        <v>165</v>
      </c>
      <c r="M241" s="8" t="s">
        <v>113</v>
      </c>
      <c r="N241" s="12">
        <v>4.6193603713931955E-2</v>
      </c>
      <c r="O241" s="8" t="s">
        <v>63</v>
      </c>
    </row>
    <row r="242" spans="2:15" x14ac:dyDescent="0.45">
      <c r="B242" s="9" t="s">
        <v>125</v>
      </c>
      <c r="C242" s="9" t="s">
        <v>114</v>
      </c>
      <c r="D242" s="11">
        <v>0</v>
      </c>
      <c r="E242" s="9" t="s">
        <v>63</v>
      </c>
      <c r="G242" s="9" t="s">
        <v>145</v>
      </c>
      <c r="H242" s="9" t="s">
        <v>114</v>
      </c>
      <c r="I242" s="13">
        <v>2.1835366668896093E-2</v>
      </c>
      <c r="J242" s="9" t="s">
        <v>63</v>
      </c>
      <c r="L242" s="9" t="s">
        <v>165</v>
      </c>
      <c r="M242" s="9" t="s">
        <v>114</v>
      </c>
      <c r="N242" s="13">
        <v>1.8977294927256333E-2</v>
      </c>
      <c r="O242" s="9" t="s">
        <v>63</v>
      </c>
    </row>
    <row r="243" spans="2:15" x14ac:dyDescent="0.45">
      <c r="B243" s="8" t="s">
        <v>125</v>
      </c>
      <c r="C243" s="8" t="s">
        <v>115</v>
      </c>
      <c r="D243" s="10">
        <v>1.4500547078445563E-4</v>
      </c>
      <c r="E243" s="8" t="s">
        <v>63</v>
      </c>
      <c r="G243" s="8" t="s">
        <v>145</v>
      </c>
      <c r="H243" s="8" t="s">
        <v>115</v>
      </c>
      <c r="I243" s="12">
        <v>2.176829735618686E-2</v>
      </c>
      <c r="J243" s="8" t="s">
        <v>63</v>
      </c>
      <c r="L243" s="8" t="s">
        <v>165</v>
      </c>
      <c r="M243" s="8" t="s">
        <v>115</v>
      </c>
      <c r="N243" s="12">
        <v>1.8726818982934094E-2</v>
      </c>
      <c r="O243" s="8" t="s">
        <v>63</v>
      </c>
    </row>
    <row r="244" spans="2:15" x14ac:dyDescent="0.45">
      <c r="B244" s="9" t="s">
        <v>125</v>
      </c>
      <c r="C244" s="9" t="s">
        <v>116</v>
      </c>
      <c r="D244" s="11">
        <v>7.1122556096140559E-3</v>
      </c>
      <c r="E244" s="9" t="s">
        <v>63</v>
      </c>
      <c r="G244" s="9" t="s">
        <v>145</v>
      </c>
      <c r="H244" s="9" t="s">
        <v>116</v>
      </c>
      <c r="I244" s="13">
        <v>2.0934511261213446E-2</v>
      </c>
      <c r="J244" s="9" t="s">
        <v>63</v>
      </c>
      <c r="L244" s="9" t="s">
        <v>165</v>
      </c>
      <c r="M244" s="9" t="s">
        <v>116</v>
      </c>
      <c r="N244" s="13">
        <v>1.8647706799599751E-2</v>
      </c>
      <c r="O244" s="9" t="s">
        <v>63</v>
      </c>
    </row>
    <row r="245" spans="2:15" x14ac:dyDescent="0.45">
      <c r="B245" s="8" t="s">
        <v>125</v>
      </c>
      <c r="C245" s="8" t="s">
        <v>117</v>
      </c>
      <c r="D245" s="10">
        <v>1.2331114690145901E-2</v>
      </c>
      <c r="E245" s="8" t="s">
        <v>63</v>
      </c>
      <c r="G245" s="8" t="s">
        <v>145</v>
      </c>
      <c r="H245" s="8" t="s">
        <v>117</v>
      </c>
      <c r="I245" s="12">
        <v>1.9043764963849907E-2</v>
      </c>
      <c r="J245" s="8" t="s">
        <v>63</v>
      </c>
      <c r="L245" s="8" t="s">
        <v>165</v>
      </c>
      <c r="M245" s="8" t="s">
        <v>117</v>
      </c>
      <c r="N245" s="12">
        <v>1.9076100812605419E-2</v>
      </c>
      <c r="O245" s="8" t="s">
        <v>63</v>
      </c>
    </row>
    <row r="246" spans="2:15" x14ac:dyDescent="0.45">
      <c r="B246" s="9" t="s">
        <v>125</v>
      </c>
      <c r="C246" s="9" t="s">
        <v>118</v>
      </c>
      <c r="D246" s="11">
        <v>1.2780045573935399E-2</v>
      </c>
      <c r="E246" s="9" t="s">
        <v>63</v>
      </c>
      <c r="G246" s="9" t="s">
        <v>145</v>
      </c>
      <c r="H246" s="9" t="s">
        <v>118</v>
      </c>
      <c r="I246" s="13">
        <v>1.9202738812172805E-2</v>
      </c>
      <c r="J246" s="9" t="s">
        <v>63</v>
      </c>
      <c r="L246" s="9" t="s">
        <v>165</v>
      </c>
      <c r="M246" s="9" t="s">
        <v>118</v>
      </c>
      <c r="N246" s="13">
        <v>1.9070364429092396E-2</v>
      </c>
      <c r="O246" s="9" t="s">
        <v>63</v>
      </c>
    </row>
    <row r="247" spans="2:15" x14ac:dyDescent="0.45">
      <c r="B247" s="8" t="s">
        <v>125</v>
      </c>
      <c r="C247" s="8" t="s">
        <v>119</v>
      </c>
      <c r="D247" s="10">
        <v>6.4280776766329649E-3</v>
      </c>
      <c r="E247" s="8" t="s">
        <v>63</v>
      </c>
      <c r="G247" s="8" t="s">
        <v>145</v>
      </c>
      <c r="H247" s="8" t="s">
        <v>119</v>
      </c>
      <c r="I247" s="12">
        <v>2.0883814645602985E-2</v>
      </c>
      <c r="J247" s="8" t="s">
        <v>63</v>
      </c>
      <c r="L247" s="8" t="s">
        <v>165</v>
      </c>
      <c r="M247" s="8" t="s">
        <v>119</v>
      </c>
      <c r="N247" s="12">
        <v>1.900452723580659E-2</v>
      </c>
      <c r="O247" s="8" t="s">
        <v>63</v>
      </c>
    </row>
    <row r="248" spans="2:15" x14ac:dyDescent="0.45">
      <c r="B248" s="9" t="s">
        <v>125</v>
      </c>
      <c r="C248" s="9" t="s">
        <v>120</v>
      </c>
      <c r="D248" s="11">
        <v>0</v>
      </c>
      <c r="E248" s="9" t="s">
        <v>63</v>
      </c>
      <c r="G248" s="9" t="s">
        <v>145</v>
      </c>
      <c r="H248" s="9" t="s">
        <v>120</v>
      </c>
      <c r="I248" s="13">
        <v>2.2323885903739366E-2</v>
      </c>
      <c r="J248" s="9" t="s">
        <v>63</v>
      </c>
      <c r="L248" s="9" t="s">
        <v>165</v>
      </c>
      <c r="M248" s="9" t="s">
        <v>120</v>
      </c>
      <c r="N248" s="13">
        <v>1.8690727123811555E-2</v>
      </c>
      <c r="O248" s="9" t="s">
        <v>63</v>
      </c>
    </row>
    <row r="249" spans="2:15" x14ac:dyDescent="0.45">
      <c r="B249" s="8" t="s">
        <v>125</v>
      </c>
      <c r="C249" s="8" t="s">
        <v>121</v>
      </c>
      <c r="D249" s="10">
        <v>0</v>
      </c>
      <c r="E249" s="8" t="s">
        <v>63</v>
      </c>
      <c r="G249" s="8" t="s">
        <v>145</v>
      </c>
      <c r="H249" s="8" t="s">
        <v>121</v>
      </c>
      <c r="I249" s="12">
        <v>2.2451781282577916E-2</v>
      </c>
      <c r="J249" s="8" t="s">
        <v>63</v>
      </c>
      <c r="L249" s="8" t="s">
        <v>165</v>
      </c>
      <c r="M249" s="8" t="s">
        <v>121</v>
      </c>
      <c r="N249" s="12">
        <v>1.8667540076697596E-2</v>
      </c>
      <c r="O249" s="8" t="s">
        <v>63</v>
      </c>
    </row>
    <row r="250" spans="2:15" x14ac:dyDescent="0.45">
      <c r="B250" s="9" t="s">
        <v>125</v>
      </c>
      <c r="C250" s="9" t="s">
        <v>122</v>
      </c>
      <c r="D250" s="11">
        <v>0</v>
      </c>
      <c r="E250" s="9" t="s">
        <v>63</v>
      </c>
      <c r="G250" s="9" t="s">
        <v>145</v>
      </c>
      <c r="H250" s="9" t="s">
        <v>122</v>
      </c>
      <c r="I250" s="13">
        <v>3.3644618288470013E-2</v>
      </c>
      <c r="J250" s="9" t="s">
        <v>63</v>
      </c>
      <c r="L250" s="9" t="s">
        <v>165</v>
      </c>
      <c r="M250" s="9" t="s">
        <v>122</v>
      </c>
      <c r="N250" s="13">
        <v>2.7661074639025948E-2</v>
      </c>
      <c r="O250" s="9" t="s">
        <v>63</v>
      </c>
    </row>
    <row r="251" spans="2:15" x14ac:dyDescent="0.45">
      <c r="B251" s="8" t="s">
        <v>126</v>
      </c>
      <c r="C251" s="8" t="s">
        <v>62</v>
      </c>
      <c r="D251" s="10">
        <v>0</v>
      </c>
      <c r="E251" s="8" t="s">
        <v>63</v>
      </c>
      <c r="G251" s="8" t="s">
        <v>146</v>
      </c>
      <c r="H251" s="8" t="s">
        <v>62</v>
      </c>
      <c r="I251" s="12">
        <v>3.7740351620953766E-2</v>
      </c>
      <c r="J251" s="8" t="s">
        <v>63</v>
      </c>
      <c r="L251" s="8" t="s">
        <v>166</v>
      </c>
      <c r="M251" s="8" t="s">
        <v>62</v>
      </c>
      <c r="N251" s="12">
        <v>3.3244781006328918E-2</v>
      </c>
      <c r="O251" s="8" t="s">
        <v>63</v>
      </c>
    </row>
    <row r="252" spans="2:15" x14ac:dyDescent="0.45">
      <c r="B252" s="9" t="s">
        <v>126</v>
      </c>
      <c r="C252" s="9" t="s">
        <v>64</v>
      </c>
      <c r="D252" s="11">
        <v>0</v>
      </c>
      <c r="E252" s="9" t="s">
        <v>63</v>
      </c>
      <c r="G252" s="9" t="s">
        <v>146</v>
      </c>
      <c r="H252" s="9" t="s">
        <v>64</v>
      </c>
      <c r="I252" s="13">
        <v>1.542274917375174E-2</v>
      </c>
      <c r="J252" s="9" t="s">
        <v>63</v>
      </c>
      <c r="L252" s="9" t="s">
        <v>166</v>
      </c>
      <c r="M252" s="9" t="s">
        <v>64</v>
      </c>
      <c r="N252" s="13">
        <v>1.3300860286762256E-2</v>
      </c>
      <c r="O252" s="9" t="s">
        <v>63</v>
      </c>
    </row>
    <row r="253" spans="2:15" x14ac:dyDescent="0.45">
      <c r="B253" s="8" t="s">
        <v>126</v>
      </c>
      <c r="C253" s="8" t="s">
        <v>65</v>
      </c>
      <c r="D253" s="10">
        <v>4.3088948751414711E-4</v>
      </c>
      <c r="E253" s="8" t="s">
        <v>63</v>
      </c>
      <c r="G253" s="8" t="s">
        <v>146</v>
      </c>
      <c r="H253" s="8" t="s">
        <v>65</v>
      </c>
      <c r="I253" s="12">
        <v>1.5336913940680302E-2</v>
      </c>
      <c r="J253" s="8" t="s">
        <v>63</v>
      </c>
      <c r="L253" s="8" t="s">
        <v>166</v>
      </c>
      <c r="M253" s="8" t="s">
        <v>65</v>
      </c>
      <c r="N253" s="12">
        <v>1.3679693828982271E-2</v>
      </c>
      <c r="O253" s="8" t="s">
        <v>63</v>
      </c>
    </row>
    <row r="254" spans="2:15" x14ac:dyDescent="0.45">
      <c r="B254" s="9" t="s">
        <v>126</v>
      </c>
      <c r="C254" s="9" t="s">
        <v>66</v>
      </c>
      <c r="D254" s="11">
        <v>8.4426615277786825E-3</v>
      </c>
      <c r="E254" s="9" t="s">
        <v>63</v>
      </c>
      <c r="G254" s="9" t="s">
        <v>146</v>
      </c>
      <c r="H254" s="9" t="s">
        <v>66</v>
      </c>
      <c r="I254" s="13">
        <v>1.4813100853161934E-2</v>
      </c>
      <c r="J254" s="9" t="s">
        <v>63</v>
      </c>
      <c r="L254" s="9" t="s">
        <v>166</v>
      </c>
      <c r="M254" s="9" t="s">
        <v>66</v>
      </c>
      <c r="N254" s="13">
        <v>1.4116427535507089E-2</v>
      </c>
      <c r="O254" s="9" t="s">
        <v>63</v>
      </c>
    </row>
    <row r="255" spans="2:15" x14ac:dyDescent="0.45">
      <c r="B255" s="8" t="s">
        <v>126</v>
      </c>
      <c r="C255" s="8" t="s">
        <v>67</v>
      </c>
      <c r="D255" s="10">
        <v>1.5260773296171174E-2</v>
      </c>
      <c r="E255" s="8" t="s">
        <v>63</v>
      </c>
      <c r="G255" s="8" t="s">
        <v>146</v>
      </c>
      <c r="H255" s="8" t="s">
        <v>67</v>
      </c>
      <c r="I255" s="12">
        <v>1.331123299150838E-2</v>
      </c>
      <c r="J255" s="8" t="s">
        <v>63</v>
      </c>
      <c r="L255" s="8" t="s">
        <v>166</v>
      </c>
      <c r="M255" s="8" t="s">
        <v>67</v>
      </c>
      <c r="N255" s="12">
        <v>1.4222647802309921E-2</v>
      </c>
      <c r="O255" s="8" t="s">
        <v>63</v>
      </c>
    </row>
    <row r="256" spans="2:15" x14ac:dyDescent="0.45">
      <c r="B256" s="9" t="s">
        <v>126</v>
      </c>
      <c r="C256" s="9" t="s">
        <v>68</v>
      </c>
      <c r="D256" s="11">
        <v>1.4773614893740041E-2</v>
      </c>
      <c r="E256" s="9" t="s">
        <v>63</v>
      </c>
      <c r="G256" s="9" t="s">
        <v>146</v>
      </c>
      <c r="H256" s="9" t="s">
        <v>68</v>
      </c>
      <c r="I256" s="13">
        <v>1.2930013731388138E-2</v>
      </c>
      <c r="J256" s="9" t="s">
        <v>63</v>
      </c>
      <c r="L256" s="9" t="s">
        <v>166</v>
      </c>
      <c r="M256" s="9" t="s">
        <v>68</v>
      </c>
      <c r="N256" s="13">
        <v>1.3696003291339276E-2</v>
      </c>
      <c r="O256" s="9" t="s">
        <v>63</v>
      </c>
    </row>
    <row r="257" spans="2:15" x14ac:dyDescent="0.45">
      <c r="B257" s="8" t="s">
        <v>126</v>
      </c>
      <c r="C257" s="8" t="s">
        <v>69</v>
      </c>
      <c r="D257" s="10">
        <v>8.5009348307145266E-3</v>
      </c>
      <c r="E257" s="8" t="s">
        <v>63</v>
      </c>
      <c r="G257" s="8" t="s">
        <v>146</v>
      </c>
      <c r="H257" s="8" t="s">
        <v>69</v>
      </c>
      <c r="I257" s="12">
        <v>1.3907864056349703E-2</v>
      </c>
      <c r="J257" s="8" t="s">
        <v>63</v>
      </c>
      <c r="L257" s="8" t="s">
        <v>166</v>
      </c>
      <c r="M257" s="8" t="s">
        <v>69</v>
      </c>
      <c r="N257" s="12">
        <v>1.3654390014058805E-2</v>
      </c>
      <c r="O257" s="8" t="s">
        <v>63</v>
      </c>
    </row>
    <row r="258" spans="2:15" x14ac:dyDescent="0.45">
      <c r="B258" s="9" t="s">
        <v>126</v>
      </c>
      <c r="C258" s="9" t="s">
        <v>70</v>
      </c>
      <c r="D258" s="11">
        <v>9.3896643611606769E-4</v>
      </c>
      <c r="E258" s="9" t="s">
        <v>63</v>
      </c>
      <c r="G258" s="9" t="s">
        <v>146</v>
      </c>
      <c r="H258" s="9" t="s">
        <v>70</v>
      </c>
      <c r="I258" s="13">
        <v>1.5529125799704821E-2</v>
      </c>
      <c r="J258" s="9" t="s">
        <v>63</v>
      </c>
      <c r="L258" s="9" t="s">
        <v>166</v>
      </c>
      <c r="M258" s="9" t="s">
        <v>70</v>
      </c>
      <c r="N258" s="13">
        <v>1.3934524100598488E-2</v>
      </c>
      <c r="O258" s="9" t="s">
        <v>63</v>
      </c>
    </row>
    <row r="259" spans="2:15" x14ac:dyDescent="0.45">
      <c r="B259" s="8" t="s">
        <v>126</v>
      </c>
      <c r="C259" s="8" t="s">
        <v>71</v>
      </c>
      <c r="D259" s="10">
        <v>0</v>
      </c>
      <c r="E259" s="8" t="s">
        <v>63</v>
      </c>
      <c r="G259" s="8" t="s">
        <v>146</v>
      </c>
      <c r="H259" s="8" t="s">
        <v>71</v>
      </c>
      <c r="I259" s="12">
        <v>1.6331439305858338E-2</v>
      </c>
      <c r="J259" s="8" t="s">
        <v>63</v>
      </c>
      <c r="L259" s="8" t="s">
        <v>166</v>
      </c>
      <c r="M259" s="8" t="s">
        <v>71</v>
      </c>
      <c r="N259" s="12">
        <v>1.4125634089050118E-2</v>
      </c>
      <c r="O259" s="8" t="s">
        <v>63</v>
      </c>
    </row>
    <row r="260" spans="2:15" x14ac:dyDescent="0.45">
      <c r="B260" s="9" t="s">
        <v>126</v>
      </c>
      <c r="C260" s="9" t="s">
        <v>72</v>
      </c>
      <c r="D260" s="11">
        <v>0</v>
      </c>
      <c r="E260" s="9" t="s">
        <v>63</v>
      </c>
      <c r="G260" s="9" t="s">
        <v>146</v>
      </c>
      <c r="H260" s="9" t="s">
        <v>72</v>
      </c>
      <c r="I260" s="13">
        <v>2.3646103110998743E-2</v>
      </c>
      <c r="J260" s="9" t="s">
        <v>63</v>
      </c>
      <c r="L260" s="9" t="s">
        <v>166</v>
      </c>
      <c r="M260" s="9" t="s">
        <v>72</v>
      </c>
      <c r="N260" s="13">
        <v>2.0702647070466557E-2</v>
      </c>
      <c r="O260" s="9" t="s">
        <v>63</v>
      </c>
    </row>
    <row r="261" spans="2:15" x14ac:dyDescent="0.45">
      <c r="B261" s="8" t="s">
        <v>126</v>
      </c>
      <c r="C261" s="8" t="s">
        <v>73</v>
      </c>
      <c r="D261" s="10">
        <v>0</v>
      </c>
      <c r="E261" s="8" t="s">
        <v>63</v>
      </c>
      <c r="G261" s="8" t="s">
        <v>146</v>
      </c>
      <c r="H261" s="8" t="s">
        <v>73</v>
      </c>
      <c r="I261" s="12">
        <v>4.4706800896387545E-2</v>
      </c>
      <c r="J261" s="8" t="s">
        <v>63</v>
      </c>
      <c r="L261" s="8" t="s">
        <v>166</v>
      </c>
      <c r="M261" s="8" t="s">
        <v>73</v>
      </c>
      <c r="N261" s="12">
        <v>4.1265369815561059E-2</v>
      </c>
      <c r="O261" s="8" t="s">
        <v>63</v>
      </c>
    </row>
    <row r="262" spans="2:15" x14ac:dyDescent="0.45">
      <c r="B262" s="9" t="s">
        <v>126</v>
      </c>
      <c r="C262" s="9" t="s">
        <v>74</v>
      </c>
      <c r="D262" s="11">
        <v>2.4767370786590789E-3</v>
      </c>
      <c r="E262" s="9" t="s">
        <v>63</v>
      </c>
      <c r="G262" s="9" t="s">
        <v>146</v>
      </c>
      <c r="H262" s="9" t="s">
        <v>74</v>
      </c>
      <c r="I262" s="13">
        <v>1.7492008902859936E-2</v>
      </c>
      <c r="J262" s="9" t="s">
        <v>63</v>
      </c>
      <c r="L262" s="9" t="s">
        <v>166</v>
      </c>
      <c r="M262" s="9" t="s">
        <v>74</v>
      </c>
      <c r="N262" s="13">
        <v>1.5704206008239664E-2</v>
      </c>
      <c r="O262" s="9" t="s">
        <v>63</v>
      </c>
    </row>
    <row r="263" spans="2:15" x14ac:dyDescent="0.45">
      <c r="B263" s="8" t="s">
        <v>126</v>
      </c>
      <c r="C263" s="8" t="s">
        <v>75</v>
      </c>
      <c r="D263" s="10">
        <v>2.2096223722180515E-2</v>
      </c>
      <c r="E263" s="8" t="s">
        <v>63</v>
      </c>
      <c r="G263" s="8" t="s">
        <v>146</v>
      </c>
      <c r="H263" s="8" t="s">
        <v>75</v>
      </c>
      <c r="I263" s="12">
        <v>1.5443811822600861E-2</v>
      </c>
      <c r="J263" s="8" t="s">
        <v>63</v>
      </c>
      <c r="L263" s="8" t="s">
        <v>166</v>
      </c>
      <c r="M263" s="8" t="s">
        <v>75</v>
      </c>
      <c r="N263" s="12">
        <v>1.5393842033133209E-2</v>
      </c>
      <c r="O263" s="8" t="s">
        <v>63</v>
      </c>
    </row>
    <row r="264" spans="2:15" x14ac:dyDescent="0.45">
      <c r="B264" s="9" t="s">
        <v>126</v>
      </c>
      <c r="C264" s="9" t="s">
        <v>76</v>
      </c>
      <c r="D264" s="11">
        <v>4.2706181054959151E-2</v>
      </c>
      <c r="E264" s="9" t="s">
        <v>63</v>
      </c>
      <c r="G264" s="9" t="s">
        <v>146</v>
      </c>
      <c r="H264" s="9" t="s">
        <v>76</v>
      </c>
      <c r="I264" s="13">
        <v>1.4543399886068403E-2</v>
      </c>
      <c r="J264" s="9" t="s">
        <v>63</v>
      </c>
      <c r="L264" s="9" t="s">
        <v>166</v>
      </c>
      <c r="M264" s="9" t="s">
        <v>76</v>
      </c>
      <c r="N264" s="13">
        <v>1.5217679853823159E-2</v>
      </c>
      <c r="O264" s="9" t="s">
        <v>63</v>
      </c>
    </row>
    <row r="265" spans="2:15" x14ac:dyDescent="0.45">
      <c r="B265" s="8" t="s">
        <v>126</v>
      </c>
      <c r="C265" s="8" t="s">
        <v>77</v>
      </c>
      <c r="D265" s="10">
        <v>4.7163981451763787E-2</v>
      </c>
      <c r="E265" s="8" t="s">
        <v>63</v>
      </c>
      <c r="G265" s="8" t="s">
        <v>146</v>
      </c>
      <c r="H265" s="8" t="s">
        <v>77</v>
      </c>
      <c r="I265" s="12">
        <v>1.3513189359051284E-2</v>
      </c>
      <c r="J265" s="8" t="s">
        <v>63</v>
      </c>
      <c r="L265" s="8" t="s">
        <v>166</v>
      </c>
      <c r="M265" s="8" t="s">
        <v>77</v>
      </c>
      <c r="N265" s="12">
        <v>1.4079039256919681E-2</v>
      </c>
      <c r="O265" s="8" t="s">
        <v>63</v>
      </c>
    </row>
    <row r="266" spans="2:15" x14ac:dyDescent="0.45">
      <c r="B266" s="9" t="s">
        <v>126</v>
      </c>
      <c r="C266" s="9" t="s">
        <v>78</v>
      </c>
      <c r="D266" s="11">
        <v>4.4826046899110801E-2</v>
      </c>
      <c r="E266" s="9" t="s">
        <v>63</v>
      </c>
      <c r="G266" s="9" t="s">
        <v>146</v>
      </c>
      <c r="H266" s="9" t="s">
        <v>78</v>
      </c>
      <c r="I266" s="13">
        <v>1.5350781693593833E-2</v>
      </c>
      <c r="J266" s="9" t="s">
        <v>63</v>
      </c>
      <c r="L266" s="9" t="s">
        <v>166</v>
      </c>
      <c r="M266" s="9" t="s">
        <v>78</v>
      </c>
      <c r="N266" s="13">
        <v>1.429437528738864E-2</v>
      </c>
      <c r="O266" s="9" t="s">
        <v>63</v>
      </c>
    </row>
    <row r="267" spans="2:15" x14ac:dyDescent="0.45">
      <c r="B267" s="8" t="s">
        <v>126</v>
      </c>
      <c r="C267" s="8" t="s">
        <v>79</v>
      </c>
      <c r="D267" s="10">
        <v>3.7022494220675391E-2</v>
      </c>
      <c r="E267" s="8" t="s">
        <v>63</v>
      </c>
      <c r="G267" s="8" t="s">
        <v>146</v>
      </c>
      <c r="H267" s="8" t="s">
        <v>79</v>
      </c>
      <c r="I267" s="12">
        <v>1.5823238209000605E-2</v>
      </c>
      <c r="J267" s="8" t="s">
        <v>63</v>
      </c>
      <c r="L267" s="8" t="s">
        <v>166</v>
      </c>
      <c r="M267" s="8" t="s">
        <v>79</v>
      </c>
      <c r="N267" s="12">
        <v>1.5087704087312069E-2</v>
      </c>
      <c r="O267" s="8" t="s">
        <v>63</v>
      </c>
    </row>
    <row r="268" spans="2:15" x14ac:dyDescent="0.45">
      <c r="B268" s="9" t="s">
        <v>126</v>
      </c>
      <c r="C268" s="9" t="s">
        <v>80</v>
      </c>
      <c r="D268" s="11">
        <v>1.9558536787626923E-2</v>
      </c>
      <c r="E268" s="9" t="s">
        <v>63</v>
      </c>
      <c r="G268" s="9" t="s">
        <v>146</v>
      </c>
      <c r="H268" s="9" t="s">
        <v>80</v>
      </c>
      <c r="I268" s="13">
        <v>1.6314357037328021E-2</v>
      </c>
      <c r="J268" s="9" t="s">
        <v>63</v>
      </c>
      <c r="L268" s="9" t="s">
        <v>166</v>
      </c>
      <c r="M268" s="9" t="s">
        <v>80</v>
      </c>
      <c r="N268" s="13">
        <v>1.6189979639012114E-2</v>
      </c>
      <c r="O268" s="9" t="s">
        <v>63</v>
      </c>
    </row>
    <row r="269" spans="2:15" x14ac:dyDescent="0.45">
      <c r="B269" s="8" t="s">
        <v>126</v>
      </c>
      <c r="C269" s="8" t="s">
        <v>81</v>
      </c>
      <c r="D269" s="10">
        <v>1.6261452081605429E-3</v>
      </c>
      <c r="E269" s="8" t="s">
        <v>63</v>
      </c>
      <c r="G269" s="8" t="s">
        <v>146</v>
      </c>
      <c r="H269" s="8" t="s">
        <v>81</v>
      </c>
      <c r="I269" s="12">
        <v>1.8369715141848302E-2</v>
      </c>
      <c r="J269" s="8" t="s">
        <v>63</v>
      </c>
      <c r="L269" s="8" t="s">
        <v>166</v>
      </c>
      <c r="M269" s="8" t="s">
        <v>81</v>
      </c>
      <c r="N269" s="12">
        <v>1.7519635604494547E-2</v>
      </c>
      <c r="O269" s="8" t="s">
        <v>63</v>
      </c>
    </row>
    <row r="270" spans="2:15" x14ac:dyDescent="0.45">
      <c r="B270" s="9" t="s">
        <v>126</v>
      </c>
      <c r="C270" s="9" t="s">
        <v>82</v>
      </c>
      <c r="D270" s="11">
        <v>0</v>
      </c>
      <c r="E270" s="9" t="s">
        <v>63</v>
      </c>
      <c r="G270" s="9" t="s">
        <v>146</v>
      </c>
      <c r="H270" s="9" t="s">
        <v>82</v>
      </c>
      <c r="I270" s="13">
        <v>2.7213399571337015E-2</v>
      </c>
      <c r="J270" s="9" t="s">
        <v>63</v>
      </c>
      <c r="L270" s="9" t="s">
        <v>166</v>
      </c>
      <c r="M270" s="9" t="s">
        <v>82</v>
      </c>
      <c r="N270" s="13">
        <v>2.6371712665434054E-2</v>
      </c>
      <c r="O270" s="9" t="s">
        <v>63</v>
      </c>
    </row>
    <row r="271" spans="2:15" x14ac:dyDescent="0.45">
      <c r="B271" s="8" t="s">
        <v>126</v>
      </c>
      <c r="C271" s="8" t="s">
        <v>83</v>
      </c>
      <c r="D271" s="10">
        <v>0</v>
      </c>
      <c r="E271" s="8" t="s">
        <v>63</v>
      </c>
      <c r="G271" s="8" t="s">
        <v>146</v>
      </c>
      <c r="H271" s="8" t="s">
        <v>83</v>
      </c>
      <c r="I271" s="12">
        <v>2.1842437583608702E-2</v>
      </c>
      <c r="J271" s="8" t="s">
        <v>63</v>
      </c>
      <c r="L271" s="8" t="s">
        <v>166</v>
      </c>
      <c r="M271" s="8" t="s">
        <v>83</v>
      </c>
      <c r="N271" s="12">
        <v>2.9468105477295517E-2</v>
      </c>
      <c r="O271" s="8" t="s">
        <v>63</v>
      </c>
    </row>
    <row r="272" spans="2:15" x14ac:dyDescent="0.45">
      <c r="B272" s="9" t="s">
        <v>126</v>
      </c>
      <c r="C272" s="9" t="s">
        <v>84</v>
      </c>
      <c r="D272" s="11">
        <v>1.4210668123115213E-2</v>
      </c>
      <c r="E272" s="9" t="s">
        <v>63</v>
      </c>
      <c r="G272" s="9" t="s">
        <v>146</v>
      </c>
      <c r="H272" s="9" t="s">
        <v>84</v>
      </c>
      <c r="I272" s="13">
        <v>7.5702867890686896E-3</v>
      </c>
      <c r="J272" s="9" t="s">
        <v>63</v>
      </c>
      <c r="L272" s="9" t="s">
        <v>166</v>
      </c>
      <c r="M272" s="9" t="s">
        <v>84</v>
      </c>
      <c r="N272" s="13">
        <v>1.0984948159181778E-2</v>
      </c>
      <c r="O272" s="9" t="s">
        <v>63</v>
      </c>
    </row>
    <row r="273" spans="2:15" x14ac:dyDescent="0.45">
      <c r="B273" s="8" t="s">
        <v>126</v>
      </c>
      <c r="C273" s="8" t="s">
        <v>85</v>
      </c>
      <c r="D273" s="10">
        <v>3.5340561641245778E-2</v>
      </c>
      <c r="E273" s="8" t="s">
        <v>63</v>
      </c>
      <c r="G273" s="8" t="s">
        <v>146</v>
      </c>
      <c r="H273" s="8" t="s">
        <v>85</v>
      </c>
      <c r="I273" s="12">
        <v>5.8097686265660203E-3</v>
      </c>
      <c r="J273" s="8" t="s">
        <v>63</v>
      </c>
      <c r="L273" s="8" t="s">
        <v>166</v>
      </c>
      <c r="M273" s="8" t="s">
        <v>85</v>
      </c>
      <c r="N273" s="12">
        <v>1.1099548554958535E-2</v>
      </c>
      <c r="O273" s="8" t="s">
        <v>63</v>
      </c>
    </row>
    <row r="274" spans="2:15" x14ac:dyDescent="0.45">
      <c r="B274" s="9" t="s">
        <v>126</v>
      </c>
      <c r="C274" s="9" t="s">
        <v>86</v>
      </c>
      <c r="D274" s="11">
        <v>4.8259327403392602E-2</v>
      </c>
      <c r="E274" s="9" t="s">
        <v>63</v>
      </c>
      <c r="G274" s="9" t="s">
        <v>146</v>
      </c>
      <c r="H274" s="9" t="s">
        <v>86</v>
      </c>
      <c r="I274" s="13">
        <v>6.6028210499294356E-3</v>
      </c>
      <c r="J274" s="9" t="s">
        <v>63</v>
      </c>
      <c r="L274" s="9" t="s">
        <v>166</v>
      </c>
      <c r="M274" s="9" t="s">
        <v>86</v>
      </c>
      <c r="N274" s="13">
        <v>1.1008589775761538E-2</v>
      </c>
      <c r="O274" s="9" t="s">
        <v>63</v>
      </c>
    </row>
    <row r="275" spans="2:15" x14ac:dyDescent="0.45">
      <c r="B275" s="8" t="s">
        <v>126</v>
      </c>
      <c r="C275" s="8" t="s">
        <v>87</v>
      </c>
      <c r="D275" s="10">
        <v>4.9266839131625773E-2</v>
      </c>
      <c r="E275" s="8" t="s">
        <v>63</v>
      </c>
      <c r="G275" s="8" t="s">
        <v>146</v>
      </c>
      <c r="H275" s="8" t="s">
        <v>87</v>
      </c>
      <c r="I275" s="12">
        <v>6.2511193235333809E-3</v>
      </c>
      <c r="J275" s="8" t="s">
        <v>63</v>
      </c>
      <c r="L275" s="8" t="s">
        <v>166</v>
      </c>
      <c r="M275" s="8" t="s">
        <v>87</v>
      </c>
      <c r="N275" s="12">
        <v>9.835963326948494E-3</v>
      </c>
      <c r="O275" s="8" t="s">
        <v>63</v>
      </c>
    </row>
    <row r="276" spans="2:15" x14ac:dyDescent="0.45">
      <c r="B276" s="9" t="s">
        <v>126</v>
      </c>
      <c r="C276" s="9" t="s">
        <v>88</v>
      </c>
      <c r="D276" s="11">
        <v>4.5730680452302469E-2</v>
      </c>
      <c r="E276" s="9" t="s">
        <v>63</v>
      </c>
      <c r="G276" s="9" t="s">
        <v>146</v>
      </c>
      <c r="H276" s="9" t="s">
        <v>88</v>
      </c>
      <c r="I276" s="13">
        <v>7.5176846440977241E-3</v>
      </c>
      <c r="J276" s="9" t="s">
        <v>63</v>
      </c>
      <c r="L276" s="9" t="s">
        <v>166</v>
      </c>
      <c r="M276" s="9" t="s">
        <v>88</v>
      </c>
      <c r="N276" s="13">
        <v>1.0400683073836675E-2</v>
      </c>
      <c r="O276" s="9" t="s">
        <v>63</v>
      </c>
    </row>
    <row r="277" spans="2:15" x14ac:dyDescent="0.45">
      <c r="B277" s="8" t="s">
        <v>126</v>
      </c>
      <c r="C277" s="8" t="s">
        <v>89</v>
      </c>
      <c r="D277" s="10">
        <v>3.841309598795041E-2</v>
      </c>
      <c r="E277" s="8" t="s">
        <v>63</v>
      </c>
      <c r="G277" s="8" t="s">
        <v>146</v>
      </c>
      <c r="H277" s="8" t="s">
        <v>89</v>
      </c>
      <c r="I277" s="12">
        <v>7.4935893221197746E-3</v>
      </c>
      <c r="J277" s="8" t="s">
        <v>63</v>
      </c>
      <c r="L277" s="8" t="s">
        <v>166</v>
      </c>
      <c r="M277" s="8" t="s">
        <v>89</v>
      </c>
      <c r="N277" s="12">
        <v>1.085848816782828E-2</v>
      </c>
      <c r="O277" s="8" t="s">
        <v>63</v>
      </c>
    </row>
    <row r="278" spans="2:15" x14ac:dyDescent="0.45">
      <c r="B278" s="9" t="s">
        <v>126</v>
      </c>
      <c r="C278" s="9" t="s">
        <v>90</v>
      </c>
      <c r="D278" s="11">
        <v>2.5536065629901194E-2</v>
      </c>
      <c r="E278" s="9" t="s">
        <v>63</v>
      </c>
      <c r="G278" s="9" t="s">
        <v>146</v>
      </c>
      <c r="H278" s="9" t="s">
        <v>90</v>
      </c>
      <c r="I278" s="13">
        <v>7.1246858018118846E-3</v>
      </c>
      <c r="J278" s="9" t="s">
        <v>63</v>
      </c>
      <c r="L278" s="9" t="s">
        <v>166</v>
      </c>
      <c r="M278" s="9" t="s">
        <v>90</v>
      </c>
      <c r="N278" s="13">
        <v>1.0675819541550348E-2</v>
      </c>
      <c r="O278" s="9" t="s">
        <v>63</v>
      </c>
    </row>
    <row r="279" spans="2:15" x14ac:dyDescent="0.45">
      <c r="B279" s="8" t="s">
        <v>126</v>
      </c>
      <c r="C279" s="8" t="s">
        <v>91</v>
      </c>
      <c r="D279" s="10">
        <v>9.4103912215094798E-3</v>
      </c>
      <c r="E279" s="8" t="s">
        <v>63</v>
      </c>
      <c r="G279" s="8" t="s">
        <v>146</v>
      </c>
      <c r="H279" s="8" t="s">
        <v>91</v>
      </c>
      <c r="I279" s="12">
        <v>8.470026779081357E-3</v>
      </c>
      <c r="J279" s="8" t="s">
        <v>63</v>
      </c>
      <c r="L279" s="8" t="s">
        <v>166</v>
      </c>
      <c r="M279" s="8" t="s">
        <v>91</v>
      </c>
      <c r="N279" s="12">
        <v>1.0911308633925112E-2</v>
      </c>
      <c r="O279" s="8" t="s">
        <v>63</v>
      </c>
    </row>
    <row r="280" spans="2:15" x14ac:dyDescent="0.45">
      <c r="B280" s="9" t="s">
        <v>126</v>
      </c>
      <c r="C280" s="9" t="s">
        <v>92</v>
      </c>
      <c r="D280" s="11">
        <v>0</v>
      </c>
      <c r="E280" s="9" t="s">
        <v>63</v>
      </c>
      <c r="G280" s="9" t="s">
        <v>146</v>
      </c>
      <c r="H280" s="9" t="s">
        <v>92</v>
      </c>
      <c r="I280" s="13">
        <v>1.4336644798597477E-2</v>
      </c>
      <c r="J280" s="9" t="s">
        <v>63</v>
      </c>
      <c r="L280" s="9" t="s">
        <v>166</v>
      </c>
      <c r="M280" s="9" t="s">
        <v>92</v>
      </c>
      <c r="N280" s="13">
        <v>1.6977049564876161E-2</v>
      </c>
      <c r="O280" s="9" t="s">
        <v>63</v>
      </c>
    </row>
    <row r="281" spans="2:15" x14ac:dyDescent="0.45">
      <c r="B281" s="8" t="s">
        <v>126</v>
      </c>
      <c r="C281" s="8" t="s">
        <v>93</v>
      </c>
      <c r="D281" s="10">
        <v>0</v>
      </c>
      <c r="E281" s="8" t="s">
        <v>63</v>
      </c>
      <c r="G281" s="8" t="s">
        <v>146</v>
      </c>
      <c r="H281" s="8" t="s">
        <v>93</v>
      </c>
      <c r="I281" s="12">
        <v>2.3042212330334429E-2</v>
      </c>
      <c r="J281" s="8" t="s">
        <v>63</v>
      </c>
      <c r="L281" s="8" t="s">
        <v>166</v>
      </c>
      <c r="M281" s="8" t="s">
        <v>93</v>
      </c>
      <c r="N281" s="12">
        <v>2.414442731172051E-2</v>
      </c>
      <c r="O281" s="8" t="s">
        <v>63</v>
      </c>
    </row>
    <row r="282" spans="2:15" x14ac:dyDescent="0.45">
      <c r="B282" s="9" t="s">
        <v>126</v>
      </c>
      <c r="C282" s="9" t="s">
        <v>94</v>
      </c>
      <c r="D282" s="11">
        <v>1.2505001466989208E-2</v>
      </c>
      <c r="E282" s="9" t="s">
        <v>63</v>
      </c>
      <c r="G282" s="9" t="s">
        <v>146</v>
      </c>
      <c r="H282" s="9" t="s">
        <v>94</v>
      </c>
      <c r="I282" s="13">
        <v>7.8694572248923789E-3</v>
      </c>
      <c r="J282" s="9" t="s">
        <v>63</v>
      </c>
      <c r="L282" s="9" t="s">
        <v>166</v>
      </c>
      <c r="M282" s="9" t="s">
        <v>94</v>
      </c>
      <c r="N282" s="13">
        <v>9.3167247370776803E-3</v>
      </c>
      <c r="O282" s="9" t="s">
        <v>63</v>
      </c>
    </row>
    <row r="283" spans="2:15" x14ac:dyDescent="0.45">
      <c r="B283" s="8" t="s">
        <v>126</v>
      </c>
      <c r="C283" s="8" t="s">
        <v>95</v>
      </c>
      <c r="D283" s="10">
        <v>3.6351566315533261E-2</v>
      </c>
      <c r="E283" s="8" t="s">
        <v>63</v>
      </c>
      <c r="G283" s="8" t="s">
        <v>146</v>
      </c>
      <c r="H283" s="8" t="s">
        <v>95</v>
      </c>
      <c r="I283" s="12">
        <v>7.2264000566947878E-3</v>
      </c>
      <c r="J283" s="8" t="s">
        <v>63</v>
      </c>
      <c r="L283" s="8" t="s">
        <v>166</v>
      </c>
      <c r="M283" s="8" t="s">
        <v>95</v>
      </c>
      <c r="N283" s="12">
        <v>9.141484045071922E-3</v>
      </c>
      <c r="O283" s="8" t="s">
        <v>63</v>
      </c>
    </row>
    <row r="284" spans="2:15" x14ac:dyDescent="0.45">
      <c r="B284" s="9" t="s">
        <v>126</v>
      </c>
      <c r="C284" s="9" t="s">
        <v>96</v>
      </c>
      <c r="D284" s="11">
        <v>5.0409238836068931E-2</v>
      </c>
      <c r="E284" s="9" t="s">
        <v>63</v>
      </c>
      <c r="G284" s="9" t="s">
        <v>146</v>
      </c>
      <c r="H284" s="9" t="s">
        <v>96</v>
      </c>
      <c r="I284" s="13">
        <v>7.8770940421257919E-3</v>
      </c>
      <c r="J284" s="9" t="s">
        <v>63</v>
      </c>
      <c r="L284" s="9" t="s">
        <v>166</v>
      </c>
      <c r="M284" s="9" t="s">
        <v>96</v>
      </c>
      <c r="N284" s="13">
        <v>9.0963214459033083E-3</v>
      </c>
      <c r="O284" s="9" t="s">
        <v>63</v>
      </c>
    </row>
    <row r="285" spans="2:15" x14ac:dyDescent="0.45">
      <c r="B285" s="8" t="s">
        <v>126</v>
      </c>
      <c r="C285" s="8" t="s">
        <v>97</v>
      </c>
      <c r="D285" s="10">
        <v>5.2122714263724265E-2</v>
      </c>
      <c r="E285" s="8" t="s">
        <v>63</v>
      </c>
      <c r="G285" s="8" t="s">
        <v>146</v>
      </c>
      <c r="H285" s="8" t="s">
        <v>97</v>
      </c>
      <c r="I285" s="12">
        <v>7.4034325639472393E-3</v>
      </c>
      <c r="J285" s="8" t="s">
        <v>63</v>
      </c>
      <c r="L285" s="8" t="s">
        <v>166</v>
      </c>
      <c r="M285" s="8" t="s">
        <v>97</v>
      </c>
      <c r="N285" s="12">
        <v>8.8977665760845114E-3</v>
      </c>
      <c r="O285" s="8" t="s">
        <v>63</v>
      </c>
    </row>
    <row r="286" spans="2:15" x14ac:dyDescent="0.45">
      <c r="B286" s="9" t="s">
        <v>126</v>
      </c>
      <c r="C286" s="9" t="s">
        <v>98</v>
      </c>
      <c r="D286" s="11">
        <v>4.9946388784499536E-2</v>
      </c>
      <c r="E286" s="9" t="s">
        <v>63</v>
      </c>
      <c r="G286" s="9" t="s">
        <v>146</v>
      </c>
      <c r="H286" s="9" t="s">
        <v>98</v>
      </c>
      <c r="I286" s="13">
        <v>9.2299322267274421E-3</v>
      </c>
      <c r="J286" s="9" t="s">
        <v>63</v>
      </c>
      <c r="L286" s="9" t="s">
        <v>166</v>
      </c>
      <c r="M286" s="9" t="s">
        <v>98</v>
      </c>
      <c r="N286" s="13">
        <v>1.013460321666791E-2</v>
      </c>
      <c r="O286" s="9" t="s">
        <v>63</v>
      </c>
    </row>
    <row r="287" spans="2:15" x14ac:dyDescent="0.45">
      <c r="B287" s="8" t="s">
        <v>126</v>
      </c>
      <c r="C287" s="8" t="s">
        <v>99</v>
      </c>
      <c r="D287" s="10">
        <v>4.5385358714030759E-2</v>
      </c>
      <c r="E287" s="8" t="s">
        <v>63</v>
      </c>
      <c r="G287" s="8" t="s">
        <v>146</v>
      </c>
      <c r="H287" s="8" t="s">
        <v>99</v>
      </c>
      <c r="I287" s="12">
        <v>1.0522240022858665E-2</v>
      </c>
      <c r="J287" s="8" t="s">
        <v>63</v>
      </c>
      <c r="L287" s="8" t="s">
        <v>166</v>
      </c>
      <c r="M287" s="8" t="s">
        <v>99</v>
      </c>
      <c r="N287" s="12">
        <v>1.1192697801727778E-2</v>
      </c>
      <c r="O287" s="8" t="s">
        <v>63</v>
      </c>
    </row>
    <row r="288" spans="2:15" x14ac:dyDescent="0.45">
      <c r="B288" s="9" t="s">
        <v>126</v>
      </c>
      <c r="C288" s="9" t="s">
        <v>100</v>
      </c>
      <c r="D288" s="11">
        <v>3.0706301731857798E-2</v>
      </c>
      <c r="E288" s="9" t="s">
        <v>63</v>
      </c>
      <c r="G288" s="9" t="s">
        <v>146</v>
      </c>
      <c r="H288" s="9" t="s">
        <v>100</v>
      </c>
      <c r="I288" s="13">
        <v>9.8694594064294618E-3</v>
      </c>
      <c r="J288" s="9" t="s">
        <v>63</v>
      </c>
      <c r="L288" s="9" t="s">
        <v>166</v>
      </c>
      <c r="M288" s="9" t="s">
        <v>100</v>
      </c>
      <c r="N288" s="13">
        <v>1.0731401581480811E-2</v>
      </c>
      <c r="O288" s="9" t="s">
        <v>63</v>
      </c>
    </row>
    <row r="289" spans="2:15" x14ac:dyDescent="0.45">
      <c r="B289" s="8" t="s">
        <v>126</v>
      </c>
      <c r="C289" s="8" t="s">
        <v>101</v>
      </c>
      <c r="D289" s="10">
        <v>1.0978344114723095E-2</v>
      </c>
      <c r="E289" s="8" t="s">
        <v>63</v>
      </c>
      <c r="G289" s="8" t="s">
        <v>146</v>
      </c>
      <c r="H289" s="8" t="s">
        <v>101</v>
      </c>
      <c r="I289" s="12">
        <v>1.0123078752994079E-2</v>
      </c>
      <c r="J289" s="8" t="s">
        <v>63</v>
      </c>
      <c r="L289" s="8" t="s">
        <v>166</v>
      </c>
      <c r="M289" s="8" t="s">
        <v>101</v>
      </c>
      <c r="N289" s="12">
        <v>1.0166810483964171E-2</v>
      </c>
      <c r="O289" s="8" t="s">
        <v>63</v>
      </c>
    </row>
    <row r="290" spans="2:15" x14ac:dyDescent="0.45">
      <c r="B290" s="9" t="s">
        <v>126</v>
      </c>
      <c r="C290" s="9" t="s">
        <v>102</v>
      </c>
      <c r="D290" s="11">
        <v>0</v>
      </c>
      <c r="E290" s="9" t="s">
        <v>63</v>
      </c>
      <c r="G290" s="9" t="s">
        <v>146</v>
      </c>
      <c r="H290" s="9" t="s">
        <v>102</v>
      </c>
      <c r="I290" s="13">
        <v>1.6354056516725852E-2</v>
      </c>
      <c r="J290" s="9" t="s">
        <v>63</v>
      </c>
      <c r="L290" s="9" t="s">
        <v>166</v>
      </c>
      <c r="M290" s="9" t="s">
        <v>102</v>
      </c>
      <c r="N290" s="13">
        <v>1.541136710560358E-2</v>
      </c>
      <c r="O290" s="9" t="s">
        <v>63</v>
      </c>
    </row>
    <row r="291" spans="2:15" x14ac:dyDescent="0.45">
      <c r="B291" s="8" t="s">
        <v>126</v>
      </c>
      <c r="C291" s="8" t="s">
        <v>103</v>
      </c>
      <c r="D291" s="10">
        <v>0</v>
      </c>
      <c r="E291" s="8" t="s">
        <v>63</v>
      </c>
      <c r="G291" s="8" t="s">
        <v>146</v>
      </c>
      <c r="H291" s="8" t="s">
        <v>103</v>
      </c>
      <c r="I291" s="12">
        <v>3.423757392691943E-2</v>
      </c>
      <c r="J291" s="8" t="s">
        <v>63</v>
      </c>
      <c r="L291" s="8" t="s">
        <v>166</v>
      </c>
      <c r="M291" s="8" t="s">
        <v>103</v>
      </c>
      <c r="N291" s="12">
        <v>3.2398870706763082E-2</v>
      </c>
      <c r="O291" s="8" t="s">
        <v>63</v>
      </c>
    </row>
    <row r="292" spans="2:15" x14ac:dyDescent="0.45">
      <c r="B292" s="9" t="s">
        <v>126</v>
      </c>
      <c r="C292" s="9" t="s">
        <v>104</v>
      </c>
      <c r="D292" s="11">
        <v>9.2931648183283645E-4</v>
      </c>
      <c r="E292" s="9" t="s">
        <v>63</v>
      </c>
      <c r="G292" s="9" t="s">
        <v>146</v>
      </c>
      <c r="H292" s="9" t="s">
        <v>104</v>
      </c>
      <c r="I292" s="13">
        <v>1.3115397923705143E-2</v>
      </c>
      <c r="J292" s="9" t="s">
        <v>63</v>
      </c>
      <c r="L292" s="9" t="s">
        <v>166</v>
      </c>
      <c r="M292" s="9" t="s">
        <v>104</v>
      </c>
      <c r="N292" s="13">
        <v>1.3321210491364286E-2</v>
      </c>
      <c r="O292" s="9" t="s">
        <v>63</v>
      </c>
    </row>
    <row r="293" spans="2:15" x14ac:dyDescent="0.45">
      <c r="B293" s="8" t="s">
        <v>126</v>
      </c>
      <c r="C293" s="8" t="s">
        <v>105</v>
      </c>
      <c r="D293" s="10">
        <v>1.5140038055371688E-2</v>
      </c>
      <c r="E293" s="8" t="s">
        <v>63</v>
      </c>
      <c r="G293" s="8" t="s">
        <v>146</v>
      </c>
      <c r="H293" s="8" t="s">
        <v>105</v>
      </c>
      <c r="I293" s="12">
        <v>1.2484875582553002E-2</v>
      </c>
      <c r="J293" s="8" t="s">
        <v>63</v>
      </c>
      <c r="L293" s="8" t="s">
        <v>166</v>
      </c>
      <c r="M293" s="8" t="s">
        <v>105</v>
      </c>
      <c r="N293" s="12">
        <v>1.3771050969605132E-2</v>
      </c>
      <c r="O293" s="8" t="s">
        <v>63</v>
      </c>
    </row>
    <row r="294" spans="2:15" x14ac:dyDescent="0.45">
      <c r="B294" s="9" t="s">
        <v>126</v>
      </c>
      <c r="C294" s="9" t="s">
        <v>106</v>
      </c>
      <c r="D294" s="11">
        <v>3.0344961102323497E-2</v>
      </c>
      <c r="E294" s="9" t="s">
        <v>63</v>
      </c>
      <c r="G294" s="9" t="s">
        <v>146</v>
      </c>
      <c r="H294" s="9" t="s">
        <v>106</v>
      </c>
      <c r="I294" s="13">
        <v>1.2314045550846267E-2</v>
      </c>
      <c r="J294" s="9" t="s">
        <v>63</v>
      </c>
      <c r="L294" s="9" t="s">
        <v>166</v>
      </c>
      <c r="M294" s="9" t="s">
        <v>106</v>
      </c>
      <c r="N294" s="13">
        <v>1.4193164010210296E-2</v>
      </c>
      <c r="O294" s="9" t="s">
        <v>63</v>
      </c>
    </row>
    <row r="295" spans="2:15" x14ac:dyDescent="0.45">
      <c r="B295" s="8" t="s">
        <v>126</v>
      </c>
      <c r="C295" s="8" t="s">
        <v>107</v>
      </c>
      <c r="D295" s="10">
        <v>3.2598139098132688E-2</v>
      </c>
      <c r="E295" s="8" t="s">
        <v>63</v>
      </c>
      <c r="G295" s="8" t="s">
        <v>146</v>
      </c>
      <c r="H295" s="8" t="s">
        <v>107</v>
      </c>
      <c r="I295" s="12">
        <v>1.1527771549173067E-2</v>
      </c>
      <c r="J295" s="8" t="s">
        <v>63</v>
      </c>
      <c r="L295" s="8" t="s">
        <v>166</v>
      </c>
      <c r="M295" s="8" t="s">
        <v>107</v>
      </c>
      <c r="N295" s="12">
        <v>1.3709728902784652E-2</v>
      </c>
      <c r="O295" s="8" t="s">
        <v>63</v>
      </c>
    </row>
    <row r="296" spans="2:15" x14ac:dyDescent="0.45">
      <c r="B296" s="9" t="s">
        <v>126</v>
      </c>
      <c r="C296" s="9" t="s">
        <v>108</v>
      </c>
      <c r="D296" s="11">
        <v>3.2481457362486733E-2</v>
      </c>
      <c r="E296" s="9" t="s">
        <v>63</v>
      </c>
      <c r="G296" s="9" t="s">
        <v>146</v>
      </c>
      <c r="H296" s="9" t="s">
        <v>108</v>
      </c>
      <c r="I296" s="13">
        <v>1.2451835844109659E-2</v>
      </c>
      <c r="J296" s="9" t="s">
        <v>63</v>
      </c>
      <c r="L296" s="9" t="s">
        <v>166</v>
      </c>
      <c r="M296" s="9" t="s">
        <v>108</v>
      </c>
      <c r="N296" s="13">
        <v>1.3481087218081047E-2</v>
      </c>
      <c r="O296" s="9" t="s">
        <v>63</v>
      </c>
    </row>
    <row r="297" spans="2:15" x14ac:dyDescent="0.45">
      <c r="B297" s="8" t="s">
        <v>126</v>
      </c>
      <c r="C297" s="8" t="s">
        <v>109</v>
      </c>
      <c r="D297" s="10">
        <v>2.3986325427021962E-2</v>
      </c>
      <c r="E297" s="8" t="s">
        <v>63</v>
      </c>
      <c r="G297" s="8" t="s">
        <v>146</v>
      </c>
      <c r="H297" s="8" t="s">
        <v>109</v>
      </c>
      <c r="I297" s="12">
        <v>1.3527139866608242E-2</v>
      </c>
      <c r="J297" s="8" t="s">
        <v>63</v>
      </c>
      <c r="L297" s="8" t="s">
        <v>166</v>
      </c>
      <c r="M297" s="8" t="s">
        <v>109</v>
      </c>
      <c r="N297" s="12">
        <v>1.3818246398173405E-2</v>
      </c>
      <c r="O297" s="8" t="s">
        <v>63</v>
      </c>
    </row>
    <row r="298" spans="2:15" x14ac:dyDescent="0.45">
      <c r="B298" s="9" t="s">
        <v>126</v>
      </c>
      <c r="C298" s="9" t="s">
        <v>110</v>
      </c>
      <c r="D298" s="11">
        <v>7.5685182325715009E-3</v>
      </c>
      <c r="E298" s="9" t="s">
        <v>63</v>
      </c>
      <c r="G298" s="9" t="s">
        <v>146</v>
      </c>
      <c r="H298" s="9" t="s">
        <v>110</v>
      </c>
      <c r="I298" s="13">
        <v>1.4646411471594139E-2</v>
      </c>
      <c r="J298" s="9" t="s">
        <v>63</v>
      </c>
      <c r="L298" s="9" t="s">
        <v>166</v>
      </c>
      <c r="M298" s="9" t="s">
        <v>110</v>
      </c>
      <c r="N298" s="13">
        <v>1.4236545533585191E-2</v>
      </c>
      <c r="O298" s="9" t="s">
        <v>63</v>
      </c>
    </row>
    <row r="299" spans="2:15" x14ac:dyDescent="0.45">
      <c r="B299" s="8" t="s">
        <v>126</v>
      </c>
      <c r="C299" s="8" t="s">
        <v>111</v>
      </c>
      <c r="D299" s="10">
        <v>5.5125578995303035E-5</v>
      </c>
      <c r="E299" s="8" t="s">
        <v>63</v>
      </c>
      <c r="G299" s="8" t="s">
        <v>146</v>
      </c>
      <c r="H299" s="8" t="s">
        <v>111</v>
      </c>
      <c r="I299" s="12">
        <v>1.5433805975503187E-2</v>
      </c>
      <c r="J299" s="8" t="s">
        <v>63</v>
      </c>
      <c r="L299" s="8" t="s">
        <v>166</v>
      </c>
      <c r="M299" s="8" t="s">
        <v>111</v>
      </c>
      <c r="N299" s="12">
        <v>1.4405754074893707E-2</v>
      </c>
      <c r="O299" s="8" t="s">
        <v>63</v>
      </c>
    </row>
    <row r="300" spans="2:15" x14ac:dyDescent="0.45">
      <c r="B300" s="9" t="s">
        <v>126</v>
      </c>
      <c r="C300" s="9" t="s">
        <v>112</v>
      </c>
      <c r="D300" s="11">
        <v>0</v>
      </c>
      <c r="E300" s="9" t="s">
        <v>63</v>
      </c>
      <c r="G300" s="9" t="s">
        <v>146</v>
      </c>
      <c r="H300" s="9" t="s">
        <v>112</v>
      </c>
      <c r="I300" s="13">
        <v>2.2552139275234844E-2</v>
      </c>
      <c r="J300" s="9" t="s">
        <v>63</v>
      </c>
      <c r="L300" s="9" t="s">
        <v>166</v>
      </c>
      <c r="M300" s="9" t="s">
        <v>112</v>
      </c>
      <c r="N300" s="13">
        <v>2.10755440157393E-2</v>
      </c>
      <c r="O300" s="9" t="s">
        <v>63</v>
      </c>
    </row>
    <row r="301" spans="2:15" x14ac:dyDescent="0.45">
      <c r="B301" s="8" t="s">
        <v>126</v>
      </c>
      <c r="C301" s="8" t="s">
        <v>113</v>
      </c>
      <c r="D301" s="10">
        <v>0</v>
      </c>
      <c r="E301" s="8" t="s">
        <v>63</v>
      </c>
      <c r="G301" s="8" t="s">
        <v>146</v>
      </c>
      <c r="H301" s="8" t="s">
        <v>113</v>
      </c>
      <c r="I301" s="12">
        <v>5.5516086844099956E-2</v>
      </c>
      <c r="J301" s="8" t="s">
        <v>63</v>
      </c>
      <c r="L301" s="8" t="s">
        <v>166</v>
      </c>
      <c r="M301" s="8" t="s">
        <v>113</v>
      </c>
      <c r="N301" s="12">
        <v>4.7582907438894088E-2</v>
      </c>
      <c r="O301" s="8" t="s">
        <v>63</v>
      </c>
    </row>
    <row r="302" spans="2:15" x14ac:dyDescent="0.45">
      <c r="B302" s="9" t="s">
        <v>126</v>
      </c>
      <c r="C302" s="9" t="s">
        <v>114</v>
      </c>
      <c r="D302" s="11">
        <v>0</v>
      </c>
      <c r="E302" s="9" t="s">
        <v>63</v>
      </c>
      <c r="G302" s="9" t="s">
        <v>146</v>
      </c>
      <c r="H302" s="9" t="s">
        <v>114</v>
      </c>
      <c r="I302" s="13">
        <v>2.2418785398760497E-2</v>
      </c>
      <c r="J302" s="9" t="s">
        <v>63</v>
      </c>
      <c r="L302" s="9" t="s">
        <v>166</v>
      </c>
      <c r="M302" s="9" t="s">
        <v>114</v>
      </c>
      <c r="N302" s="13">
        <v>1.922215829048797E-2</v>
      </c>
      <c r="O302" s="9" t="s">
        <v>63</v>
      </c>
    </row>
    <row r="303" spans="2:15" x14ac:dyDescent="0.45">
      <c r="B303" s="8" t="s">
        <v>126</v>
      </c>
      <c r="C303" s="8" t="s">
        <v>115</v>
      </c>
      <c r="D303" s="10">
        <v>4.2285255466822285E-4</v>
      </c>
      <c r="E303" s="8" t="s">
        <v>63</v>
      </c>
      <c r="G303" s="8" t="s">
        <v>146</v>
      </c>
      <c r="H303" s="8" t="s">
        <v>115</v>
      </c>
      <c r="I303" s="12">
        <v>2.2279086824510349E-2</v>
      </c>
      <c r="J303" s="8" t="s">
        <v>63</v>
      </c>
      <c r="L303" s="8" t="s">
        <v>166</v>
      </c>
      <c r="M303" s="8" t="s">
        <v>115</v>
      </c>
      <c r="N303" s="12">
        <v>1.9545764056375915E-2</v>
      </c>
      <c r="O303" s="8" t="s">
        <v>63</v>
      </c>
    </row>
    <row r="304" spans="2:15" x14ac:dyDescent="0.45">
      <c r="B304" s="9" t="s">
        <v>126</v>
      </c>
      <c r="C304" s="9" t="s">
        <v>116</v>
      </c>
      <c r="D304" s="11">
        <v>8.3393242730978364E-3</v>
      </c>
      <c r="E304" s="9" t="s">
        <v>63</v>
      </c>
      <c r="G304" s="9" t="s">
        <v>146</v>
      </c>
      <c r="H304" s="9" t="s">
        <v>116</v>
      </c>
      <c r="I304" s="13">
        <v>2.1415742518670854E-2</v>
      </c>
      <c r="J304" s="9" t="s">
        <v>63</v>
      </c>
      <c r="L304" s="9" t="s">
        <v>166</v>
      </c>
      <c r="M304" s="9" t="s">
        <v>116</v>
      </c>
      <c r="N304" s="13">
        <v>1.9464640094239746E-2</v>
      </c>
      <c r="O304" s="9" t="s">
        <v>63</v>
      </c>
    </row>
    <row r="305" spans="2:15" x14ac:dyDescent="0.45">
      <c r="B305" s="8" t="s">
        <v>126</v>
      </c>
      <c r="C305" s="8" t="s">
        <v>117</v>
      </c>
      <c r="D305" s="10">
        <v>1.2167186130339389E-2</v>
      </c>
      <c r="E305" s="8" t="s">
        <v>63</v>
      </c>
      <c r="G305" s="8" t="s">
        <v>146</v>
      </c>
      <c r="H305" s="8" t="s">
        <v>117</v>
      </c>
      <c r="I305" s="12">
        <v>1.9798042419198067E-2</v>
      </c>
      <c r="J305" s="8" t="s">
        <v>63</v>
      </c>
      <c r="L305" s="8" t="s">
        <v>166</v>
      </c>
      <c r="M305" s="8" t="s">
        <v>117</v>
      </c>
      <c r="N305" s="12">
        <v>1.9233503388965047E-2</v>
      </c>
      <c r="O305" s="8" t="s">
        <v>63</v>
      </c>
    </row>
    <row r="306" spans="2:15" x14ac:dyDescent="0.45">
      <c r="B306" s="9" t="s">
        <v>126</v>
      </c>
      <c r="C306" s="9" t="s">
        <v>118</v>
      </c>
      <c r="D306" s="11">
        <v>1.1474267369203858E-2</v>
      </c>
      <c r="E306" s="9" t="s">
        <v>63</v>
      </c>
      <c r="G306" s="9" t="s">
        <v>146</v>
      </c>
      <c r="H306" s="9" t="s">
        <v>118</v>
      </c>
      <c r="I306" s="13">
        <v>1.9608476113184291E-2</v>
      </c>
      <c r="J306" s="9" t="s">
        <v>63</v>
      </c>
      <c r="L306" s="9" t="s">
        <v>166</v>
      </c>
      <c r="M306" s="9" t="s">
        <v>118</v>
      </c>
      <c r="N306" s="13">
        <v>1.9021416638143634E-2</v>
      </c>
      <c r="O306" s="9" t="s">
        <v>63</v>
      </c>
    </row>
    <row r="307" spans="2:15" x14ac:dyDescent="0.45">
      <c r="B307" s="8" t="s">
        <v>126</v>
      </c>
      <c r="C307" s="8" t="s">
        <v>119</v>
      </c>
      <c r="D307" s="10">
        <v>4.0957576203145326E-3</v>
      </c>
      <c r="E307" s="8" t="s">
        <v>63</v>
      </c>
      <c r="G307" s="8" t="s">
        <v>146</v>
      </c>
      <c r="H307" s="8" t="s">
        <v>119</v>
      </c>
      <c r="I307" s="12">
        <v>2.0342444990340981E-2</v>
      </c>
      <c r="J307" s="8" t="s">
        <v>63</v>
      </c>
      <c r="L307" s="8" t="s">
        <v>166</v>
      </c>
      <c r="M307" s="8" t="s">
        <v>119</v>
      </c>
      <c r="N307" s="12">
        <v>1.8857947182134977E-2</v>
      </c>
      <c r="O307" s="8" t="s">
        <v>63</v>
      </c>
    </row>
    <row r="308" spans="2:15" x14ac:dyDescent="0.45">
      <c r="B308" s="9" t="s">
        <v>126</v>
      </c>
      <c r="C308" s="9" t="s">
        <v>120</v>
      </c>
      <c r="D308" s="11">
        <v>0</v>
      </c>
      <c r="E308" s="9" t="s">
        <v>63</v>
      </c>
      <c r="G308" s="9" t="s">
        <v>146</v>
      </c>
      <c r="H308" s="9" t="s">
        <v>120</v>
      </c>
      <c r="I308" s="13">
        <v>2.1502991672340079E-2</v>
      </c>
      <c r="J308" s="9" t="s">
        <v>63</v>
      </c>
      <c r="L308" s="9" t="s">
        <v>166</v>
      </c>
      <c r="M308" s="9" t="s">
        <v>120</v>
      </c>
      <c r="N308" s="13">
        <v>1.9129703988606851E-2</v>
      </c>
      <c r="O308" s="9" t="s">
        <v>63</v>
      </c>
    </row>
    <row r="309" spans="2:15" x14ac:dyDescent="0.45">
      <c r="B309" s="8" t="s">
        <v>126</v>
      </c>
      <c r="C309" s="8" t="s">
        <v>121</v>
      </c>
      <c r="D309" s="10">
        <v>0</v>
      </c>
      <c r="E309" s="8" t="s">
        <v>63</v>
      </c>
      <c r="G309" s="8" t="s">
        <v>146</v>
      </c>
      <c r="H309" s="8" t="s">
        <v>121</v>
      </c>
      <c r="I309" s="12">
        <v>2.1578885956068612E-2</v>
      </c>
      <c r="J309" s="8" t="s">
        <v>63</v>
      </c>
      <c r="L309" s="8" t="s">
        <v>166</v>
      </c>
      <c r="M309" s="8" t="s">
        <v>121</v>
      </c>
      <c r="N309" s="12">
        <v>1.8868519546614903E-2</v>
      </c>
      <c r="O309" s="8" t="s">
        <v>63</v>
      </c>
    </row>
    <row r="310" spans="2:15" x14ac:dyDescent="0.45">
      <c r="B310" s="9" t="s">
        <v>126</v>
      </c>
      <c r="C310" s="9" t="s">
        <v>122</v>
      </c>
      <c r="D310" s="11">
        <v>0</v>
      </c>
      <c r="E310" s="9" t="s">
        <v>63</v>
      </c>
      <c r="G310" s="9" t="s">
        <v>146</v>
      </c>
      <c r="H310" s="9" t="s">
        <v>122</v>
      </c>
      <c r="I310" s="13">
        <v>3.2972435330007564E-2</v>
      </c>
      <c r="J310" s="9" t="s">
        <v>63</v>
      </c>
      <c r="L310" s="9" t="s">
        <v>166</v>
      </c>
      <c r="M310" s="9" t="s">
        <v>122</v>
      </c>
      <c r="N310" s="13">
        <v>2.8406975196149698E-2</v>
      </c>
      <c r="O310" s="9" t="s">
        <v>63</v>
      </c>
    </row>
    <row r="311" spans="2:15" x14ac:dyDescent="0.45">
      <c r="B311" s="8" t="s">
        <v>127</v>
      </c>
      <c r="C311" s="8" t="s">
        <v>62</v>
      </c>
      <c r="D311" s="10">
        <v>0</v>
      </c>
      <c r="E311" s="8" t="s">
        <v>63</v>
      </c>
      <c r="G311" s="8" t="s">
        <v>147</v>
      </c>
      <c r="H311" s="8" t="s">
        <v>62</v>
      </c>
      <c r="I311" s="12">
        <v>3.7095989094260422E-2</v>
      </c>
      <c r="J311" s="8" t="s">
        <v>63</v>
      </c>
      <c r="L311" s="8" t="s">
        <v>167</v>
      </c>
      <c r="M311" s="8" t="s">
        <v>62</v>
      </c>
      <c r="N311" s="12">
        <v>3.3082423360152824E-2</v>
      </c>
      <c r="O311" s="8" t="s">
        <v>63</v>
      </c>
    </row>
    <row r="312" spans="2:15" x14ac:dyDescent="0.45">
      <c r="B312" s="9" t="s">
        <v>127</v>
      </c>
      <c r="C312" s="9" t="s">
        <v>64</v>
      </c>
      <c r="D312" s="11">
        <v>0</v>
      </c>
      <c r="E312" s="9" t="s">
        <v>63</v>
      </c>
      <c r="G312" s="9" t="s">
        <v>147</v>
      </c>
      <c r="H312" s="9" t="s">
        <v>64</v>
      </c>
      <c r="I312" s="13">
        <v>1.518695018813686E-2</v>
      </c>
      <c r="J312" s="9" t="s">
        <v>63</v>
      </c>
      <c r="L312" s="9" t="s">
        <v>167</v>
      </c>
      <c r="M312" s="9" t="s">
        <v>64</v>
      </c>
      <c r="N312" s="13">
        <v>1.3500528977346823E-2</v>
      </c>
      <c r="O312" s="9" t="s">
        <v>63</v>
      </c>
    </row>
    <row r="313" spans="2:15" x14ac:dyDescent="0.45">
      <c r="B313" s="8" t="s">
        <v>127</v>
      </c>
      <c r="C313" s="8" t="s">
        <v>65</v>
      </c>
      <c r="D313" s="10">
        <v>1.056632404288862E-3</v>
      </c>
      <c r="E313" s="8" t="s">
        <v>63</v>
      </c>
      <c r="G313" s="8" t="s">
        <v>147</v>
      </c>
      <c r="H313" s="8" t="s">
        <v>65</v>
      </c>
      <c r="I313" s="12">
        <v>1.551027030879836E-2</v>
      </c>
      <c r="J313" s="8" t="s">
        <v>63</v>
      </c>
      <c r="L313" s="8" t="s">
        <v>167</v>
      </c>
      <c r="M313" s="8" t="s">
        <v>65</v>
      </c>
      <c r="N313" s="12">
        <v>1.3945999748629048E-2</v>
      </c>
      <c r="O313" s="8" t="s">
        <v>63</v>
      </c>
    </row>
    <row r="314" spans="2:15" x14ac:dyDescent="0.45">
      <c r="B314" s="9" t="s">
        <v>127</v>
      </c>
      <c r="C314" s="9" t="s">
        <v>66</v>
      </c>
      <c r="D314" s="11">
        <v>9.982625750986119E-3</v>
      </c>
      <c r="E314" s="9" t="s">
        <v>63</v>
      </c>
      <c r="G314" s="9" t="s">
        <v>147</v>
      </c>
      <c r="H314" s="9" t="s">
        <v>66</v>
      </c>
      <c r="I314" s="13">
        <v>1.517476398109127E-2</v>
      </c>
      <c r="J314" s="9" t="s">
        <v>63</v>
      </c>
      <c r="L314" s="9" t="s">
        <v>167</v>
      </c>
      <c r="M314" s="9" t="s">
        <v>66</v>
      </c>
      <c r="N314" s="13">
        <v>1.433131340508015E-2</v>
      </c>
      <c r="O314" s="9" t="s">
        <v>63</v>
      </c>
    </row>
    <row r="315" spans="2:15" x14ac:dyDescent="0.45">
      <c r="B315" s="8" t="s">
        <v>127</v>
      </c>
      <c r="C315" s="8" t="s">
        <v>67</v>
      </c>
      <c r="D315" s="10">
        <v>1.683878523625798E-2</v>
      </c>
      <c r="E315" s="8" t="s">
        <v>63</v>
      </c>
      <c r="G315" s="8" t="s">
        <v>147</v>
      </c>
      <c r="H315" s="8" t="s">
        <v>67</v>
      </c>
      <c r="I315" s="12">
        <v>1.3800782779993968E-2</v>
      </c>
      <c r="J315" s="8" t="s">
        <v>63</v>
      </c>
      <c r="L315" s="8" t="s">
        <v>167</v>
      </c>
      <c r="M315" s="8" t="s">
        <v>67</v>
      </c>
      <c r="N315" s="12">
        <v>1.4241330883528568E-2</v>
      </c>
      <c r="O315" s="8" t="s">
        <v>63</v>
      </c>
    </row>
    <row r="316" spans="2:15" x14ac:dyDescent="0.45">
      <c r="B316" s="9" t="s">
        <v>127</v>
      </c>
      <c r="C316" s="9" t="s">
        <v>68</v>
      </c>
      <c r="D316" s="11">
        <v>1.5267588073053619E-2</v>
      </c>
      <c r="E316" s="9" t="s">
        <v>63</v>
      </c>
      <c r="G316" s="9" t="s">
        <v>147</v>
      </c>
      <c r="H316" s="9" t="s">
        <v>68</v>
      </c>
      <c r="I316" s="13">
        <v>1.3781493761335237E-2</v>
      </c>
      <c r="J316" s="9" t="s">
        <v>63</v>
      </c>
      <c r="L316" s="9" t="s">
        <v>167</v>
      </c>
      <c r="M316" s="9" t="s">
        <v>68</v>
      </c>
      <c r="N316" s="13">
        <v>1.388226298535793E-2</v>
      </c>
      <c r="O316" s="9" t="s">
        <v>63</v>
      </c>
    </row>
    <row r="317" spans="2:15" x14ac:dyDescent="0.45">
      <c r="B317" s="8" t="s">
        <v>127</v>
      </c>
      <c r="C317" s="8" t="s">
        <v>69</v>
      </c>
      <c r="D317" s="10">
        <v>7.3432267448671424E-3</v>
      </c>
      <c r="E317" s="8" t="s">
        <v>63</v>
      </c>
      <c r="G317" s="8" t="s">
        <v>147</v>
      </c>
      <c r="H317" s="8" t="s">
        <v>69</v>
      </c>
      <c r="I317" s="12">
        <v>1.4559629272202734E-2</v>
      </c>
      <c r="J317" s="8" t="s">
        <v>63</v>
      </c>
      <c r="L317" s="8" t="s">
        <v>167</v>
      </c>
      <c r="M317" s="8" t="s">
        <v>69</v>
      </c>
      <c r="N317" s="12">
        <v>1.4153615258480464E-2</v>
      </c>
      <c r="O317" s="8" t="s">
        <v>63</v>
      </c>
    </row>
    <row r="318" spans="2:15" x14ac:dyDescent="0.45">
      <c r="B318" s="9" t="s">
        <v>127</v>
      </c>
      <c r="C318" s="9" t="s">
        <v>70</v>
      </c>
      <c r="D318" s="11">
        <v>6.3254467552021579E-4</v>
      </c>
      <c r="E318" s="9" t="s">
        <v>63</v>
      </c>
      <c r="G318" s="9" t="s">
        <v>147</v>
      </c>
      <c r="H318" s="9" t="s">
        <v>70</v>
      </c>
      <c r="I318" s="13">
        <v>1.5963052072856612E-2</v>
      </c>
      <c r="J318" s="9" t="s">
        <v>63</v>
      </c>
      <c r="L318" s="9" t="s">
        <v>167</v>
      </c>
      <c r="M318" s="9" t="s">
        <v>70</v>
      </c>
      <c r="N318" s="13">
        <v>1.4729429980270829E-2</v>
      </c>
      <c r="O318" s="9" t="s">
        <v>63</v>
      </c>
    </row>
    <row r="319" spans="2:15" x14ac:dyDescent="0.45">
      <c r="B319" s="8" t="s">
        <v>127</v>
      </c>
      <c r="C319" s="8" t="s">
        <v>71</v>
      </c>
      <c r="D319" s="10">
        <v>0</v>
      </c>
      <c r="E319" s="8" t="s">
        <v>63</v>
      </c>
      <c r="G319" s="8" t="s">
        <v>147</v>
      </c>
      <c r="H319" s="8" t="s">
        <v>71</v>
      </c>
      <c r="I319" s="12">
        <v>1.6425797064615447E-2</v>
      </c>
      <c r="J319" s="8" t="s">
        <v>63</v>
      </c>
      <c r="L319" s="8" t="s">
        <v>167</v>
      </c>
      <c r="M319" s="8" t="s">
        <v>71</v>
      </c>
      <c r="N319" s="12">
        <v>1.4876470706762561E-2</v>
      </c>
      <c r="O319" s="8" t="s">
        <v>63</v>
      </c>
    </row>
    <row r="320" spans="2:15" x14ac:dyDescent="0.45">
      <c r="B320" s="9" t="s">
        <v>127</v>
      </c>
      <c r="C320" s="9" t="s">
        <v>72</v>
      </c>
      <c r="D320" s="11">
        <v>0</v>
      </c>
      <c r="E320" s="9" t="s">
        <v>63</v>
      </c>
      <c r="G320" s="9" t="s">
        <v>147</v>
      </c>
      <c r="H320" s="9" t="s">
        <v>72</v>
      </c>
      <c r="I320" s="13">
        <v>2.3402195083045026E-2</v>
      </c>
      <c r="J320" s="9" t="s">
        <v>63</v>
      </c>
      <c r="L320" s="9" t="s">
        <v>167</v>
      </c>
      <c r="M320" s="9" t="s">
        <v>72</v>
      </c>
      <c r="N320" s="13">
        <v>2.1448536169641916E-2</v>
      </c>
      <c r="O320" s="9" t="s">
        <v>63</v>
      </c>
    </row>
    <row r="321" spans="2:15" x14ac:dyDescent="0.45">
      <c r="B321" s="8" t="s">
        <v>127</v>
      </c>
      <c r="C321" s="8" t="s">
        <v>73</v>
      </c>
      <c r="D321" s="10">
        <v>0</v>
      </c>
      <c r="E321" s="8" t="s">
        <v>63</v>
      </c>
      <c r="G321" s="8" t="s">
        <v>147</v>
      </c>
      <c r="H321" s="8" t="s">
        <v>73</v>
      </c>
      <c r="I321" s="12">
        <v>4.4227809268700728E-2</v>
      </c>
      <c r="J321" s="8" t="s">
        <v>63</v>
      </c>
      <c r="L321" s="8" t="s">
        <v>167</v>
      </c>
      <c r="M321" s="8" t="s">
        <v>73</v>
      </c>
      <c r="N321" s="12">
        <v>4.0871412469538168E-2</v>
      </c>
      <c r="O321" s="8" t="s">
        <v>63</v>
      </c>
    </row>
    <row r="322" spans="2:15" x14ac:dyDescent="0.45">
      <c r="B322" s="9" t="s">
        <v>127</v>
      </c>
      <c r="C322" s="9" t="s">
        <v>74</v>
      </c>
      <c r="D322" s="11">
        <v>4.1340953436282612E-3</v>
      </c>
      <c r="E322" s="9" t="s">
        <v>63</v>
      </c>
      <c r="G322" s="9" t="s">
        <v>147</v>
      </c>
      <c r="H322" s="9" t="s">
        <v>74</v>
      </c>
      <c r="I322" s="13">
        <v>1.7535690971550794E-2</v>
      </c>
      <c r="J322" s="9" t="s">
        <v>63</v>
      </c>
      <c r="L322" s="9" t="s">
        <v>167</v>
      </c>
      <c r="M322" s="9" t="s">
        <v>74</v>
      </c>
      <c r="N322" s="13">
        <v>1.5540359335606754E-2</v>
      </c>
      <c r="O322" s="9" t="s">
        <v>63</v>
      </c>
    </row>
    <row r="323" spans="2:15" x14ac:dyDescent="0.45">
      <c r="B323" s="8" t="s">
        <v>127</v>
      </c>
      <c r="C323" s="8" t="s">
        <v>75</v>
      </c>
      <c r="D323" s="10">
        <v>2.9131340624257679E-2</v>
      </c>
      <c r="E323" s="8" t="s">
        <v>63</v>
      </c>
      <c r="G323" s="8" t="s">
        <v>147</v>
      </c>
      <c r="H323" s="8" t="s">
        <v>75</v>
      </c>
      <c r="I323" s="12">
        <v>1.5987221261875427E-2</v>
      </c>
      <c r="J323" s="8" t="s">
        <v>63</v>
      </c>
      <c r="L323" s="8" t="s">
        <v>167</v>
      </c>
      <c r="M323" s="8" t="s">
        <v>75</v>
      </c>
      <c r="N323" s="12">
        <v>1.5478432284276242E-2</v>
      </c>
      <c r="O323" s="8" t="s">
        <v>63</v>
      </c>
    </row>
    <row r="324" spans="2:15" x14ac:dyDescent="0.45">
      <c r="B324" s="9" t="s">
        <v>127</v>
      </c>
      <c r="C324" s="9" t="s">
        <v>76</v>
      </c>
      <c r="D324" s="11">
        <v>4.762218788732421E-2</v>
      </c>
      <c r="E324" s="9" t="s">
        <v>63</v>
      </c>
      <c r="G324" s="9" t="s">
        <v>147</v>
      </c>
      <c r="H324" s="9" t="s">
        <v>76</v>
      </c>
      <c r="I324" s="13">
        <v>1.4098816175172627E-2</v>
      </c>
      <c r="J324" s="9" t="s">
        <v>63</v>
      </c>
      <c r="L324" s="9" t="s">
        <v>167</v>
      </c>
      <c r="M324" s="9" t="s">
        <v>76</v>
      </c>
      <c r="N324" s="13">
        <v>1.5404373235506492E-2</v>
      </c>
      <c r="O324" s="9" t="s">
        <v>63</v>
      </c>
    </row>
    <row r="325" spans="2:15" x14ac:dyDescent="0.45">
      <c r="B325" s="8" t="s">
        <v>127</v>
      </c>
      <c r="C325" s="8" t="s">
        <v>77</v>
      </c>
      <c r="D325" s="10">
        <v>4.7251326171209182E-2</v>
      </c>
      <c r="E325" s="8" t="s">
        <v>63</v>
      </c>
      <c r="G325" s="8" t="s">
        <v>147</v>
      </c>
      <c r="H325" s="8" t="s">
        <v>77</v>
      </c>
      <c r="I325" s="12">
        <v>1.1713201310460669E-2</v>
      </c>
      <c r="J325" s="8" t="s">
        <v>63</v>
      </c>
      <c r="L325" s="8" t="s">
        <v>167</v>
      </c>
      <c r="M325" s="8" t="s">
        <v>77</v>
      </c>
      <c r="N325" s="12">
        <v>1.4317830977394221E-2</v>
      </c>
      <c r="O325" s="8" t="s">
        <v>63</v>
      </c>
    </row>
    <row r="326" spans="2:15" x14ac:dyDescent="0.45">
      <c r="B326" s="9" t="s">
        <v>127</v>
      </c>
      <c r="C326" s="9" t="s">
        <v>78</v>
      </c>
      <c r="D326" s="11">
        <v>4.603328496631201E-2</v>
      </c>
      <c r="E326" s="9" t="s">
        <v>63</v>
      </c>
      <c r="G326" s="9" t="s">
        <v>147</v>
      </c>
      <c r="H326" s="9" t="s">
        <v>78</v>
      </c>
      <c r="I326" s="13">
        <v>1.3315247679832267E-2</v>
      </c>
      <c r="J326" s="9" t="s">
        <v>63</v>
      </c>
      <c r="L326" s="9" t="s">
        <v>167</v>
      </c>
      <c r="M326" s="9" t="s">
        <v>78</v>
      </c>
      <c r="N326" s="13">
        <v>1.4509387005538206E-2</v>
      </c>
      <c r="O326" s="9" t="s">
        <v>63</v>
      </c>
    </row>
    <row r="327" spans="2:15" x14ac:dyDescent="0.45">
      <c r="B327" s="8" t="s">
        <v>127</v>
      </c>
      <c r="C327" s="8" t="s">
        <v>79</v>
      </c>
      <c r="D327" s="10">
        <v>3.8217903406133361E-2</v>
      </c>
      <c r="E327" s="8" t="s">
        <v>63</v>
      </c>
      <c r="G327" s="8" t="s">
        <v>147</v>
      </c>
      <c r="H327" s="8" t="s">
        <v>79</v>
      </c>
      <c r="I327" s="12">
        <v>1.4136373333304761E-2</v>
      </c>
      <c r="J327" s="8" t="s">
        <v>63</v>
      </c>
      <c r="L327" s="8" t="s">
        <v>167</v>
      </c>
      <c r="M327" s="8" t="s">
        <v>79</v>
      </c>
      <c r="N327" s="12">
        <v>1.5207610859021959E-2</v>
      </c>
      <c r="O327" s="8" t="s">
        <v>63</v>
      </c>
    </row>
    <row r="328" spans="2:15" x14ac:dyDescent="0.45">
      <c r="B328" s="9" t="s">
        <v>127</v>
      </c>
      <c r="C328" s="9" t="s">
        <v>80</v>
      </c>
      <c r="D328" s="11">
        <v>1.8337832788121459E-2</v>
      </c>
      <c r="E328" s="9" t="s">
        <v>63</v>
      </c>
      <c r="G328" s="9" t="s">
        <v>147</v>
      </c>
      <c r="H328" s="9" t="s">
        <v>80</v>
      </c>
      <c r="I328" s="13">
        <v>1.4505464430679101E-2</v>
      </c>
      <c r="J328" s="9" t="s">
        <v>63</v>
      </c>
      <c r="L328" s="9" t="s">
        <v>167</v>
      </c>
      <c r="M328" s="9" t="s">
        <v>80</v>
      </c>
      <c r="N328" s="13">
        <v>1.6192179101283937E-2</v>
      </c>
      <c r="O328" s="9" t="s">
        <v>63</v>
      </c>
    </row>
    <row r="329" spans="2:15" x14ac:dyDescent="0.45">
      <c r="B329" s="8" t="s">
        <v>127</v>
      </c>
      <c r="C329" s="8" t="s">
        <v>81</v>
      </c>
      <c r="D329" s="10">
        <v>1.0760013233046825E-3</v>
      </c>
      <c r="E329" s="8" t="s">
        <v>63</v>
      </c>
      <c r="G329" s="8" t="s">
        <v>147</v>
      </c>
      <c r="H329" s="8" t="s">
        <v>81</v>
      </c>
      <c r="I329" s="12">
        <v>1.7225739277357717E-2</v>
      </c>
      <c r="J329" s="8" t="s">
        <v>63</v>
      </c>
      <c r="L329" s="8" t="s">
        <v>167</v>
      </c>
      <c r="M329" s="8" t="s">
        <v>81</v>
      </c>
      <c r="N329" s="12">
        <v>1.7108124140254474E-2</v>
      </c>
      <c r="O329" s="8" t="s">
        <v>63</v>
      </c>
    </row>
    <row r="330" spans="2:15" x14ac:dyDescent="0.45">
      <c r="B330" s="9" t="s">
        <v>127</v>
      </c>
      <c r="C330" s="9" t="s">
        <v>82</v>
      </c>
      <c r="D330" s="11">
        <v>0</v>
      </c>
      <c r="E330" s="9" t="s">
        <v>63</v>
      </c>
      <c r="G330" s="9" t="s">
        <v>147</v>
      </c>
      <c r="H330" s="9" t="s">
        <v>82</v>
      </c>
      <c r="I330" s="13">
        <v>2.7187334779588946E-2</v>
      </c>
      <c r="J330" s="9" t="s">
        <v>63</v>
      </c>
      <c r="L330" s="9" t="s">
        <v>167</v>
      </c>
      <c r="M330" s="9" t="s">
        <v>82</v>
      </c>
      <c r="N330" s="13">
        <v>2.5802720720494911E-2</v>
      </c>
      <c r="O330" s="9" t="s">
        <v>63</v>
      </c>
    </row>
    <row r="331" spans="2:15" x14ac:dyDescent="0.45">
      <c r="B331" s="8" t="s">
        <v>127</v>
      </c>
      <c r="C331" s="8" t="s">
        <v>83</v>
      </c>
      <c r="D331" s="10">
        <v>1.0268154410712762E-3</v>
      </c>
      <c r="E331" s="8" t="s">
        <v>63</v>
      </c>
      <c r="G331" s="8" t="s">
        <v>147</v>
      </c>
      <c r="H331" s="8" t="s">
        <v>83</v>
      </c>
      <c r="I331" s="12">
        <v>2.9590932438206173E-2</v>
      </c>
      <c r="J331" s="8" t="s">
        <v>63</v>
      </c>
      <c r="L331" s="8" t="s">
        <v>167</v>
      </c>
      <c r="M331" s="8" t="s">
        <v>83</v>
      </c>
      <c r="N331" s="12">
        <v>2.918923972940711E-2</v>
      </c>
      <c r="O331" s="8" t="s">
        <v>63</v>
      </c>
    </row>
    <row r="332" spans="2:15" x14ac:dyDescent="0.45">
      <c r="B332" s="9" t="s">
        <v>127</v>
      </c>
      <c r="C332" s="9" t="s">
        <v>84</v>
      </c>
      <c r="D332" s="11">
        <v>1.7349677539734102E-2</v>
      </c>
      <c r="E332" s="9" t="s">
        <v>63</v>
      </c>
      <c r="G332" s="9" t="s">
        <v>147</v>
      </c>
      <c r="H332" s="9" t="s">
        <v>84</v>
      </c>
      <c r="I332" s="13">
        <v>1.0705260701395779E-2</v>
      </c>
      <c r="J332" s="9" t="s">
        <v>63</v>
      </c>
      <c r="L332" s="9" t="s">
        <v>167</v>
      </c>
      <c r="M332" s="9" t="s">
        <v>84</v>
      </c>
      <c r="N332" s="13">
        <v>1.0936189943662463E-2</v>
      </c>
      <c r="O332" s="9" t="s">
        <v>63</v>
      </c>
    </row>
    <row r="333" spans="2:15" x14ac:dyDescent="0.45">
      <c r="B333" s="8" t="s">
        <v>127</v>
      </c>
      <c r="C333" s="8" t="s">
        <v>85</v>
      </c>
      <c r="D333" s="10">
        <v>3.8099177357187673E-2</v>
      </c>
      <c r="E333" s="8" t="s">
        <v>63</v>
      </c>
      <c r="G333" s="8" t="s">
        <v>147</v>
      </c>
      <c r="H333" s="8" t="s">
        <v>85</v>
      </c>
      <c r="I333" s="12">
        <v>8.3976487037113121E-3</v>
      </c>
      <c r="J333" s="8" t="s">
        <v>63</v>
      </c>
      <c r="L333" s="8" t="s">
        <v>167</v>
      </c>
      <c r="M333" s="8" t="s">
        <v>85</v>
      </c>
      <c r="N333" s="12">
        <v>1.0689074869166334E-2</v>
      </c>
      <c r="O333" s="8" t="s">
        <v>63</v>
      </c>
    </row>
    <row r="334" spans="2:15" x14ac:dyDescent="0.45">
      <c r="B334" s="9" t="s">
        <v>127</v>
      </c>
      <c r="C334" s="9" t="s">
        <v>86</v>
      </c>
      <c r="D334" s="11">
        <v>4.9534745403141837E-2</v>
      </c>
      <c r="E334" s="9" t="s">
        <v>63</v>
      </c>
      <c r="G334" s="9" t="s">
        <v>147</v>
      </c>
      <c r="H334" s="9" t="s">
        <v>86</v>
      </c>
      <c r="I334" s="13">
        <v>8.4487464126048861E-3</v>
      </c>
      <c r="J334" s="9" t="s">
        <v>63</v>
      </c>
      <c r="L334" s="9" t="s">
        <v>167</v>
      </c>
      <c r="M334" s="9" t="s">
        <v>86</v>
      </c>
      <c r="N334" s="13">
        <v>1.0506531913224471E-2</v>
      </c>
      <c r="O334" s="9" t="s">
        <v>63</v>
      </c>
    </row>
    <row r="335" spans="2:15" x14ac:dyDescent="0.45">
      <c r="B335" s="8" t="s">
        <v>127</v>
      </c>
      <c r="C335" s="8" t="s">
        <v>87</v>
      </c>
      <c r="D335" s="10">
        <v>5.0013547363089168E-2</v>
      </c>
      <c r="E335" s="8" t="s">
        <v>63</v>
      </c>
      <c r="G335" s="8" t="s">
        <v>147</v>
      </c>
      <c r="H335" s="8" t="s">
        <v>87</v>
      </c>
      <c r="I335" s="12">
        <v>7.3594361654973229E-3</v>
      </c>
      <c r="J335" s="8" t="s">
        <v>63</v>
      </c>
      <c r="L335" s="8" t="s">
        <v>167</v>
      </c>
      <c r="M335" s="8" t="s">
        <v>87</v>
      </c>
      <c r="N335" s="12">
        <v>9.555493096640286E-3</v>
      </c>
      <c r="O335" s="8" t="s">
        <v>63</v>
      </c>
    </row>
    <row r="336" spans="2:15" x14ac:dyDescent="0.45">
      <c r="B336" s="9" t="s">
        <v>127</v>
      </c>
      <c r="C336" s="9" t="s">
        <v>88</v>
      </c>
      <c r="D336" s="11">
        <v>4.8666207910300831E-2</v>
      </c>
      <c r="E336" s="9" t="s">
        <v>63</v>
      </c>
      <c r="G336" s="9" t="s">
        <v>147</v>
      </c>
      <c r="H336" s="9" t="s">
        <v>88</v>
      </c>
      <c r="I336" s="13">
        <v>8.4526872631673425E-3</v>
      </c>
      <c r="J336" s="9" t="s">
        <v>63</v>
      </c>
      <c r="L336" s="9" t="s">
        <v>167</v>
      </c>
      <c r="M336" s="9" t="s">
        <v>88</v>
      </c>
      <c r="N336" s="13">
        <v>1.0278085937174712E-2</v>
      </c>
      <c r="O336" s="9" t="s">
        <v>63</v>
      </c>
    </row>
    <row r="337" spans="2:15" x14ac:dyDescent="0.45">
      <c r="B337" s="8" t="s">
        <v>127</v>
      </c>
      <c r="C337" s="8" t="s">
        <v>89</v>
      </c>
      <c r="D337" s="10">
        <v>4.0965392825415184E-2</v>
      </c>
      <c r="E337" s="8" t="s">
        <v>63</v>
      </c>
      <c r="G337" s="8" t="s">
        <v>147</v>
      </c>
      <c r="H337" s="8" t="s">
        <v>89</v>
      </c>
      <c r="I337" s="12">
        <v>9.0394183531594032E-3</v>
      </c>
      <c r="J337" s="8" t="s">
        <v>63</v>
      </c>
      <c r="L337" s="8" t="s">
        <v>167</v>
      </c>
      <c r="M337" s="8" t="s">
        <v>89</v>
      </c>
      <c r="N337" s="12">
        <v>1.05162392117551E-2</v>
      </c>
      <c r="O337" s="8" t="s">
        <v>63</v>
      </c>
    </row>
    <row r="338" spans="2:15" x14ac:dyDescent="0.45">
      <c r="B338" s="9" t="s">
        <v>127</v>
      </c>
      <c r="C338" s="9" t="s">
        <v>90</v>
      </c>
      <c r="D338" s="11">
        <v>2.633284742198751E-2</v>
      </c>
      <c r="E338" s="9" t="s">
        <v>63</v>
      </c>
      <c r="G338" s="9" t="s">
        <v>147</v>
      </c>
      <c r="H338" s="9" t="s">
        <v>90</v>
      </c>
      <c r="I338" s="13">
        <v>8.9240291495861889E-3</v>
      </c>
      <c r="J338" s="9" t="s">
        <v>63</v>
      </c>
      <c r="L338" s="9" t="s">
        <v>167</v>
      </c>
      <c r="M338" s="9" t="s">
        <v>90</v>
      </c>
      <c r="N338" s="13">
        <v>1.0095063131272015E-2</v>
      </c>
      <c r="O338" s="9" t="s">
        <v>63</v>
      </c>
    </row>
    <row r="339" spans="2:15" x14ac:dyDescent="0.45">
      <c r="B339" s="8" t="s">
        <v>127</v>
      </c>
      <c r="C339" s="8" t="s">
        <v>91</v>
      </c>
      <c r="D339" s="10">
        <v>8.0433680967760234E-3</v>
      </c>
      <c r="E339" s="8" t="s">
        <v>63</v>
      </c>
      <c r="G339" s="8" t="s">
        <v>147</v>
      </c>
      <c r="H339" s="8" t="s">
        <v>91</v>
      </c>
      <c r="I339" s="12">
        <v>1.05782508836993E-2</v>
      </c>
      <c r="J339" s="8" t="s">
        <v>63</v>
      </c>
      <c r="L339" s="8" t="s">
        <v>167</v>
      </c>
      <c r="M339" s="8" t="s">
        <v>91</v>
      </c>
      <c r="N339" s="12">
        <v>1.0004120777141204E-2</v>
      </c>
      <c r="O339" s="8" t="s">
        <v>63</v>
      </c>
    </row>
    <row r="340" spans="2:15" x14ac:dyDescent="0.45">
      <c r="B340" s="9" t="s">
        <v>127</v>
      </c>
      <c r="C340" s="9" t="s">
        <v>92</v>
      </c>
      <c r="D340" s="11">
        <v>0</v>
      </c>
      <c r="E340" s="9" t="s">
        <v>63</v>
      </c>
      <c r="G340" s="9" t="s">
        <v>147</v>
      </c>
      <c r="H340" s="9" t="s">
        <v>92</v>
      </c>
      <c r="I340" s="13">
        <v>1.927881768890248E-2</v>
      </c>
      <c r="J340" s="9" t="s">
        <v>63</v>
      </c>
      <c r="L340" s="9" t="s">
        <v>167</v>
      </c>
      <c r="M340" s="9" t="s">
        <v>92</v>
      </c>
      <c r="N340" s="13">
        <v>1.6621521647052547E-2</v>
      </c>
      <c r="O340" s="9" t="s">
        <v>63</v>
      </c>
    </row>
    <row r="341" spans="2:15" x14ac:dyDescent="0.45">
      <c r="B341" s="8" t="s">
        <v>127</v>
      </c>
      <c r="C341" s="8" t="s">
        <v>93</v>
      </c>
      <c r="D341" s="10">
        <v>2.3322877797673713E-4</v>
      </c>
      <c r="E341" s="8" t="s">
        <v>63</v>
      </c>
      <c r="G341" s="8" t="s">
        <v>147</v>
      </c>
      <c r="H341" s="8" t="s">
        <v>93</v>
      </c>
      <c r="I341" s="12">
        <v>1.9998492726975133E-2</v>
      </c>
      <c r="J341" s="8" t="s">
        <v>63</v>
      </c>
      <c r="L341" s="8" t="s">
        <v>167</v>
      </c>
      <c r="M341" s="8" t="s">
        <v>93</v>
      </c>
      <c r="N341" s="12">
        <v>2.4126852874759477E-2</v>
      </c>
      <c r="O341" s="8" t="s">
        <v>63</v>
      </c>
    </row>
    <row r="342" spans="2:15" x14ac:dyDescent="0.45">
      <c r="B342" s="9" t="s">
        <v>127</v>
      </c>
      <c r="C342" s="9" t="s">
        <v>94</v>
      </c>
      <c r="D342" s="11">
        <v>1.491191539979797E-2</v>
      </c>
      <c r="E342" s="9" t="s">
        <v>63</v>
      </c>
      <c r="G342" s="9" t="s">
        <v>147</v>
      </c>
      <c r="H342" s="9" t="s">
        <v>94</v>
      </c>
      <c r="I342" s="13">
        <v>7.0083442339519937E-3</v>
      </c>
      <c r="J342" s="9" t="s">
        <v>63</v>
      </c>
      <c r="L342" s="9" t="s">
        <v>167</v>
      </c>
      <c r="M342" s="9" t="s">
        <v>94</v>
      </c>
      <c r="N342" s="13">
        <v>9.6760883541073504E-3</v>
      </c>
      <c r="O342" s="9" t="s">
        <v>63</v>
      </c>
    </row>
    <row r="343" spans="2:15" x14ac:dyDescent="0.45">
      <c r="B343" s="8" t="s">
        <v>127</v>
      </c>
      <c r="C343" s="8" t="s">
        <v>95</v>
      </c>
      <c r="D343" s="10">
        <v>3.7297952622368173E-2</v>
      </c>
      <c r="E343" s="8" t="s">
        <v>63</v>
      </c>
      <c r="G343" s="8" t="s">
        <v>147</v>
      </c>
      <c r="H343" s="8" t="s">
        <v>95</v>
      </c>
      <c r="I343" s="12">
        <v>5.2108340395525211E-3</v>
      </c>
      <c r="J343" s="8" t="s">
        <v>63</v>
      </c>
      <c r="L343" s="8" t="s">
        <v>167</v>
      </c>
      <c r="M343" s="8" t="s">
        <v>95</v>
      </c>
      <c r="N343" s="12">
        <v>9.3915728773983215E-3</v>
      </c>
      <c r="O343" s="8" t="s">
        <v>63</v>
      </c>
    </row>
    <row r="344" spans="2:15" x14ac:dyDescent="0.45">
      <c r="B344" s="9" t="s">
        <v>127</v>
      </c>
      <c r="C344" s="9" t="s">
        <v>96</v>
      </c>
      <c r="D344" s="11">
        <v>4.7841250048095738E-2</v>
      </c>
      <c r="E344" s="9" t="s">
        <v>63</v>
      </c>
      <c r="G344" s="9" t="s">
        <v>147</v>
      </c>
      <c r="H344" s="9" t="s">
        <v>96</v>
      </c>
      <c r="I344" s="13">
        <v>6.7776986218171312E-3</v>
      </c>
      <c r="J344" s="9" t="s">
        <v>63</v>
      </c>
      <c r="L344" s="9" t="s">
        <v>167</v>
      </c>
      <c r="M344" s="9" t="s">
        <v>96</v>
      </c>
      <c r="N344" s="13">
        <v>9.4876679104623322E-3</v>
      </c>
      <c r="O344" s="9" t="s">
        <v>63</v>
      </c>
    </row>
    <row r="345" spans="2:15" x14ac:dyDescent="0.45">
      <c r="B345" s="8" t="s">
        <v>127</v>
      </c>
      <c r="C345" s="8" t="s">
        <v>97</v>
      </c>
      <c r="D345" s="10">
        <v>4.7958728626075475E-2</v>
      </c>
      <c r="E345" s="8" t="s">
        <v>63</v>
      </c>
      <c r="G345" s="8" t="s">
        <v>147</v>
      </c>
      <c r="H345" s="8" t="s">
        <v>97</v>
      </c>
      <c r="I345" s="12">
        <v>6.3015827520427892E-3</v>
      </c>
      <c r="J345" s="8" t="s">
        <v>63</v>
      </c>
      <c r="L345" s="8" t="s">
        <v>167</v>
      </c>
      <c r="M345" s="8" t="s">
        <v>97</v>
      </c>
      <c r="N345" s="12">
        <v>9.1674672164178544E-3</v>
      </c>
      <c r="O345" s="8" t="s">
        <v>63</v>
      </c>
    </row>
    <row r="346" spans="2:15" x14ac:dyDescent="0.45">
      <c r="B346" s="9" t="s">
        <v>127</v>
      </c>
      <c r="C346" s="9" t="s">
        <v>98</v>
      </c>
      <c r="D346" s="11">
        <v>4.7166086451926804E-2</v>
      </c>
      <c r="E346" s="9" t="s">
        <v>63</v>
      </c>
      <c r="G346" s="9" t="s">
        <v>147</v>
      </c>
      <c r="H346" s="9" t="s">
        <v>98</v>
      </c>
      <c r="I346" s="13">
        <v>7.8680638359897182E-3</v>
      </c>
      <c r="J346" s="9" t="s">
        <v>63</v>
      </c>
      <c r="L346" s="9" t="s">
        <v>167</v>
      </c>
      <c r="M346" s="9" t="s">
        <v>98</v>
      </c>
      <c r="N346" s="13">
        <v>1.049586335725616E-2</v>
      </c>
      <c r="O346" s="9" t="s">
        <v>63</v>
      </c>
    </row>
    <row r="347" spans="2:15" x14ac:dyDescent="0.45">
      <c r="B347" s="8" t="s">
        <v>127</v>
      </c>
      <c r="C347" s="8" t="s">
        <v>99</v>
      </c>
      <c r="D347" s="10">
        <v>4.2193299442505265E-2</v>
      </c>
      <c r="E347" s="8" t="s">
        <v>63</v>
      </c>
      <c r="G347" s="8" t="s">
        <v>147</v>
      </c>
      <c r="H347" s="8" t="s">
        <v>99</v>
      </c>
      <c r="I347" s="12">
        <v>8.2193255410678411E-3</v>
      </c>
      <c r="J347" s="8" t="s">
        <v>63</v>
      </c>
      <c r="L347" s="8" t="s">
        <v>167</v>
      </c>
      <c r="M347" s="8" t="s">
        <v>99</v>
      </c>
      <c r="N347" s="12">
        <v>1.104001604857663E-2</v>
      </c>
      <c r="O347" s="8" t="s">
        <v>63</v>
      </c>
    </row>
    <row r="348" spans="2:15" x14ac:dyDescent="0.45">
      <c r="B348" s="9" t="s">
        <v>127</v>
      </c>
      <c r="C348" s="9" t="s">
        <v>100</v>
      </c>
      <c r="D348" s="11">
        <v>2.8543868603782045E-2</v>
      </c>
      <c r="E348" s="9" t="s">
        <v>63</v>
      </c>
      <c r="G348" s="9" t="s">
        <v>147</v>
      </c>
      <c r="H348" s="9" t="s">
        <v>100</v>
      </c>
      <c r="I348" s="13">
        <v>7.5268000354968027E-3</v>
      </c>
      <c r="J348" s="9" t="s">
        <v>63</v>
      </c>
      <c r="L348" s="9" t="s">
        <v>167</v>
      </c>
      <c r="M348" s="9" t="s">
        <v>100</v>
      </c>
      <c r="N348" s="13">
        <v>1.0260163099735993E-2</v>
      </c>
      <c r="O348" s="9" t="s">
        <v>63</v>
      </c>
    </row>
    <row r="349" spans="2:15" x14ac:dyDescent="0.45">
      <c r="B349" s="8" t="s">
        <v>127</v>
      </c>
      <c r="C349" s="8" t="s">
        <v>101</v>
      </c>
      <c r="D349" s="10">
        <v>8.2959538333509421E-3</v>
      </c>
      <c r="E349" s="8" t="s">
        <v>63</v>
      </c>
      <c r="G349" s="8" t="s">
        <v>147</v>
      </c>
      <c r="H349" s="8" t="s">
        <v>101</v>
      </c>
      <c r="I349" s="12">
        <v>8.2227346052826215E-3</v>
      </c>
      <c r="J349" s="8" t="s">
        <v>63</v>
      </c>
      <c r="L349" s="8" t="s">
        <v>167</v>
      </c>
      <c r="M349" s="8" t="s">
        <v>101</v>
      </c>
      <c r="N349" s="12">
        <v>9.7539304938180933E-3</v>
      </c>
      <c r="O349" s="8" t="s">
        <v>63</v>
      </c>
    </row>
    <row r="350" spans="2:15" x14ac:dyDescent="0.45">
      <c r="B350" s="9" t="s">
        <v>127</v>
      </c>
      <c r="C350" s="9" t="s">
        <v>102</v>
      </c>
      <c r="D350" s="11">
        <v>0</v>
      </c>
      <c r="E350" s="9" t="s">
        <v>63</v>
      </c>
      <c r="G350" s="9" t="s">
        <v>147</v>
      </c>
      <c r="H350" s="9" t="s">
        <v>102</v>
      </c>
      <c r="I350" s="13">
        <v>1.366500913024027E-2</v>
      </c>
      <c r="J350" s="9" t="s">
        <v>63</v>
      </c>
      <c r="L350" s="9" t="s">
        <v>167</v>
      </c>
      <c r="M350" s="9" t="s">
        <v>102</v>
      </c>
      <c r="N350" s="13">
        <v>1.4685773558327155E-2</v>
      </c>
      <c r="O350" s="9" t="s">
        <v>63</v>
      </c>
    </row>
    <row r="351" spans="2:15" x14ac:dyDescent="0.45">
      <c r="B351" s="8" t="s">
        <v>127</v>
      </c>
      <c r="C351" s="8" t="s">
        <v>103</v>
      </c>
      <c r="D351" s="10">
        <v>0</v>
      </c>
      <c r="E351" s="8" t="s">
        <v>63</v>
      </c>
      <c r="G351" s="8" t="s">
        <v>147</v>
      </c>
      <c r="H351" s="8" t="s">
        <v>103</v>
      </c>
      <c r="I351" s="12">
        <v>3.4968969693747756E-2</v>
      </c>
      <c r="J351" s="8" t="s">
        <v>63</v>
      </c>
      <c r="L351" s="8" t="s">
        <v>167</v>
      </c>
      <c r="M351" s="8" t="s">
        <v>103</v>
      </c>
      <c r="N351" s="12">
        <v>3.2546873789403012E-2</v>
      </c>
      <c r="O351" s="8" t="s">
        <v>63</v>
      </c>
    </row>
    <row r="352" spans="2:15" x14ac:dyDescent="0.45">
      <c r="B352" s="9" t="s">
        <v>127</v>
      </c>
      <c r="C352" s="9" t="s">
        <v>104</v>
      </c>
      <c r="D352" s="11">
        <v>1.2529815494235874E-3</v>
      </c>
      <c r="E352" s="9" t="s">
        <v>63</v>
      </c>
      <c r="G352" s="9" t="s">
        <v>147</v>
      </c>
      <c r="H352" s="9" t="s">
        <v>104</v>
      </c>
      <c r="I352" s="13">
        <v>1.3667049002198889E-2</v>
      </c>
      <c r="J352" s="9" t="s">
        <v>63</v>
      </c>
      <c r="L352" s="9" t="s">
        <v>167</v>
      </c>
      <c r="M352" s="9" t="s">
        <v>104</v>
      </c>
      <c r="N352" s="13">
        <v>1.3109073054068936E-2</v>
      </c>
      <c r="O352" s="9" t="s">
        <v>63</v>
      </c>
    </row>
    <row r="353" spans="2:15" x14ac:dyDescent="0.45">
      <c r="B353" s="8" t="s">
        <v>127</v>
      </c>
      <c r="C353" s="8" t="s">
        <v>105</v>
      </c>
      <c r="D353" s="10">
        <v>1.4870592052406768E-2</v>
      </c>
      <c r="E353" s="8" t="s">
        <v>63</v>
      </c>
      <c r="G353" s="8" t="s">
        <v>147</v>
      </c>
      <c r="H353" s="8" t="s">
        <v>105</v>
      </c>
      <c r="I353" s="12">
        <v>1.2803053395997271E-2</v>
      </c>
      <c r="J353" s="8" t="s">
        <v>63</v>
      </c>
      <c r="L353" s="8" t="s">
        <v>167</v>
      </c>
      <c r="M353" s="8" t="s">
        <v>105</v>
      </c>
      <c r="N353" s="12">
        <v>1.3306978048527332E-2</v>
      </c>
      <c r="O353" s="8" t="s">
        <v>63</v>
      </c>
    </row>
    <row r="354" spans="2:15" x14ac:dyDescent="0.45">
      <c r="B354" s="9" t="s">
        <v>127</v>
      </c>
      <c r="C354" s="9" t="s">
        <v>106</v>
      </c>
      <c r="D354" s="11">
        <v>2.7609445154124456E-2</v>
      </c>
      <c r="E354" s="9" t="s">
        <v>63</v>
      </c>
      <c r="G354" s="9" t="s">
        <v>147</v>
      </c>
      <c r="H354" s="9" t="s">
        <v>106</v>
      </c>
      <c r="I354" s="13">
        <v>1.1560571841415299E-2</v>
      </c>
      <c r="J354" s="9" t="s">
        <v>63</v>
      </c>
      <c r="L354" s="9" t="s">
        <v>167</v>
      </c>
      <c r="M354" s="9" t="s">
        <v>106</v>
      </c>
      <c r="N354" s="13">
        <v>1.358607272439301E-2</v>
      </c>
      <c r="O354" s="9" t="s">
        <v>63</v>
      </c>
    </row>
    <row r="355" spans="2:15" x14ac:dyDescent="0.45">
      <c r="B355" s="8" t="s">
        <v>127</v>
      </c>
      <c r="C355" s="8" t="s">
        <v>107</v>
      </c>
      <c r="D355" s="10">
        <v>2.8960147611621259E-2</v>
      </c>
      <c r="E355" s="8" t="s">
        <v>63</v>
      </c>
      <c r="G355" s="8" t="s">
        <v>147</v>
      </c>
      <c r="H355" s="8" t="s">
        <v>107</v>
      </c>
      <c r="I355" s="12">
        <v>1.1587863901967553E-2</v>
      </c>
      <c r="J355" s="8" t="s">
        <v>63</v>
      </c>
      <c r="L355" s="8" t="s">
        <v>167</v>
      </c>
      <c r="M355" s="8" t="s">
        <v>107</v>
      </c>
      <c r="N355" s="12">
        <v>1.3113943183224995E-2</v>
      </c>
      <c r="O355" s="8" t="s">
        <v>63</v>
      </c>
    </row>
    <row r="356" spans="2:15" x14ac:dyDescent="0.45">
      <c r="B356" s="9" t="s">
        <v>127</v>
      </c>
      <c r="C356" s="9" t="s">
        <v>108</v>
      </c>
      <c r="D356" s="11">
        <v>2.960452332863751E-2</v>
      </c>
      <c r="E356" s="9" t="s">
        <v>63</v>
      </c>
      <c r="G356" s="9" t="s">
        <v>147</v>
      </c>
      <c r="H356" s="9" t="s">
        <v>108</v>
      </c>
      <c r="I356" s="13">
        <v>1.2459879918943147E-2</v>
      </c>
      <c r="J356" s="9" t="s">
        <v>63</v>
      </c>
      <c r="L356" s="9" t="s">
        <v>167</v>
      </c>
      <c r="M356" s="9" t="s">
        <v>108</v>
      </c>
      <c r="N356" s="13">
        <v>1.3083940025409635E-2</v>
      </c>
      <c r="O356" s="9" t="s">
        <v>63</v>
      </c>
    </row>
    <row r="357" spans="2:15" x14ac:dyDescent="0.45">
      <c r="B357" s="8" t="s">
        <v>127</v>
      </c>
      <c r="C357" s="8" t="s">
        <v>109</v>
      </c>
      <c r="D357" s="10">
        <v>2.109073000375801E-2</v>
      </c>
      <c r="E357" s="8" t="s">
        <v>63</v>
      </c>
      <c r="G357" s="8" t="s">
        <v>147</v>
      </c>
      <c r="H357" s="8" t="s">
        <v>109</v>
      </c>
      <c r="I357" s="12">
        <v>1.2721777410850437E-2</v>
      </c>
      <c r="J357" s="8" t="s">
        <v>63</v>
      </c>
      <c r="L357" s="8" t="s">
        <v>167</v>
      </c>
      <c r="M357" s="8" t="s">
        <v>109</v>
      </c>
      <c r="N357" s="12">
        <v>1.3559582159079401E-2</v>
      </c>
      <c r="O357" s="8" t="s">
        <v>63</v>
      </c>
    </row>
    <row r="358" spans="2:15" x14ac:dyDescent="0.45">
      <c r="B358" s="9" t="s">
        <v>127</v>
      </c>
      <c r="C358" s="9" t="s">
        <v>110</v>
      </c>
      <c r="D358" s="11">
        <v>6.5742033573930707E-3</v>
      </c>
      <c r="E358" s="9" t="s">
        <v>63</v>
      </c>
      <c r="G358" s="9" t="s">
        <v>147</v>
      </c>
      <c r="H358" s="9" t="s">
        <v>110</v>
      </c>
      <c r="I358" s="13">
        <v>1.4613513323889726E-2</v>
      </c>
      <c r="J358" s="9" t="s">
        <v>63</v>
      </c>
      <c r="L358" s="9" t="s">
        <v>167</v>
      </c>
      <c r="M358" s="9" t="s">
        <v>110</v>
      </c>
      <c r="N358" s="13">
        <v>1.3836905570979361E-2</v>
      </c>
      <c r="O358" s="9" t="s">
        <v>63</v>
      </c>
    </row>
    <row r="359" spans="2:15" x14ac:dyDescent="0.45">
      <c r="B359" s="8" t="s">
        <v>127</v>
      </c>
      <c r="C359" s="8" t="s">
        <v>111</v>
      </c>
      <c r="D359" s="10">
        <v>0</v>
      </c>
      <c r="E359" s="8" t="s">
        <v>63</v>
      </c>
      <c r="G359" s="8" t="s">
        <v>147</v>
      </c>
      <c r="H359" s="8" t="s">
        <v>111</v>
      </c>
      <c r="I359" s="12">
        <v>1.6448620850496056E-2</v>
      </c>
      <c r="J359" s="8" t="s">
        <v>63</v>
      </c>
      <c r="L359" s="8" t="s">
        <v>167</v>
      </c>
      <c r="M359" s="8" t="s">
        <v>111</v>
      </c>
      <c r="N359" s="12">
        <v>1.4042847087535275E-2</v>
      </c>
      <c r="O359" s="8" t="s">
        <v>63</v>
      </c>
    </row>
    <row r="360" spans="2:15" x14ac:dyDescent="0.45">
      <c r="B360" s="9" t="s">
        <v>127</v>
      </c>
      <c r="C360" s="9" t="s">
        <v>112</v>
      </c>
      <c r="D360" s="11">
        <v>0</v>
      </c>
      <c r="E360" s="9" t="s">
        <v>63</v>
      </c>
      <c r="G360" s="9" t="s">
        <v>147</v>
      </c>
      <c r="H360" s="9" t="s">
        <v>112</v>
      </c>
      <c r="I360" s="13">
        <v>2.4420013939806671E-2</v>
      </c>
      <c r="J360" s="9" t="s">
        <v>63</v>
      </c>
      <c r="L360" s="9" t="s">
        <v>167</v>
      </c>
      <c r="M360" s="9" t="s">
        <v>112</v>
      </c>
      <c r="N360" s="13">
        <v>2.0955792717063687E-2</v>
      </c>
      <c r="O360" s="9" t="s">
        <v>63</v>
      </c>
    </row>
    <row r="361" spans="2:15" x14ac:dyDescent="0.45">
      <c r="B361" s="8" t="s">
        <v>127</v>
      </c>
      <c r="C361" s="8" t="s">
        <v>113</v>
      </c>
      <c r="D361" s="10">
        <v>0</v>
      </c>
      <c r="E361" s="8" t="s">
        <v>63</v>
      </c>
      <c r="G361" s="8" t="s">
        <v>147</v>
      </c>
      <c r="H361" s="8" t="s">
        <v>113</v>
      </c>
      <c r="I361" s="12">
        <v>5.2401834371691505E-2</v>
      </c>
      <c r="J361" s="8" t="s">
        <v>63</v>
      </c>
      <c r="L361" s="8" t="s">
        <v>167</v>
      </c>
      <c r="M361" s="8" t="s">
        <v>113</v>
      </c>
      <c r="N361" s="12">
        <v>4.8587211644784224E-2</v>
      </c>
      <c r="O361" s="8" t="s">
        <v>63</v>
      </c>
    </row>
    <row r="362" spans="2:15" x14ac:dyDescent="0.45">
      <c r="B362" s="9" t="s">
        <v>127</v>
      </c>
      <c r="C362" s="9" t="s">
        <v>114</v>
      </c>
      <c r="D362" s="11">
        <v>0</v>
      </c>
      <c r="E362" s="9" t="s">
        <v>63</v>
      </c>
      <c r="G362" s="9" t="s">
        <v>147</v>
      </c>
      <c r="H362" s="9" t="s">
        <v>114</v>
      </c>
      <c r="I362" s="13">
        <v>2.0580143457400574E-2</v>
      </c>
      <c r="J362" s="9" t="s">
        <v>63</v>
      </c>
      <c r="L362" s="9" t="s">
        <v>167</v>
      </c>
      <c r="M362" s="9" t="s">
        <v>114</v>
      </c>
      <c r="N362" s="13">
        <v>1.9617730420343454E-2</v>
      </c>
      <c r="O362" s="9" t="s">
        <v>63</v>
      </c>
    </row>
    <row r="363" spans="2:15" x14ac:dyDescent="0.45">
      <c r="B363" s="8" t="s">
        <v>127</v>
      </c>
      <c r="C363" s="8" t="s">
        <v>115</v>
      </c>
      <c r="D363" s="10">
        <v>5.9761858711728563E-4</v>
      </c>
      <c r="E363" s="8" t="s">
        <v>63</v>
      </c>
      <c r="G363" s="8" t="s">
        <v>147</v>
      </c>
      <c r="H363" s="8" t="s">
        <v>115</v>
      </c>
      <c r="I363" s="12">
        <v>2.0939747711294185E-2</v>
      </c>
      <c r="J363" s="8" t="s">
        <v>63</v>
      </c>
      <c r="L363" s="8" t="s">
        <v>167</v>
      </c>
      <c r="M363" s="8" t="s">
        <v>115</v>
      </c>
      <c r="N363" s="12">
        <v>2.000236564816003E-2</v>
      </c>
      <c r="O363" s="8" t="s">
        <v>63</v>
      </c>
    </row>
    <row r="364" spans="2:15" x14ac:dyDescent="0.45">
      <c r="B364" s="9" t="s">
        <v>127</v>
      </c>
      <c r="C364" s="9" t="s">
        <v>116</v>
      </c>
      <c r="D364" s="11">
        <v>8.0200435327107654E-3</v>
      </c>
      <c r="E364" s="9" t="s">
        <v>63</v>
      </c>
      <c r="G364" s="9" t="s">
        <v>147</v>
      </c>
      <c r="H364" s="9" t="s">
        <v>116</v>
      </c>
      <c r="I364" s="13">
        <v>2.0530370344834056E-2</v>
      </c>
      <c r="J364" s="9" t="s">
        <v>63</v>
      </c>
      <c r="L364" s="9" t="s">
        <v>167</v>
      </c>
      <c r="M364" s="9" t="s">
        <v>116</v>
      </c>
      <c r="N364" s="13">
        <v>1.9761077914857077E-2</v>
      </c>
      <c r="O364" s="9" t="s">
        <v>63</v>
      </c>
    </row>
    <row r="365" spans="2:15" x14ac:dyDescent="0.45">
      <c r="B365" s="8" t="s">
        <v>127</v>
      </c>
      <c r="C365" s="8" t="s">
        <v>117</v>
      </c>
      <c r="D365" s="10">
        <v>1.1130642024524845E-2</v>
      </c>
      <c r="E365" s="8" t="s">
        <v>63</v>
      </c>
      <c r="G365" s="8" t="s">
        <v>147</v>
      </c>
      <c r="H365" s="8" t="s">
        <v>117</v>
      </c>
      <c r="I365" s="12">
        <v>1.9352898664631576E-2</v>
      </c>
      <c r="J365" s="8" t="s">
        <v>63</v>
      </c>
      <c r="L365" s="8" t="s">
        <v>167</v>
      </c>
      <c r="M365" s="8" t="s">
        <v>117</v>
      </c>
      <c r="N365" s="12">
        <v>1.9518100652478547E-2</v>
      </c>
      <c r="O365" s="8" t="s">
        <v>63</v>
      </c>
    </row>
    <row r="366" spans="2:15" x14ac:dyDescent="0.45">
      <c r="B366" s="9" t="s">
        <v>127</v>
      </c>
      <c r="C366" s="9" t="s">
        <v>118</v>
      </c>
      <c r="D366" s="11">
        <v>1.0173315829735748E-2</v>
      </c>
      <c r="E366" s="9" t="s">
        <v>63</v>
      </c>
      <c r="G366" s="9" t="s">
        <v>147</v>
      </c>
      <c r="H366" s="9" t="s">
        <v>118</v>
      </c>
      <c r="I366" s="13">
        <v>1.9814662269831213E-2</v>
      </c>
      <c r="J366" s="9" t="s">
        <v>63</v>
      </c>
      <c r="L366" s="9" t="s">
        <v>167</v>
      </c>
      <c r="M366" s="9" t="s">
        <v>118</v>
      </c>
      <c r="N366" s="13">
        <v>1.915458588767105E-2</v>
      </c>
      <c r="O366" s="9" t="s">
        <v>63</v>
      </c>
    </row>
    <row r="367" spans="2:15" x14ac:dyDescent="0.45">
      <c r="B367" s="8" t="s">
        <v>127</v>
      </c>
      <c r="C367" s="8" t="s">
        <v>119</v>
      </c>
      <c r="D367" s="10">
        <v>2.7163184086986016E-3</v>
      </c>
      <c r="E367" s="8" t="s">
        <v>63</v>
      </c>
      <c r="G367" s="8" t="s">
        <v>147</v>
      </c>
      <c r="H367" s="8" t="s">
        <v>119</v>
      </c>
      <c r="I367" s="12">
        <v>2.105634806944031E-2</v>
      </c>
      <c r="J367" s="8" t="s">
        <v>63</v>
      </c>
      <c r="L367" s="8" t="s">
        <v>167</v>
      </c>
      <c r="M367" s="8" t="s">
        <v>119</v>
      </c>
      <c r="N367" s="12">
        <v>1.9219098681779272E-2</v>
      </c>
      <c r="O367" s="8" t="s">
        <v>63</v>
      </c>
    </row>
    <row r="368" spans="2:15" x14ac:dyDescent="0.45">
      <c r="B368" s="9" t="s">
        <v>127</v>
      </c>
      <c r="C368" s="9" t="s">
        <v>120</v>
      </c>
      <c r="D368" s="11">
        <v>0</v>
      </c>
      <c r="E368" s="9" t="s">
        <v>63</v>
      </c>
      <c r="G368" s="9" t="s">
        <v>147</v>
      </c>
      <c r="H368" s="9" t="s">
        <v>120</v>
      </c>
      <c r="I368" s="13">
        <v>2.2132506943417382E-2</v>
      </c>
      <c r="J368" s="9" t="s">
        <v>63</v>
      </c>
      <c r="L368" s="9" t="s">
        <v>167</v>
      </c>
      <c r="M368" s="9" t="s">
        <v>120</v>
      </c>
      <c r="N368" s="13">
        <v>1.9368215777417399E-2</v>
      </c>
      <c r="O368" s="9" t="s">
        <v>63</v>
      </c>
    </row>
    <row r="369" spans="2:15" x14ac:dyDescent="0.45">
      <c r="B369" s="8" t="s">
        <v>127</v>
      </c>
      <c r="C369" s="8" t="s">
        <v>121</v>
      </c>
      <c r="D369" s="10">
        <v>0</v>
      </c>
      <c r="E369" s="8" t="s">
        <v>63</v>
      </c>
      <c r="G369" s="8" t="s">
        <v>147</v>
      </c>
      <c r="H369" s="8" t="s">
        <v>121</v>
      </c>
      <c r="I369" s="12">
        <v>2.2309916675703929E-2</v>
      </c>
      <c r="J369" s="8" t="s">
        <v>63</v>
      </c>
      <c r="L369" s="8" t="s">
        <v>167</v>
      </c>
      <c r="M369" s="8" t="s">
        <v>121</v>
      </c>
      <c r="N369" s="12">
        <v>1.941217184927508E-2</v>
      </c>
      <c r="O369" s="8" t="s">
        <v>63</v>
      </c>
    </row>
    <row r="370" spans="2:15" x14ac:dyDescent="0.45">
      <c r="B370" s="9" t="s">
        <v>127</v>
      </c>
      <c r="C370" s="9" t="s">
        <v>122</v>
      </c>
      <c r="D370" s="11">
        <v>0</v>
      </c>
      <c r="E370" s="9" t="s">
        <v>63</v>
      </c>
      <c r="G370" s="9" t="s">
        <v>147</v>
      </c>
      <c r="H370" s="9" t="s">
        <v>122</v>
      </c>
      <c r="I370" s="13">
        <v>3.3222322835236594E-2</v>
      </c>
      <c r="J370" s="9" t="s">
        <v>63</v>
      </c>
      <c r="L370" s="9" t="s">
        <v>167</v>
      </c>
      <c r="M370" s="9" t="s">
        <v>122</v>
      </c>
      <c r="N370" s="13">
        <v>2.9116135512025264E-2</v>
      </c>
      <c r="O370" s="9" t="s">
        <v>63</v>
      </c>
    </row>
    <row r="371" spans="2:15" x14ac:dyDescent="0.45">
      <c r="B371" s="8" t="s">
        <v>128</v>
      </c>
      <c r="C371" s="8" t="s">
        <v>62</v>
      </c>
      <c r="D371" s="10">
        <v>0</v>
      </c>
      <c r="E371" s="8" t="s">
        <v>63</v>
      </c>
      <c r="G371" s="8" t="s">
        <v>148</v>
      </c>
      <c r="H371" s="8" t="s">
        <v>62</v>
      </c>
      <c r="I371" s="12">
        <v>3.9041957663053427E-2</v>
      </c>
      <c r="J371" s="8" t="s">
        <v>63</v>
      </c>
      <c r="L371" s="8" t="s">
        <v>168</v>
      </c>
      <c r="M371" s="8" t="s">
        <v>62</v>
      </c>
      <c r="N371" s="12">
        <v>3.2666408000721681E-2</v>
      </c>
      <c r="O371" s="8" t="s">
        <v>63</v>
      </c>
    </row>
    <row r="372" spans="2:15" x14ac:dyDescent="0.45">
      <c r="B372" s="9" t="s">
        <v>128</v>
      </c>
      <c r="C372" s="9" t="s">
        <v>64</v>
      </c>
      <c r="D372" s="11">
        <v>0</v>
      </c>
      <c r="E372" s="9" t="s">
        <v>63</v>
      </c>
      <c r="G372" s="9" t="s">
        <v>148</v>
      </c>
      <c r="H372" s="9" t="s">
        <v>64</v>
      </c>
      <c r="I372" s="13">
        <v>1.5967224117894085E-2</v>
      </c>
      <c r="J372" s="9" t="s">
        <v>63</v>
      </c>
      <c r="L372" s="9" t="s">
        <v>168</v>
      </c>
      <c r="M372" s="9" t="s">
        <v>64</v>
      </c>
      <c r="N372" s="13">
        <v>1.332539127647964E-2</v>
      </c>
      <c r="O372" s="9" t="s">
        <v>63</v>
      </c>
    </row>
    <row r="373" spans="2:15" x14ac:dyDescent="0.45">
      <c r="B373" s="8" t="s">
        <v>128</v>
      </c>
      <c r="C373" s="8" t="s">
        <v>65</v>
      </c>
      <c r="D373" s="10">
        <v>5.2264294840353661E-4</v>
      </c>
      <c r="E373" s="8" t="s">
        <v>63</v>
      </c>
      <c r="G373" s="8" t="s">
        <v>148</v>
      </c>
      <c r="H373" s="8" t="s">
        <v>65</v>
      </c>
      <c r="I373" s="12">
        <v>1.6263483494975056E-2</v>
      </c>
      <c r="J373" s="8" t="s">
        <v>63</v>
      </c>
      <c r="L373" s="8" t="s">
        <v>168</v>
      </c>
      <c r="M373" s="8" t="s">
        <v>65</v>
      </c>
      <c r="N373" s="12">
        <v>1.3929092345530247E-2</v>
      </c>
      <c r="O373" s="8" t="s">
        <v>63</v>
      </c>
    </row>
    <row r="374" spans="2:15" x14ac:dyDescent="0.45">
      <c r="B374" s="9" t="s">
        <v>128</v>
      </c>
      <c r="C374" s="9" t="s">
        <v>66</v>
      </c>
      <c r="D374" s="11">
        <v>8.1858914818893399E-3</v>
      </c>
      <c r="E374" s="9" t="s">
        <v>63</v>
      </c>
      <c r="G374" s="9" t="s">
        <v>148</v>
      </c>
      <c r="H374" s="9" t="s">
        <v>66</v>
      </c>
      <c r="I374" s="13">
        <v>1.5960210159111376E-2</v>
      </c>
      <c r="J374" s="9" t="s">
        <v>63</v>
      </c>
      <c r="L374" s="9" t="s">
        <v>168</v>
      </c>
      <c r="M374" s="9" t="s">
        <v>66</v>
      </c>
      <c r="N374" s="13">
        <v>1.3930316749572066E-2</v>
      </c>
      <c r="O374" s="9" t="s">
        <v>63</v>
      </c>
    </row>
    <row r="375" spans="2:15" x14ac:dyDescent="0.45">
      <c r="B375" s="8" t="s">
        <v>128</v>
      </c>
      <c r="C375" s="8" t="s">
        <v>67</v>
      </c>
      <c r="D375" s="10">
        <v>1.5993096574934872E-2</v>
      </c>
      <c r="E375" s="8" t="s">
        <v>63</v>
      </c>
      <c r="G375" s="8" t="s">
        <v>148</v>
      </c>
      <c r="H375" s="8" t="s">
        <v>67</v>
      </c>
      <c r="I375" s="12">
        <v>1.428829822458284E-2</v>
      </c>
      <c r="J375" s="8" t="s">
        <v>63</v>
      </c>
      <c r="L375" s="8" t="s">
        <v>168</v>
      </c>
      <c r="M375" s="8" t="s">
        <v>67</v>
      </c>
      <c r="N375" s="12">
        <v>1.4328675737304101E-2</v>
      </c>
      <c r="O375" s="8" t="s">
        <v>63</v>
      </c>
    </row>
    <row r="376" spans="2:15" x14ac:dyDescent="0.45">
      <c r="B376" s="9" t="s">
        <v>128</v>
      </c>
      <c r="C376" s="9" t="s">
        <v>68</v>
      </c>
      <c r="D376" s="11">
        <v>1.5331617499131143E-2</v>
      </c>
      <c r="E376" s="9" t="s">
        <v>63</v>
      </c>
      <c r="G376" s="9" t="s">
        <v>148</v>
      </c>
      <c r="H376" s="9" t="s">
        <v>68</v>
      </c>
      <c r="I376" s="13">
        <v>1.3535759204670872E-2</v>
      </c>
      <c r="J376" s="9" t="s">
        <v>63</v>
      </c>
      <c r="L376" s="9" t="s">
        <v>168</v>
      </c>
      <c r="M376" s="9" t="s">
        <v>68</v>
      </c>
      <c r="N376" s="13">
        <v>1.475614619412768E-2</v>
      </c>
      <c r="O376" s="9" t="s">
        <v>63</v>
      </c>
    </row>
    <row r="377" spans="2:15" x14ac:dyDescent="0.45">
      <c r="B377" s="8" t="s">
        <v>128</v>
      </c>
      <c r="C377" s="8" t="s">
        <v>69</v>
      </c>
      <c r="D377" s="10">
        <v>9.0873377814842636E-3</v>
      </c>
      <c r="E377" s="8" t="s">
        <v>63</v>
      </c>
      <c r="G377" s="8" t="s">
        <v>148</v>
      </c>
      <c r="H377" s="8" t="s">
        <v>69</v>
      </c>
      <c r="I377" s="12">
        <v>1.4072378525191821E-2</v>
      </c>
      <c r="J377" s="8" t="s">
        <v>63</v>
      </c>
      <c r="L377" s="8" t="s">
        <v>168</v>
      </c>
      <c r="M377" s="8" t="s">
        <v>69</v>
      </c>
      <c r="N377" s="12">
        <v>1.5089544995575941E-2</v>
      </c>
      <c r="O377" s="8" t="s">
        <v>63</v>
      </c>
    </row>
    <row r="378" spans="2:15" x14ac:dyDescent="0.45">
      <c r="B378" s="9" t="s">
        <v>128</v>
      </c>
      <c r="C378" s="9" t="s">
        <v>70</v>
      </c>
      <c r="D378" s="11">
        <v>1.1450781519910021E-3</v>
      </c>
      <c r="E378" s="9" t="s">
        <v>63</v>
      </c>
      <c r="G378" s="9" t="s">
        <v>148</v>
      </c>
      <c r="H378" s="9" t="s">
        <v>70</v>
      </c>
      <c r="I378" s="13">
        <v>1.5949491956995604E-2</v>
      </c>
      <c r="J378" s="9" t="s">
        <v>63</v>
      </c>
      <c r="L378" s="9" t="s">
        <v>168</v>
      </c>
      <c r="M378" s="9" t="s">
        <v>70</v>
      </c>
      <c r="N378" s="13">
        <v>1.5669667830406811E-2</v>
      </c>
      <c r="O378" s="9" t="s">
        <v>63</v>
      </c>
    </row>
    <row r="379" spans="2:15" x14ac:dyDescent="0.45">
      <c r="B379" s="8" t="s">
        <v>128</v>
      </c>
      <c r="C379" s="8" t="s">
        <v>71</v>
      </c>
      <c r="D379" s="10">
        <v>0</v>
      </c>
      <c r="E379" s="8" t="s">
        <v>63</v>
      </c>
      <c r="G379" s="8" t="s">
        <v>148</v>
      </c>
      <c r="H379" s="8" t="s">
        <v>71</v>
      </c>
      <c r="I379" s="12">
        <v>1.6571924948735495E-2</v>
      </c>
      <c r="J379" s="8" t="s">
        <v>63</v>
      </c>
      <c r="L379" s="8" t="s">
        <v>168</v>
      </c>
      <c r="M379" s="8" t="s">
        <v>71</v>
      </c>
      <c r="N379" s="12">
        <v>1.57605154065046E-2</v>
      </c>
      <c r="O379" s="8" t="s">
        <v>63</v>
      </c>
    </row>
    <row r="380" spans="2:15" x14ac:dyDescent="0.45">
      <c r="B380" s="9" t="s">
        <v>128</v>
      </c>
      <c r="C380" s="9" t="s">
        <v>72</v>
      </c>
      <c r="D380" s="11">
        <v>0</v>
      </c>
      <c r="E380" s="9" t="s">
        <v>63</v>
      </c>
      <c r="G380" s="9" t="s">
        <v>148</v>
      </c>
      <c r="H380" s="9" t="s">
        <v>72</v>
      </c>
      <c r="I380" s="13">
        <v>2.4256241323734523E-2</v>
      </c>
      <c r="J380" s="9" t="s">
        <v>63</v>
      </c>
      <c r="L380" s="9" t="s">
        <v>168</v>
      </c>
      <c r="M380" s="9" t="s">
        <v>72</v>
      </c>
      <c r="N380" s="13">
        <v>2.1292576511047961E-2</v>
      </c>
      <c r="O380" s="9" t="s">
        <v>63</v>
      </c>
    </row>
    <row r="381" spans="2:15" x14ac:dyDescent="0.45">
      <c r="B381" s="8" t="s">
        <v>128</v>
      </c>
      <c r="C381" s="8" t="s">
        <v>73</v>
      </c>
      <c r="D381" s="10">
        <v>0</v>
      </c>
      <c r="E381" s="8" t="s">
        <v>63</v>
      </c>
      <c r="G381" s="8" t="s">
        <v>148</v>
      </c>
      <c r="H381" s="8" t="s">
        <v>73</v>
      </c>
      <c r="I381" s="12">
        <v>4.3840797947374339E-2</v>
      </c>
      <c r="J381" s="8" t="s">
        <v>63</v>
      </c>
      <c r="L381" s="8" t="s">
        <v>168</v>
      </c>
      <c r="M381" s="8" t="s">
        <v>73</v>
      </c>
      <c r="N381" s="12">
        <v>3.7140679773770474E-2</v>
      </c>
      <c r="O381" s="8" t="s">
        <v>63</v>
      </c>
    </row>
    <row r="382" spans="2:15" x14ac:dyDescent="0.45">
      <c r="B382" s="9" t="s">
        <v>128</v>
      </c>
      <c r="C382" s="9" t="s">
        <v>74</v>
      </c>
      <c r="D382" s="11">
        <v>2.755398662038559E-3</v>
      </c>
      <c r="E382" s="9" t="s">
        <v>63</v>
      </c>
      <c r="G382" s="9" t="s">
        <v>148</v>
      </c>
      <c r="H382" s="9" t="s">
        <v>74</v>
      </c>
      <c r="I382" s="13">
        <v>1.7388043326044395E-2</v>
      </c>
      <c r="J382" s="9" t="s">
        <v>63</v>
      </c>
      <c r="L382" s="9" t="s">
        <v>168</v>
      </c>
      <c r="M382" s="9" t="s">
        <v>74</v>
      </c>
      <c r="N382" s="13">
        <v>1.4612914657012007E-2</v>
      </c>
      <c r="O382" s="9" t="s">
        <v>63</v>
      </c>
    </row>
    <row r="383" spans="2:15" x14ac:dyDescent="0.45">
      <c r="B383" s="8" t="s">
        <v>128</v>
      </c>
      <c r="C383" s="8" t="s">
        <v>75</v>
      </c>
      <c r="D383" s="10">
        <v>2.4075801264762404E-2</v>
      </c>
      <c r="E383" s="8" t="s">
        <v>63</v>
      </c>
      <c r="G383" s="8" t="s">
        <v>148</v>
      </c>
      <c r="H383" s="8" t="s">
        <v>75</v>
      </c>
      <c r="I383" s="12">
        <v>1.5789177618585861E-2</v>
      </c>
      <c r="J383" s="8" t="s">
        <v>63</v>
      </c>
      <c r="L383" s="8" t="s">
        <v>168</v>
      </c>
      <c r="M383" s="8" t="s">
        <v>75</v>
      </c>
      <c r="N383" s="12">
        <v>1.4367649379484449E-2</v>
      </c>
      <c r="O383" s="8" t="s">
        <v>63</v>
      </c>
    </row>
    <row r="384" spans="2:15" x14ac:dyDescent="0.45">
      <c r="B384" s="9" t="s">
        <v>128</v>
      </c>
      <c r="C384" s="9" t="s">
        <v>76</v>
      </c>
      <c r="D384" s="11">
        <v>4.6273782951442195E-2</v>
      </c>
      <c r="E384" s="9" t="s">
        <v>63</v>
      </c>
      <c r="G384" s="9" t="s">
        <v>148</v>
      </c>
      <c r="H384" s="9" t="s">
        <v>76</v>
      </c>
      <c r="I384" s="13">
        <v>1.4429949068180441E-2</v>
      </c>
      <c r="J384" s="9" t="s">
        <v>63</v>
      </c>
      <c r="L384" s="9" t="s">
        <v>168</v>
      </c>
      <c r="M384" s="9" t="s">
        <v>76</v>
      </c>
      <c r="N384" s="13">
        <v>1.4211254825224902E-2</v>
      </c>
      <c r="O384" s="9" t="s">
        <v>63</v>
      </c>
    </row>
    <row r="385" spans="2:15" x14ac:dyDescent="0.45">
      <c r="B385" s="8" t="s">
        <v>128</v>
      </c>
      <c r="C385" s="8" t="s">
        <v>77</v>
      </c>
      <c r="D385" s="10">
        <v>4.7645863604199735E-2</v>
      </c>
      <c r="E385" s="8" t="s">
        <v>63</v>
      </c>
      <c r="G385" s="8" t="s">
        <v>148</v>
      </c>
      <c r="H385" s="8" t="s">
        <v>77</v>
      </c>
      <c r="I385" s="12">
        <v>1.3348802830041166E-2</v>
      </c>
      <c r="J385" s="8" t="s">
        <v>63</v>
      </c>
      <c r="L385" s="8" t="s">
        <v>168</v>
      </c>
      <c r="M385" s="8" t="s">
        <v>77</v>
      </c>
      <c r="N385" s="12">
        <v>1.3405036670460014E-2</v>
      </c>
      <c r="O385" s="8" t="s">
        <v>63</v>
      </c>
    </row>
    <row r="386" spans="2:15" x14ac:dyDescent="0.45">
      <c r="B386" s="9" t="s">
        <v>128</v>
      </c>
      <c r="C386" s="9" t="s">
        <v>78</v>
      </c>
      <c r="D386" s="11">
        <v>4.5113540791730487E-2</v>
      </c>
      <c r="E386" s="9" t="s">
        <v>63</v>
      </c>
      <c r="G386" s="9" t="s">
        <v>148</v>
      </c>
      <c r="H386" s="9" t="s">
        <v>78</v>
      </c>
      <c r="I386" s="13">
        <v>1.4801577091461141E-2</v>
      </c>
      <c r="J386" s="9" t="s">
        <v>63</v>
      </c>
      <c r="L386" s="9" t="s">
        <v>168</v>
      </c>
      <c r="M386" s="9" t="s">
        <v>78</v>
      </c>
      <c r="N386" s="13">
        <v>1.4014855196983079E-2</v>
      </c>
      <c r="O386" s="9" t="s">
        <v>63</v>
      </c>
    </row>
    <row r="387" spans="2:15" x14ac:dyDescent="0.45">
      <c r="B387" s="8" t="s">
        <v>128</v>
      </c>
      <c r="C387" s="8" t="s">
        <v>79</v>
      </c>
      <c r="D387" s="10">
        <v>4.0513227612026449E-2</v>
      </c>
      <c r="E387" s="8" t="s">
        <v>63</v>
      </c>
      <c r="G387" s="8" t="s">
        <v>148</v>
      </c>
      <c r="H387" s="8" t="s">
        <v>79</v>
      </c>
      <c r="I387" s="12">
        <v>1.49817453354313E-2</v>
      </c>
      <c r="J387" s="8" t="s">
        <v>63</v>
      </c>
      <c r="L387" s="8" t="s">
        <v>168</v>
      </c>
      <c r="M387" s="8" t="s">
        <v>79</v>
      </c>
      <c r="N387" s="12">
        <v>1.4390837158956345E-2</v>
      </c>
      <c r="O387" s="8" t="s">
        <v>63</v>
      </c>
    </row>
    <row r="388" spans="2:15" x14ac:dyDescent="0.45">
      <c r="B388" s="9" t="s">
        <v>128</v>
      </c>
      <c r="C388" s="9" t="s">
        <v>80</v>
      </c>
      <c r="D388" s="11">
        <v>2.2184506017792489E-2</v>
      </c>
      <c r="E388" s="9" t="s">
        <v>63</v>
      </c>
      <c r="G388" s="9" t="s">
        <v>148</v>
      </c>
      <c r="H388" s="9" t="s">
        <v>80</v>
      </c>
      <c r="I388" s="13">
        <v>1.5796012993906459E-2</v>
      </c>
      <c r="J388" s="9" t="s">
        <v>63</v>
      </c>
      <c r="L388" s="9" t="s">
        <v>168</v>
      </c>
      <c r="M388" s="9" t="s">
        <v>80</v>
      </c>
      <c r="N388" s="13">
        <v>1.5253550284825584E-2</v>
      </c>
      <c r="O388" s="9" t="s">
        <v>63</v>
      </c>
    </row>
    <row r="389" spans="2:15" x14ac:dyDescent="0.45">
      <c r="B389" s="8" t="s">
        <v>128</v>
      </c>
      <c r="C389" s="8" t="s">
        <v>81</v>
      </c>
      <c r="D389" s="10">
        <v>1.9814615774284561E-3</v>
      </c>
      <c r="E389" s="8" t="s">
        <v>63</v>
      </c>
      <c r="G389" s="8" t="s">
        <v>148</v>
      </c>
      <c r="H389" s="8" t="s">
        <v>81</v>
      </c>
      <c r="I389" s="12">
        <v>1.7755859197382314E-2</v>
      </c>
      <c r="J389" s="8" t="s">
        <v>63</v>
      </c>
      <c r="L389" s="8" t="s">
        <v>168</v>
      </c>
      <c r="M389" s="8" t="s">
        <v>81</v>
      </c>
      <c r="N389" s="12">
        <v>1.5966457682922888E-2</v>
      </c>
      <c r="O389" s="8" t="s">
        <v>63</v>
      </c>
    </row>
    <row r="390" spans="2:15" x14ac:dyDescent="0.45">
      <c r="B390" s="9" t="s">
        <v>128</v>
      </c>
      <c r="C390" s="9" t="s">
        <v>82</v>
      </c>
      <c r="D390" s="11">
        <v>0</v>
      </c>
      <c r="E390" s="9" t="s">
        <v>63</v>
      </c>
      <c r="G390" s="9" t="s">
        <v>148</v>
      </c>
      <c r="H390" s="9" t="s">
        <v>82</v>
      </c>
      <c r="I390" s="13">
        <v>2.6402574997306544E-2</v>
      </c>
      <c r="J390" s="9" t="s">
        <v>63</v>
      </c>
      <c r="L390" s="9" t="s">
        <v>168</v>
      </c>
      <c r="M390" s="9" t="s">
        <v>82</v>
      </c>
      <c r="N390" s="13">
        <v>2.3158590292167609E-2</v>
      </c>
      <c r="O390" s="9" t="s">
        <v>63</v>
      </c>
    </row>
    <row r="391" spans="2:15" x14ac:dyDescent="0.45">
      <c r="B391" s="8" t="s">
        <v>128</v>
      </c>
      <c r="C391" s="8" t="s">
        <v>83</v>
      </c>
      <c r="D391" s="10">
        <v>1.9218976728926336E-6</v>
      </c>
      <c r="E391" s="8" t="s">
        <v>63</v>
      </c>
      <c r="G391" s="8" t="s">
        <v>148</v>
      </c>
      <c r="H391" s="8" t="s">
        <v>83</v>
      </c>
      <c r="I391" s="12">
        <v>2.7741390420223586E-2</v>
      </c>
      <c r="J391" s="8" t="s">
        <v>63</v>
      </c>
      <c r="L391" s="8" t="s">
        <v>168</v>
      </c>
      <c r="M391" s="8" t="s">
        <v>83</v>
      </c>
      <c r="N391" s="12">
        <v>2.7871540459489776E-2</v>
      </c>
      <c r="O391" s="8" t="s">
        <v>63</v>
      </c>
    </row>
    <row r="392" spans="2:15" x14ac:dyDescent="0.45">
      <c r="B392" s="9" t="s">
        <v>128</v>
      </c>
      <c r="C392" s="9" t="s">
        <v>84</v>
      </c>
      <c r="D392" s="11">
        <v>1.5637967623759144E-2</v>
      </c>
      <c r="E392" s="9" t="s">
        <v>63</v>
      </c>
      <c r="G392" s="9" t="s">
        <v>148</v>
      </c>
      <c r="H392" s="9" t="s">
        <v>84</v>
      </c>
      <c r="I392" s="13">
        <v>8.919634772035695E-3</v>
      </c>
      <c r="J392" s="9" t="s">
        <v>63</v>
      </c>
      <c r="L392" s="9" t="s">
        <v>168</v>
      </c>
      <c r="M392" s="9" t="s">
        <v>84</v>
      </c>
      <c r="N392" s="13">
        <v>1.0583653304957769E-2</v>
      </c>
      <c r="O392" s="9" t="s">
        <v>63</v>
      </c>
    </row>
    <row r="393" spans="2:15" x14ac:dyDescent="0.45">
      <c r="B393" s="8" t="s">
        <v>128</v>
      </c>
      <c r="C393" s="8" t="s">
        <v>85</v>
      </c>
      <c r="D393" s="10">
        <v>3.6408067940981045E-2</v>
      </c>
      <c r="E393" s="8" t="s">
        <v>63</v>
      </c>
      <c r="G393" s="8" t="s">
        <v>148</v>
      </c>
      <c r="H393" s="8" t="s">
        <v>85</v>
      </c>
      <c r="I393" s="12">
        <v>6.9274293123506641E-3</v>
      </c>
      <c r="J393" s="8" t="s">
        <v>63</v>
      </c>
      <c r="L393" s="8" t="s">
        <v>168</v>
      </c>
      <c r="M393" s="8" t="s">
        <v>85</v>
      </c>
      <c r="N393" s="12">
        <v>1.0222089024926955E-2</v>
      </c>
      <c r="O393" s="8" t="s">
        <v>63</v>
      </c>
    </row>
    <row r="394" spans="2:15" x14ac:dyDescent="0.45">
      <c r="B394" s="9" t="s">
        <v>128</v>
      </c>
      <c r="C394" s="9" t="s">
        <v>86</v>
      </c>
      <c r="D394" s="11">
        <v>4.7457285323891048E-2</v>
      </c>
      <c r="E394" s="9" t="s">
        <v>63</v>
      </c>
      <c r="G394" s="9" t="s">
        <v>148</v>
      </c>
      <c r="H394" s="9" t="s">
        <v>86</v>
      </c>
      <c r="I394" s="13">
        <v>8.0043430563857213E-3</v>
      </c>
      <c r="J394" s="9" t="s">
        <v>63</v>
      </c>
      <c r="L394" s="9" t="s">
        <v>168</v>
      </c>
      <c r="M394" s="9" t="s">
        <v>86</v>
      </c>
      <c r="N394" s="13">
        <v>1.0300021358241372E-2</v>
      </c>
      <c r="O394" s="9" t="s">
        <v>63</v>
      </c>
    </row>
    <row r="395" spans="2:15" x14ac:dyDescent="0.45">
      <c r="B395" s="8" t="s">
        <v>128</v>
      </c>
      <c r="C395" s="8" t="s">
        <v>87</v>
      </c>
      <c r="D395" s="10">
        <v>5.0160862234084599E-2</v>
      </c>
      <c r="E395" s="8" t="s">
        <v>63</v>
      </c>
      <c r="G395" s="8" t="s">
        <v>148</v>
      </c>
      <c r="H395" s="8" t="s">
        <v>87</v>
      </c>
      <c r="I395" s="12">
        <v>6.7383479340502967E-3</v>
      </c>
      <c r="J395" s="8" t="s">
        <v>63</v>
      </c>
      <c r="L395" s="8" t="s">
        <v>168</v>
      </c>
      <c r="M395" s="8" t="s">
        <v>87</v>
      </c>
      <c r="N395" s="12">
        <v>9.9152625842272007E-3</v>
      </c>
      <c r="O395" s="8" t="s">
        <v>63</v>
      </c>
    </row>
    <row r="396" spans="2:15" x14ac:dyDescent="0.45">
      <c r="B396" s="9" t="s">
        <v>128</v>
      </c>
      <c r="C396" s="9" t="s">
        <v>88</v>
      </c>
      <c r="D396" s="11">
        <v>4.7941269715544403E-2</v>
      </c>
      <c r="E396" s="9" t="s">
        <v>63</v>
      </c>
      <c r="G396" s="9" t="s">
        <v>148</v>
      </c>
      <c r="H396" s="9" t="s">
        <v>88</v>
      </c>
      <c r="I396" s="13">
        <v>7.9426815588659258E-3</v>
      </c>
      <c r="J396" s="9" t="s">
        <v>63</v>
      </c>
      <c r="L396" s="9" t="s">
        <v>168</v>
      </c>
      <c r="M396" s="9" t="s">
        <v>88</v>
      </c>
      <c r="N396" s="13">
        <v>1.0152116989366024E-2</v>
      </c>
      <c r="O396" s="9" t="s">
        <v>63</v>
      </c>
    </row>
    <row r="397" spans="2:15" x14ac:dyDescent="0.45">
      <c r="B397" s="8" t="s">
        <v>128</v>
      </c>
      <c r="C397" s="8" t="s">
        <v>89</v>
      </c>
      <c r="D397" s="10">
        <v>4.1938115932223997E-2</v>
      </c>
      <c r="E397" s="8" t="s">
        <v>63</v>
      </c>
      <c r="G397" s="8" t="s">
        <v>148</v>
      </c>
      <c r="H397" s="8" t="s">
        <v>89</v>
      </c>
      <c r="I397" s="12">
        <v>8.2108458679177963E-3</v>
      </c>
      <c r="J397" s="8" t="s">
        <v>63</v>
      </c>
      <c r="L397" s="8" t="s">
        <v>168</v>
      </c>
      <c r="M397" s="8" t="s">
        <v>89</v>
      </c>
      <c r="N397" s="12">
        <v>1.0026846592341604E-2</v>
      </c>
      <c r="O397" s="8" t="s">
        <v>63</v>
      </c>
    </row>
    <row r="398" spans="2:15" x14ac:dyDescent="0.45">
      <c r="B398" s="9" t="s">
        <v>128</v>
      </c>
      <c r="C398" s="9" t="s">
        <v>90</v>
      </c>
      <c r="D398" s="11">
        <v>3.0018053422911656E-2</v>
      </c>
      <c r="E398" s="9" t="s">
        <v>63</v>
      </c>
      <c r="G398" s="9" t="s">
        <v>148</v>
      </c>
      <c r="H398" s="9" t="s">
        <v>90</v>
      </c>
      <c r="I398" s="13">
        <v>8.6721186830686654E-3</v>
      </c>
      <c r="J398" s="9" t="s">
        <v>63</v>
      </c>
      <c r="L398" s="9" t="s">
        <v>168</v>
      </c>
      <c r="M398" s="9" t="s">
        <v>90</v>
      </c>
      <c r="N398" s="13">
        <v>9.9429285172484404E-3</v>
      </c>
      <c r="O398" s="9" t="s">
        <v>63</v>
      </c>
    </row>
    <row r="399" spans="2:15" x14ac:dyDescent="0.45">
      <c r="B399" s="8" t="s">
        <v>128</v>
      </c>
      <c r="C399" s="8" t="s">
        <v>91</v>
      </c>
      <c r="D399" s="10">
        <v>1.1377954933420517E-2</v>
      </c>
      <c r="E399" s="8" t="s">
        <v>63</v>
      </c>
      <c r="G399" s="8" t="s">
        <v>148</v>
      </c>
      <c r="H399" s="8" t="s">
        <v>91</v>
      </c>
      <c r="I399" s="12">
        <v>9.9301746755175047E-3</v>
      </c>
      <c r="J399" s="8" t="s">
        <v>63</v>
      </c>
      <c r="L399" s="8" t="s">
        <v>168</v>
      </c>
      <c r="M399" s="8" t="s">
        <v>91</v>
      </c>
      <c r="N399" s="12">
        <v>1.024838848520229E-2</v>
      </c>
      <c r="O399" s="8" t="s">
        <v>63</v>
      </c>
    </row>
    <row r="400" spans="2:15" x14ac:dyDescent="0.45">
      <c r="B400" s="9" t="s">
        <v>128</v>
      </c>
      <c r="C400" s="9" t="s">
        <v>92</v>
      </c>
      <c r="D400" s="11">
        <v>0</v>
      </c>
      <c r="E400" s="9" t="s">
        <v>63</v>
      </c>
      <c r="G400" s="9" t="s">
        <v>148</v>
      </c>
      <c r="H400" s="9" t="s">
        <v>92</v>
      </c>
      <c r="I400" s="13">
        <v>1.8033402135201087E-2</v>
      </c>
      <c r="J400" s="9" t="s">
        <v>63</v>
      </c>
      <c r="L400" s="9" t="s">
        <v>168</v>
      </c>
      <c r="M400" s="9" t="s">
        <v>92</v>
      </c>
      <c r="N400" s="13">
        <v>1.6726056691245404E-2</v>
      </c>
      <c r="O400" s="9" t="s">
        <v>63</v>
      </c>
    </row>
    <row r="401" spans="2:15" x14ac:dyDescent="0.45">
      <c r="B401" s="8" t="s">
        <v>128</v>
      </c>
      <c r="C401" s="8" t="s">
        <v>93</v>
      </c>
      <c r="D401" s="10">
        <v>0</v>
      </c>
      <c r="E401" s="8" t="s">
        <v>63</v>
      </c>
      <c r="G401" s="8" t="s">
        <v>148</v>
      </c>
      <c r="H401" s="8" t="s">
        <v>93</v>
      </c>
      <c r="I401" s="12">
        <v>2.1041114615144664E-2</v>
      </c>
      <c r="J401" s="8" t="s">
        <v>63</v>
      </c>
      <c r="L401" s="8" t="s">
        <v>168</v>
      </c>
      <c r="M401" s="8" t="s">
        <v>93</v>
      </c>
      <c r="N401" s="12">
        <v>2.2684058603277154E-2</v>
      </c>
      <c r="O401" s="8" t="s">
        <v>63</v>
      </c>
    </row>
    <row r="402" spans="2:15" x14ac:dyDescent="0.45">
      <c r="B402" s="9" t="s">
        <v>128</v>
      </c>
      <c r="C402" s="9" t="s">
        <v>94</v>
      </c>
      <c r="D402" s="11">
        <v>1.1387011662589319E-2</v>
      </c>
      <c r="E402" s="9" t="s">
        <v>63</v>
      </c>
      <c r="G402" s="9" t="s">
        <v>148</v>
      </c>
      <c r="H402" s="9" t="s">
        <v>94</v>
      </c>
      <c r="I402" s="13">
        <v>6.7919946388972519E-3</v>
      </c>
      <c r="J402" s="9" t="s">
        <v>63</v>
      </c>
      <c r="L402" s="9" t="s">
        <v>168</v>
      </c>
      <c r="M402" s="9" t="s">
        <v>94</v>
      </c>
      <c r="N402" s="13">
        <v>9.0283159605849938E-3</v>
      </c>
      <c r="O402" s="9" t="s">
        <v>63</v>
      </c>
    </row>
    <row r="403" spans="2:15" x14ac:dyDescent="0.45">
      <c r="B403" s="8" t="s">
        <v>128</v>
      </c>
      <c r="C403" s="8" t="s">
        <v>95</v>
      </c>
      <c r="D403" s="10">
        <v>3.1456596410607801E-2</v>
      </c>
      <c r="E403" s="8" t="s">
        <v>63</v>
      </c>
      <c r="G403" s="8" t="s">
        <v>148</v>
      </c>
      <c r="H403" s="8" t="s">
        <v>95</v>
      </c>
      <c r="I403" s="12">
        <v>5.7919185007070115E-3</v>
      </c>
      <c r="J403" s="8" t="s">
        <v>63</v>
      </c>
      <c r="L403" s="8" t="s">
        <v>168</v>
      </c>
      <c r="M403" s="8" t="s">
        <v>95</v>
      </c>
      <c r="N403" s="12">
        <v>8.6264490520538573E-3</v>
      </c>
      <c r="O403" s="8" t="s">
        <v>63</v>
      </c>
    </row>
    <row r="404" spans="2:15" x14ac:dyDescent="0.45">
      <c r="B404" s="9" t="s">
        <v>128</v>
      </c>
      <c r="C404" s="9" t="s">
        <v>96</v>
      </c>
      <c r="D404" s="11">
        <v>4.4710589751290969E-2</v>
      </c>
      <c r="E404" s="9" t="s">
        <v>63</v>
      </c>
      <c r="G404" s="9" t="s">
        <v>148</v>
      </c>
      <c r="H404" s="9" t="s">
        <v>96</v>
      </c>
      <c r="I404" s="13">
        <v>6.781289653145354E-3</v>
      </c>
      <c r="J404" s="9" t="s">
        <v>63</v>
      </c>
      <c r="L404" s="9" t="s">
        <v>168</v>
      </c>
      <c r="M404" s="9" t="s">
        <v>96</v>
      </c>
      <c r="N404" s="13">
        <v>9.0486338910186152E-3</v>
      </c>
      <c r="O404" s="9" t="s">
        <v>63</v>
      </c>
    </row>
    <row r="405" spans="2:15" x14ac:dyDescent="0.45">
      <c r="B405" s="8" t="s">
        <v>128</v>
      </c>
      <c r="C405" s="8" t="s">
        <v>97</v>
      </c>
      <c r="D405" s="10">
        <v>4.6943657934583952E-2</v>
      </c>
      <c r="E405" s="8" t="s">
        <v>63</v>
      </c>
      <c r="G405" s="8" t="s">
        <v>148</v>
      </c>
      <c r="H405" s="8" t="s">
        <v>97</v>
      </c>
      <c r="I405" s="12">
        <v>6.4848255306072166E-3</v>
      </c>
      <c r="J405" s="8" t="s">
        <v>63</v>
      </c>
      <c r="L405" s="8" t="s">
        <v>168</v>
      </c>
      <c r="M405" s="8" t="s">
        <v>97</v>
      </c>
      <c r="N405" s="12">
        <v>8.3770937666600084E-3</v>
      </c>
      <c r="O405" s="8" t="s">
        <v>63</v>
      </c>
    </row>
    <row r="406" spans="2:15" x14ac:dyDescent="0.45">
      <c r="B406" s="9" t="s">
        <v>128</v>
      </c>
      <c r="C406" s="9" t="s">
        <v>98</v>
      </c>
      <c r="D406" s="11">
        <v>4.6663972161870751E-2</v>
      </c>
      <c r="E406" s="9" t="s">
        <v>63</v>
      </c>
      <c r="G406" s="9" t="s">
        <v>148</v>
      </c>
      <c r="H406" s="9" t="s">
        <v>98</v>
      </c>
      <c r="I406" s="13">
        <v>8.802188862511693E-3</v>
      </c>
      <c r="J406" s="9" t="s">
        <v>63</v>
      </c>
      <c r="L406" s="9" t="s">
        <v>168</v>
      </c>
      <c r="M406" s="9" t="s">
        <v>98</v>
      </c>
      <c r="N406" s="13">
        <v>8.6023209564943665E-3</v>
      </c>
      <c r="O406" s="9" t="s">
        <v>63</v>
      </c>
    </row>
    <row r="407" spans="2:15" x14ac:dyDescent="0.45">
      <c r="B407" s="8" t="s">
        <v>128</v>
      </c>
      <c r="C407" s="8" t="s">
        <v>99</v>
      </c>
      <c r="D407" s="10">
        <v>4.4493616872621204E-2</v>
      </c>
      <c r="E407" s="8" t="s">
        <v>63</v>
      </c>
      <c r="G407" s="8" t="s">
        <v>148</v>
      </c>
      <c r="H407" s="8" t="s">
        <v>99</v>
      </c>
      <c r="I407" s="12">
        <v>1.0300089256250256E-2</v>
      </c>
      <c r="J407" s="8" t="s">
        <v>63</v>
      </c>
      <c r="L407" s="8" t="s">
        <v>168</v>
      </c>
      <c r="M407" s="8" t="s">
        <v>99</v>
      </c>
      <c r="N407" s="12">
        <v>9.3356444152267286E-3</v>
      </c>
      <c r="O407" s="8" t="s">
        <v>63</v>
      </c>
    </row>
    <row r="408" spans="2:15" x14ac:dyDescent="0.45">
      <c r="B408" s="9" t="s">
        <v>128</v>
      </c>
      <c r="C408" s="9" t="s">
        <v>100</v>
      </c>
      <c r="D408" s="11">
        <v>3.246513732547706E-2</v>
      </c>
      <c r="E408" s="9" t="s">
        <v>63</v>
      </c>
      <c r="G408" s="9" t="s">
        <v>148</v>
      </c>
      <c r="H408" s="9" t="s">
        <v>100</v>
      </c>
      <c r="I408" s="13">
        <v>9.2368040901264076E-3</v>
      </c>
      <c r="J408" s="9" t="s">
        <v>63</v>
      </c>
      <c r="L408" s="9" t="s">
        <v>168</v>
      </c>
      <c r="M408" s="9" t="s">
        <v>100</v>
      </c>
      <c r="N408" s="13">
        <v>9.7055571668191766E-3</v>
      </c>
      <c r="O408" s="9" t="s">
        <v>63</v>
      </c>
    </row>
    <row r="409" spans="2:15" x14ac:dyDescent="0.45">
      <c r="B409" s="8" t="s">
        <v>128</v>
      </c>
      <c r="C409" s="8" t="s">
        <v>101</v>
      </c>
      <c r="D409" s="10">
        <v>1.1468955025419945E-2</v>
      </c>
      <c r="E409" s="8" t="s">
        <v>63</v>
      </c>
      <c r="G409" s="8" t="s">
        <v>148</v>
      </c>
      <c r="H409" s="8" t="s">
        <v>101</v>
      </c>
      <c r="I409" s="12">
        <v>9.1221279707800612E-3</v>
      </c>
      <c r="J409" s="8" t="s">
        <v>63</v>
      </c>
      <c r="L409" s="8" t="s">
        <v>168</v>
      </c>
      <c r="M409" s="8" t="s">
        <v>101</v>
      </c>
      <c r="N409" s="12">
        <v>1.029875646614513E-2</v>
      </c>
      <c r="O409" s="8" t="s">
        <v>63</v>
      </c>
    </row>
    <row r="410" spans="2:15" x14ac:dyDescent="0.45">
      <c r="B410" s="9" t="s">
        <v>128</v>
      </c>
      <c r="C410" s="9" t="s">
        <v>102</v>
      </c>
      <c r="D410" s="11">
        <v>0</v>
      </c>
      <c r="E410" s="9" t="s">
        <v>63</v>
      </c>
      <c r="G410" s="9" t="s">
        <v>148</v>
      </c>
      <c r="H410" s="9" t="s">
        <v>102</v>
      </c>
      <c r="I410" s="13">
        <v>1.4246617439826068E-2</v>
      </c>
      <c r="J410" s="9" t="s">
        <v>63</v>
      </c>
      <c r="L410" s="9" t="s">
        <v>168</v>
      </c>
      <c r="M410" s="9" t="s">
        <v>102</v>
      </c>
      <c r="N410" s="13">
        <v>1.5310244083293753E-2</v>
      </c>
      <c r="O410" s="9" t="s">
        <v>63</v>
      </c>
    </row>
    <row r="411" spans="2:15" x14ac:dyDescent="0.45">
      <c r="B411" s="8" t="s">
        <v>128</v>
      </c>
      <c r="C411" s="8" t="s">
        <v>103</v>
      </c>
      <c r="D411" s="10">
        <v>0</v>
      </c>
      <c r="E411" s="8" t="s">
        <v>63</v>
      </c>
      <c r="G411" s="8" t="s">
        <v>148</v>
      </c>
      <c r="H411" s="8" t="s">
        <v>103</v>
      </c>
      <c r="I411" s="12">
        <v>3.4841004046897016E-2</v>
      </c>
      <c r="J411" s="8" t="s">
        <v>63</v>
      </c>
      <c r="L411" s="8" t="s">
        <v>168</v>
      </c>
      <c r="M411" s="8" t="s">
        <v>103</v>
      </c>
      <c r="N411" s="12">
        <v>3.4542174059996759E-2</v>
      </c>
      <c r="O411" s="8" t="s">
        <v>63</v>
      </c>
    </row>
    <row r="412" spans="2:15" x14ac:dyDescent="0.45">
      <c r="B412" s="9" t="s">
        <v>128</v>
      </c>
      <c r="C412" s="9" t="s">
        <v>104</v>
      </c>
      <c r="D412" s="11">
        <v>1.0268267469721157E-3</v>
      </c>
      <c r="E412" s="9" t="s">
        <v>63</v>
      </c>
      <c r="G412" s="9" t="s">
        <v>148</v>
      </c>
      <c r="H412" s="9" t="s">
        <v>104</v>
      </c>
      <c r="I412" s="13">
        <v>1.2879025054180851E-2</v>
      </c>
      <c r="J412" s="9" t="s">
        <v>63</v>
      </c>
      <c r="L412" s="9" t="s">
        <v>168</v>
      </c>
      <c r="M412" s="9" t="s">
        <v>104</v>
      </c>
      <c r="N412" s="13">
        <v>1.312626742536711E-2</v>
      </c>
      <c r="O412" s="9" t="s">
        <v>63</v>
      </c>
    </row>
    <row r="413" spans="2:15" x14ac:dyDescent="0.45">
      <c r="B413" s="8" t="s">
        <v>128</v>
      </c>
      <c r="C413" s="8" t="s">
        <v>105</v>
      </c>
      <c r="D413" s="10">
        <v>1.4895972720658821E-2</v>
      </c>
      <c r="E413" s="8" t="s">
        <v>63</v>
      </c>
      <c r="G413" s="8" t="s">
        <v>148</v>
      </c>
      <c r="H413" s="8" t="s">
        <v>105</v>
      </c>
      <c r="I413" s="12">
        <v>1.2024691330817652E-2</v>
      </c>
      <c r="J413" s="8" t="s">
        <v>63</v>
      </c>
      <c r="L413" s="8" t="s">
        <v>168</v>
      </c>
      <c r="M413" s="8" t="s">
        <v>105</v>
      </c>
      <c r="N413" s="12">
        <v>1.3633336285380904E-2</v>
      </c>
      <c r="O413" s="8" t="s">
        <v>63</v>
      </c>
    </row>
    <row r="414" spans="2:15" x14ac:dyDescent="0.45">
      <c r="B414" s="9" t="s">
        <v>128</v>
      </c>
      <c r="C414" s="9" t="s">
        <v>106</v>
      </c>
      <c r="D414" s="11">
        <v>2.9840049635595684E-2</v>
      </c>
      <c r="E414" s="9" t="s">
        <v>63</v>
      </c>
      <c r="G414" s="9" t="s">
        <v>148</v>
      </c>
      <c r="H414" s="9" t="s">
        <v>106</v>
      </c>
      <c r="I414" s="13">
        <v>1.1577240924521028E-2</v>
      </c>
      <c r="J414" s="9" t="s">
        <v>63</v>
      </c>
      <c r="L414" s="9" t="s">
        <v>168</v>
      </c>
      <c r="M414" s="9" t="s">
        <v>106</v>
      </c>
      <c r="N414" s="13">
        <v>1.3908096974544173E-2</v>
      </c>
      <c r="O414" s="9" t="s">
        <v>63</v>
      </c>
    </row>
    <row r="415" spans="2:15" x14ac:dyDescent="0.45">
      <c r="B415" s="8" t="s">
        <v>128</v>
      </c>
      <c r="C415" s="8" t="s">
        <v>107</v>
      </c>
      <c r="D415" s="10">
        <v>3.0053594948418482E-2</v>
      </c>
      <c r="E415" s="8" t="s">
        <v>63</v>
      </c>
      <c r="G415" s="8" t="s">
        <v>148</v>
      </c>
      <c r="H415" s="8" t="s">
        <v>107</v>
      </c>
      <c r="I415" s="12">
        <v>1.1180383267259245E-2</v>
      </c>
      <c r="J415" s="8" t="s">
        <v>63</v>
      </c>
      <c r="L415" s="8" t="s">
        <v>168</v>
      </c>
      <c r="M415" s="8" t="s">
        <v>107</v>
      </c>
      <c r="N415" s="12">
        <v>1.36758405494934E-2</v>
      </c>
      <c r="O415" s="8" t="s">
        <v>63</v>
      </c>
    </row>
    <row r="416" spans="2:15" x14ac:dyDescent="0.45">
      <c r="B416" s="9" t="s">
        <v>128</v>
      </c>
      <c r="C416" s="9" t="s">
        <v>108</v>
      </c>
      <c r="D416" s="11">
        <v>2.9907610023969876E-2</v>
      </c>
      <c r="E416" s="9" t="s">
        <v>63</v>
      </c>
      <c r="G416" s="9" t="s">
        <v>148</v>
      </c>
      <c r="H416" s="9" t="s">
        <v>108</v>
      </c>
      <c r="I416" s="13">
        <v>1.196693285145854E-2</v>
      </c>
      <c r="J416" s="9" t="s">
        <v>63</v>
      </c>
      <c r="L416" s="9" t="s">
        <v>168</v>
      </c>
      <c r="M416" s="9" t="s">
        <v>108</v>
      </c>
      <c r="N416" s="13">
        <v>1.3455290015110944E-2</v>
      </c>
      <c r="O416" s="9" t="s">
        <v>63</v>
      </c>
    </row>
    <row r="417" spans="2:15" x14ac:dyDescent="0.45">
      <c r="B417" s="8" t="s">
        <v>128</v>
      </c>
      <c r="C417" s="8" t="s">
        <v>109</v>
      </c>
      <c r="D417" s="10">
        <v>2.3916384027769112E-2</v>
      </c>
      <c r="E417" s="8" t="s">
        <v>63</v>
      </c>
      <c r="G417" s="8" t="s">
        <v>148</v>
      </c>
      <c r="H417" s="8" t="s">
        <v>109</v>
      </c>
      <c r="I417" s="12">
        <v>1.251232088824495E-2</v>
      </c>
      <c r="J417" s="8" t="s">
        <v>63</v>
      </c>
      <c r="L417" s="8" t="s">
        <v>168</v>
      </c>
      <c r="M417" s="8" t="s">
        <v>109</v>
      </c>
      <c r="N417" s="12">
        <v>1.36962004618079E-2</v>
      </c>
      <c r="O417" s="8" t="s">
        <v>63</v>
      </c>
    </row>
    <row r="418" spans="2:15" x14ac:dyDescent="0.45">
      <c r="B418" s="9" t="s">
        <v>128</v>
      </c>
      <c r="C418" s="9" t="s">
        <v>110</v>
      </c>
      <c r="D418" s="11">
        <v>8.8020555046988257E-3</v>
      </c>
      <c r="E418" s="9" t="s">
        <v>63</v>
      </c>
      <c r="G418" s="9" t="s">
        <v>148</v>
      </c>
      <c r="H418" s="9" t="s">
        <v>110</v>
      </c>
      <c r="I418" s="13">
        <v>1.4028741860157309E-2</v>
      </c>
      <c r="J418" s="9" t="s">
        <v>63</v>
      </c>
      <c r="L418" s="9" t="s">
        <v>168</v>
      </c>
      <c r="M418" s="9" t="s">
        <v>110</v>
      </c>
      <c r="N418" s="13">
        <v>1.500424396934682E-2</v>
      </c>
      <c r="O418" s="9" t="s">
        <v>63</v>
      </c>
    </row>
    <row r="419" spans="2:15" x14ac:dyDescent="0.45">
      <c r="B419" s="8" t="s">
        <v>128</v>
      </c>
      <c r="C419" s="8" t="s">
        <v>111</v>
      </c>
      <c r="D419" s="10">
        <v>5.0956862641853029E-5</v>
      </c>
      <c r="E419" s="8" t="s">
        <v>63</v>
      </c>
      <c r="G419" s="8" t="s">
        <v>148</v>
      </c>
      <c r="H419" s="8" t="s">
        <v>111</v>
      </c>
      <c r="I419" s="12">
        <v>1.5019934724791063E-2</v>
      </c>
      <c r="J419" s="8" t="s">
        <v>63</v>
      </c>
      <c r="L419" s="8" t="s">
        <v>168</v>
      </c>
      <c r="M419" s="8" t="s">
        <v>111</v>
      </c>
      <c r="N419" s="12">
        <v>1.6062050010420829E-2</v>
      </c>
      <c r="O419" s="8" t="s">
        <v>63</v>
      </c>
    </row>
    <row r="420" spans="2:15" x14ac:dyDescent="0.45">
      <c r="B420" s="9" t="s">
        <v>128</v>
      </c>
      <c r="C420" s="9" t="s">
        <v>112</v>
      </c>
      <c r="D420" s="11">
        <v>0</v>
      </c>
      <c r="E420" s="9" t="s">
        <v>63</v>
      </c>
      <c r="G420" s="9" t="s">
        <v>148</v>
      </c>
      <c r="H420" s="9" t="s">
        <v>112</v>
      </c>
      <c r="I420" s="13">
        <v>2.2728416334542208E-2</v>
      </c>
      <c r="J420" s="9" t="s">
        <v>63</v>
      </c>
      <c r="L420" s="9" t="s">
        <v>168</v>
      </c>
      <c r="M420" s="9" t="s">
        <v>112</v>
      </c>
      <c r="N420" s="13">
        <v>2.3536268831840106E-2</v>
      </c>
      <c r="O420" s="9" t="s">
        <v>63</v>
      </c>
    </row>
    <row r="421" spans="2:15" x14ac:dyDescent="0.45">
      <c r="B421" s="8" t="s">
        <v>128</v>
      </c>
      <c r="C421" s="8" t="s">
        <v>113</v>
      </c>
      <c r="D421" s="10">
        <v>0</v>
      </c>
      <c r="E421" s="8" t="s">
        <v>63</v>
      </c>
      <c r="G421" s="8" t="s">
        <v>148</v>
      </c>
      <c r="H421" s="8" t="s">
        <v>113</v>
      </c>
      <c r="I421" s="12">
        <v>5.3788422887950188E-2</v>
      </c>
      <c r="J421" s="8" t="s">
        <v>63</v>
      </c>
      <c r="L421" s="8" t="s">
        <v>168</v>
      </c>
      <c r="M421" s="8" t="s">
        <v>113</v>
      </c>
      <c r="N421" s="12">
        <v>4.9857446233796947E-2</v>
      </c>
      <c r="O421" s="8" t="s">
        <v>63</v>
      </c>
    </row>
    <row r="422" spans="2:15" x14ac:dyDescent="0.45">
      <c r="B422" s="9" t="s">
        <v>128</v>
      </c>
      <c r="C422" s="9" t="s">
        <v>114</v>
      </c>
      <c r="D422" s="11">
        <v>0</v>
      </c>
      <c r="E422" s="9" t="s">
        <v>63</v>
      </c>
      <c r="G422" s="9" t="s">
        <v>148</v>
      </c>
      <c r="H422" s="9" t="s">
        <v>114</v>
      </c>
      <c r="I422" s="13">
        <v>2.1040987347570407E-2</v>
      </c>
      <c r="J422" s="9" t="s">
        <v>63</v>
      </c>
      <c r="L422" s="9" t="s">
        <v>168</v>
      </c>
      <c r="M422" s="9" t="s">
        <v>114</v>
      </c>
      <c r="N422" s="13">
        <v>2.023561518684229E-2</v>
      </c>
      <c r="O422" s="9" t="s">
        <v>63</v>
      </c>
    </row>
    <row r="423" spans="2:15" x14ac:dyDescent="0.45">
      <c r="B423" s="8" t="s">
        <v>128</v>
      </c>
      <c r="C423" s="8" t="s">
        <v>115</v>
      </c>
      <c r="D423" s="10">
        <v>2.2363684998253866E-4</v>
      </c>
      <c r="E423" s="8" t="s">
        <v>63</v>
      </c>
      <c r="G423" s="8" t="s">
        <v>148</v>
      </c>
      <c r="H423" s="8" t="s">
        <v>115</v>
      </c>
      <c r="I423" s="12">
        <v>2.0908389337536186E-2</v>
      </c>
      <c r="J423" s="8" t="s">
        <v>63</v>
      </c>
      <c r="L423" s="8" t="s">
        <v>168</v>
      </c>
      <c r="M423" s="8" t="s">
        <v>115</v>
      </c>
      <c r="N423" s="12">
        <v>2.0775132435191787E-2</v>
      </c>
      <c r="O423" s="8" t="s">
        <v>63</v>
      </c>
    </row>
    <row r="424" spans="2:15" x14ac:dyDescent="0.45">
      <c r="B424" s="9" t="s">
        <v>128</v>
      </c>
      <c r="C424" s="9" t="s">
        <v>116</v>
      </c>
      <c r="D424" s="11">
        <v>5.9963823456367499E-3</v>
      </c>
      <c r="E424" s="9" t="s">
        <v>63</v>
      </c>
      <c r="G424" s="9" t="s">
        <v>148</v>
      </c>
      <c r="H424" s="9" t="s">
        <v>116</v>
      </c>
      <c r="I424" s="13">
        <v>2.0135046826164123E-2</v>
      </c>
      <c r="J424" s="9" t="s">
        <v>63</v>
      </c>
      <c r="L424" s="9" t="s">
        <v>168</v>
      </c>
      <c r="M424" s="9" t="s">
        <v>116</v>
      </c>
      <c r="N424" s="13">
        <v>2.0682773515549792E-2</v>
      </c>
      <c r="O424" s="9" t="s">
        <v>63</v>
      </c>
    </row>
    <row r="425" spans="2:15" x14ac:dyDescent="0.45">
      <c r="B425" s="8" t="s">
        <v>128</v>
      </c>
      <c r="C425" s="8" t="s">
        <v>117</v>
      </c>
      <c r="D425" s="10">
        <v>9.9769538088746636E-3</v>
      </c>
      <c r="E425" s="8" t="s">
        <v>63</v>
      </c>
      <c r="G425" s="8" t="s">
        <v>148</v>
      </c>
      <c r="H425" s="8" t="s">
        <v>117</v>
      </c>
      <c r="I425" s="12">
        <v>1.9702712206246437E-2</v>
      </c>
      <c r="J425" s="8" t="s">
        <v>63</v>
      </c>
      <c r="L425" s="8" t="s">
        <v>168</v>
      </c>
      <c r="M425" s="8" t="s">
        <v>117</v>
      </c>
      <c r="N425" s="12">
        <v>2.0574716769874875E-2</v>
      </c>
      <c r="O425" s="8" t="s">
        <v>63</v>
      </c>
    </row>
    <row r="426" spans="2:15" x14ac:dyDescent="0.45">
      <c r="B426" s="9" t="s">
        <v>128</v>
      </c>
      <c r="C426" s="9" t="s">
        <v>118</v>
      </c>
      <c r="D426" s="11">
        <v>1.0169159496805488E-2</v>
      </c>
      <c r="E426" s="9" t="s">
        <v>63</v>
      </c>
      <c r="G426" s="9" t="s">
        <v>148</v>
      </c>
      <c r="H426" s="9" t="s">
        <v>118</v>
      </c>
      <c r="I426" s="13">
        <v>1.9170069967473041E-2</v>
      </c>
      <c r="J426" s="9" t="s">
        <v>63</v>
      </c>
      <c r="L426" s="9" t="s">
        <v>168</v>
      </c>
      <c r="M426" s="9" t="s">
        <v>118</v>
      </c>
      <c r="N426" s="13">
        <v>2.0218092610064551E-2</v>
      </c>
      <c r="O426" s="9" t="s">
        <v>63</v>
      </c>
    </row>
    <row r="427" spans="2:15" x14ac:dyDescent="0.45">
      <c r="B427" s="8" t="s">
        <v>128</v>
      </c>
      <c r="C427" s="8" t="s">
        <v>119</v>
      </c>
      <c r="D427" s="10">
        <v>3.8001339397679872E-3</v>
      </c>
      <c r="E427" s="8" t="s">
        <v>63</v>
      </c>
      <c r="G427" s="8" t="s">
        <v>148</v>
      </c>
      <c r="H427" s="8" t="s">
        <v>119</v>
      </c>
      <c r="I427" s="12">
        <v>2.0029862488479953E-2</v>
      </c>
      <c r="J427" s="8" t="s">
        <v>63</v>
      </c>
      <c r="L427" s="8" t="s">
        <v>168</v>
      </c>
      <c r="M427" s="8" t="s">
        <v>119</v>
      </c>
      <c r="N427" s="12">
        <v>2.0078544817600633E-2</v>
      </c>
      <c r="O427" s="8" t="s">
        <v>63</v>
      </c>
    </row>
    <row r="428" spans="2:15" x14ac:dyDescent="0.45">
      <c r="B428" s="9" t="s">
        <v>128</v>
      </c>
      <c r="C428" s="9" t="s">
        <v>120</v>
      </c>
      <c r="D428" s="11">
        <v>0</v>
      </c>
      <c r="E428" s="9" t="s">
        <v>63</v>
      </c>
      <c r="G428" s="9" t="s">
        <v>148</v>
      </c>
      <c r="H428" s="9" t="s">
        <v>120</v>
      </c>
      <c r="I428" s="13">
        <v>2.1452597949815053E-2</v>
      </c>
      <c r="J428" s="9" t="s">
        <v>63</v>
      </c>
      <c r="L428" s="9" t="s">
        <v>168</v>
      </c>
      <c r="M428" s="9" t="s">
        <v>120</v>
      </c>
      <c r="N428" s="13">
        <v>2.0700018486328339E-2</v>
      </c>
      <c r="O428" s="9" t="s">
        <v>63</v>
      </c>
    </row>
    <row r="429" spans="2:15" x14ac:dyDescent="0.45">
      <c r="B429" s="8" t="s">
        <v>128</v>
      </c>
      <c r="C429" s="8" t="s">
        <v>121</v>
      </c>
      <c r="D429" s="10">
        <v>0</v>
      </c>
      <c r="E429" s="8" t="s">
        <v>63</v>
      </c>
      <c r="G429" s="8" t="s">
        <v>148</v>
      </c>
      <c r="H429" s="8" t="s">
        <v>121</v>
      </c>
      <c r="I429" s="12">
        <v>2.1867318930194248E-2</v>
      </c>
      <c r="J429" s="8" t="s">
        <v>63</v>
      </c>
      <c r="L429" s="8" t="s">
        <v>168</v>
      </c>
      <c r="M429" s="8" t="s">
        <v>121</v>
      </c>
      <c r="N429" s="12">
        <v>2.0828958507326342E-2</v>
      </c>
      <c r="O429" s="8" t="s">
        <v>63</v>
      </c>
    </row>
    <row r="430" spans="2:15" x14ac:dyDescent="0.45">
      <c r="B430" s="9" t="s">
        <v>128</v>
      </c>
      <c r="C430" s="9" t="s">
        <v>122</v>
      </c>
      <c r="D430" s="11">
        <v>0</v>
      </c>
      <c r="E430" s="9" t="s">
        <v>63</v>
      </c>
      <c r="G430" s="9" t="s">
        <v>148</v>
      </c>
      <c r="H430" s="9" t="s">
        <v>122</v>
      </c>
      <c r="I430" s="13">
        <v>3.2985051777431579E-2</v>
      </c>
      <c r="J430" s="9" t="s">
        <v>63</v>
      </c>
      <c r="L430" s="9" t="s">
        <v>168</v>
      </c>
      <c r="M430" s="9" t="s">
        <v>122</v>
      </c>
      <c r="N430" s="13">
        <v>3.1132793516218261E-2</v>
      </c>
      <c r="O430" s="9" t="s">
        <v>63</v>
      </c>
    </row>
    <row r="431" spans="2:15" x14ac:dyDescent="0.45">
      <c r="B431" s="8" t="s">
        <v>129</v>
      </c>
      <c r="C431" s="8" t="s">
        <v>62</v>
      </c>
      <c r="D431" s="10">
        <v>0</v>
      </c>
      <c r="E431" s="8" t="s">
        <v>63</v>
      </c>
      <c r="G431" s="8" t="s">
        <v>149</v>
      </c>
      <c r="H431" s="8" t="s">
        <v>62</v>
      </c>
      <c r="I431" s="12">
        <v>3.6846634791824803E-2</v>
      </c>
      <c r="J431" s="8" t="s">
        <v>63</v>
      </c>
      <c r="L431" s="8" t="s">
        <v>169</v>
      </c>
      <c r="M431" s="8" t="s">
        <v>62</v>
      </c>
      <c r="N431" s="12">
        <v>3.3707133018749634E-2</v>
      </c>
      <c r="O431" s="8" t="s">
        <v>63</v>
      </c>
    </row>
    <row r="432" spans="2:15" x14ac:dyDescent="0.45">
      <c r="B432" s="9" t="s">
        <v>129</v>
      </c>
      <c r="C432" s="9" t="s">
        <v>64</v>
      </c>
      <c r="D432" s="11">
        <v>0</v>
      </c>
      <c r="E432" s="9" t="s">
        <v>63</v>
      </c>
      <c r="G432" s="9" t="s">
        <v>149</v>
      </c>
      <c r="H432" s="9" t="s">
        <v>64</v>
      </c>
      <c r="I432" s="13">
        <v>1.4586181130817402E-2</v>
      </c>
      <c r="J432" s="9" t="s">
        <v>63</v>
      </c>
      <c r="L432" s="9" t="s">
        <v>169</v>
      </c>
      <c r="M432" s="9" t="s">
        <v>64</v>
      </c>
      <c r="N432" s="13">
        <v>1.3362653591579626E-2</v>
      </c>
      <c r="O432" s="9" t="s">
        <v>63</v>
      </c>
    </row>
    <row r="433" spans="2:15" x14ac:dyDescent="0.45">
      <c r="B433" s="8" t="s">
        <v>129</v>
      </c>
      <c r="C433" s="8" t="s">
        <v>65</v>
      </c>
      <c r="D433" s="10">
        <v>7.8925422233523689E-4</v>
      </c>
      <c r="E433" s="8" t="s">
        <v>63</v>
      </c>
      <c r="G433" s="8" t="s">
        <v>149</v>
      </c>
      <c r="H433" s="8" t="s">
        <v>65</v>
      </c>
      <c r="I433" s="12">
        <v>1.4491614404340944E-2</v>
      </c>
      <c r="J433" s="8" t="s">
        <v>63</v>
      </c>
      <c r="L433" s="8" t="s">
        <v>169</v>
      </c>
      <c r="M433" s="8" t="s">
        <v>65</v>
      </c>
      <c r="N433" s="12">
        <v>1.3857510124833083E-2</v>
      </c>
      <c r="O433" s="8" t="s">
        <v>63</v>
      </c>
    </row>
    <row r="434" spans="2:15" x14ac:dyDescent="0.45">
      <c r="B434" s="9" t="s">
        <v>129</v>
      </c>
      <c r="C434" s="9" t="s">
        <v>66</v>
      </c>
      <c r="D434" s="11">
        <v>9.4798771095422445E-3</v>
      </c>
      <c r="E434" s="9" t="s">
        <v>63</v>
      </c>
      <c r="G434" s="9" t="s">
        <v>149</v>
      </c>
      <c r="H434" s="9" t="s">
        <v>66</v>
      </c>
      <c r="I434" s="13">
        <v>1.3904903149563275E-2</v>
      </c>
      <c r="J434" s="9" t="s">
        <v>63</v>
      </c>
      <c r="L434" s="9" t="s">
        <v>169</v>
      </c>
      <c r="M434" s="9" t="s">
        <v>66</v>
      </c>
      <c r="N434" s="13">
        <v>1.3777646744875732E-2</v>
      </c>
      <c r="O434" s="9" t="s">
        <v>63</v>
      </c>
    </row>
    <row r="435" spans="2:15" x14ac:dyDescent="0.45">
      <c r="B435" s="8" t="s">
        <v>129</v>
      </c>
      <c r="C435" s="8" t="s">
        <v>67</v>
      </c>
      <c r="D435" s="10">
        <v>1.7191100941079097E-2</v>
      </c>
      <c r="E435" s="8" t="s">
        <v>63</v>
      </c>
      <c r="G435" s="8" t="s">
        <v>149</v>
      </c>
      <c r="H435" s="8" t="s">
        <v>67</v>
      </c>
      <c r="I435" s="12">
        <v>1.2529046426344224E-2</v>
      </c>
      <c r="J435" s="8" t="s">
        <v>63</v>
      </c>
      <c r="L435" s="8" t="s">
        <v>169</v>
      </c>
      <c r="M435" s="8" t="s">
        <v>67</v>
      </c>
      <c r="N435" s="12">
        <v>1.4220743126391024E-2</v>
      </c>
      <c r="O435" s="8" t="s">
        <v>63</v>
      </c>
    </row>
    <row r="436" spans="2:15" x14ac:dyDescent="0.45">
      <c r="B436" s="9" t="s">
        <v>129</v>
      </c>
      <c r="C436" s="9" t="s">
        <v>68</v>
      </c>
      <c r="D436" s="11">
        <v>1.6150506118381657E-2</v>
      </c>
      <c r="E436" s="9" t="s">
        <v>63</v>
      </c>
      <c r="G436" s="9" t="s">
        <v>149</v>
      </c>
      <c r="H436" s="9" t="s">
        <v>68</v>
      </c>
      <c r="I436" s="13">
        <v>1.2267063303766009E-2</v>
      </c>
      <c r="J436" s="9" t="s">
        <v>63</v>
      </c>
      <c r="L436" s="9" t="s">
        <v>169</v>
      </c>
      <c r="M436" s="9" t="s">
        <v>68</v>
      </c>
      <c r="N436" s="13">
        <v>1.4632808909544333E-2</v>
      </c>
      <c r="O436" s="9" t="s">
        <v>63</v>
      </c>
    </row>
    <row r="437" spans="2:15" x14ac:dyDescent="0.45">
      <c r="B437" s="8" t="s">
        <v>129</v>
      </c>
      <c r="C437" s="8" t="s">
        <v>69</v>
      </c>
      <c r="D437" s="10">
        <v>8.4989357922902135E-3</v>
      </c>
      <c r="E437" s="8" t="s">
        <v>63</v>
      </c>
      <c r="G437" s="8" t="s">
        <v>149</v>
      </c>
      <c r="H437" s="8" t="s">
        <v>69</v>
      </c>
      <c r="I437" s="12">
        <v>1.2973581851550389E-2</v>
      </c>
      <c r="J437" s="8" t="s">
        <v>63</v>
      </c>
      <c r="L437" s="8" t="s">
        <v>169</v>
      </c>
      <c r="M437" s="8" t="s">
        <v>69</v>
      </c>
      <c r="N437" s="12">
        <v>1.4987097625073567E-2</v>
      </c>
      <c r="O437" s="8" t="s">
        <v>63</v>
      </c>
    </row>
    <row r="438" spans="2:15" x14ac:dyDescent="0.45">
      <c r="B438" s="9" t="s">
        <v>129</v>
      </c>
      <c r="C438" s="9" t="s">
        <v>70</v>
      </c>
      <c r="D438" s="11">
        <v>7.711589448614356E-4</v>
      </c>
      <c r="E438" s="9" t="s">
        <v>63</v>
      </c>
      <c r="G438" s="9" t="s">
        <v>149</v>
      </c>
      <c r="H438" s="9" t="s">
        <v>70</v>
      </c>
      <c r="I438" s="13">
        <v>1.5084843249996977E-2</v>
      </c>
      <c r="J438" s="9" t="s">
        <v>63</v>
      </c>
      <c r="L438" s="9" t="s">
        <v>169</v>
      </c>
      <c r="M438" s="9" t="s">
        <v>70</v>
      </c>
      <c r="N438" s="13">
        <v>1.5558238564136774E-2</v>
      </c>
      <c r="O438" s="9" t="s">
        <v>63</v>
      </c>
    </row>
    <row r="439" spans="2:15" x14ac:dyDescent="0.45">
      <c r="B439" s="8" t="s">
        <v>129</v>
      </c>
      <c r="C439" s="8" t="s">
        <v>71</v>
      </c>
      <c r="D439" s="10">
        <v>0</v>
      </c>
      <c r="E439" s="8" t="s">
        <v>63</v>
      </c>
      <c r="G439" s="8" t="s">
        <v>149</v>
      </c>
      <c r="H439" s="8" t="s">
        <v>71</v>
      </c>
      <c r="I439" s="12">
        <v>1.5856798676195771E-2</v>
      </c>
      <c r="J439" s="8" t="s">
        <v>63</v>
      </c>
      <c r="L439" s="8" t="s">
        <v>169</v>
      </c>
      <c r="M439" s="8" t="s">
        <v>71</v>
      </c>
      <c r="N439" s="12">
        <v>1.5663684319497145E-2</v>
      </c>
      <c r="O439" s="8" t="s">
        <v>63</v>
      </c>
    </row>
    <row r="440" spans="2:15" x14ac:dyDescent="0.45">
      <c r="B440" s="9" t="s">
        <v>129</v>
      </c>
      <c r="C440" s="9" t="s">
        <v>72</v>
      </c>
      <c r="D440" s="11">
        <v>0</v>
      </c>
      <c r="E440" s="9" t="s">
        <v>63</v>
      </c>
      <c r="G440" s="9" t="s">
        <v>149</v>
      </c>
      <c r="H440" s="9" t="s">
        <v>72</v>
      </c>
      <c r="I440" s="13">
        <v>2.3016141007125752E-2</v>
      </c>
      <c r="J440" s="9" t="s">
        <v>63</v>
      </c>
      <c r="L440" s="9" t="s">
        <v>169</v>
      </c>
      <c r="M440" s="9" t="s">
        <v>72</v>
      </c>
      <c r="N440" s="13">
        <v>2.1797261736593389E-2</v>
      </c>
      <c r="O440" s="9" t="s">
        <v>63</v>
      </c>
    </row>
    <row r="441" spans="2:15" x14ac:dyDescent="0.45">
      <c r="B441" s="8" t="s">
        <v>129</v>
      </c>
      <c r="C441" s="8" t="s">
        <v>73</v>
      </c>
      <c r="D441" s="10">
        <v>0</v>
      </c>
      <c r="E441" s="8" t="s">
        <v>63</v>
      </c>
      <c r="G441" s="8" t="s">
        <v>149</v>
      </c>
      <c r="H441" s="8" t="s">
        <v>73</v>
      </c>
      <c r="I441" s="12">
        <v>4.1596308158204087E-2</v>
      </c>
      <c r="J441" s="8" t="s">
        <v>63</v>
      </c>
      <c r="L441" s="8" t="s">
        <v>169</v>
      </c>
      <c r="M441" s="8" t="s">
        <v>73</v>
      </c>
      <c r="N441" s="12">
        <v>3.906689243756517E-2</v>
      </c>
      <c r="O441" s="8" t="s">
        <v>63</v>
      </c>
    </row>
    <row r="442" spans="2:15" x14ac:dyDescent="0.45">
      <c r="B442" s="9" t="s">
        <v>129</v>
      </c>
      <c r="C442" s="9" t="s">
        <v>74</v>
      </c>
      <c r="D442" s="11">
        <v>3.3187150833711701E-3</v>
      </c>
      <c r="E442" s="9" t="s">
        <v>63</v>
      </c>
      <c r="G442" s="9" t="s">
        <v>149</v>
      </c>
      <c r="H442" s="9" t="s">
        <v>74</v>
      </c>
      <c r="I442" s="13">
        <v>1.6107873970768155E-2</v>
      </c>
      <c r="J442" s="9" t="s">
        <v>63</v>
      </c>
      <c r="L442" s="9" t="s">
        <v>169</v>
      </c>
      <c r="M442" s="9" t="s">
        <v>74</v>
      </c>
      <c r="N442" s="13">
        <v>1.4819400337950407E-2</v>
      </c>
      <c r="O442" s="9" t="s">
        <v>63</v>
      </c>
    </row>
    <row r="443" spans="2:15" x14ac:dyDescent="0.45">
      <c r="B443" s="8" t="s">
        <v>129</v>
      </c>
      <c r="C443" s="8" t="s">
        <v>75</v>
      </c>
      <c r="D443" s="10">
        <v>2.6450600899988363E-2</v>
      </c>
      <c r="E443" s="8" t="s">
        <v>63</v>
      </c>
      <c r="G443" s="8" t="s">
        <v>149</v>
      </c>
      <c r="H443" s="8" t="s">
        <v>75</v>
      </c>
      <c r="I443" s="12">
        <v>1.4317905695302474E-2</v>
      </c>
      <c r="J443" s="8" t="s">
        <v>63</v>
      </c>
      <c r="L443" s="8" t="s">
        <v>169</v>
      </c>
      <c r="M443" s="8" t="s">
        <v>75</v>
      </c>
      <c r="N443" s="12">
        <v>1.484903526064312E-2</v>
      </c>
      <c r="O443" s="8" t="s">
        <v>63</v>
      </c>
    </row>
    <row r="444" spans="2:15" x14ac:dyDescent="0.45">
      <c r="B444" s="9" t="s">
        <v>129</v>
      </c>
      <c r="C444" s="9" t="s">
        <v>76</v>
      </c>
      <c r="D444" s="11">
        <v>4.830428889003955E-2</v>
      </c>
      <c r="E444" s="9" t="s">
        <v>63</v>
      </c>
      <c r="G444" s="9" t="s">
        <v>149</v>
      </c>
      <c r="H444" s="9" t="s">
        <v>76</v>
      </c>
      <c r="I444" s="13">
        <v>1.4028569105486836E-2</v>
      </c>
      <c r="J444" s="9" t="s">
        <v>63</v>
      </c>
      <c r="L444" s="9" t="s">
        <v>169</v>
      </c>
      <c r="M444" s="9" t="s">
        <v>76</v>
      </c>
      <c r="N444" s="13">
        <v>1.5073759927344598E-2</v>
      </c>
      <c r="O444" s="9" t="s">
        <v>63</v>
      </c>
    </row>
    <row r="445" spans="2:15" x14ac:dyDescent="0.45">
      <c r="B445" s="8" t="s">
        <v>129</v>
      </c>
      <c r="C445" s="8" t="s">
        <v>77</v>
      </c>
      <c r="D445" s="10">
        <v>5.011609193861636E-2</v>
      </c>
      <c r="E445" s="8" t="s">
        <v>63</v>
      </c>
      <c r="G445" s="8" t="s">
        <v>149</v>
      </c>
      <c r="H445" s="8" t="s">
        <v>77</v>
      </c>
      <c r="I445" s="12">
        <v>1.3039297339568753E-2</v>
      </c>
      <c r="J445" s="8" t="s">
        <v>63</v>
      </c>
      <c r="L445" s="8" t="s">
        <v>169</v>
      </c>
      <c r="M445" s="8" t="s">
        <v>77</v>
      </c>
      <c r="N445" s="12">
        <v>1.4493696061757547E-2</v>
      </c>
      <c r="O445" s="8" t="s">
        <v>63</v>
      </c>
    </row>
    <row r="446" spans="2:15" x14ac:dyDescent="0.45">
      <c r="B446" s="9" t="s">
        <v>129</v>
      </c>
      <c r="C446" s="9" t="s">
        <v>78</v>
      </c>
      <c r="D446" s="11">
        <v>4.8519887449857087E-2</v>
      </c>
      <c r="E446" s="9" t="s">
        <v>63</v>
      </c>
      <c r="G446" s="9" t="s">
        <v>149</v>
      </c>
      <c r="H446" s="9" t="s">
        <v>78</v>
      </c>
      <c r="I446" s="13">
        <v>1.4755048748702345E-2</v>
      </c>
      <c r="J446" s="9" t="s">
        <v>63</v>
      </c>
      <c r="L446" s="9" t="s">
        <v>169</v>
      </c>
      <c r="M446" s="9" t="s">
        <v>78</v>
      </c>
      <c r="N446" s="13">
        <v>1.4750696803949494E-2</v>
      </c>
      <c r="O446" s="9" t="s">
        <v>63</v>
      </c>
    </row>
    <row r="447" spans="2:15" x14ac:dyDescent="0.45">
      <c r="B447" s="8" t="s">
        <v>129</v>
      </c>
      <c r="C447" s="8" t="s">
        <v>79</v>
      </c>
      <c r="D447" s="10">
        <v>4.1461476702680661E-2</v>
      </c>
      <c r="E447" s="8" t="s">
        <v>63</v>
      </c>
      <c r="G447" s="8" t="s">
        <v>149</v>
      </c>
      <c r="H447" s="8" t="s">
        <v>79</v>
      </c>
      <c r="I447" s="12">
        <v>1.521612266009884E-2</v>
      </c>
      <c r="J447" s="8" t="s">
        <v>63</v>
      </c>
      <c r="L447" s="8" t="s">
        <v>169</v>
      </c>
      <c r="M447" s="8" t="s">
        <v>79</v>
      </c>
      <c r="N447" s="12">
        <v>1.5415732408751931E-2</v>
      </c>
      <c r="O447" s="8" t="s">
        <v>63</v>
      </c>
    </row>
    <row r="448" spans="2:15" x14ac:dyDescent="0.45">
      <c r="B448" s="9" t="s">
        <v>129</v>
      </c>
      <c r="C448" s="9" t="s">
        <v>80</v>
      </c>
      <c r="D448" s="11">
        <v>2.0700921176999496E-2</v>
      </c>
      <c r="E448" s="9" t="s">
        <v>63</v>
      </c>
      <c r="G448" s="9" t="s">
        <v>149</v>
      </c>
      <c r="H448" s="9" t="s">
        <v>80</v>
      </c>
      <c r="I448" s="13">
        <v>1.5238425315674708E-2</v>
      </c>
      <c r="J448" s="9" t="s">
        <v>63</v>
      </c>
      <c r="L448" s="9" t="s">
        <v>169</v>
      </c>
      <c r="M448" s="9" t="s">
        <v>80</v>
      </c>
      <c r="N448" s="13">
        <v>1.6418790448581973E-2</v>
      </c>
      <c r="O448" s="9" t="s">
        <v>63</v>
      </c>
    </row>
    <row r="449" spans="2:15" x14ac:dyDescent="0.45">
      <c r="B449" s="8" t="s">
        <v>129</v>
      </c>
      <c r="C449" s="8" t="s">
        <v>81</v>
      </c>
      <c r="D449" s="10">
        <v>1.5291943377718083E-3</v>
      </c>
      <c r="E449" s="8" t="s">
        <v>63</v>
      </c>
      <c r="G449" s="8" t="s">
        <v>149</v>
      </c>
      <c r="H449" s="8" t="s">
        <v>81</v>
      </c>
      <c r="I449" s="12">
        <v>1.6810706945222246E-2</v>
      </c>
      <c r="J449" s="8" t="s">
        <v>63</v>
      </c>
      <c r="L449" s="8" t="s">
        <v>169</v>
      </c>
      <c r="M449" s="8" t="s">
        <v>81</v>
      </c>
      <c r="N449" s="12">
        <v>1.6910014330925465E-2</v>
      </c>
      <c r="O449" s="8" t="s">
        <v>63</v>
      </c>
    </row>
    <row r="450" spans="2:15" x14ac:dyDescent="0.45">
      <c r="B450" s="9" t="s">
        <v>129</v>
      </c>
      <c r="C450" s="9" t="s">
        <v>82</v>
      </c>
      <c r="D450" s="11">
        <v>0</v>
      </c>
      <c r="E450" s="9" t="s">
        <v>63</v>
      </c>
      <c r="G450" s="9" t="s">
        <v>149</v>
      </c>
      <c r="H450" s="9" t="s">
        <v>82</v>
      </c>
      <c r="I450" s="13">
        <v>2.5300070588080786E-2</v>
      </c>
      <c r="J450" s="9" t="s">
        <v>63</v>
      </c>
      <c r="L450" s="9" t="s">
        <v>169</v>
      </c>
      <c r="M450" s="9" t="s">
        <v>82</v>
      </c>
      <c r="N450" s="13">
        <v>2.502839453292802E-2</v>
      </c>
      <c r="O450" s="9" t="s">
        <v>63</v>
      </c>
    </row>
    <row r="451" spans="2:15" x14ac:dyDescent="0.45">
      <c r="B451" s="8" t="s">
        <v>129</v>
      </c>
      <c r="C451" s="8" t="s">
        <v>83</v>
      </c>
      <c r="D451" s="10">
        <v>3.8232194464615218E-4</v>
      </c>
      <c r="E451" s="8" t="s">
        <v>63</v>
      </c>
      <c r="G451" s="8" t="s">
        <v>149</v>
      </c>
      <c r="H451" s="8" t="s">
        <v>83</v>
      </c>
      <c r="I451" s="12">
        <v>2.3669003244283834E-2</v>
      </c>
      <c r="J451" s="8" t="s">
        <v>63</v>
      </c>
      <c r="L451" s="8" t="s">
        <v>169</v>
      </c>
      <c r="M451" s="8" t="s">
        <v>83</v>
      </c>
      <c r="N451" s="12">
        <v>3.0225497463817259E-2</v>
      </c>
      <c r="O451" s="8" t="s">
        <v>63</v>
      </c>
    </row>
    <row r="452" spans="2:15" x14ac:dyDescent="0.45">
      <c r="B452" s="9" t="s">
        <v>129</v>
      </c>
      <c r="C452" s="9" t="s">
        <v>84</v>
      </c>
      <c r="D452" s="11">
        <v>1.6074409332131574E-2</v>
      </c>
      <c r="E452" s="9" t="s">
        <v>63</v>
      </c>
      <c r="G452" s="9" t="s">
        <v>149</v>
      </c>
      <c r="H452" s="9" t="s">
        <v>84</v>
      </c>
      <c r="I452" s="13">
        <v>7.9524554685780832E-3</v>
      </c>
      <c r="J452" s="9" t="s">
        <v>63</v>
      </c>
      <c r="L452" s="9" t="s">
        <v>169</v>
      </c>
      <c r="M452" s="9" t="s">
        <v>84</v>
      </c>
      <c r="N452" s="13">
        <v>1.1471638802068349E-2</v>
      </c>
      <c r="O452" s="9" t="s">
        <v>63</v>
      </c>
    </row>
    <row r="453" spans="2:15" x14ac:dyDescent="0.45">
      <c r="B453" s="8" t="s">
        <v>129</v>
      </c>
      <c r="C453" s="8" t="s">
        <v>85</v>
      </c>
      <c r="D453" s="10">
        <v>3.7024996578674634E-2</v>
      </c>
      <c r="E453" s="8" t="s">
        <v>63</v>
      </c>
      <c r="G453" s="8" t="s">
        <v>149</v>
      </c>
      <c r="H453" s="8" t="s">
        <v>85</v>
      </c>
      <c r="I453" s="12">
        <v>6.5227738781204556E-3</v>
      </c>
      <c r="J453" s="8" t="s">
        <v>63</v>
      </c>
      <c r="L453" s="8" t="s">
        <v>169</v>
      </c>
      <c r="M453" s="8" t="s">
        <v>85</v>
      </c>
      <c r="N453" s="12">
        <v>1.148295429389133E-2</v>
      </c>
      <c r="O453" s="8" t="s">
        <v>63</v>
      </c>
    </row>
    <row r="454" spans="2:15" x14ac:dyDescent="0.45">
      <c r="B454" s="9" t="s">
        <v>129</v>
      </c>
      <c r="C454" s="9" t="s">
        <v>86</v>
      </c>
      <c r="D454" s="11">
        <v>4.8907317621042112E-2</v>
      </c>
      <c r="E454" s="9" t="s">
        <v>63</v>
      </c>
      <c r="G454" s="9" t="s">
        <v>149</v>
      </c>
      <c r="H454" s="9" t="s">
        <v>86</v>
      </c>
      <c r="I454" s="13">
        <v>6.9954770743272891E-3</v>
      </c>
      <c r="J454" s="9" t="s">
        <v>63</v>
      </c>
      <c r="L454" s="9" t="s">
        <v>169</v>
      </c>
      <c r="M454" s="9" t="s">
        <v>86</v>
      </c>
      <c r="N454" s="13">
        <v>1.1034466193218892E-2</v>
      </c>
      <c r="O454" s="9" t="s">
        <v>63</v>
      </c>
    </row>
    <row r="455" spans="2:15" x14ac:dyDescent="0.45">
      <c r="B455" s="8" t="s">
        <v>129</v>
      </c>
      <c r="C455" s="8" t="s">
        <v>87</v>
      </c>
      <c r="D455" s="10">
        <v>5.014746884563704E-2</v>
      </c>
      <c r="E455" s="8" t="s">
        <v>63</v>
      </c>
      <c r="G455" s="8" t="s">
        <v>149</v>
      </c>
      <c r="H455" s="8" t="s">
        <v>87</v>
      </c>
      <c r="I455" s="12">
        <v>6.3858858073248025E-3</v>
      </c>
      <c r="J455" s="8" t="s">
        <v>63</v>
      </c>
      <c r="L455" s="8" t="s">
        <v>169</v>
      </c>
      <c r="M455" s="8" t="s">
        <v>87</v>
      </c>
      <c r="N455" s="12">
        <v>1.020875742964813E-2</v>
      </c>
      <c r="O455" s="8" t="s">
        <v>63</v>
      </c>
    </row>
    <row r="456" spans="2:15" x14ac:dyDescent="0.45">
      <c r="B456" s="9" t="s">
        <v>129</v>
      </c>
      <c r="C456" s="9" t="s">
        <v>88</v>
      </c>
      <c r="D456" s="11">
        <v>4.7182748671716082E-2</v>
      </c>
      <c r="E456" s="9" t="s">
        <v>63</v>
      </c>
      <c r="G456" s="9" t="s">
        <v>149</v>
      </c>
      <c r="H456" s="9" t="s">
        <v>88</v>
      </c>
      <c r="I456" s="13">
        <v>6.6899866457691484E-3</v>
      </c>
      <c r="J456" s="9" t="s">
        <v>63</v>
      </c>
      <c r="L456" s="9" t="s">
        <v>169</v>
      </c>
      <c r="M456" s="9" t="s">
        <v>88</v>
      </c>
      <c r="N456" s="13">
        <v>1.0105761136777492E-2</v>
      </c>
      <c r="O456" s="9" t="s">
        <v>63</v>
      </c>
    </row>
    <row r="457" spans="2:15" x14ac:dyDescent="0.45">
      <c r="B457" s="8" t="s">
        <v>129</v>
      </c>
      <c r="C457" s="8" t="s">
        <v>89</v>
      </c>
      <c r="D457" s="10">
        <v>3.9222736549458626E-2</v>
      </c>
      <c r="E457" s="8" t="s">
        <v>63</v>
      </c>
      <c r="G457" s="8" t="s">
        <v>149</v>
      </c>
      <c r="H457" s="8" t="s">
        <v>89</v>
      </c>
      <c r="I457" s="12">
        <v>7.0566824392033212E-3</v>
      </c>
      <c r="J457" s="8" t="s">
        <v>63</v>
      </c>
      <c r="L457" s="8" t="s">
        <v>169</v>
      </c>
      <c r="M457" s="8" t="s">
        <v>89</v>
      </c>
      <c r="N457" s="12">
        <v>1.0020966235261514E-2</v>
      </c>
      <c r="O457" s="8" t="s">
        <v>63</v>
      </c>
    </row>
    <row r="458" spans="2:15" x14ac:dyDescent="0.45">
      <c r="B458" s="9" t="s">
        <v>129</v>
      </c>
      <c r="C458" s="9" t="s">
        <v>90</v>
      </c>
      <c r="D458" s="11">
        <v>2.5937895085589587E-2</v>
      </c>
      <c r="E458" s="9" t="s">
        <v>63</v>
      </c>
      <c r="G458" s="9" t="s">
        <v>149</v>
      </c>
      <c r="H458" s="9" t="s">
        <v>90</v>
      </c>
      <c r="I458" s="13">
        <v>7.1584616290555174E-3</v>
      </c>
      <c r="J458" s="9" t="s">
        <v>63</v>
      </c>
      <c r="L458" s="9" t="s">
        <v>169</v>
      </c>
      <c r="M458" s="9" t="s">
        <v>90</v>
      </c>
      <c r="N458" s="13">
        <v>1.0300232818296586E-2</v>
      </c>
      <c r="O458" s="9" t="s">
        <v>63</v>
      </c>
    </row>
    <row r="459" spans="2:15" x14ac:dyDescent="0.45">
      <c r="B459" s="8" t="s">
        <v>129</v>
      </c>
      <c r="C459" s="8" t="s">
        <v>91</v>
      </c>
      <c r="D459" s="10">
        <v>8.9406543768501007E-3</v>
      </c>
      <c r="E459" s="8" t="s">
        <v>63</v>
      </c>
      <c r="G459" s="8" t="s">
        <v>149</v>
      </c>
      <c r="H459" s="8" t="s">
        <v>91</v>
      </c>
      <c r="I459" s="12">
        <v>8.6940685963363216E-3</v>
      </c>
      <c r="J459" s="8" t="s">
        <v>63</v>
      </c>
      <c r="L459" s="8" t="s">
        <v>169</v>
      </c>
      <c r="M459" s="8" t="s">
        <v>91</v>
      </c>
      <c r="N459" s="12">
        <v>1.0924243993311312E-2</v>
      </c>
      <c r="O459" s="8" t="s">
        <v>63</v>
      </c>
    </row>
    <row r="460" spans="2:15" x14ac:dyDescent="0.45">
      <c r="B460" s="9" t="s">
        <v>129</v>
      </c>
      <c r="C460" s="9" t="s">
        <v>92</v>
      </c>
      <c r="D460" s="11">
        <v>0</v>
      </c>
      <c r="E460" s="9" t="s">
        <v>63</v>
      </c>
      <c r="G460" s="9" t="s">
        <v>149</v>
      </c>
      <c r="H460" s="9" t="s">
        <v>92</v>
      </c>
      <c r="I460" s="13">
        <v>1.4552980022474717E-2</v>
      </c>
      <c r="J460" s="9" t="s">
        <v>63</v>
      </c>
      <c r="L460" s="9" t="s">
        <v>169</v>
      </c>
      <c r="M460" s="9" t="s">
        <v>92</v>
      </c>
      <c r="N460" s="13">
        <v>1.7684876614752553E-2</v>
      </c>
      <c r="O460" s="9" t="s">
        <v>63</v>
      </c>
    </row>
    <row r="461" spans="2:15" x14ac:dyDescent="0.45">
      <c r="B461" s="8" t="s">
        <v>129</v>
      </c>
      <c r="C461" s="8" t="s">
        <v>93</v>
      </c>
      <c r="D461" s="10">
        <v>2.413623360824485E-6</v>
      </c>
      <c r="E461" s="8" t="s">
        <v>63</v>
      </c>
      <c r="G461" s="8" t="s">
        <v>149</v>
      </c>
      <c r="H461" s="8" t="s">
        <v>93</v>
      </c>
      <c r="I461" s="12">
        <v>2.1875401595157565E-2</v>
      </c>
      <c r="J461" s="8" t="s">
        <v>63</v>
      </c>
      <c r="L461" s="8" t="s">
        <v>169</v>
      </c>
      <c r="M461" s="8" t="s">
        <v>93</v>
      </c>
      <c r="N461" s="12">
        <v>2.434535454865798E-2</v>
      </c>
      <c r="O461" s="8" t="s">
        <v>63</v>
      </c>
    </row>
    <row r="462" spans="2:15" x14ac:dyDescent="0.45">
      <c r="B462" s="9" t="s">
        <v>129</v>
      </c>
      <c r="C462" s="9" t="s">
        <v>94</v>
      </c>
      <c r="D462" s="11">
        <v>1.2917025088748622E-2</v>
      </c>
      <c r="E462" s="9" t="s">
        <v>63</v>
      </c>
      <c r="G462" s="9" t="s">
        <v>149</v>
      </c>
      <c r="H462" s="9" t="s">
        <v>94</v>
      </c>
      <c r="I462" s="13">
        <v>8.3344386449487069E-3</v>
      </c>
      <c r="J462" s="9" t="s">
        <v>63</v>
      </c>
      <c r="L462" s="9" t="s">
        <v>169</v>
      </c>
      <c r="M462" s="9" t="s">
        <v>94</v>
      </c>
      <c r="N462" s="13">
        <v>9.2869524288583041E-3</v>
      </c>
      <c r="O462" s="9" t="s">
        <v>63</v>
      </c>
    </row>
    <row r="463" spans="2:15" x14ac:dyDescent="0.45">
      <c r="B463" s="8" t="s">
        <v>129</v>
      </c>
      <c r="C463" s="8" t="s">
        <v>95</v>
      </c>
      <c r="D463" s="10">
        <v>3.4200259789371558E-2</v>
      </c>
      <c r="E463" s="8" t="s">
        <v>63</v>
      </c>
      <c r="G463" s="8" t="s">
        <v>149</v>
      </c>
      <c r="H463" s="8" t="s">
        <v>95</v>
      </c>
      <c r="I463" s="12">
        <v>7.5600181003308859E-3</v>
      </c>
      <c r="J463" s="8" t="s">
        <v>63</v>
      </c>
      <c r="L463" s="8" t="s">
        <v>169</v>
      </c>
      <c r="M463" s="8" t="s">
        <v>95</v>
      </c>
      <c r="N463" s="12">
        <v>9.3564755013129542E-3</v>
      </c>
      <c r="O463" s="8" t="s">
        <v>63</v>
      </c>
    </row>
    <row r="464" spans="2:15" x14ac:dyDescent="0.45">
      <c r="B464" s="9" t="s">
        <v>129</v>
      </c>
      <c r="C464" s="9" t="s">
        <v>96</v>
      </c>
      <c r="D464" s="11">
        <v>4.5799932403539183E-2</v>
      </c>
      <c r="E464" s="9" t="s">
        <v>63</v>
      </c>
      <c r="G464" s="9" t="s">
        <v>149</v>
      </c>
      <c r="H464" s="9" t="s">
        <v>96</v>
      </c>
      <c r="I464" s="13">
        <v>8.3336250874527298E-3</v>
      </c>
      <c r="J464" s="9" t="s">
        <v>63</v>
      </c>
      <c r="L464" s="9" t="s">
        <v>169</v>
      </c>
      <c r="M464" s="9" t="s">
        <v>96</v>
      </c>
      <c r="N464" s="13">
        <v>9.5109404127210993E-3</v>
      </c>
      <c r="O464" s="9" t="s">
        <v>63</v>
      </c>
    </row>
    <row r="465" spans="2:15" x14ac:dyDescent="0.45">
      <c r="B465" s="8" t="s">
        <v>129</v>
      </c>
      <c r="C465" s="8" t="s">
        <v>97</v>
      </c>
      <c r="D465" s="10">
        <v>4.6779927818676931E-2</v>
      </c>
      <c r="E465" s="8" t="s">
        <v>63</v>
      </c>
      <c r="G465" s="8" t="s">
        <v>149</v>
      </c>
      <c r="H465" s="8" t="s">
        <v>97</v>
      </c>
      <c r="I465" s="12">
        <v>8.3228421255344617E-3</v>
      </c>
      <c r="J465" s="8" t="s">
        <v>63</v>
      </c>
      <c r="L465" s="8" t="s">
        <v>169</v>
      </c>
      <c r="M465" s="8" t="s">
        <v>97</v>
      </c>
      <c r="N465" s="12">
        <v>8.658487025653203E-3</v>
      </c>
      <c r="O465" s="8" t="s">
        <v>63</v>
      </c>
    </row>
    <row r="466" spans="2:15" x14ac:dyDescent="0.45">
      <c r="B466" s="9" t="s">
        <v>129</v>
      </c>
      <c r="C466" s="9" t="s">
        <v>98</v>
      </c>
      <c r="D466" s="11">
        <v>4.5070062000679013E-2</v>
      </c>
      <c r="E466" s="9" t="s">
        <v>63</v>
      </c>
      <c r="G466" s="9" t="s">
        <v>149</v>
      </c>
      <c r="H466" s="9" t="s">
        <v>98</v>
      </c>
      <c r="I466" s="13">
        <v>1.0417350795926697E-2</v>
      </c>
      <c r="J466" s="9" t="s">
        <v>63</v>
      </c>
      <c r="L466" s="9" t="s">
        <v>169</v>
      </c>
      <c r="M466" s="9" t="s">
        <v>98</v>
      </c>
      <c r="N466" s="13">
        <v>9.0678688970739444E-3</v>
      </c>
      <c r="O466" s="9" t="s">
        <v>63</v>
      </c>
    </row>
    <row r="467" spans="2:15" x14ac:dyDescent="0.45">
      <c r="B467" s="8" t="s">
        <v>129</v>
      </c>
      <c r="C467" s="8" t="s">
        <v>99</v>
      </c>
      <c r="D467" s="10">
        <v>4.1430855907103943E-2</v>
      </c>
      <c r="E467" s="8" t="s">
        <v>63</v>
      </c>
      <c r="G467" s="8" t="s">
        <v>149</v>
      </c>
      <c r="H467" s="8" t="s">
        <v>99</v>
      </c>
      <c r="I467" s="12">
        <v>1.1654421764851791E-2</v>
      </c>
      <c r="J467" s="8" t="s">
        <v>63</v>
      </c>
      <c r="L467" s="8" t="s">
        <v>169</v>
      </c>
      <c r="M467" s="8" t="s">
        <v>99</v>
      </c>
      <c r="N467" s="12">
        <v>1.0279250658204765E-2</v>
      </c>
      <c r="O467" s="8" t="s">
        <v>63</v>
      </c>
    </row>
    <row r="468" spans="2:15" x14ac:dyDescent="0.45">
      <c r="B468" s="9" t="s">
        <v>129</v>
      </c>
      <c r="C468" s="9" t="s">
        <v>100</v>
      </c>
      <c r="D468" s="11">
        <v>2.7816604097938343E-2</v>
      </c>
      <c r="E468" s="9" t="s">
        <v>63</v>
      </c>
      <c r="G468" s="9" t="s">
        <v>149</v>
      </c>
      <c r="H468" s="9" t="s">
        <v>100</v>
      </c>
      <c r="I468" s="13">
        <v>9.8148983286942357E-3</v>
      </c>
      <c r="J468" s="9" t="s">
        <v>63</v>
      </c>
      <c r="L468" s="9" t="s">
        <v>169</v>
      </c>
      <c r="M468" s="9" t="s">
        <v>100</v>
      </c>
      <c r="N468" s="13">
        <v>1.1524231973728935E-2</v>
      </c>
      <c r="O468" s="9" t="s">
        <v>63</v>
      </c>
    </row>
    <row r="469" spans="2:15" x14ac:dyDescent="0.45">
      <c r="B469" s="8" t="s">
        <v>129</v>
      </c>
      <c r="C469" s="8" t="s">
        <v>101</v>
      </c>
      <c r="D469" s="10">
        <v>8.7903845730583387E-3</v>
      </c>
      <c r="E469" s="8" t="s">
        <v>63</v>
      </c>
      <c r="G469" s="8" t="s">
        <v>149</v>
      </c>
      <c r="H469" s="8" t="s">
        <v>101</v>
      </c>
      <c r="I469" s="12">
        <v>9.0910310262415361E-3</v>
      </c>
      <c r="J469" s="8" t="s">
        <v>63</v>
      </c>
      <c r="L469" s="8" t="s">
        <v>169</v>
      </c>
      <c r="M469" s="8" t="s">
        <v>101</v>
      </c>
      <c r="N469" s="12">
        <v>1.2424409988270695E-2</v>
      </c>
      <c r="O469" s="8" t="s">
        <v>63</v>
      </c>
    </row>
    <row r="470" spans="2:15" x14ac:dyDescent="0.45">
      <c r="B470" s="9" t="s">
        <v>129</v>
      </c>
      <c r="C470" s="9" t="s">
        <v>102</v>
      </c>
      <c r="D470" s="11">
        <v>0</v>
      </c>
      <c r="E470" s="9" t="s">
        <v>63</v>
      </c>
      <c r="G470" s="9" t="s">
        <v>149</v>
      </c>
      <c r="H470" s="9" t="s">
        <v>102</v>
      </c>
      <c r="I470" s="13">
        <v>1.4155539617493143E-2</v>
      </c>
      <c r="J470" s="9" t="s">
        <v>63</v>
      </c>
      <c r="L470" s="9" t="s">
        <v>169</v>
      </c>
      <c r="M470" s="9" t="s">
        <v>102</v>
      </c>
      <c r="N470" s="13">
        <v>1.7504411842501729E-2</v>
      </c>
      <c r="O470" s="9" t="s">
        <v>63</v>
      </c>
    </row>
    <row r="471" spans="2:15" x14ac:dyDescent="0.45">
      <c r="B471" s="8" t="s">
        <v>129</v>
      </c>
      <c r="C471" s="8" t="s">
        <v>103</v>
      </c>
      <c r="D471" s="10">
        <v>0</v>
      </c>
      <c r="E471" s="8" t="s">
        <v>63</v>
      </c>
      <c r="G471" s="8" t="s">
        <v>149</v>
      </c>
      <c r="H471" s="8" t="s">
        <v>103</v>
      </c>
      <c r="I471" s="12">
        <v>3.4833552556720764E-2</v>
      </c>
      <c r="J471" s="8" t="s">
        <v>63</v>
      </c>
      <c r="L471" s="8" t="s">
        <v>169</v>
      </c>
      <c r="M471" s="8" t="s">
        <v>103</v>
      </c>
      <c r="N471" s="12">
        <v>3.3081801083525882E-2</v>
      </c>
      <c r="O471" s="8" t="s">
        <v>63</v>
      </c>
    </row>
    <row r="472" spans="2:15" x14ac:dyDescent="0.45">
      <c r="B472" s="9" t="s">
        <v>129</v>
      </c>
      <c r="C472" s="9" t="s">
        <v>104</v>
      </c>
      <c r="D472" s="11">
        <v>1.1185722040361651E-3</v>
      </c>
      <c r="E472" s="9" t="s">
        <v>63</v>
      </c>
      <c r="G472" s="9" t="s">
        <v>149</v>
      </c>
      <c r="H472" s="9" t="s">
        <v>104</v>
      </c>
      <c r="I472" s="13">
        <v>1.3210990199973047E-2</v>
      </c>
      <c r="J472" s="9" t="s">
        <v>63</v>
      </c>
      <c r="L472" s="9" t="s">
        <v>169</v>
      </c>
      <c r="M472" s="9" t="s">
        <v>104</v>
      </c>
      <c r="N472" s="13">
        <v>1.2465011438225563E-2</v>
      </c>
      <c r="O472" s="9" t="s">
        <v>63</v>
      </c>
    </row>
    <row r="473" spans="2:15" x14ac:dyDescent="0.45">
      <c r="B473" s="8" t="s">
        <v>129</v>
      </c>
      <c r="C473" s="8" t="s">
        <v>105</v>
      </c>
      <c r="D473" s="10">
        <v>1.5472896186131704E-2</v>
      </c>
      <c r="E473" s="8" t="s">
        <v>63</v>
      </c>
      <c r="G473" s="8" t="s">
        <v>149</v>
      </c>
      <c r="H473" s="8" t="s">
        <v>105</v>
      </c>
      <c r="I473" s="12">
        <v>1.2490308963858219E-2</v>
      </c>
      <c r="J473" s="8" t="s">
        <v>63</v>
      </c>
      <c r="L473" s="8" t="s">
        <v>169</v>
      </c>
      <c r="M473" s="8" t="s">
        <v>105</v>
      </c>
      <c r="N473" s="12">
        <v>1.295741703012936E-2</v>
      </c>
      <c r="O473" s="8" t="s">
        <v>63</v>
      </c>
    </row>
    <row r="474" spans="2:15" x14ac:dyDescent="0.45">
      <c r="B474" s="9" t="s">
        <v>129</v>
      </c>
      <c r="C474" s="9" t="s">
        <v>106</v>
      </c>
      <c r="D474" s="11">
        <v>2.9110452219611678E-2</v>
      </c>
      <c r="E474" s="9" t="s">
        <v>63</v>
      </c>
      <c r="G474" s="9" t="s">
        <v>149</v>
      </c>
      <c r="H474" s="9" t="s">
        <v>106</v>
      </c>
      <c r="I474" s="13">
        <v>1.2495708156288152E-2</v>
      </c>
      <c r="J474" s="9" t="s">
        <v>63</v>
      </c>
      <c r="L474" s="9" t="s">
        <v>169</v>
      </c>
      <c r="M474" s="9" t="s">
        <v>106</v>
      </c>
      <c r="N474" s="13">
        <v>1.3300394493920606E-2</v>
      </c>
      <c r="O474" s="9" t="s">
        <v>63</v>
      </c>
    </row>
    <row r="475" spans="2:15" x14ac:dyDescent="0.45">
      <c r="B475" s="8" t="s">
        <v>129</v>
      </c>
      <c r="C475" s="8" t="s">
        <v>107</v>
      </c>
      <c r="D475" s="10">
        <v>3.0306990911965155E-2</v>
      </c>
      <c r="E475" s="8" t="s">
        <v>63</v>
      </c>
      <c r="G475" s="8" t="s">
        <v>149</v>
      </c>
      <c r="H475" s="8" t="s">
        <v>107</v>
      </c>
      <c r="I475" s="12">
        <v>1.204663459772101E-2</v>
      </c>
      <c r="J475" s="8" t="s">
        <v>63</v>
      </c>
      <c r="L475" s="8" t="s">
        <v>169</v>
      </c>
      <c r="M475" s="8" t="s">
        <v>107</v>
      </c>
      <c r="N475" s="12">
        <v>1.2979891203605161E-2</v>
      </c>
      <c r="O475" s="8" t="s">
        <v>63</v>
      </c>
    </row>
    <row r="476" spans="2:15" x14ac:dyDescent="0.45">
      <c r="B476" s="9" t="s">
        <v>129</v>
      </c>
      <c r="C476" s="9" t="s">
        <v>108</v>
      </c>
      <c r="D476" s="11">
        <v>3.0367414631036226E-2</v>
      </c>
      <c r="E476" s="9" t="s">
        <v>63</v>
      </c>
      <c r="G476" s="9" t="s">
        <v>149</v>
      </c>
      <c r="H476" s="9" t="s">
        <v>108</v>
      </c>
      <c r="I476" s="13">
        <v>1.2746656414734719E-2</v>
      </c>
      <c r="J476" s="9" t="s">
        <v>63</v>
      </c>
      <c r="L476" s="9" t="s">
        <v>169</v>
      </c>
      <c r="M476" s="9" t="s">
        <v>108</v>
      </c>
      <c r="N476" s="13">
        <v>1.2935167064512674E-2</v>
      </c>
      <c r="O476" s="9" t="s">
        <v>63</v>
      </c>
    </row>
    <row r="477" spans="2:15" x14ac:dyDescent="0.45">
      <c r="B477" s="8" t="s">
        <v>129</v>
      </c>
      <c r="C477" s="8" t="s">
        <v>109</v>
      </c>
      <c r="D477" s="10">
        <v>2.2559688924778262E-2</v>
      </c>
      <c r="E477" s="8" t="s">
        <v>63</v>
      </c>
      <c r="G477" s="8" t="s">
        <v>149</v>
      </c>
      <c r="H477" s="8" t="s">
        <v>109</v>
      </c>
      <c r="I477" s="12">
        <v>1.3515983029998901E-2</v>
      </c>
      <c r="J477" s="8" t="s">
        <v>63</v>
      </c>
      <c r="L477" s="8" t="s">
        <v>169</v>
      </c>
      <c r="M477" s="8" t="s">
        <v>109</v>
      </c>
      <c r="N477" s="12">
        <v>1.3254637220148203E-2</v>
      </c>
      <c r="O477" s="8" t="s">
        <v>63</v>
      </c>
    </row>
    <row r="478" spans="2:15" x14ac:dyDescent="0.45">
      <c r="B478" s="9" t="s">
        <v>129</v>
      </c>
      <c r="C478" s="9" t="s">
        <v>110</v>
      </c>
      <c r="D478" s="11">
        <v>7.4365236602778849E-3</v>
      </c>
      <c r="E478" s="9" t="s">
        <v>63</v>
      </c>
      <c r="G478" s="9" t="s">
        <v>149</v>
      </c>
      <c r="H478" s="9" t="s">
        <v>110</v>
      </c>
      <c r="I478" s="13">
        <v>1.4502728378627334E-2</v>
      </c>
      <c r="J478" s="9" t="s">
        <v>63</v>
      </c>
      <c r="L478" s="9" t="s">
        <v>169</v>
      </c>
      <c r="M478" s="9" t="s">
        <v>110</v>
      </c>
      <c r="N478" s="13">
        <v>1.4378316083503347E-2</v>
      </c>
      <c r="O478" s="9" t="s">
        <v>63</v>
      </c>
    </row>
    <row r="479" spans="2:15" x14ac:dyDescent="0.45">
      <c r="B479" s="8" t="s">
        <v>129</v>
      </c>
      <c r="C479" s="8" t="s">
        <v>111</v>
      </c>
      <c r="D479" s="10">
        <v>0</v>
      </c>
      <c r="E479" s="8" t="s">
        <v>63</v>
      </c>
      <c r="G479" s="8" t="s">
        <v>149</v>
      </c>
      <c r="H479" s="8" t="s">
        <v>111</v>
      </c>
      <c r="I479" s="12">
        <v>1.5232024595268588E-2</v>
      </c>
      <c r="J479" s="8" t="s">
        <v>63</v>
      </c>
      <c r="L479" s="8" t="s">
        <v>169</v>
      </c>
      <c r="M479" s="8" t="s">
        <v>111</v>
      </c>
      <c r="N479" s="12">
        <v>1.5198981633349319E-2</v>
      </c>
      <c r="O479" s="8" t="s">
        <v>63</v>
      </c>
    </row>
    <row r="480" spans="2:15" x14ac:dyDescent="0.45">
      <c r="B480" s="9" t="s">
        <v>129</v>
      </c>
      <c r="C480" s="9" t="s">
        <v>112</v>
      </c>
      <c r="D480" s="11">
        <v>0</v>
      </c>
      <c r="E480" s="9" t="s">
        <v>63</v>
      </c>
      <c r="G480" s="9" t="s">
        <v>149</v>
      </c>
      <c r="H480" s="9" t="s">
        <v>112</v>
      </c>
      <c r="I480" s="13">
        <v>2.2545567795937846E-2</v>
      </c>
      <c r="J480" s="9" t="s">
        <v>63</v>
      </c>
      <c r="L480" s="9" t="s">
        <v>169</v>
      </c>
      <c r="M480" s="9" t="s">
        <v>112</v>
      </c>
      <c r="N480" s="13">
        <v>2.2115892550602159E-2</v>
      </c>
      <c r="O480" s="9" t="s">
        <v>63</v>
      </c>
    </row>
    <row r="481" spans="2:15" x14ac:dyDescent="0.45">
      <c r="B481" s="8" t="s">
        <v>129</v>
      </c>
      <c r="C481" s="8" t="s">
        <v>113</v>
      </c>
      <c r="D481" s="10">
        <v>0</v>
      </c>
      <c r="E481" s="8" t="s">
        <v>63</v>
      </c>
      <c r="G481" s="8" t="s">
        <v>149</v>
      </c>
      <c r="H481" s="8" t="s">
        <v>113</v>
      </c>
      <c r="I481" s="12">
        <v>5.9770347961683436E-2</v>
      </c>
      <c r="J481" s="8" t="s">
        <v>63</v>
      </c>
      <c r="L481" s="8" t="s">
        <v>169</v>
      </c>
      <c r="M481" s="8" t="s">
        <v>113</v>
      </c>
      <c r="N481" s="12">
        <v>4.5845689008169432E-2</v>
      </c>
      <c r="O481" s="8" t="s">
        <v>63</v>
      </c>
    </row>
    <row r="482" spans="2:15" x14ac:dyDescent="0.45">
      <c r="B482" s="9" t="s">
        <v>129</v>
      </c>
      <c r="C482" s="9" t="s">
        <v>114</v>
      </c>
      <c r="D482" s="11">
        <v>0</v>
      </c>
      <c r="E482" s="9" t="s">
        <v>63</v>
      </c>
      <c r="G482" s="9" t="s">
        <v>149</v>
      </c>
      <c r="H482" s="9" t="s">
        <v>114</v>
      </c>
      <c r="I482" s="13">
        <v>2.3807154914267731E-2</v>
      </c>
      <c r="J482" s="9" t="s">
        <v>63</v>
      </c>
      <c r="L482" s="9" t="s">
        <v>169</v>
      </c>
      <c r="M482" s="9" t="s">
        <v>114</v>
      </c>
      <c r="N482" s="13">
        <v>1.8486705645671619E-2</v>
      </c>
      <c r="O482" s="9" t="s">
        <v>63</v>
      </c>
    </row>
    <row r="483" spans="2:15" x14ac:dyDescent="0.45">
      <c r="B483" s="8" t="s">
        <v>129</v>
      </c>
      <c r="C483" s="8" t="s">
        <v>115</v>
      </c>
      <c r="D483" s="10">
        <v>6.736427620877357E-4</v>
      </c>
      <c r="E483" s="8" t="s">
        <v>63</v>
      </c>
      <c r="G483" s="8" t="s">
        <v>149</v>
      </c>
      <c r="H483" s="8" t="s">
        <v>115</v>
      </c>
      <c r="I483" s="12">
        <v>2.3113177555138368E-2</v>
      </c>
      <c r="J483" s="8" t="s">
        <v>63</v>
      </c>
      <c r="L483" s="8" t="s">
        <v>169</v>
      </c>
      <c r="M483" s="8" t="s">
        <v>115</v>
      </c>
      <c r="N483" s="12">
        <v>1.8748104320852926E-2</v>
      </c>
      <c r="O483" s="8" t="s">
        <v>63</v>
      </c>
    </row>
    <row r="484" spans="2:15" x14ac:dyDescent="0.45">
      <c r="B484" s="9" t="s">
        <v>129</v>
      </c>
      <c r="C484" s="9" t="s">
        <v>116</v>
      </c>
      <c r="D484" s="11">
        <v>8.5809869762671839E-3</v>
      </c>
      <c r="E484" s="9" t="s">
        <v>63</v>
      </c>
      <c r="G484" s="9" t="s">
        <v>149</v>
      </c>
      <c r="H484" s="9" t="s">
        <v>116</v>
      </c>
      <c r="I484" s="13">
        <v>2.2063472422887559E-2</v>
      </c>
      <c r="J484" s="9" t="s">
        <v>63</v>
      </c>
      <c r="L484" s="9" t="s">
        <v>169</v>
      </c>
      <c r="M484" s="9" t="s">
        <v>116</v>
      </c>
      <c r="N484" s="13">
        <v>1.8561552775330916E-2</v>
      </c>
      <c r="O484" s="9" t="s">
        <v>63</v>
      </c>
    </row>
    <row r="485" spans="2:15" x14ac:dyDescent="0.45">
      <c r="B485" s="8" t="s">
        <v>129</v>
      </c>
      <c r="C485" s="8" t="s">
        <v>117</v>
      </c>
      <c r="D485" s="10">
        <v>1.1600224255125051E-2</v>
      </c>
      <c r="E485" s="8" t="s">
        <v>63</v>
      </c>
      <c r="G485" s="8" t="s">
        <v>149</v>
      </c>
      <c r="H485" s="8" t="s">
        <v>117</v>
      </c>
      <c r="I485" s="12">
        <v>2.1048047092177193E-2</v>
      </c>
      <c r="J485" s="8" t="s">
        <v>63</v>
      </c>
      <c r="L485" s="8" t="s">
        <v>169</v>
      </c>
      <c r="M485" s="8" t="s">
        <v>117</v>
      </c>
      <c r="N485" s="12">
        <v>1.8945285063315942E-2</v>
      </c>
      <c r="O485" s="8" t="s">
        <v>63</v>
      </c>
    </row>
    <row r="486" spans="2:15" x14ac:dyDescent="0.45">
      <c r="B486" s="9" t="s">
        <v>129</v>
      </c>
      <c r="C486" s="9" t="s">
        <v>118</v>
      </c>
      <c r="D486" s="11">
        <v>9.9874189877484816E-3</v>
      </c>
      <c r="E486" s="9" t="s">
        <v>63</v>
      </c>
      <c r="G486" s="9" t="s">
        <v>149</v>
      </c>
      <c r="H486" s="9" t="s">
        <v>118</v>
      </c>
      <c r="I486" s="13">
        <v>2.0749506884752883E-2</v>
      </c>
      <c r="J486" s="9" t="s">
        <v>63</v>
      </c>
      <c r="L486" s="9" t="s">
        <v>169</v>
      </c>
      <c r="M486" s="9" t="s">
        <v>118</v>
      </c>
      <c r="N486" s="13">
        <v>1.8530224560025125E-2</v>
      </c>
      <c r="O486" s="9" t="s">
        <v>63</v>
      </c>
    </row>
    <row r="487" spans="2:15" x14ac:dyDescent="0.45">
      <c r="B487" s="8" t="s">
        <v>129</v>
      </c>
      <c r="C487" s="8" t="s">
        <v>119</v>
      </c>
      <c r="D487" s="10">
        <v>2.8751643648983801E-3</v>
      </c>
      <c r="E487" s="8" t="s">
        <v>63</v>
      </c>
      <c r="G487" s="8" t="s">
        <v>149</v>
      </c>
      <c r="H487" s="8" t="s">
        <v>119</v>
      </c>
      <c r="I487" s="12">
        <v>2.1257344321027678E-2</v>
      </c>
      <c r="J487" s="8" t="s">
        <v>63</v>
      </c>
      <c r="L487" s="8" t="s">
        <v>169</v>
      </c>
      <c r="M487" s="8" t="s">
        <v>119</v>
      </c>
      <c r="N487" s="12">
        <v>1.8372888733352643E-2</v>
      </c>
      <c r="O487" s="8" t="s">
        <v>63</v>
      </c>
    </row>
    <row r="488" spans="2:15" x14ac:dyDescent="0.45">
      <c r="B488" s="9" t="s">
        <v>129</v>
      </c>
      <c r="C488" s="9" t="s">
        <v>120</v>
      </c>
      <c r="D488" s="11">
        <v>0</v>
      </c>
      <c r="E488" s="9" t="s">
        <v>63</v>
      </c>
      <c r="G488" s="9" t="s">
        <v>149</v>
      </c>
      <c r="H488" s="9" t="s">
        <v>120</v>
      </c>
      <c r="I488" s="13">
        <v>2.2536143652899184E-2</v>
      </c>
      <c r="J488" s="9" t="s">
        <v>63</v>
      </c>
      <c r="L488" s="9" t="s">
        <v>169</v>
      </c>
      <c r="M488" s="9" t="s">
        <v>120</v>
      </c>
      <c r="N488" s="13">
        <v>1.8885866755225422E-2</v>
      </c>
      <c r="O488" s="9" t="s">
        <v>63</v>
      </c>
    </row>
    <row r="489" spans="2:15" x14ac:dyDescent="0.45">
      <c r="B489" s="8" t="s">
        <v>129</v>
      </c>
      <c r="C489" s="8" t="s">
        <v>121</v>
      </c>
      <c r="D489" s="10">
        <v>0</v>
      </c>
      <c r="E489" s="8" t="s">
        <v>63</v>
      </c>
      <c r="G489" s="8" t="s">
        <v>149</v>
      </c>
      <c r="H489" s="8" t="s">
        <v>121</v>
      </c>
      <c r="I489" s="12">
        <v>2.3105633949339024E-2</v>
      </c>
      <c r="J489" s="8" t="s">
        <v>63</v>
      </c>
      <c r="L489" s="8" t="s">
        <v>169</v>
      </c>
      <c r="M489" s="8" t="s">
        <v>121</v>
      </c>
      <c r="N489" s="12">
        <v>1.8929668179221076E-2</v>
      </c>
      <c r="O489" s="8" t="s">
        <v>63</v>
      </c>
    </row>
    <row r="490" spans="2:15" x14ac:dyDescent="0.45">
      <c r="B490" s="9" t="s">
        <v>129</v>
      </c>
      <c r="C490" s="9" t="s">
        <v>122</v>
      </c>
      <c r="D490" s="11">
        <v>0</v>
      </c>
      <c r="E490" s="9" t="s">
        <v>63</v>
      </c>
      <c r="G490" s="9" t="s">
        <v>149</v>
      </c>
      <c r="H490" s="9" t="s">
        <v>122</v>
      </c>
      <c r="I490" s="13">
        <v>3.5724538145957309E-2</v>
      </c>
      <c r="J490" s="9" t="s">
        <v>63</v>
      </c>
      <c r="L490" s="9" t="s">
        <v>169</v>
      </c>
      <c r="M490" s="9" t="s">
        <v>122</v>
      </c>
      <c r="N490" s="13">
        <v>2.8217536587613529E-2</v>
      </c>
      <c r="O490" s="9" t="s">
        <v>63</v>
      </c>
    </row>
    <row r="491" spans="2:15" x14ac:dyDescent="0.45">
      <c r="B491" s="8" t="s">
        <v>130</v>
      </c>
      <c r="C491" s="8" t="s">
        <v>62</v>
      </c>
      <c r="D491" s="10">
        <v>0</v>
      </c>
      <c r="E491" s="8" t="s">
        <v>63</v>
      </c>
      <c r="G491" s="8" t="s">
        <v>150</v>
      </c>
      <c r="H491" s="8" t="s">
        <v>62</v>
      </c>
      <c r="I491" s="12">
        <v>3.6729791365233418E-2</v>
      </c>
      <c r="J491" s="8" t="s">
        <v>63</v>
      </c>
      <c r="L491" s="8" t="s">
        <v>170</v>
      </c>
      <c r="M491" s="8" t="s">
        <v>62</v>
      </c>
      <c r="N491" s="12">
        <v>3.2482966779450062E-2</v>
      </c>
      <c r="O491" s="8" t="s">
        <v>63</v>
      </c>
    </row>
    <row r="492" spans="2:15" x14ac:dyDescent="0.45">
      <c r="B492" s="9" t="s">
        <v>130</v>
      </c>
      <c r="C492" s="9" t="s">
        <v>64</v>
      </c>
      <c r="D492" s="11">
        <v>0</v>
      </c>
      <c r="E492" s="9" t="s">
        <v>63</v>
      </c>
      <c r="G492" s="9" t="s">
        <v>150</v>
      </c>
      <c r="H492" s="9" t="s">
        <v>64</v>
      </c>
      <c r="I492" s="13">
        <v>1.430519384399118E-2</v>
      </c>
      <c r="J492" s="9" t="s">
        <v>63</v>
      </c>
      <c r="L492" s="9" t="s">
        <v>170</v>
      </c>
      <c r="M492" s="9" t="s">
        <v>64</v>
      </c>
      <c r="N492" s="13">
        <v>1.3535606894107372E-2</v>
      </c>
      <c r="O492" s="9" t="s">
        <v>63</v>
      </c>
    </row>
    <row r="493" spans="2:15" x14ac:dyDescent="0.45">
      <c r="B493" s="8" t="s">
        <v>130</v>
      </c>
      <c r="C493" s="8" t="s">
        <v>65</v>
      </c>
      <c r="D493" s="10">
        <v>1.5524627197360862E-3</v>
      </c>
      <c r="E493" s="8" t="s">
        <v>63</v>
      </c>
      <c r="G493" s="8" t="s">
        <v>150</v>
      </c>
      <c r="H493" s="8" t="s">
        <v>65</v>
      </c>
      <c r="I493" s="12">
        <v>1.481845238904307E-2</v>
      </c>
      <c r="J493" s="8" t="s">
        <v>63</v>
      </c>
      <c r="L493" s="8" t="s">
        <v>170</v>
      </c>
      <c r="M493" s="8" t="s">
        <v>65</v>
      </c>
      <c r="N493" s="12">
        <v>1.389024381167582E-2</v>
      </c>
      <c r="O493" s="8" t="s">
        <v>63</v>
      </c>
    </row>
    <row r="494" spans="2:15" x14ac:dyDescent="0.45">
      <c r="B494" s="9" t="s">
        <v>130</v>
      </c>
      <c r="C494" s="9" t="s">
        <v>66</v>
      </c>
      <c r="D494" s="11">
        <v>1.1761890058661864E-2</v>
      </c>
      <c r="E494" s="9" t="s">
        <v>63</v>
      </c>
      <c r="G494" s="9" t="s">
        <v>150</v>
      </c>
      <c r="H494" s="9" t="s">
        <v>66</v>
      </c>
      <c r="I494" s="13">
        <v>1.468900601713447E-2</v>
      </c>
      <c r="J494" s="9" t="s">
        <v>63</v>
      </c>
      <c r="L494" s="9" t="s">
        <v>170</v>
      </c>
      <c r="M494" s="9" t="s">
        <v>66</v>
      </c>
      <c r="N494" s="13">
        <v>1.3887424232332864E-2</v>
      </c>
      <c r="O494" s="9" t="s">
        <v>63</v>
      </c>
    </row>
    <row r="495" spans="2:15" x14ac:dyDescent="0.45">
      <c r="B495" s="8" t="s">
        <v>130</v>
      </c>
      <c r="C495" s="8" t="s">
        <v>67</v>
      </c>
      <c r="D495" s="10">
        <v>1.768053976389895E-2</v>
      </c>
      <c r="E495" s="8" t="s">
        <v>63</v>
      </c>
      <c r="G495" s="8" t="s">
        <v>150</v>
      </c>
      <c r="H495" s="8" t="s">
        <v>67</v>
      </c>
      <c r="I495" s="12">
        <v>1.3276487039328993E-2</v>
      </c>
      <c r="J495" s="8" t="s">
        <v>63</v>
      </c>
      <c r="L495" s="8" t="s">
        <v>170</v>
      </c>
      <c r="M495" s="8" t="s">
        <v>67</v>
      </c>
      <c r="N495" s="12">
        <v>1.4114731459777551E-2</v>
      </c>
      <c r="O495" s="8" t="s">
        <v>63</v>
      </c>
    </row>
    <row r="496" spans="2:15" x14ac:dyDescent="0.45">
      <c r="B496" s="9" t="s">
        <v>130</v>
      </c>
      <c r="C496" s="9" t="s">
        <v>68</v>
      </c>
      <c r="D496" s="11">
        <v>1.7716349468176969E-2</v>
      </c>
      <c r="E496" s="9" t="s">
        <v>63</v>
      </c>
      <c r="G496" s="9" t="s">
        <v>150</v>
      </c>
      <c r="H496" s="9" t="s">
        <v>68</v>
      </c>
      <c r="I496" s="13">
        <v>1.3344048640977041E-2</v>
      </c>
      <c r="J496" s="9" t="s">
        <v>63</v>
      </c>
      <c r="L496" s="9" t="s">
        <v>170</v>
      </c>
      <c r="M496" s="9" t="s">
        <v>68</v>
      </c>
      <c r="N496" s="13">
        <v>1.3997691931956753E-2</v>
      </c>
      <c r="O496" s="9" t="s">
        <v>63</v>
      </c>
    </row>
    <row r="497" spans="2:15" x14ac:dyDescent="0.45">
      <c r="B497" s="8" t="s">
        <v>130</v>
      </c>
      <c r="C497" s="8" t="s">
        <v>69</v>
      </c>
      <c r="D497" s="10">
        <v>8.582047782645999E-3</v>
      </c>
      <c r="E497" s="8" t="s">
        <v>63</v>
      </c>
      <c r="G497" s="8" t="s">
        <v>150</v>
      </c>
      <c r="H497" s="8" t="s">
        <v>69</v>
      </c>
      <c r="I497" s="12">
        <v>1.3840694839451823E-2</v>
      </c>
      <c r="J497" s="8" t="s">
        <v>63</v>
      </c>
      <c r="L497" s="8" t="s">
        <v>170</v>
      </c>
      <c r="M497" s="8" t="s">
        <v>69</v>
      </c>
      <c r="N497" s="12">
        <v>1.452916419186605E-2</v>
      </c>
      <c r="O497" s="8" t="s">
        <v>63</v>
      </c>
    </row>
    <row r="498" spans="2:15" x14ac:dyDescent="0.45">
      <c r="B498" s="9" t="s">
        <v>130</v>
      </c>
      <c r="C498" s="9" t="s">
        <v>70</v>
      </c>
      <c r="D498" s="11">
        <v>6.6823857694563637E-4</v>
      </c>
      <c r="E498" s="9" t="s">
        <v>63</v>
      </c>
      <c r="G498" s="9" t="s">
        <v>150</v>
      </c>
      <c r="H498" s="9" t="s">
        <v>70</v>
      </c>
      <c r="I498" s="13">
        <v>1.5366407709375264E-2</v>
      </c>
      <c r="J498" s="9" t="s">
        <v>63</v>
      </c>
      <c r="L498" s="9" t="s">
        <v>170</v>
      </c>
      <c r="M498" s="9" t="s">
        <v>70</v>
      </c>
      <c r="N498" s="13">
        <v>1.4948494673248774E-2</v>
      </c>
      <c r="O498" s="9" t="s">
        <v>63</v>
      </c>
    </row>
    <row r="499" spans="2:15" x14ac:dyDescent="0.45">
      <c r="B499" s="8" t="s">
        <v>130</v>
      </c>
      <c r="C499" s="8" t="s">
        <v>71</v>
      </c>
      <c r="D499" s="10">
        <v>0</v>
      </c>
      <c r="E499" s="8" t="s">
        <v>63</v>
      </c>
      <c r="G499" s="8" t="s">
        <v>150</v>
      </c>
      <c r="H499" s="8" t="s">
        <v>71</v>
      </c>
      <c r="I499" s="12">
        <v>1.5648180831976822E-2</v>
      </c>
      <c r="J499" s="8" t="s">
        <v>63</v>
      </c>
      <c r="L499" s="8" t="s">
        <v>170</v>
      </c>
      <c r="M499" s="8" t="s">
        <v>71</v>
      </c>
      <c r="N499" s="12">
        <v>1.4840685515503962E-2</v>
      </c>
      <c r="O499" s="8" t="s">
        <v>63</v>
      </c>
    </row>
    <row r="500" spans="2:15" x14ac:dyDescent="0.45">
      <c r="B500" s="9" t="s">
        <v>130</v>
      </c>
      <c r="C500" s="9" t="s">
        <v>72</v>
      </c>
      <c r="D500" s="11">
        <v>0</v>
      </c>
      <c r="E500" s="9" t="s">
        <v>63</v>
      </c>
      <c r="G500" s="9" t="s">
        <v>150</v>
      </c>
      <c r="H500" s="9" t="s">
        <v>72</v>
      </c>
      <c r="I500" s="13">
        <v>2.281414927413114E-2</v>
      </c>
      <c r="J500" s="9" t="s">
        <v>63</v>
      </c>
      <c r="L500" s="9" t="s">
        <v>170</v>
      </c>
      <c r="M500" s="9" t="s">
        <v>72</v>
      </c>
      <c r="N500" s="13">
        <v>2.0897002641823797E-2</v>
      </c>
      <c r="O500" s="9" t="s">
        <v>63</v>
      </c>
    </row>
    <row r="501" spans="2:15" x14ac:dyDescent="0.45">
      <c r="B501" s="8" t="s">
        <v>130</v>
      </c>
      <c r="C501" s="8" t="s">
        <v>73</v>
      </c>
      <c r="D501" s="10">
        <v>0</v>
      </c>
      <c r="E501" s="8" t="s">
        <v>63</v>
      </c>
      <c r="G501" s="8" t="s">
        <v>150</v>
      </c>
      <c r="H501" s="8" t="s">
        <v>73</v>
      </c>
      <c r="I501" s="12">
        <v>4.0069544682826252E-2</v>
      </c>
      <c r="J501" s="8" t="s">
        <v>63</v>
      </c>
      <c r="L501" s="8" t="s">
        <v>170</v>
      </c>
      <c r="M501" s="8" t="s">
        <v>73</v>
      </c>
      <c r="N501" s="12">
        <v>4.0512240850951058E-2</v>
      </c>
      <c r="O501" s="8" t="s">
        <v>63</v>
      </c>
    </row>
    <row r="502" spans="2:15" x14ac:dyDescent="0.45">
      <c r="B502" s="9" t="s">
        <v>130</v>
      </c>
      <c r="C502" s="9" t="s">
        <v>74</v>
      </c>
      <c r="D502" s="11">
        <v>5.8795225363121291E-3</v>
      </c>
      <c r="E502" s="9" t="s">
        <v>63</v>
      </c>
      <c r="G502" s="9" t="s">
        <v>150</v>
      </c>
      <c r="H502" s="9" t="s">
        <v>74</v>
      </c>
      <c r="I502" s="13">
        <v>1.6623850301647938E-2</v>
      </c>
      <c r="J502" s="9" t="s">
        <v>63</v>
      </c>
      <c r="L502" s="9" t="s">
        <v>170</v>
      </c>
      <c r="M502" s="9" t="s">
        <v>74</v>
      </c>
      <c r="N502" s="13">
        <v>1.5197760112461713E-2</v>
      </c>
      <c r="O502" s="9" t="s">
        <v>63</v>
      </c>
    </row>
    <row r="503" spans="2:15" x14ac:dyDescent="0.45">
      <c r="B503" s="8" t="s">
        <v>130</v>
      </c>
      <c r="C503" s="8" t="s">
        <v>75</v>
      </c>
      <c r="D503" s="10">
        <v>2.88698484885519E-2</v>
      </c>
      <c r="E503" s="8" t="s">
        <v>63</v>
      </c>
      <c r="G503" s="8" t="s">
        <v>150</v>
      </c>
      <c r="H503" s="8" t="s">
        <v>75</v>
      </c>
      <c r="I503" s="12">
        <v>1.4747997555668815E-2</v>
      </c>
      <c r="J503" s="8" t="s">
        <v>63</v>
      </c>
      <c r="L503" s="8" t="s">
        <v>170</v>
      </c>
      <c r="M503" s="8" t="s">
        <v>75</v>
      </c>
      <c r="N503" s="12">
        <v>1.5227408936288737E-2</v>
      </c>
      <c r="O503" s="8" t="s">
        <v>63</v>
      </c>
    </row>
    <row r="504" spans="2:15" x14ac:dyDescent="0.45">
      <c r="B504" s="9" t="s">
        <v>130</v>
      </c>
      <c r="C504" s="9" t="s">
        <v>76</v>
      </c>
      <c r="D504" s="11">
        <v>4.3593157804806076E-2</v>
      </c>
      <c r="E504" s="9" t="s">
        <v>63</v>
      </c>
      <c r="G504" s="9" t="s">
        <v>150</v>
      </c>
      <c r="H504" s="9" t="s">
        <v>76</v>
      </c>
      <c r="I504" s="13">
        <v>1.3277499877402267E-2</v>
      </c>
      <c r="J504" s="9" t="s">
        <v>63</v>
      </c>
      <c r="L504" s="9" t="s">
        <v>170</v>
      </c>
      <c r="M504" s="9" t="s">
        <v>76</v>
      </c>
      <c r="N504" s="13">
        <v>1.5376853611278525E-2</v>
      </c>
      <c r="O504" s="9" t="s">
        <v>63</v>
      </c>
    </row>
    <row r="505" spans="2:15" x14ac:dyDescent="0.45">
      <c r="B505" s="8" t="s">
        <v>130</v>
      </c>
      <c r="C505" s="8" t="s">
        <v>77</v>
      </c>
      <c r="D505" s="10">
        <v>4.4099853360271279E-2</v>
      </c>
      <c r="E505" s="8" t="s">
        <v>63</v>
      </c>
      <c r="G505" s="8" t="s">
        <v>150</v>
      </c>
      <c r="H505" s="8" t="s">
        <v>77</v>
      </c>
      <c r="I505" s="12">
        <v>1.234714765340568E-2</v>
      </c>
      <c r="J505" s="8" t="s">
        <v>63</v>
      </c>
      <c r="L505" s="8" t="s">
        <v>170</v>
      </c>
      <c r="M505" s="8" t="s">
        <v>77</v>
      </c>
      <c r="N505" s="12">
        <v>1.4897629839451004E-2</v>
      </c>
      <c r="O505" s="8" t="s">
        <v>63</v>
      </c>
    </row>
    <row r="506" spans="2:15" x14ac:dyDescent="0.45">
      <c r="B506" s="9" t="s">
        <v>130</v>
      </c>
      <c r="C506" s="9" t="s">
        <v>78</v>
      </c>
      <c r="D506" s="11">
        <v>4.3029198239385592E-2</v>
      </c>
      <c r="E506" s="9" t="s">
        <v>63</v>
      </c>
      <c r="G506" s="9" t="s">
        <v>150</v>
      </c>
      <c r="H506" s="9" t="s">
        <v>78</v>
      </c>
      <c r="I506" s="13">
        <v>1.3850264724551555E-2</v>
      </c>
      <c r="J506" s="9" t="s">
        <v>63</v>
      </c>
      <c r="L506" s="9" t="s">
        <v>170</v>
      </c>
      <c r="M506" s="9" t="s">
        <v>78</v>
      </c>
      <c r="N506" s="13">
        <v>1.5003529820552452E-2</v>
      </c>
      <c r="O506" s="9" t="s">
        <v>63</v>
      </c>
    </row>
    <row r="507" spans="2:15" x14ac:dyDescent="0.45">
      <c r="B507" s="8" t="s">
        <v>130</v>
      </c>
      <c r="C507" s="8" t="s">
        <v>79</v>
      </c>
      <c r="D507" s="10">
        <v>3.365350772402001E-2</v>
      </c>
      <c r="E507" s="8" t="s">
        <v>63</v>
      </c>
      <c r="G507" s="8" t="s">
        <v>150</v>
      </c>
      <c r="H507" s="8" t="s">
        <v>79</v>
      </c>
      <c r="I507" s="12">
        <v>1.4263868604460458E-2</v>
      </c>
      <c r="J507" s="8" t="s">
        <v>63</v>
      </c>
      <c r="L507" s="8" t="s">
        <v>170</v>
      </c>
      <c r="M507" s="8" t="s">
        <v>79</v>
      </c>
      <c r="N507" s="12">
        <v>1.5730876635502943E-2</v>
      </c>
      <c r="O507" s="8" t="s">
        <v>63</v>
      </c>
    </row>
    <row r="508" spans="2:15" x14ac:dyDescent="0.45">
      <c r="B508" s="9" t="s">
        <v>130</v>
      </c>
      <c r="C508" s="9" t="s">
        <v>80</v>
      </c>
      <c r="D508" s="11">
        <v>1.484694270301606E-2</v>
      </c>
      <c r="E508" s="9" t="s">
        <v>63</v>
      </c>
      <c r="G508" s="9" t="s">
        <v>150</v>
      </c>
      <c r="H508" s="9" t="s">
        <v>80</v>
      </c>
      <c r="I508" s="13">
        <v>1.5047824547779002E-2</v>
      </c>
      <c r="J508" s="9" t="s">
        <v>63</v>
      </c>
      <c r="L508" s="9" t="s">
        <v>170</v>
      </c>
      <c r="M508" s="9" t="s">
        <v>80</v>
      </c>
      <c r="N508" s="13">
        <v>1.657340179748765E-2</v>
      </c>
      <c r="O508" s="9" t="s">
        <v>63</v>
      </c>
    </row>
    <row r="509" spans="2:15" x14ac:dyDescent="0.45">
      <c r="B509" s="8" t="s">
        <v>130</v>
      </c>
      <c r="C509" s="8" t="s">
        <v>81</v>
      </c>
      <c r="D509" s="10">
        <v>2.7758802657582612E-4</v>
      </c>
      <c r="E509" s="8" t="s">
        <v>63</v>
      </c>
      <c r="G509" s="8" t="s">
        <v>150</v>
      </c>
      <c r="H509" s="8" t="s">
        <v>81</v>
      </c>
      <c r="I509" s="12">
        <v>1.6304193403976614E-2</v>
      </c>
      <c r="J509" s="8" t="s">
        <v>63</v>
      </c>
      <c r="L509" s="8" t="s">
        <v>170</v>
      </c>
      <c r="M509" s="8" t="s">
        <v>81</v>
      </c>
      <c r="N509" s="12">
        <v>1.7270502998551821E-2</v>
      </c>
      <c r="O509" s="8" t="s">
        <v>63</v>
      </c>
    </row>
    <row r="510" spans="2:15" x14ac:dyDescent="0.45">
      <c r="B510" s="9" t="s">
        <v>130</v>
      </c>
      <c r="C510" s="9" t="s">
        <v>82</v>
      </c>
      <c r="D510" s="11">
        <v>0</v>
      </c>
      <c r="E510" s="9" t="s">
        <v>63</v>
      </c>
      <c r="G510" s="9" t="s">
        <v>150</v>
      </c>
      <c r="H510" s="9" t="s">
        <v>82</v>
      </c>
      <c r="I510" s="13">
        <v>2.4465028553558577E-2</v>
      </c>
      <c r="J510" s="9" t="s">
        <v>63</v>
      </c>
      <c r="L510" s="9" t="s">
        <v>170</v>
      </c>
      <c r="M510" s="9" t="s">
        <v>82</v>
      </c>
      <c r="N510" s="13">
        <v>2.5632095417520418E-2</v>
      </c>
      <c r="O510" s="9" t="s">
        <v>63</v>
      </c>
    </row>
    <row r="511" spans="2:15" x14ac:dyDescent="0.45">
      <c r="B511" s="8" t="s">
        <v>130</v>
      </c>
      <c r="C511" s="8" t="s">
        <v>83</v>
      </c>
      <c r="D511" s="10">
        <v>1.4088150562664113E-3</v>
      </c>
      <c r="E511" s="8" t="s">
        <v>63</v>
      </c>
      <c r="G511" s="8" t="s">
        <v>150</v>
      </c>
      <c r="H511" s="8" t="s">
        <v>83</v>
      </c>
      <c r="I511" s="12">
        <v>2.6771404491001551E-2</v>
      </c>
      <c r="J511" s="8" t="s">
        <v>63</v>
      </c>
      <c r="L511" s="8" t="s">
        <v>170</v>
      </c>
      <c r="M511" s="8" t="s">
        <v>83</v>
      </c>
      <c r="N511" s="12">
        <v>3.1568780416679314E-2</v>
      </c>
      <c r="O511" s="8" t="s">
        <v>63</v>
      </c>
    </row>
    <row r="512" spans="2:15" x14ac:dyDescent="0.45">
      <c r="B512" s="9" t="s">
        <v>130</v>
      </c>
      <c r="C512" s="9" t="s">
        <v>84</v>
      </c>
      <c r="D512" s="11">
        <v>2.0698469286950197E-2</v>
      </c>
      <c r="E512" s="9" t="s">
        <v>63</v>
      </c>
      <c r="G512" s="9" t="s">
        <v>150</v>
      </c>
      <c r="H512" s="9" t="s">
        <v>84</v>
      </c>
      <c r="I512" s="13">
        <v>9.2783026707867772E-3</v>
      </c>
      <c r="J512" s="9" t="s">
        <v>63</v>
      </c>
      <c r="L512" s="9" t="s">
        <v>170</v>
      </c>
      <c r="M512" s="9" t="s">
        <v>84</v>
      </c>
      <c r="N512" s="13">
        <v>1.1966672103383097E-2</v>
      </c>
      <c r="O512" s="9" t="s">
        <v>63</v>
      </c>
    </row>
    <row r="513" spans="2:15" x14ac:dyDescent="0.45">
      <c r="B513" s="8" t="s">
        <v>130</v>
      </c>
      <c r="C513" s="8" t="s">
        <v>85</v>
      </c>
      <c r="D513" s="10">
        <v>4.0910569637425738E-2</v>
      </c>
      <c r="E513" s="8" t="s">
        <v>63</v>
      </c>
      <c r="G513" s="8" t="s">
        <v>150</v>
      </c>
      <c r="H513" s="8" t="s">
        <v>85</v>
      </c>
      <c r="I513" s="12">
        <v>7.0429365945442234E-3</v>
      </c>
      <c r="J513" s="8" t="s">
        <v>63</v>
      </c>
      <c r="L513" s="8" t="s">
        <v>170</v>
      </c>
      <c r="M513" s="8" t="s">
        <v>85</v>
      </c>
      <c r="N513" s="12">
        <v>1.1742902771868399E-2</v>
      </c>
      <c r="O513" s="8" t="s">
        <v>63</v>
      </c>
    </row>
    <row r="514" spans="2:15" x14ac:dyDescent="0.45">
      <c r="B514" s="9" t="s">
        <v>130</v>
      </c>
      <c r="C514" s="9" t="s">
        <v>86</v>
      </c>
      <c r="D514" s="11">
        <v>4.978386889748021E-2</v>
      </c>
      <c r="E514" s="9" t="s">
        <v>63</v>
      </c>
      <c r="G514" s="9" t="s">
        <v>150</v>
      </c>
      <c r="H514" s="9" t="s">
        <v>86</v>
      </c>
      <c r="I514" s="13">
        <v>7.7779457775768472E-3</v>
      </c>
      <c r="J514" s="9" t="s">
        <v>63</v>
      </c>
      <c r="L514" s="9" t="s">
        <v>170</v>
      </c>
      <c r="M514" s="9" t="s">
        <v>86</v>
      </c>
      <c r="N514" s="13">
        <v>1.1250205969258964E-2</v>
      </c>
      <c r="O514" s="9" t="s">
        <v>63</v>
      </c>
    </row>
    <row r="515" spans="2:15" x14ac:dyDescent="0.45">
      <c r="B515" s="8" t="s">
        <v>130</v>
      </c>
      <c r="C515" s="8" t="s">
        <v>87</v>
      </c>
      <c r="D515" s="10">
        <v>4.9393111677226542E-2</v>
      </c>
      <c r="E515" s="8" t="s">
        <v>63</v>
      </c>
      <c r="G515" s="8" t="s">
        <v>150</v>
      </c>
      <c r="H515" s="8" t="s">
        <v>87</v>
      </c>
      <c r="I515" s="12">
        <v>7.6596952871701698E-3</v>
      </c>
      <c r="J515" s="8" t="s">
        <v>63</v>
      </c>
      <c r="L515" s="8" t="s">
        <v>170</v>
      </c>
      <c r="M515" s="8" t="s">
        <v>87</v>
      </c>
      <c r="N515" s="12">
        <v>1.0259607252618642E-2</v>
      </c>
      <c r="O515" s="8" t="s">
        <v>63</v>
      </c>
    </row>
    <row r="516" spans="2:15" x14ac:dyDescent="0.45">
      <c r="B516" s="9" t="s">
        <v>130</v>
      </c>
      <c r="C516" s="9" t="s">
        <v>88</v>
      </c>
      <c r="D516" s="11">
        <v>4.6498220071964295E-2</v>
      </c>
      <c r="E516" s="9" t="s">
        <v>63</v>
      </c>
      <c r="G516" s="9" t="s">
        <v>150</v>
      </c>
      <c r="H516" s="9" t="s">
        <v>88</v>
      </c>
      <c r="I516" s="13">
        <v>8.7095762067760703E-3</v>
      </c>
      <c r="J516" s="9" t="s">
        <v>63</v>
      </c>
      <c r="L516" s="9" t="s">
        <v>170</v>
      </c>
      <c r="M516" s="9" t="s">
        <v>88</v>
      </c>
      <c r="N516" s="13">
        <v>1.0309933257533205E-2</v>
      </c>
      <c r="O516" s="9" t="s">
        <v>63</v>
      </c>
    </row>
    <row r="517" spans="2:15" x14ac:dyDescent="0.45">
      <c r="B517" s="8" t="s">
        <v>130</v>
      </c>
      <c r="C517" s="8" t="s">
        <v>89</v>
      </c>
      <c r="D517" s="10">
        <v>3.8526295594515717E-2</v>
      </c>
      <c r="E517" s="8" t="s">
        <v>63</v>
      </c>
      <c r="G517" s="8" t="s">
        <v>150</v>
      </c>
      <c r="H517" s="8" t="s">
        <v>89</v>
      </c>
      <c r="I517" s="12">
        <v>8.7716690495073107E-3</v>
      </c>
      <c r="J517" s="8" t="s">
        <v>63</v>
      </c>
      <c r="L517" s="8" t="s">
        <v>170</v>
      </c>
      <c r="M517" s="8" t="s">
        <v>89</v>
      </c>
      <c r="N517" s="12">
        <v>1.0520243285730134E-2</v>
      </c>
      <c r="O517" s="8" t="s">
        <v>63</v>
      </c>
    </row>
    <row r="518" spans="2:15" x14ac:dyDescent="0.45">
      <c r="B518" s="9" t="s">
        <v>130</v>
      </c>
      <c r="C518" s="9" t="s">
        <v>90</v>
      </c>
      <c r="D518" s="11">
        <v>2.378104752558341E-2</v>
      </c>
      <c r="E518" s="9" t="s">
        <v>63</v>
      </c>
      <c r="G518" s="9" t="s">
        <v>150</v>
      </c>
      <c r="H518" s="9" t="s">
        <v>90</v>
      </c>
      <c r="I518" s="13">
        <v>8.6540297553290187E-3</v>
      </c>
      <c r="J518" s="9" t="s">
        <v>63</v>
      </c>
      <c r="L518" s="9" t="s">
        <v>170</v>
      </c>
      <c r="M518" s="9" t="s">
        <v>90</v>
      </c>
      <c r="N518" s="13">
        <v>1.0308758020925983E-2</v>
      </c>
      <c r="O518" s="9" t="s">
        <v>63</v>
      </c>
    </row>
    <row r="519" spans="2:15" x14ac:dyDescent="0.45">
      <c r="B519" s="8" t="s">
        <v>130</v>
      </c>
      <c r="C519" s="8" t="s">
        <v>91</v>
      </c>
      <c r="D519" s="10">
        <v>5.9441875856638751E-3</v>
      </c>
      <c r="E519" s="8" t="s">
        <v>63</v>
      </c>
      <c r="G519" s="8" t="s">
        <v>150</v>
      </c>
      <c r="H519" s="8" t="s">
        <v>91</v>
      </c>
      <c r="I519" s="12">
        <v>1.0035667086467269E-2</v>
      </c>
      <c r="J519" s="8" t="s">
        <v>63</v>
      </c>
      <c r="L519" s="8" t="s">
        <v>170</v>
      </c>
      <c r="M519" s="8" t="s">
        <v>91</v>
      </c>
      <c r="N519" s="12">
        <v>1.0506466194938198E-2</v>
      </c>
      <c r="O519" s="8" t="s">
        <v>63</v>
      </c>
    </row>
    <row r="520" spans="2:15" x14ac:dyDescent="0.45">
      <c r="B520" s="9" t="s">
        <v>130</v>
      </c>
      <c r="C520" s="9" t="s">
        <v>92</v>
      </c>
      <c r="D520" s="11">
        <v>0</v>
      </c>
      <c r="E520" s="9" t="s">
        <v>63</v>
      </c>
      <c r="G520" s="9" t="s">
        <v>150</v>
      </c>
      <c r="H520" s="9" t="s">
        <v>92</v>
      </c>
      <c r="I520" s="13">
        <v>1.7497492428999263E-2</v>
      </c>
      <c r="J520" s="9" t="s">
        <v>63</v>
      </c>
      <c r="L520" s="9" t="s">
        <v>170</v>
      </c>
      <c r="M520" s="9" t="s">
        <v>92</v>
      </c>
      <c r="N520" s="13">
        <v>1.7601408045025635E-2</v>
      </c>
      <c r="O520" s="9" t="s">
        <v>63</v>
      </c>
    </row>
    <row r="521" spans="2:15" x14ac:dyDescent="0.45">
      <c r="B521" s="8" t="s">
        <v>130</v>
      </c>
      <c r="C521" s="8" t="s">
        <v>93</v>
      </c>
      <c r="D521" s="10">
        <v>4.2932010425540017E-4</v>
      </c>
      <c r="E521" s="8" t="s">
        <v>63</v>
      </c>
      <c r="G521" s="8" t="s">
        <v>150</v>
      </c>
      <c r="H521" s="8" t="s">
        <v>93</v>
      </c>
      <c r="I521" s="12">
        <v>2.0424504559858052E-2</v>
      </c>
      <c r="J521" s="8" t="s">
        <v>63</v>
      </c>
      <c r="L521" s="8" t="s">
        <v>170</v>
      </c>
      <c r="M521" s="8" t="s">
        <v>93</v>
      </c>
      <c r="N521" s="12">
        <v>2.495080352744217E-2</v>
      </c>
      <c r="O521" s="8" t="s">
        <v>63</v>
      </c>
    </row>
    <row r="522" spans="2:15" x14ac:dyDescent="0.45">
      <c r="B522" s="9" t="s">
        <v>130</v>
      </c>
      <c r="C522" s="9" t="s">
        <v>94</v>
      </c>
      <c r="D522" s="11">
        <v>1.7995916741562847E-2</v>
      </c>
      <c r="E522" s="9" t="s">
        <v>63</v>
      </c>
      <c r="G522" s="9" t="s">
        <v>150</v>
      </c>
      <c r="H522" s="9" t="s">
        <v>94</v>
      </c>
      <c r="I522" s="13">
        <v>7.3438894152855804E-3</v>
      </c>
      <c r="J522" s="9" t="s">
        <v>63</v>
      </c>
      <c r="L522" s="9" t="s">
        <v>170</v>
      </c>
      <c r="M522" s="9" t="s">
        <v>94</v>
      </c>
      <c r="N522" s="13">
        <v>9.3625116751344453E-3</v>
      </c>
      <c r="O522" s="9" t="s">
        <v>63</v>
      </c>
    </row>
    <row r="523" spans="2:15" x14ac:dyDescent="0.45">
      <c r="B523" s="8" t="s">
        <v>130</v>
      </c>
      <c r="C523" s="8" t="s">
        <v>95</v>
      </c>
      <c r="D523" s="10">
        <v>4.0522521486630728E-2</v>
      </c>
      <c r="E523" s="8" t="s">
        <v>63</v>
      </c>
      <c r="G523" s="8" t="s">
        <v>150</v>
      </c>
      <c r="H523" s="8" t="s">
        <v>95</v>
      </c>
      <c r="I523" s="12">
        <v>6.7423623576074367E-3</v>
      </c>
      <c r="J523" s="8" t="s">
        <v>63</v>
      </c>
      <c r="L523" s="8" t="s">
        <v>170</v>
      </c>
      <c r="M523" s="8" t="s">
        <v>95</v>
      </c>
      <c r="N523" s="12">
        <v>9.2718306366598724E-3</v>
      </c>
      <c r="O523" s="8" t="s">
        <v>63</v>
      </c>
    </row>
    <row r="524" spans="2:15" x14ac:dyDescent="0.45">
      <c r="B524" s="9" t="s">
        <v>130</v>
      </c>
      <c r="C524" s="9" t="s">
        <v>96</v>
      </c>
      <c r="D524" s="11">
        <v>4.9393637620155743E-2</v>
      </c>
      <c r="E524" s="9" t="s">
        <v>63</v>
      </c>
      <c r="G524" s="9" t="s">
        <v>150</v>
      </c>
      <c r="H524" s="9" t="s">
        <v>96</v>
      </c>
      <c r="I524" s="13">
        <v>7.7192259696531968E-3</v>
      </c>
      <c r="J524" s="9" t="s">
        <v>63</v>
      </c>
      <c r="L524" s="9" t="s">
        <v>170</v>
      </c>
      <c r="M524" s="9" t="s">
        <v>96</v>
      </c>
      <c r="N524" s="13">
        <v>9.5301587388920139E-3</v>
      </c>
      <c r="O524" s="9" t="s">
        <v>63</v>
      </c>
    </row>
    <row r="525" spans="2:15" x14ac:dyDescent="0.45">
      <c r="B525" s="8" t="s">
        <v>130</v>
      </c>
      <c r="C525" s="8" t="s">
        <v>97</v>
      </c>
      <c r="D525" s="10">
        <v>4.848031545305323E-2</v>
      </c>
      <c r="E525" s="8" t="s">
        <v>63</v>
      </c>
      <c r="G525" s="8" t="s">
        <v>150</v>
      </c>
      <c r="H525" s="8" t="s">
        <v>97</v>
      </c>
      <c r="I525" s="12">
        <v>7.5598187926571346E-3</v>
      </c>
      <c r="J525" s="8" t="s">
        <v>63</v>
      </c>
      <c r="L525" s="8" t="s">
        <v>170</v>
      </c>
      <c r="M525" s="8" t="s">
        <v>97</v>
      </c>
      <c r="N525" s="12">
        <v>8.5830813938852606E-3</v>
      </c>
      <c r="O525" s="8" t="s">
        <v>63</v>
      </c>
    </row>
    <row r="526" spans="2:15" x14ac:dyDescent="0.45">
      <c r="B526" s="9" t="s">
        <v>130</v>
      </c>
      <c r="C526" s="9" t="s">
        <v>98</v>
      </c>
      <c r="D526" s="11">
        <v>4.6440045708932932E-2</v>
      </c>
      <c r="E526" s="9" t="s">
        <v>63</v>
      </c>
      <c r="G526" s="9" t="s">
        <v>150</v>
      </c>
      <c r="H526" s="9" t="s">
        <v>98</v>
      </c>
      <c r="I526" s="13">
        <v>9.7519988504265413E-3</v>
      </c>
      <c r="J526" s="9" t="s">
        <v>63</v>
      </c>
      <c r="L526" s="9" t="s">
        <v>170</v>
      </c>
      <c r="M526" s="9" t="s">
        <v>98</v>
      </c>
      <c r="N526" s="13">
        <v>9.3772277872859154E-3</v>
      </c>
      <c r="O526" s="9" t="s">
        <v>63</v>
      </c>
    </row>
    <row r="527" spans="2:15" x14ac:dyDescent="0.45">
      <c r="B527" s="8" t="s">
        <v>130</v>
      </c>
      <c r="C527" s="8" t="s">
        <v>99</v>
      </c>
      <c r="D527" s="10">
        <v>4.1102670631640852E-2</v>
      </c>
      <c r="E527" s="8" t="s">
        <v>63</v>
      </c>
      <c r="G527" s="8" t="s">
        <v>150</v>
      </c>
      <c r="H527" s="8" t="s">
        <v>99</v>
      </c>
      <c r="I527" s="12">
        <v>9.9668356963061918E-3</v>
      </c>
      <c r="J527" s="8" t="s">
        <v>63</v>
      </c>
      <c r="L527" s="8" t="s">
        <v>170</v>
      </c>
      <c r="M527" s="8" t="s">
        <v>99</v>
      </c>
      <c r="N527" s="12">
        <v>9.8877769640429679E-3</v>
      </c>
      <c r="O527" s="8" t="s">
        <v>63</v>
      </c>
    </row>
    <row r="528" spans="2:15" x14ac:dyDescent="0.45">
      <c r="B528" s="9" t="s">
        <v>130</v>
      </c>
      <c r="C528" s="9" t="s">
        <v>100</v>
      </c>
      <c r="D528" s="11">
        <v>2.6573122166549251E-2</v>
      </c>
      <c r="E528" s="9" t="s">
        <v>63</v>
      </c>
      <c r="G528" s="9" t="s">
        <v>150</v>
      </c>
      <c r="H528" s="9" t="s">
        <v>100</v>
      </c>
      <c r="I528" s="13">
        <v>8.5035207973725244E-3</v>
      </c>
      <c r="J528" s="9" t="s">
        <v>63</v>
      </c>
      <c r="L528" s="9" t="s">
        <v>170</v>
      </c>
      <c r="M528" s="9" t="s">
        <v>100</v>
      </c>
      <c r="N528" s="13">
        <v>1.0503863784529964E-2</v>
      </c>
      <c r="O528" s="9" t="s">
        <v>63</v>
      </c>
    </row>
    <row r="529" spans="2:15" x14ac:dyDescent="0.45">
      <c r="B529" s="8" t="s">
        <v>130</v>
      </c>
      <c r="C529" s="8" t="s">
        <v>101</v>
      </c>
      <c r="D529" s="10">
        <v>5.8770350603124678E-3</v>
      </c>
      <c r="E529" s="8" t="s">
        <v>63</v>
      </c>
      <c r="G529" s="8" t="s">
        <v>150</v>
      </c>
      <c r="H529" s="8" t="s">
        <v>101</v>
      </c>
      <c r="I529" s="12">
        <v>8.5219681298119125E-3</v>
      </c>
      <c r="J529" s="8" t="s">
        <v>63</v>
      </c>
      <c r="L529" s="8" t="s">
        <v>170</v>
      </c>
      <c r="M529" s="8" t="s">
        <v>101</v>
      </c>
      <c r="N529" s="12">
        <v>1.0329395269596539E-2</v>
      </c>
      <c r="O529" s="8" t="s">
        <v>63</v>
      </c>
    </row>
    <row r="530" spans="2:15" x14ac:dyDescent="0.45">
      <c r="B530" s="9" t="s">
        <v>130</v>
      </c>
      <c r="C530" s="9" t="s">
        <v>102</v>
      </c>
      <c r="D530" s="11">
        <v>0</v>
      </c>
      <c r="E530" s="9" t="s">
        <v>63</v>
      </c>
      <c r="G530" s="9" t="s">
        <v>150</v>
      </c>
      <c r="H530" s="9" t="s">
        <v>102</v>
      </c>
      <c r="I530" s="13">
        <v>1.2626275672203395E-2</v>
      </c>
      <c r="J530" s="9" t="s">
        <v>63</v>
      </c>
      <c r="L530" s="9" t="s">
        <v>170</v>
      </c>
      <c r="M530" s="9" t="s">
        <v>102</v>
      </c>
      <c r="N530" s="13">
        <v>1.5992392885160946E-2</v>
      </c>
      <c r="O530" s="9" t="s">
        <v>63</v>
      </c>
    </row>
    <row r="531" spans="2:15" x14ac:dyDescent="0.45">
      <c r="B531" s="8" t="s">
        <v>130</v>
      </c>
      <c r="C531" s="8" t="s">
        <v>103</v>
      </c>
      <c r="D531" s="10">
        <v>0</v>
      </c>
      <c r="E531" s="8" t="s">
        <v>63</v>
      </c>
      <c r="G531" s="8" t="s">
        <v>150</v>
      </c>
      <c r="H531" s="8" t="s">
        <v>103</v>
      </c>
      <c r="I531" s="12">
        <v>3.4737203259209086E-2</v>
      </c>
      <c r="J531" s="8" t="s">
        <v>63</v>
      </c>
      <c r="L531" s="8" t="s">
        <v>170</v>
      </c>
      <c r="M531" s="8" t="s">
        <v>103</v>
      </c>
      <c r="N531" s="12">
        <v>3.4322406744500059E-2</v>
      </c>
      <c r="O531" s="8" t="s">
        <v>63</v>
      </c>
    </row>
    <row r="532" spans="2:15" x14ac:dyDescent="0.45">
      <c r="B532" s="9" t="s">
        <v>130</v>
      </c>
      <c r="C532" s="9" t="s">
        <v>104</v>
      </c>
      <c r="D532" s="11">
        <v>1.7883180573093904E-3</v>
      </c>
      <c r="E532" s="9" t="s">
        <v>63</v>
      </c>
      <c r="G532" s="9" t="s">
        <v>150</v>
      </c>
      <c r="H532" s="9" t="s">
        <v>104</v>
      </c>
      <c r="I532" s="13">
        <v>1.3263864359270187E-2</v>
      </c>
      <c r="J532" s="9" t="s">
        <v>63</v>
      </c>
      <c r="L532" s="9" t="s">
        <v>170</v>
      </c>
      <c r="M532" s="9" t="s">
        <v>104</v>
      </c>
      <c r="N532" s="13">
        <v>1.2936093860820511E-2</v>
      </c>
      <c r="O532" s="9" t="s">
        <v>63</v>
      </c>
    </row>
    <row r="533" spans="2:15" x14ac:dyDescent="0.45">
      <c r="B533" s="8" t="s">
        <v>130</v>
      </c>
      <c r="C533" s="8" t="s">
        <v>105</v>
      </c>
      <c r="D533" s="10">
        <v>1.7083264297342103E-2</v>
      </c>
      <c r="E533" s="8" t="s">
        <v>63</v>
      </c>
      <c r="G533" s="8" t="s">
        <v>150</v>
      </c>
      <c r="H533" s="8" t="s">
        <v>105</v>
      </c>
      <c r="I533" s="12">
        <v>1.2515939114831591E-2</v>
      </c>
      <c r="J533" s="8" t="s">
        <v>63</v>
      </c>
      <c r="L533" s="8" t="s">
        <v>170</v>
      </c>
      <c r="M533" s="8" t="s">
        <v>105</v>
      </c>
      <c r="N533" s="12">
        <v>1.3411857658430771E-2</v>
      </c>
      <c r="O533" s="8" t="s">
        <v>63</v>
      </c>
    </row>
    <row r="534" spans="2:15" x14ac:dyDescent="0.45">
      <c r="B534" s="9" t="s">
        <v>130</v>
      </c>
      <c r="C534" s="9" t="s">
        <v>106</v>
      </c>
      <c r="D534" s="11">
        <v>2.8726384277563022E-2</v>
      </c>
      <c r="E534" s="9" t="s">
        <v>63</v>
      </c>
      <c r="G534" s="9" t="s">
        <v>150</v>
      </c>
      <c r="H534" s="9" t="s">
        <v>106</v>
      </c>
      <c r="I534" s="13">
        <v>1.2407718002005942E-2</v>
      </c>
      <c r="J534" s="9" t="s">
        <v>63</v>
      </c>
      <c r="L534" s="9" t="s">
        <v>170</v>
      </c>
      <c r="M534" s="9" t="s">
        <v>106</v>
      </c>
      <c r="N534" s="13">
        <v>1.3437734806163334E-2</v>
      </c>
      <c r="O534" s="9" t="s">
        <v>63</v>
      </c>
    </row>
    <row r="535" spans="2:15" x14ac:dyDescent="0.45">
      <c r="B535" s="8" t="s">
        <v>130</v>
      </c>
      <c r="C535" s="8" t="s">
        <v>107</v>
      </c>
      <c r="D535" s="10">
        <v>2.9192979122346904E-2</v>
      </c>
      <c r="E535" s="8" t="s">
        <v>63</v>
      </c>
      <c r="G535" s="8" t="s">
        <v>150</v>
      </c>
      <c r="H535" s="8" t="s">
        <v>107</v>
      </c>
      <c r="I535" s="12">
        <v>1.2138641275557586E-2</v>
      </c>
      <c r="J535" s="8" t="s">
        <v>63</v>
      </c>
      <c r="L535" s="8" t="s">
        <v>170</v>
      </c>
      <c r="M535" s="8" t="s">
        <v>107</v>
      </c>
      <c r="N535" s="12">
        <v>1.2864622753896137E-2</v>
      </c>
      <c r="O535" s="8" t="s">
        <v>63</v>
      </c>
    </row>
    <row r="536" spans="2:15" x14ac:dyDescent="0.45">
      <c r="B536" s="9" t="s">
        <v>130</v>
      </c>
      <c r="C536" s="9" t="s">
        <v>108</v>
      </c>
      <c r="D536" s="11">
        <v>2.8930895939512077E-2</v>
      </c>
      <c r="E536" s="9" t="s">
        <v>63</v>
      </c>
      <c r="G536" s="9" t="s">
        <v>150</v>
      </c>
      <c r="H536" s="9" t="s">
        <v>108</v>
      </c>
      <c r="I536" s="13">
        <v>1.2977601002600892E-2</v>
      </c>
      <c r="J536" s="9" t="s">
        <v>63</v>
      </c>
      <c r="L536" s="9" t="s">
        <v>170</v>
      </c>
      <c r="M536" s="9" t="s">
        <v>108</v>
      </c>
      <c r="N536" s="13">
        <v>1.2838654810469394E-2</v>
      </c>
      <c r="O536" s="9" t="s">
        <v>63</v>
      </c>
    </row>
    <row r="537" spans="2:15" x14ac:dyDescent="0.45">
      <c r="B537" s="8" t="s">
        <v>130</v>
      </c>
      <c r="C537" s="8" t="s">
        <v>109</v>
      </c>
      <c r="D537" s="10">
        <v>2.0248217247792914E-2</v>
      </c>
      <c r="E537" s="8" t="s">
        <v>63</v>
      </c>
      <c r="G537" s="8" t="s">
        <v>150</v>
      </c>
      <c r="H537" s="8" t="s">
        <v>109</v>
      </c>
      <c r="I537" s="12">
        <v>1.3896284299083857E-2</v>
      </c>
      <c r="J537" s="8" t="s">
        <v>63</v>
      </c>
      <c r="L537" s="8" t="s">
        <v>170</v>
      </c>
      <c r="M537" s="8" t="s">
        <v>109</v>
      </c>
      <c r="N537" s="12">
        <v>1.3227317830626027E-2</v>
      </c>
      <c r="O537" s="8" t="s">
        <v>63</v>
      </c>
    </row>
    <row r="538" spans="2:15" x14ac:dyDescent="0.45">
      <c r="B538" s="9" t="s">
        <v>130</v>
      </c>
      <c r="C538" s="9" t="s">
        <v>110</v>
      </c>
      <c r="D538" s="11">
        <v>5.8854945201738847E-3</v>
      </c>
      <c r="E538" s="9" t="s">
        <v>63</v>
      </c>
      <c r="G538" s="9" t="s">
        <v>150</v>
      </c>
      <c r="H538" s="9" t="s">
        <v>110</v>
      </c>
      <c r="I538" s="13">
        <v>1.4863045068791086E-2</v>
      </c>
      <c r="J538" s="9" t="s">
        <v>63</v>
      </c>
      <c r="L538" s="9" t="s">
        <v>170</v>
      </c>
      <c r="M538" s="9" t="s">
        <v>110</v>
      </c>
      <c r="N538" s="13">
        <v>1.3952547955551377E-2</v>
      </c>
      <c r="O538" s="9" t="s">
        <v>63</v>
      </c>
    </row>
    <row r="539" spans="2:15" x14ac:dyDescent="0.45">
      <c r="B539" s="8" t="s">
        <v>130</v>
      </c>
      <c r="C539" s="8" t="s">
        <v>111</v>
      </c>
      <c r="D539" s="10">
        <v>0</v>
      </c>
      <c r="E539" s="8" t="s">
        <v>63</v>
      </c>
      <c r="G539" s="8" t="s">
        <v>150</v>
      </c>
      <c r="H539" s="8" t="s">
        <v>111</v>
      </c>
      <c r="I539" s="12">
        <v>1.5515066835749956E-2</v>
      </c>
      <c r="J539" s="8" t="s">
        <v>63</v>
      </c>
      <c r="L539" s="8" t="s">
        <v>170</v>
      </c>
      <c r="M539" s="8" t="s">
        <v>111</v>
      </c>
      <c r="N539" s="12">
        <v>1.4418981419369462E-2</v>
      </c>
      <c r="O539" s="8" t="s">
        <v>63</v>
      </c>
    </row>
    <row r="540" spans="2:15" x14ac:dyDescent="0.45">
      <c r="B540" s="9" t="s">
        <v>130</v>
      </c>
      <c r="C540" s="9" t="s">
        <v>112</v>
      </c>
      <c r="D540" s="11">
        <v>0</v>
      </c>
      <c r="E540" s="9" t="s">
        <v>63</v>
      </c>
      <c r="G540" s="9" t="s">
        <v>150</v>
      </c>
      <c r="H540" s="9" t="s">
        <v>112</v>
      </c>
      <c r="I540" s="13">
        <v>2.3560015819250244E-2</v>
      </c>
      <c r="J540" s="9" t="s">
        <v>63</v>
      </c>
      <c r="L540" s="9" t="s">
        <v>170</v>
      </c>
      <c r="M540" s="9" t="s">
        <v>112</v>
      </c>
      <c r="N540" s="13">
        <v>2.14302682980223E-2</v>
      </c>
      <c r="O540" s="9" t="s">
        <v>63</v>
      </c>
    </row>
    <row r="541" spans="2:15" x14ac:dyDescent="0.45">
      <c r="B541" s="8" t="s">
        <v>130</v>
      </c>
      <c r="C541" s="8" t="s">
        <v>113</v>
      </c>
      <c r="D541" s="10">
        <v>0</v>
      </c>
      <c r="E541" s="8" t="s">
        <v>63</v>
      </c>
      <c r="G541" s="8" t="s">
        <v>150</v>
      </c>
      <c r="H541" s="8" t="s">
        <v>113</v>
      </c>
      <c r="I541" s="12">
        <v>5.6954618126925732E-2</v>
      </c>
      <c r="J541" s="8" t="s">
        <v>63</v>
      </c>
      <c r="L541" s="8" t="s">
        <v>170</v>
      </c>
      <c r="M541" s="8" t="s">
        <v>113</v>
      </c>
      <c r="N541" s="12">
        <v>4.6488802903025345E-2</v>
      </c>
      <c r="O541" s="8" t="s">
        <v>63</v>
      </c>
    </row>
    <row r="542" spans="2:15" x14ac:dyDescent="0.45">
      <c r="B542" s="9" t="s">
        <v>130</v>
      </c>
      <c r="C542" s="9" t="s">
        <v>114</v>
      </c>
      <c r="D542" s="11">
        <v>0</v>
      </c>
      <c r="E542" s="9" t="s">
        <v>63</v>
      </c>
      <c r="G542" s="9" t="s">
        <v>150</v>
      </c>
      <c r="H542" s="9" t="s">
        <v>114</v>
      </c>
      <c r="I542" s="13">
        <v>2.2530976154904847E-2</v>
      </c>
      <c r="J542" s="9" t="s">
        <v>63</v>
      </c>
      <c r="L542" s="9" t="s">
        <v>170</v>
      </c>
      <c r="M542" s="9" t="s">
        <v>114</v>
      </c>
      <c r="N542" s="13">
        <v>1.8880937464099374E-2</v>
      </c>
      <c r="O542" s="9" t="s">
        <v>63</v>
      </c>
    </row>
    <row r="543" spans="2:15" x14ac:dyDescent="0.45">
      <c r="B543" s="8" t="s">
        <v>130</v>
      </c>
      <c r="C543" s="8" t="s">
        <v>115</v>
      </c>
      <c r="D543" s="10">
        <v>1.402079839033069E-3</v>
      </c>
      <c r="E543" s="8" t="s">
        <v>63</v>
      </c>
      <c r="G543" s="8" t="s">
        <v>150</v>
      </c>
      <c r="H543" s="8" t="s">
        <v>115</v>
      </c>
      <c r="I543" s="12">
        <v>2.2308342532229571E-2</v>
      </c>
      <c r="J543" s="8" t="s">
        <v>63</v>
      </c>
      <c r="L543" s="8" t="s">
        <v>170</v>
      </c>
      <c r="M543" s="8" t="s">
        <v>115</v>
      </c>
      <c r="N543" s="12">
        <v>1.886758283481875E-2</v>
      </c>
      <c r="O543" s="8" t="s">
        <v>63</v>
      </c>
    </row>
    <row r="544" spans="2:15" x14ac:dyDescent="0.45">
      <c r="B544" s="9" t="s">
        <v>130</v>
      </c>
      <c r="C544" s="9" t="s">
        <v>116</v>
      </c>
      <c r="D544" s="11">
        <v>1.1190349196105016E-2</v>
      </c>
      <c r="E544" s="9" t="s">
        <v>63</v>
      </c>
      <c r="G544" s="9" t="s">
        <v>150</v>
      </c>
      <c r="H544" s="9" t="s">
        <v>116</v>
      </c>
      <c r="I544" s="13">
        <v>2.2137043140976555E-2</v>
      </c>
      <c r="J544" s="9" t="s">
        <v>63</v>
      </c>
      <c r="L544" s="9" t="s">
        <v>170</v>
      </c>
      <c r="M544" s="9" t="s">
        <v>116</v>
      </c>
      <c r="N544" s="13">
        <v>1.8523768928161852E-2</v>
      </c>
      <c r="O544" s="9" t="s">
        <v>63</v>
      </c>
    </row>
    <row r="545" spans="2:15" x14ac:dyDescent="0.45">
      <c r="B545" s="8" t="s">
        <v>130</v>
      </c>
      <c r="C545" s="8" t="s">
        <v>117</v>
      </c>
      <c r="D545" s="10">
        <v>1.3633726967750661E-2</v>
      </c>
      <c r="E545" s="8" t="s">
        <v>63</v>
      </c>
      <c r="G545" s="8" t="s">
        <v>150</v>
      </c>
      <c r="H545" s="8" t="s">
        <v>117</v>
      </c>
      <c r="I545" s="12">
        <v>2.093998192515116E-2</v>
      </c>
      <c r="J545" s="8" t="s">
        <v>63</v>
      </c>
      <c r="L545" s="8" t="s">
        <v>170</v>
      </c>
      <c r="M545" s="8" t="s">
        <v>117</v>
      </c>
      <c r="N545" s="12">
        <v>1.9056948773533203E-2</v>
      </c>
      <c r="O545" s="8" t="s">
        <v>63</v>
      </c>
    </row>
    <row r="546" spans="2:15" x14ac:dyDescent="0.45">
      <c r="B546" s="9" t="s">
        <v>130</v>
      </c>
      <c r="C546" s="9" t="s">
        <v>118</v>
      </c>
      <c r="D546" s="11">
        <v>1.2809864120534102E-2</v>
      </c>
      <c r="E546" s="9" t="s">
        <v>63</v>
      </c>
      <c r="G546" s="9" t="s">
        <v>150</v>
      </c>
      <c r="H546" s="9" t="s">
        <v>118</v>
      </c>
      <c r="I546" s="13">
        <v>2.0860340976549464E-2</v>
      </c>
      <c r="J546" s="9" t="s">
        <v>63</v>
      </c>
      <c r="L546" s="9" t="s">
        <v>170</v>
      </c>
      <c r="M546" s="9" t="s">
        <v>118</v>
      </c>
      <c r="N546" s="13">
        <v>1.8816511191459866E-2</v>
      </c>
      <c r="O546" s="9" t="s">
        <v>63</v>
      </c>
    </row>
    <row r="547" spans="2:15" x14ac:dyDescent="0.45">
      <c r="B547" s="8" t="s">
        <v>130</v>
      </c>
      <c r="C547" s="8" t="s">
        <v>119</v>
      </c>
      <c r="D547" s="10">
        <v>3.1381088553600173E-3</v>
      </c>
      <c r="E547" s="8" t="s">
        <v>63</v>
      </c>
      <c r="G547" s="8" t="s">
        <v>150</v>
      </c>
      <c r="H547" s="8" t="s">
        <v>119</v>
      </c>
      <c r="I547" s="12">
        <v>2.1240654516211873E-2</v>
      </c>
      <c r="J547" s="8" t="s">
        <v>63</v>
      </c>
      <c r="L547" s="8" t="s">
        <v>170</v>
      </c>
      <c r="M547" s="8" t="s">
        <v>119</v>
      </c>
      <c r="N547" s="12">
        <v>1.8760544037112581E-2</v>
      </c>
      <c r="O547" s="8" t="s">
        <v>63</v>
      </c>
    </row>
    <row r="548" spans="2:15" x14ac:dyDescent="0.45">
      <c r="B548" s="9" t="s">
        <v>130</v>
      </c>
      <c r="C548" s="9" t="s">
        <v>120</v>
      </c>
      <c r="D548" s="11">
        <v>0</v>
      </c>
      <c r="E548" s="9" t="s">
        <v>63</v>
      </c>
      <c r="G548" s="9" t="s">
        <v>150</v>
      </c>
      <c r="H548" s="9" t="s">
        <v>120</v>
      </c>
      <c r="I548" s="13">
        <v>2.2250087808513331E-2</v>
      </c>
      <c r="J548" s="9" t="s">
        <v>63</v>
      </c>
      <c r="L548" s="9" t="s">
        <v>170</v>
      </c>
      <c r="M548" s="9" t="s">
        <v>120</v>
      </c>
      <c r="N548" s="13">
        <v>1.8664322946194904E-2</v>
      </c>
      <c r="O548" s="9" t="s">
        <v>63</v>
      </c>
    </row>
    <row r="549" spans="2:15" x14ac:dyDescent="0.45">
      <c r="B549" s="8" t="s">
        <v>130</v>
      </c>
      <c r="C549" s="8" t="s">
        <v>121</v>
      </c>
      <c r="D549" s="10">
        <v>0</v>
      </c>
      <c r="E549" s="8" t="s">
        <v>63</v>
      </c>
      <c r="G549" s="8" t="s">
        <v>150</v>
      </c>
      <c r="H549" s="8" t="s">
        <v>121</v>
      </c>
      <c r="I549" s="12">
        <v>2.2830187091790886E-2</v>
      </c>
      <c r="J549" s="8" t="s">
        <v>63</v>
      </c>
      <c r="L549" s="8" t="s">
        <v>170</v>
      </c>
      <c r="M549" s="8" t="s">
        <v>121</v>
      </c>
      <c r="N549" s="12">
        <v>1.8804521947257857E-2</v>
      </c>
      <c r="O549" s="8" t="s">
        <v>63</v>
      </c>
    </row>
    <row r="550" spans="2:15" x14ac:dyDescent="0.45">
      <c r="B550" s="9" t="s">
        <v>130</v>
      </c>
      <c r="C550" s="9" t="s">
        <v>122</v>
      </c>
      <c r="D550" s="11">
        <v>0</v>
      </c>
      <c r="E550" s="9" t="s">
        <v>63</v>
      </c>
      <c r="G550" s="9" t="s">
        <v>150</v>
      </c>
      <c r="H550" s="9" t="s">
        <v>122</v>
      </c>
      <c r="I550" s="13">
        <v>3.4883637245137766E-2</v>
      </c>
      <c r="J550" s="9" t="s">
        <v>63</v>
      </c>
      <c r="L550" s="9" t="s">
        <v>170</v>
      </c>
      <c r="M550" s="9" t="s">
        <v>122</v>
      </c>
      <c r="N550" s="13">
        <v>2.7925240704109282E-2</v>
      </c>
      <c r="O550" s="9" t="s">
        <v>63</v>
      </c>
    </row>
    <row r="551" spans="2:15" x14ac:dyDescent="0.45">
      <c r="B551" s="8" t="s">
        <v>131</v>
      </c>
      <c r="C551" s="8" t="s">
        <v>62</v>
      </c>
      <c r="D551" s="10">
        <v>0</v>
      </c>
      <c r="E551" s="8" t="s">
        <v>63</v>
      </c>
      <c r="G551" s="8" t="s">
        <v>151</v>
      </c>
      <c r="H551" s="8" t="s">
        <v>62</v>
      </c>
      <c r="I551" s="12">
        <v>3.1474924366968193E-2</v>
      </c>
      <c r="J551" s="8" t="s">
        <v>63</v>
      </c>
      <c r="L551" s="8" t="s">
        <v>171</v>
      </c>
      <c r="M551" s="8" t="s">
        <v>62</v>
      </c>
      <c r="N551" s="12">
        <v>3.2343845232813036E-2</v>
      </c>
      <c r="O551" s="8" t="s">
        <v>63</v>
      </c>
    </row>
    <row r="552" spans="2:15" x14ac:dyDescent="0.45">
      <c r="B552" s="9" t="s">
        <v>131</v>
      </c>
      <c r="C552" s="9" t="s">
        <v>64</v>
      </c>
      <c r="D552" s="11">
        <v>0</v>
      </c>
      <c r="E552" s="9" t="s">
        <v>63</v>
      </c>
      <c r="G552" s="9" t="s">
        <v>151</v>
      </c>
      <c r="H552" s="9" t="s">
        <v>64</v>
      </c>
      <c r="I552" s="13">
        <v>1.3248788794746639E-2</v>
      </c>
      <c r="J552" s="9" t="s">
        <v>63</v>
      </c>
      <c r="L552" s="9" t="s">
        <v>171</v>
      </c>
      <c r="M552" s="9" t="s">
        <v>64</v>
      </c>
      <c r="N552" s="13">
        <v>1.3494854265165239E-2</v>
      </c>
      <c r="O552" s="9" t="s">
        <v>63</v>
      </c>
    </row>
    <row r="553" spans="2:15" x14ac:dyDescent="0.45">
      <c r="B553" s="8" t="s">
        <v>131</v>
      </c>
      <c r="C553" s="8" t="s">
        <v>65</v>
      </c>
      <c r="D553" s="10">
        <v>1.2935834152192187E-3</v>
      </c>
      <c r="E553" s="8" t="s">
        <v>63</v>
      </c>
      <c r="G553" s="8" t="s">
        <v>151</v>
      </c>
      <c r="H553" s="8" t="s">
        <v>65</v>
      </c>
      <c r="I553" s="12">
        <v>1.3794001407667934E-2</v>
      </c>
      <c r="J553" s="8" t="s">
        <v>63</v>
      </c>
      <c r="L553" s="8" t="s">
        <v>171</v>
      </c>
      <c r="M553" s="8" t="s">
        <v>65</v>
      </c>
      <c r="N553" s="12">
        <v>1.404003526514803E-2</v>
      </c>
      <c r="O553" s="8" t="s">
        <v>63</v>
      </c>
    </row>
    <row r="554" spans="2:15" x14ac:dyDescent="0.45">
      <c r="B554" s="9" t="s">
        <v>131</v>
      </c>
      <c r="C554" s="9" t="s">
        <v>66</v>
      </c>
      <c r="D554" s="11">
        <v>1.0821623669602E-2</v>
      </c>
      <c r="E554" s="9" t="s">
        <v>63</v>
      </c>
      <c r="G554" s="9" t="s">
        <v>151</v>
      </c>
      <c r="H554" s="9" t="s">
        <v>66</v>
      </c>
      <c r="I554" s="13">
        <v>1.4094684217825247E-2</v>
      </c>
      <c r="J554" s="9" t="s">
        <v>63</v>
      </c>
      <c r="L554" s="9" t="s">
        <v>171</v>
      </c>
      <c r="M554" s="9" t="s">
        <v>66</v>
      </c>
      <c r="N554" s="13">
        <v>1.4177594036667511E-2</v>
      </c>
      <c r="O554" s="9" t="s">
        <v>63</v>
      </c>
    </row>
    <row r="555" spans="2:15" x14ac:dyDescent="0.45">
      <c r="B555" s="8" t="s">
        <v>131</v>
      </c>
      <c r="C555" s="8" t="s">
        <v>67</v>
      </c>
      <c r="D555" s="10">
        <v>1.7589147006942675E-2</v>
      </c>
      <c r="E555" s="8" t="s">
        <v>63</v>
      </c>
      <c r="G555" s="8" t="s">
        <v>151</v>
      </c>
      <c r="H555" s="8" t="s">
        <v>67</v>
      </c>
      <c r="I555" s="12">
        <v>1.3938775346580952E-2</v>
      </c>
      <c r="J555" s="8" t="s">
        <v>63</v>
      </c>
      <c r="L555" s="8" t="s">
        <v>171</v>
      </c>
      <c r="M555" s="8" t="s">
        <v>67</v>
      </c>
      <c r="N555" s="12">
        <v>1.4394031191863704E-2</v>
      </c>
      <c r="O555" s="8" t="s">
        <v>63</v>
      </c>
    </row>
    <row r="556" spans="2:15" x14ac:dyDescent="0.45">
      <c r="B556" s="9" t="s">
        <v>131</v>
      </c>
      <c r="C556" s="9" t="s">
        <v>68</v>
      </c>
      <c r="D556" s="11">
        <v>1.5762827760989657E-2</v>
      </c>
      <c r="E556" s="9" t="s">
        <v>63</v>
      </c>
      <c r="G556" s="9" t="s">
        <v>151</v>
      </c>
      <c r="H556" s="9" t="s">
        <v>68</v>
      </c>
      <c r="I556" s="13">
        <v>1.4210249022095398E-2</v>
      </c>
      <c r="J556" s="9" t="s">
        <v>63</v>
      </c>
      <c r="L556" s="9" t="s">
        <v>171</v>
      </c>
      <c r="M556" s="9" t="s">
        <v>68</v>
      </c>
      <c r="N556" s="13">
        <v>1.4675629323867264E-2</v>
      </c>
      <c r="O556" s="9" t="s">
        <v>63</v>
      </c>
    </row>
    <row r="557" spans="2:15" x14ac:dyDescent="0.45">
      <c r="B557" s="8" t="s">
        <v>131</v>
      </c>
      <c r="C557" s="8" t="s">
        <v>69</v>
      </c>
      <c r="D557" s="10">
        <v>7.1433582005702729E-3</v>
      </c>
      <c r="E557" s="8" t="s">
        <v>63</v>
      </c>
      <c r="G557" s="8" t="s">
        <v>151</v>
      </c>
      <c r="H557" s="8" t="s">
        <v>69</v>
      </c>
      <c r="I557" s="12">
        <v>1.4330234784326556E-2</v>
      </c>
      <c r="J557" s="8" t="s">
        <v>63</v>
      </c>
      <c r="L557" s="8" t="s">
        <v>171</v>
      </c>
      <c r="M557" s="8" t="s">
        <v>69</v>
      </c>
      <c r="N557" s="12">
        <v>1.5169741284508358E-2</v>
      </c>
      <c r="O557" s="8" t="s">
        <v>63</v>
      </c>
    </row>
    <row r="558" spans="2:15" x14ac:dyDescent="0.45">
      <c r="B558" s="9" t="s">
        <v>131</v>
      </c>
      <c r="C558" s="9" t="s">
        <v>70</v>
      </c>
      <c r="D558" s="11">
        <v>6.3964573775768274E-4</v>
      </c>
      <c r="E558" s="9" t="s">
        <v>63</v>
      </c>
      <c r="G558" s="9" t="s">
        <v>151</v>
      </c>
      <c r="H558" s="9" t="s">
        <v>70</v>
      </c>
      <c r="I558" s="13">
        <v>1.4939321235541859E-2</v>
      </c>
      <c r="J558" s="9" t="s">
        <v>63</v>
      </c>
      <c r="L558" s="9" t="s">
        <v>171</v>
      </c>
      <c r="M558" s="9" t="s">
        <v>70</v>
      </c>
      <c r="N558" s="13">
        <v>1.5499500489672554E-2</v>
      </c>
      <c r="O558" s="9" t="s">
        <v>63</v>
      </c>
    </row>
    <row r="559" spans="2:15" x14ac:dyDescent="0.45">
      <c r="B559" s="8" t="s">
        <v>131</v>
      </c>
      <c r="C559" s="8" t="s">
        <v>71</v>
      </c>
      <c r="D559" s="10">
        <v>0</v>
      </c>
      <c r="E559" s="8" t="s">
        <v>63</v>
      </c>
      <c r="G559" s="8" t="s">
        <v>151</v>
      </c>
      <c r="H559" s="8" t="s">
        <v>71</v>
      </c>
      <c r="I559" s="12">
        <v>1.5235748407026961E-2</v>
      </c>
      <c r="J559" s="8" t="s">
        <v>63</v>
      </c>
      <c r="L559" s="8" t="s">
        <v>171</v>
      </c>
      <c r="M559" s="8" t="s">
        <v>71</v>
      </c>
      <c r="N559" s="12">
        <v>1.5549106566418194E-2</v>
      </c>
      <c r="O559" s="8" t="s">
        <v>63</v>
      </c>
    </row>
    <row r="560" spans="2:15" x14ac:dyDescent="0.45">
      <c r="B560" s="9" t="s">
        <v>131</v>
      </c>
      <c r="C560" s="9" t="s">
        <v>72</v>
      </c>
      <c r="D560" s="11">
        <v>0</v>
      </c>
      <c r="E560" s="9" t="s">
        <v>63</v>
      </c>
      <c r="G560" s="9" t="s">
        <v>151</v>
      </c>
      <c r="H560" s="9" t="s">
        <v>72</v>
      </c>
      <c r="I560" s="13">
        <v>2.0528964396212244E-2</v>
      </c>
      <c r="J560" s="9" t="s">
        <v>63</v>
      </c>
      <c r="L560" s="9" t="s">
        <v>171</v>
      </c>
      <c r="M560" s="9" t="s">
        <v>72</v>
      </c>
      <c r="N560" s="13">
        <v>2.1019424716693803E-2</v>
      </c>
      <c r="O560" s="9" t="s">
        <v>63</v>
      </c>
    </row>
    <row r="561" spans="2:15" x14ac:dyDescent="0.45">
      <c r="B561" s="8" t="s">
        <v>131</v>
      </c>
      <c r="C561" s="8" t="s">
        <v>73</v>
      </c>
      <c r="D561" s="10">
        <v>0</v>
      </c>
      <c r="E561" s="8" t="s">
        <v>63</v>
      </c>
      <c r="G561" s="8" t="s">
        <v>151</v>
      </c>
      <c r="H561" s="8" t="s">
        <v>73</v>
      </c>
      <c r="I561" s="12">
        <v>3.9142207534417099E-2</v>
      </c>
      <c r="J561" s="8" t="s">
        <v>63</v>
      </c>
      <c r="L561" s="8" t="s">
        <v>171</v>
      </c>
      <c r="M561" s="8" t="s">
        <v>73</v>
      </c>
      <c r="N561" s="12">
        <v>3.8761732926018241E-2</v>
      </c>
      <c r="O561" s="8" t="s">
        <v>63</v>
      </c>
    </row>
    <row r="562" spans="2:15" x14ac:dyDescent="0.45">
      <c r="B562" s="9" t="s">
        <v>131</v>
      </c>
      <c r="C562" s="9" t="s">
        <v>74</v>
      </c>
      <c r="D562" s="11">
        <v>5.602753888763354E-3</v>
      </c>
      <c r="E562" s="9" t="s">
        <v>63</v>
      </c>
      <c r="G562" s="9" t="s">
        <v>151</v>
      </c>
      <c r="H562" s="9" t="s">
        <v>74</v>
      </c>
      <c r="I562" s="13">
        <v>1.5746613754981157E-2</v>
      </c>
      <c r="J562" s="9" t="s">
        <v>63</v>
      </c>
      <c r="L562" s="9" t="s">
        <v>171</v>
      </c>
      <c r="M562" s="9" t="s">
        <v>74</v>
      </c>
      <c r="N562" s="13">
        <v>1.4745859362083632E-2</v>
      </c>
      <c r="O562" s="9" t="s">
        <v>63</v>
      </c>
    </row>
    <row r="563" spans="2:15" x14ac:dyDescent="0.45">
      <c r="B563" s="8" t="s">
        <v>131</v>
      </c>
      <c r="C563" s="8" t="s">
        <v>75</v>
      </c>
      <c r="D563" s="10">
        <v>3.1216655377039149E-2</v>
      </c>
      <c r="E563" s="8" t="s">
        <v>63</v>
      </c>
      <c r="G563" s="8" t="s">
        <v>151</v>
      </c>
      <c r="H563" s="8" t="s">
        <v>75</v>
      </c>
      <c r="I563" s="12">
        <v>1.4794669934374385E-2</v>
      </c>
      <c r="J563" s="8" t="s">
        <v>63</v>
      </c>
      <c r="L563" s="8" t="s">
        <v>171</v>
      </c>
      <c r="M563" s="8" t="s">
        <v>75</v>
      </c>
      <c r="N563" s="12">
        <v>1.4766193922848296E-2</v>
      </c>
      <c r="O563" s="8" t="s">
        <v>63</v>
      </c>
    </row>
    <row r="564" spans="2:15" x14ac:dyDescent="0.45">
      <c r="B564" s="9" t="s">
        <v>131</v>
      </c>
      <c r="C564" s="9" t="s">
        <v>76</v>
      </c>
      <c r="D564" s="11">
        <v>4.9296999802756862E-2</v>
      </c>
      <c r="E564" s="9" t="s">
        <v>63</v>
      </c>
      <c r="G564" s="9" t="s">
        <v>151</v>
      </c>
      <c r="H564" s="9" t="s">
        <v>76</v>
      </c>
      <c r="I564" s="13">
        <v>1.4279404714808378E-2</v>
      </c>
      <c r="J564" s="9" t="s">
        <v>63</v>
      </c>
      <c r="L564" s="9" t="s">
        <v>171</v>
      </c>
      <c r="M564" s="9" t="s">
        <v>76</v>
      </c>
      <c r="N564" s="13">
        <v>1.4885041874161981E-2</v>
      </c>
      <c r="O564" s="9" t="s">
        <v>63</v>
      </c>
    </row>
    <row r="565" spans="2:15" x14ac:dyDescent="0.45">
      <c r="B565" s="8" t="s">
        <v>131</v>
      </c>
      <c r="C565" s="8" t="s">
        <v>77</v>
      </c>
      <c r="D565" s="10">
        <v>4.7393179506744786E-2</v>
      </c>
      <c r="E565" s="8" t="s">
        <v>63</v>
      </c>
      <c r="G565" s="8" t="s">
        <v>151</v>
      </c>
      <c r="H565" s="8" t="s">
        <v>77</v>
      </c>
      <c r="I565" s="12">
        <v>1.3222778480126205E-2</v>
      </c>
      <c r="J565" s="8" t="s">
        <v>63</v>
      </c>
      <c r="L565" s="8" t="s">
        <v>171</v>
      </c>
      <c r="M565" s="8" t="s">
        <v>77</v>
      </c>
      <c r="N565" s="12">
        <v>1.4393784391087782E-2</v>
      </c>
      <c r="O565" s="8" t="s">
        <v>63</v>
      </c>
    </row>
    <row r="566" spans="2:15" x14ac:dyDescent="0.45">
      <c r="B566" s="9" t="s">
        <v>131</v>
      </c>
      <c r="C566" s="9" t="s">
        <v>78</v>
      </c>
      <c r="D566" s="11">
        <v>4.6238506154555298E-2</v>
      </c>
      <c r="E566" s="9" t="s">
        <v>63</v>
      </c>
      <c r="G566" s="9" t="s">
        <v>151</v>
      </c>
      <c r="H566" s="9" t="s">
        <v>78</v>
      </c>
      <c r="I566" s="13">
        <v>1.3877893204249417E-2</v>
      </c>
      <c r="J566" s="9" t="s">
        <v>63</v>
      </c>
      <c r="L566" s="9" t="s">
        <v>171</v>
      </c>
      <c r="M566" s="9" t="s">
        <v>78</v>
      </c>
      <c r="N566" s="13">
        <v>1.46282353162836E-2</v>
      </c>
      <c r="O566" s="9" t="s">
        <v>63</v>
      </c>
    </row>
    <row r="567" spans="2:15" x14ac:dyDescent="0.45">
      <c r="B567" s="8" t="s">
        <v>131</v>
      </c>
      <c r="C567" s="8" t="s">
        <v>79</v>
      </c>
      <c r="D567" s="10">
        <v>3.6530339734375916E-2</v>
      </c>
      <c r="E567" s="8" t="s">
        <v>63</v>
      </c>
      <c r="G567" s="8" t="s">
        <v>151</v>
      </c>
      <c r="H567" s="8" t="s">
        <v>79</v>
      </c>
      <c r="I567" s="12">
        <v>1.3984607135662137E-2</v>
      </c>
      <c r="J567" s="8" t="s">
        <v>63</v>
      </c>
      <c r="L567" s="8" t="s">
        <v>171</v>
      </c>
      <c r="M567" s="8" t="s">
        <v>79</v>
      </c>
      <c r="N567" s="12">
        <v>1.5200633981083385E-2</v>
      </c>
      <c r="O567" s="8" t="s">
        <v>63</v>
      </c>
    </row>
    <row r="568" spans="2:15" x14ac:dyDescent="0.45">
      <c r="B568" s="9" t="s">
        <v>131</v>
      </c>
      <c r="C568" s="9" t="s">
        <v>80</v>
      </c>
      <c r="D568" s="11">
        <v>1.6258990064611532E-2</v>
      </c>
      <c r="E568" s="9" t="s">
        <v>63</v>
      </c>
      <c r="G568" s="9" t="s">
        <v>151</v>
      </c>
      <c r="H568" s="9" t="s">
        <v>80</v>
      </c>
      <c r="I568" s="13">
        <v>1.3791868573040442E-2</v>
      </c>
      <c r="J568" s="9" t="s">
        <v>63</v>
      </c>
      <c r="L568" s="9" t="s">
        <v>171</v>
      </c>
      <c r="M568" s="9" t="s">
        <v>80</v>
      </c>
      <c r="N568" s="13">
        <v>1.5842005518419622E-2</v>
      </c>
      <c r="O568" s="9" t="s">
        <v>63</v>
      </c>
    </row>
    <row r="569" spans="2:15" x14ac:dyDescent="0.45">
      <c r="B569" s="8" t="s">
        <v>131</v>
      </c>
      <c r="C569" s="8" t="s">
        <v>81</v>
      </c>
      <c r="D569" s="10">
        <v>7.4388201780562694E-4</v>
      </c>
      <c r="E569" s="8" t="s">
        <v>63</v>
      </c>
      <c r="G569" s="8" t="s">
        <v>151</v>
      </c>
      <c r="H569" s="8" t="s">
        <v>81</v>
      </c>
      <c r="I569" s="12">
        <v>1.5076037800955365E-2</v>
      </c>
      <c r="J569" s="8" t="s">
        <v>63</v>
      </c>
      <c r="L569" s="8" t="s">
        <v>171</v>
      </c>
      <c r="M569" s="8" t="s">
        <v>81</v>
      </c>
      <c r="N569" s="12">
        <v>1.6368842265930088E-2</v>
      </c>
      <c r="O569" s="8" t="s">
        <v>63</v>
      </c>
    </row>
    <row r="570" spans="2:15" x14ac:dyDescent="0.45">
      <c r="B570" s="9" t="s">
        <v>131</v>
      </c>
      <c r="C570" s="9" t="s">
        <v>82</v>
      </c>
      <c r="D570" s="11">
        <v>0</v>
      </c>
      <c r="E570" s="9" t="s">
        <v>63</v>
      </c>
      <c r="G570" s="9" t="s">
        <v>151</v>
      </c>
      <c r="H570" s="9" t="s">
        <v>82</v>
      </c>
      <c r="I570" s="13">
        <v>2.2967813383894337E-2</v>
      </c>
      <c r="J570" s="9" t="s">
        <v>63</v>
      </c>
      <c r="L570" s="9" t="s">
        <v>171</v>
      </c>
      <c r="M570" s="9" t="s">
        <v>82</v>
      </c>
      <c r="N570" s="13">
        <v>2.4337644419773069E-2</v>
      </c>
      <c r="O570" s="9" t="s">
        <v>63</v>
      </c>
    </row>
    <row r="571" spans="2:15" x14ac:dyDescent="0.45">
      <c r="B571" s="8" t="s">
        <v>131</v>
      </c>
      <c r="C571" s="8" t="s">
        <v>83</v>
      </c>
      <c r="D571" s="10">
        <v>1.7246122287132542E-3</v>
      </c>
      <c r="E571" s="8" t="s">
        <v>63</v>
      </c>
      <c r="G571" s="8" t="s">
        <v>151</v>
      </c>
      <c r="H571" s="8" t="s">
        <v>83</v>
      </c>
      <c r="I571" s="12">
        <v>2.7736492761962529E-2</v>
      </c>
      <c r="J571" s="8" t="s">
        <v>63</v>
      </c>
      <c r="L571" s="8" t="s">
        <v>171</v>
      </c>
      <c r="M571" s="8" t="s">
        <v>83</v>
      </c>
      <c r="N571" s="12">
        <v>2.9516952405968522E-2</v>
      </c>
      <c r="O571" s="8" t="s">
        <v>63</v>
      </c>
    </row>
    <row r="572" spans="2:15" x14ac:dyDescent="0.45">
      <c r="B572" s="9" t="s">
        <v>131</v>
      </c>
      <c r="C572" s="9" t="s">
        <v>84</v>
      </c>
      <c r="D572" s="11">
        <v>2.0529241283921487E-2</v>
      </c>
      <c r="E572" s="9" t="s">
        <v>63</v>
      </c>
      <c r="G572" s="9" t="s">
        <v>151</v>
      </c>
      <c r="H572" s="9" t="s">
        <v>84</v>
      </c>
      <c r="I572" s="13">
        <v>1.0125207942856037E-2</v>
      </c>
      <c r="J572" s="9" t="s">
        <v>63</v>
      </c>
      <c r="L572" s="9" t="s">
        <v>171</v>
      </c>
      <c r="M572" s="9" t="s">
        <v>84</v>
      </c>
      <c r="N572" s="13">
        <v>1.1198769033454837E-2</v>
      </c>
      <c r="O572" s="9" t="s">
        <v>63</v>
      </c>
    </row>
    <row r="573" spans="2:15" x14ac:dyDescent="0.45">
      <c r="B573" s="8" t="s">
        <v>131</v>
      </c>
      <c r="C573" s="8" t="s">
        <v>85</v>
      </c>
      <c r="D573" s="10">
        <v>4.0532295041979541E-2</v>
      </c>
      <c r="E573" s="8" t="s">
        <v>63</v>
      </c>
      <c r="G573" s="8" t="s">
        <v>151</v>
      </c>
      <c r="H573" s="8" t="s">
        <v>85</v>
      </c>
      <c r="I573" s="12">
        <v>8.5073678607110424E-3</v>
      </c>
      <c r="J573" s="8" t="s">
        <v>63</v>
      </c>
      <c r="L573" s="8" t="s">
        <v>171</v>
      </c>
      <c r="M573" s="8" t="s">
        <v>85</v>
      </c>
      <c r="N573" s="12">
        <v>1.0948192220284109E-2</v>
      </c>
      <c r="O573" s="8" t="s">
        <v>63</v>
      </c>
    </row>
    <row r="574" spans="2:15" x14ac:dyDescent="0.45">
      <c r="B574" s="9" t="s">
        <v>131</v>
      </c>
      <c r="C574" s="9" t="s">
        <v>86</v>
      </c>
      <c r="D574" s="11">
        <v>5.0592656717870284E-2</v>
      </c>
      <c r="E574" s="9" t="s">
        <v>63</v>
      </c>
      <c r="G574" s="9" t="s">
        <v>151</v>
      </c>
      <c r="H574" s="9" t="s">
        <v>86</v>
      </c>
      <c r="I574" s="13">
        <v>1.006254183450681E-2</v>
      </c>
      <c r="J574" s="9" t="s">
        <v>63</v>
      </c>
      <c r="L574" s="9" t="s">
        <v>171</v>
      </c>
      <c r="M574" s="9" t="s">
        <v>86</v>
      </c>
      <c r="N574" s="13">
        <v>1.0635897659664689E-2</v>
      </c>
      <c r="O574" s="9" t="s">
        <v>63</v>
      </c>
    </row>
    <row r="575" spans="2:15" x14ac:dyDescent="0.45">
      <c r="B575" s="8" t="s">
        <v>131</v>
      </c>
      <c r="C575" s="8" t="s">
        <v>87</v>
      </c>
      <c r="D575" s="10">
        <v>5.0643211626270057E-2</v>
      </c>
      <c r="E575" s="8" t="s">
        <v>63</v>
      </c>
      <c r="G575" s="8" t="s">
        <v>151</v>
      </c>
      <c r="H575" s="8" t="s">
        <v>87</v>
      </c>
      <c r="I575" s="12">
        <v>9.9417583670672136E-3</v>
      </c>
      <c r="J575" s="8" t="s">
        <v>63</v>
      </c>
      <c r="L575" s="8" t="s">
        <v>171</v>
      </c>
      <c r="M575" s="8" t="s">
        <v>87</v>
      </c>
      <c r="N575" s="12">
        <v>9.7498324660851288E-3</v>
      </c>
      <c r="O575" s="8" t="s">
        <v>63</v>
      </c>
    </row>
    <row r="576" spans="2:15" x14ac:dyDescent="0.45">
      <c r="B576" s="9" t="s">
        <v>131</v>
      </c>
      <c r="C576" s="9" t="s">
        <v>88</v>
      </c>
      <c r="D576" s="11">
        <v>5.0067409538812717E-2</v>
      </c>
      <c r="E576" s="9" t="s">
        <v>63</v>
      </c>
      <c r="G576" s="9" t="s">
        <v>151</v>
      </c>
      <c r="H576" s="9" t="s">
        <v>88</v>
      </c>
      <c r="I576" s="13">
        <v>1.0961701611780372E-2</v>
      </c>
      <c r="J576" s="9" t="s">
        <v>63</v>
      </c>
      <c r="L576" s="9" t="s">
        <v>171</v>
      </c>
      <c r="M576" s="9" t="s">
        <v>88</v>
      </c>
      <c r="N576" s="13">
        <v>9.8822066777779615E-3</v>
      </c>
      <c r="O576" s="9" t="s">
        <v>63</v>
      </c>
    </row>
    <row r="577" spans="2:15" x14ac:dyDescent="0.45">
      <c r="B577" s="8" t="s">
        <v>131</v>
      </c>
      <c r="C577" s="8" t="s">
        <v>89</v>
      </c>
      <c r="D577" s="10">
        <v>4.3042531865665402E-2</v>
      </c>
      <c r="E577" s="8" t="s">
        <v>63</v>
      </c>
      <c r="G577" s="8" t="s">
        <v>151</v>
      </c>
      <c r="H577" s="8" t="s">
        <v>89</v>
      </c>
      <c r="I577" s="12">
        <v>1.0568419358936114E-2</v>
      </c>
      <c r="J577" s="8" t="s">
        <v>63</v>
      </c>
      <c r="L577" s="8" t="s">
        <v>171</v>
      </c>
      <c r="M577" s="8" t="s">
        <v>89</v>
      </c>
      <c r="N577" s="12">
        <v>9.8156054685789081E-3</v>
      </c>
      <c r="O577" s="8" t="s">
        <v>63</v>
      </c>
    </row>
    <row r="578" spans="2:15" x14ac:dyDescent="0.45">
      <c r="B578" s="9" t="s">
        <v>131</v>
      </c>
      <c r="C578" s="9" t="s">
        <v>90</v>
      </c>
      <c r="D578" s="11">
        <v>2.6232838573436532E-2</v>
      </c>
      <c r="E578" s="9" t="s">
        <v>63</v>
      </c>
      <c r="G578" s="9" t="s">
        <v>151</v>
      </c>
      <c r="H578" s="9" t="s">
        <v>90</v>
      </c>
      <c r="I578" s="13">
        <v>9.5330744038750904E-3</v>
      </c>
      <c r="J578" s="9" t="s">
        <v>63</v>
      </c>
      <c r="L578" s="9" t="s">
        <v>171</v>
      </c>
      <c r="M578" s="9" t="s">
        <v>90</v>
      </c>
      <c r="N578" s="13">
        <v>9.4987893233153698E-3</v>
      </c>
      <c r="O578" s="9" t="s">
        <v>63</v>
      </c>
    </row>
    <row r="579" spans="2:15" x14ac:dyDescent="0.45">
      <c r="B579" s="8" t="s">
        <v>131</v>
      </c>
      <c r="C579" s="8" t="s">
        <v>91</v>
      </c>
      <c r="D579" s="10">
        <v>7.6078874049928403E-3</v>
      </c>
      <c r="E579" s="8" t="s">
        <v>63</v>
      </c>
      <c r="G579" s="8" t="s">
        <v>151</v>
      </c>
      <c r="H579" s="8" t="s">
        <v>91</v>
      </c>
      <c r="I579" s="12">
        <v>9.3283569605610312E-3</v>
      </c>
      <c r="J579" s="8" t="s">
        <v>63</v>
      </c>
      <c r="L579" s="8" t="s">
        <v>171</v>
      </c>
      <c r="M579" s="8" t="s">
        <v>91</v>
      </c>
      <c r="N579" s="12">
        <v>9.717006091796352E-3</v>
      </c>
      <c r="O579" s="8" t="s">
        <v>63</v>
      </c>
    </row>
    <row r="580" spans="2:15" x14ac:dyDescent="0.45">
      <c r="B580" s="9" t="s">
        <v>131</v>
      </c>
      <c r="C580" s="9" t="s">
        <v>92</v>
      </c>
      <c r="D580" s="11">
        <v>0</v>
      </c>
      <c r="E580" s="9" t="s">
        <v>63</v>
      </c>
      <c r="G580" s="9" t="s">
        <v>151</v>
      </c>
      <c r="H580" s="9" t="s">
        <v>92</v>
      </c>
      <c r="I580" s="13">
        <v>1.6826222648562175E-2</v>
      </c>
      <c r="J580" s="9" t="s">
        <v>63</v>
      </c>
      <c r="L580" s="9" t="s">
        <v>171</v>
      </c>
      <c r="M580" s="9" t="s">
        <v>92</v>
      </c>
      <c r="N580" s="13">
        <v>1.6591809582594548E-2</v>
      </c>
      <c r="O580" s="9" t="s">
        <v>63</v>
      </c>
    </row>
    <row r="581" spans="2:15" x14ac:dyDescent="0.45">
      <c r="B581" s="8" t="s">
        <v>131</v>
      </c>
      <c r="C581" s="8" t="s">
        <v>93</v>
      </c>
      <c r="D581" s="10">
        <v>6.4304645691140919E-4</v>
      </c>
      <c r="E581" s="8" t="s">
        <v>63</v>
      </c>
      <c r="G581" s="8" t="s">
        <v>151</v>
      </c>
      <c r="H581" s="8" t="s">
        <v>93</v>
      </c>
      <c r="I581" s="12">
        <v>2.1446912379864614E-2</v>
      </c>
      <c r="J581" s="8" t="s">
        <v>63</v>
      </c>
      <c r="L581" s="8" t="s">
        <v>171</v>
      </c>
      <c r="M581" s="8" t="s">
        <v>93</v>
      </c>
      <c r="N581" s="12">
        <v>2.3745671170657689E-2</v>
      </c>
      <c r="O581" s="8" t="s">
        <v>63</v>
      </c>
    </row>
    <row r="582" spans="2:15" x14ac:dyDescent="0.45">
      <c r="B582" s="9" t="s">
        <v>131</v>
      </c>
      <c r="C582" s="9" t="s">
        <v>94</v>
      </c>
      <c r="D582" s="11">
        <v>1.5298720103423563E-2</v>
      </c>
      <c r="E582" s="9" t="s">
        <v>63</v>
      </c>
      <c r="G582" s="9" t="s">
        <v>151</v>
      </c>
      <c r="H582" s="9" t="s">
        <v>94</v>
      </c>
      <c r="I582" s="13">
        <v>8.972009124313526E-3</v>
      </c>
      <c r="J582" s="9" t="s">
        <v>63</v>
      </c>
      <c r="L582" s="9" t="s">
        <v>171</v>
      </c>
      <c r="M582" s="9" t="s">
        <v>94</v>
      </c>
      <c r="N582" s="13">
        <v>9.1608163171999612E-3</v>
      </c>
      <c r="O582" s="9" t="s">
        <v>63</v>
      </c>
    </row>
    <row r="583" spans="2:15" x14ac:dyDescent="0.45">
      <c r="B583" s="8" t="s">
        <v>131</v>
      </c>
      <c r="C583" s="8" t="s">
        <v>95</v>
      </c>
      <c r="D583" s="10">
        <v>3.5651843574784237E-2</v>
      </c>
      <c r="E583" s="8" t="s">
        <v>63</v>
      </c>
      <c r="G583" s="8" t="s">
        <v>151</v>
      </c>
      <c r="H583" s="8" t="s">
        <v>95</v>
      </c>
      <c r="I583" s="12">
        <v>8.0759732225774306E-3</v>
      </c>
      <c r="J583" s="8" t="s">
        <v>63</v>
      </c>
      <c r="L583" s="8" t="s">
        <v>171</v>
      </c>
      <c r="M583" s="8" t="s">
        <v>95</v>
      </c>
      <c r="N583" s="12">
        <v>9.1322558519221723E-3</v>
      </c>
      <c r="O583" s="8" t="s">
        <v>63</v>
      </c>
    </row>
    <row r="584" spans="2:15" x14ac:dyDescent="0.45">
      <c r="B584" s="9" t="s">
        <v>131</v>
      </c>
      <c r="C584" s="9" t="s">
        <v>96</v>
      </c>
      <c r="D584" s="11">
        <v>4.7011316981510051E-2</v>
      </c>
      <c r="E584" s="9" t="s">
        <v>63</v>
      </c>
      <c r="G584" s="9" t="s">
        <v>151</v>
      </c>
      <c r="H584" s="9" t="s">
        <v>96</v>
      </c>
      <c r="I584" s="13">
        <v>8.7681666280051262E-3</v>
      </c>
      <c r="J584" s="9" t="s">
        <v>63</v>
      </c>
      <c r="L584" s="9" t="s">
        <v>171</v>
      </c>
      <c r="M584" s="9" t="s">
        <v>96</v>
      </c>
      <c r="N584" s="13">
        <v>9.5218265642042065E-3</v>
      </c>
      <c r="O584" s="9" t="s">
        <v>63</v>
      </c>
    </row>
    <row r="585" spans="2:15" x14ac:dyDescent="0.45">
      <c r="B585" s="8" t="s">
        <v>131</v>
      </c>
      <c r="C585" s="8" t="s">
        <v>97</v>
      </c>
      <c r="D585" s="10">
        <v>4.8069110698684712E-2</v>
      </c>
      <c r="E585" s="8" t="s">
        <v>63</v>
      </c>
      <c r="G585" s="8" t="s">
        <v>151</v>
      </c>
      <c r="H585" s="8" t="s">
        <v>97</v>
      </c>
      <c r="I585" s="12">
        <v>8.4402203384456725E-3</v>
      </c>
      <c r="J585" s="8" t="s">
        <v>63</v>
      </c>
      <c r="L585" s="8" t="s">
        <v>171</v>
      </c>
      <c r="M585" s="8" t="s">
        <v>97</v>
      </c>
      <c r="N585" s="12">
        <v>8.8214769500101261E-3</v>
      </c>
      <c r="O585" s="8" t="s">
        <v>63</v>
      </c>
    </row>
    <row r="586" spans="2:15" x14ac:dyDescent="0.45">
      <c r="B586" s="9" t="s">
        <v>131</v>
      </c>
      <c r="C586" s="9" t="s">
        <v>98</v>
      </c>
      <c r="D586" s="11">
        <v>4.7445031219797131E-2</v>
      </c>
      <c r="E586" s="9" t="s">
        <v>63</v>
      </c>
      <c r="G586" s="9" t="s">
        <v>151</v>
      </c>
      <c r="H586" s="9" t="s">
        <v>98</v>
      </c>
      <c r="I586" s="13">
        <v>9.867374594503802E-3</v>
      </c>
      <c r="J586" s="9" t="s">
        <v>63</v>
      </c>
      <c r="L586" s="9" t="s">
        <v>171</v>
      </c>
      <c r="M586" s="9" t="s">
        <v>98</v>
      </c>
      <c r="N586" s="13">
        <v>9.4021206390370853E-3</v>
      </c>
      <c r="O586" s="9" t="s">
        <v>63</v>
      </c>
    </row>
    <row r="587" spans="2:15" x14ac:dyDescent="0.45">
      <c r="B587" s="8" t="s">
        <v>131</v>
      </c>
      <c r="C587" s="8" t="s">
        <v>99</v>
      </c>
      <c r="D587" s="10">
        <v>4.1483543160956357E-2</v>
      </c>
      <c r="E587" s="8" t="s">
        <v>63</v>
      </c>
      <c r="G587" s="8" t="s">
        <v>151</v>
      </c>
      <c r="H587" s="8" t="s">
        <v>99</v>
      </c>
      <c r="I587" s="12">
        <v>9.9634086152340477E-3</v>
      </c>
      <c r="J587" s="8" t="s">
        <v>63</v>
      </c>
      <c r="L587" s="8" t="s">
        <v>171</v>
      </c>
      <c r="M587" s="8" t="s">
        <v>99</v>
      </c>
      <c r="N587" s="12">
        <v>9.8710210842734066E-3</v>
      </c>
      <c r="O587" s="8" t="s">
        <v>63</v>
      </c>
    </row>
    <row r="588" spans="2:15" x14ac:dyDescent="0.45">
      <c r="B588" s="9" t="s">
        <v>131</v>
      </c>
      <c r="C588" s="9" t="s">
        <v>100</v>
      </c>
      <c r="D588" s="11">
        <v>2.8476835270154734E-2</v>
      </c>
      <c r="E588" s="9" t="s">
        <v>63</v>
      </c>
      <c r="G588" s="9" t="s">
        <v>151</v>
      </c>
      <c r="H588" s="9" t="s">
        <v>100</v>
      </c>
      <c r="I588" s="13">
        <v>8.585106823219564E-3</v>
      </c>
      <c r="J588" s="9" t="s">
        <v>63</v>
      </c>
      <c r="L588" s="9" t="s">
        <v>171</v>
      </c>
      <c r="M588" s="9" t="s">
        <v>100</v>
      </c>
      <c r="N588" s="13">
        <v>1.0446052651855371E-2</v>
      </c>
      <c r="O588" s="9" t="s">
        <v>63</v>
      </c>
    </row>
    <row r="589" spans="2:15" x14ac:dyDescent="0.45">
      <c r="B589" s="8" t="s">
        <v>131</v>
      </c>
      <c r="C589" s="8" t="s">
        <v>101</v>
      </c>
      <c r="D589" s="10">
        <v>7.8007888360578084E-3</v>
      </c>
      <c r="E589" s="8" t="s">
        <v>63</v>
      </c>
      <c r="G589" s="8" t="s">
        <v>151</v>
      </c>
      <c r="H589" s="8" t="s">
        <v>101</v>
      </c>
      <c r="I589" s="12">
        <v>7.812932484826075E-3</v>
      </c>
      <c r="J589" s="8" t="s">
        <v>63</v>
      </c>
      <c r="L589" s="8" t="s">
        <v>171</v>
      </c>
      <c r="M589" s="8" t="s">
        <v>101</v>
      </c>
      <c r="N589" s="12">
        <v>1.0452178695489962E-2</v>
      </c>
      <c r="O589" s="8" t="s">
        <v>63</v>
      </c>
    </row>
    <row r="590" spans="2:15" x14ac:dyDescent="0.45">
      <c r="B590" s="9" t="s">
        <v>131</v>
      </c>
      <c r="C590" s="9" t="s">
        <v>102</v>
      </c>
      <c r="D590" s="11">
        <v>0</v>
      </c>
      <c r="E590" s="9" t="s">
        <v>63</v>
      </c>
      <c r="G590" s="9" t="s">
        <v>151</v>
      </c>
      <c r="H590" s="9" t="s">
        <v>102</v>
      </c>
      <c r="I590" s="13">
        <v>1.2685181450589294E-2</v>
      </c>
      <c r="J590" s="9" t="s">
        <v>63</v>
      </c>
      <c r="L590" s="9" t="s">
        <v>171</v>
      </c>
      <c r="M590" s="9" t="s">
        <v>102</v>
      </c>
      <c r="N590" s="13">
        <v>1.5649304930308257E-2</v>
      </c>
      <c r="O590" s="9" t="s">
        <v>63</v>
      </c>
    </row>
    <row r="591" spans="2:15" x14ac:dyDescent="0.45">
      <c r="B591" s="8" t="s">
        <v>131</v>
      </c>
      <c r="C591" s="8" t="s">
        <v>103</v>
      </c>
      <c r="D591" s="10">
        <v>0</v>
      </c>
      <c r="E591" s="8" t="s">
        <v>63</v>
      </c>
      <c r="G591" s="8" t="s">
        <v>151</v>
      </c>
      <c r="H591" s="8" t="s">
        <v>103</v>
      </c>
      <c r="I591" s="12">
        <v>3.676635273026032E-2</v>
      </c>
      <c r="J591" s="8" t="s">
        <v>63</v>
      </c>
      <c r="L591" s="8" t="s">
        <v>171</v>
      </c>
      <c r="M591" s="8" t="s">
        <v>103</v>
      </c>
      <c r="N591" s="12">
        <v>3.4667584661784497E-2</v>
      </c>
      <c r="O591" s="8" t="s">
        <v>63</v>
      </c>
    </row>
    <row r="592" spans="2:15" x14ac:dyDescent="0.45">
      <c r="B592" s="9" t="s">
        <v>131</v>
      </c>
      <c r="C592" s="9" t="s">
        <v>104</v>
      </c>
      <c r="D592" s="11">
        <v>1.5147721294619043E-3</v>
      </c>
      <c r="E592" s="9" t="s">
        <v>63</v>
      </c>
      <c r="G592" s="9" t="s">
        <v>151</v>
      </c>
      <c r="H592" s="9" t="s">
        <v>104</v>
      </c>
      <c r="I592" s="13">
        <v>1.4130391333978868E-2</v>
      </c>
      <c r="J592" s="9" t="s">
        <v>63</v>
      </c>
      <c r="L592" s="9" t="s">
        <v>171</v>
      </c>
      <c r="M592" s="9" t="s">
        <v>104</v>
      </c>
      <c r="N592" s="13">
        <v>1.288133862514901E-2</v>
      </c>
      <c r="O592" s="9" t="s">
        <v>63</v>
      </c>
    </row>
    <row r="593" spans="2:15" x14ac:dyDescent="0.45">
      <c r="B593" s="8" t="s">
        <v>131</v>
      </c>
      <c r="C593" s="8" t="s">
        <v>105</v>
      </c>
      <c r="D593" s="10">
        <v>1.4927947985035191E-2</v>
      </c>
      <c r="E593" s="8" t="s">
        <v>63</v>
      </c>
      <c r="G593" s="8" t="s">
        <v>151</v>
      </c>
      <c r="H593" s="8" t="s">
        <v>105</v>
      </c>
      <c r="I593" s="12">
        <v>1.3812457739289274E-2</v>
      </c>
      <c r="J593" s="8" t="s">
        <v>63</v>
      </c>
      <c r="L593" s="8" t="s">
        <v>171</v>
      </c>
      <c r="M593" s="8" t="s">
        <v>105</v>
      </c>
      <c r="N593" s="12">
        <v>1.3177410088234353E-2</v>
      </c>
      <c r="O593" s="8" t="s">
        <v>63</v>
      </c>
    </row>
    <row r="594" spans="2:15" x14ac:dyDescent="0.45">
      <c r="B594" s="9" t="s">
        <v>131</v>
      </c>
      <c r="C594" s="9" t="s">
        <v>106</v>
      </c>
      <c r="D594" s="11">
        <v>2.5913325246438416E-2</v>
      </c>
      <c r="E594" s="9" t="s">
        <v>63</v>
      </c>
      <c r="G594" s="9" t="s">
        <v>151</v>
      </c>
      <c r="H594" s="9" t="s">
        <v>106</v>
      </c>
      <c r="I594" s="13">
        <v>1.3471811643511633E-2</v>
      </c>
      <c r="J594" s="9" t="s">
        <v>63</v>
      </c>
      <c r="L594" s="9" t="s">
        <v>171</v>
      </c>
      <c r="M594" s="9" t="s">
        <v>106</v>
      </c>
      <c r="N594" s="13">
        <v>1.3360073489373981E-2</v>
      </c>
      <c r="O594" s="9" t="s">
        <v>63</v>
      </c>
    </row>
    <row r="595" spans="2:15" x14ac:dyDescent="0.45">
      <c r="B595" s="8" t="s">
        <v>131</v>
      </c>
      <c r="C595" s="8" t="s">
        <v>107</v>
      </c>
      <c r="D595" s="10">
        <v>2.6512819117488606E-2</v>
      </c>
      <c r="E595" s="8" t="s">
        <v>63</v>
      </c>
      <c r="G595" s="8" t="s">
        <v>151</v>
      </c>
      <c r="H595" s="8" t="s">
        <v>107</v>
      </c>
      <c r="I595" s="12">
        <v>1.3686719000359745E-2</v>
      </c>
      <c r="J595" s="8" t="s">
        <v>63</v>
      </c>
      <c r="L595" s="8" t="s">
        <v>171</v>
      </c>
      <c r="M595" s="8" t="s">
        <v>107</v>
      </c>
      <c r="N595" s="12">
        <v>1.306360993308798E-2</v>
      </c>
      <c r="O595" s="8" t="s">
        <v>63</v>
      </c>
    </row>
    <row r="596" spans="2:15" x14ac:dyDescent="0.45">
      <c r="B596" s="9" t="s">
        <v>131</v>
      </c>
      <c r="C596" s="9" t="s">
        <v>108</v>
      </c>
      <c r="D596" s="11">
        <v>2.6521427028063222E-2</v>
      </c>
      <c r="E596" s="9" t="s">
        <v>63</v>
      </c>
      <c r="G596" s="9" t="s">
        <v>151</v>
      </c>
      <c r="H596" s="9" t="s">
        <v>108</v>
      </c>
      <c r="I596" s="13">
        <v>1.4084491918656178E-2</v>
      </c>
      <c r="J596" s="9" t="s">
        <v>63</v>
      </c>
      <c r="L596" s="9" t="s">
        <v>171</v>
      </c>
      <c r="M596" s="9" t="s">
        <v>108</v>
      </c>
      <c r="N596" s="13">
        <v>1.3175815201032851E-2</v>
      </c>
      <c r="O596" s="9" t="s">
        <v>63</v>
      </c>
    </row>
    <row r="597" spans="2:15" x14ac:dyDescent="0.45">
      <c r="B597" s="8" t="s">
        <v>131</v>
      </c>
      <c r="C597" s="8" t="s">
        <v>109</v>
      </c>
      <c r="D597" s="10">
        <v>1.9114905118309777E-2</v>
      </c>
      <c r="E597" s="8" t="s">
        <v>63</v>
      </c>
      <c r="G597" s="8" t="s">
        <v>151</v>
      </c>
      <c r="H597" s="8" t="s">
        <v>109</v>
      </c>
      <c r="I597" s="12">
        <v>1.4094106449924095E-2</v>
      </c>
      <c r="J597" s="8" t="s">
        <v>63</v>
      </c>
      <c r="L597" s="8" t="s">
        <v>171</v>
      </c>
      <c r="M597" s="8" t="s">
        <v>109</v>
      </c>
      <c r="N597" s="12">
        <v>1.3532465107843833E-2</v>
      </c>
      <c r="O597" s="8" t="s">
        <v>63</v>
      </c>
    </row>
    <row r="598" spans="2:15" x14ac:dyDescent="0.45">
      <c r="B598" s="9" t="s">
        <v>131</v>
      </c>
      <c r="C598" s="9" t="s">
        <v>110</v>
      </c>
      <c r="D598" s="11">
        <v>5.8973748573326957E-3</v>
      </c>
      <c r="E598" s="9" t="s">
        <v>63</v>
      </c>
      <c r="G598" s="9" t="s">
        <v>151</v>
      </c>
      <c r="H598" s="9" t="s">
        <v>110</v>
      </c>
      <c r="I598" s="13">
        <v>1.504029404189039E-2</v>
      </c>
      <c r="J598" s="9" t="s">
        <v>63</v>
      </c>
      <c r="L598" s="9" t="s">
        <v>171</v>
      </c>
      <c r="M598" s="9" t="s">
        <v>110</v>
      </c>
      <c r="N598" s="13">
        <v>1.4444937074394983E-2</v>
      </c>
      <c r="O598" s="9" t="s">
        <v>63</v>
      </c>
    </row>
    <row r="599" spans="2:15" x14ac:dyDescent="0.45">
      <c r="B599" s="8" t="s">
        <v>131</v>
      </c>
      <c r="C599" s="8" t="s">
        <v>111</v>
      </c>
      <c r="D599" s="10">
        <v>0</v>
      </c>
      <c r="E599" s="8" t="s">
        <v>63</v>
      </c>
      <c r="G599" s="8" t="s">
        <v>151</v>
      </c>
      <c r="H599" s="8" t="s">
        <v>111</v>
      </c>
      <c r="I599" s="12">
        <v>1.6071612303975347E-2</v>
      </c>
      <c r="J599" s="8" t="s">
        <v>63</v>
      </c>
      <c r="L599" s="8" t="s">
        <v>171</v>
      </c>
      <c r="M599" s="8" t="s">
        <v>111</v>
      </c>
      <c r="N599" s="12">
        <v>1.5193255193987216E-2</v>
      </c>
      <c r="O599" s="8" t="s">
        <v>63</v>
      </c>
    </row>
    <row r="600" spans="2:15" x14ac:dyDescent="0.45">
      <c r="B600" s="9" t="s">
        <v>131</v>
      </c>
      <c r="C600" s="9" t="s">
        <v>112</v>
      </c>
      <c r="D600" s="11">
        <v>0</v>
      </c>
      <c r="E600" s="9" t="s">
        <v>63</v>
      </c>
      <c r="G600" s="9" t="s">
        <v>151</v>
      </c>
      <c r="H600" s="9" t="s">
        <v>112</v>
      </c>
      <c r="I600" s="13">
        <v>2.4259938545289531E-2</v>
      </c>
      <c r="J600" s="9" t="s">
        <v>63</v>
      </c>
      <c r="L600" s="9" t="s">
        <v>171</v>
      </c>
      <c r="M600" s="9" t="s">
        <v>112</v>
      </c>
      <c r="N600" s="13">
        <v>2.2432787005437407E-2</v>
      </c>
      <c r="O600" s="9" t="s">
        <v>63</v>
      </c>
    </row>
    <row r="601" spans="2:15" x14ac:dyDescent="0.45">
      <c r="B601" s="8" t="s">
        <v>131</v>
      </c>
      <c r="C601" s="8" t="s">
        <v>113</v>
      </c>
      <c r="D601" s="10">
        <v>0</v>
      </c>
      <c r="E601" s="8" t="s">
        <v>63</v>
      </c>
      <c r="G601" s="8" t="s">
        <v>151</v>
      </c>
      <c r="H601" s="8" t="s">
        <v>113</v>
      </c>
      <c r="I601" s="12">
        <v>5.2565495146963979E-2</v>
      </c>
      <c r="J601" s="8" t="s">
        <v>63</v>
      </c>
      <c r="L601" s="8" t="s">
        <v>171</v>
      </c>
      <c r="M601" s="8" t="s">
        <v>113</v>
      </c>
      <c r="N601" s="12">
        <v>4.8673166944933323E-2</v>
      </c>
      <c r="O601" s="8" t="s">
        <v>63</v>
      </c>
    </row>
    <row r="602" spans="2:15" x14ac:dyDescent="0.45">
      <c r="B602" s="9" t="s">
        <v>131</v>
      </c>
      <c r="C602" s="9" t="s">
        <v>114</v>
      </c>
      <c r="D602" s="11">
        <v>0</v>
      </c>
      <c r="E602" s="9" t="s">
        <v>63</v>
      </c>
      <c r="G602" s="9" t="s">
        <v>151</v>
      </c>
      <c r="H602" s="9" t="s">
        <v>114</v>
      </c>
      <c r="I602" s="13">
        <v>2.128765349796969E-2</v>
      </c>
      <c r="J602" s="9" t="s">
        <v>63</v>
      </c>
      <c r="L602" s="9" t="s">
        <v>171</v>
      </c>
      <c r="M602" s="9" t="s">
        <v>114</v>
      </c>
      <c r="N602" s="13">
        <v>1.9661756081326785E-2</v>
      </c>
      <c r="O602" s="9" t="s">
        <v>63</v>
      </c>
    </row>
    <row r="603" spans="2:15" x14ac:dyDescent="0.45">
      <c r="B603" s="8" t="s">
        <v>131</v>
      </c>
      <c r="C603" s="8" t="s">
        <v>115</v>
      </c>
      <c r="D603" s="10">
        <v>5.5547846304124444E-4</v>
      </c>
      <c r="E603" s="8" t="s">
        <v>63</v>
      </c>
      <c r="G603" s="8" t="s">
        <v>151</v>
      </c>
      <c r="H603" s="8" t="s">
        <v>115</v>
      </c>
      <c r="I603" s="12">
        <v>2.1442888476951263E-2</v>
      </c>
      <c r="J603" s="8" t="s">
        <v>63</v>
      </c>
      <c r="L603" s="8" t="s">
        <v>171</v>
      </c>
      <c r="M603" s="8" t="s">
        <v>115</v>
      </c>
      <c r="N603" s="12">
        <v>1.9977249561040675E-2</v>
      </c>
      <c r="O603" s="8" t="s">
        <v>63</v>
      </c>
    </row>
    <row r="604" spans="2:15" x14ac:dyDescent="0.45">
      <c r="B604" s="9" t="s">
        <v>131</v>
      </c>
      <c r="C604" s="9" t="s">
        <v>116</v>
      </c>
      <c r="D604" s="11">
        <v>7.454579404820103E-3</v>
      </c>
      <c r="E604" s="9" t="s">
        <v>63</v>
      </c>
      <c r="G604" s="9" t="s">
        <v>151</v>
      </c>
      <c r="H604" s="9" t="s">
        <v>116</v>
      </c>
      <c r="I604" s="13">
        <v>2.1407227064066902E-2</v>
      </c>
      <c r="J604" s="9" t="s">
        <v>63</v>
      </c>
      <c r="L604" s="9" t="s">
        <v>171</v>
      </c>
      <c r="M604" s="9" t="s">
        <v>116</v>
      </c>
      <c r="N604" s="13">
        <v>1.9559566043827067E-2</v>
      </c>
      <c r="O604" s="9" t="s">
        <v>63</v>
      </c>
    </row>
    <row r="605" spans="2:15" x14ac:dyDescent="0.45">
      <c r="B605" s="8" t="s">
        <v>131</v>
      </c>
      <c r="C605" s="8" t="s">
        <v>117</v>
      </c>
      <c r="D605" s="10">
        <v>1.0354013162282591E-2</v>
      </c>
      <c r="E605" s="8" t="s">
        <v>63</v>
      </c>
      <c r="G605" s="8" t="s">
        <v>151</v>
      </c>
      <c r="H605" s="8" t="s">
        <v>117</v>
      </c>
      <c r="I605" s="12">
        <v>2.0773817620536532E-2</v>
      </c>
      <c r="J605" s="8" t="s">
        <v>63</v>
      </c>
      <c r="L605" s="8" t="s">
        <v>171</v>
      </c>
      <c r="M605" s="8" t="s">
        <v>117</v>
      </c>
      <c r="N605" s="12">
        <v>1.9763037740806094E-2</v>
      </c>
      <c r="O605" s="8" t="s">
        <v>63</v>
      </c>
    </row>
    <row r="606" spans="2:15" x14ac:dyDescent="0.45">
      <c r="B606" s="9" t="s">
        <v>131</v>
      </c>
      <c r="C606" s="9" t="s">
        <v>118</v>
      </c>
      <c r="D606" s="11">
        <v>9.3868162096432794E-3</v>
      </c>
      <c r="E606" s="9" t="s">
        <v>63</v>
      </c>
      <c r="G606" s="9" t="s">
        <v>151</v>
      </c>
      <c r="H606" s="9" t="s">
        <v>118</v>
      </c>
      <c r="I606" s="13">
        <v>2.0473068375387756E-2</v>
      </c>
      <c r="J606" s="9" t="s">
        <v>63</v>
      </c>
      <c r="L606" s="9" t="s">
        <v>171</v>
      </c>
      <c r="M606" s="9" t="s">
        <v>118</v>
      </c>
      <c r="N606" s="13">
        <v>1.9506470109189929E-2</v>
      </c>
      <c r="O606" s="9" t="s">
        <v>63</v>
      </c>
    </row>
    <row r="607" spans="2:15" x14ac:dyDescent="0.45">
      <c r="B607" s="8" t="s">
        <v>131</v>
      </c>
      <c r="C607" s="8" t="s">
        <v>119</v>
      </c>
      <c r="D607" s="10">
        <v>2.4621283564059408E-3</v>
      </c>
      <c r="E607" s="8" t="s">
        <v>63</v>
      </c>
      <c r="G607" s="8" t="s">
        <v>151</v>
      </c>
      <c r="H607" s="8" t="s">
        <v>119</v>
      </c>
      <c r="I607" s="12">
        <v>2.0517494087218667E-2</v>
      </c>
      <c r="J607" s="8" t="s">
        <v>63</v>
      </c>
      <c r="L607" s="8" t="s">
        <v>171</v>
      </c>
      <c r="M607" s="8" t="s">
        <v>119</v>
      </c>
      <c r="N607" s="12">
        <v>1.9352992067069572E-2</v>
      </c>
      <c r="O607" s="8" t="s">
        <v>63</v>
      </c>
    </row>
    <row r="608" spans="2:15" x14ac:dyDescent="0.45">
      <c r="B608" s="9" t="s">
        <v>131</v>
      </c>
      <c r="C608" s="9" t="s">
        <v>120</v>
      </c>
      <c r="D608" s="11">
        <v>0</v>
      </c>
      <c r="E608" s="9" t="s">
        <v>63</v>
      </c>
      <c r="G608" s="9" t="s">
        <v>151</v>
      </c>
      <c r="H608" s="9" t="s">
        <v>120</v>
      </c>
      <c r="I608" s="13">
        <v>2.1115232361104606E-2</v>
      </c>
      <c r="J608" s="9" t="s">
        <v>63</v>
      </c>
      <c r="L608" s="9" t="s">
        <v>171</v>
      </c>
      <c r="M608" s="9" t="s">
        <v>120</v>
      </c>
      <c r="N608" s="13">
        <v>1.9593833654118747E-2</v>
      </c>
      <c r="O608" s="9" t="s">
        <v>63</v>
      </c>
    </row>
    <row r="609" spans="2:15" x14ac:dyDescent="0.45">
      <c r="B609" s="8" t="s">
        <v>131</v>
      </c>
      <c r="C609" s="8" t="s">
        <v>121</v>
      </c>
      <c r="D609" s="10">
        <v>0</v>
      </c>
      <c r="E609" s="8" t="s">
        <v>63</v>
      </c>
      <c r="G609" s="8" t="s">
        <v>151</v>
      </c>
      <c r="H609" s="8" t="s">
        <v>121</v>
      </c>
      <c r="I609" s="12">
        <v>2.1612792871106606E-2</v>
      </c>
      <c r="J609" s="8" t="s">
        <v>63</v>
      </c>
      <c r="L609" s="8" t="s">
        <v>171</v>
      </c>
      <c r="M609" s="8" t="s">
        <v>121</v>
      </c>
      <c r="N609" s="12">
        <v>1.9946915953030445E-2</v>
      </c>
      <c r="O609" s="8" t="s">
        <v>63</v>
      </c>
    </row>
    <row r="610" spans="2:15" x14ac:dyDescent="0.45">
      <c r="B610" s="9" t="s">
        <v>131</v>
      </c>
      <c r="C610" s="9" t="s">
        <v>122</v>
      </c>
      <c r="D610" s="11">
        <v>0</v>
      </c>
      <c r="E610" s="9" t="s">
        <v>63</v>
      </c>
      <c r="G610" s="9" t="s">
        <v>151</v>
      </c>
      <c r="H610" s="9" t="s">
        <v>122</v>
      </c>
      <c r="I610" s="13">
        <v>3.2498138883661723E-2</v>
      </c>
      <c r="J610" s="9" t="s">
        <v>63</v>
      </c>
      <c r="L610" s="9" t="s">
        <v>171</v>
      </c>
      <c r="M610" s="9" t="s">
        <v>122</v>
      </c>
      <c r="N610" s="13">
        <v>2.9984213329345626E-2</v>
      </c>
      <c r="O610" s="9" t="s">
        <v>63</v>
      </c>
    </row>
    <row r="611" spans="2:15" x14ac:dyDescent="0.45">
      <c r="B611" s="8" t="s">
        <v>132</v>
      </c>
      <c r="C611" s="8" t="s">
        <v>62</v>
      </c>
      <c r="D611" s="10">
        <v>0</v>
      </c>
      <c r="E611" s="8" t="s">
        <v>63</v>
      </c>
      <c r="G611" s="8" t="s">
        <v>152</v>
      </c>
      <c r="H611" s="8" t="s">
        <v>62</v>
      </c>
      <c r="I611" s="12">
        <v>3.4932113513783482E-2</v>
      </c>
      <c r="J611" s="8" t="s">
        <v>63</v>
      </c>
    </row>
    <row r="612" spans="2:15" x14ac:dyDescent="0.45">
      <c r="B612" s="9" t="s">
        <v>132</v>
      </c>
      <c r="C612" s="9" t="s">
        <v>64</v>
      </c>
      <c r="D612" s="11">
        <v>0</v>
      </c>
      <c r="E612" s="9" t="s">
        <v>63</v>
      </c>
      <c r="G612" s="9" t="s">
        <v>152</v>
      </c>
      <c r="H612" s="9" t="s">
        <v>64</v>
      </c>
      <c r="I612" s="13">
        <v>1.4215761792880728E-2</v>
      </c>
      <c r="J612" s="9" t="s">
        <v>63</v>
      </c>
    </row>
    <row r="613" spans="2:15" x14ac:dyDescent="0.45">
      <c r="B613" s="8" t="s">
        <v>132</v>
      </c>
      <c r="C613" s="8" t="s">
        <v>65</v>
      </c>
      <c r="D613" s="10">
        <v>1.1076724473383459E-3</v>
      </c>
      <c r="E613" s="8" t="s">
        <v>63</v>
      </c>
      <c r="G613" s="8" t="s">
        <v>152</v>
      </c>
      <c r="H613" s="8" t="s">
        <v>65</v>
      </c>
      <c r="I613" s="12">
        <v>1.4347491748604635E-2</v>
      </c>
      <c r="J613" s="8" t="s">
        <v>63</v>
      </c>
    </row>
    <row r="614" spans="2:15" x14ac:dyDescent="0.45">
      <c r="B614" s="9" t="s">
        <v>132</v>
      </c>
      <c r="C614" s="9" t="s">
        <v>66</v>
      </c>
      <c r="D614" s="11">
        <v>1.0772896035438384E-2</v>
      </c>
      <c r="E614" s="9" t="s">
        <v>63</v>
      </c>
      <c r="G614" s="9" t="s">
        <v>152</v>
      </c>
      <c r="H614" s="9" t="s">
        <v>66</v>
      </c>
      <c r="I614" s="13">
        <v>1.5410481280694898E-2</v>
      </c>
      <c r="J614" s="9" t="s">
        <v>63</v>
      </c>
    </row>
    <row r="615" spans="2:15" x14ac:dyDescent="0.45">
      <c r="B615" s="8" t="s">
        <v>132</v>
      </c>
      <c r="C615" s="8" t="s">
        <v>67</v>
      </c>
      <c r="D615" s="10">
        <v>1.7415524991377895E-2</v>
      </c>
      <c r="E615" s="8" t="s">
        <v>63</v>
      </c>
      <c r="G615" s="8" t="s">
        <v>152</v>
      </c>
      <c r="H615" s="8" t="s">
        <v>67</v>
      </c>
      <c r="I615" s="12">
        <v>1.4427079856969964E-2</v>
      </c>
      <c r="J615" s="8" t="s">
        <v>63</v>
      </c>
    </row>
    <row r="616" spans="2:15" x14ac:dyDescent="0.45">
      <c r="B616" s="9" t="s">
        <v>132</v>
      </c>
      <c r="C616" s="9" t="s">
        <v>68</v>
      </c>
      <c r="D616" s="11">
        <v>1.6790987044735552E-2</v>
      </c>
      <c r="E616" s="9" t="s">
        <v>63</v>
      </c>
      <c r="G616" s="9" t="s">
        <v>152</v>
      </c>
      <c r="H616" s="9" t="s">
        <v>68</v>
      </c>
      <c r="I616" s="13">
        <v>1.5626251097681402E-2</v>
      </c>
      <c r="J616" s="9" t="s">
        <v>63</v>
      </c>
    </row>
    <row r="617" spans="2:15" x14ac:dyDescent="0.45">
      <c r="B617" s="8" t="s">
        <v>132</v>
      </c>
      <c r="C617" s="8" t="s">
        <v>69</v>
      </c>
      <c r="D617" s="10">
        <v>8.3000471689945211E-3</v>
      </c>
      <c r="E617" s="8" t="s">
        <v>63</v>
      </c>
      <c r="G617" s="8" t="s">
        <v>152</v>
      </c>
      <c r="H617" s="8" t="s">
        <v>69</v>
      </c>
      <c r="I617" s="12">
        <v>1.5484704431926549E-2</v>
      </c>
      <c r="J617" s="8" t="s">
        <v>63</v>
      </c>
    </row>
    <row r="618" spans="2:15" x14ac:dyDescent="0.45">
      <c r="B618" s="9" t="s">
        <v>132</v>
      </c>
      <c r="C618" s="9" t="s">
        <v>70</v>
      </c>
      <c r="D618" s="11">
        <v>7.2006327193004105E-4</v>
      </c>
      <c r="E618" s="9" t="s">
        <v>63</v>
      </c>
      <c r="G618" s="9" t="s">
        <v>152</v>
      </c>
      <c r="H618" s="9" t="s">
        <v>70</v>
      </c>
      <c r="I618" s="13">
        <v>1.5940608419218818E-2</v>
      </c>
      <c r="J618" s="9" t="s">
        <v>63</v>
      </c>
    </row>
    <row r="619" spans="2:15" x14ac:dyDescent="0.45">
      <c r="B619" s="8" t="s">
        <v>132</v>
      </c>
      <c r="C619" s="8" t="s">
        <v>71</v>
      </c>
      <c r="D619" s="10">
        <v>0</v>
      </c>
      <c r="E619" s="8" t="s">
        <v>63</v>
      </c>
      <c r="G619" s="8" t="s">
        <v>152</v>
      </c>
      <c r="H619" s="8" t="s">
        <v>71</v>
      </c>
      <c r="I619" s="12">
        <v>1.5894796295616319E-2</v>
      </c>
      <c r="J619" s="8" t="s">
        <v>63</v>
      </c>
    </row>
    <row r="620" spans="2:15" x14ac:dyDescent="0.45">
      <c r="B620" s="9" t="s">
        <v>132</v>
      </c>
      <c r="C620" s="9" t="s">
        <v>72</v>
      </c>
      <c r="D620" s="11">
        <v>0</v>
      </c>
      <c r="E620" s="9" t="s">
        <v>63</v>
      </c>
      <c r="G620" s="9" t="s">
        <v>152</v>
      </c>
      <c r="H620" s="9" t="s">
        <v>72</v>
      </c>
      <c r="I620" s="13">
        <v>2.1820464044376587E-2</v>
      </c>
      <c r="J620" s="9" t="s">
        <v>63</v>
      </c>
    </row>
    <row r="621" spans="2:15" x14ac:dyDescent="0.45">
      <c r="B621" s="8" t="s">
        <v>132</v>
      </c>
      <c r="C621" s="8" t="s">
        <v>73</v>
      </c>
      <c r="D621" s="10">
        <v>0</v>
      </c>
      <c r="E621" s="8" t="s">
        <v>63</v>
      </c>
      <c r="G621" s="8" t="s">
        <v>152</v>
      </c>
      <c r="H621" s="8" t="s">
        <v>73</v>
      </c>
      <c r="I621" s="12">
        <v>3.2069067580867749E-2</v>
      </c>
      <c r="J621" s="8" t="s">
        <v>63</v>
      </c>
    </row>
    <row r="622" spans="2:15" x14ac:dyDescent="0.45">
      <c r="B622" s="9" t="s">
        <v>132</v>
      </c>
      <c r="C622" s="9" t="s">
        <v>74</v>
      </c>
      <c r="D622" s="11">
        <v>5.5968537127614841E-3</v>
      </c>
      <c r="E622" s="9" t="s">
        <v>63</v>
      </c>
      <c r="G622" s="9" t="s">
        <v>152</v>
      </c>
      <c r="H622" s="9" t="s">
        <v>74</v>
      </c>
      <c r="I622" s="13">
        <v>1.2622586499539146E-2</v>
      </c>
      <c r="J622" s="9" t="s">
        <v>63</v>
      </c>
    </row>
    <row r="623" spans="2:15" x14ac:dyDescent="0.45">
      <c r="B623" s="8" t="s">
        <v>132</v>
      </c>
      <c r="C623" s="8" t="s">
        <v>75</v>
      </c>
      <c r="D623" s="10">
        <v>2.9339082392893727E-2</v>
      </c>
      <c r="E623" s="8" t="s">
        <v>63</v>
      </c>
      <c r="G623" s="8" t="s">
        <v>152</v>
      </c>
      <c r="H623" s="8" t="s">
        <v>75</v>
      </c>
      <c r="I623" s="12">
        <v>1.1822201614856542E-2</v>
      </c>
      <c r="J623" s="8" t="s">
        <v>63</v>
      </c>
    </row>
    <row r="624" spans="2:15" x14ac:dyDescent="0.45">
      <c r="B624" s="9" t="s">
        <v>132</v>
      </c>
      <c r="C624" s="9" t="s">
        <v>76</v>
      </c>
      <c r="D624" s="11">
        <v>4.6844677966617905E-2</v>
      </c>
      <c r="E624" s="9" t="s">
        <v>63</v>
      </c>
      <c r="G624" s="9" t="s">
        <v>152</v>
      </c>
      <c r="H624" s="9" t="s">
        <v>76</v>
      </c>
      <c r="I624" s="13">
        <v>1.1761704117745733E-2</v>
      </c>
      <c r="J624" s="9" t="s">
        <v>63</v>
      </c>
    </row>
    <row r="625" spans="2:10" x14ac:dyDescent="0.45">
      <c r="B625" s="8" t="s">
        <v>132</v>
      </c>
      <c r="C625" s="8" t="s">
        <v>77</v>
      </c>
      <c r="D625" s="10">
        <v>4.6318798646093402E-2</v>
      </c>
      <c r="E625" s="8" t="s">
        <v>63</v>
      </c>
      <c r="G625" s="8" t="s">
        <v>152</v>
      </c>
      <c r="H625" s="8" t="s">
        <v>77</v>
      </c>
      <c r="I625" s="12">
        <v>1.0973524625923704E-2</v>
      </c>
      <c r="J625" s="8" t="s">
        <v>63</v>
      </c>
    </row>
    <row r="626" spans="2:10" x14ac:dyDescent="0.45">
      <c r="B626" s="9" t="s">
        <v>132</v>
      </c>
      <c r="C626" s="9" t="s">
        <v>78</v>
      </c>
      <c r="D626" s="11">
        <v>4.5300554520226501E-2</v>
      </c>
      <c r="E626" s="9" t="s">
        <v>63</v>
      </c>
      <c r="G626" s="9" t="s">
        <v>152</v>
      </c>
      <c r="H626" s="9" t="s">
        <v>78</v>
      </c>
      <c r="I626" s="13">
        <v>1.2059927139001378E-2</v>
      </c>
      <c r="J626" s="9" t="s">
        <v>63</v>
      </c>
    </row>
    <row r="627" spans="2:10" x14ac:dyDescent="0.45">
      <c r="B627" s="8" t="s">
        <v>132</v>
      </c>
      <c r="C627" s="8" t="s">
        <v>79</v>
      </c>
      <c r="D627" s="10">
        <v>3.5696149822773603E-2</v>
      </c>
      <c r="E627" s="8" t="s">
        <v>63</v>
      </c>
      <c r="G627" s="8" t="s">
        <v>152</v>
      </c>
      <c r="H627" s="8" t="s">
        <v>79</v>
      </c>
      <c r="I627" s="12">
        <v>1.2578958729351889E-2</v>
      </c>
      <c r="J627" s="8" t="s">
        <v>63</v>
      </c>
    </row>
    <row r="628" spans="2:10" x14ac:dyDescent="0.45">
      <c r="B628" s="9" t="s">
        <v>132</v>
      </c>
      <c r="C628" s="9" t="s">
        <v>80</v>
      </c>
      <c r="D628" s="11">
        <v>1.5565469804062093E-2</v>
      </c>
      <c r="E628" s="9" t="s">
        <v>63</v>
      </c>
      <c r="G628" s="9" t="s">
        <v>152</v>
      </c>
      <c r="H628" s="9" t="s">
        <v>80</v>
      </c>
      <c r="I628" s="13">
        <v>1.2137974651494613E-2</v>
      </c>
      <c r="J628" s="9" t="s">
        <v>63</v>
      </c>
    </row>
    <row r="629" spans="2:10" x14ac:dyDescent="0.45">
      <c r="B629" s="8" t="s">
        <v>132</v>
      </c>
      <c r="C629" s="8" t="s">
        <v>81</v>
      </c>
      <c r="D629" s="10">
        <v>5.1681335526888969E-4</v>
      </c>
      <c r="E629" s="8" t="s">
        <v>63</v>
      </c>
      <c r="G629" s="8" t="s">
        <v>152</v>
      </c>
      <c r="H629" s="8" t="s">
        <v>81</v>
      </c>
      <c r="I629" s="12">
        <v>1.4061260941714155E-2</v>
      </c>
      <c r="J629" s="8" t="s">
        <v>63</v>
      </c>
    </row>
    <row r="630" spans="2:10" x14ac:dyDescent="0.45">
      <c r="B630" s="9" t="s">
        <v>132</v>
      </c>
      <c r="C630" s="9" t="s">
        <v>82</v>
      </c>
      <c r="D630" s="11">
        <v>0</v>
      </c>
      <c r="E630" s="9" t="s">
        <v>63</v>
      </c>
      <c r="G630" s="9" t="s">
        <v>152</v>
      </c>
      <c r="H630" s="9" t="s">
        <v>82</v>
      </c>
      <c r="I630" s="13">
        <v>2.1392178499445285E-2</v>
      </c>
      <c r="J630" s="9" t="s">
        <v>63</v>
      </c>
    </row>
    <row r="631" spans="2:10" x14ac:dyDescent="0.45">
      <c r="B631" s="8" t="s">
        <v>132</v>
      </c>
      <c r="C631" s="8" t="s">
        <v>83</v>
      </c>
      <c r="D631" s="10">
        <v>1.6674556744117998E-3</v>
      </c>
      <c r="E631" s="8" t="s">
        <v>63</v>
      </c>
      <c r="G631" s="8" t="s">
        <v>152</v>
      </c>
      <c r="H631" s="8" t="s">
        <v>83</v>
      </c>
      <c r="I631" s="12">
        <v>3.2928554892514811E-2</v>
      </c>
      <c r="J631" s="8" t="s">
        <v>63</v>
      </c>
    </row>
    <row r="632" spans="2:10" x14ac:dyDescent="0.45">
      <c r="B632" s="9" t="s">
        <v>132</v>
      </c>
      <c r="C632" s="9" t="s">
        <v>84</v>
      </c>
      <c r="D632" s="11">
        <v>2.0985859810943149E-2</v>
      </c>
      <c r="E632" s="9" t="s">
        <v>63</v>
      </c>
      <c r="G632" s="9" t="s">
        <v>152</v>
      </c>
      <c r="H632" s="9" t="s">
        <v>84</v>
      </c>
      <c r="I632" s="13">
        <v>1.278298151076639E-2</v>
      </c>
      <c r="J632" s="9" t="s">
        <v>63</v>
      </c>
    </row>
    <row r="633" spans="2:10" x14ac:dyDescent="0.45">
      <c r="B633" s="8" t="s">
        <v>132</v>
      </c>
      <c r="C633" s="8" t="s">
        <v>85</v>
      </c>
      <c r="D633" s="10">
        <v>4.1374878624631017E-2</v>
      </c>
      <c r="E633" s="8" t="s">
        <v>63</v>
      </c>
      <c r="G633" s="8" t="s">
        <v>152</v>
      </c>
      <c r="H633" s="8" t="s">
        <v>85</v>
      </c>
      <c r="I633" s="12">
        <v>1.1532266726689057E-2</v>
      </c>
      <c r="J633" s="8" t="s">
        <v>63</v>
      </c>
    </row>
    <row r="634" spans="2:10" x14ac:dyDescent="0.45">
      <c r="B634" s="9" t="s">
        <v>132</v>
      </c>
      <c r="C634" s="9" t="s">
        <v>86</v>
      </c>
      <c r="D634" s="11">
        <v>5.1327304536678532E-2</v>
      </c>
      <c r="E634" s="9" t="s">
        <v>63</v>
      </c>
      <c r="G634" s="9" t="s">
        <v>152</v>
      </c>
      <c r="H634" s="9" t="s">
        <v>86</v>
      </c>
      <c r="I634" s="13">
        <v>1.2062661226487366E-2</v>
      </c>
      <c r="J634" s="9" t="s">
        <v>63</v>
      </c>
    </row>
    <row r="635" spans="2:10" x14ac:dyDescent="0.45">
      <c r="B635" s="8" t="s">
        <v>132</v>
      </c>
      <c r="C635" s="8" t="s">
        <v>87</v>
      </c>
      <c r="D635" s="10">
        <v>5.0658235438456094E-2</v>
      </c>
      <c r="E635" s="8" t="s">
        <v>63</v>
      </c>
      <c r="G635" s="8" t="s">
        <v>152</v>
      </c>
      <c r="H635" s="8" t="s">
        <v>87</v>
      </c>
      <c r="I635" s="12">
        <v>1.0068672309199641E-2</v>
      </c>
      <c r="J635" s="8" t="s">
        <v>63</v>
      </c>
    </row>
    <row r="636" spans="2:10" x14ac:dyDescent="0.45">
      <c r="B636" s="9" t="s">
        <v>132</v>
      </c>
      <c r="C636" s="9" t="s">
        <v>88</v>
      </c>
      <c r="D636" s="11">
        <v>4.8699043270822806E-2</v>
      </c>
      <c r="E636" s="9" t="s">
        <v>63</v>
      </c>
      <c r="G636" s="9" t="s">
        <v>152</v>
      </c>
      <c r="H636" s="9" t="s">
        <v>88</v>
      </c>
      <c r="I636" s="13">
        <v>1.2176776745228482E-2</v>
      </c>
      <c r="J636" s="9" t="s">
        <v>63</v>
      </c>
    </row>
    <row r="637" spans="2:10" x14ac:dyDescent="0.45">
      <c r="B637" s="8" t="s">
        <v>132</v>
      </c>
      <c r="C637" s="8" t="s">
        <v>89</v>
      </c>
      <c r="D637" s="10">
        <v>3.9331903801979796E-2</v>
      </c>
      <c r="E637" s="8" t="s">
        <v>63</v>
      </c>
      <c r="G637" s="8" t="s">
        <v>152</v>
      </c>
      <c r="H637" s="8" t="s">
        <v>89</v>
      </c>
      <c r="I637" s="12">
        <v>1.1717811245674529E-2</v>
      </c>
      <c r="J637" s="8" t="s">
        <v>63</v>
      </c>
    </row>
    <row r="638" spans="2:10" x14ac:dyDescent="0.45">
      <c r="B638" s="9" t="s">
        <v>132</v>
      </c>
      <c r="C638" s="9" t="s">
        <v>90</v>
      </c>
      <c r="D638" s="11">
        <v>2.3415800365309356E-2</v>
      </c>
      <c r="E638" s="9" t="s">
        <v>63</v>
      </c>
      <c r="G638" s="9" t="s">
        <v>152</v>
      </c>
      <c r="H638" s="9" t="s">
        <v>90</v>
      </c>
      <c r="I638" s="13">
        <v>1.1095522455071956E-2</v>
      </c>
      <c r="J638" s="9" t="s">
        <v>63</v>
      </c>
    </row>
    <row r="639" spans="2:10" x14ac:dyDescent="0.45">
      <c r="B639" s="8" t="s">
        <v>132</v>
      </c>
      <c r="C639" s="8" t="s">
        <v>91</v>
      </c>
      <c r="D639" s="10">
        <v>6.3475666183095865E-3</v>
      </c>
      <c r="E639" s="8" t="s">
        <v>63</v>
      </c>
      <c r="G639" s="8" t="s">
        <v>152</v>
      </c>
      <c r="H639" s="8" t="s">
        <v>91</v>
      </c>
      <c r="I639" s="12">
        <v>1.129555583377297E-2</v>
      </c>
      <c r="J639" s="8" t="s">
        <v>63</v>
      </c>
    </row>
    <row r="640" spans="2:10" x14ac:dyDescent="0.45">
      <c r="B640" s="9" t="s">
        <v>132</v>
      </c>
      <c r="C640" s="9" t="s">
        <v>92</v>
      </c>
      <c r="D640" s="11">
        <v>0</v>
      </c>
      <c r="E640" s="9" t="s">
        <v>63</v>
      </c>
      <c r="G640" s="9" t="s">
        <v>152</v>
      </c>
      <c r="H640" s="9" t="s">
        <v>92</v>
      </c>
      <c r="I640" s="13">
        <v>1.8222103491220078E-2</v>
      </c>
      <c r="J640" s="9" t="s">
        <v>63</v>
      </c>
    </row>
    <row r="641" spans="2:10" x14ac:dyDescent="0.45">
      <c r="B641" s="8" t="s">
        <v>132</v>
      </c>
      <c r="C641" s="8" t="s">
        <v>93</v>
      </c>
      <c r="D641" s="10">
        <v>6.1568036272946621E-4</v>
      </c>
      <c r="E641" s="8" t="s">
        <v>63</v>
      </c>
      <c r="G641" s="8" t="s">
        <v>152</v>
      </c>
      <c r="H641" s="8" t="s">
        <v>93</v>
      </c>
      <c r="I641" s="12">
        <v>1.8086340365576135E-2</v>
      </c>
      <c r="J641" s="8" t="s">
        <v>63</v>
      </c>
    </row>
    <row r="642" spans="2:10" x14ac:dyDescent="0.45">
      <c r="B642" s="9" t="s">
        <v>132</v>
      </c>
      <c r="C642" s="9" t="s">
        <v>94</v>
      </c>
      <c r="D642" s="11">
        <v>1.7043933475195411E-2</v>
      </c>
      <c r="E642" s="9" t="s">
        <v>63</v>
      </c>
      <c r="G642" s="9" t="s">
        <v>152</v>
      </c>
      <c r="H642" s="9" t="s">
        <v>94</v>
      </c>
      <c r="I642" s="13">
        <v>6.6257494573373271E-3</v>
      </c>
      <c r="J642" s="9" t="s">
        <v>63</v>
      </c>
    </row>
    <row r="643" spans="2:10" x14ac:dyDescent="0.45">
      <c r="B643" s="8" t="s">
        <v>132</v>
      </c>
      <c r="C643" s="8" t="s">
        <v>95</v>
      </c>
      <c r="D643" s="10">
        <v>3.7772361723315745E-2</v>
      </c>
      <c r="E643" s="8" t="s">
        <v>63</v>
      </c>
      <c r="G643" s="8" t="s">
        <v>152</v>
      </c>
      <c r="H643" s="8" t="s">
        <v>95</v>
      </c>
      <c r="I643" s="12">
        <v>5.3833177289700877E-3</v>
      </c>
      <c r="J643" s="8" t="s">
        <v>63</v>
      </c>
    </row>
    <row r="644" spans="2:10" x14ac:dyDescent="0.45">
      <c r="B644" s="9" t="s">
        <v>132</v>
      </c>
      <c r="C644" s="9" t="s">
        <v>96</v>
      </c>
      <c r="D644" s="11">
        <v>4.7621214251708482E-2</v>
      </c>
      <c r="E644" s="9" t="s">
        <v>63</v>
      </c>
      <c r="G644" s="9" t="s">
        <v>152</v>
      </c>
      <c r="H644" s="9" t="s">
        <v>96</v>
      </c>
      <c r="I644" s="13">
        <v>5.5548440411851722E-3</v>
      </c>
      <c r="J644" s="9" t="s">
        <v>63</v>
      </c>
    </row>
    <row r="645" spans="2:10" x14ac:dyDescent="0.45">
      <c r="B645" s="8" t="s">
        <v>132</v>
      </c>
      <c r="C645" s="8" t="s">
        <v>97</v>
      </c>
      <c r="D645" s="10">
        <v>4.7724748756038014E-2</v>
      </c>
      <c r="E645" s="8" t="s">
        <v>63</v>
      </c>
      <c r="G645" s="8" t="s">
        <v>152</v>
      </c>
      <c r="H645" s="8" t="s">
        <v>97</v>
      </c>
      <c r="I645" s="12">
        <v>4.4164705743012537E-3</v>
      </c>
      <c r="J645" s="8" t="s">
        <v>63</v>
      </c>
    </row>
    <row r="646" spans="2:10" x14ac:dyDescent="0.45">
      <c r="B646" s="9" t="s">
        <v>132</v>
      </c>
      <c r="C646" s="9" t="s">
        <v>98</v>
      </c>
      <c r="D646" s="11">
        <v>4.7345755289759206E-2</v>
      </c>
      <c r="E646" s="9" t="s">
        <v>63</v>
      </c>
      <c r="G646" s="9" t="s">
        <v>152</v>
      </c>
      <c r="H646" s="9" t="s">
        <v>98</v>
      </c>
      <c r="I646" s="13">
        <v>5.5598106530818578E-3</v>
      </c>
      <c r="J646" s="9" t="s">
        <v>63</v>
      </c>
    </row>
    <row r="647" spans="2:10" x14ac:dyDescent="0.45">
      <c r="B647" s="8" t="s">
        <v>132</v>
      </c>
      <c r="C647" s="8" t="s">
        <v>99</v>
      </c>
      <c r="D647" s="10">
        <v>4.2351328956825494E-2</v>
      </c>
      <c r="E647" s="8" t="s">
        <v>63</v>
      </c>
      <c r="G647" s="8" t="s">
        <v>152</v>
      </c>
      <c r="H647" s="8" t="s">
        <v>99</v>
      </c>
      <c r="I647" s="12">
        <v>5.9495002447143841E-3</v>
      </c>
      <c r="J647" s="8" t="s">
        <v>63</v>
      </c>
    </row>
    <row r="648" spans="2:10" x14ac:dyDescent="0.45">
      <c r="B648" s="9" t="s">
        <v>132</v>
      </c>
      <c r="C648" s="9" t="s">
        <v>100</v>
      </c>
      <c r="D648" s="11">
        <v>2.7920989499375194E-2</v>
      </c>
      <c r="E648" s="9" t="s">
        <v>63</v>
      </c>
      <c r="G648" s="9" t="s">
        <v>152</v>
      </c>
      <c r="H648" s="9" t="s">
        <v>100</v>
      </c>
      <c r="I648" s="13">
        <v>5.4225987703209622E-3</v>
      </c>
      <c r="J648" s="9" t="s">
        <v>63</v>
      </c>
    </row>
    <row r="649" spans="2:10" x14ac:dyDescent="0.45">
      <c r="B649" s="8" t="s">
        <v>132</v>
      </c>
      <c r="C649" s="8" t="s">
        <v>101</v>
      </c>
      <c r="D649" s="10">
        <v>6.8063471267396933E-3</v>
      </c>
      <c r="E649" s="8" t="s">
        <v>63</v>
      </c>
      <c r="G649" s="8" t="s">
        <v>152</v>
      </c>
      <c r="H649" s="8" t="s">
        <v>101</v>
      </c>
      <c r="I649" s="12">
        <v>6.5124468906951763E-3</v>
      </c>
      <c r="J649" s="8" t="s">
        <v>63</v>
      </c>
    </row>
    <row r="650" spans="2:10" x14ac:dyDescent="0.45">
      <c r="B650" s="9" t="s">
        <v>132</v>
      </c>
      <c r="C650" s="9" t="s">
        <v>102</v>
      </c>
      <c r="D650" s="11">
        <v>0</v>
      </c>
      <c r="E650" s="9" t="s">
        <v>63</v>
      </c>
      <c r="G650" s="9" t="s">
        <v>152</v>
      </c>
      <c r="H650" s="9" t="s">
        <v>102</v>
      </c>
      <c r="I650" s="13">
        <v>1.1038739095259755E-2</v>
      </c>
      <c r="J650" s="9" t="s">
        <v>63</v>
      </c>
    </row>
    <row r="651" spans="2:10" x14ac:dyDescent="0.45">
      <c r="B651" s="8" t="s">
        <v>132</v>
      </c>
      <c r="C651" s="8" t="s">
        <v>103</v>
      </c>
      <c r="D651" s="10">
        <v>0</v>
      </c>
      <c r="E651" s="8" t="s">
        <v>63</v>
      </c>
      <c r="G651" s="8" t="s">
        <v>152</v>
      </c>
      <c r="H651" s="8" t="s">
        <v>103</v>
      </c>
      <c r="I651" s="12">
        <v>3.9753547199344229E-2</v>
      </c>
      <c r="J651" s="8" t="s">
        <v>63</v>
      </c>
    </row>
    <row r="652" spans="2:10" x14ac:dyDescent="0.45">
      <c r="B652" s="9" t="s">
        <v>132</v>
      </c>
      <c r="C652" s="9" t="s">
        <v>104</v>
      </c>
      <c r="D652" s="11">
        <v>1.5638068904320602E-3</v>
      </c>
      <c r="E652" s="9" t="s">
        <v>63</v>
      </c>
      <c r="G652" s="9" t="s">
        <v>152</v>
      </c>
      <c r="H652" s="9" t="s">
        <v>104</v>
      </c>
      <c r="I652" s="13">
        <v>1.7242220098243551E-2</v>
      </c>
      <c r="J652" s="9" t="s">
        <v>63</v>
      </c>
    </row>
    <row r="653" spans="2:10" x14ac:dyDescent="0.45">
      <c r="B653" s="8" t="s">
        <v>132</v>
      </c>
      <c r="C653" s="8" t="s">
        <v>105</v>
      </c>
      <c r="D653" s="10">
        <v>1.629408168586673E-2</v>
      </c>
      <c r="E653" s="8" t="s">
        <v>63</v>
      </c>
      <c r="G653" s="8" t="s">
        <v>152</v>
      </c>
      <c r="H653" s="8" t="s">
        <v>105</v>
      </c>
      <c r="I653" s="12">
        <v>1.757273579807964E-2</v>
      </c>
      <c r="J653" s="8" t="s">
        <v>63</v>
      </c>
    </row>
    <row r="654" spans="2:10" x14ac:dyDescent="0.45">
      <c r="B654" s="9" t="s">
        <v>132</v>
      </c>
      <c r="C654" s="9" t="s">
        <v>106</v>
      </c>
      <c r="D654" s="11">
        <v>2.7093347705551558E-2</v>
      </c>
      <c r="E654" s="9" t="s">
        <v>63</v>
      </c>
      <c r="G654" s="9" t="s">
        <v>152</v>
      </c>
      <c r="H654" s="9" t="s">
        <v>106</v>
      </c>
      <c r="I654" s="13">
        <v>1.7204394835787569E-2</v>
      </c>
      <c r="J654" s="9" t="s">
        <v>63</v>
      </c>
    </row>
    <row r="655" spans="2:10" x14ac:dyDescent="0.45">
      <c r="B655" s="8" t="s">
        <v>132</v>
      </c>
      <c r="C655" s="8" t="s">
        <v>107</v>
      </c>
      <c r="D655" s="10">
        <v>2.811078645809028E-2</v>
      </c>
      <c r="E655" s="8" t="s">
        <v>63</v>
      </c>
      <c r="G655" s="8" t="s">
        <v>152</v>
      </c>
      <c r="H655" s="8" t="s">
        <v>107</v>
      </c>
      <c r="I655" s="12">
        <v>1.440447958445276E-2</v>
      </c>
      <c r="J655" s="8" t="s">
        <v>63</v>
      </c>
    </row>
    <row r="656" spans="2:10" x14ac:dyDescent="0.45">
      <c r="B656" s="9" t="s">
        <v>132</v>
      </c>
      <c r="C656" s="9" t="s">
        <v>108</v>
      </c>
      <c r="D656" s="11">
        <v>2.7897366331520689E-2</v>
      </c>
      <c r="E656" s="9" t="s">
        <v>63</v>
      </c>
      <c r="G656" s="9" t="s">
        <v>152</v>
      </c>
      <c r="H656" s="9" t="s">
        <v>108</v>
      </c>
      <c r="I656" s="13">
        <v>1.4467967214401412E-2</v>
      </c>
      <c r="J656" s="9" t="s">
        <v>63</v>
      </c>
    </row>
    <row r="657" spans="2:10" x14ac:dyDescent="0.45">
      <c r="B657" s="8" t="s">
        <v>132</v>
      </c>
      <c r="C657" s="8" t="s">
        <v>109</v>
      </c>
      <c r="D657" s="10">
        <v>2.0168816094370566E-2</v>
      </c>
      <c r="E657" s="8" t="s">
        <v>63</v>
      </c>
      <c r="G657" s="8" t="s">
        <v>152</v>
      </c>
      <c r="H657" s="8" t="s">
        <v>109</v>
      </c>
      <c r="I657" s="12">
        <v>1.4210055045431495E-2</v>
      </c>
      <c r="J657" s="8" t="s">
        <v>63</v>
      </c>
    </row>
    <row r="658" spans="2:10" x14ac:dyDescent="0.45">
      <c r="B658" s="9" t="s">
        <v>132</v>
      </c>
      <c r="C658" s="9" t="s">
        <v>110</v>
      </c>
      <c r="D658" s="11">
        <v>5.9640096418165731E-3</v>
      </c>
      <c r="E658" s="9" t="s">
        <v>63</v>
      </c>
      <c r="G658" s="9" t="s">
        <v>152</v>
      </c>
      <c r="H658" s="9" t="s">
        <v>110</v>
      </c>
      <c r="I658" s="13">
        <v>1.5003310089006469E-2</v>
      </c>
      <c r="J658" s="9" t="s">
        <v>63</v>
      </c>
    </row>
    <row r="659" spans="2:10" x14ac:dyDescent="0.45">
      <c r="B659" s="8" t="s">
        <v>132</v>
      </c>
      <c r="C659" s="8" t="s">
        <v>111</v>
      </c>
      <c r="D659" s="10">
        <v>0</v>
      </c>
      <c r="E659" s="8" t="s">
        <v>63</v>
      </c>
      <c r="G659" s="8" t="s">
        <v>152</v>
      </c>
      <c r="H659" s="8" t="s">
        <v>111</v>
      </c>
      <c r="I659" s="12">
        <v>1.6489073319340762E-2</v>
      </c>
      <c r="J659" s="8" t="s">
        <v>63</v>
      </c>
    </row>
    <row r="660" spans="2:10" x14ac:dyDescent="0.45">
      <c r="B660" s="9" t="s">
        <v>132</v>
      </c>
      <c r="C660" s="9" t="s">
        <v>112</v>
      </c>
      <c r="D660" s="11">
        <v>0</v>
      </c>
      <c r="E660" s="9" t="s">
        <v>63</v>
      </c>
      <c r="G660" s="9" t="s">
        <v>152</v>
      </c>
      <c r="H660" s="9" t="s">
        <v>112</v>
      </c>
      <c r="I660" s="13">
        <v>2.4914857410862218E-2</v>
      </c>
      <c r="J660" s="9" t="s">
        <v>63</v>
      </c>
    </row>
    <row r="661" spans="2:10" x14ac:dyDescent="0.45">
      <c r="B661" s="8" t="s">
        <v>132</v>
      </c>
      <c r="C661" s="8" t="s">
        <v>113</v>
      </c>
      <c r="D661" s="10">
        <v>0</v>
      </c>
      <c r="E661" s="8" t="s">
        <v>63</v>
      </c>
      <c r="G661" s="8" t="s">
        <v>152</v>
      </c>
      <c r="H661" s="8" t="s">
        <v>113</v>
      </c>
      <c r="I661" s="12">
        <v>5.2341043935602231E-2</v>
      </c>
      <c r="J661" s="8" t="s">
        <v>63</v>
      </c>
    </row>
    <row r="662" spans="2:10" x14ac:dyDescent="0.45">
      <c r="B662" s="9" t="s">
        <v>132</v>
      </c>
      <c r="C662" s="9" t="s">
        <v>114</v>
      </c>
      <c r="D662" s="11">
        <v>0</v>
      </c>
      <c r="E662" s="9" t="s">
        <v>63</v>
      </c>
      <c r="G662" s="9" t="s">
        <v>152</v>
      </c>
      <c r="H662" s="9" t="s">
        <v>114</v>
      </c>
      <c r="I662" s="13">
        <v>2.1713299279815235E-2</v>
      </c>
      <c r="J662" s="9" t="s">
        <v>63</v>
      </c>
    </row>
    <row r="663" spans="2:10" x14ac:dyDescent="0.45">
      <c r="B663" s="8" t="s">
        <v>132</v>
      </c>
      <c r="C663" s="8" t="s">
        <v>115</v>
      </c>
      <c r="D663" s="10">
        <v>8.9416477688015192E-4</v>
      </c>
      <c r="E663" s="8" t="s">
        <v>63</v>
      </c>
      <c r="G663" s="8" t="s">
        <v>152</v>
      </c>
      <c r="H663" s="8" t="s">
        <v>115</v>
      </c>
      <c r="I663" s="12">
        <v>2.2729438432405245E-2</v>
      </c>
      <c r="J663" s="8" t="s">
        <v>63</v>
      </c>
    </row>
    <row r="664" spans="2:10" x14ac:dyDescent="0.45">
      <c r="B664" s="9" t="s">
        <v>132</v>
      </c>
      <c r="C664" s="9" t="s">
        <v>116</v>
      </c>
      <c r="D664" s="11">
        <v>8.601060866101443E-3</v>
      </c>
      <c r="E664" s="9" t="s">
        <v>63</v>
      </c>
      <c r="G664" s="9" t="s">
        <v>152</v>
      </c>
      <c r="H664" s="9" t="s">
        <v>116</v>
      </c>
      <c r="I664" s="13">
        <v>2.2998639580211734E-2</v>
      </c>
      <c r="J664" s="9" t="s">
        <v>63</v>
      </c>
    </row>
    <row r="665" spans="2:10" x14ac:dyDescent="0.45">
      <c r="B665" s="8" t="s">
        <v>132</v>
      </c>
      <c r="C665" s="8" t="s">
        <v>117</v>
      </c>
      <c r="D665" s="10">
        <v>1.1232466080693547E-2</v>
      </c>
      <c r="E665" s="8" t="s">
        <v>63</v>
      </c>
      <c r="G665" s="8" t="s">
        <v>152</v>
      </c>
      <c r="H665" s="8" t="s">
        <v>117</v>
      </c>
      <c r="I665" s="12">
        <v>2.0344534698571563E-2</v>
      </c>
      <c r="J665" s="8" t="s">
        <v>63</v>
      </c>
    </row>
    <row r="666" spans="2:10" x14ac:dyDescent="0.45">
      <c r="B666" s="9" t="s">
        <v>132</v>
      </c>
      <c r="C666" s="9" t="s">
        <v>118</v>
      </c>
      <c r="D666" s="11">
        <v>1.0457909098052515E-2</v>
      </c>
      <c r="E666" s="9" t="s">
        <v>63</v>
      </c>
      <c r="G666" s="9" t="s">
        <v>152</v>
      </c>
      <c r="H666" s="9" t="s">
        <v>118</v>
      </c>
      <c r="I666" s="13">
        <v>2.0564630165358953E-2</v>
      </c>
      <c r="J666" s="9" t="s">
        <v>63</v>
      </c>
    </row>
    <row r="667" spans="2:10" x14ac:dyDescent="0.45">
      <c r="B667" s="8" t="s">
        <v>132</v>
      </c>
      <c r="C667" s="8" t="s">
        <v>119</v>
      </c>
      <c r="D667" s="10">
        <v>2.4261856068805306E-3</v>
      </c>
      <c r="E667" s="8" t="s">
        <v>63</v>
      </c>
      <c r="G667" s="8" t="s">
        <v>152</v>
      </c>
      <c r="H667" s="8" t="s">
        <v>119</v>
      </c>
      <c r="I667" s="12">
        <v>2.0941799190456044E-2</v>
      </c>
      <c r="J667" s="8" t="s">
        <v>63</v>
      </c>
    </row>
    <row r="668" spans="2:10" x14ac:dyDescent="0.45">
      <c r="B668" s="9" t="s">
        <v>132</v>
      </c>
      <c r="C668" s="9" t="s">
        <v>120</v>
      </c>
      <c r="D668" s="11">
        <v>0</v>
      </c>
      <c r="E668" s="9" t="s">
        <v>63</v>
      </c>
      <c r="G668" s="9" t="s">
        <v>152</v>
      </c>
      <c r="H668" s="9" t="s">
        <v>120</v>
      </c>
      <c r="I668" s="13">
        <v>2.2194363986491737E-2</v>
      </c>
      <c r="J668" s="9" t="s">
        <v>63</v>
      </c>
    </row>
    <row r="669" spans="2:10" x14ac:dyDescent="0.45">
      <c r="B669" s="8" t="s">
        <v>132</v>
      </c>
      <c r="C669" s="8" t="s">
        <v>121</v>
      </c>
      <c r="D669" s="10">
        <v>0</v>
      </c>
      <c r="E669" s="8" t="s">
        <v>63</v>
      </c>
      <c r="G669" s="8" t="s">
        <v>152</v>
      </c>
      <c r="H669" s="8" t="s">
        <v>121</v>
      </c>
      <c r="I669" s="12">
        <v>2.3271906221087536E-2</v>
      </c>
      <c r="J669" s="8" t="s">
        <v>63</v>
      </c>
    </row>
    <row r="670" spans="2:10" x14ac:dyDescent="0.45">
      <c r="B670" s="9" t="s">
        <v>132</v>
      </c>
      <c r="C670" s="9" t="s">
        <v>122</v>
      </c>
      <c r="D670" s="11">
        <v>0</v>
      </c>
      <c r="E670" s="9" t="s">
        <v>63</v>
      </c>
      <c r="G670" s="9" t="s">
        <v>152</v>
      </c>
      <c r="H670" s="9" t="s">
        <v>122</v>
      </c>
      <c r="I670" s="13">
        <v>3.3625842775287483E-2</v>
      </c>
      <c r="J670" s="9" t="s">
        <v>63</v>
      </c>
    </row>
    <row r="671" spans="2:10" x14ac:dyDescent="0.45">
      <c r="B671" s="8" t="s">
        <v>133</v>
      </c>
      <c r="C671" s="8" t="s">
        <v>62</v>
      </c>
      <c r="D671" s="10">
        <v>0</v>
      </c>
      <c r="E671" s="8" t="s">
        <v>63</v>
      </c>
      <c r="G671" s="8" t="s">
        <v>153</v>
      </c>
      <c r="H671" s="8" t="s">
        <v>62</v>
      </c>
      <c r="I671" s="12">
        <v>3.4613067877172755E-2</v>
      </c>
      <c r="J671" s="8" t="s">
        <v>63</v>
      </c>
    </row>
    <row r="672" spans="2:10" x14ac:dyDescent="0.45">
      <c r="B672" s="9" t="s">
        <v>133</v>
      </c>
      <c r="C672" s="9" t="s">
        <v>64</v>
      </c>
      <c r="D672" s="11">
        <v>0</v>
      </c>
      <c r="E672" s="9" t="s">
        <v>63</v>
      </c>
      <c r="G672" s="9" t="s">
        <v>153</v>
      </c>
      <c r="H672" s="9" t="s">
        <v>64</v>
      </c>
      <c r="I672" s="13">
        <v>1.4214243401183387E-2</v>
      </c>
      <c r="J672" s="9" t="s">
        <v>63</v>
      </c>
    </row>
    <row r="673" spans="2:10" x14ac:dyDescent="0.45">
      <c r="B673" s="8" t="s">
        <v>133</v>
      </c>
      <c r="C673" s="8" t="s">
        <v>65</v>
      </c>
      <c r="D673" s="10">
        <v>2.6853856359408575E-3</v>
      </c>
      <c r="E673" s="8" t="s">
        <v>63</v>
      </c>
      <c r="G673" s="8" t="s">
        <v>153</v>
      </c>
      <c r="H673" s="8" t="s">
        <v>65</v>
      </c>
      <c r="I673" s="12">
        <v>1.4545351556040783E-2</v>
      </c>
      <c r="J673" s="8" t="s">
        <v>63</v>
      </c>
    </row>
    <row r="674" spans="2:10" x14ac:dyDescent="0.45">
      <c r="B674" s="9" t="s">
        <v>133</v>
      </c>
      <c r="C674" s="9" t="s">
        <v>66</v>
      </c>
      <c r="D674" s="11">
        <v>1.4788799593096083E-2</v>
      </c>
      <c r="E674" s="9" t="s">
        <v>63</v>
      </c>
      <c r="G674" s="9" t="s">
        <v>153</v>
      </c>
      <c r="H674" s="9" t="s">
        <v>66</v>
      </c>
      <c r="I674" s="13">
        <v>1.4827485474449989E-2</v>
      </c>
      <c r="J674" s="9" t="s">
        <v>63</v>
      </c>
    </row>
    <row r="675" spans="2:10" x14ac:dyDescent="0.45">
      <c r="B675" s="8" t="s">
        <v>133</v>
      </c>
      <c r="C675" s="8" t="s">
        <v>67</v>
      </c>
      <c r="D675" s="10">
        <v>2.0262715786830247E-2</v>
      </c>
      <c r="E675" s="8" t="s">
        <v>63</v>
      </c>
      <c r="G675" s="8" t="s">
        <v>153</v>
      </c>
      <c r="H675" s="8" t="s">
        <v>67</v>
      </c>
      <c r="I675" s="12">
        <v>1.4287672302917618E-2</v>
      </c>
      <c r="J675" s="8" t="s">
        <v>63</v>
      </c>
    </row>
    <row r="676" spans="2:10" x14ac:dyDescent="0.45">
      <c r="B676" s="9" t="s">
        <v>133</v>
      </c>
      <c r="C676" s="9" t="s">
        <v>68</v>
      </c>
      <c r="D676" s="11">
        <v>2.0099475319679119E-2</v>
      </c>
      <c r="E676" s="9" t="s">
        <v>63</v>
      </c>
      <c r="G676" s="9" t="s">
        <v>153</v>
      </c>
      <c r="H676" s="9" t="s">
        <v>68</v>
      </c>
      <c r="I676" s="13">
        <v>1.4273379419735577E-2</v>
      </c>
      <c r="J676" s="9" t="s">
        <v>63</v>
      </c>
    </row>
    <row r="677" spans="2:10" x14ac:dyDescent="0.45">
      <c r="B677" s="8" t="s">
        <v>133</v>
      </c>
      <c r="C677" s="8" t="s">
        <v>69</v>
      </c>
      <c r="D677" s="10">
        <v>1.0792313885767809E-2</v>
      </c>
      <c r="E677" s="8" t="s">
        <v>63</v>
      </c>
      <c r="G677" s="8" t="s">
        <v>153</v>
      </c>
      <c r="H677" s="8" t="s">
        <v>69</v>
      </c>
      <c r="I677" s="12">
        <v>1.3839972720888527E-2</v>
      </c>
      <c r="J677" s="8" t="s">
        <v>63</v>
      </c>
    </row>
    <row r="678" spans="2:10" x14ac:dyDescent="0.45">
      <c r="B678" s="9" t="s">
        <v>133</v>
      </c>
      <c r="C678" s="9" t="s">
        <v>70</v>
      </c>
      <c r="D678" s="11">
        <v>9.8027215118461639E-4</v>
      </c>
      <c r="E678" s="9" t="s">
        <v>63</v>
      </c>
      <c r="G678" s="9" t="s">
        <v>153</v>
      </c>
      <c r="H678" s="9" t="s">
        <v>70</v>
      </c>
      <c r="I678" s="13">
        <v>1.4812716734116991E-2</v>
      </c>
      <c r="J678" s="9" t="s">
        <v>63</v>
      </c>
    </row>
    <row r="679" spans="2:10" x14ac:dyDescent="0.45">
      <c r="B679" s="8" t="s">
        <v>133</v>
      </c>
      <c r="C679" s="8" t="s">
        <v>71</v>
      </c>
      <c r="D679" s="10">
        <v>0</v>
      </c>
      <c r="E679" s="8" t="s">
        <v>63</v>
      </c>
      <c r="G679" s="8" t="s">
        <v>153</v>
      </c>
      <c r="H679" s="8" t="s">
        <v>71</v>
      </c>
      <c r="I679" s="12">
        <v>1.5475763720183172E-2</v>
      </c>
      <c r="J679" s="8" t="s">
        <v>63</v>
      </c>
    </row>
    <row r="680" spans="2:10" x14ac:dyDescent="0.45">
      <c r="B680" s="9" t="s">
        <v>133</v>
      </c>
      <c r="C680" s="9" t="s">
        <v>72</v>
      </c>
      <c r="D680" s="11">
        <v>0</v>
      </c>
      <c r="E680" s="9" t="s">
        <v>63</v>
      </c>
      <c r="G680" s="9" t="s">
        <v>153</v>
      </c>
      <c r="H680" s="9" t="s">
        <v>72</v>
      </c>
      <c r="I680" s="13">
        <v>2.1834115495821618E-2</v>
      </c>
      <c r="J680" s="9" t="s">
        <v>63</v>
      </c>
    </row>
    <row r="681" spans="2:10" x14ac:dyDescent="0.45">
      <c r="B681" s="8" t="s">
        <v>133</v>
      </c>
      <c r="C681" s="8" t="s">
        <v>73</v>
      </c>
      <c r="D681" s="10">
        <v>0</v>
      </c>
      <c r="E681" s="8" t="s">
        <v>63</v>
      </c>
      <c r="G681" s="8" t="s">
        <v>153</v>
      </c>
      <c r="H681" s="8" t="s">
        <v>73</v>
      </c>
      <c r="I681" s="12">
        <v>3.8847928846673749E-2</v>
      </c>
      <c r="J681" s="8" t="s">
        <v>63</v>
      </c>
    </row>
    <row r="682" spans="2:10" x14ac:dyDescent="0.45">
      <c r="B682" s="9" t="s">
        <v>133</v>
      </c>
      <c r="C682" s="9" t="s">
        <v>74</v>
      </c>
      <c r="D682" s="11">
        <v>4.6764745006703315E-3</v>
      </c>
      <c r="E682" s="9" t="s">
        <v>63</v>
      </c>
      <c r="G682" s="9" t="s">
        <v>153</v>
      </c>
      <c r="H682" s="9" t="s">
        <v>74</v>
      </c>
      <c r="I682" s="13">
        <v>1.4594664074312621E-2</v>
      </c>
      <c r="J682" s="9" t="s">
        <v>63</v>
      </c>
    </row>
    <row r="683" spans="2:10" x14ac:dyDescent="0.45">
      <c r="B683" s="8" t="s">
        <v>133</v>
      </c>
      <c r="C683" s="8" t="s">
        <v>75</v>
      </c>
      <c r="D683" s="10">
        <v>2.625764682619474E-2</v>
      </c>
      <c r="E683" s="8" t="s">
        <v>63</v>
      </c>
      <c r="G683" s="8" t="s">
        <v>153</v>
      </c>
      <c r="H683" s="8" t="s">
        <v>75</v>
      </c>
      <c r="I683" s="12">
        <v>1.2552066242874397E-2</v>
      </c>
      <c r="J683" s="8" t="s">
        <v>63</v>
      </c>
    </row>
    <row r="684" spans="2:10" x14ac:dyDescent="0.45">
      <c r="B684" s="9" t="s">
        <v>133</v>
      </c>
      <c r="C684" s="9" t="s">
        <v>76</v>
      </c>
      <c r="D684" s="11">
        <v>4.0431336446024729E-2</v>
      </c>
      <c r="E684" s="9" t="s">
        <v>63</v>
      </c>
      <c r="G684" s="9" t="s">
        <v>153</v>
      </c>
      <c r="H684" s="9" t="s">
        <v>76</v>
      </c>
      <c r="I684" s="13">
        <v>1.0754954059522474E-2</v>
      </c>
      <c r="J684" s="9" t="s">
        <v>63</v>
      </c>
    </row>
    <row r="685" spans="2:10" x14ac:dyDescent="0.45">
      <c r="B685" s="8" t="s">
        <v>133</v>
      </c>
      <c r="C685" s="8" t="s">
        <v>77</v>
      </c>
      <c r="D685" s="10">
        <v>4.0913933984048051E-2</v>
      </c>
      <c r="E685" s="8" t="s">
        <v>63</v>
      </c>
      <c r="G685" s="8" t="s">
        <v>153</v>
      </c>
      <c r="H685" s="8" t="s">
        <v>77</v>
      </c>
      <c r="I685" s="12">
        <v>9.8858277626538617E-3</v>
      </c>
      <c r="J685" s="8" t="s">
        <v>63</v>
      </c>
    </row>
    <row r="686" spans="2:10" x14ac:dyDescent="0.45">
      <c r="B686" s="9" t="s">
        <v>133</v>
      </c>
      <c r="C686" s="9" t="s">
        <v>78</v>
      </c>
      <c r="D686" s="11">
        <v>3.9364751921855443E-2</v>
      </c>
      <c r="E686" s="9" t="s">
        <v>63</v>
      </c>
      <c r="G686" s="9" t="s">
        <v>153</v>
      </c>
      <c r="H686" s="9" t="s">
        <v>78</v>
      </c>
      <c r="I686" s="13">
        <v>1.1476811996590503E-2</v>
      </c>
      <c r="J686" s="9" t="s">
        <v>63</v>
      </c>
    </row>
    <row r="687" spans="2:10" x14ac:dyDescent="0.45">
      <c r="B687" s="8" t="s">
        <v>133</v>
      </c>
      <c r="C687" s="8" t="s">
        <v>79</v>
      </c>
      <c r="D687" s="10">
        <v>3.0131473117229524E-2</v>
      </c>
      <c r="E687" s="8" t="s">
        <v>63</v>
      </c>
      <c r="G687" s="8" t="s">
        <v>153</v>
      </c>
      <c r="H687" s="8" t="s">
        <v>79</v>
      </c>
      <c r="I687" s="12">
        <v>1.1840372221413452E-2</v>
      </c>
      <c r="J687" s="8" t="s">
        <v>63</v>
      </c>
    </row>
    <row r="688" spans="2:10" x14ac:dyDescent="0.45">
      <c r="B688" s="9" t="s">
        <v>133</v>
      </c>
      <c r="C688" s="9" t="s">
        <v>80</v>
      </c>
      <c r="D688" s="11">
        <v>1.3599476550049039E-2</v>
      </c>
      <c r="E688" s="9" t="s">
        <v>63</v>
      </c>
      <c r="G688" s="9" t="s">
        <v>153</v>
      </c>
      <c r="H688" s="9" t="s">
        <v>80</v>
      </c>
      <c r="I688" s="13">
        <v>1.2029504788357025E-2</v>
      </c>
      <c r="J688" s="9" t="s">
        <v>63</v>
      </c>
    </row>
    <row r="689" spans="2:10" x14ac:dyDescent="0.45">
      <c r="B689" s="8" t="s">
        <v>133</v>
      </c>
      <c r="C689" s="8" t="s">
        <v>81</v>
      </c>
      <c r="D689" s="10">
        <v>1.5436537221104912E-4</v>
      </c>
      <c r="E689" s="8" t="s">
        <v>63</v>
      </c>
      <c r="G689" s="8" t="s">
        <v>153</v>
      </c>
      <c r="H689" s="8" t="s">
        <v>81</v>
      </c>
      <c r="I689" s="12">
        <v>1.4733279318939514E-2</v>
      </c>
      <c r="J689" s="8" t="s">
        <v>63</v>
      </c>
    </row>
    <row r="690" spans="2:10" x14ac:dyDescent="0.45">
      <c r="B690" s="9" t="s">
        <v>133</v>
      </c>
      <c r="C690" s="9" t="s">
        <v>82</v>
      </c>
      <c r="D690" s="11">
        <v>0</v>
      </c>
      <c r="E690" s="9" t="s">
        <v>63</v>
      </c>
      <c r="G690" s="9" t="s">
        <v>153</v>
      </c>
      <c r="H690" s="9" t="s">
        <v>82</v>
      </c>
      <c r="I690" s="13">
        <v>2.421006281779509E-2</v>
      </c>
      <c r="J690" s="9" t="s">
        <v>63</v>
      </c>
    </row>
    <row r="691" spans="2:10" x14ac:dyDescent="0.45">
      <c r="B691" s="8" t="s">
        <v>133</v>
      </c>
      <c r="C691" s="8" t="s">
        <v>83</v>
      </c>
      <c r="D691" s="10">
        <v>0</v>
      </c>
      <c r="E691" s="8" t="s">
        <v>63</v>
      </c>
      <c r="G691" s="8" t="s">
        <v>153</v>
      </c>
      <c r="H691" s="8" t="s">
        <v>83</v>
      </c>
      <c r="I691" s="12">
        <v>3.2431286130737674E-2</v>
      </c>
      <c r="J691" s="8" t="s">
        <v>63</v>
      </c>
    </row>
    <row r="692" spans="2:10" x14ac:dyDescent="0.45">
      <c r="B692" s="9" t="s">
        <v>133</v>
      </c>
      <c r="C692" s="9" t="s">
        <v>84</v>
      </c>
      <c r="D692" s="11">
        <v>1.4800081916688766E-2</v>
      </c>
      <c r="E692" s="9" t="s">
        <v>63</v>
      </c>
      <c r="G692" s="9" t="s">
        <v>153</v>
      </c>
      <c r="H692" s="9" t="s">
        <v>84</v>
      </c>
      <c r="I692" s="13">
        <v>1.1648518735652482E-2</v>
      </c>
      <c r="J692" s="9" t="s">
        <v>63</v>
      </c>
    </row>
    <row r="693" spans="2:10" x14ac:dyDescent="0.45">
      <c r="B693" s="8" t="s">
        <v>133</v>
      </c>
      <c r="C693" s="8" t="s">
        <v>85</v>
      </c>
      <c r="D693" s="10">
        <v>3.3708304427837558E-2</v>
      </c>
      <c r="E693" s="8" t="s">
        <v>63</v>
      </c>
      <c r="G693" s="8" t="s">
        <v>153</v>
      </c>
      <c r="H693" s="8" t="s">
        <v>85</v>
      </c>
      <c r="I693" s="12">
        <v>9.8952065115597895E-3</v>
      </c>
      <c r="J693" s="8" t="s">
        <v>63</v>
      </c>
    </row>
    <row r="694" spans="2:10" x14ac:dyDescent="0.45">
      <c r="B694" s="9" t="s">
        <v>133</v>
      </c>
      <c r="C694" s="9" t="s">
        <v>86</v>
      </c>
      <c r="D694" s="11">
        <v>4.4524252184791828E-2</v>
      </c>
      <c r="E694" s="9" t="s">
        <v>63</v>
      </c>
      <c r="G694" s="9" t="s">
        <v>153</v>
      </c>
      <c r="H694" s="9" t="s">
        <v>86</v>
      </c>
      <c r="I694" s="13">
        <v>1.0585204719657E-2</v>
      </c>
      <c r="J694" s="9" t="s">
        <v>63</v>
      </c>
    </row>
    <row r="695" spans="2:10" x14ac:dyDescent="0.45">
      <c r="B695" s="8" t="s">
        <v>133</v>
      </c>
      <c r="C695" s="8" t="s">
        <v>87</v>
      </c>
      <c r="D695" s="10">
        <v>4.5591281602033913E-2</v>
      </c>
      <c r="E695" s="8" t="s">
        <v>63</v>
      </c>
      <c r="G695" s="8" t="s">
        <v>153</v>
      </c>
      <c r="H695" s="8" t="s">
        <v>87</v>
      </c>
      <c r="I695" s="12">
        <v>1.0715963371143843E-2</v>
      </c>
      <c r="J695" s="8" t="s">
        <v>63</v>
      </c>
    </row>
    <row r="696" spans="2:10" x14ac:dyDescent="0.45">
      <c r="B696" s="9" t="s">
        <v>133</v>
      </c>
      <c r="C696" s="9" t="s">
        <v>88</v>
      </c>
      <c r="D696" s="11">
        <v>4.4617657870049517E-2</v>
      </c>
      <c r="E696" s="9" t="s">
        <v>63</v>
      </c>
      <c r="G696" s="9" t="s">
        <v>153</v>
      </c>
      <c r="H696" s="9" t="s">
        <v>88</v>
      </c>
      <c r="I696" s="13">
        <v>1.2349154812324702E-2</v>
      </c>
      <c r="J696" s="9" t="s">
        <v>63</v>
      </c>
    </row>
    <row r="697" spans="2:10" x14ac:dyDescent="0.45">
      <c r="B697" s="8" t="s">
        <v>133</v>
      </c>
      <c r="C697" s="8" t="s">
        <v>89</v>
      </c>
      <c r="D697" s="10">
        <v>3.6575136662128895E-2</v>
      </c>
      <c r="E697" s="8" t="s">
        <v>63</v>
      </c>
      <c r="G697" s="8" t="s">
        <v>153</v>
      </c>
      <c r="H697" s="8" t="s">
        <v>89</v>
      </c>
      <c r="I697" s="12">
        <v>1.1964953601204595E-2</v>
      </c>
      <c r="J697" s="8" t="s">
        <v>63</v>
      </c>
    </row>
    <row r="698" spans="2:10" x14ac:dyDescent="0.45">
      <c r="B698" s="9" t="s">
        <v>133</v>
      </c>
      <c r="C698" s="9" t="s">
        <v>90</v>
      </c>
      <c r="D698" s="11">
        <v>2.0842707021441025E-2</v>
      </c>
      <c r="E698" s="9" t="s">
        <v>63</v>
      </c>
      <c r="G698" s="9" t="s">
        <v>153</v>
      </c>
      <c r="H698" s="9" t="s">
        <v>90</v>
      </c>
      <c r="I698" s="13">
        <v>1.1150409013002823E-2</v>
      </c>
      <c r="J698" s="9" t="s">
        <v>63</v>
      </c>
    </row>
    <row r="699" spans="2:10" x14ac:dyDescent="0.45">
      <c r="B699" s="8" t="s">
        <v>133</v>
      </c>
      <c r="C699" s="8" t="s">
        <v>91</v>
      </c>
      <c r="D699" s="10">
        <v>3.7576420331070608E-3</v>
      </c>
      <c r="E699" s="8" t="s">
        <v>63</v>
      </c>
      <c r="G699" s="8" t="s">
        <v>153</v>
      </c>
      <c r="H699" s="8" t="s">
        <v>91</v>
      </c>
      <c r="I699" s="12">
        <v>1.1624110103137341E-2</v>
      </c>
      <c r="J699" s="8" t="s">
        <v>63</v>
      </c>
    </row>
    <row r="700" spans="2:10" x14ac:dyDescent="0.45">
      <c r="B700" s="9" t="s">
        <v>133</v>
      </c>
      <c r="C700" s="9" t="s">
        <v>92</v>
      </c>
      <c r="D700" s="11">
        <v>0</v>
      </c>
      <c r="E700" s="9" t="s">
        <v>63</v>
      </c>
      <c r="G700" s="9" t="s">
        <v>153</v>
      </c>
      <c r="H700" s="9" t="s">
        <v>92</v>
      </c>
      <c r="I700" s="13">
        <v>2.0256784758675928E-2</v>
      </c>
      <c r="J700" s="9" t="s">
        <v>63</v>
      </c>
    </row>
    <row r="701" spans="2:10" x14ac:dyDescent="0.45">
      <c r="B701" s="8" t="s">
        <v>133</v>
      </c>
      <c r="C701" s="8" t="s">
        <v>93</v>
      </c>
      <c r="D701" s="10">
        <v>0</v>
      </c>
      <c r="E701" s="8" t="s">
        <v>63</v>
      </c>
      <c r="G701" s="8" t="s">
        <v>153</v>
      </c>
      <c r="H701" s="8" t="s">
        <v>93</v>
      </c>
      <c r="I701" s="12">
        <v>2.1196142217837666E-2</v>
      </c>
      <c r="J701" s="8" t="s">
        <v>63</v>
      </c>
    </row>
    <row r="702" spans="2:10" x14ac:dyDescent="0.45">
      <c r="B702" s="9" t="s">
        <v>133</v>
      </c>
      <c r="C702" s="9" t="s">
        <v>94</v>
      </c>
      <c r="D702" s="11">
        <v>1.6449995801142685E-2</v>
      </c>
      <c r="E702" s="9" t="s">
        <v>63</v>
      </c>
      <c r="G702" s="9" t="s">
        <v>153</v>
      </c>
      <c r="H702" s="9" t="s">
        <v>94</v>
      </c>
      <c r="I702" s="13">
        <v>8.054210038500733E-3</v>
      </c>
      <c r="J702" s="9" t="s">
        <v>63</v>
      </c>
    </row>
    <row r="703" spans="2:10" x14ac:dyDescent="0.45">
      <c r="B703" s="8" t="s">
        <v>133</v>
      </c>
      <c r="C703" s="8" t="s">
        <v>95</v>
      </c>
      <c r="D703" s="10">
        <v>4.050259594883597E-2</v>
      </c>
      <c r="E703" s="8" t="s">
        <v>63</v>
      </c>
      <c r="G703" s="8" t="s">
        <v>153</v>
      </c>
      <c r="H703" s="8" t="s">
        <v>95</v>
      </c>
      <c r="I703" s="12">
        <v>6.0736604066495108E-3</v>
      </c>
      <c r="J703" s="8" t="s">
        <v>63</v>
      </c>
    </row>
    <row r="704" spans="2:10" x14ac:dyDescent="0.45">
      <c r="B704" s="9" t="s">
        <v>133</v>
      </c>
      <c r="C704" s="9" t="s">
        <v>96</v>
      </c>
      <c r="D704" s="11">
        <v>5.0626059345498207E-2</v>
      </c>
      <c r="E704" s="9" t="s">
        <v>63</v>
      </c>
      <c r="G704" s="9" t="s">
        <v>153</v>
      </c>
      <c r="H704" s="9" t="s">
        <v>96</v>
      </c>
      <c r="I704" s="13">
        <v>6.5919615684745829E-3</v>
      </c>
      <c r="J704" s="9" t="s">
        <v>63</v>
      </c>
    </row>
    <row r="705" spans="2:10" x14ac:dyDescent="0.45">
      <c r="B705" s="8" t="s">
        <v>133</v>
      </c>
      <c r="C705" s="8" t="s">
        <v>97</v>
      </c>
      <c r="D705" s="10">
        <v>4.9797611464408115E-2</v>
      </c>
      <c r="E705" s="8" t="s">
        <v>63</v>
      </c>
      <c r="G705" s="8" t="s">
        <v>153</v>
      </c>
      <c r="H705" s="8" t="s">
        <v>97</v>
      </c>
      <c r="I705" s="12">
        <v>5.962572992272706E-3</v>
      </c>
      <c r="J705" s="8" t="s">
        <v>63</v>
      </c>
    </row>
    <row r="706" spans="2:10" x14ac:dyDescent="0.45">
      <c r="B706" s="9" t="s">
        <v>133</v>
      </c>
      <c r="C706" s="9" t="s">
        <v>98</v>
      </c>
      <c r="D706" s="11">
        <v>4.6478397941280496E-2</v>
      </c>
      <c r="E706" s="9" t="s">
        <v>63</v>
      </c>
      <c r="G706" s="9" t="s">
        <v>153</v>
      </c>
      <c r="H706" s="9" t="s">
        <v>98</v>
      </c>
      <c r="I706" s="13">
        <v>7.2887659277051159E-3</v>
      </c>
      <c r="J706" s="9" t="s">
        <v>63</v>
      </c>
    </row>
    <row r="707" spans="2:10" x14ac:dyDescent="0.45">
      <c r="B707" s="8" t="s">
        <v>133</v>
      </c>
      <c r="C707" s="8" t="s">
        <v>99</v>
      </c>
      <c r="D707" s="10">
        <v>3.909717446059284E-2</v>
      </c>
      <c r="E707" s="8" t="s">
        <v>63</v>
      </c>
      <c r="G707" s="8" t="s">
        <v>153</v>
      </c>
      <c r="H707" s="8" t="s">
        <v>99</v>
      </c>
      <c r="I707" s="12">
        <v>7.5407689080305221E-3</v>
      </c>
      <c r="J707" s="8" t="s">
        <v>63</v>
      </c>
    </row>
    <row r="708" spans="2:10" x14ac:dyDescent="0.45">
      <c r="B708" s="9" t="s">
        <v>133</v>
      </c>
      <c r="C708" s="9" t="s">
        <v>100</v>
      </c>
      <c r="D708" s="11">
        <v>2.5702418070615345E-2</v>
      </c>
      <c r="E708" s="9" t="s">
        <v>63</v>
      </c>
      <c r="G708" s="9" t="s">
        <v>153</v>
      </c>
      <c r="H708" s="9" t="s">
        <v>100</v>
      </c>
      <c r="I708" s="13">
        <v>6.4904958410467025E-3</v>
      </c>
      <c r="J708" s="9" t="s">
        <v>63</v>
      </c>
    </row>
    <row r="709" spans="2:10" x14ac:dyDescent="0.45">
      <c r="B709" s="8" t="s">
        <v>133</v>
      </c>
      <c r="C709" s="8" t="s">
        <v>101</v>
      </c>
      <c r="D709" s="10">
        <v>5.0525968568297698E-3</v>
      </c>
      <c r="E709" s="8" t="s">
        <v>63</v>
      </c>
      <c r="G709" s="8" t="s">
        <v>153</v>
      </c>
      <c r="H709" s="8" t="s">
        <v>101</v>
      </c>
      <c r="I709" s="12">
        <v>7.2249399444875902E-3</v>
      </c>
      <c r="J709" s="8" t="s">
        <v>63</v>
      </c>
    </row>
    <row r="710" spans="2:10" x14ac:dyDescent="0.45">
      <c r="B710" s="9" t="s">
        <v>133</v>
      </c>
      <c r="C710" s="9" t="s">
        <v>102</v>
      </c>
      <c r="D710" s="11">
        <v>0</v>
      </c>
      <c r="E710" s="9" t="s">
        <v>63</v>
      </c>
      <c r="G710" s="9" t="s">
        <v>153</v>
      </c>
      <c r="H710" s="9" t="s">
        <v>102</v>
      </c>
      <c r="I710" s="13">
        <v>1.3385505549453796E-2</v>
      </c>
      <c r="J710" s="9" t="s">
        <v>63</v>
      </c>
    </row>
    <row r="711" spans="2:10" x14ac:dyDescent="0.45">
      <c r="B711" s="8" t="s">
        <v>133</v>
      </c>
      <c r="C711" s="8" t="s">
        <v>103</v>
      </c>
      <c r="D711" s="10">
        <v>0</v>
      </c>
      <c r="E711" s="8" t="s">
        <v>63</v>
      </c>
      <c r="G711" s="8" t="s">
        <v>153</v>
      </c>
      <c r="H711" s="8" t="s">
        <v>103</v>
      </c>
      <c r="I711" s="12">
        <v>4.1460376947919819E-2</v>
      </c>
      <c r="J711" s="8" t="s">
        <v>63</v>
      </c>
    </row>
    <row r="712" spans="2:10" x14ac:dyDescent="0.45">
      <c r="B712" s="9" t="s">
        <v>133</v>
      </c>
      <c r="C712" s="9" t="s">
        <v>104</v>
      </c>
      <c r="D712" s="11">
        <v>1.7798050215854591E-3</v>
      </c>
      <c r="E712" s="9" t="s">
        <v>63</v>
      </c>
      <c r="G712" s="9" t="s">
        <v>153</v>
      </c>
      <c r="H712" s="9" t="s">
        <v>104</v>
      </c>
      <c r="I712" s="13">
        <v>1.6113924902944242E-2</v>
      </c>
      <c r="J712" s="9" t="s">
        <v>63</v>
      </c>
    </row>
    <row r="713" spans="2:10" x14ac:dyDescent="0.45">
      <c r="B713" s="8" t="s">
        <v>133</v>
      </c>
      <c r="C713" s="8" t="s">
        <v>105</v>
      </c>
      <c r="D713" s="10">
        <v>2.0350987347165828E-2</v>
      </c>
      <c r="E713" s="8" t="s">
        <v>63</v>
      </c>
      <c r="G713" s="8" t="s">
        <v>153</v>
      </c>
      <c r="H713" s="8" t="s">
        <v>105</v>
      </c>
      <c r="I713" s="12">
        <v>1.5281485273259419E-2</v>
      </c>
      <c r="J713" s="8" t="s">
        <v>63</v>
      </c>
    </row>
    <row r="714" spans="2:10" x14ac:dyDescent="0.45">
      <c r="B714" s="9" t="s">
        <v>133</v>
      </c>
      <c r="C714" s="9" t="s">
        <v>106</v>
      </c>
      <c r="D714" s="11">
        <v>3.412419197324925E-2</v>
      </c>
      <c r="E714" s="9" t="s">
        <v>63</v>
      </c>
      <c r="G714" s="9" t="s">
        <v>153</v>
      </c>
      <c r="H714" s="9" t="s">
        <v>106</v>
      </c>
      <c r="I714" s="13">
        <v>1.4148056749512493E-2</v>
      </c>
      <c r="J714" s="9" t="s">
        <v>63</v>
      </c>
    </row>
    <row r="715" spans="2:10" x14ac:dyDescent="0.45">
      <c r="B715" s="8" t="s">
        <v>133</v>
      </c>
      <c r="C715" s="8" t="s">
        <v>107</v>
      </c>
      <c r="D715" s="10">
        <v>3.3278992487960089E-2</v>
      </c>
      <c r="E715" s="8" t="s">
        <v>63</v>
      </c>
      <c r="G715" s="8" t="s">
        <v>153</v>
      </c>
      <c r="H715" s="8" t="s">
        <v>107</v>
      </c>
      <c r="I715" s="12">
        <v>1.2911679884262247E-2</v>
      </c>
      <c r="J715" s="8" t="s">
        <v>63</v>
      </c>
    </row>
    <row r="716" spans="2:10" x14ac:dyDescent="0.45">
      <c r="B716" s="9" t="s">
        <v>133</v>
      </c>
      <c r="C716" s="9" t="s">
        <v>108</v>
      </c>
      <c r="D716" s="11">
        <v>3.3915886640284582E-2</v>
      </c>
      <c r="E716" s="9" t="s">
        <v>63</v>
      </c>
      <c r="G716" s="9" t="s">
        <v>153</v>
      </c>
      <c r="H716" s="9" t="s">
        <v>108</v>
      </c>
      <c r="I716" s="13">
        <v>1.4045295180452748E-2</v>
      </c>
      <c r="J716" s="9" t="s">
        <v>63</v>
      </c>
    </row>
    <row r="717" spans="2:10" x14ac:dyDescent="0.45">
      <c r="B717" s="8" t="s">
        <v>133</v>
      </c>
      <c r="C717" s="8" t="s">
        <v>109</v>
      </c>
      <c r="D717" s="10">
        <v>2.3473893242652106E-2</v>
      </c>
      <c r="E717" s="8" t="s">
        <v>63</v>
      </c>
      <c r="G717" s="8" t="s">
        <v>153</v>
      </c>
      <c r="H717" s="8" t="s">
        <v>109</v>
      </c>
      <c r="I717" s="12">
        <v>1.43734317680715E-2</v>
      </c>
      <c r="J717" s="8" t="s">
        <v>63</v>
      </c>
    </row>
    <row r="718" spans="2:10" x14ac:dyDescent="0.45">
      <c r="B718" s="9" t="s">
        <v>133</v>
      </c>
      <c r="C718" s="9" t="s">
        <v>110</v>
      </c>
      <c r="D718" s="11">
        <v>6.5593891532138206E-3</v>
      </c>
      <c r="E718" s="9" t="s">
        <v>63</v>
      </c>
      <c r="G718" s="9" t="s">
        <v>153</v>
      </c>
      <c r="H718" s="9" t="s">
        <v>110</v>
      </c>
      <c r="I718" s="13">
        <v>1.5334023439268618E-2</v>
      </c>
      <c r="J718" s="9" t="s">
        <v>63</v>
      </c>
    </row>
    <row r="719" spans="2:10" x14ac:dyDescent="0.45">
      <c r="B719" s="8" t="s">
        <v>133</v>
      </c>
      <c r="C719" s="8" t="s">
        <v>111</v>
      </c>
      <c r="D719" s="10">
        <v>0</v>
      </c>
      <c r="E719" s="8" t="s">
        <v>63</v>
      </c>
      <c r="G719" s="8" t="s">
        <v>153</v>
      </c>
      <c r="H719" s="8" t="s">
        <v>111</v>
      </c>
      <c r="I719" s="12">
        <v>1.7233104315157774E-2</v>
      </c>
      <c r="J719" s="8" t="s">
        <v>63</v>
      </c>
    </row>
    <row r="720" spans="2:10" x14ac:dyDescent="0.45">
      <c r="B720" s="9" t="s">
        <v>133</v>
      </c>
      <c r="C720" s="9" t="s">
        <v>112</v>
      </c>
      <c r="D720" s="11">
        <v>0</v>
      </c>
      <c r="E720" s="9" t="s">
        <v>63</v>
      </c>
      <c r="G720" s="9" t="s">
        <v>153</v>
      </c>
      <c r="H720" s="9" t="s">
        <v>112</v>
      </c>
      <c r="I720" s="13">
        <v>2.6256056926551807E-2</v>
      </c>
      <c r="J720" s="9" t="s">
        <v>63</v>
      </c>
    </row>
    <row r="721" spans="2:10" x14ac:dyDescent="0.45">
      <c r="B721" s="8" t="s">
        <v>133</v>
      </c>
      <c r="C721" s="8" t="s">
        <v>113</v>
      </c>
      <c r="D721" s="10">
        <v>0</v>
      </c>
      <c r="E721" s="8" t="s">
        <v>63</v>
      </c>
      <c r="G721" s="8" t="s">
        <v>153</v>
      </c>
      <c r="H721" s="8" t="s">
        <v>113</v>
      </c>
      <c r="I721" s="12">
        <v>4.9326792271093267E-2</v>
      </c>
      <c r="J721" s="8" t="s">
        <v>63</v>
      </c>
    </row>
    <row r="722" spans="2:10" x14ac:dyDescent="0.45">
      <c r="B722" s="9" t="s">
        <v>133</v>
      </c>
      <c r="C722" s="9" t="s">
        <v>114</v>
      </c>
      <c r="D722" s="11">
        <v>0</v>
      </c>
      <c r="E722" s="9" t="s">
        <v>63</v>
      </c>
      <c r="G722" s="9" t="s">
        <v>153</v>
      </c>
      <c r="H722" s="9" t="s">
        <v>114</v>
      </c>
      <c r="I722" s="13">
        <v>2.0257405790426022E-2</v>
      </c>
      <c r="J722" s="9" t="s">
        <v>63</v>
      </c>
    </row>
    <row r="723" spans="2:10" x14ac:dyDescent="0.45">
      <c r="B723" s="8" t="s">
        <v>133</v>
      </c>
      <c r="C723" s="8" t="s">
        <v>115</v>
      </c>
      <c r="D723" s="10">
        <v>2.5762394917871498E-3</v>
      </c>
      <c r="E723" s="8" t="s">
        <v>63</v>
      </c>
      <c r="G723" s="8" t="s">
        <v>153</v>
      </c>
      <c r="H723" s="8" t="s">
        <v>115</v>
      </c>
      <c r="I723" s="12">
        <v>2.1242602334881799E-2</v>
      </c>
      <c r="J723" s="8" t="s">
        <v>63</v>
      </c>
    </row>
    <row r="724" spans="2:10" x14ac:dyDescent="0.45">
      <c r="B724" s="9" t="s">
        <v>133</v>
      </c>
      <c r="C724" s="9" t="s">
        <v>116</v>
      </c>
      <c r="D724" s="11">
        <v>1.5827966649909694E-2</v>
      </c>
      <c r="E724" s="9" t="s">
        <v>63</v>
      </c>
      <c r="G724" s="9" t="s">
        <v>153</v>
      </c>
      <c r="H724" s="9" t="s">
        <v>116</v>
      </c>
      <c r="I724" s="13">
        <v>2.1576183696072036E-2</v>
      </c>
      <c r="J724" s="9" t="s">
        <v>63</v>
      </c>
    </row>
    <row r="725" spans="2:10" x14ac:dyDescent="0.45">
      <c r="B725" s="8" t="s">
        <v>133</v>
      </c>
      <c r="C725" s="8" t="s">
        <v>117</v>
      </c>
      <c r="D725" s="10">
        <v>1.8660146499170846E-2</v>
      </c>
      <c r="E725" s="8" t="s">
        <v>63</v>
      </c>
      <c r="G725" s="8" t="s">
        <v>153</v>
      </c>
      <c r="H725" s="8" t="s">
        <v>117</v>
      </c>
      <c r="I725" s="12">
        <v>1.9818644905738501E-2</v>
      </c>
      <c r="J725" s="8" t="s">
        <v>63</v>
      </c>
    </row>
    <row r="726" spans="2:10" x14ac:dyDescent="0.45">
      <c r="B726" s="9" t="s">
        <v>133</v>
      </c>
      <c r="C726" s="9" t="s">
        <v>118</v>
      </c>
      <c r="D726" s="11">
        <v>1.9526132572922374E-2</v>
      </c>
      <c r="E726" s="9" t="s">
        <v>63</v>
      </c>
      <c r="G726" s="9" t="s">
        <v>153</v>
      </c>
      <c r="H726" s="9" t="s">
        <v>118</v>
      </c>
      <c r="I726" s="13">
        <v>1.9829063086099479E-2</v>
      </c>
      <c r="J726" s="9" t="s">
        <v>63</v>
      </c>
    </row>
    <row r="727" spans="2:10" x14ac:dyDescent="0.45">
      <c r="B727" s="8" t="s">
        <v>133</v>
      </c>
      <c r="C727" s="8" t="s">
        <v>119</v>
      </c>
      <c r="D727" s="10">
        <v>6.6640342220364484E-3</v>
      </c>
      <c r="E727" s="8" t="s">
        <v>63</v>
      </c>
      <c r="G727" s="8" t="s">
        <v>153</v>
      </c>
      <c r="H727" s="8" t="s">
        <v>119</v>
      </c>
      <c r="I727" s="12">
        <v>2.0663017731995477E-2</v>
      </c>
      <c r="J727" s="8" t="s">
        <v>63</v>
      </c>
    </row>
    <row r="728" spans="2:10" x14ac:dyDescent="0.45">
      <c r="B728" s="9" t="s">
        <v>133</v>
      </c>
      <c r="C728" s="9" t="s">
        <v>120</v>
      </c>
      <c r="D728" s="11">
        <v>0</v>
      </c>
      <c r="E728" s="9" t="s">
        <v>63</v>
      </c>
      <c r="G728" s="9" t="s">
        <v>153</v>
      </c>
      <c r="H728" s="9" t="s">
        <v>120</v>
      </c>
      <c r="I728" s="13">
        <v>2.1674455217345741E-2</v>
      </c>
      <c r="J728" s="9" t="s">
        <v>63</v>
      </c>
    </row>
    <row r="729" spans="2:10" x14ac:dyDescent="0.45">
      <c r="B729" s="8" t="s">
        <v>133</v>
      </c>
      <c r="C729" s="8" t="s">
        <v>121</v>
      </c>
      <c r="D729" s="10">
        <v>0</v>
      </c>
      <c r="E729" s="8" t="s">
        <v>63</v>
      </c>
      <c r="G729" s="8" t="s">
        <v>153</v>
      </c>
      <c r="H729" s="8" t="s">
        <v>121</v>
      </c>
      <c r="I729" s="12">
        <v>2.155869741943672E-2</v>
      </c>
      <c r="J729" s="8" t="s">
        <v>63</v>
      </c>
    </row>
    <row r="730" spans="2:10" x14ac:dyDescent="0.45">
      <c r="B730" s="9" t="s">
        <v>133</v>
      </c>
      <c r="C730" s="9" t="s">
        <v>122</v>
      </c>
      <c r="D730" s="11">
        <v>0</v>
      </c>
      <c r="E730" s="9" t="s">
        <v>63</v>
      </c>
      <c r="G730" s="9" t="s">
        <v>153</v>
      </c>
      <c r="H730" s="9" t="s">
        <v>122</v>
      </c>
      <c r="I730" s="13">
        <v>3.0815846176311508E-2</v>
      </c>
      <c r="J730" s="9" t="s">
        <v>63</v>
      </c>
    </row>
    <row r="731" spans="2:10" x14ac:dyDescent="0.45">
      <c r="B731" s="8" t="s">
        <v>134</v>
      </c>
      <c r="C731" s="8" t="s">
        <v>62</v>
      </c>
      <c r="D731" s="10">
        <v>0</v>
      </c>
      <c r="E731" s="8" t="s">
        <v>63</v>
      </c>
      <c r="G731" s="8" t="s">
        <v>154</v>
      </c>
      <c r="H731" s="8" t="s">
        <v>62</v>
      </c>
      <c r="I731" s="12">
        <v>3.4821063831830763E-2</v>
      </c>
      <c r="J731" s="8" t="s">
        <v>63</v>
      </c>
    </row>
    <row r="732" spans="2:10" x14ac:dyDescent="0.45">
      <c r="B732" s="9" t="s">
        <v>134</v>
      </c>
      <c r="C732" s="9" t="s">
        <v>64</v>
      </c>
      <c r="D732" s="11">
        <v>0</v>
      </c>
      <c r="E732" s="9" t="s">
        <v>63</v>
      </c>
      <c r="G732" s="9" t="s">
        <v>154</v>
      </c>
      <c r="H732" s="9" t="s">
        <v>64</v>
      </c>
      <c r="I732" s="13">
        <v>1.4143541420486848E-2</v>
      </c>
      <c r="J732" s="9" t="s">
        <v>63</v>
      </c>
    </row>
    <row r="733" spans="2:10" x14ac:dyDescent="0.45">
      <c r="B733" s="8" t="s">
        <v>134</v>
      </c>
      <c r="C733" s="8" t="s">
        <v>65</v>
      </c>
      <c r="D733" s="10">
        <v>2.399058321385861E-3</v>
      </c>
      <c r="E733" s="8" t="s">
        <v>63</v>
      </c>
      <c r="G733" s="8" t="s">
        <v>154</v>
      </c>
      <c r="H733" s="8" t="s">
        <v>65</v>
      </c>
      <c r="I733" s="12">
        <v>1.4425834306437678E-2</v>
      </c>
      <c r="J733" s="8" t="s">
        <v>63</v>
      </c>
    </row>
    <row r="734" spans="2:10" x14ac:dyDescent="0.45">
      <c r="B734" s="9" t="s">
        <v>134</v>
      </c>
      <c r="C734" s="9" t="s">
        <v>66</v>
      </c>
      <c r="D734" s="11">
        <v>1.3353550668752524E-2</v>
      </c>
      <c r="E734" s="9" t="s">
        <v>63</v>
      </c>
      <c r="G734" s="9" t="s">
        <v>154</v>
      </c>
      <c r="H734" s="9" t="s">
        <v>66</v>
      </c>
      <c r="I734" s="13">
        <v>1.4388227209049302E-2</v>
      </c>
      <c r="J734" s="9" t="s">
        <v>63</v>
      </c>
    </row>
    <row r="735" spans="2:10" x14ac:dyDescent="0.45">
      <c r="B735" s="8" t="s">
        <v>134</v>
      </c>
      <c r="C735" s="8" t="s">
        <v>67</v>
      </c>
      <c r="D735" s="10">
        <v>1.8269490056458507E-2</v>
      </c>
      <c r="E735" s="8" t="s">
        <v>63</v>
      </c>
      <c r="G735" s="8" t="s">
        <v>154</v>
      </c>
      <c r="H735" s="8" t="s">
        <v>67</v>
      </c>
      <c r="I735" s="12">
        <v>1.3803771439877028E-2</v>
      </c>
      <c r="J735" s="8" t="s">
        <v>63</v>
      </c>
    </row>
    <row r="736" spans="2:10" x14ac:dyDescent="0.45">
      <c r="B736" s="9" t="s">
        <v>134</v>
      </c>
      <c r="C736" s="9" t="s">
        <v>68</v>
      </c>
      <c r="D736" s="11">
        <v>1.7796256418060184E-2</v>
      </c>
      <c r="E736" s="9" t="s">
        <v>63</v>
      </c>
      <c r="G736" s="9" t="s">
        <v>154</v>
      </c>
      <c r="H736" s="9" t="s">
        <v>68</v>
      </c>
      <c r="I736" s="13">
        <v>1.421119489917161E-2</v>
      </c>
      <c r="J736" s="9" t="s">
        <v>63</v>
      </c>
    </row>
    <row r="737" spans="2:10" x14ac:dyDescent="0.45">
      <c r="B737" s="8" t="s">
        <v>134</v>
      </c>
      <c r="C737" s="8" t="s">
        <v>69</v>
      </c>
      <c r="D737" s="10">
        <v>8.3966945648790738E-3</v>
      </c>
      <c r="E737" s="8" t="s">
        <v>63</v>
      </c>
      <c r="G737" s="8" t="s">
        <v>154</v>
      </c>
      <c r="H737" s="8" t="s">
        <v>69</v>
      </c>
      <c r="I737" s="12">
        <v>1.4473551737470416E-2</v>
      </c>
      <c r="J737" s="8" t="s">
        <v>63</v>
      </c>
    </row>
    <row r="738" spans="2:10" x14ac:dyDescent="0.45">
      <c r="B738" s="9" t="s">
        <v>134</v>
      </c>
      <c r="C738" s="9" t="s">
        <v>70</v>
      </c>
      <c r="D738" s="11">
        <v>5.8613068503061364E-4</v>
      </c>
      <c r="E738" s="9" t="s">
        <v>63</v>
      </c>
      <c r="G738" s="9" t="s">
        <v>154</v>
      </c>
      <c r="H738" s="9" t="s">
        <v>70</v>
      </c>
      <c r="I738" s="13">
        <v>1.4783355083897866E-2</v>
      </c>
      <c r="J738" s="9" t="s">
        <v>63</v>
      </c>
    </row>
    <row r="739" spans="2:10" x14ac:dyDescent="0.45">
      <c r="B739" s="8" t="s">
        <v>134</v>
      </c>
      <c r="C739" s="8" t="s">
        <v>71</v>
      </c>
      <c r="D739" s="10">
        <v>0</v>
      </c>
      <c r="E739" s="8" t="s">
        <v>63</v>
      </c>
      <c r="G739" s="8" t="s">
        <v>154</v>
      </c>
      <c r="H739" s="8" t="s">
        <v>71</v>
      </c>
      <c r="I739" s="12">
        <v>1.5246317831798766E-2</v>
      </c>
      <c r="J739" s="8" t="s">
        <v>63</v>
      </c>
    </row>
    <row r="740" spans="2:10" x14ac:dyDescent="0.45">
      <c r="B740" s="9" t="s">
        <v>134</v>
      </c>
      <c r="C740" s="9" t="s">
        <v>72</v>
      </c>
      <c r="D740" s="11">
        <v>0</v>
      </c>
      <c r="E740" s="9" t="s">
        <v>63</v>
      </c>
      <c r="G740" s="9" t="s">
        <v>154</v>
      </c>
      <c r="H740" s="9" t="s">
        <v>72</v>
      </c>
      <c r="I740" s="13">
        <v>2.1679660650524079E-2</v>
      </c>
      <c r="J740" s="9" t="s">
        <v>63</v>
      </c>
    </row>
    <row r="741" spans="2:10" x14ac:dyDescent="0.45">
      <c r="B741" s="8" t="s">
        <v>134</v>
      </c>
      <c r="C741" s="8" t="s">
        <v>73</v>
      </c>
      <c r="D741" s="10">
        <v>0</v>
      </c>
      <c r="E741" s="8" t="s">
        <v>63</v>
      </c>
      <c r="G741" s="8" t="s">
        <v>154</v>
      </c>
      <c r="H741" s="8" t="s">
        <v>73</v>
      </c>
      <c r="I741" s="12">
        <v>4.0028092968361011E-2</v>
      </c>
      <c r="J741" s="8" t="s">
        <v>63</v>
      </c>
    </row>
    <row r="742" spans="2:10" x14ac:dyDescent="0.45">
      <c r="B742" s="9" t="s">
        <v>134</v>
      </c>
      <c r="C742" s="9" t="s">
        <v>74</v>
      </c>
      <c r="D742" s="11">
        <v>5.6557617483935403E-3</v>
      </c>
      <c r="E742" s="9" t="s">
        <v>63</v>
      </c>
      <c r="G742" s="9" t="s">
        <v>154</v>
      </c>
      <c r="H742" s="9" t="s">
        <v>74</v>
      </c>
      <c r="I742" s="13">
        <v>1.4474340480406125E-2</v>
      </c>
      <c r="J742" s="9" t="s">
        <v>63</v>
      </c>
    </row>
    <row r="743" spans="2:10" x14ac:dyDescent="0.45">
      <c r="B743" s="8" t="s">
        <v>134</v>
      </c>
      <c r="C743" s="8" t="s">
        <v>75</v>
      </c>
      <c r="D743" s="10">
        <v>2.7883527974080072E-2</v>
      </c>
      <c r="E743" s="8" t="s">
        <v>63</v>
      </c>
      <c r="G743" s="8" t="s">
        <v>154</v>
      </c>
      <c r="H743" s="8" t="s">
        <v>75</v>
      </c>
      <c r="I743" s="12">
        <v>1.257841701101237E-2</v>
      </c>
      <c r="J743" s="8" t="s">
        <v>63</v>
      </c>
    </row>
    <row r="744" spans="2:10" x14ac:dyDescent="0.45">
      <c r="B744" s="9" t="s">
        <v>134</v>
      </c>
      <c r="C744" s="9" t="s">
        <v>76</v>
      </c>
      <c r="D744" s="11">
        <v>4.1240407334806869E-2</v>
      </c>
      <c r="E744" s="9" t="s">
        <v>63</v>
      </c>
      <c r="G744" s="9" t="s">
        <v>154</v>
      </c>
      <c r="H744" s="9" t="s">
        <v>76</v>
      </c>
      <c r="I744" s="13">
        <v>1.1255518340851145E-2</v>
      </c>
      <c r="J744" s="9" t="s">
        <v>63</v>
      </c>
    </row>
    <row r="745" spans="2:10" x14ac:dyDescent="0.45">
      <c r="B745" s="8" t="s">
        <v>134</v>
      </c>
      <c r="C745" s="8" t="s">
        <v>77</v>
      </c>
      <c r="D745" s="10">
        <v>4.2094413997774575E-2</v>
      </c>
      <c r="E745" s="8" t="s">
        <v>63</v>
      </c>
      <c r="G745" s="8" t="s">
        <v>154</v>
      </c>
      <c r="H745" s="8" t="s">
        <v>77</v>
      </c>
      <c r="I745" s="12">
        <v>1.049912574458268E-2</v>
      </c>
      <c r="J745" s="8" t="s">
        <v>63</v>
      </c>
    </row>
    <row r="746" spans="2:10" x14ac:dyDescent="0.45">
      <c r="B746" s="9" t="s">
        <v>134</v>
      </c>
      <c r="C746" s="9" t="s">
        <v>78</v>
      </c>
      <c r="D746" s="11">
        <v>4.0583193601607725E-2</v>
      </c>
      <c r="E746" s="9" t="s">
        <v>63</v>
      </c>
      <c r="G746" s="9" t="s">
        <v>154</v>
      </c>
      <c r="H746" s="9" t="s">
        <v>78</v>
      </c>
      <c r="I746" s="13">
        <v>1.2762689557665564E-2</v>
      </c>
      <c r="J746" s="9" t="s">
        <v>63</v>
      </c>
    </row>
    <row r="747" spans="2:10" x14ac:dyDescent="0.45">
      <c r="B747" s="8" t="s">
        <v>134</v>
      </c>
      <c r="C747" s="8" t="s">
        <v>79</v>
      </c>
      <c r="D747" s="10">
        <v>3.118523867122831E-2</v>
      </c>
      <c r="E747" s="8" t="s">
        <v>63</v>
      </c>
      <c r="G747" s="8" t="s">
        <v>154</v>
      </c>
      <c r="H747" s="8" t="s">
        <v>79</v>
      </c>
      <c r="I747" s="12">
        <v>1.3449557413103734E-2</v>
      </c>
      <c r="J747" s="8" t="s">
        <v>63</v>
      </c>
    </row>
    <row r="748" spans="2:10" x14ac:dyDescent="0.45">
      <c r="B748" s="9" t="s">
        <v>134</v>
      </c>
      <c r="C748" s="9" t="s">
        <v>80</v>
      </c>
      <c r="D748" s="11">
        <v>1.3583798062044882E-2</v>
      </c>
      <c r="E748" s="9" t="s">
        <v>63</v>
      </c>
      <c r="G748" s="9" t="s">
        <v>154</v>
      </c>
      <c r="H748" s="9" t="s">
        <v>80</v>
      </c>
      <c r="I748" s="13">
        <v>1.3497798765902293E-2</v>
      </c>
      <c r="J748" s="9" t="s">
        <v>63</v>
      </c>
    </row>
    <row r="749" spans="2:10" x14ac:dyDescent="0.45">
      <c r="B749" s="8" t="s">
        <v>134</v>
      </c>
      <c r="C749" s="8" t="s">
        <v>81</v>
      </c>
      <c r="D749" s="10">
        <v>7.5290269753989944E-5</v>
      </c>
      <c r="E749" s="8" t="s">
        <v>63</v>
      </c>
      <c r="G749" s="8" t="s">
        <v>154</v>
      </c>
      <c r="H749" s="8" t="s">
        <v>81</v>
      </c>
      <c r="I749" s="12">
        <v>1.5928092732666533E-2</v>
      </c>
      <c r="J749" s="8" t="s">
        <v>63</v>
      </c>
    </row>
    <row r="750" spans="2:10" x14ac:dyDescent="0.45">
      <c r="B750" s="9" t="s">
        <v>134</v>
      </c>
      <c r="C750" s="9" t="s">
        <v>82</v>
      </c>
      <c r="D750" s="11">
        <v>0</v>
      </c>
      <c r="E750" s="9" t="s">
        <v>63</v>
      </c>
      <c r="G750" s="9" t="s">
        <v>154</v>
      </c>
      <c r="H750" s="9" t="s">
        <v>82</v>
      </c>
      <c r="I750" s="13">
        <v>2.5099639007700344E-2</v>
      </c>
      <c r="J750" s="9" t="s">
        <v>63</v>
      </c>
    </row>
    <row r="751" spans="2:10" x14ac:dyDescent="0.45">
      <c r="B751" s="8" t="s">
        <v>134</v>
      </c>
      <c r="C751" s="8" t="s">
        <v>83</v>
      </c>
      <c r="D751" s="10">
        <v>5.4178338889894202E-4</v>
      </c>
      <c r="E751" s="8" t="s">
        <v>63</v>
      </c>
      <c r="G751" s="8" t="s">
        <v>154</v>
      </c>
      <c r="H751" s="8" t="s">
        <v>83</v>
      </c>
      <c r="I751" s="12">
        <v>3.4423779056387604E-2</v>
      </c>
      <c r="J751" s="8" t="s">
        <v>63</v>
      </c>
    </row>
    <row r="752" spans="2:10" x14ac:dyDescent="0.45">
      <c r="B752" s="9" t="s">
        <v>134</v>
      </c>
      <c r="C752" s="9" t="s">
        <v>84</v>
      </c>
      <c r="D752" s="11">
        <v>1.7947775258369908E-2</v>
      </c>
      <c r="E752" s="9" t="s">
        <v>63</v>
      </c>
      <c r="G752" s="9" t="s">
        <v>154</v>
      </c>
      <c r="H752" s="9" t="s">
        <v>84</v>
      </c>
      <c r="I752" s="13">
        <v>1.2736449638281609E-2</v>
      </c>
      <c r="J752" s="9" t="s">
        <v>63</v>
      </c>
    </row>
    <row r="753" spans="2:10" x14ac:dyDescent="0.45">
      <c r="B753" s="8" t="s">
        <v>134</v>
      </c>
      <c r="C753" s="8" t="s">
        <v>85</v>
      </c>
      <c r="D753" s="10">
        <v>3.796856902827251E-2</v>
      </c>
      <c r="E753" s="8" t="s">
        <v>63</v>
      </c>
      <c r="G753" s="8" t="s">
        <v>154</v>
      </c>
      <c r="H753" s="8" t="s">
        <v>85</v>
      </c>
      <c r="I753" s="12">
        <v>1.0128870575528264E-2</v>
      </c>
      <c r="J753" s="8" t="s">
        <v>63</v>
      </c>
    </row>
    <row r="754" spans="2:10" x14ac:dyDescent="0.45">
      <c r="B754" s="9" t="s">
        <v>134</v>
      </c>
      <c r="C754" s="9" t="s">
        <v>86</v>
      </c>
      <c r="D754" s="11">
        <v>4.7690970989314851E-2</v>
      </c>
      <c r="E754" s="9" t="s">
        <v>63</v>
      </c>
      <c r="G754" s="9" t="s">
        <v>154</v>
      </c>
      <c r="H754" s="9" t="s">
        <v>86</v>
      </c>
      <c r="I754" s="13">
        <v>1.0058790967472177E-2</v>
      </c>
      <c r="J754" s="9" t="s">
        <v>63</v>
      </c>
    </row>
    <row r="755" spans="2:10" x14ac:dyDescent="0.45">
      <c r="B755" s="8" t="s">
        <v>134</v>
      </c>
      <c r="C755" s="8" t="s">
        <v>87</v>
      </c>
      <c r="D755" s="10">
        <v>4.75805938558784E-2</v>
      </c>
      <c r="E755" s="8" t="s">
        <v>63</v>
      </c>
      <c r="G755" s="8" t="s">
        <v>154</v>
      </c>
      <c r="H755" s="8" t="s">
        <v>87</v>
      </c>
      <c r="I755" s="12">
        <v>9.5706990456969031E-3</v>
      </c>
      <c r="J755" s="8" t="s">
        <v>63</v>
      </c>
    </row>
    <row r="756" spans="2:10" x14ac:dyDescent="0.45">
      <c r="B756" s="9" t="s">
        <v>134</v>
      </c>
      <c r="C756" s="9" t="s">
        <v>88</v>
      </c>
      <c r="D756" s="11">
        <v>4.5420151607933355E-2</v>
      </c>
      <c r="E756" s="9" t="s">
        <v>63</v>
      </c>
      <c r="G756" s="9" t="s">
        <v>154</v>
      </c>
      <c r="H756" s="9" t="s">
        <v>88</v>
      </c>
      <c r="I756" s="13">
        <v>1.0785955183795394E-2</v>
      </c>
      <c r="J756" s="9" t="s">
        <v>63</v>
      </c>
    </row>
    <row r="757" spans="2:10" x14ac:dyDescent="0.45">
      <c r="B757" s="8" t="s">
        <v>134</v>
      </c>
      <c r="C757" s="8" t="s">
        <v>89</v>
      </c>
      <c r="D757" s="10">
        <v>3.7624886249616685E-2</v>
      </c>
      <c r="E757" s="8" t="s">
        <v>63</v>
      </c>
      <c r="G757" s="8" t="s">
        <v>154</v>
      </c>
      <c r="H757" s="8" t="s">
        <v>89</v>
      </c>
      <c r="I757" s="12">
        <v>1.1038856144976867E-2</v>
      </c>
      <c r="J757" s="8" t="s">
        <v>63</v>
      </c>
    </row>
    <row r="758" spans="2:10" x14ac:dyDescent="0.45">
      <c r="B758" s="9" t="s">
        <v>134</v>
      </c>
      <c r="C758" s="9" t="s">
        <v>90</v>
      </c>
      <c r="D758" s="11">
        <v>2.2392267999230168E-2</v>
      </c>
      <c r="E758" s="9" t="s">
        <v>63</v>
      </c>
      <c r="G758" s="9" t="s">
        <v>154</v>
      </c>
      <c r="H758" s="9" t="s">
        <v>90</v>
      </c>
      <c r="I758" s="13">
        <v>9.8532479774991622E-3</v>
      </c>
      <c r="J758" s="9" t="s">
        <v>63</v>
      </c>
    </row>
    <row r="759" spans="2:10" x14ac:dyDescent="0.45">
      <c r="B759" s="8" t="s">
        <v>134</v>
      </c>
      <c r="C759" s="8" t="s">
        <v>91</v>
      </c>
      <c r="D759" s="10">
        <v>4.3038843480695315E-3</v>
      </c>
      <c r="E759" s="8" t="s">
        <v>63</v>
      </c>
      <c r="G759" s="8" t="s">
        <v>154</v>
      </c>
      <c r="H759" s="8" t="s">
        <v>91</v>
      </c>
      <c r="I759" s="12">
        <v>1.1366835093672412E-2</v>
      </c>
      <c r="J759" s="8" t="s">
        <v>63</v>
      </c>
    </row>
    <row r="760" spans="2:10" x14ac:dyDescent="0.45">
      <c r="B760" s="9" t="s">
        <v>134</v>
      </c>
      <c r="C760" s="9" t="s">
        <v>92</v>
      </c>
      <c r="D760" s="11">
        <v>0</v>
      </c>
      <c r="E760" s="9" t="s">
        <v>63</v>
      </c>
      <c r="G760" s="9" t="s">
        <v>154</v>
      </c>
      <c r="H760" s="9" t="s">
        <v>92</v>
      </c>
      <c r="I760" s="13">
        <v>2.0295394833325837E-2</v>
      </c>
      <c r="J760" s="9" t="s">
        <v>63</v>
      </c>
    </row>
    <row r="761" spans="2:10" x14ac:dyDescent="0.45">
      <c r="B761" s="8" t="s">
        <v>134</v>
      </c>
      <c r="C761" s="8" t="s">
        <v>93</v>
      </c>
      <c r="D761" s="10">
        <v>4.273795763063965E-5</v>
      </c>
      <c r="E761" s="8" t="s">
        <v>63</v>
      </c>
      <c r="G761" s="8" t="s">
        <v>154</v>
      </c>
      <c r="H761" s="8" t="s">
        <v>93</v>
      </c>
      <c r="I761" s="12">
        <v>2.1972939403689121E-2</v>
      </c>
      <c r="J761" s="8" t="s">
        <v>63</v>
      </c>
    </row>
    <row r="762" spans="2:10" x14ac:dyDescent="0.45">
      <c r="B762" s="9" t="s">
        <v>134</v>
      </c>
      <c r="C762" s="9" t="s">
        <v>94</v>
      </c>
      <c r="D762" s="11">
        <v>1.701238098470946E-2</v>
      </c>
      <c r="E762" s="9" t="s">
        <v>63</v>
      </c>
      <c r="G762" s="9" t="s">
        <v>154</v>
      </c>
      <c r="H762" s="9" t="s">
        <v>94</v>
      </c>
      <c r="I762" s="13">
        <v>7.737998053011101E-3</v>
      </c>
      <c r="J762" s="9" t="s">
        <v>63</v>
      </c>
    </row>
    <row r="763" spans="2:10" x14ac:dyDescent="0.45">
      <c r="B763" s="8" t="s">
        <v>134</v>
      </c>
      <c r="C763" s="8" t="s">
        <v>95</v>
      </c>
      <c r="D763" s="10">
        <v>4.0752915514515743E-2</v>
      </c>
      <c r="E763" s="8" t="s">
        <v>63</v>
      </c>
      <c r="G763" s="8" t="s">
        <v>154</v>
      </c>
      <c r="H763" s="8" t="s">
        <v>95</v>
      </c>
      <c r="I763" s="12">
        <v>5.7912422564049557E-3</v>
      </c>
      <c r="J763" s="8" t="s">
        <v>63</v>
      </c>
    </row>
    <row r="764" spans="2:10" x14ac:dyDescent="0.45">
      <c r="B764" s="9" t="s">
        <v>134</v>
      </c>
      <c r="C764" s="9" t="s">
        <v>96</v>
      </c>
      <c r="D764" s="11">
        <v>5.079033633253547E-2</v>
      </c>
      <c r="E764" s="9" t="s">
        <v>63</v>
      </c>
      <c r="G764" s="9" t="s">
        <v>154</v>
      </c>
      <c r="H764" s="9" t="s">
        <v>96</v>
      </c>
      <c r="I764" s="13">
        <v>6.8384670522479429E-3</v>
      </c>
      <c r="J764" s="9" t="s">
        <v>63</v>
      </c>
    </row>
    <row r="765" spans="2:10" x14ac:dyDescent="0.45">
      <c r="B765" s="8" t="s">
        <v>134</v>
      </c>
      <c r="C765" s="8" t="s">
        <v>97</v>
      </c>
      <c r="D765" s="10">
        <v>4.9843375233109298E-2</v>
      </c>
      <c r="E765" s="8" t="s">
        <v>63</v>
      </c>
      <c r="G765" s="8" t="s">
        <v>154</v>
      </c>
      <c r="H765" s="8" t="s">
        <v>97</v>
      </c>
      <c r="I765" s="12">
        <v>6.2320611592020505E-3</v>
      </c>
      <c r="J765" s="8" t="s">
        <v>63</v>
      </c>
    </row>
    <row r="766" spans="2:10" x14ac:dyDescent="0.45">
      <c r="B766" s="9" t="s">
        <v>134</v>
      </c>
      <c r="C766" s="9" t="s">
        <v>98</v>
      </c>
      <c r="D766" s="11">
        <v>4.7140937694592697E-2</v>
      </c>
      <c r="E766" s="9" t="s">
        <v>63</v>
      </c>
      <c r="G766" s="9" t="s">
        <v>154</v>
      </c>
      <c r="H766" s="9" t="s">
        <v>98</v>
      </c>
      <c r="I766" s="13">
        <v>7.3256043369627263E-3</v>
      </c>
      <c r="J766" s="9" t="s">
        <v>63</v>
      </c>
    </row>
    <row r="767" spans="2:10" x14ac:dyDescent="0.45">
      <c r="B767" s="8" t="s">
        <v>134</v>
      </c>
      <c r="C767" s="8" t="s">
        <v>99</v>
      </c>
      <c r="D767" s="10">
        <v>3.9399238438480928E-2</v>
      </c>
      <c r="E767" s="8" t="s">
        <v>63</v>
      </c>
      <c r="G767" s="8" t="s">
        <v>154</v>
      </c>
      <c r="H767" s="8" t="s">
        <v>99</v>
      </c>
      <c r="I767" s="12">
        <v>7.6507132911814548E-3</v>
      </c>
      <c r="J767" s="8" t="s">
        <v>63</v>
      </c>
    </row>
    <row r="768" spans="2:10" x14ac:dyDescent="0.45">
      <c r="B768" s="9" t="s">
        <v>134</v>
      </c>
      <c r="C768" s="9" t="s">
        <v>100</v>
      </c>
      <c r="D768" s="11">
        <v>2.4909788931489513E-2</v>
      </c>
      <c r="E768" s="9" t="s">
        <v>63</v>
      </c>
      <c r="G768" s="9" t="s">
        <v>154</v>
      </c>
      <c r="H768" s="9" t="s">
        <v>100</v>
      </c>
      <c r="I768" s="13">
        <v>6.478125000808378E-3</v>
      </c>
      <c r="J768" s="9" t="s">
        <v>63</v>
      </c>
    </row>
    <row r="769" spans="2:10" x14ac:dyDescent="0.45">
      <c r="B769" s="8" t="s">
        <v>134</v>
      </c>
      <c r="C769" s="8" t="s">
        <v>101</v>
      </c>
      <c r="D769" s="10">
        <v>4.6111238303606665E-3</v>
      </c>
      <c r="E769" s="8" t="s">
        <v>63</v>
      </c>
      <c r="G769" s="8" t="s">
        <v>154</v>
      </c>
      <c r="H769" s="8" t="s">
        <v>101</v>
      </c>
      <c r="I769" s="12">
        <v>7.2477836458702946E-3</v>
      </c>
      <c r="J769" s="8" t="s">
        <v>63</v>
      </c>
    </row>
    <row r="770" spans="2:10" x14ac:dyDescent="0.45">
      <c r="B770" s="9" t="s">
        <v>134</v>
      </c>
      <c r="C770" s="9" t="s">
        <v>102</v>
      </c>
      <c r="D770" s="11">
        <v>0</v>
      </c>
      <c r="E770" s="9" t="s">
        <v>63</v>
      </c>
      <c r="G770" s="9" t="s">
        <v>154</v>
      </c>
      <c r="H770" s="9" t="s">
        <v>102</v>
      </c>
      <c r="I770" s="13">
        <v>1.3950629474922404E-2</v>
      </c>
      <c r="J770" s="9" t="s">
        <v>63</v>
      </c>
    </row>
    <row r="771" spans="2:10" x14ac:dyDescent="0.45">
      <c r="B771" s="8" t="s">
        <v>134</v>
      </c>
      <c r="C771" s="8" t="s">
        <v>103</v>
      </c>
      <c r="D771" s="10">
        <v>0</v>
      </c>
      <c r="E771" s="8" t="s">
        <v>63</v>
      </c>
      <c r="G771" s="8" t="s">
        <v>154</v>
      </c>
      <c r="H771" s="8" t="s">
        <v>103</v>
      </c>
      <c r="I771" s="12">
        <v>4.0293367993584343E-2</v>
      </c>
      <c r="J771" s="8" t="s">
        <v>63</v>
      </c>
    </row>
    <row r="772" spans="2:10" x14ac:dyDescent="0.45">
      <c r="B772" s="9" t="s">
        <v>134</v>
      </c>
      <c r="C772" s="9" t="s">
        <v>104</v>
      </c>
      <c r="D772" s="11">
        <v>2.2161968442427262E-3</v>
      </c>
      <c r="E772" s="9" t="s">
        <v>63</v>
      </c>
      <c r="G772" s="9" t="s">
        <v>154</v>
      </c>
      <c r="H772" s="9" t="s">
        <v>104</v>
      </c>
      <c r="I772" s="13">
        <v>1.5815695976600364E-2</v>
      </c>
      <c r="J772" s="9" t="s">
        <v>63</v>
      </c>
    </row>
    <row r="773" spans="2:10" x14ac:dyDescent="0.45">
      <c r="B773" s="8" t="s">
        <v>134</v>
      </c>
      <c r="C773" s="8" t="s">
        <v>105</v>
      </c>
      <c r="D773" s="10">
        <v>1.919307341788215E-2</v>
      </c>
      <c r="E773" s="8" t="s">
        <v>63</v>
      </c>
      <c r="G773" s="8" t="s">
        <v>154</v>
      </c>
      <c r="H773" s="8" t="s">
        <v>105</v>
      </c>
      <c r="I773" s="12">
        <v>1.4523428182282982E-2</v>
      </c>
      <c r="J773" s="8" t="s">
        <v>63</v>
      </c>
    </row>
    <row r="774" spans="2:10" x14ac:dyDescent="0.45">
      <c r="B774" s="9" t="s">
        <v>134</v>
      </c>
      <c r="C774" s="9" t="s">
        <v>106</v>
      </c>
      <c r="D774" s="11">
        <v>3.270558868269019E-2</v>
      </c>
      <c r="E774" s="9" t="s">
        <v>63</v>
      </c>
      <c r="G774" s="9" t="s">
        <v>154</v>
      </c>
      <c r="H774" s="9" t="s">
        <v>106</v>
      </c>
      <c r="I774" s="13">
        <v>1.3245737282208476E-2</v>
      </c>
      <c r="J774" s="9" t="s">
        <v>63</v>
      </c>
    </row>
    <row r="775" spans="2:10" x14ac:dyDescent="0.45">
      <c r="B775" s="8" t="s">
        <v>134</v>
      </c>
      <c r="C775" s="8" t="s">
        <v>107</v>
      </c>
      <c r="D775" s="10">
        <v>3.2429880585817965E-2</v>
      </c>
      <c r="E775" s="8" t="s">
        <v>63</v>
      </c>
      <c r="G775" s="8" t="s">
        <v>154</v>
      </c>
      <c r="H775" s="8" t="s">
        <v>107</v>
      </c>
      <c r="I775" s="12">
        <v>1.2871567377648529E-2</v>
      </c>
      <c r="J775" s="8" t="s">
        <v>63</v>
      </c>
    </row>
    <row r="776" spans="2:10" x14ac:dyDescent="0.45">
      <c r="B776" s="9" t="s">
        <v>134</v>
      </c>
      <c r="C776" s="9" t="s">
        <v>108</v>
      </c>
      <c r="D776" s="11">
        <v>3.127519431960335E-2</v>
      </c>
      <c r="E776" s="9" t="s">
        <v>63</v>
      </c>
      <c r="G776" s="9" t="s">
        <v>154</v>
      </c>
      <c r="H776" s="9" t="s">
        <v>108</v>
      </c>
      <c r="I776" s="13">
        <v>1.3677161667324073E-2</v>
      </c>
      <c r="J776" s="9" t="s">
        <v>63</v>
      </c>
    </row>
    <row r="777" spans="2:10" x14ac:dyDescent="0.45">
      <c r="B777" s="8" t="s">
        <v>134</v>
      </c>
      <c r="C777" s="8" t="s">
        <v>109</v>
      </c>
      <c r="D777" s="10">
        <v>2.0620002099981414E-2</v>
      </c>
      <c r="E777" s="8" t="s">
        <v>63</v>
      </c>
      <c r="G777" s="8" t="s">
        <v>154</v>
      </c>
      <c r="H777" s="8" t="s">
        <v>109</v>
      </c>
      <c r="I777" s="12">
        <v>1.3775284056263448E-2</v>
      </c>
      <c r="J777" s="8" t="s">
        <v>63</v>
      </c>
    </row>
    <row r="778" spans="2:10" x14ac:dyDescent="0.45">
      <c r="B778" s="9" t="s">
        <v>134</v>
      </c>
      <c r="C778" s="9" t="s">
        <v>110</v>
      </c>
      <c r="D778" s="11">
        <v>5.5112773940484052E-3</v>
      </c>
      <c r="E778" s="9" t="s">
        <v>63</v>
      </c>
      <c r="G778" s="9" t="s">
        <v>154</v>
      </c>
      <c r="H778" s="9" t="s">
        <v>110</v>
      </c>
      <c r="I778" s="13">
        <v>1.5361039832560609E-2</v>
      </c>
      <c r="J778" s="9" t="s">
        <v>63</v>
      </c>
    </row>
    <row r="779" spans="2:10" x14ac:dyDescent="0.45">
      <c r="B779" s="8" t="s">
        <v>134</v>
      </c>
      <c r="C779" s="8" t="s">
        <v>111</v>
      </c>
      <c r="D779" s="10">
        <v>0</v>
      </c>
      <c r="E779" s="8" t="s">
        <v>63</v>
      </c>
      <c r="G779" s="8" t="s">
        <v>154</v>
      </c>
      <c r="H779" s="8" t="s">
        <v>111</v>
      </c>
      <c r="I779" s="12">
        <v>1.7494168261854501E-2</v>
      </c>
      <c r="J779" s="8" t="s">
        <v>63</v>
      </c>
    </row>
    <row r="780" spans="2:10" x14ac:dyDescent="0.45">
      <c r="B780" s="9" t="s">
        <v>134</v>
      </c>
      <c r="C780" s="9" t="s">
        <v>112</v>
      </c>
      <c r="D780" s="11">
        <v>0</v>
      </c>
      <c r="E780" s="9" t="s">
        <v>63</v>
      </c>
      <c r="G780" s="9" t="s">
        <v>154</v>
      </c>
      <c r="H780" s="9" t="s">
        <v>112</v>
      </c>
      <c r="I780" s="13">
        <v>2.6782572598167156E-2</v>
      </c>
      <c r="J780" s="9" t="s">
        <v>63</v>
      </c>
    </row>
    <row r="781" spans="2:10" x14ac:dyDescent="0.45">
      <c r="B781" s="8" t="s">
        <v>134</v>
      </c>
      <c r="C781" s="8" t="s">
        <v>113</v>
      </c>
      <c r="D781" s="10">
        <v>0</v>
      </c>
      <c r="E781" s="8" t="s">
        <v>63</v>
      </c>
      <c r="G781" s="8" t="s">
        <v>154</v>
      </c>
      <c r="H781" s="8" t="s">
        <v>113</v>
      </c>
      <c r="I781" s="12">
        <v>4.953833361289138E-2</v>
      </c>
      <c r="J781" s="8" t="s">
        <v>63</v>
      </c>
    </row>
    <row r="782" spans="2:10" x14ac:dyDescent="0.45">
      <c r="B782" s="9" t="s">
        <v>134</v>
      </c>
      <c r="C782" s="9" t="s">
        <v>114</v>
      </c>
      <c r="D782" s="11">
        <v>0</v>
      </c>
      <c r="E782" s="9" t="s">
        <v>63</v>
      </c>
      <c r="G782" s="9" t="s">
        <v>154</v>
      </c>
      <c r="H782" s="9" t="s">
        <v>114</v>
      </c>
      <c r="I782" s="13">
        <v>1.953230845447701E-2</v>
      </c>
      <c r="J782" s="9" t="s">
        <v>63</v>
      </c>
    </row>
    <row r="783" spans="2:10" x14ac:dyDescent="0.45">
      <c r="B783" s="8" t="s">
        <v>134</v>
      </c>
      <c r="C783" s="8" t="s">
        <v>115</v>
      </c>
      <c r="D783" s="10">
        <v>2.6891561660214352E-3</v>
      </c>
      <c r="E783" s="8" t="s">
        <v>63</v>
      </c>
      <c r="G783" s="8" t="s">
        <v>154</v>
      </c>
      <c r="H783" s="8" t="s">
        <v>115</v>
      </c>
      <c r="I783" s="12">
        <v>2.0652167649502087E-2</v>
      </c>
      <c r="J783" s="8" t="s">
        <v>63</v>
      </c>
    </row>
    <row r="784" spans="2:10" x14ac:dyDescent="0.45">
      <c r="B784" s="9" t="s">
        <v>134</v>
      </c>
      <c r="C784" s="9" t="s">
        <v>116</v>
      </c>
      <c r="D784" s="11">
        <v>1.5300950426013888E-2</v>
      </c>
      <c r="E784" s="9" t="s">
        <v>63</v>
      </c>
      <c r="G784" s="9" t="s">
        <v>154</v>
      </c>
      <c r="H784" s="9" t="s">
        <v>116</v>
      </c>
      <c r="I784" s="13">
        <v>2.0734797897394745E-2</v>
      </c>
      <c r="J784" s="9" t="s">
        <v>63</v>
      </c>
    </row>
    <row r="785" spans="2:10" x14ac:dyDescent="0.45">
      <c r="B785" s="8" t="s">
        <v>134</v>
      </c>
      <c r="C785" s="8" t="s">
        <v>117</v>
      </c>
      <c r="D785" s="10">
        <v>1.7308021883876069E-2</v>
      </c>
      <c r="E785" s="8" t="s">
        <v>63</v>
      </c>
      <c r="G785" s="8" t="s">
        <v>154</v>
      </c>
      <c r="H785" s="8" t="s">
        <v>117</v>
      </c>
      <c r="I785" s="12">
        <v>1.8471463165426312E-2</v>
      </c>
      <c r="J785" s="8" t="s">
        <v>63</v>
      </c>
    </row>
    <row r="786" spans="2:10" x14ac:dyDescent="0.45">
      <c r="B786" s="9" t="s">
        <v>134</v>
      </c>
      <c r="C786" s="9" t="s">
        <v>118</v>
      </c>
      <c r="D786" s="11">
        <v>1.6862508732263509E-2</v>
      </c>
      <c r="E786" s="9" t="s">
        <v>63</v>
      </c>
      <c r="G786" s="9" t="s">
        <v>154</v>
      </c>
      <c r="H786" s="9" t="s">
        <v>118</v>
      </c>
      <c r="I786" s="13">
        <v>1.9312861874098055E-2</v>
      </c>
      <c r="J786" s="9" t="s">
        <v>63</v>
      </c>
    </row>
    <row r="787" spans="2:10" x14ac:dyDescent="0.45">
      <c r="B787" s="8" t="s">
        <v>134</v>
      </c>
      <c r="C787" s="8" t="s">
        <v>119</v>
      </c>
      <c r="D787" s="10">
        <v>4.811619430294037E-3</v>
      </c>
      <c r="E787" s="8" t="s">
        <v>63</v>
      </c>
      <c r="G787" s="8" t="s">
        <v>154</v>
      </c>
      <c r="H787" s="8" t="s">
        <v>119</v>
      </c>
      <c r="I787" s="12">
        <v>2.0274242953974776E-2</v>
      </c>
      <c r="J787" s="8" t="s">
        <v>63</v>
      </c>
    </row>
    <row r="788" spans="2:10" x14ac:dyDescent="0.45">
      <c r="B788" s="9" t="s">
        <v>134</v>
      </c>
      <c r="C788" s="9" t="s">
        <v>120</v>
      </c>
      <c r="D788" s="11">
        <v>0</v>
      </c>
      <c r="E788" s="9" t="s">
        <v>63</v>
      </c>
      <c r="G788" s="9" t="s">
        <v>154</v>
      </c>
      <c r="H788" s="9" t="s">
        <v>120</v>
      </c>
      <c r="I788" s="13">
        <v>2.1218139210321077E-2</v>
      </c>
      <c r="J788" s="9" t="s">
        <v>63</v>
      </c>
    </row>
    <row r="789" spans="2:10" x14ac:dyDescent="0.45">
      <c r="B789" s="8" t="s">
        <v>134</v>
      </c>
      <c r="C789" s="8" t="s">
        <v>121</v>
      </c>
      <c r="D789" s="10">
        <v>0</v>
      </c>
      <c r="E789" s="8" t="s">
        <v>63</v>
      </c>
      <c r="G789" s="8" t="s">
        <v>154</v>
      </c>
      <c r="H789" s="8" t="s">
        <v>121</v>
      </c>
      <c r="I789" s="12">
        <v>2.1888533598824769E-2</v>
      </c>
      <c r="J789" s="8" t="s">
        <v>63</v>
      </c>
    </row>
    <row r="790" spans="2:10" x14ac:dyDescent="0.45">
      <c r="B790" s="9" t="s">
        <v>134</v>
      </c>
      <c r="C790" s="9" t="s">
        <v>122</v>
      </c>
      <c r="D790" s="11">
        <v>0</v>
      </c>
      <c r="E790" s="9" t="s">
        <v>63</v>
      </c>
      <c r="G790" s="9" t="s">
        <v>154</v>
      </c>
      <c r="H790" s="9" t="s">
        <v>122</v>
      </c>
      <c r="I790" s="13">
        <v>3.1502895730861423E-2</v>
      </c>
      <c r="J790" s="9" t="s">
        <v>63</v>
      </c>
    </row>
    <row r="791" spans="2:10" x14ac:dyDescent="0.45">
      <c r="B791" s="8" t="s">
        <v>135</v>
      </c>
      <c r="C791" s="8" t="s">
        <v>62</v>
      </c>
      <c r="D791" s="10">
        <v>0</v>
      </c>
      <c r="E791" s="8" t="s">
        <v>63</v>
      </c>
      <c r="G791" s="8" t="s">
        <v>155</v>
      </c>
      <c r="H791" s="8" t="s">
        <v>62</v>
      </c>
      <c r="I791" s="12">
        <v>3.4579722162200441E-2</v>
      </c>
      <c r="J791" s="8" t="s">
        <v>63</v>
      </c>
    </row>
    <row r="792" spans="2:10" x14ac:dyDescent="0.45">
      <c r="B792" s="9" t="s">
        <v>135</v>
      </c>
      <c r="C792" s="9" t="s">
        <v>64</v>
      </c>
      <c r="D792" s="11">
        <v>0</v>
      </c>
      <c r="E792" s="9" t="s">
        <v>63</v>
      </c>
      <c r="G792" s="9" t="s">
        <v>155</v>
      </c>
      <c r="H792" s="9" t="s">
        <v>64</v>
      </c>
      <c r="I792" s="13">
        <v>1.4167907268306064E-2</v>
      </c>
      <c r="J792" s="9" t="s">
        <v>63</v>
      </c>
    </row>
    <row r="793" spans="2:10" x14ac:dyDescent="0.45">
      <c r="B793" s="8" t="s">
        <v>135</v>
      </c>
      <c r="C793" s="8" t="s">
        <v>65</v>
      </c>
      <c r="D793" s="10">
        <v>1.4911756448542715E-3</v>
      </c>
      <c r="E793" s="8" t="s">
        <v>63</v>
      </c>
      <c r="G793" s="8" t="s">
        <v>155</v>
      </c>
      <c r="H793" s="8" t="s">
        <v>65</v>
      </c>
      <c r="I793" s="12">
        <v>1.4767080582646567E-2</v>
      </c>
      <c r="J793" s="8" t="s">
        <v>63</v>
      </c>
    </row>
    <row r="794" spans="2:10" x14ac:dyDescent="0.45">
      <c r="B794" s="9" t="s">
        <v>135</v>
      </c>
      <c r="C794" s="9" t="s">
        <v>66</v>
      </c>
      <c r="D794" s="11">
        <v>1.3057986208164134E-2</v>
      </c>
      <c r="E794" s="9" t="s">
        <v>63</v>
      </c>
      <c r="G794" s="9" t="s">
        <v>155</v>
      </c>
      <c r="H794" s="9" t="s">
        <v>66</v>
      </c>
      <c r="I794" s="13">
        <v>1.4482524684996466E-2</v>
      </c>
      <c r="J794" s="9" t="s">
        <v>63</v>
      </c>
    </row>
    <row r="795" spans="2:10" x14ac:dyDescent="0.45">
      <c r="B795" s="8" t="s">
        <v>135</v>
      </c>
      <c r="C795" s="8" t="s">
        <v>67</v>
      </c>
      <c r="D795" s="10">
        <v>2.0643318801135242E-2</v>
      </c>
      <c r="E795" s="8" t="s">
        <v>63</v>
      </c>
      <c r="G795" s="8" t="s">
        <v>155</v>
      </c>
      <c r="H795" s="8" t="s">
        <v>67</v>
      </c>
      <c r="I795" s="12">
        <v>1.420350983340082E-2</v>
      </c>
      <c r="J795" s="8" t="s">
        <v>63</v>
      </c>
    </row>
    <row r="796" spans="2:10" x14ac:dyDescent="0.45">
      <c r="B796" s="9" t="s">
        <v>135</v>
      </c>
      <c r="C796" s="9" t="s">
        <v>68</v>
      </c>
      <c r="D796" s="11">
        <v>2.0052561210092874E-2</v>
      </c>
      <c r="E796" s="9" t="s">
        <v>63</v>
      </c>
      <c r="G796" s="9" t="s">
        <v>155</v>
      </c>
      <c r="H796" s="9" t="s">
        <v>68</v>
      </c>
      <c r="I796" s="13">
        <v>1.4723069678804547E-2</v>
      </c>
      <c r="J796" s="9" t="s">
        <v>63</v>
      </c>
    </row>
    <row r="797" spans="2:10" x14ac:dyDescent="0.45">
      <c r="B797" s="8" t="s">
        <v>135</v>
      </c>
      <c r="C797" s="8" t="s">
        <v>69</v>
      </c>
      <c r="D797" s="10">
        <v>1.1785384506803149E-2</v>
      </c>
      <c r="E797" s="8" t="s">
        <v>63</v>
      </c>
      <c r="G797" s="8" t="s">
        <v>155</v>
      </c>
      <c r="H797" s="8" t="s">
        <v>69</v>
      </c>
      <c r="I797" s="12">
        <v>1.4686102851735558E-2</v>
      </c>
      <c r="J797" s="8" t="s">
        <v>63</v>
      </c>
    </row>
    <row r="798" spans="2:10" x14ac:dyDescent="0.45">
      <c r="B798" s="9" t="s">
        <v>135</v>
      </c>
      <c r="C798" s="9" t="s">
        <v>70</v>
      </c>
      <c r="D798" s="11">
        <v>1.370904071000884E-3</v>
      </c>
      <c r="E798" s="9" t="s">
        <v>63</v>
      </c>
      <c r="G798" s="9" t="s">
        <v>155</v>
      </c>
      <c r="H798" s="9" t="s">
        <v>70</v>
      </c>
      <c r="I798" s="13">
        <v>1.572288128744884E-2</v>
      </c>
      <c r="J798" s="9" t="s">
        <v>63</v>
      </c>
    </row>
    <row r="799" spans="2:10" x14ac:dyDescent="0.45">
      <c r="B799" s="8" t="s">
        <v>135</v>
      </c>
      <c r="C799" s="8" t="s">
        <v>71</v>
      </c>
      <c r="D799" s="10">
        <v>0</v>
      </c>
      <c r="E799" s="8" t="s">
        <v>63</v>
      </c>
      <c r="G799" s="8" t="s">
        <v>155</v>
      </c>
      <c r="H799" s="8" t="s">
        <v>71</v>
      </c>
      <c r="I799" s="12">
        <v>1.6220705741246989E-2</v>
      </c>
      <c r="J799" s="8" t="s">
        <v>63</v>
      </c>
    </row>
    <row r="800" spans="2:10" x14ac:dyDescent="0.45">
      <c r="B800" s="9" t="s">
        <v>135</v>
      </c>
      <c r="C800" s="9" t="s">
        <v>72</v>
      </c>
      <c r="D800" s="11">
        <v>0</v>
      </c>
      <c r="E800" s="9" t="s">
        <v>63</v>
      </c>
      <c r="G800" s="9" t="s">
        <v>155</v>
      </c>
      <c r="H800" s="9" t="s">
        <v>72</v>
      </c>
      <c r="I800" s="13">
        <v>2.2268389539256014E-2</v>
      </c>
      <c r="J800" s="9" t="s">
        <v>63</v>
      </c>
    </row>
    <row r="801" spans="2:10" x14ac:dyDescent="0.45">
      <c r="B801" s="8" t="s">
        <v>135</v>
      </c>
      <c r="C801" s="8" t="s">
        <v>73</v>
      </c>
      <c r="D801" s="10">
        <v>0</v>
      </c>
      <c r="E801" s="8" t="s">
        <v>63</v>
      </c>
      <c r="G801" s="8" t="s">
        <v>155</v>
      </c>
      <c r="H801" s="8" t="s">
        <v>73</v>
      </c>
      <c r="I801" s="12">
        <v>4.2065726014701786E-2</v>
      </c>
      <c r="J801" s="8" t="s">
        <v>63</v>
      </c>
    </row>
    <row r="802" spans="2:10" x14ac:dyDescent="0.45">
      <c r="B802" s="9" t="s">
        <v>135</v>
      </c>
      <c r="C802" s="9" t="s">
        <v>74</v>
      </c>
      <c r="D802" s="11">
        <v>3.7284810535464165E-3</v>
      </c>
      <c r="E802" s="9" t="s">
        <v>63</v>
      </c>
      <c r="G802" s="9" t="s">
        <v>155</v>
      </c>
      <c r="H802" s="9" t="s">
        <v>74</v>
      </c>
      <c r="I802" s="13">
        <v>1.639666585842561E-2</v>
      </c>
      <c r="J802" s="9" t="s">
        <v>63</v>
      </c>
    </row>
    <row r="803" spans="2:10" x14ac:dyDescent="0.45">
      <c r="B803" s="8" t="s">
        <v>135</v>
      </c>
      <c r="C803" s="8" t="s">
        <v>75</v>
      </c>
      <c r="D803" s="10">
        <v>2.4312080430387874E-2</v>
      </c>
      <c r="E803" s="8" t="s">
        <v>63</v>
      </c>
      <c r="G803" s="8" t="s">
        <v>155</v>
      </c>
      <c r="H803" s="8" t="s">
        <v>75</v>
      </c>
      <c r="I803" s="12">
        <v>1.4869133834258353E-2</v>
      </c>
      <c r="J803" s="8" t="s">
        <v>63</v>
      </c>
    </row>
    <row r="804" spans="2:10" x14ac:dyDescent="0.45">
      <c r="B804" s="9" t="s">
        <v>135</v>
      </c>
      <c r="C804" s="9" t="s">
        <v>76</v>
      </c>
      <c r="D804" s="11">
        <v>3.9582482887524119E-2</v>
      </c>
      <c r="E804" s="9" t="s">
        <v>63</v>
      </c>
      <c r="G804" s="9" t="s">
        <v>155</v>
      </c>
      <c r="H804" s="9" t="s">
        <v>76</v>
      </c>
      <c r="I804" s="13">
        <v>1.27321740326254E-2</v>
      </c>
      <c r="J804" s="9" t="s">
        <v>63</v>
      </c>
    </row>
    <row r="805" spans="2:10" x14ac:dyDescent="0.45">
      <c r="B805" s="8" t="s">
        <v>135</v>
      </c>
      <c r="C805" s="8" t="s">
        <v>77</v>
      </c>
      <c r="D805" s="10">
        <v>4.3060460308149806E-2</v>
      </c>
      <c r="E805" s="8" t="s">
        <v>63</v>
      </c>
      <c r="G805" s="8" t="s">
        <v>155</v>
      </c>
      <c r="H805" s="8" t="s">
        <v>77</v>
      </c>
      <c r="I805" s="12">
        <v>1.0928639025068326E-2</v>
      </c>
      <c r="J805" s="8" t="s">
        <v>63</v>
      </c>
    </row>
    <row r="806" spans="2:10" x14ac:dyDescent="0.45">
      <c r="B806" s="9" t="s">
        <v>135</v>
      </c>
      <c r="C806" s="9" t="s">
        <v>78</v>
      </c>
      <c r="D806" s="11">
        <v>4.101881657771525E-2</v>
      </c>
      <c r="E806" s="9" t="s">
        <v>63</v>
      </c>
      <c r="G806" s="9" t="s">
        <v>155</v>
      </c>
      <c r="H806" s="9" t="s">
        <v>78</v>
      </c>
      <c r="I806" s="13">
        <v>1.2888248968088611E-2</v>
      </c>
      <c r="J806" s="9" t="s">
        <v>63</v>
      </c>
    </row>
    <row r="807" spans="2:10" x14ac:dyDescent="0.45">
      <c r="B807" s="8" t="s">
        <v>135</v>
      </c>
      <c r="C807" s="8" t="s">
        <v>79</v>
      </c>
      <c r="D807" s="10">
        <v>3.1821996349485168E-2</v>
      </c>
      <c r="E807" s="8" t="s">
        <v>63</v>
      </c>
      <c r="G807" s="8" t="s">
        <v>155</v>
      </c>
      <c r="H807" s="8" t="s">
        <v>79</v>
      </c>
      <c r="I807" s="12">
        <v>1.3294912450652643E-2</v>
      </c>
      <c r="J807" s="8" t="s">
        <v>63</v>
      </c>
    </row>
    <row r="808" spans="2:10" x14ac:dyDescent="0.45">
      <c r="B808" s="9" t="s">
        <v>135</v>
      </c>
      <c r="C808" s="9" t="s">
        <v>80</v>
      </c>
      <c r="D808" s="11">
        <v>1.6086065610166018E-2</v>
      </c>
      <c r="E808" s="9" t="s">
        <v>63</v>
      </c>
      <c r="G808" s="9" t="s">
        <v>155</v>
      </c>
      <c r="H808" s="9" t="s">
        <v>80</v>
      </c>
      <c r="I808" s="13">
        <v>1.3442501743290772E-2</v>
      </c>
      <c r="J808" s="9" t="s">
        <v>63</v>
      </c>
    </row>
    <row r="809" spans="2:10" x14ac:dyDescent="0.45">
      <c r="B809" s="8" t="s">
        <v>135</v>
      </c>
      <c r="C809" s="8" t="s">
        <v>81</v>
      </c>
      <c r="D809" s="10">
        <v>6.2299258813922097E-4</v>
      </c>
      <c r="E809" s="8" t="s">
        <v>63</v>
      </c>
      <c r="G809" s="8" t="s">
        <v>155</v>
      </c>
      <c r="H809" s="8" t="s">
        <v>81</v>
      </c>
      <c r="I809" s="12">
        <v>1.6229263681679998E-2</v>
      </c>
      <c r="J809" s="8" t="s">
        <v>63</v>
      </c>
    </row>
    <row r="810" spans="2:10" x14ac:dyDescent="0.45">
      <c r="B810" s="9" t="s">
        <v>135</v>
      </c>
      <c r="C810" s="9" t="s">
        <v>82</v>
      </c>
      <c r="D810" s="11">
        <v>0</v>
      </c>
      <c r="E810" s="9" t="s">
        <v>63</v>
      </c>
      <c r="G810" s="9" t="s">
        <v>155</v>
      </c>
      <c r="H810" s="9" t="s">
        <v>82</v>
      </c>
      <c r="I810" s="13">
        <v>2.5762902551539232E-2</v>
      </c>
      <c r="J810" s="9" t="s">
        <v>63</v>
      </c>
    </row>
    <row r="811" spans="2:10" x14ac:dyDescent="0.45">
      <c r="B811" s="8" t="s">
        <v>135</v>
      </c>
      <c r="C811" s="8" t="s">
        <v>83</v>
      </c>
      <c r="D811" s="10">
        <v>0</v>
      </c>
      <c r="E811" s="8" t="s">
        <v>63</v>
      </c>
      <c r="G811" s="8" t="s">
        <v>155</v>
      </c>
      <c r="H811" s="8" t="s">
        <v>83</v>
      </c>
      <c r="I811" s="12">
        <v>3.089742019970294E-2</v>
      </c>
      <c r="J811" s="8" t="s">
        <v>63</v>
      </c>
    </row>
    <row r="812" spans="2:10" x14ac:dyDescent="0.45">
      <c r="B812" s="9" t="s">
        <v>135</v>
      </c>
      <c r="C812" s="9" t="s">
        <v>84</v>
      </c>
      <c r="D812" s="11">
        <v>1.1411820554324437E-2</v>
      </c>
      <c r="E812" s="9" t="s">
        <v>63</v>
      </c>
      <c r="G812" s="9" t="s">
        <v>155</v>
      </c>
      <c r="H812" s="9" t="s">
        <v>84</v>
      </c>
      <c r="I812" s="13">
        <v>1.1457395763839261E-2</v>
      </c>
      <c r="J812" s="9" t="s">
        <v>63</v>
      </c>
    </row>
    <row r="813" spans="2:10" x14ac:dyDescent="0.45">
      <c r="B813" s="8" t="s">
        <v>135</v>
      </c>
      <c r="C813" s="8" t="s">
        <v>85</v>
      </c>
      <c r="D813" s="10">
        <v>2.9234379403724937E-2</v>
      </c>
      <c r="E813" s="8" t="s">
        <v>63</v>
      </c>
      <c r="G813" s="8" t="s">
        <v>155</v>
      </c>
      <c r="H813" s="8" t="s">
        <v>85</v>
      </c>
      <c r="I813" s="12">
        <v>8.937261091649407E-3</v>
      </c>
      <c r="J813" s="8" t="s">
        <v>63</v>
      </c>
    </row>
    <row r="814" spans="2:10" x14ac:dyDescent="0.45">
      <c r="B814" s="9" t="s">
        <v>135</v>
      </c>
      <c r="C814" s="9" t="s">
        <v>86</v>
      </c>
      <c r="D814" s="11">
        <v>4.1417387122713242E-2</v>
      </c>
      <c r="E814" s="9" t="s">
        <v>63</v>
      </c>
      <c r="G814" s="9" t="s">
        <v>155</v>
      </c>
      <c r="H814" s="9" t="s">
        <v>86</v>
      </c>
      <c r="I814" s="13">
        <v>9.7927422727789662E-3</v>
      </c>
      <c r="J814" s="9" t="s">
        <v>63</v>
      </c>
    </row>
    <row r="815" spans="2:10" x14ac:dyDescent="0.45">
      <c r="B815" s="8" t="s">
        <v>135</v>
      </c>
      <c r="C815" s="8" t="s">
        <v>87</v>
      </c>
      <c r="D815" s="10">
        <v>4.3874946719272556E-2</v>
      </c>
      <c r="E815" s="8" t="s">
        <v>63</v>
      </c>
      <c r="G815" s="8" t="s">
        <v>155</v>
      </c>
      <c r="H815" s="8" t="s">
        <v>87</v>
      </c>
      <c r="I815" s="12">
        <v>9.7641756940027111E-3</v>
      </c>
      <c r="J815" s="8" t="s">
        <v>63</v>
      </c>
    </row>
    <row r="816" spans="2:10" x14ac:dyDescent="0.45">
      <c r="B816" s="9" t="s">
        <v>135</v>
      </c>
      <c r="C816" s="9" t="s">
        <v>88</v>
      </c>
      <c r="D816" s="11">
        <v>4.2332944239237301E-2</v>
      </c>
      <c r="E816" s="9" t="s">
        <v>63</v>
      </c>
      <c r="G816" s="9" t="s">
        <v>155</v>
      </c>
      <c r="H816" s="9" t="s">
        <v>88</v>
      </c>
      <c r="I816" s="13">
        <v>1.0974854883884786E-2</v>
      </c>
      <c r="J816" s="9" t="s">
        <v>63</v>
      </c>
    </row>
    <row r="817" spans="2:10" x14ac:dyDescent="0.45">
      <c r="B817" s="8" t="s">
        <v>135</v>
      </c>
      <c r="C817" s="8" t="s">
        <v>89</v>
      </c>
      <c r="D817" s="10">
        <v>3.4226175344017583E-2</v>
      </c>
      <c r="E817" s="8" t="s">
        <v>63</v>
      </c>
      <c r="G817" s="8" t="s">
        <v>155</v>
      </c>
      <c r="H817" s="8" t="s">
        <v>89</v>
      </c>
      <c r="I817" s="12">
        <v>1.0471625225962867E-2</v>
      </c>
      <c r="J817" s="8" t="s">
        <v>63</v>
      </c>
    </row>
    <row r="818" spans="2:10" x14ac:dyDescent="0.45">
      <c r="B818" s="9" t="s">
        <v>135</v>
      </c>
      <c r="C818" s="9" t="s">
        <v>90</v>
      </c>
      <c r="D818" s="11">
        <v>2.0569839007398835E-2</v>
      </c>
      <c r="E818" s="9" t="s">
        <v>63</v>
      </c>
      <c r="G818" s="9" t="s">
        <v>155</v>
      </c>
      <c r="H818" s="9" t="s">
        <v>90</v>
      </c>
      <c r="I818" s="13">
        <v>9.8889665163220761E-3</v>
      </c>
      <c r="J818" s="9" t="s">
        <v>63</v>
      </c>
    </row>
    <row r="819" spans="2:10" x14ac:dyDescent="0.45">
      <c r="B819" s="8" t="s">
        <v>135</v>
      </c>
      <c r="C819" s="8" t="s">
        <v>91</v>
      </c>
      <c r="D819" s="10">
        <v>4.9454578827535459E-3</v>
      </c>
      <c r="E819" s="8" t="s">
        <v>63</v>
      </c>
      <c r="G819" s="8" t="s">
        <v>155</v>
      </c>
      <c r="H819" s="8" t="s">
        <v>91</v>
      </c>
      <c r="I819" s="12">
        <v>1.1171450824634862E-2</v>
      </c>
      <c r="J819" s="8" t="s">
        <v>63</v>
      </c>
    </row>
    <row r="820" spans="2:10" x14ac:dyDescent="0.45">
      <c r="B820" s="9" t="s">
        <v>135</v>
      </c>
      <c r="C820" s="9" t="s">
        <v>92</v>
      </c>
      <c r="D820" s="11">
        <v>0</v>
      </c>
      <c r="E820" s="9" t="s">
        <v>63</v>
      </c>
      <c r="G820" s="9" t="s">
        <v>155</v>
      </c>
      <c r="H820" s="9" t="s">
        <v>92</v>
      </c>
      <c r="I820" s="13">
        <v>1.9884256460648383E-2</v>
      </c>
      <c r="J820" s="9" t="s">
        <v>63</v>
      </c>
    </row>
    <row r="821" spans="2:10" x14ac:dyDescent="0.45">
      <c r="B821" s="8" t="s">
        <v>135</v>
      </c>
      <c r="C821" s="8" t="s">
        <v>93</v>
      </c>
      <c r="D821" s="10">
        <v>0</v>
      </c>
      <c r="E821" s="8" t="s">
        <v>63</v>
      </c>
      <c r="G821" s="8" t="s">
        <v>155</v>
      </c>
      <c r="H821" s="8" t="s">
        <v>93</v>
      </c>
      <c r="I821" s="12">
        <v>1.8535024010304938E-2</v>
      </c>
      <c r="J821" s="8" t="s">
        <v>63</v>
      </c>
    </row>
    <row r="822" spans="2:10" x14ac:dyDescent="0.45">
      <c r="B822" s="9" t="s">
        <v>135</v>
      </c>
      <c r="C822" s="9" t="s">
        <v>94</v>
      </c>
      <c r="D822" s="11">
        <v>1.464472254260122E-2</v>
      </c>
      <c r="E822" s="9" t="s">
        <v>63</v>
      </c>
      <c r="G822" s="9" t="s">
        <v>155</v>
      </c>
      <c r="H822" s="9" t="s">
        <v>94</v>
      </c>
      <c r="I822" s="13">
        <v>7.3834232324161159E-3</v>
      </c>
      <c r="J822" s="9" t="s">
        <v>63</v>
      </c>
    </row>
    <row r="823" spans="2:10" x14ac:dyDescent="0.45">
      <c r="B823" s="8" t="s">
        <v>135</v>
      </c>
      <c r="C823" s="8" t="s">
        <v>95</v>
      </c>
      <c r="D823" s="10">
        <v>3.9928261565831763E-2</v>
      </c>
      <c r="E823" s="8" t="s">
        <v>63</v>
      </c>
      <c r="G823" s="8" t="s">
        <v>155</v>
      </c>
      <c r="H823" s="8" t="s">
        <v>95</v>
      </c>
      <c r="I823" s="12">
        <v>6.0498002894716204E-3</v>
      </c>
      <c r="J823" s="8" t="s">
        <v>63</v>
      </c>
    </row>
    <row r="824" spans="2:10" x14ac:dyDescent="0.45">
      <c r="B824" s="9" t="s">
        <v>135</v>
      </c>
      <c r="C824" s="9" t="s">
        <v>96</v>
      </c>
      <c r="D824" s="11">
        <v>5.1993458447709508E-2</v>
      </c>
      <c r="E824" s="9" t="s">
        <v>63</v>
      </c>
      <c r="G824" s="9" t="s">
        <v>155</v>
      </c>
      <c r="H824" s="9" t="s">
        <v>96</v>
      </c>
      <c r="I824" s="13">
        <v>7.0141263822180791E-3</v>
      </c>
      <c r="J824" s="9" t="s">
        <v>63</v>
      </c>
    </row>
    <row r="825" spans="2:10" x14ac:dyDescent="0.45">
      <c r="B825" s="8" t="s">
        <v>135</v>
      </c>
      <c r="C825" s="8" t="s">
        <v>97</v>
      </c>
      <c r="D825" s="10">
        <v>5.0645234585073598E-2</v>
      </c>
      <c r="E825" s="8" t="s">
        <v>63</v>
      </c>
      <c r="G825" s="8" t="s">
        <v>155</v>
      </c>
      <c r="H825" s="8" t="s">
        <v>97</v>
      </c>
      <c r="I825" s="12">
        <v>6.5176175450032334E-3</v>
      </c>
      <c r="J825" s="8" t="s">
        <v>63</v>
      </c>
    </row>
    <row r="826" spans="2:10" x14ac:dyDescent="0.45">
      <c r="B826" s="9" t="s">
        <v>135</v>
      </c>
      <c r="C826" s="9" t="s">
        <v>98</v>
      </c>
      <c r="D826" s="11">
        <v>4.7552415683002218E-2</v>
      </c>
      <c r="E826" s="9" t="s">
        <v>63</v>
      </c>
      <c r="G826" s="9" t="s">
        <v>155</v>
      </c>
      <c r="H826" s="9" t="s">
        <v>98</v>
      </c>
      <c r="I826" s="13">
        <v>7.8511780703969646E-3</v>
      </c>
      <c r="J826" s="9" t="s">
        <v>63</v>
      </c>
    </row>
    <row r="827" spans="2:10" x14ac:dyDescent="0.45">
      <c r="B827" s="8" t="s">
        <v>135</v>
      </c>
      <c r="C827" s="8" t="s">
        <v>99</v>
      </c>
      <c r="D827" s="10">
        <v>4.1070761679685035E-2</v>
      </c>
      <c r="E827" s="8" t="s">
        <v>63</v>
      </c>
      <c r="G827" s="8" t="s">
        <v>155</v>
      </c>
      <c r="H827" s="8" t="s">
        <v>99</v>
      </c>
      <c r="I827" s="12">
        <v>8.5702236311681178E-3</v>
      </c>
      <c r="J827" s="8" t="s">
        <v>63</v>
      </c>
    </row>
    <row r="828" spans="2:10" x14ac:dyDescent="0.45">
      <c r="B828" s="9" t="s">
        <v>135</v>
      </c>
      <c r="C828" s="9" t="s">
        <v>100</v>
      </c>
      <c r="D828" s="11">
        <v>2.7413139729212211E-2</v>
      </c>
      <c r="E828" s="9" t="s">
        <v>63</v>
      </c>
      <c r="G828" s="9" t="s">
        <v>155</v>
      </c>
      <c r="H828" s="9" t="s">
        <v>100</v>
      </c>
      <c r="I828" s="13">
        <v>7.5402839028753657E-3</v>
      </c>
      <c r="J828" s="9" t="s">
        <v>63</v>
      </c>
    </row>
    <row r="829" spans="2:10" x14ac:dyDescent="0.45">
      <c r="B829" s="8" t="s">
        <v>135</v>
      </c>
      <c r="C829" s="8" t="s">
        <v>101</v>
      </c>
      <c r="D829" s="10">
        <v>6.8877964700980628E-3</v>
      </c>
      <c r="E829" s="8" t="s">
        <v>63</v>
      </c>
      <c r="G829" s="8" t="s">
        <v>155</v>
      </c>
      <c r="H829" s="8" t="s">
        <v>101</v>
      </c>
      <c r="I829" s="12">
        <v>8.2552301849656458E-3</v>
      </c>
      <c r="J829" s="8" t="s">
        <v>63</v>
      </c>
    </row>
    <row r="830" spans="2:10" x14ac:dyDescent="0.45">
      <c r="B830" s="9" t="s">
        <v>135</v>
      </c>
      <c r="C830" s="9" t="s">
        <v>102</v>
      </c>
      <c r="D830" s="11">
        <v>0</v>
      </c>
      <c r="E830" s="9" t="s">
        <v>63</v>
      </c>
      <c r="G830" s="9" t="s">
        <v>155</v>
      </c>
      <c r="H830" s="9" t="s">
        <v>102</v>
      </c>
      <c r="I830" s="13">
        <v>1.3151409270050162E-2</v>
      </c>
      <c r="J830" s="9" t="s">
        <v>63</v>
      </c>
    </row>
    <row r="831" spans="2:10" x14ac:dyDescent="0.45">
      <c r="B831" s="8" t="s">
        <v>135</v>
      </c>
      <c r="C831" s="8" t="s">
        <v>103</v>
      </c>
      <c r="D831" s="10">
        <v>0</v>
      </c>
      <c r="E831" s="8" t="s">
        <v>63</v>
      </c>
      <c r="G831" s="8" t="s">
        <v>155</v>
      </c>
      <c r="H831" s="8" t="s">
        <v>103</v>
      </c>
      <c r="I831" s="12">
        <v>3.71827855759925E-2</v>
      </c>
      <c r="J831" s="8" t="s">
        <v>63</v>
      </c>
    </row>
    <row r="832" spans="2:10" x14ac:dyDescent="0.45">
      <c r="B832" s="9" t="s">
        <v>135</v>
      </c>
      <c r="C832" s="9" t="s">
        <v>104</v>
      </c>
      <c r="D832" s="11">
        <v>1.2064252547909413E-3</v>
      </c>
      <c r="E832" s="9" t="s">
        <v>63</v>
      </c>
      <c r="G832" s="9" t="s">
        <v>155</v>
      </c>
      <c r="H832" s="9" t="s">
        <v>104</v>
      </c>
      <c r="I832" s="13">
        <v>1.4600746541204123E-2</v>
      </c>
      <c r="J832" s="9" t="s">
        <v>63</v>
      </c>
    </row>
    <row r="833" spans="2:10" x14ac:dyDescent="0.45">
      <c r="B833" s="8" t="s">
        <v>135</v>
      </c>
      <c r="C833" s="8" t="s">
        <v>105</v>
      </c>
      <c r="D833" s="10">
        <v>1.8300808267139076E-2</v>
      </c>
      <c r="E833" s="8" t="s">
        <v>63</v>
      </c>
      <c r="G833" s="8" t="s">
        <v>155</v>
      </c>
      <c r="H833" s="8" t="s">
        <v>105</v>
      </c>
      <c r="I833" s="12">
        <v>1.3828072737135018E-2</v>
      </c>
      <c r="J833" s="8" t="s">
        <v>63</v>
      </c>
    </row>
    <row r="834" spans="2:10" x14ac:dyDescent="0.45">
      <c r="B834" s="9" t="s">
        <v>135</v>
      </c>
      <c r="C834" s="9" t="s">
        <v>106</v>
      </c>
      <c r="D834" s="11">
        <v>3.3020910972205685E-2</v>
      </c>
      <c r="E834" s="9" t="s">
        <v>63</v>
      </c>
      <c r="G834" s="9" t="s">
        <v>155</v>
      </c>
      <c r="H834" s="9" t="s">
        <v>106</v>
      </c>
      <c r="I834" s="13">
        <v>1.2552617143982227E-2</v>
      </c>
      <c r="J834" s="9" t="s">
        <v>63</v>
      </c>
    </row>
    <row r="835" spans="2:10" x14ac:dyDescent="0.45">
      <c r="B835" s="8" t="s">
        <v>135</v>
      </c>
      <c r="C835" s="8" t="s">
        <v>107</v>
      </c>
      <c r="D835" s="10">
        <v>3.4544283147604479E-2</v>
      </c>
      <c r="E835" s="8" t="s">
        <v>63</v>
      </c>
      <c r="G835" s="8" t="s">
        <v>155</v>
      </c>
      <c r="H835" s="8" t="s">
        <v>107</v>
      </c>
      <c r="I835" s="12">
        <v>1.3022584706882364E-2</v>
      </c>
      <c r="J835" s="8" t="s">
        <v>63</v>
      </c>
    </row>
    <row r="836" spans="2:10" x14ac:dyDescent="0.45">
      <c r="B836" s="9" t="s">
        <v>135</v>
      </c>
      <c r="C836" s="9" t="s">
        <v>108</v>
      </c>
      <c r="D836" s="11">
        <v>3.5707635362945613E-2</v>
      </c>
      <c r="E836" s="9" t="s">
        <v>63</v>
      </c>
      <c r="G836" s="9" t="s">
        <v>155</v>
      </c>
      <c r="H836" s="9" t="s">
        <v>108</v>
      </c>
      <c r="I836" s="13">
        <v>1.3923982005292868E-2</v>
      </c>
      <c r="J836" s="9" t="s">
        <v>63</v>
      </c>
    </row>
    <row r="837" spans="2:10" x14ac:dyDescent="0.45">
      <c r="B837" s="8" t="s">
        <v>135</v>
      </c>
      <c r="C837" s="8" t="s">
        <v>109</v>
      </c>
      <c r="D837" s="10">
        <v>2.5497382250352019E-2</v>
      </c>
      <c r="E837" s="8" t="s">
        <v>63</v>
      </c>
      <c r="G837" s="8" t="s">
        <v>155</v>
      </c>
      <c r="H837" s="8" t="s">
        <v>109</v>
      </c>
      <c r="I837" s="12">
        <v>1.3935915531837588E-2</v>
      </c>
      <c r="J837" s="8" t="s">
        <v>63</v>
      </c>
    </row>
    <row r="838" spans="2:10" x14ac:dyDescent="0.45">
      <c r="B838" s="9" t="s">
        <v>135</v>
      </c>
      <c r="C838" s="9" t="s">
        <v>110</v>
      </c>
      <c r="D838" s="11">
        <v>7.8472246644067482E-3</v>
      </c>
      <c r="E838" s="9" t="s">
        <v>63</v>
      </c>
      <c r="G838" s="9" t="s">
        <v>155</v>
      </c>
      <c r="H838" s="9" t="s">
        <v>110</v>
      </c>
      <c r="I838" s="13">
        <v>1.5559912320665427E-2</v>
      </c>
      <c r="J838" s="9" t="s">
        <v>63</v>
      </c>
    </row>
    <row r="839" spans="2:10" x14ac:dyDescent="0.45">
      <c r="B839" s="8" t="s">
        <v>135</v>
      </c>
      <c r="C839" s="8" t="s">
        <v>111</v>
      </c>
      <c r="D839" s="10">
        <v>0</v>
      </c>
      <c r="E839" s="8" t="s">
        <v>63</v>
      </c>
      <c r="G839" s="8" t="s">
        <v>155</v>
      </c>
      <c r="H839" s="8" t="s">
        <v>111</v>
      </c>
      <c r="I839" s="12">
        <v>1.7225110103857806E-2</v>
      </c>
      <c r="J839" s="8" t="s">
        <v>63</v>
      </c>
    </row>
    <row r="840" spans="2:10" x14ac:dyDescent="0.45">
      <c r="B840" s="9" t="s">
        <v>135</v>
      </c>
      <c r="C840" s="9" t="s">
        <v>112</v>
      </c>
      <c r="D840" s="11">
        <v>0</v>
      </c>
      <c r="E840" s="9" t="s">
        <v>63</v>
      </c>
      <c r="G840" s="9" t="s">
        <v>155</v>
      </c>
      <c r="H840" s="9" t="s">
        <v>112</v>
      </c>
      <c r="I840" s="13">
        <v>2.5024565255151635E-2</v>
      </c>
      <c r="J840" s="9" t="s">
        <v>63</v>
      </c>
    </row>
    <row r="841" spans="2:10" x14ac:dyDescent="0.45">
      <c r="B841" s="8" t="s">
        <v>135</v>
      </c>
      <c r="C841" s="8" t="s">
        <v>113</v>
      </c>
      <c r="D841" s="10">
        <v>0</v>
      </c>
      <c r="E841" s="8" t="s">
        <v>63</v>
      </c>
      <c r="G841" s="8" t="s">
        <v>155</v>
      </c>
      <c r="H841" s="8" t="s">
        <v>113</v>
      </c>
      <c r="I841" s="12">
        <v>4.9179537130632472E-2</v>
      </c>
      <c r="J841" s="8" t="s">
        <v>63</v>
      </c>
    </row>
    <row r="842" spans="2:10" x14ac:dyDescent="0.45">
      <c r="B842" s="9" t="s">
        <v>135</v>
      </c>
      <c r="C842" s="9" t="s">
        <v>114</v>
      </c>
      <c r="D842" s="11">
        <v>0</v>
      </c>
      <c r="E842" s="9" t="s">
        <v>63</v>
      </c>
      <c r="G842" s="9" t="s">
        <v>155</v>
      </c>
      <c r="H842" s="9" t="s">
        <v>114</v>
      </c>
      <c r="I842" s="13">
        <v>1.973368767072568E-2</v>
      </c>
      <c r="J842" s="9" t="s">
        <v>63</v>
      </c>
    </row>
    <row r="843" spans="2:10" x14ac:dyDescent="0.45">
      <c r="B843" s="8" t="s">
        <v>135</v>
      </c>
      <c r="C843" s="8" t="s">
        <v>115</v>
      </c>
      <c r="D843" s="10">
        <v>1.5704404874127497E-3</v>
      </c>
      <c r="E843" s="8" t="s">
        <v>63</v>
      </c>
      <c r="G843" s="8" t="s">
        <v>155</v>
      </c>
      <c r="H843" s="8" t="s">
        <v>115</v>
      </c>
      <c r="I843" s="12">
        <v>2.0350982978596784E-2</v>
      </c>
      <c r="J843" s="8" t="s">
        <v>63</v>
      </c>
    </row>
    <row r="844" spans="2:10" x14ac:dyDescent="0.45">
      <c r="B844" s="9" t="s">
        <v>135</v>
      </c>
      <c r="C844" s="9" t="s">
        <v>116</v>
      </c>
      <c r="D844" s="11">
        <v>1.5046056512723869E-2</v>
      </c>
      <c r="E844" s="9" t="s">
        <v>63</v>
      </c>
      <c r="G844" s="9" t="s">
        <v>155</v>
      </c>
      <c r="H844" s="9" t="s">
        <v>116</v>
      </c>
      <c r="I844" s="13">
        <v>2.0576462916586487E-2</v>
      </c>
      <c r="J844" s="9" t="s">
        <v>63</v>
      </c>
    </row>
    <row r="845" spans="2:10" x14ac:dyDescent="0.45">
      <c r="B845" s="8" t="s">
        <v>135</v>
      </c>
      <c r="C845" s="8" t="s">
        <v>117</v>
      </c>
      <c r="D845" s="10">
        <v>1.9179305630832758E-2</v>
      </c>
      <c r="E845" s="8" t="s">
        <v>63</v>
      </c>
      <c r="G845" s="8" t="s">
        <v>155</v>
      </c>
      <c r="H845" s="8" t="s">
        <v>117</v>
      </c>
      <c r="I845" s="12">
        <v>1.9373875952503998E-2</v>
      </c>
      <c r="J845" s="8" t="s">
        <v>63</v>
      </c>
    </row>
    <row r="846" spans="2:10" x14ac:dyDescent="0.45">
      <c r="B846" s="9" t="s">
        <v>135</v>
      </c>
      <c r="C846" s="9" t="s">
        <v>118</v>
      </c>
      <c r="D846" s="11">
        <v>2.1602122149863616E-2</v>
      </c>
      <c r="E846" s="9" t="s">
        <v>63</v>
      </c>
      <c r="G846" s="9" t="s">
        <v>155</v>
      </c>
      <c r="H846" s="9" t="s">
        <v>118</v>
      </c>
      <c r="I846" s="13">
        <v>1.9693962454936893E-2</v>
      </c>
      <c r="J846" s="9" t="s">
        <v>63</v>
      </c>
    </row>
    <row r="847" spans="2:10" x14ac:dyDescent="0.45">
      <c r="B847" s="8" t="s">
        <v>135</v>
      </c>
      <c r="C847" s="8" t="s">
        <v>119</v>
      </c>
      <c r="D847" s="10">
        <v>9.6939580758990083E-3</v>
      </c>
      <c r="E847" s="8" t="s">
        <v>63</v>
      </c>
      <c r="G847" s="8" t="s">
        <v>155</v>
      </c>
      <c r="H847" s="8" t="s">
        <v>119</v>
      </c>
      <c r="I847" s="12">
        <v>2.0527704922059072E-2</v>
      </c>
      <c r="J847" s="8" t="s">
        <v>63</v>
      </c>
    </row>
    <row r="848" spans="2:10" x14ac:dyDescent="0.45">
      <c r="B848" s="9" t="s">
        <v>135</v>
      </c>
      <c r="C848" s="9" t="s">
        <v>120</v>
      </c>
      <c r="D848" s="11">
        <v>0</v>
      </c>
      <c r="E848" s="9" t="s">
        <v>63</v>
      </c>
      <c r="G848" s="9" t="s">
        <v>155</v>
      </c>
      <c r="H848" s="9" t="s">
        <v>120</v>
      </c>
      <c r="I848" s="13">
        <v>2.1716864328511998E-2</v>
      </c>
      <c r="J848" s="9" t="s">
        <v>63</v>
      </c>
    </row>
    <row r="849" spans="2:10" x14ac:dyDescent="0.45">
      <c r="B849" s="8" t="s">
        <v>135</v>
      </c>
      <c r="C849" s="8" t="s">
        <v>121</v>
      </c>
      <c r="D849" s="10">
        <v>0</v>
      </c>
      <c r="E849" s="8" t="s">
        <v>63</v>
      </c>
      <c r="G849" s="8" t="s">
        <v>155</v>
      </c>
      <c r="H849" s="8" t="s">
        <v>121</v>
      </c>
      <c r="I849" s="12">
        <v>2.1759358610268897E-2</v>
      </c>
      <c r="J849" s="8" t="s">
        <v>63</v>
      </c>
    </row>
    <row r="850" spans="2:10" x14ac:dyDescent="0.45">
      <c r="B850" s="9" t="s">
        <v>135</v>
      </c>
      <c r="C850" s="9" t="s">
        <v>122</v>
      </c>
      <c r="D850" s="11">
        <v>0</v>
      </c>
      <c r="E850" s="9" t="s">
        <v>63</v>
      </c>
      <c r="G850" s="9" t="s">
        <v>155</v>
      </c>
      <c r="H850" s="9" t="s">
        <v>122</v>
      </c>
      <c r="I850" s="13">
        <v>3.1690743870509519E-2</v>
      </c>
      <c r="J850" s="9" t="s">
        <v>63</v>
      </c>
    </row>
    <row r="851" spans="2:10" x14ac:dyDescent="0.45">
      <c r="B851" s="8" t="s">
        <v>136</v>
      </c>
      <c r="C851" s="8" t="s">
        <v>62</v>
      </c>
      <c r="D851" s="10">
        <v>0</v>
      </c>
      <c r="E851" s="8" t="s">
        <v>63</v>
      </c>
      <c r="G851" s="8" t="s">
        <v>156</v>
      </c>
      <c r="H851" s="8" t="s">
        <v>62</v>
      </c>
      <c r="I851" s="12">
        <v>3.6155354685296709E-2</v>
      </c>
      <c r="J851" s="8" t="s">
        <v>63</v>
      </c>
    </row>
    <row r="852" spans="2:10" x14ac:dyDescent="0.45">
      <c r="B852" s="9" t="s">
        <v>136</v>
      </c>
      <c r="C852" s="9" t="s">
        <v>64</v>
      </c>
      <c r="D852" s="11">
        <v>0</v>
      </c>
      <c r="E852" s="9" t="s">
        <v>63</v>
      </c>
      <c r="G852" s="9" t="s">
        <v>156</v>
      </c>
      <c r="H852" s="9" t="s">
        <v>64</v>
      </c>
      <c r="I852" s="13">
        <v>1.5538034761095443E-2</v>
      </c>
      <c r="J852" s="9" t="s">
        <v>63</v>
      </c>
    </row>
    <row r="853" spans="2:10" x14ac:dyDescent="0.45">
      <c r="B853" s="8" t="s">
        <v>136</v>
      </c>
      <c r="C853" s="8" t="s">
        <v>65</v>
      </c>
      <c r="D853" s="10">
        <v>8.7451754117986915E-4</v>
      </c>
      <c r="E853" s="8" t="s">
        <v>63</v>
      </c>
      <c r="G853" s="8" t="s">
        <v>156</v>
      </c>
      <c r="H853" s="8" t="s">
        <v>65</v>
      </c>
      <c r="I853" s="12">
        <v>1.5822064670355022E-2</v>
      </c>
      <c r="J853" s="8" t="s">
        <v>63</v>
      </c>
    </row>
    <row r="854" spans="2:10" x14ac:dyDescent="0.45">
      <c r="B854" s="9" t="s">
        <v>136</v>
      </c>
      <c r="C854" s="9" t="s">
        <v>66</v>
      </c>
      <c r="D854" s="11">
        <v>1.1376509628901348E-2</v>
      </c>
      <c r="E854" s="9" t="s">
        <v>63</v>
      </c>
      <c r="G854" s="9" t="s">
        <v>156</v>
      </c>
      <c r="H854" s="9" t="s">
        <v>66</v>
      </c>
      <c r="I854" s="13">
        <v>1.6239006205812239E-2</v>
      </c>
      <c r="J854" s="9" t="s">
        <v>63</v>
      </c>
    </row>
    <row r="855" spans="2:10" x14ac:dyDescent="0.45">
      <c r="B855" s="8" t="s">
        <v>136</v>
      </c>
      <c r="C855" s="8" t="s">
        <v>67</v>
      </c>
      <c r="D855" s="10">
        <v>1.8966834271129274E-2</v>
      </c>
      <c r="E855" s="8" t="s">
        <v>63</v>
      </c>
      <c r="G855" s="8" t="s">
        <v>156</v>
      </c>
      <c r="H855" s="8" t="s">
        <v>67</v>
      </c>
      <c r="I855" s="12">
        <v>1.6060596187909119E-2</v>
      </c>
      <c r="J855" s="8" t="s">
        <v>63</v>
      </c>
    </row>
    <row r="856" spans="2:10" x14ac:dyDescent="0.45">
      <c r="B856" s="9" t="s">
        <v>136</v>
      </c>
      <c r="C856" s="9" t="s">
        <v>68</v>
      </c>
      <c r="D856" s="11">
        <v>1.8582987788125151E-2</v>
      </c>
      <c r="E856" s="9" t="s">
        <v>63</v>
      </c>
      <c r="G856" s="9" t="s">
        <v>156</v>
      </c>
      <c r="H856" s="9" t="s">
        <v>68</v>
      </c>
      <c r="I856" s="13">
        <v>1.8319040499009485E-2</v>
      </c>
      <c r="J856" s="9" t="s">
        <v>63</v>
      </c>
    </row>
    <row r="857" spans="2:10" x14ac:dyDescent="0.45">
      <c r="B857" s="8" t="s">
        <v>136</v>
      </c>
      <c r="C857" s="8" t="s">
        <v>69</v>
      </c>
      <c r="D857" s="10">
        <v>1.0384004044330819E-2</v>
      </c>
      <c r="E857" s="8" t="s">
        <v>63</v>
      </c>
      <c r="G857" s="8" t="s">
        <v>156</v>
      </c>
      <c r="H857" s="8" t="s">
        <v>69</v>
      </c>
      <c r="I857" s="12">
        <v>1.8058988874976704E-2</v>
      </c>
      <c r="J857" s="8" t="s">
        <v>63</v>
      </c>
    </row>
    <row r="858" spans="2:10" x14ac:dyDescent="0.45">
      <c r="B858" s="9" t="s">
        <v>136</v>
      </c>
      <c r="C858" s="9" t="s">
        <v>70</v>
      </c>
      <c r="D858" s="11">
        <v>1.1085302707623586E-3</v>
      </c>
      <c r="E858" s="9" t="s">
        <v>63</v>
      </c>
      <c r="G858" s="9" t="s">
        <v>156</v>
      </c>
      <c r="H858" s="9" t="s">
        <v>70</v>
      </c>
      <c r="I858" s="13">
        <v>1.7466441031252791E-2</v>
      </c>
      <c r="J858" s="9" t="s">
        <v>63</v>
      </c>
    </row>
    <row r="859" spans="2:10" x14ac:dyDescent="0.45">
      <c r="B859" s="8" t="s">
        <v>136</v>
      </c>
      <c r="C859" s="8" t="s">
        <v>71</v>
      </c>
      <c r="D859" s="10">
        <v>0</v>
      </c>
      <c r="E859" s="8" t="s">
        <v>63</v>
      </c>
      <c r="G859" s="8" t="s">
        <v>156</v>
      </c>
      <c r="H859" s="8" t="s">
        <v>71</v>
      </c>
      <c r="I859" s="12">
        <v>1.6368365033044098E-2</v>
      </c>
      <c r="J859" s="8" t="s">
        <v>63</v>
      </c>
    </row>
    <row r="860" spans="2:10" x14ac:dyDescent="0.45">
      <c r="B860" s="9" t="s">
        <v>136</v>
      </c>
      <c r="C860" s="9" t="s">
        <v>72</v>
      </c>
      <c r="D860" s="11">
        <v>0</v>
      </c>
      <c r="E860" s="9" t="s">
        <v>63</v>
      </c>
      <c r="G860" s="9" t="s">
        <v>156</v>
      </c>
      <c r="H860" s="9" t="s">
        <v>72</v>
      </c>
      <c r="I860" s="13">
        <v>2.2063931900449228E-2</v>
      </c>
      <c r="J860" s="9" t="s">
        <v>63</v>
      </c>
    </row>
    <row r="861" spans="2:10" x14ac:dyDescent="0.45">
      <c r="B861" s="8" t="s">
        <v>136</v>
      </c>
      <c r="C861" s="8" t="s">
        <v>73</v>
      </c>
      <c r="D861" s="10">
        <v>0</v>
      </c>
      <c r="E861" s="8" t="s">
        <v>63</v>
      </c>
      <c r="G861" s="8" t="s">
        <v>156</v>
      </c>
      <c r="H861" s="8" t="s">
        <v>73</v>
      </c>
      <c r="I861" s="12">
        <v>3.7420164469544104E-2</v>
      </c>
      <c r="J861" s="8" t="s">
        <v>63</v>
      </c>
    </row>
    <row r="862" spans="2:10" x14ac:dyDescent="0.45">
      <c r="B862" s="9" t="s">
        <v>136</v>
      </c>
      <c r="C862" s="9" t="s">
        <v>74</v>
      </c>
      <c r="D862" s="11">
        <v>3.2367868156183222E-3</v>
      </c>
      <c r="E862" s="9" t="s">
        <v>63</v>
      </c>
      <c r="G862" s="9" t="s">
        <v>156</v>
      </c>
      <c r="H862" s="9" t="s">
        <v>74</v>
      </c>
      <c r="I862" s="13">
        <v>1.4508558480099753E-2</v>
      </c>
      <c r="J862" s="9" t="s">
        <v>63</v>
      </c>
    </row>
    <row r="863" spans="2:10" x14ac:dyDescent="0.45">
      <c r="B863" s="8" t="s">
        <v>136</v>
      </c>
      <c r="C863" s="8" t="s">
        <v>75</v>
      </c>
      <c r="D863" s="10">
        <v>2.3001396614268622E-2</v>
      </c>
      <c r="E863" s="8" t="s">
        <v>63</v>
      </c>
      <c r="G863" s="8" t="s">
        <v>156</v>
      </c>
      <c r="H863" s="8" t="s">
        <v>75</v>
      </c>
      <c r="I863" s="12">
        <v>1.3144273549962277E-2</v>
      </c>
      <c r="J863" s="8" t="s">
        <v>63</v>
      </c>
    </row>
    <row r="864" spans="2:10" x14ac:dyDescent="0.45">
      <c r="B864" s="9" t="s">
        <v>136</v>
      </c>
      <c r="C864" s="9" t="s">
        <v>76</v>
      </c>
      <c r="D864" s="11">
        <v>3.8662687363695401E-2</v>
      </c>
      <c r="E864" s="9" t="s">
        <v>63</v>
      </c>
      <c r="G864" s="9" t="s">
        <v>156</v>
      </c>
      <c r="H864" s="9" t="s">
        <v>76</v>
      </c>
      <c r="I864" s="13">
        <v>1.3854708829078863E-2</v>
      </c>
      <c r="J864" s="9" t="s">
        <v>63</v>
      </c>
    </row>
    <row r="865" spans="2:10" x14ac:dyDescent="0.45">
      <c r="B865" s="8" t="s">
        <v>136</v>
      </c>
      <c r="C865" s="8" t="s">
        <v>77</v>
      </c>
      <c r="D865" s="10">
        <v>4.2569867931833497E-2</v>
      </c>
      <c r="E865" s="8" t="s">
        <v>63</v>
      </c>
      <c r="G865" s="8" t="s">
        <v>156</v>
      </c>
      <c r="H865" s="8" t="s">
        <v>77</v>
      </c>
      <c r="I865" s="12">
        <v>1.5239167832004567E-2</v>
      </c>
      <c r="J865" s="8" t="s">
        <v>63</v>
      </c>
    </row>
    <row r="866" spans="2:10" x14ac:dyDescent="0.45">
      <c r="B866" s="9" t="s">
        <v>136</v>
      </c>
      <c r="C866" s="9" t="s">
        <v>78</v>
      </c>
      <c r="D866" s="11">
        <v>4.0453691599880291E-2</v>
      </c>
      <c r="E866" s="9" t="s">
        <v>63</v>
      </c>
      <c r="G866" s="9" t="s">
        <v>156</v>
      </c>
      <c r="H866" s="9" t="s">
        <v>78</v>
      </c>
      <c r="I866" s="13">
        <v>1.9616931937097491E-2</v>
      </c>
      <c r="J866" s="9" t="s">
        <v>63</v>
      </c>
    </row>
    <row r="867" spans="2:10" x14ac:dyDescent="0.45">
      <c r="B867" s="8" t="s">
        <v>136</v>
      </c>
      <c r="C867" s="8" t="s">
        <v>79</v>
      </c>
      <c r="D867" s="10">
        <v>3.3105381804036126E-2</v>
      </c>
      <c r="E867" s="8" t="s">
        <v>63</v>
      </c>
      <c r="G867" s="8" t="s">
        <v>156</v>
      </c>
      <c r="H867" s="8" t="s">
        <v>79</v>
      </c>
      <c r="I867" s="12">
        <v>2.0363825865947326E-2</v>
      </c>
      <c r="J867" s="8" t="s">
        <v>63</v>
      </c>
    </row>
    <row r="868" spans="2:10" x14ac:dyDescent="0.45">
      <c r="B868" s="9" t="s">
        <v>136</v>
      </c>
      <c r="C868" s="9" t="s">
        <v>80</v>
      </c>
      <c r="D868" s="11">
        <v>1.6401850121819109E-2</v>
      </c>
      <c r="E868" s="9" t="s">
        <v>63</v>
      </c>
      <c r="G868" s="9" t="s">
        <v>156</v>
      </c>
      <c r="H868" s="9" t="s">
        <v>80</v>
      </c>
      <c r="I868" s="13">
        <v>1.856449277622841E-2</v>
      </c>
      <c r="J868" s="9" t="s">
        <v>63</v>
      </c>
    </row>
    <row r="869" spans="2:10" x14ac:dyDescent="0.45">
      <c r="B869" s="8" t="s">
        <v>136</v>
      </c>
      <c r="C869" s="8" t="s">
        <v>81</v>
      </c>
      <c r="D869" s="10">
        <v>9.4732410973597848E-4</v>
      </c>
      <c r="E869" s="8" t="s">
        <v>63</v>
      </c>
      <c r="G869" s="8" t="s">
        <v>156</v>
      </c>
      <c r="H869" s="8" t="s">
        <v>81</v>
      </c>
      <c r="I869" s="12">
        <v>1.7400866478870271E-2</v>
      </c>
      <c r="J869" s="8" t="s">
        <v>63</v>
      </c>
    </row>
    <row r="870" spans="2:10" x14ac:dyDescent="0.45">
      <c r="B870" s="9" t="s">
        <v>136</v>
      </c>
      <c r="C870" s="9" t="s">
        <v>82</v>
      </c>
      <c r="D870" s="11">
        <v>0</v>
      </c>
      <c r="E870" s="9" t="s">
        <v>63</v>
      </c>
      <c r="G870" s="9" t="s">
        <v>156</v>
      </c>
      <c r="H870" s="9" t="s">
        <v>82</v>
      </c>
      <c r="I870" s="13">
        <v>2.3389017322659432E-2</v>
      </c>
      <c r="J870" s="9" t="s">
        <v>63</v>
      </c>
    </row>
    <row r="871" spans="2:10" x14ac:dyDescent="0.45">
      <c r="B871" s="8" t="s">
        <v>136</v>
      </c>
      <c r="C871" s="8" t="s">
        <v>83</v>
      </c>
      <c r="D871" s="10">
        <v>0</v>
      </c>
      <c r="E871" s="8" t="s">
        <v>63</v>
      </c>
      <c r="G871" s="8" t="s">
        <v>156</v>
      </c>
      <c r="H871" s="8" t="s">
        <v>83</v>
      </c>
      <c r="I871" s="12">
        <v>1.1716111623835899E-2</v>
      </c>
      <c r="J871" s="8" t="s">
        <v>63</v>
      </c>
    </row>
    <row r="872" spans="2:10" x14ac:dyDescent="0.45">
      <c r="B872" s="9" t="s">
        <v>136</v>
      </c>
      <c r="C872" s="9" t="s">
        <v>84</v>
      </c>
      <c r="D872" s="11">
        <v>1.1726865945922142E-2</v>
      </c>
      <c r="E872" s="9" t="s">
        <v>63</v>
      </c>
      <c r="G872" s="9" t="s">
        <v>156</v>
      </c>
      <c r="H872" s="9" t="s">
        <v>84</v>
      </c>
      <c r="I872" s="13">
        <v>5.3282888468088136E-3</v>
      </c>
      <c r="J872" s="9" t="s">
        <v>63</v>
      </c>
    </row>
    <row r="873" spans="2:10" x14ac:dyDescent="0.45">
      <c r="B873" s="8" t="s">
        <v>136</v>
      </c>
      <c r="C873" s="8" t="s">
        <v>85</v>
      </c>
      <c r="D873" s="10">
        <v>3.0100533405536447E-2</v>
      </c>
      <c r="E873" s="8" t="s">
        <v>63</v>
      </c>
      <c r="G873" s="8" t="s">
        <v>156</v>
      </c>
      <c r="H873" s="8" t="s">
        <v>85</v>
      </c>
      <c r="I873" s="12">
        <v>6.2512511574629431E-3</v>
      </c>
      <c r="J873" s="8" t="s">
        <v>63</v>
      </c>
    </row>
    <row r="874" spans="2:10" x14ac:dyDescent="0.45">
      <c r="B874" s="9" t="s">
        <v>136</v>
      </c>
      <c r="C874" s="9" t="s">
        <v>86</v>
      </c>
      <c r="D874" s="11">
        <v>4.1124598036804842E-2</v>
      </c>
      <c r="E874" s="9" t="s">
        <v>63</v>
      </c>
      <c r="G874" s="9" t="s">
        <v>156</v>
      </c>
      <c r="H874" s="9" t="s">
        <v>86</v>
      </c>
      <c r="I874" s="13">
        <v>8.9495667258976206E-3</v>
      </c>
      <c r="J874" s="9" t="s">
        <v>63</v>
      </c>
    </row>
    <row r="875" spans="2:10" x14ac:dyDescent="0.45">
      <c r="B875" s="8" t="s">
        <v>136</v>
      </c>
      <c r="C875" s="8" t="s">
        <v>87</v>
      </c>
      <c r="D875" s="10">
        <v>4.3319297868494339E-2</v>
      </c>
      <c r="E875" s="8" t="s">
        <v>63</v>
      </c>
      <c r="G875" s="8" t="s">
        <v>156</v>
      </c>
      <c r="H875" s="8" t="s">
        <v>87</v>
      </c>
      <c r="I875" s="12">
        <v>7.0427373821035011E-3</v>
      </c>
      <c r="J875" s="8" t="s">
        <v>63</v>
      </c>
    </row>
    <row r="876" spans="2:10" x14ac:dyDescent="0.45">
      <c r="B876" s="9" t="s">
        <v>136</v>
      </c>
      <c r="C876" s="9" t="s">
        <v>88</v>
      </c>
      <c r="D876" s="11">
        <v>4.2210462927081763E-2</v>
      </c>
      <c r="E876" s="9" t="s">
        <v>63</v>
      </c>
      <c r="G876" s="9" t="s">
        <v>156</v>
      </c>
      <c r="H876" s="9" t="s">
        <v>88</v>
      </c>
      <c r="I876" s="13">
        <v>9.2619596061555027E-3</v>
      </c>
      <c r="J876" s="9" t="s">
        <v>63</v>
      </c>
    </row>
    <row r="877" spans="2:10" x14ac:dyDescent="0.45">
      <c r="B877" s="8" t="s">
        <v>136</v>
      </c>
      <c r="C877" s="8" t="s">
        <v>89</v>
      </c>
      <c r="D877" s="10">
        <v>3.5540610980132802E-2</v>
      </c>
      <c r="E877" s="8" t="s">
        <v>63</v>
      </c>
      <c r="G877" s="8" t="s">
        <v>156</v>
      </c>
      <c r="H877" s="8" t="s">
        <v>89</v>
      </c>
      <c r="I877" s="12">
        <v>1.0273745786954768E-2</v>
      </c>
      <c r="J877" s="8" t="s">
        <v>63</v>
      </c>
    </row>
    <row r="878" spans="2:10" x14ac:dyDescent="0.45">
      <c r="B878" s="9" t="s">
        <v>136</v>
      </c>
      <c r="C878" s="9" t="s">
        <v>90</v>
      </c>
      <c r="D878" s="11">
        <v>2.2442624088084975E-2</v>
      </c>
      <c r="E878" s="9" t="s">
        <v>63</v>
      </c>
      <c r="G878" s="9" t="s">
        <v>156</v>
      </c>
      <c r="H878" s="9" t="s">
        <v>90</v>
      </c>
      <c r="I878" s="13">
        <v>7.8406539719833163E-3</v>
      </c>
      <c r="J878" s="9" t="s">
        <v>63</v>
      </c>
    </row>
    <row r="879" spans="2:10" x14ac:dyDescent="0.45">
      <c r="B879" s="8" t="s">
        <v>136</v>
      </c>
      <c r="C879" s="8" t="s">
        <v>91</v>
      </c>
      <c r="D879" s="10">
        <v>5.8754642130467638E-3</v>
      </c>
      <c r="E879" s="8" t="s">
        <v>63</v>
      </c>
      <c r="G879" s="8" t="s">
        <v>156</v>
      </c>
      <c r="H879" s="8" t="s">
        <v>91</v>
      </c>
      <c r="I879" s="12">
        <v>6.9099909300547055E-3</v>
      </c>
      <c r="J879" s="8" t="s">
        <v>63</v>
      </c>
    </row>
    <row r="880" spans="2:10" x14ac:dyDescent="0.45">
      <c r="B880" s="9" t="s">
        <v>136</v>
      </c>
      <c r="C880" s="9" t="s">
        <v>92</v>
      </c>
      <c r="D880" s="11">
        <v>0</v>
      </c>
      <c r="E880" s="9" t="s">
        <v>63</v>
      </c>
      <c r="G880" s="9" t="s">
        <v>156</v>
      </c>
      <c r="H880" s="9" t="s">
        <v>92</v>
      </c>
      <c r="I880" s="13">
        <v>7.9112482144888356E-3</v>
      </c>
      <c r="J880" s="9" t="s">
        <v>63</v>
      </c>
    </row>
    <row r="881" spans="2:10" x14ac:dyDescent="0.45">
      <c r="B881" s="8" t="s">
        <v>136</v>
      </c>
      <c r="C881" s="8" t="s">
        <v>93</v>
      </c>
      <c r="D881" s="10">
        <v>0</v>
      </c>
      <c r="E881" s="8" t="s">
        <v>63</v>
      </c>
      <c r="G881" s="8" t="s">
        <v>156</v>
      </c>
      <c r="H881" s="8" t="s">
        <v>93</v>
      </c>
      <c r="I881" s="12">
        <v>8.7960922127086841E-3</v>
      </c>
      <c r="J881" s="8" t="s">
        <v>63</v>
      </c>
    </row>
    <row r="882" spans="2:10" x14ac:dyDescent="0.45">
      <c r="B882" s="9" t="s">
        <v>136</v>
      </c>
      <c r="C882" s="9" t="s">
        <v>94</v>
      </c>
      <c r="D882" s="11">
        <v>1.4048217601237674E-2</v>
      </c>
      <c r="E882" s="9" t="s">
        <v>63</v>
      </c>
      <c r="G882" s="9" t="s">
        <v>156</v>
      </c>
      <c r="H882" s="9" t="s">
        <v>94</v>
      </c>
      <c r="I882" s="13">
        <v>3.8925742344830478E-3</v>
      </c>
      <c r="J882" s="9" t="s">
        <v>63</v>
      </c>
    </row>
    <row r="883" spans="2:10" x14ac:dyDescent="0.45">
      <c r="B883" s="8" t="s">
        <v>136</v>
      </c>
      <c r="C883" s="8" t="s">
        <v>95</v>
      </c>
      <c r="D883" s="10">
        <v>4.0310087990652416E-2</v>
      </c>
      <c r="E883" s="8" t="s">
        <v>63</v>
      </c>
      <c r="G883" s="8" t="s">
        <v>156</v>
      </c>
      <c r="H883" s="8" t="s">
        <v>95</v>
      </c>
      <c r="I883" s="12">
        <v>4.2297145711723714E-3</v>
      </c>
      <c r="J883" s="8" t="s">
        <v>63</v>
      </c>
    </row>
    <row r="884" spans="2:10" x14ac:dyDescent="0.45">
      <c r="B884" s="9" t="s">
        <v>136</v>
      </c>
      <c r="C884" s="9" t="s">
        <v>96</v>
      </c>
      <c r="D884" s="11">
        <v>5.430199245200263E-2</v>
      </c>
      <c r="E884" s="9" t="s">
        <v>63</v>
      </c>
      <c r="G884" s="9" t="s">
        <v>156</v>
      </c>
      <c r="H884" s="9" t="s">
        <v>96</v>
      </c>
      <c r="I884" s="13">
        <v>7.574768177373908E-3</v>
      </c>
      <c r="J884" s="9" t="s">
        <v>63</v>
      </c>
    </row>
    <row r="885" spans="2:10" x14ac:dyDescent="0.45">
      <c r="B885" s="8" t="s">
        <v>136</v>
      </c>
      <c r="C885" s="8" t="s">
        <v>97</v>
      </c>
      <c r="D885" s="10">
        <v>5.2399715569572715E-2</v>
      </c>
      <c r="E885" s="8" t="s">
        <v>63</v>
      </c>
      <c r="G885" s="8" t="s">
        <v>156</v>
      </c>
      <c r="H885" s="8" t="s">
        <v>97</v>
      </c>
      <c r="I885" s="12">
        <v>6.9383898137850824E-3</v>
      </c>
      <c r="J885" s="8" t="s">
        <v>63</v>
      </c>
    </row>
    <row r="886" spans="2:10" x14ac:dyDescent="0.45">
      <c r="B886" s="9" t="s">
        <v>136</v>
      </c>
      <c r="C886" s="9" t="s">
        <v>98</v>
      </c>
      <c r="D886" s="11">
        <v>4.9624396767872926E-2</v>
      </c>
      <c r="E886" s="9" t="s">
        <v>63</v>
      </c>
      <c r="G886" s="9" t="s">
        <v>156</v>
      </c>
      <c r="H886" s="9" t="s">
        <v>98</v>
      </c>
      <c r="I886" s="13">
        <v>8.7394198974011933E-3</v>
      </c>
      <c r="J886" s="9" t="s">
        <v>63</v>
      </c>
    </row>
    <row r="887" spans="2:10" x14ac:dyDescent="0.45">
      <c r="B887" s="8" t="s">
        <v>136</v>
      </c>
      <c r="C887" s="8" t="s">
        <v>99</v>
      </c>
      <c r="D887" s="10">
        <v>4.3759362270875644E-2</v>
      </c>
      <c r="E887" s="8" t="s">
        <v>63</v>
      </c>
      <c r="G887" s="8" t="s">
        <v>156</v>
      </c>
      <c r="H887" s="8" t="s">
        <v>99</v>
      </c>
      <c r="I887" s="12">
        <v>9.4308839389406762E-3</v>
      </c>
      <c r="J887" s="8" t="s">
        <v>63</v>
      </c>
    </row>
    <row r="888" spans="2:10" x14ac:dyDescent="0.45">
      <c r="B888" s="9" t="s">
        <v>136</v>
      </c>
      <c r="C888" s="9" t="s">
        <v>100</v>
      </c>
      <c r="D888" s="11">
        <v>2.9438037799516495E-2</v>
      </c>
      <c r="E888" s="9" t="s">
        <v>63</v>
      </c>
      <c r="G888" s="9" t="s">
        <v>156</v>
      </c>
      <c r="H888" s="9" t="s">
        <v>100</v>
      </c>
      <c r="I888" s="13">
        <v>8.4295505806467417E-3</v>
      </c>
      <c r="J888" s="9" t="s">
        <v>63</v>
      </c>
    </row>
    <row r="889" spans="2:10" x14ac:dyDescent="0.45">
      <c r="B889" s="8" t="s">
        <v>136</v>
      </c>
      <c r="C889" s="8" t="s">
        <v>101</v>
      </c>
      <c r="D889" s="10">
        <v>8.2852272815097539E-3</v>
      </c>
      <c r="E889" s="8" t="s">
        <v>63</v>
      </c>
      <c r="G889" s="8" t="s">
        <v>156</v>
      </c>
      <c r="H889" s="8" t="s">
        <v>101</v>
      </c>
      <c r="I889" s="12">
        <v>6.3109039545808029E-3</v>
      </c>
      <c r="J889" s="8" t="s">
        <v>63</v>
      </c>
    </row>
    <row r="890" spans="2:10" x14ac:dyDescent="0.45">
      <c r="B890" s="9" t="s">
        <v>136</v>
      </c>
      <c r="C890" s="9" t="s">
        <v>102</v>
      </c>
      <c r="D890" s="11">
        <v>0</v>
      </c>
      <c r="E890" s="9" t="s">
        <v>63</v>
      </c>
      <c r="G890" s="9" t="s">
        <v>156</v>
      </c>
      <c r="H890" s="9" t="s">
        <v>102</v>
      </c>
      <c r="I890" s="13">
        <v>6.645114792992143E-3</v>
      </c>
      <c r="J890" s="9" t="s">
        <v>63</v>
      </c>
    </row>
    <row r="891" spans="2:10" x14ac:dyDescent="0.45">
      <c r="B891" s="8" t="s">
        <v>136</v>
      </c>
      <c r="C891" s="8" t="s">
        <v>103</v>
      </c>
      <c r="D891" s="10">
        <v>0</v>
      </c>
      <c r="E891" s="8" t="s">
        <v>63</v>
      </c>
      <c r="G891" s="8" t="s">
        <v>156</v>
      </c>
      <c r="H891" s="8" t="s">
        <v>103</v>
      </c>
      <c r="I891" s="12">
        <v>2.5307252537065773E-2</v>
      </c>
      <c r="J891" s="8" t="s">
        <v>63</v>
      </c>
    </row>
    <row r="892" spans="2:10" x14ac:dyDescent="0.45">
      <c r="B892" s="9" t="s">
        <v>136</v>
      </c>
      <c r="C892" s="9" t="s">
        <v>104</v>
      </c>
      <c r="D892" s="11">
        <v>1.0319151450300698E-3</v>
      </c>
      <c r="E892" s="9" t="s">
        <v>63</v>
      </c>
      <c r="G892" s="9" t="s">
        <v>156</v>
      </c>
      <c r="H892" s="9" t="s">
        <v>104</v>
      </c>
      <c r="I892" s="13">
        <v>9.4496888006022489E-3</v>
      </c>
      <c r="J892" s="9" t="s">
        <v>63</v>
      </c>
    </row>
    <row r="893" spans="2:10" x14ac:dyDescent="0.45">
      <c r="B893" s="8" t="s">
        <v>136</v>
      </c>
      <c r="C893" s="8" t="s">
        <v>105</v>
      </c>
      <c r="D893" s="10">
        <v>1.7409555971120171E-2</v>
      </c>
      <c r="E893" s="8" t="s">
        <v>63</v>
      </c>
      <c r="G893" s="8" t="s">
        <v>156</v>
      </c>
      <c r="H893" s="8" t="s">
        <v>105</v>
      </c>
      <c r="I893" s="12">
        <v>1.0319345759283073E-2</v>
      </c>
      <c r="J893" s="8" t="s">
        <v>63</v>
      </c>
    </row>
    <row r="894" spans="2:10" x14ac:dyDescent="0.45">
      <c r="B894" s="9" t="s">
        <v>136</v>
      </c>
      <c r="C894" s="9" t="s">
        <v>106</v>
      </c>
      <c r="D894" s="11">
        <v>3.2723785271830549E-2</v>
      </c>
      <c r="E894" s="9" t="s">
        <v>63</v>
      </c>
      <c r="G894" s="9" t="s">
        <v>156</v>
      </c>
      <c r="H894" s="9" t="s">
        <v>106</v>
      </c>
      <c r="I894" s="13">
        <v>1.2075766905090974E-2</v>
      </c>
      <c r="J894" s="9" t="s">
        <v>63</v>
      </c>
    </row>
    <row r="895" spans="2:10" x14ac:dyDescent="0.45">
      <c r="B895" s="8" t="s">
        <v>136</v>
      </c>
      <c r="C895" s="8" t="s">
        <v>107</v>
      </c>
      <c r="D895" s="10">
        <v>3.4628858726351117E-2</v>
      </c>
      <c r="E895" s="8" t="s">
        <v>63</v>
      </c>
      <c r="G895" s="8" t="s">
        <v>156</v>
      </c>
      <c r="H895" s="8" t="s">
        <v>107</v>
      </c>
      <c r="I895" s="12">
        <v>1.2787314394739447E-2</v>
      </c>
      <c r="J895" s="8" t="s">
        <v>63</v>
      </c>
    </row>
    <row r="896" spans="2:10" x14ac:dyDescent="0.45">
      <c r="B896" s="9" t="s">
        <v>136</v>
      </c>
      <c r="C896" s="9" t="s">
        <v>108</v>
      </c>
      <c r="D896" s="11">
        <v>3.5932302974215742E-2</v>
      </c>
      <c r="E896" s="9" t="s">
        <v>63</v>
      </c>
      <c r="G896" s="9" t="s">
        <v>156</v>
      </c>
      <c r="H896" s="9" t="s">
        <v>108</v>
      </c>
      <c r="I896" s="13">
        <v>1.6961873122640393E-2</v>
      </c>
      <c r="J896" s="9" t="s">
        <v>63</v>
      </c>
    </row>
    <row r="897" spans="2:10" x14ac:dyDescent="0.45">
      <c r="B897" s="8" t="s">
        <v>136</v>
      </c>
      <c r="C897" s="8" t="s">
        <v>109</v>
      </c>
      <c r="D897" s="10">
        <v>2.6589271232088322E-2</v>
      </c>
      <c r="E897" s="8" t="s">
        <v>63</v>
      </c>
      <c r="G897" s="8" t="s">
        <v>156</v>
      </c>
      <c r="H897" s="8" t="s">
        <v>109</v>
      </c>
      <c r="I897" s="12">
        <v>1.7349797424173401E-2</v>
      </c>
      <c r="J897" s="8" t="s">
        <v>63</v>
      </c>
    </row>
    <row r="898" spans="2:10" x14ac:dyDescent="0.45">
      <c r="B898" s="9" t="s">
        <v>136</v>
      </c>
      <c r="C898" s="9" t="s">
        <v>110</v>
      </c>
      <c r="D898" s="11">
        <v>8.2288787937961991E-3</v>
      </c>
      <c r="E898" s="9" t="s">
        <v>63</v>
      </c>
      <c r="G898" s="9" t="s">
        <v>156</v>
      </c>
      <c r="H898" s="9" t="s">
        <v>110</v>
      </c>
      <c r="I898" s="13">
        <v>1.6061860981885036E-2</v>
      </c>
      <c r="J898" s="9" t="s">
        <v>63</v>
      </c>
    </row>
    <row r="899" spans="2:10" x14ac:dyDescent="0.45">
      <c r="B899" s="8" t="s">
        <v>136</v>
      </c>
      <c r="C899" s="8" t="s">
        <v>111</v>
      </c>
      <c r="D899" s="10">
        <v>0</v>
      </c>
      <c r="E899" s="8" t="s">
        <v>63</v>
      </c>
      <c r="G899" s="8" t="s">
        <v>156</v>
      </c>
      <c r="H899" s="8" t="s">
        <v>111</v>
      </c>
      <c r="I899" s="12">
        <v>1.5065130348248213E-2</v>
      </c>
      <c r="J899" s="8" t="s">
        <v>63</v>
      </c>
    </row>
    <row r="900" spans="2:10" x14ac:dyDescent="0.45">
      <c r="B900" s="9" t="s">
        <v>136</v>
      </c>
      <c r="C900" s="9" t="s">
        <v>112</v>
      </c>
      <c r="D900" s="11">
        <v>0</v>
      </c>
      <c r="E900" s="9" t="s">
        <v>63</v>
      </c>
      <c r="G900" s="9" t="s">
        <v>156</v>
      </c>
      <c r="H900" s="9" t="s">
        <v>112</v>
      </c>
      <c r="I900" s="13">
        <v>2.0335817485083726E-2</v>
      </c>
      <c r="J900" s="9" t="s">
        <v>63</v>
      </c>
    </row>
    <row r="901" spans="2:10" x14ac:dyDescent="0.45">
      <c r="B901" s="8" t="s">
        <v>136</v>
      </c>
      <c r="C901" s="8" t="s">
        <v>113</v>
      </c>
      <c r="D901" s="10">
        <v>0</v>
      </c>
      <c r="E901" s="8" t="s">
        <v>63</v>
      </c>
      <c r="G901" s="8" t="s">
        <v>156</v>
      </c>
      <c r="H901" s="8" t="s">
        <v>113</v>
      </c>
      <c r="I901" s="12">
        <v>6.6325633067233922E-2</v>
      </c>
      <c r="J901" s="8" t="s">
        <v>63</v>
      </c>
    </row>
    <row r="902" spans="2:10" x14ac:dyDescent="0.45">
      <c r="B902" s="9" t="s">
        <v>136</v>
      </c>
      <c r="C902" s="9" t="s">
        <v>114</v>
      </c>
      <c r="D902" s="11">
        <v>0</v>
      </c>
      <c r="E902" s="9" t="s">
        <v>63</v>
      </c>
      <c r="G902" s="9" t="s">
        <v>156</v>
      </c>
      <c r="H902" s="9" t="s">
        <v>114</v>
      </c>
      <c r="I902" s="13">
        <v>2.6424475870148061E-2</v>
      </c>
      <c r="J902" s="9" t="s">
        <v>63</v>
      </c>
    </row>
    <row r="903" spans="2:10" x14ac:dyDescent="0.45">
      <c r="B903" s="8" t="s">
        <v>136</v>
      </c>
      <c r="C903" s="8" t="s">
        <v>115</v>
      </c>
      <c r="D903" s="10">
        <v>1.3291040221916411E-3</v>
      </c>
      <c r="E903" s="8" t="s">
        <v>63</v>
      </c>
      <c r="G903" s="8" t="s">
        <v>156</v>
      </c>
      <c r="H903" s="8" t="s">
        <v>115</v>
      </c>
      <c r="I903" s="12">
        <v>2.5322416426547929E-2</v>
      </c>
      <c r="J903" s="8" t="s">
        <v>63</v>
      </c>
    </row>
    <row r="904" spans="2:10" x14ac:dyDescent="0.45">
      <c r="B904" s="9" t="s">
        <v>136</v>
      </c>
      <c r="C904" s="9" t="s">
        <v>116</v>
      </c>
      <c r="D904" s="11">
        <v>1.2954462519196314E-2</v>
      </c>
      <c r="E904" s="9" t="s">
        <v>63</v>
      </c>
      <c r="G904" s="9" t="s">
        <v>156</v>
      </c>
      <c r="H904" s="9" t="s">
        <v>116</v>
      </c>
      <c r="I904" s="13">
        <v>2.4195243248951986E-2</v>
      </c>
      <c r="J904" s="9" t="s">
        <v>63</v>
      </c>
    </row>
    <row r="905" spans="2:10" x14ac:dyDescent="0.45">
      <c r="B905" s="8" t="s">
        <v>136</v>
      </c>
      <c r="C905" s="8" t="s">
        <v>117</v>
      </c>
      <c r="D905" s="10">
        <v>1.7034946955093184E-2</v>
      </c>
      <c r="E905" s="8" t="s">
        <v>63</v>
      </c>
      <c r="G905" s="8" t="s">
        <v>156</v>
      </c>
      <c r="H905" s="8" t="s">
        <v>117</v>
      </c>
      <c r="I905" s="12">
        <v>2.1735653801237462E-2</v>
      </c>
      <c r="J905" s="8" t="s">
        <v>63</v>
      </c>
    </row>
    <row r="906" spans="2:10" x14ac:dyDescent="0.45">
      <c r="B906" s="9" t="s">
        <v>136</v>
      </c>
      <c r="C906" s="9" t="s">
        <v>118</v>
      </c>
      <c r="D906" s="11">
        <v>1.9057179871365383E-2</v>
      </c>
      <c r="E906" s="9" t="s">
        <v>63</v>
      </c>
      <c r="G906" s="9" t="s">
        <v>156</v>
      </c>
      <c r="H906" s="9" t="s">
        <v>118</v>
      </c>
      <c r="I906" s="13">
        <v>2.3791602695614665E-2</v>
      </c>
      <c r="J906" s="9" t="s">
        <v>63</v>
      </c>
    </row>
    <row r="907" spans="2:10" x14ac:dyDescent="0.45">
      <c r="B907" s="8" t="s">
        <v>136</v>
      </c>
      <c r="C907" s="8" t="s">
        <v>119</v>
      </c>
      <c r="D907" s="10">
        <v>8.8998734140611022E-3</v>
      </c>
      <c r="E907" s="8" t="s">
        <v>63</v>
      </c>
      <c r="G907" s="8" t="s">
        <v>156</v>
      </c>
      <c r="H907" s="8" t="s">
        <v>119</v>
      </c>
      <c r="I907" s="12">
        <v>2.5506510912139756E-2</v>
      </c>
      <c r="J907" s="8" t="s">
        <v>63</v>
      </c>
    </row>
    <row r="908" spans="2:10" x14ac:dyDescent="0.45">
      <c r="B908" s="9" t="s">
        <v>136</v>
      </c>
      <c r="C908" s="9" t="s">
        <v>120</v>
      </c>
      <c r="D908" s="11">
        <v>0</v>
      </c>
      <c r="E908" s="9" t="s">
        <v>63</v>
      </c>
      <c r="G908" s="9" t="s">
        <v>156</v>
      </c>
      <c r="H908" s="9" t="s">
        <v>120</v>
      </c>
      <c r="I908" s="13">
        <v>2.6720702692017498E-2</v>
      </c>
      <c r="J908" s="9" t="s">
        <v>63</v>
      </c>
    </row>
    <row r="909" spans="2:10" x14ac:dyDescent="0.45">
      <c r="B909" s="8" t="s">
        <v>136</v>
      </c>
      <c r="C909" s="8" t="s">
        <v>121</v>
      </c>
      <c r="D909" s="10">
        <v>0</v>
      </c>
      <c r="E909" s="8" t="s">
        <v>63</v>
      </c>
      <c r="G909" s="8" t="s">
        <v>156</v>
      </c>
      <c r="H909" s="8" t="s">
        <v>121</v>
      </c>
      <c r="I909" s="12">
        <v>2.7309280749686103E-2</v>
      </c>
      <c r="J909" s="8" t="s">
        <v>63</v>
      </c>
    </row>
    <row r="910" spans="2:10" x14ac:dyDescent="0.45">
      <c r="B910" s="9" t="s">
        <v>136</v>
      </c>
      <c r="C910" s="9" t="s">
        <v>122</v>
      </c>
      <c r="D910" s="11">
        <v>0</v>
      </c>
      <c r="E910" s="9" t="s">
        <v>63</v>
      </c>
      <c r="G910" s="9" t="s">
        <v>156</v>
      </c>
      <c r="H910" s="9" t="s">
        <v>122</v>
      </c>
      <c r="I910" s="13">
        <v>3.8887834967087656E-2</v>
      </c>
      <c r="J910" s="9" t="s">
        <v>63</v>
      </c>
    </row>
    <row r="911" spans="2:10" x14ac:dyDescent="0.45">
      <c r="B911" s="8" t="s">
        <v>137</v>
      </c>
      <c r="C911" s="8" t="s">
        <v>62</v>
      </c>
      <c r="D911" s="10">
        <v>0</v>
      </c>
      <c r="E911" s="8" t="s">
        <v>63</v>
      </c>
      <c r="G911" s="8" t="s">
        <v>157</v>
      </c>
      <c r="H911" s="8" t="s">
        <v>62</v>
      </c>
      <c r="I911" s="12">
        <v>3.9106493095034334E-2</v>
      </c>
      <c r="J911" s="8" t="s">
        <v>63</v>
      </c>
    </row>
    <row r="912" spans="2:10" x14ac:dyDescent="0.45">
      <c r="B912" s="9" t="s">
        <v>137</v>
      </c>
      <c r="C912" s="9" t="s">
        <v>64</v>
      </c>
      <c r="D912" s="11">
        <v>0</v>
      </c>
      <c r="E912" s="9" t="s">
        <v>63</v>
      </c>
      <c r="G912" s="9" t="s">
        <v>157</v>
      </c>
      <c r="H912" s="9" t="s">
        <v>64</v>
      </c>
      <c r="I912" s="13">
        <v>1.5379910194423422E-2</v>
      </c>
      <c r="J912" s="9" t="s">
        <v>63</v>
      </c>
    </row>
    <row r="913" spans="2:10" x14ac:dyDescent="0.45">
      <c r="B913" s="8" t="s">
        <v>137</v>
      </c>
      <c r="C913" s="8" t="s">
        <v>65</v>
      </c>
      <c r="D913" s="10">
        <v>8.5942734801638932E-4</v>
      </c>
      <c r="E913" s="8" t="s">
        <v>63</v>
      </c>
      <c r="G913" s="8" t="s">
        <v>157</v>
      </c>
      <c r="H913" s="8" t="s">
        <v>65</v>
      </c>
      <c r="I913" s="12">
        <v>1.5382520203036532E-2</v>
      </c>
      <c r="J913" s="8" t="s">
        <v>63</v>
      </c>
    </row>
    <row r="914" spans="2:10" x14ac:dyDescent="0.45">
      <c r="B914" s="9" t="s">
        <v>137</v>
      </c>
      <c r="C914" s="9" t="s">
        <v>66</v>
      </c>
      <c r="D914" s="11">
        <v>9.7475657257249208E-3</v>
      </c>
      <c r="E914" s="9" t="s">
        <v>63</v>
      </c>
      <c r="G914" s="9" t="s">
        <v>157</v>
      </c>
      <c r="H914" s="9" t="s">
        <v>66</v>
      </c>
      <c r="I914" s="13">
        <v>1.5020908723382876E-2</v>
      </c>
      <c r="J914" s="9" t="s">
        <v>63</v>
      </c>
    </row>
    <row r="915" spans="2:10" x14ac:dyDescent="0.45">
      <c r="B915" s="8" t="s">
        <v>137</v>
      </c>
      <c r="C915" s="8" t="s">
        <v>67</v>
      </c>
      <c r="D915" s="10">
        <v>1.647898387597331E-2</v>
      </c>
      <c r="E915" s="8" t="s">
        <v>63</v>
      </c>
      <c r="G915" s="8" t="s">
        <v>157</v>
      </c>
      <c r="H915" s="8" t="s">
        <v>67</v>
      </c>
      <c r="I915" s="12">
        <v>1.4765169353135413E-2</v>
      </c>
      <c r="J915" s="8" t="s">
        <v>63</v>
      </c>
    </row>
    <row r="916" spans="2:10" x14ac:dyDescent="0.45">
      <c r="B916" s="9" t="s">
        <v>137</v>
      </c>
      <c r="C916" s="9" t="s">
        <v>68</v>
      </c>
      <c r="D916" s="11">
        <v>1.656141519752953E-2</v>
      </c>
      <c r="E916" s="9" t="s">
        <v>63</v>
      </c>
      <c r="G916" s="9" t="s">
        <v>157</v>
      </c>
      <c r="H916" s="9" t="s">
        <v>68</v>
      </c>
      <c r="I916" s="13">
        <v>1.5688425537798544E-2</v>
      </c>
      <c r="J916" s="9" t="s">
        <v>63</v>
      </c>
    </row>
    <row r="917" spans="2:10" x14ac:dyDescent="0.45">
      <c r="B917" s="8" t="s">
        <v>137</v>
      </c>
      <c r="C917" s="8" t="s">
        <v>69</v>
      </c>
      <c r="D917" s="10">
        <v>8.2707677285789854E-3</v>
      </c>
      <c r="E917" s="8" t="s">
        <v>63</v>
      </c>
      <c r="G917" s="8" t="s">
        <v>157</v>
      </c>
      <c r="H917" s="8" t="s">
        <v>69</v>
      </c>
      <c r="I917" s="12">
        <v>1.6340543472468331E-2</v>
      </c>
      <c r="J917" s="8" t="s">
        <v>63</v>
      </c>
    </row>
    <row r="918" spans="2:10" x14ac:dyDescent="0.45">
      <c r="B918" s="9" t="s">
        <v>137</v>
      </c>
      <c r="C918" s="9" t="s">
        <v>70</v>
      </c>
      <c r="D918" s="11">
        <v>6.6194114499329632E-4</v>
      </c>
      <c r="E918" s="9" t="s">
        <v>63</v>
      </c>
      <c r="G918" s="9" t="s">
        <v>157</v>
      </c>
      <c r="H918" s="9" t="s">
        <v>70</v>
      </c>
      <c r="I918" s="13">
        <v>1.7341304148330784E-2</v>
      </c>
      <c r="J918" s="9" t="s">
        <v>63</v>
      </c>
    </row>
    <row r="919" spans="2:10" x14ac:dyDescent="0.45">
      <c r="B919" s="8" t="s">
        <v>137</v>
      </c>
      <c r="C919" s="8" t="s">
        <v>71</v>
      </c>
      <c r="D919" s="10">
        <v>0</v>
      </c>
      <c r="E919" s="8" t="s">
        <v>63</v>
      </c>
      <c r="G919" s="8" t="s">
        <v>157</v>
      </c>
      <c r="H919" s="8" t="s">
        <v>71</v>
      </c>
      <c r="I919" s="12">
        <v>1.7413946715179349E-2</v>
      </c>
      <c r="J919" s="8" t="s">
        <v>63</v>
      </c>
    </row>
    <row r="920" spans="2:10" x14ac:dyDescent="0.45">
      <c r="B920" s="9" t="s">
        <v>137</v>
      </c>
      <c r="C920" s="9" t="s">
        <v>72</v>
      </c>
      <c r="D920" s="11">
        <v>0</v>
      </c>
      <c r="E920" s="9" t="s">
        <v>63</v>
      </c>
      <c r="G920" s="9" t="s">
        <v>157</v>
      </c>
      <c r="H920" s="9" t="s">
        <v>72</v>
      </c>
      <c r="I920" s="13">
        <v>2.5036283897956754E-2</v>
      </c>
      <c r="J920" s="9" t="s">
        <v>63</v>
      </c>
    </row>
    <row r="921" spans="2:10" x14ac:dyDescent="0.45">
      <c r="B921" s="8" t="s">
        <v>137</v>
      </c>
      <c r="C921" s="8" t="s">
        <v>73</v>
      </c>
      <c r="D921" s="10">
        <v>0</v>
      </c>
      <c r="E921" s="8" t="s">
        <v>63</v>
      </c>
      <c r="G921" s="8" t="s">
        <v>157</v>
      </c>
      <c r="H921" s="8" t="s">
        <v>73</v>
      </c>
      <c r="I921" s="12">
        <v>3.9613627300251864E-2</v>
      </c>
      <c r="J921" s="8" t="s">
        <v>63</v>
      </c>
    </row>
    <row r="922" spans="2:10" x14ac:dyDescent="0.45">
      <c r="B922" s="9" t="s">
        <v>137</v>
      </c>
      <c r="C922" s="9" t="s">
        <v>74</v>
      </c>
      <c r="D922" s="11">
        <v>2.8551323564016524E-3</v>
      </c>
      <c r="E922" s="9" t="s">
        <v>63</v>
      </c>
      <c r="G922" s="9" t="s">
        <v>157</v>
      </c>
      <c r="H922" s="9" t="s">
        <v>74</v>
      </c>
      <c r="I922" s="13">
        <v>1.560648553676694E-2</v>
      </c>
      <c r="J922" s="9" t="s">
        <v>63</v>
      </c>
    </row>
    <row r="923" spans="2:10" x14ac:dyDescent="0.45">
      <c r="B923" s="8" t="s">
        <v>137</v>
      </c>
      <c r="C923" s="8" t="s">
        <v>75</v>
      </c>
      <c r="D923" s="10">
        <v>2.3695277186281456E-2</v>
      </c>
      <c r="E923" s="8" t="s">
        <v>63</v>
      </c>
      <c r="G923" s="8" t="s">
        <v>157</v>
      </c>
      <c r="H923" s="8" t="s">
        <v>75</v>
      </c>
      <c r="I923" s="12">
        <v>1.4487992646915611E-2</v>
      </c>
      <c r="J923" s="8" t="s">
        <v>63</v>
      </c>
    </row>
    <row r="924" spans="2:10" x14ac:dyDescent="0.45">
      <c r="B924" s="9" t="s">
        <v>137</v>
      </c>
      <c r="C924" s="9" t="s">
        <v>76</v>
      </c>
      <c r="D924" s="11">
        <v>4.1665231165400031E-2</v>
      </c>
      <c r="E924" s="9" t="s">
        <v>63</v>
      </c>
      <c r="G924" s="9" t="s">
        <v>157</v>
      </c>
      <c r="H924" s="9" t="s">
        <v>76</v>
      </c>
      <c r="I924" s="13">
        <v>1.4830232476143096E-2</v>
      </c>
      <c r="J924" s="9" t="s">
        <v>63</v>
      </c>
    </row>
    <row r="925" spans="2:10" x14ac:dyDescent="0.45">
      <c r="B925" s="8" t="s">
        <v>137</v>
      </c>
      <c r="C925" s="8" t="s">
        <v>77</v>
      </c>
      <c r="D925" s="10">
        <v>4.5380884326859779E-2</v>
      </c>
      <c r="E925" s="8" t="s">
        <v>63</v>
      </c>
      <c r="G925" s="8" t="s">
        <v>157</v>
      </c>
      <c r="H925" s="8" t="s">
        <v>77</v>
      </c>
      <c r="I925" s="12">
        <v>1.3925540800221011E-2</v>
      </c>
      <c r="J925" s="8" t="s">
        <v>63</v>
      </c>
    </row>
    <row r="926" spans="2:10" x14ac:dyDescent="0.45">
      <c r="B926" s="9" t="s">
        <v>137</v>
      </c>
      <c r="C926" s="9" t="s">
        <v>78</v>
      </c>
      <c r="D926" s="11">
        <v>4.3482705831556411E-2</v>
      </c>
      <c r="E926" s="9" t="s">
        <v>63</v>
      </c>
      <c r="G926" s="9" t="s">
        <v>157</v>
      </c>
      <c r="H926" s="9" t="s">
        <v>78</v>
      </c>
      <c r="I926" s="13">
        <v>1.5314315651905407E-2</v>
      </c>
      <c r="J926" s="9" t="s">
        <v>63</v>
      </c>
    </row>
    <row r="927" spans="2:10" x14ac:dyDescent="0.45">
      <c r="B927" s="8" t="s">
        <v>137</v>
      </c>
      <c r="C927" s="8" t="s">
        <v>79</v>
      </c>
      <c r="D927" s="10">
        <v>3.4358189378832234E-2</v>
      </c>
      <c r="E927" s="8" t="s">
        <v>63</v>
      </c>
      <c r="G927" s="8" t="s">
        <v>157</v>
      </c>
      <c r="H927" s="8" t="s">
        <v>79</v>
      </c>
      <c r="I927" s="12">
        <v>1.517708342878102E-2</v>
      </c>
      <c r="J927" s="8" t="s">
        <v>63</v>
      </c>
    </row>
    <row r="928" spans="2:10" x14ac:dyDescent="0.45">
      <c r="B928" s="9" t="s">
        <v>137</v>
      </c>
      <c r="C928" s="9" t="s">
        <v>80</v>
      </c>
      <c r="D928" s="11">
        <v>1.708664536585406E-2</v>
      </c>
      <c r="E928" s="9" t="s">
        <v>63</v>
      </c>
      <c r="G928" s="9" t="s">
        <v>157</v>
      </c>
      <c r="H928" s="9" t="s">
        <v>80</v>
      </c>
      <c r="I928" s="13">
        <v>1.5588467117220823E-2</v>
      </c>
      <c r="J928" s="9" t="s">
        <v>63</v>
      </c>
    </row>
    <row r="929" spans="2:10" x14ac:dyDescent="0.45">
      <c r="B929" s="8" t="s">
        <v>137</v>
      </c>
      <c r="C929" s="8" t="s">
        <v>81</v>
      </c>
      <c r="D929" s="10">
        <v>1.3799589148515768E-3</v>
      </c>
      <c r="E929" s="8" t="s">
        <v>63</v>
      </c>
      <c r="G929" s="8" t="s">
        <v>157</v>
      </c>
      <c r="H929" s="8" t="s">
        <v>81</v>
      </c>
      <c r="I929" s="12">
        <v>1.6637720818982904E-2</v>
      </c>
      <c r="J929" s="8" t="s">
        <v>63</v>
      </c>
    </row>
    <row r="930" spans="2:10" x14ac:dyDescent="0.45">
      <c r="B930" s="9" t="s">
        <v>137</v>
      </c>
      <c r="C930" s="9" t="s">
        <v>82</v>
      </c>
      <c r="D930" s="11">
        <v>0</v>
      </c>
      <c r="E930" s="9" t="s">
        <v>63</v>
      </c>
      <c r="G930" s="9" t="s">
        <v>157</v>
      </c>
      <c r="H930" s="9" t="s">
        <v>82</v>
      </c>
      <c r="I930" s="13">
        <v>2.4080969247594567E-2</v>
      </c>
      <c r="J930" s="9" t="s">
        <v>63</v>
      </c>
    </row>
    <row r="931" spans="2:10" x14ac:dyDescent="0.45">
      <c r="B931" s="8" t="s">
        <v>137</v>
      </c>
      <c r="C931" s="8" t="s">
        <v>83</v>
      </c>
      <c r="D931" s="10">
        <v>0</v>
      </c>
      <c r="E931" s="8" t="s">
        <v>63</v>
      </c>
      <c r="G931" s="8" t="s">
        <v>157</v>
      </c>
      <c r="H931" s="8" t="s">
        <v>83</v>
      </c>
      <c r="I931" s="12">
        <v>1.6433774663200954E-2</v>
      </c>
      <c r="J931" s="8" t="s">
        <v>63</v>
      </c>
    </row>
    <row r="932" spans="2:10" x14ac:dyDescent="0.45">
      <c r="B932" s="9" t="s">
        <v>137</v>
      </c>
      <c r="C932" s="9" t="s">
        <v>84</v>
      </c>
      <c r="D932" s="11">
        <v>1.3760902019288925E-2</v>
      </c>
      <c r="E932" s="9" t="s">
        <v>63</v>
      </c>
      <c r="G932" s="9" t="s">
        <v>157</v>
      </c>
      <c r="H932" s="9" t="s">
        <v>84</v>
      </c>
      <c r="I932" s="13">
        <v>6.6917698964782217E-3</v>
      </c>
      <c r="J932" s="9" t="s">
        <v>63</v>
      </c>
    </row>
    <row r="933" spans="2:10" x14ac:dyDescent="0.45">
      <c r="B933" s="8" t="s">
        <v>137</v>
      </c>
      <c r="C933" s="8" t="s">
        <v>85</v>
      </c>
      <c r="D933" s="10">
        <v>3.3284324344982553E-2</v>
      </c>
      <c r="E933" s="8" t="s">
        <v>63</v>
      </c>
      <c r="G933" s="8" t="s">
        <v>157</v>
      </c>
      <c r="H933" s="8" t="s">
        <v>85</v>
      </c>
      <c r="I933" s="12">
        <v>6.7646627807888557E-3</v>
      </c>
      <c r="J933" s="8" t="s">
        <v>63</v>
      </c>
    </row>
    <row r="934" spans="2:10" x14ac:dyDescent="0.45">
      <c r="B934" s="9" t="s">
        <v>137</v>
      </c>
      <c r="C934" s="9" t="s">
        <v>86</v>
      </c>
      <c r="D934" s="11">
        <v>4.4458993261572224E-2</v>
      </c>
      <c r="E934" s="9" t="s">
        <v>63</v>
      </c>
      <c r="G934" s="9" t="s">
        <v>157</v>
      </c>
      <c r="H934" s="9" t="s">
        <v>86</v>
      </c>
      <c r="I934" s="13">
        <v>7.0256710385058338E-3</v>
      </c>
      <c r="J934" s="9" t="s">
        <v>63</v>
      </c>
    </row>
    <row r="935" spans="2:10" x14ac:dyDescent="0.45">
      <c r="B935" s="8" t="s">
        <v>137</v>
      </c>
      <c r="C935" s="8" t="s">
        <v>87</v>
      </c>
      <c r="D935" s="10">
        <v>4.554830634986462E-2</v>
      </c>
      <c r="E935" s="8" t="s">
        <v>63</v>
      </c>
      <c r="G935" s="8" t="s">
        <v>157</v>
      </c>
      <c r="H935" s="8" t="s">
        <v>87</v>
      </c>
      <c r="I935" s="12">
        <v>5.0321504758725731E-3</v>
      </c>
      <c r="J935" s="8" t="s">
        <v>63</v>
      </c>
    </row>
    <row r="936" spans="2:10" x14ac:dyDescent="0.45">
      <c r="B936" s="9" t="s">
        <v>137</v>
      </c>
      <c r="C936" s="9" t="s">
        <v>88</v>
      </c>
      <c r="D936" s="11">
        <v>4.4044751973072262E-2</v>
      </c>
      <c r="E936" s="9" t="s">
        <v>63</v>
      </c>
      <c r="G936" s="9" t="s">
        <v>157</v>
      </c>
      <c r="H936" s="9" t="s">
        <v>88</v>
      </c>
      <c r="I936" s="13">
        <v>6.2549562906912262E-3</v>
      </c>
      <c r="J936" s="9" t="s">
        <v>63</v>
      </c>
    </row>
    <row r="937" spans="2:10" x14ac:dyDescent="0.45">
      <c r="B937" s="8" t="s">
        <v>137</v>
      </c>
      <c r="C937" s="8" t="s">
        <v>89</v>
      </c>
      <c r="D937" s="10">
        <v>3.70854523276231E-2</v>
      </c>
      <c r="E937" s="8" t="s">
        <v>63</v>
      </c>
      <c r="G937" s="8" t="s">
        <v>157</v>
      </c>
      <c r="H937" s="8" t="s">
        <v>89</v>
      </c>
      <c r="I937" s="12">
        <v>7.1239898451042494E-3</v>
      </c>
      <c r="J937" s="8" t="s">
        <v>63</v>
      </c>
    </row>
    <row r="938" spans="2:10" x14ac:dyDescent="0.45">
      <c r="B938" s="9" t="s">
        <v>137</v>
      </c>
      <c r="C938" s="9" t="s">
        <v>90</v>
      </c>
      <c r="D938" s="11">
        <v>2.3299425587163886E-2</v>
      </c>
      <c r="E938" s="9" t="s">
        <v>63</v>
      </c>
      <c r="G938" s="9" t="s">
        <v>157</v>
      </c>
      <c r="H938" s="9" t="s">
        <v>90</v>
      </c>
      <c r="I938" s="13">
        <v>7.0283121873375596E-3</v>
      </c>
      <c r="J938" s="9" t="s">
        <v>63</v>
      </c>
    </row>
    <row r="939" spans="2:10" x14ac:dyDescent="0.45">
      <c r="B939" s="8" t="s">
        <v>137</v>
      </c>
      <c r="C939" s="8" t="s">
        <v>91</v>
      </c>
      <c r="D939" s="10">
        <v>7.4644405746431795E-3</v>
      </c>
      <c r="E939" s="8" t="s">
        <v>63</v>
      </c>
      <c r="G939" s="8" t="s">
        <v>157</v>
      </c>
      <c r="H939" s="8" t="s">
        <v>91</v>
      </c>
      <c r="I939" s="12">
        <v>7.7586823974157932E-3</v>
      </c>
      <c r="J939" s="8" t="s">
        <v>63</v>
      </c>
    </row>
    <row r="940" spans="2:10" x14ac:dyDescent="0.45">
      <c r="B940" s="9" t="s">
        <v>137</v>
      </c>
      <c r="C940" s="9" t="s">
        <v>92</v>
      </c>
      <c r="D940" s="11">
        <v>0</v>
      </c>
      <c r="E940" s="9" t="s">
        <v>63</v>
      </c>
      <c r="G940" s="9" t="s">
        <v>157</v>
      </c>
      <c r="H940" s="9" t="s">
        <v>92</v>
      </c>
      <c r="I940" s="13">
        <v>1.0900996362472708E-2</v>
      </c>
      <c r="J940" s="9" t="s">
        <v>63</v>
      </c>
    </row>
    <row r="941" spans="2:10" x14ac:dyDescent="0.45">
      <c r="B941" s="8" t="s">
        <v>137</v>
      </c>
      <c r="C941" s="8" t="s">
        <v>93</v>
      </c>
      <c r="D941" s="10">
        <v>0</v>
      </c>
      <c r="E941" s="8" t="s">
        <v>63</v>
      </c>
      <c r="G941" s="8" t="s">
        <v>157</v>
      </c>
      <c r="H941" s="8" t="s">
        <v>93</v>
      </c>
      <c r="I941" s="12">
        <v>1.5955480575208399E-2</v>
      </c>
      <c r="J941" s="8" t="s">
        <v>63</v>
      </c>
    </row>
    <row r="942" spans="2:10" x14ac:dyDescent="0.45">
      <c r="B942" s="9" t="s">
        <v>137</v>
      </c>
      <c r="C942" s="9" t="s">
        <v>94</v>
      </c>
      <c r="D942" s="11">
        <v>1.4693872560174603E-2</v>
      </c>
      <c r="E942" s="9" t="s">
        <v>63</v>
      </c>
      <c r="G942" s="9" t="s">
        <v>157</v>
      </c>
      <c r="H942" s="9" t="s">
        <v>94</v>
      </c>
      <c r="I942" s="13">
        <v>6.2622458850974142E-3</v>
      </c>
      <c r="J942" s="9" t="s">
        <v>63</v>
      </c>
    </row>
    <row r="943" spans="2:10" x14ac:dyDescent="0.45">
      <c r="B943" s="8" t="s">
        <v>137</v>
      </c>
      <c r="C943" s="8" t="s">
        <v>95</v>
      </c>
      <c r="D943" s="10">
        <v>4.0378285294986022E-2</v>
      </c>
      <c r="E943" s="8" t="s">
        <v>63</v>
      </c>
      <c r="G943" s="8" t="s">
        <v>157</v>
      </c>
      <c r="H943" s="8" t="s">
        <v>95</v>
      </c>
      <c r="I943" s="12">
        <v>5.3843135908382559E-3</v>
      </c>
      <c r="J943" s="8" t="s">
        <v>63</v>
      </c>
    </row>
    <row r="944" spans="2:10" x14ac:dyDescent="0.45">
      <c r="B944" s="9" t="s">
        <v>137</v>
      </c>
      <c r="C944" s="9" t="s">
        <v>96</v>
      </c>
      <c r="D944" s="11">
        <v>5.3724313596447242E-2</v>
      </c>
      <c r="E944" s="9" t="s">
        <v>63</v>
      </c>
      <c r="G944" s="9" t="s">
        <v>157</v>
      </c>
      <c r="H944" s="9" t="s">
        <v>96</v>
      </c>
      <c r="I944" s="13">
        <v>6.4609163632629966E-3</v>
      </c>
      <c r="J944" s="9" t="s">
        <v>63</v>
      </c>
    </row>
    <row r="945" spans="2:10" x14ac:dyDescent="0.45">
      <c r="B945" s="8" t="s">
        <v>137</v>
      </c>
      <c r="C945" s="8" t="s">
        <v>97</v>
      </c>
      <c r="D945" s="10">
        <v>5.2561449896511625E-2</v>
      </c>
      <c r="E945" s="8" t="s">
        <v>63</v>
      </c>
      <c r="G945" s="8" t="s">
        <v>157</v>
      </c>
      <c r="H945" s="8" t="s">
        <v>97</v>
      </c>
      <c r="I945" s="12">
        <v>6.048048793492921E-3</v>
      </c>
      <c r="J945" s="8" t="s">
        <v>63</v>
      </c>
    </row>
    <row r="946" spans="2:10" x14ac:dyDescent="0.45">
      <c r="B946" s="9" t="s">
        <v>137</v>
      </c>
      <c r="C946" s="9" t="s">
        <v>98</v>
      </c>
      <c r="D946" s="11">
        <v>4.9075272487393719E-2</v>
      </c>
      <c r="E946" s="9" t="s">
        <v>63</v>
      </c>
      <c r="G946" s="9" t="s">
        <v>157</v>
      </c>
      <c r="H946" s="9" t="s">
        <v>98</v>
      </c>
      <c r="I946" s="13">
        <v>7.4108177245802345E-3</v>
      </c>
      <c r="J946" s="9" t="s">
        <v>63</v>
      </c>
    </row>
    <row r="947" spans="2:10" x14ac:dyDescent="0.45">
      <c r="B947" s="8" t="s">
        <v>137</v>
      </c>
      <c r="C947" s="8" t="s">
        <v>99</v>
      </c>
      <c r="D947" s="10">
        <v>4.3492202663663063E-2</v>
      </c>
      <c r="E947" s="8" t="s">
        <v>63</v>
      </c>
      <c r="G947" s="8" t="s">
        <v>157</v>
      </c>
      <c r="H947" s="8" t="s">
        <v>99</v>
      </c>
      <c r="I947" s="12">
        <v>7.2690508297012218E-3</v>
      </c>
      <c r="J947" s="8" t="s">
        <v>63</v>
      </c>
    </row>
    <row r="948" spans="2:10" x14ac:dyDescent="0.45">
      <c r="B948" s="9" t="s">
        <v>137</v>
      </c>
      <c r="C948" s="9" t="s">
        <v>100</v>
      </c>
      <c r="D948" s="11">
        <v>3.0402896461322541E-2</v>
      </c>
      <c r="E948" s="9" t="s">
        <v>63</v>
      </c>
      <c r="G948" s="9" t="s">
        <v>157</v>
      </c>
      <c r="H948" s="9" t="s">
        <v>100</v>
      </c>
      <c r="I948" s="13">
        <v>6.2357844366478302E-3</v>
      </c>
      <c r="J948" s="9" t="s">
        <v>63</v>
      </c>
    </row>
    <row r="949" spans="2:10" x14ac:dyDescent="0.45">
      <c r="B949" s="8" t="s">
        <v>137</v>
      </c>
      <c r="C949" s="8" t="s">
        <v>101</v>
      </c>
      <c r="D949" s="10">
        <v>8.9880390655974318E-3</v>
      </c>
      <c r="E949" s="8" t="s">
        <v>63</v>
      </c>
      <c r="G949" s="8" t="s">
        <v>157</v>
      </c>
      <c r="H949" s="8" t="s">
        <v>101</v>
      </c>
      <c r="I949" s="12">
        <v>7.0743066857507095E-3</v>
      </c>
      <c r="J949" s="8" t="s">
        <v>63</v>
      </c>
    </row>
    <row r="950" spans="2:10" x14ac:dyDescent="0.45">
      <c r="B950" s="9" t="s">
        <v>137</v>
      </c>
      <c r="C950" s="9" t="s">
        <v>102</v>
      </c>
      <c r="D950" s="11">
        <v>0</v>
      </c>
      <c r="E950" s="9" t="s">
        <v>63</v>
      </c>
      <c r="G950" s="9" t="s">
        <v>157</v>
      </c>
      <c r="H950" s="9" t="s">
        <v>102</v>
      </c>
      <c r="I950" s="13">
        <v>9.9142004712961928E-3</v>
      </c>
      <c r="J950" s="9" t="s">
        <v>63</v>
      </c>
    </row>
    <row r="951" spans="2:10" x14ac:dyDescent="0.45">
      <c r="B951" s="8" t="s">
        <v>137</v>
      </c>
      <c r="C951" s="8" t="s">
        <v>103</v>
      </c>
      <c r="D951" s="10">
        <v>0</v>
      </c>
      <c r="E951" s="8" t="s">
        <v>63</v>
      </c>
      <c r="G951" s="8" t="s">
        <v>157</v>
      </c>
      <c r="H951" s="8" t="s">
        <v>103</v>
      </c>
      <c r="I951" s="12">
        <v>3.6254521417407384E-2</v>
      </c>
      <c r="J951" s="8" t="s">
        <v>63</v>
      </c>
    </row>
    <row r="952" spans="2:10" x14ac:dyDescent="0.45">
      <c r="B952" s="9" t="s">
        <v>137</v>
      </c>
      <c r="C952" s="9" t="s">
        <v>104</v>
      </c>
      <c r="D952" s="11">
        <v>1.2164968810401819E-3</v>
      </c>
      <c r="E952" s="9" t="s">
        <v>63</v>
      </c>
      <c r="G952" s="9" t="s">
        <v>157</v>
      </c>
      <c r="H952" s="9" t="s">
        <v>104</v>
      </c>
      <c r="I952" s="13">
        <v>1.3721234383583254E-2</v>
      </c>
      <c r="J952" s="9" t="s">
        <v>63</v>
      </c>
    </row>
    <row r="953" spans="2:10" x14ac:dyDescent="0.45">
      <c r="B953" s="8" t="s">
        <v>137</v>
      </c>
      <c r="C953" s="8" t="s">
        <v>105</v>
      </c>
      <c r="D953" s="10">
        <v>1.6897178005414411E-2</v>
      </c>
      <c r="E953" s="8" t="s">
        <v>63</v>
      </c>
      <c r="G953" s="8" t="s">
        <v>157</v>
      </c>
      <c r="H953" s="8" t="s">
        <v>105</v>
      </c>
      <c r="I953" s="12">
        <v>1.3470632710172244E-2</v>
      </c>
      <c r="J953" s="8" t="s">
        <v>63</v>
      </c>
    </row>
    <row r="954" spans="2:10" x14ac:dyDescent="0.45">
      <c r="B954" s="9" t="s">
        <v>137</v>
      </c>
      <c r="C954" s="9" t="s">
        <v>106</v>
      </c>
      <c r="D954" s="11">
        <v>3.1859564672413229E-2</v>
      </c>
      <c r="E954" s="9" t="s">
        <v>63</v>
      </c>
      <c r="G954" s="9" t="s">
        <v>157</v>
      </c>
      <c r="H954" s="9" t="s">
        <v>106</v>
      </c>
      <c r="I954" s="13">
        <v>1.3701038137497222E-2</v>
      </c>
      <c r="J954" s="9" t="s">
        <v>63</v>
      </c>
    </row>
    <row r="955" spans="2:10" x14ac:dyDescent="0.45">
      <c r="B955" s="8" t="s">
        <v>137</v>
      </c>
      <c r="C955" s="8" t="s">
        <v>107</v>
      </c>
      <c r="D955" s="10">
        <v>3.4066779708650442E-2</v>
      </c>
      <c r="E955" s="8" t="s">
        <v>63</v>
      </c>
      <c r="G955" s="8" t="s">
        <v>157</v>
      </c>
      <c r="H955" s="8" t="s">
        <v>107</v>
      </c>
      <c r="I955" s="12">
        <v>1.2632461823058943E-2</v>
      </c>
      <c r="J955" s="8" t="s">
        <v>63</v>
      </c>
    </row>
    <row r="956" spans="2:10" x14ac:dyDescent="0.45">
      <c r="B956" s="9" t="s">
        <v>137</v>
      </c>
      <c r="C956" s="9" t="s">
        <v>108</v>
      </c>
      <c r="D956" s="11">
        <v>3.3216410208835451E-2</v>
      </c>
      <c r="E956" s="9" t="s">
        <v>63</v>
      </c>
      <c r="G956" s="9" t="s">
        <v>157</v>
      </c>
      <c r="H956" s="9" t="s">
        <v>108</v>
      </c>
      <c r="I956" s="13">
        <v>1.37837746133432E-2</v>
      </c>
      <c r="J956" s="9" t="s">
        <v>63</v>
      </c>
    </row>
    <row r="957" spans="2:10" x14ac:dyDescent="0.45">
      <c r="B957" s="8" t="s">
        <v>137</v>
      </c>
      <c r="C957" s="8" t="s">
        <v>109</v>
      </c>
      <c r="D957" s="10">
        <v>2.5345606769898617E-2</v>
      </c>
      <c r="E957" s="8" t="s">
        <v>63</v>
      </c>
      <c r="G957" s="8" t="s">
        <v>157</v>
      </c>
      <c r="H957" s="8" t="s">
        <v>109</v>
      </c>
      <c r="I957" s="12">
        <v>1.3943775316032398E-2</v>
      </c>
      <c r="J957" s="8" t="s">
        <v>63</v>
      </c>
    </row>
    <row r="958" spans="2:10" x14ac:dyDescent="0.45">
      <c r="B958" s="9" t="s">
        <v>137</v>
      </c>
      <c r="C958" s="9" t="s">
        <v>110</v>
      </c>
      <c r="D958" s="11">
        <v>7.5377796545978357E-3</v>
      </c>
      <c r="E958" s="9" t="s">
        <v>63</v>
      </c>
      <c r="G958" s="9" t="s">
        <v>157</v>
      </c>
      <c r="H958" s="9" t="s">
        <v>110</v>
      </c>
      <c r="I958" s="13">
        <v>1.4288083116379555E-2</v>
      </c>
      <c r="J958" s="9" t="s">
        <v>63</v>
      </c>
    </row>
    <row r="959" spans="2:10" x14ac:dyDescent="0.45">
      <c r="B959" s="8" t="s">
        <v>137</v>
      </c>
      <c r="C959" s="8" t="s">
        <v>111</v>
      </c>
      <c r="D959" s="10">
        <v>0</v>
      </c>
      <c r="E959" s="8" t="s">
        <v>63</v>
      </c>
      <c r="G959" s="8" t="s">
        <v>157</v>
      </c>
      <c r="H959" s="8" t="s">
        <v>111</v>
      </c>
      <c r="I959" s="12">
        <v>1.5393110485401521E-2</v>
      </c>
      <c r="J959" s="8" t="s">
        <v>63</v>
      </c>
    </row>
    <row r="960" spans="2:10" x14ac:dyDescent="0.45">
      <c r="B960" s="9" t="s">
        <v>137</v>
      </c>
      <c r="C960" s="9" t="s">
        <v>112</v>
      </c>
      <c r="D960" s="11">
        <v>0</v>
      </c>
      <c r="E960" s="9" t="s">
        <v>63</v>
      </c>
      <c r="G960" s="9" t="s">
        <v>157</v>
      </c>
      <c r="H960" s="9" t="s">
        <v>112</v>
      </c>
      <c r="I960" s="13">
        <v>2.3391747867155289E-2</v>
      </c>
      <c r="J960" s="9" t="s">
        <v>63</v>
      </c>
    </row>
    <row r="961" spans="2:10" x14ac:dyDescent="0.45">
      <c r="B961" s="8" t="s">
        <v>137</v>
      </c>
      <c r="C961" s="8" t="s">
        <v>113</v>
      </c>
      <c r="D961" s="10">
        <v>0</v>
      </c>
      <c r="E961" s="8" t="s">
        <v>63</v>
      </c>
      <c r="G961" s="8" t="s">
        <v>157</v>
      </c>
      <c r="H961" s="8" t="s">
        <v>113</v>
      </c>
      <c r="I961" s="12">
        <v>6.1977017269893381E-2</v>
      </c>
      <c r="J961" s="8" t="s">
        <v>63</v>
      </c>
    </row>
    <row r="962" spans="2:10" x14ac:dyDescent="0.45">
      <c r="B962" s="9" t="s">
        <v>137</v>
      </c>
      <c r="C962" s="9" t="s">
        <v>114</v>
      </c>
      <c r="D962" s="11">
        <v>0</v>
      </c>
      <c r="E962" s="9" t="s">
        <v>63</v>
      </c>
      <c r="G962" s="9" t="s">
        <v>157</v>
      </c>
      <c r="H962" s="9" t="s">
        <v>114</v>
      </c>
      <c r="I962" s="13">
        <v>2.5198149534076883E-2</v>
      </c>
      <c r="J962" s="9" t="s">
        <v>63</v>
      </c>
    </row>
    <row r="963" spans="2:10" x14ac:dyDescent="0.45">
      <c r="B963" s="8" t="s">
        <v>137</v>
      </c>
      <c r="C963" s="8" t="s">
        <v>115</v>
      </c>
      <c r="D963" s="10">
        <v>8.6006775561668853E-4</v>
      </c>
      <c r="E963" s="8" t="s">
        <v>63</v>
      </c>
      <c r="G963" s="8" t="s">
        <v>157</v>
      </c>
      <c r="H963" s="8" t="s">
        <v>115</v>
      </c>
      <c r="I963" s="12">
        <v>2.4972726657087767E-2</v>
      </c>
      <c r="J963" s="8" t="s">
        <v>63</v>
      </c>
    </row>
    <row r="964" spans="2:10" x14ac:dyDescent="0.45">
      <c r="B964" s="9" t="s">
        <v>137</v>
      </c>
      <c r="C964" s="9" t="s">
        <v>116</v>
      </c>
      <c r="D964" s="11">
        <v>1.124999566187501E-2</v>
      </c>
      <c r="E964" s="9" t="s">
        <v>63</v>
      </c>
      <c r="G964" s="9" t="s">
        <v>157</v>
      </c>
      <c r="H964" s="9" t="s">
        <v>116</v>
      </c>
      <c r="I964" s="13">
        <v>2.4485997177751195E-2</v>
      </c>
      <c r="J964" s="9" t="s">
        <v>63</v>
      </c>
    </row>
    <row r="965" spans="2:10" x14ac:dyDescent="0.45">
      <c r="B965" s="8" t="s">
        <v>137</v>
      </c>
      <c r="C965" s="8" t="s">
        <v>117</v>
      </c>
      <c r="D965" s="10">
        <v>1.4275617013315336E-2</v>
      </c>
      <c r="E965" s="8" t="s">
        <v>63</v>
      </c>
      <c r="G965" s="8" t="s">
        <v>157</v>
      </c>
      <c r="H965" s="8" t="s">
        <v>117</v>
      </c>
      <c r="I965" s="12">
        <v>2.2990467466690541E-2</v>
      </c>
      <c r="J965" s="8" t="s">
        <v>63</v>
      </c>
    </row>
    <row r="966" spans="2:10" x14ac:dyDescent="0.45">
      <c r="B966" s="9" t="s">
        <v>137</v>
      </c>
      <c r="C966" s="9" t="s">
        <v>118</v>
      </c>
      <c r="D966" s="11">
        <v>1.4083292602920242E-2</v>
      </c>
      <c r="E966" s="9" t="s">
        <v>63</v>
      </c>
      <c r="G966" s="9" t="s">
        <v>157</v>
      </c>
      <c r="H966" s="9" t="s">
        <v>118</v>
      </c>
      <c r="I966" s="13">
        <v>2.2824771003828362E-2</v>
      </c>
      <c r="J966" s="9" t="s">
        <v>63</v>
      </c>
    </row>
    <row r="967" spans="2:10" x14ac:dyDescent="0.45">
      <c r="B967" s="8" t="s">
        <v>137</v>
      </c>
      <c r="C967" s="8" t="s">
        <v>119</v>
      </c>
      <c r="D967" s="10">
        <v>4.6441570542618818E-3</v>
      </c>
      <c r="E967" s="8" t="s">
        <v>63</v>
      </c>
      <c r="G967" s="8" t="s">
        <v>157</v>
      </c>
      <c r="H967" s="8" t="s">
        <v>119</v>
      </c>
      <c r="I967" s="12">
        <v>2.3676097478734989E-2</v>
      </c>
      <c r="J967" s="8" t="s">
        <v>63</v>
      </c>
    </row>
    <row r="968" spans="2:10" x14ac:dyDescent="0.45">
      <c r="B968" s="9" t="s">
        <v>137</v>
      </c>
      <c r="C968" s="9" t="s">
        <v>120</v>
      </c>
      <c r="D968" s="11">
        <v>0</v>
      </c>
      <c r="E968" s="9" t="s">
        <v>63</v>
      </c>
      <c r="G968" s="9" t="s">
        <v>157</v>
      </c>
      <c r="H968" s="9" t="s">
        <v>120</v>
      </c>
      <c r="I968" s="13">
        <v>2.4949365170151266E-2</v>
      </c>
      <c r="J968" s="9" t="s">
        <v>63</v>
      </c>
    </row>
    <row r="969" spans="2:10" x14ac:dyDescent="0.45">
      <c r="B969" s="8" t="s">
        <v>137</v>
      </c>
      <c r="C969" s="8" t="s">
        <v>121</v>
      </c>
      <c r="D969" s="10">
        <v>0</v>
      </c>
      <c r="E969" s="8" t="s">
        <v>63</v>
      </c>
      <c r="G969" s="8" t="s">
        <v>157</v>
      </c>
      <c r="H969" s="8" t="s">
        <v>121</v>
      </c>
      <c r="I969" s="12">
        <v>2.5162625665127954E-2</v>
      </c>
      <c r="J969" s="8" t="s">
        <v>63</v>
      </c>
    </row>
    <row r="970" spans="2:10" x14ac:dyDescent="0.45">
      <c r="B970" s="9" t="s">
        <v>137</v>
      </c>
      <c r="C970" s="9" t="s">
        <v>122</v>
      </c>
      <c r="D970" s="11">
        <v>0</v>
      </c>
      <c r="E970" s="9" t="s">
        <v>63</v>
      </c>
      <c r="G970" s="9" t="s">
        <v>157</v>
      </c>
      <c r="H970" s="9" t="s">
        <v>122</v>
      </c>
      <c r="I970" s="13">
        <v>3.7414331047349002E-2</v>
      </c>
      <c r="J970" s="9" t="s">
        <v>63</v>
      </c>
    </row>
    <row r="971" spans="2:10" x14ac:dyDescent="0.45">
      <c r="B971" s="8" t="s">
        <v>138</v>
      </c>
      <c r="C971" s="8" t="s">
        <v>62</v>
      </c>
      <c r="D971" s="10">
        <v>0</v>
      </c>
      <c r="E971" s="8" t="s">
        <v>63</v>
      </c>
      <c r="G971" s="8" t="s">
        <v>158</v>
      </c>
      <c r="H971" s="8" t="s">
        <v>62</v>
      </c>
      <c r="I971" s="12">
        <v>3.5754498888857705E-2</v>
      </c>
      <c r="J971" s="8" t="s">
        <v>63</v>
      </c>
    </row>
    <row r="972" spans="2:10" x14ac:dyDescent="0.45">
      <c r="B972" s="9" t="s">
        <v>138</v>
      </c>
      <c r="C972" s="9" t="s">
        <v>64</v>
      </c>
      <c r="D972" s="11">
        <v>0</v>
      </c>
      <c r="E972" s="9" t="s">
        <v>63</v>
      </c>
      <c r="G972" s="9" t="s">
        <v>158</v>
      </c>
      <c r="H972" s="9" t="s">
        <v>64</v>
      </c>
      <c r="I972" s="13">
        <v>1.4771985163984907E-2</v>
      </c>
      <c r="J972" s="9" t="s">
        <v>63</v>
      </c>
    </row>
    <row r="973" spans="2:10" x14ac:dyDescent="0.45">
      <c r="B973" s="8" t="s">
        <v>138</v>
      </c>
      <c r="C973" s="8" t="s">
        <v>65</v>
      </c>
      <c r="D973" s="10">
        <v>6.9556965445075557E-4</v>
      </c>
      <c r="E973" s="8" t="s">
        <v>63</v>
      </c>
      <c r="G973" s="8" t="s">
        <v>158</v>
      </c>
      <c r="H973" s="8" t="s">
        <v>65</v>
      </c>
      <c r="I973" s="12">
        <v>1.4999490863554869E-2</v>
      </c>
      <c r="J973" s="8" t="s">
        <v>63</v>
      </c>
    </row>
    <row r="974" spans="2:10" x14ac:dyDescent="0.45">
      <c r="B974" s="9" t="s">
        <v>138</v>
      </c>
      <c r="C974" s="9" t="s">
        <v>66</v>
      </c>
      <c r="D974" s="11">
        <v>9.4829503247442909E-3</v>
      </c>
      <c r="E974" s="9" t="s">
        <v>63</v>
      </c>
      <c r="G974" s="9" t="s">
        <v>158</v>
      </c>
      <c r="H974" s="9" t="s">
        <v>66</v>
      </c>
      <c r="I974" s="13">
        <v>1.4523904618663415E-2</v>
      </c>
      <c r="J974" s="9" t="s">
        <v>63</v>
      </c>
    </row>
    <row r="975" spans="2:10" x14ac:dyDescent="0.45">
      <c r="B975" s="8" t="s">
        <v>138</v>
      </c>
      <c r="C975" s="8" t="s">
        <v>67</v>
      </c>
      <c r="D975" s="10">
        <v>1.6171250685481729E-2</v>
      </c>
      <c r="E975" s="8" t="s">
        <v>63</v>
      </c>
      <c r="G975" s="8" t="s">
        <v>158</v>
      </c>
      <c r="H975" s="8" t="s">
        <v>67</v>
      </c>
      <c r="I975" s="12">
        <v>1.3705587254913788E-2</v>
      </c>
      <c r="J975" s="8" t="s">
        <v>63</v>
      </c>
    </row>
    <row r="976" spans="2:10" x14ac:dyDescent="0.45">
      <c r="B976" s="9" t="s">
        <v>138</v>
      </c>
      <c r="C976" s="9" t="s">
        <v>68</v>
      </c>
      <c r="D976" s="11">
        <v>1.5916811804301649E-2</v>
      </c>
      <c r="E976" s="9" t="s">
        <v>63</v>
      </c>
      <c r="G976" s="9" t="s">
        <v>158</v>
      </c>
      <c r="H976" s="9" t="s">
        <v>68</v>
      </c>
      <c r="I976" s="13">
        <v>1.4754586931125703E-2</v>
      </c>
      <c r="J976" s="9" t="s">
        <v>63</v>
      </c>
    </row>
    <row r="977" spans="2:10" x14ac:dyDescent="0.45">
      <c r="B977" s="8" t="s">
        <v>138</v>
      </c>
      <c r="C977" s="8" t="s">
        <v>69</v>
      </c>
      <c r="D977" s="10">
        <v>8.169775063540323E-3</v>
      </c>
      <c r="E977" s="8" t="s">
        <v>63</v>
      </c>
      <c r="G977" s="8" t="s">
        <v>158</v>
      </c>
      <c r="H977" s="8" t="s">
        <v>69</v>
      </c>
      <c r="I977" s="12">
        <v>1.5368539518580492E-2</v>
      </c>
      <c r="J977" s="8" t="s">
        <v>63</v>
      </c>
    </row>
    <row r="978" spans="2:10" x14ac:dyDescent="0.45">
      <c r="B978" s="9" t="s">
        <v>138</v>
      </c>
      <c r="C978" s="9" t="s">
        <v>70</v>
      </c>
      <c r="D978" s="11">
        <v>6.7834931051908079E-4</v>
      </c>
      <c r="E978" s="9" t="s">
        <v>63</v>
      </c>
      <c r="G978" s="9" t="s">
        <v>158</v>
      </c>
      <c r="H978" s="9" t="s">
        <v>70</v>
      </c>
      <c r="I978" s="13">
        <v>1.6669404905875651E-2</v>
      </c>
      <c r="J978" s="9" t="s">
        <v>63</v>
      </c>
    </row>
    <row r="979" spans="2:10" x14ac:dyDescent="0.45">
      <c r="B979" s="8" t="s">
        <v>138</v>
      </c>
      <c r="C979" s="8" t="s">
        <v>71</v>
      </c>
      <c r="D979" s="10">
        <v>0</v>
      </c>
      <c r="E979" s="8" t="s">
        <v>63</v>
      </c>
      <c r="G979" s="8" t="s">
        <v>158</v>
      </c>
      <c r="H979" s="8" t="s">
        <v>71</v>
      </c>
      <c r="I979" s="12">
        <v>1.6320040977789711E-2</v>
      </c>
      <c r="J979" s="8" t="s">
        <v>63</v>
      </c>
    </row>
    <row r="980" spans="2:10" x14ac:dyDescent="0.45">
      <c r="B980" s="9" t="s">
        <v>138</v>
      </c>
      <c r="C980" s="9" t="s">
        <v>72</v>
      </c>
      <c r="D980" s="11">
        <v>0</v>
      </c>
      <c r="E980" s="9" t="s">
        <v>63</v>
      </c>
      <c r="G980" s="9" t="s">
        <v>158</v>
      </c>
      <c r="H980" s="9" t="s">
        <v>72</v>
      </c>
      <c r="I980" s="13">
        <v>2.2538368345340693E-2</v>
      </c>
      <c r="J980" s="9" t="s">
        <v>63</v>
      </c>
    </row>
    <row r="981" spans="2:10" x14ac:dyDescent="0.45">
      <c r="B981" s="8" t="s">
        <v>138</v>
      </c>
      <c r="C981" s="8" t="s">
        <v>73</v>
      </c>
      <c r="D981" s="10">
        <v>0</v>
      </c>
      <c r="E981" s="8" t="s">
        <v>63</v>
      </c>
      <c r="G981" s="8" t="s">
        <v>158</v>
      </c>
      <c r="H981" s="8" t="s">
        <v>73</v>
      </c>
      <c r="I981" s="12">
        <v>4.1029394665620819E-2</v>
      </c>
      <c r="J981" s="8" t="s">
        <v>63</v>
      </c>
    </row>
    <row r="982" spans="2:10" x14ac:dyDescent="0.45">
      <c r="B982" s="9" t="s">
        <v>138</v>
      </c>
      <c r="C982" s="9" t="s">
        <v>74</v>
      </c>
      <c r="D982" s="11">
        <v>2.9680496664516859E-3</v>
      </c>
      <c r="E982" s="9" t="s">
        <v>63</v>
      </c>
      <c r="G982" s="9" t="s">
        <v>158</v>
      </c>
      <c r="H982" s="9" t="s">
        <v>74</v>
      </c>
      <c r="I982" s="13">
        <v>1.6139981856910377E-2</v>
      </c>
      <c r="J982" s="9" t="s">
        <v>63</v>
      </c>
    </row>
    <row r="983" spans="2:10" x14ac:dyDescent="0.45">
      <c r="B983" s="8" t="s">
        <v>138</v>
      </c>
      <c r="C983" s="8" t="s">
        <v>75</v>
      </c>
      <c r="D983" s="10">
        <v>2.4455606174264791E-2</v>
      </c>
      <c r="E983" s="8" t="s">
        <v>63</v>
      </c>
      <c r="G983" s="8" t="s">
        <v>158</v>
      </c>
      <c r="H983" s="8" t="s">
        <v>75</v>
      </c>
      <c r="I983" s="12">
        <v>1.4955296723313789E-2</v>
      </c>
      <c r="J983" s="8" t="s">
        <v>63</v>
      </c>
    </row>
    <row r="984" spans="2:10" x14ac:dyDescent="0.45">
      <c r="B984" s="9" t="s">
        <v>138</v>
      </c>
      <c r="C984" s="9" t="s">
        <v>76</v>
      </c>
      <c r="D984" s="11">
        <v>4.4103431660043373E-2</v>
      </c>
      <c r="E984" s="9" t="s">
        <v>63</v>
      </c>
      <c r="G984" s="9" t="s">
        <v>158</v>
      </c>
      <c r="H984" s="9" t="s">
        <v>76</v>
      </c>
      <c r="I984" s="13">
        <v>1.5107186123940486E-2</v>
      </c>
      <c r="J984" s="9" t="s">
        <v>63</v>
      </c>
    </row>
    <row r="985" spans="2:10" x14ac:dyDescent="0.45">
      <c r="B985" s="8" t="s">
        <v>138</v>
      </c>
      <c r="C985" s="8" t="s">
        <v>77</v>
      </c>
      <c r="D985" s="10">
        <v>4.7442929273387988E-2</v>
      </c>
      <c r="E985" s="8" t="s">
        <v>63</v>
      </c>
      <c r="G985" s="8" t="s">
        <v>158</v>
      </c>
      <c r="H985" s="8" t="s">
        <v>77</v>
      </c>
      <c r="I985" s="12">
        <v>1.4277929427246188E-2</v>
      </c>
      <c r="J985" s="8" t="s">
        <v>63</v>
      </c>
    </row>
    <row r="986" spans="2:10" x14ac:dyDescent="0.45">
      <c r="B986" s="9" t="s">
        <v>138</v>
      </c>
      <c r="C986" s="9" t="s">
        <v>78</v>
      </c>
      <c r="D986" s="11">
        <v>4.6110342431017533E-2</v>
      </c>
      <c r="E986" s="9" t="s">
        <v>63</v>
      </c>
      <c r="G986" s="9" t="s">
        <v>158</v>
      </c>
      <c r="H986" s="9" t="s">
        <v>78</v>
      </c>
      <c r="I986" s="13">
        <v>1.6061397430538419E-2</v>
      </c>
      <c r="J986" s="9" t="s">
        <v>63</v>
      </c>
    </row>
    <row r="987" spans="2:10" x14ac:dyDescent="0.45">
      <c r="B987" s="8" t="s">
        <v>138</v>
      </c>
      <c r="C987" s="8" t="s">
        <v>79</v>
      </c>
      <c r="D987" s="10">
        <v>3.6619493181127137E-2</v>
      </c>
      <c r="E987" s="8" t="s">
        <v>63</v>
      </c>
      <c r="G987" s="8" t="s">
        <v>158</v>
      </c>
      <c r="H987" s="8" t="s">
        <v>79</v>
      </c>
      <c r="I987" s="12">
        <v>1.5892573222803186E-2</v>
      </c>
      <c r="J987" s="8" t="s">
        <v>63</v>
      </c>
    </row>
    <row r="988" spans="2:10" x14ac:dyDescent="0.45">
      <c r="B988" s="9" t="s">
        <v>138</v>
      </c>
      <c r="C988" s="9" t="s">
        <v>80</v>
      </c>
      <c r="D988" s="11">
        <v>1.8019865929907921E-2</v>
      </c>
      <c r="E988" s="9" t="s">
        <v>63</v>
      </c>
      <c r="G988" s="9" t="s">
        <v>158</v>
      </c>
      <c r="H988" s="9" t="s">
        <v>80</v>
      </c>
      <c r="I988" s="13">
        <v>1.6907728400574133E-2</v>
      </c>
      <c r="J988" s="9" t="s">
        <v>63</v>
      </c>
    </row>
    <row r="989" spans="2:10" x14ac:dyDescent="0.45">
      <c r="B989" s="8" t="s">
        <v>138</v>
      </c>
      <c r="C989" s="8" t="s">
        <v>81</v>
      </c>
      <c r="D989" s="10">
        <v>1.4144308300594096E-3</v>
      </c>
      <c r="E989" s="8" t="s">
        <v>63</v>
      </c>
      <c r="G989" s="8" t="s">
        <v>158</v>
      </c>
      <c r="H989" s="8" t="s">
        <v>81</v>
      </c>
      <c r="I989" s="12">
        <v>1.8353988510571153E-2</v>
      </c>
      <c r="J989" s="8" t="s">
        <v>63</v>
      </c>
    </row>
    <row r="990" spans="2:10" x14ac:dyDescent="0.45">
      <c r="B990" s="9" t="s">
        <v>138</v>
      </c>
      <c r="C990" s="9" t="s">
        <v>82</v>
      </c>
      <c r="D990" s="11">
        <v>0</v>
      </c>
      <c r="E990" s="9" t="s">
        <v>63</v>
      </c>
      <c r="G990" s="9" t="s">
        <v>158</v>
      </c>
      <c r="H990" s="9" t="s">
        <v>82</v>
      </c>
      <c r="I990" s="13">
        <v>2.5892077762681528E-2</v>
      </c>
      <c r="J990" s="9" t="s">
        <v>63</v>
      </c>
    </row>
    <row r="991" spans="2:10" x14ac:dyDescent="0.45">
      <c r="B991" s="8" t="s">
        <v>138</v>
      </c>
      <c r="C991" s="8" t="s">
        <v>83</v>
      </c>
      <c r="D991" s="10">
        <v>6.9977608612445701E-6</v>
      </c>
      <c r="E991" s="8" t="s">
        <v>63</v>
      </c>
      <c r="G991" s="8" t="s">
        <v>158</v>
      </c>
      <c r="H991" s="8" t="s">
        <v>83</v>
      </c>
      <c r="I991" s="12">
        <v>1.9422309796338192E-2</v>
      </c>
      <c r="J991" s="8" t="s">
        <v>63</v>
      </c>
    </row>
    <row r="992" spans="2:10" x14ac:dyDescent="0.45">
      <c r="B992" s="9" t="s">
        <v>138</v>
      </c>
      <c r="C992" s="9" t="s">
        <v>84</v>
      </c>
      <c r="D992" s="11">
        <v>1.5335992900138425E-2</v>
      </c>
      <c r="E992" s="9" t="s">
        <v>63</v>
      </c>
      <c r="G992" s="9" t="s">
        <v>158</v>
      </c>
      <c r="H992" s="9" t="s">
        <v>84</v>
      </c>
      <c r="I992" s="13">
        <v>8.5767903549066188E-3</v>
      </c>
      <c r="J992" s="9" t="s">
        <v>63</v>
      </c>
    </row>
    <row r="993" spans="2:10" x14ac:dyDescent="0.45">
      <c r="B993" s="8" t="s">
        <v>138</v>
      </c>
      <c r="C993" s="8" t="s">
        <v>85</v>
      </c>
      <c r="D993" s="10">
        <v>3.5495496081879366E-2</v>
      </c>
      <c r="E993" s="8" t="s">
        <v>63</v>
      </c>
      <c r="G993" s="8" t="s">
        <v>158</v>
      </c>
      <c r="H993" s="8" t="s">
        <v>85</v>
      </c>
      <c r="I993" s="12">
        <v>8.381444436235997E-3</v>
      </c>
      <c r="J993" s="8" t="s">
        <v>63</v>
      </c>
    </row>
    <row r="994" spans="2:10" x14ac:dyDescent="0.45">
      <c r="B994" s="9" t="s">
        <v>138</v>
      </c>
      <c r="C994" s="9" t="s">
        <v>86</v>
      </c>
      <c r="D994" s="11">
        <v>4.6957737304863856E-2</v>
      </c>
      <c r="E994" s="9" t="s">
        <v>63</v>
      </c>
      <c r="G994" s="9" t="s">
        <v>158</v>
      </c>
      <c r="H994" s="9" t="s">
        <v>86</v>
      </c>
      <c r="I994" s="13">
        <v>9.0389142906143281E-3</v>
      </c>
      <c r="J994" s="9" t="s">
        <v>63</v>
      </c>
    </row>
    <row r="995" spans="2:10" x14ac:dyDescent="0.45">
      <c r="B995" s="8" t="s">
        <v>138</v>
      </c>
      <c r="C995" s="8" t="s">
        <v>87</v>
      </c>
      <c r="D995" s="10">
        <v>4.7859538300811022E-2</v>
      </c>
      <c r="E995" s="8" t="s">
        <v>63</v>
      </c>
      <c r="G995" s="8" t="s">
        <v>158</v>
      </c>
      <c r="H995" s="8" t="s">
        <v>87</v>
      </c>
      <c r="I995" s="12">
        <v>6.4553517203883894E-3</v>
      </c>
      <c r="J995" s="8" t="s">
        <v>63</v>
      </c>
    </row>
    <row r="996" spans="2:10" x14ac:dyDescent="0.45">
      <c r="B996" s="9" t="s">
        <v>138</v>
      </c>
      <c r="C996" s="9" t="s">
        <v>88</v>
      </c>
      <c r="D996" s="11">
        <v>4.5863071151320857E-2</v>
      </c>
      <c r="E996" s="9" t="s">
        <v>63</v>
      </c>
      <c r="G996" s="9" t="s">
        <v>158</v>
      </c>
      <c r="H996" s="9" t="s">
        <v>88</v>
      </c>
      <c r="I996" s="13">
        <v>7.6114763783801335E-3</v>
      </c>
      <c r="J996" s="9" t="s">
        <v>63</v>
      </c>
    </row>
    <row r="997" spans="2:10" x14ac:dyDescent="0.45">
      <c r="B997" s="8" t="s">
        <v>138</v>
      </c>
      <c r="C997" s="8" t="s">
        <v>89</v>
      </c>
      <c r="D997" s="10">
        <v>3.7843382364211413E-2</v>
      </c>
      <c r="E997" s="8" t="s">
        <v>63</v>
      </c>
      <c r="G997" s="8" t="s">
        <v>158</v>
      </c>
      <c r="H997" s="8" t="s">
        <v>89</v>
      </c>
      <c r="I997" s="12">
        <v>8.4048928124350053E-3</v>
      </c>
      <c r="J997" s="8" t="s">
        <v>63</v>
      </c>
    </row>
    <row r="998" spans="2:10" x14ac:dyDescent="0.45">
      <c r="B998" s="9" t="s">
        <v>138</v>
      </c>
      <c r="C998" s="9" t="s">
        <v>90</v>
      </c>
      <c r="D998" s="11">
        <v>2.4320154538684271E-2</v>
      </c>
      <c r="E998" s="9" t="s">
        <v>63</v>
      </c>
      <c r="G998" s="9" t="s">
        <v>158</v>
      </c>
      <c r="H998" s="9" t="s">
        <v>90</v>
      </c>
      <c r="I998" s="13">
        <v>7.6030102958689399E-3</v>
      </c>
      <c r="J998" s="9" t="s">
        <v>63</v>
      </c>
    </row>
    <row r="999" spans="2:10" x14ac:dyDescent="0.45">
      <c r="B999" s="8" t="s">
        <v>138</v>
      </c>
      <c r="C999" s="8" t="s">
        <v>91</v>
      </c>
      <c r="D999" s="10">
        <v>8.1969420811831787E-3</v>
      </c>
      <c r="E999" s="8" t="s">
        <v>63</v>
      </c>
      <c r="G999" s="8" t="s">
        <v>158</v>
      </c>
      <c r="H999" s="8" t="s">
        <v>91</v>
      </c>
      <c r="I999" s="12">
        <v>8.269173432175099E-3</v>
      </c>
      <c r="J999" s="8" t="s">
        <v>63</v>
      </c>
    </row>
    <row r="1000" spans="2:10" x14ac:dyDescent="0.45">
      <c r="B1000" s="9" t="s">
        <v>138</v>
      </c>
      <c r="C1000" s="9" t="s">
        <v>92</v>
      </c>
      <c r="D1000" s="11">
        <v>0</v>
      </c>
      <c r="E1000" s="9" t="s">
        <v>63</v>
      </c>
      <c r="G1000" s="9" t="s">
        <v>158</v>
      </c>
      <c r="H1000" s="9" t="s">
        <v>92</v>
      </c>
      <c r="I1000" s="13">
        <v>1.1545985261933152E-2</v>
      </c>
      <c r="J1000" s="9" t="s">
        <v>63</v>
      </c>
    </row>
    <row r="1001" spans="2:10" x14ac:dyDescent="0.45">
      <c r="B1001" s="8" t="s">
        <v>138</v>
      </c>
      <c r="C1001" s="8" t="s">
        <v>93</v>
      </c>
      <c r="D1001" s="10">
        <v>0</v>
      </c>
      <c r="E1001" s="8" t="s">
        <v>63</v>
      </c>
      <c r="G1001" s="8" t="s">
        <v>158</v>
      </c>
      <c r="H1001" s="8" t="s">
        <v>93</v>
      </c>
      <c r="I1001" s="12">
        <v>1.7679845829508288E-2</v>
      </c>
      <c r="J1001" s="8" t="s">
        <v>63</v>
      </c>
    </row>
    <row r="1002" spans="2:10" x14ac:dyDescent="0.45">
      <c r="B1002" s="9" t="s">
        <v>138</v>
      </c>
      <c r="C1002" s="9" t="s">
        <v>94</v>
      </c>
      <c r="D1002" s="11">
        <v>1.4836803284784017E-2</v>
      </c>
      <c r="E1002" s="9" t="s">
        <v>63</v>
      </c>
      <c r="G1002" s="9" t="s">
        <v>158</v>
      </c>
      <c r="H1002" s="9" t="s">
        <v>94</v>
      </c>
      <c r="I1002" s="13">
        <v>6.5061485241877355E-3</v>
      </c>
      <c r="J1002" s="9" t="s">
        <v>63</v>
      </c>
    </row>
    <row r="1003" spans="2:10" x14ac:dyDescent="0.45">
      <c r="B1003" s="8" t="s">
        <v>138</v>
      </c>
      <c r="C1003" s="8" t="s">
        <v>95</v>
      </c>
      <c r="D1003" s="10">
        <v>3.8693326844171962E-2</v>
      </c>
      <c r="E1003" s="8" t="s">
        <v>63</v>
      </c>
      <c r="G1003" s="8" t="s">
        <v>158</v>
      </c>
      <c r="H1003" s="8" t="s">
        <v>95</v>
      </c>
      <c r="I1003" s="12">
        <v>5.988719131866967E-3</v>
      </c>
      <c r="J1003" s="8" t="s">
        <v>63</v>
      </c>
    </row>
    <row r="1004" spans="2:10" x14ac:dyDescent="0.45">
      <c r="B1004" s="9" t="s">
        <v>138</v>
      </c>
      <c r="C1004" s="9" t="s">
        <v>96</v>
      </c>
      <c r="D1004" s="11">
        <v>5.094058836286821E-2</v>
      </c>
      <c r="E1004" s="9" t="s">
        <v>63</v>
      </c>
      <c r="G1004" s="9" t="s">
        <v>158</v>
      </c>
      <c r="H1004" s="9" t="s">
        <v>96</v>
      </c>
      <c r="I1004" s="13">
        <v>7.1735013445280863E-3</v>
      </c>
      <c r="J1004" s="9" t="s">
        <v>63</v>
      </c>
    </row>
    <row r="1005" spans="2:10" x14ac:dyDescent="0.45">
      <c r="B1005" s="8" t="s">
        <v>138</v>
      </c>
      <c r="C1005" s="8" t="s">
        <v>97</v>
      </c>
      <c r="D1005" s="10">
        <v>5.0700877060738038E-2</v>
      </c>
      <c r="E1005" s="8" t="s">
        <v>63</v>
      </c>
      <c r="G1005" s="8" t="s">
        <v>158</v>
      </c>
      <c r="H1005" s="8" t="s">
        <v>97</v>
      </c>
      <c r="I1005" s="12">
        <v>6.3092635529770243E-3</v>
      </c>
      <c r="J1005" s="8" t="s">
        <v>63</v>
      </c>
    </row>
    <row r="1006" spans="2:10" x14ac:dyDescent="0.45">
      <c r="B1006" s="9" t="s">
        <v>138</v>
      </c>
      <c r="C1006" s="9" t="s">
        <v>98</v>
      </c>
      <c r="D1006" s="11">
        <v>4.7341555025371643E-2</v>
      </c>
      <c r="E1006" s="9" t="s">
        <v>63</v>
      </c>
      <c r="G1006" s="9" t="s">
        <v>158</v>
      </c>
      <c r="H1006" s="9" t="s">
        <v>98</v>
      </c>
      <c r="I1006" s="13">
        <v>7.7668096350757198E-3</v>
      </c>
      <c r="J1006" s="9" t="s">
        <v>63</v>
      </c>
    </row>
    <row r="1007" spans="2:10" x14ac:dyDescent="0.45">
      <c r="B1007" s="8" t="s">
        <v>138</v>
      </c>
      <c r="C1007" s="8" t="s">
        <v>99</v>
      </c>
      <c r="D1007" s="10">
        <v>4.2497197700986519E-2</v>
      </c>
      <c r="E1007" s="8" t="s">
        <v>63</v>
      </c>
      <c r="G1007" s="8" t="s">
        <v>158</v>
      </c>
      <c r="H1007" s="8" t="s">
        <v>99</v>
      </c>
      <c r="I1007" s="12">
        <v>8.9567353708432419E-3</v>
      </c>
      <c r="J1007" s="8" t="s">
        <v>63</v>
      </c>
    </row>
    <row r="1008" spans="2:10" x14ac:dyDescent="0.45">
      <c r="B1008" s="9" t="s">
        <v>138</v>
      </c>
      <c r="C1008" s="9" t="s">
        <v>100</v>
      </c>
      <c r="D1008" s="11">
        <v>2.9108946490122585E-2</v>
      </c>
      <c r="E1008" s="9" t="s">
        <v>63</v>
      </c>
      <c r="G1008" s="9" t="s">
        <v>158</v>
      </c>
      <c r="H1008" s="9" t="s">
        <v>100</v>
      </c>
      <c r="I1008" s="13">
        <v>8.1430060222292613E-3</v>
      </c>
      <c r="J1008" s="9" t="s">
        <v>63</v>
      </c>
    </row>
    <row r="1009" spans="2:10" x14ac:dyDescent="0.45">
      <c r="B1009" s="8" t="s">
        <v>138</v>
      </c>
      <c r="C1009" s="8" t="s">
        <v>101</v>
      </c>
      <c r="D1009" s="10">
        <v>8.8455025422016081E-3</v>
      </c>
      <c r="E1009" s="8" t="s">
        <v>63</v>
      </c>
      <c r="G1009" s="8" t="s">
        <v>158</v>
      </c>
      <c r="H1009" s="8" t="s">
        <v>101</v>
      </c>
      <c r="I1009" s="12">
        <v>8.0470341030179637E-3</v>
      </c>
      <c r="J1009" s="8" t="s">
        <v>63</v>
      </c>
    </row>
    <row r="1010" spans="2:10" x14ac:dyDescent="0.45">
      <c r="B1010" s="9" t="s">
        <v>138</v>
      </c>
      <c r="C1010" s="9" t="s">
        <v>102</v>
      </c>
      <c r="D1010" s="11">
        <v>0</v>
      </c>
      <c r="E1010" s="9" t="s">
        <v>63</v>
      </c>
      <c r="G1010" s="9" t="s">
        <v>158</v>
      </c>
      <c r="H1010" s="9" t="s">
        <v>102</v>
      </c>
      <c r="I1010" s="13">
        <v>1.1624255836486687E-2</v>
      </c>
      <c r="J1010" s="9" t="s">
        <v>63</v>
      </c>
    </row>
    <row r="1011" spans="2:10" x14ac:dyDescent="0.45">
      <c r="B1011" s="8" t="s">
        <v>138</v>
      </c>
      <c r="C1011" s="8" t="s">
        <v>103</v>
      </c>
      <c r="D1011" s="10">
        <v>0</v>
      </c>
      <c r="E1011" s="8" t="s">
        <v>63</v>
      </c>
      <c r="G1011" s="8" t="s">
        <v>158</v>
      </c>
      <c r="H1011" s="8" t="s">
        <v>103</v>
      </c>
      <c r="I1011" s="12">
        <v>3.2437195244563774E-2</v>
      </c>
      <c r="J1011" s="8" t="s">
        <v>63</v>
      </c>
    </row>
    <row r="1012" spans="2:10" x14ac:dyDescent="0.45">
      <c r="B1012" s="9" t="s">
        <v>138</v>
      </c>
      <c r="C1012" s="9" t="s">
        <v>104</v>
      </c>
      <c r="D1012" s="11">
        <v>1.2367901120842041E-3</v>
      </c>
      <c r="E1012" s="9" t="s">
        <v>63</v>
      </c>
      <c r="G1012" s="9" t="s">
        <v>158</v>
      </c>
      <c r="H1012" s="9" t="s">
        <v>104</v>
      </c>
      <c r="I1012" s="13">
        <v>1.1852878507053459E-2</v>
      </c>
      <c r="J1012" s="9" t="s">
        <v>63</v>
      </c>
    </row>
    <row r="1013" spans="2:10" x14ac:dyDescent="0.45">
      <c r="B1013" s="8" t="s">
        <v>138</v>
      </c>
      <c r="C1013" s="8" t="s">
        <v>105</v>
      </c>
      <c r="D1013" s="10">
        <v>1.6879068017875046E-2</v>
      </c>
      <c r="E1013" s="8" t="s">
        <v>63</v>
      </c>
      <c r="G1013" s="8" t="s">
        <v>158</v>
      </c>
      <c r="H1013" s="8" t="s">
        <v>105</v>
      </c>
      <c r="I1013" s="12">
        <v>1.2416434119830854E-2</v>
      </c>
      <c r="J1013" s="8" t="s">
        <v>63</v>
      </c>
    </row>
    <row r="1014" spans="2:10" x14ac:dyDescent="0.45">
      <c r="B1014" s="9" t="s">
        <v>138</v>
      </c>
      <c r="C1014" s="9" t="s">
        <v>106</v>
      </c>
      <c r="D1014" s="11">
        <v>3.1135751769480288E-2</v>
      </c>
      <c r="E1014" s="9" t="s">
        <v>63</v>
      </c>
      <c r="G1014" s="9" t="s">
        <v>158</v>
      </c>
      <c r="H1014" s="9" t="s">
        <v>106</v>
      </c>
      <c r="I1014" s="13">
        <v>1.2626398531146311E-2</v>
      </c>
      <c r="J1014" s="9" t="s">
        <v>63</v>
      </c>
    </row>
    <row r="1015" spans="2:10" x14ac:dyDescent="0.45">
      <c r="B1015" s="8" t="s">
        <v>138</v>
      </c>
      <c r="C1015" s="8" t="s">
        <v>107</v>
      </c>
      <c r="D1015" s="10">
        <v>3.2188073393425755E-2</v>
      </c>
      <c r="E1015" s="8" t="s">
        <v>63</v>
      </c>
      <c r="G1015" s="8" t="s">
        <v>158</v>
      </c>
      <c r="H1015" s="8" t="s">
        <v>107</v>
      </c>
      <c r="I1015" s="12">
        <v>1.212593643667456E-2</v>
      </c>
      <c r="J1015" s="8" t="s">
        <v>63</v>
      </c>
    </row>
    <row r="1016" spans="2:10" x14ac:dyDescent="0.45">
      <c r="B1016" s="9" t="s">
        <v>138</v>
      </c>
      <c r="C1016" s="9" t="s">
        <v>108</v>
      </c>
      <c r="D1016" s="11">
        <v>3.1458623982403101E-2</v>
      </c>
      <c r="E1016" s="9" t="s">
        <v>63</v>
      </c>
      <c r="G1016" s="9" t="s">
        <v>158</v>
      </c>
      <c r="H1016" s="9" t="s">
        <v>108</v>
      </c>
      <c r="I1016" s="13">
        <v>1.3971180777581558E-2</v>
      </c>
      <c r="J1016" s="9" t="s">
        <v>63</v>
      </c>
    </row>
    <row r="1017" spans="2:10" x14ac:dyDescent="0.45">
      <c r="B1017" s="8" t="s">
        <v>138</v>
      </c>
      <c r="C1017" s="8" t="s">
        <v>109</v>
      </c>
      <c r="D1017" s="10">
        <v>2.3413800662215472E-2</v>
      </c>
      <c r="E1017" s="8" t="s">
        <v>63</v>
      </c>
      <c r="G1017" s="8" t="s">
        <v>158</v>
      </c>
      <c r="H1017" s="8" t="s">
        <v>109</v>
      </c>
      <c r="I1017" s="12">
        <v>1.4695163610580125E-2</v>
      </c>
      <c r="J1017" s="8" t="s">
        <v>63</v>
      </c>
    </row>
    <row r="1018" spans="2:10" x14ac:dyDescent="0.45">
      <c r="B1018" s="9" t="s">
        <v>138</v>
      </c>
      <c r="C1018" s="9" t="s">
        <v>110</v>
      </c>
      <c r="D1018" s="11">
        <v>7.6465007749158109E-3</v>
      </c>
      <c r="E1018" s="9" t="s">
        <v>63</v>
      </c>
      <c r="G1018" s="9" t="s">
        <v>158</v>
      </c>
      <c r="H1018" s="9" t="s">
        <v>110</v>
      </c>
      <c r="I1018" s="13">
        <v>1.6694098905481739E-2</v>
      </c>
      <c r="J1018" s="9" t="s">
        <v>63</v>
      </c>
    </row>
    <row r="1019" spans="2:10" x14ac:dyDescent="0.45">
      <c r="B1019" s="8" t="s">
        <v>138</v>
      </c>
      <c r="C1019" s="8" t="s">
        <v>111</v>
      </c>
      <c r="D1019" s="10">
        <v>0</v>
      </c>
      <c r="E1019" s="8" t="s">
        <v>63</v>
      </c>
      <c r="G1019" s="8" t="s">
        <v>158</v>
      </c>
      <c r="H1019" s="8" t="s">
        <v>111</v>
      </c>
      <c r="I1019" s="12">
        <v>1.7221891799189617E-2</v>
      </c>
      <c r="J1019" s="8" t="s">
        <v>63</v>
      </c>
    </row>
    <row r="1020" spans="2:10" x14ac:dyDescent="0.45">
      <c r="B1020" s="9" t="s">
        <v>138</v>
      </c>
      <c r="C1020" s="9" t="s">
        <v>112</v>
      </c>
      <c r="D1020" s="11">
        <v>0</v>
      </c>
      <c r="E1020" s="9" t="s">
        <v>63</v>
      </c>
      <c r="G1020" s="9" t="s">
        <v>158</v>
      </c>
      <c r="H1020" s="9" t="s">
        <v>112</v>
      </c>
      <c r="I1020" s="13">
        <v>2.396174401765129E-2</v>
      </c>
      <c r="J1020" s="9" t="s">
        <v>63</v>
      </c>
    </row>
    <row r="1021" spans="2:10" x14ac:dyDescent="0.45">
      <c r="B1021" s="8" t="s">
        <v>138</v>
      </c>
      <c r="C1021" s="8" t="s">
        <v>113</v>
      </c>
      <c r="D1021" s="10">
        <v>0</v>
      </c>
      <c r="E1021" s="8" t="s">
        <v>63</v>
      </c>
      <c r="G1021" s="8" t="s">
        <v>158</v>
      </c>
      <c r="H1021" s="8" t="s">
        <v>113</v>
      </c>
      <c r="I1021" s="12">
        <v>5.8669945847267917E-2</v>
      </c>
      <c r="J1021" s="8" t="s">
        <v>63</v>
      </c>
    </row>
    <row r="1022" spans="2:10" x14ac:dyDescent="0.45">
      <c r="B1022" s="9" t="s">
        <v>138</v>
      </c>
      <c r="C1022" s="9" t="s">
        <v>114</v>
      </c>
      <c r="D1022" s="11">
        <v>0</v>
      </c>
      <c r="E1022" s="9" t="s">
        <v>63</v>
      </c>
      <c r="G1022" s="9" t="s">
        <v>158</v>
      </c>
      <c r="H1022" s="9" t="s">
        <v>114</v>
      </c>
      <c r="I1022" s="13">
        <v>2.3746882065559742E-2</v>
      </c>
      <c r="J1022" s="9" t="s">
        <v>63</v>
      </c>
    </row>
    <row r="1023" spans="2:10" x14ac:dyDescent="0.45">
      <c r="B1023" s="8" t="s">
        <v>138</v>
      </c>
      <c r="C1023" s="8" t="s">
        <v>115</v>
      </c>
      <c r="D1023" s="10">
        <v>7.0947580314271487E-4</v>
      </c>
      <c r="E1023" s="8" t="s">
        <v>63</v>
      </c>
      <c r="G1023" s="8" t="s">
        <v>158</v>
      </c>
      <c r="H1023" s="8" t="s">
        <v>115</v>
      </c>
      <c r="I1023" s="12">
        <v>2.3019204915143119E-2</v>
      </c>
      <c r="J1023" s="8" t="s">
        <v>63</v>
      </c>
    </row>
    <row r="1024" spans="2:10" x14ac:dyDescent="0.45">
      <c r="B1024" s="9" t="s">
        <v>138</v>
      </c>
      <c r="C1024" s="9" t="s">
        <v>116</v>
      </c>
      <c r="D1024" s="11">
        <v>1.0158927940109704E-2</v>
      </c>
      <c r="E1024" s="9" t="s">
        <v>63</v>
      </c>
      <c r="G1024" s="9" t="s">
        <v>158</v>
      </c>
      <c r="H1024" s="9" t="s">
        <v>116</v>
      </c>
      <c r="I1024" s="13">
        <v>2.1819885304583814E-2</v>
      </c>
      <c r="J1024" s="9" t="s">
        <v>63</v>
      </c>
    </row>
    <row r="1025" spans="2:10" x14ac:dyDescent="0.45">
      <c r="B1025" s="8" t="s">
        <v>138</v>
      </c>
      <c r="C1025" s="8" t="s">
        <v>117</v>
      </c>
      <c r="D1025" s="10">
        <v>1.3034573557898374E-2</v>
      </c>
      <c r="E1025" s="8" t="s">
        <v>63</v>
      </c>
      <c r="G1025" s="8" t="s">
        <v>158</v>
      </c>
      <c r="H1025" s="8" t="s">
        <v>117</v>
      </c>
      <c r="I1025" s="12">
        <v>2.0158983504024095E-2</v>
      </c>
      <c r="J1025" s="8" t="s">
        <v>63</v>
      </c>
    </row>
    <row r="1026" spans="2:10" x14ac:dyDescent="0.45">
      <c r="B1026" s="9" t="s">
        <v>138</v>
      </c>
      <c r="C1026" s="9" t="s">
        <v>118</v>
      </c>
      <c r="D1026" s="11">
        <v>1.1667488931901211E-2</v>
      </c>
      <c r="E1026" s="9" t="s">
        <v>63</v>
      </c>
      <c r="G1026" s="9" t="s">
        <v>158</v>
      </c>
      <c r="H1026" s="9" t="s">
        <v>118</v>
      </c>
      <c r="I1026" s="13">
        <v>2.1260015287527103E-2</v>
      </c>
      <c r="J1026" s="9" t="s">
        <v>63</v>
      </c>
    </row>
    <row r="1027" spans="2:10" x14ac:dyDescent="0.45">
      <c r="B1027" s="8" t="s">
        <v>138</v>
      </c>
      <c r="C1027" s="8" t="s">
        <v>119</v>
      </c>
      <c r="D1027" s="10">
        <v>3.3779592700530258E-3</v>
      </c>
      <c r="E1027" s="8" t="s">
        <v>63</v>
      </c>
      <c r="G1027" s="8" t="s">
        <v>158</v>
      </c>
      <c r="H1027" s="8" t="s">
        <v>119</v>
      </c>
      <c r="I1027" s="12">
        <v>2.2612595457264108E-2</v>
      </c>
      <c r="J1027" s="8" t="s">
        <v>63</v>
      </c>
    </row>
    <row r="1028" spans="2:10" x14ac:dyDescent="0.45">
      <c r="B1028" s="9" t="s">
        <v>138</v>
      </c>
      <c r="C1028" s="9" t="s">
        <v>120</v>
      </c>
      <c r="D1028" s="11">
        <v>0</v>
      </c>
      <c r="E1028" s="9" t="s">
        <v>63</v>
      </c>
      <c r="G1028" s="9" t="s">
        <v>158</v>
      </c>
      <c r="H1028" s="9" t="s">
        <v>120</v>
      </c>
      <c r="I1028" s="13">
        <v>2.3560482471040631E-2</v>
      </c>
      <c r="J1028" s="9" t="s">
        <v>63</v>
      </c>
    </row>
    <row r="1029" spans="2:10" x14ac:dyDescent="0.45">
      <c r="B1029" s="8" t="s">
        <v>138</v>
      </c>
      <c r="C1029" s="8" t="s">
        <v>121</v>
      </c>
      <c r="D1029" s="10">
        <v>0</v>
      </c>
      <c r="E1029" s="8" t="s">
        <v>63</v>
      </c>
      <c r="G1029" s="8" t="s">
        <v>158</v>
      </c>
      <c r="H1029" s="8" t="s">
        <v>121</v>
      </c>
      <c r="I1029" s="12">
        <v>2.4001530115414439E-2</v>
      </c>
      <c r="J1029" s="8" t="s">
        <v>63</v>
      </c>
    </row>
    <row r="1030" spans="2:10" x14ac:dyDescent="0.45">
      <c r="B1030" s="9" t="s">
        <v>138</v>
      </c>
      <c r="C1030" s="9" t="s">
        <v>122</v>
      </c>
      <c r="D1030" s="11">
        <v>0</v>
      </c>
      <c r="E1030" s="9" t="s">
        <v>63</v>
      </c>
      <c r="G1030" s="9" t="s">
        <v>158</v>
      </c>
      <c r="H1030" s="9" t="s">
        <v>122</v>
      </c>
      <c r="I1030" s="13">
        <v>3.5618923359535787E-2</v>
      </c>
      <c r="J1030" s="9" t="s">
        <v>63</v>
      </c>
    </row>
    <row r="1031" spans="2:10" x14ac:dyDescent="0.45">
      <c r="B1031" s="8" t="s">
        <v>139</v>
      </c>
      <c r="C1031" s="8" t="s">
        <v>62</v>
      </c>
      <c r="D1031" s="10">
        <v>0</v>
      </c>
      <c r="E1031" s="8" t="s">
        <v>63</v>
      </c>
      <c r="G1031" s="8" t="s">
        <v>159</v>
      </c>
      <c r="H1031" s="8" t="s">
        <v>62</v>
      </c>
      <c r="I1031" s="12">
        <v>3.5733599454028202E-2</v>
      </c>
      <c r="J1031" s="8" t="s">
        <v>63</v>
      </c>
    </row>
    <row r="1032" spans="2:10" x14ac:dyDescent="0.45">
      <c r="B1032" s="9" t="s">
        <v>139</v>
      </c>
      <c r="C1032" s="9" t="s">
        <v>64</v>
      </c>
      <c r="D1032" s="11">
        <v>0</v>
      </c>
      <c r="E1032" s="9" t="s">
        <v>63</v>
      </c>
      <c r="G1032" s="9" t="s">
        <v>159</v>
      </c>
      <c r="H1032" s="9" t="s">
        <v>64</v>
      </c>
      <c r="I1032" s="13">
        <v>1.4840584834224388E-2</v>
      </c>
      <c r="J1032" s="9" t="s">
        <v>63</v>
      </c>
    </row>
    <row r="1033" spans="2:10" x14ac:dyDescent="0.45">
      <c r="B1033" s="8" t="s">
        <v>139</v>
      </c>
      <c r="C1033" s="8" t="s">
        <v>65</v>
      </c>
      <c r="D1033" s="10">
        <v>1.0062934291106042E-3</v>
      </c>
      <c r="E1033" s="8" t="s">
        <v>63</v>
      </c>
      <c r="G1033" s="8" t="s">
        <v>159</v>
      </c>
      <c r="H1033" s="8" t="s">
        <v>65</v>
      </c>
      <c r="I1033" s="12">
        <v>1.4658430152782247E-2</v>
      </c>
      <c r="J1033" s="8" t="s">
        <v>63</v>
      </c>
    </row>
    <row r="1034" spans="2:10" x14ac:dyDescent="0.45">
      <c r="B1034" s="9" t="s">
        <v>139</v>
      </c>
      <c r="C1034" s="9" t="s">
        <v>66</v>
      </c>
      <c r="D1034" s="11">
        <v>1.1038887131103856E-2</v>
      </c>
      <c r="E1034" s="9" t="s">
        <v>63</v>
      </c>
      <c r="G1034" s="9" t="s">
        <v>159</v>
      </c>
      <c r="H1034" s="9" t="s">
        <v>66</v>
      </c>
      <c r="I1034" s="13">
        <v>1.4870320071389978E-2</v>
      </c>
      <c r="J1034" s="9" t="s">
        <v>63</v>
      </c>
    </row>
    <row r="1035" spans="2:10" x14ac:dyDescent="0.45">
      <c r="B1035" s="8" t="s">
        <v>139</v>
      </c>
      <c r="C1035" s="8" t="s">
        <v>67</v>
      </c>
      <c r="D1035" s="10">
        <v>1.7293384846390605E-2</v>
      </c>
      <c r="E1035" s="8" t="s">
        <v>63</v>
      </c>
      <c r="G1035" s="8" t="s">
        <v>159</v>
      </c>
      <c r="H1035" s="8" t="s">
        <v>67</v>
      </c>
      <c r="I1035" s="12">
        <v>1.4364989013882598E-2</v>
      </c>
      <c r="J1035" s="8" t="s">
        <v>63</v>
      </c>
    </row>
    <row r="1036" spans="2:10" x14ac:dyDescent="0.45">
      <c r="B1036" s="9" t="s">
        <v>139</v>
      </c>
      <c r="C1036" s="9" t="s">
        <v>68</v>
      </c>
      <c r="D1036" s="11">
        <v>1.6069435185591653E-2</v>
      </c>
      <c r="E1036" s="9" t="s">
        <v>63</v>
      </c>
      <c r="G1036" s="9" t="s">
        <v>159</v>
      </c>
      <c r="H1036" s="9" t="s">
        <v>68</v>
      </c>
      <c r="I1036" s="13">
        <v>1.5311511654450423E-2</v>
      </c>
      <c r="J1036" s="9" t="s">
        <v>63</v>
      </c>
    </row>
    <row r="1037" spans="2:10" x14ac:dyDescent="0.45">
      <c r="B1037" s="8" t="s">
        <v>139</v>
      </c>
      <c r="C1037" s="8" t="s">
        <v>69</v>
      </c>
      <c r="D1037" s="10">
        <v>7.5869548971684488E-3</v>
      </c>
      <c r="E1037" s="8" t="s">
        <v>63</v>
      </c>
      <c r="G1037" s="8" t="s">
        <v>159</v>
      </c>
      <c r="H1037" s="8" t="s">
        <v>69</v>
      </c>
      <c r="I1037" s="12">
        <v>1.5782788147379587E-2</v>
      </c>
      <c r="J1037" s="8" t="s">
        <v>63</v>
      </c>
    </row>
    <row r="1038" spans="2:10" x14ac:dyDescent="0.45">
      <c r="B1038" s="9" t="s">
        <v>139</v>
      </c>
      <c r="C1038" s="9" t="s">
        <v>70</v>
      </c>
      <c r="D1038" s="11">
        <v>5.5385951073383313E-4</v>
      </c>
      <c r="E1038" s="9" t="s">
        <v>63</v>
      </c>
      <c r="G1038" s="9" t="s">
        <v>159</v>
      </c>
      <c r="H1038" s="9" t="s">
        <v>70</v>
      </c>
      <c r="I1038" s="13">
        <v>1.6028134611248898E-2</v>
      </c>
      <c r="J1038" s="9" t="s">
        <v>63</v>
      </c>
    </row>
    <row r="1039" spans="2:10" x14ac:dyDescent="0.45">
      <c r="B1039" s="8" t="s">
        <v>139</v>
      </c>
      <c r="C1039" s="8" t="s">
        <v>71</v>
      </c>
      <c r="D1039" s="10">
        <v>0</v>
      </c>
      <c r="E1039" s="8" t="s">
        <v>63</v>
      </c>
      <c r="G1039" s="8" t="s">
        <v>159</v>
      </c>
      <c r="H1039" s="8" t="s">
        <v>71</v>
      </c>
      <c r="I1039" s="12">
        <v>1.6102451901880439E-2</v>
      </c>
      <c r="J1039" s="8" t="s">
        <v>63</v>
      </c>
    </row>
    <row r="1040" spans="2:10" x14ac:dyDescent="0.45">
      <c r="B1040" s="9" t="s">
        <v>139</v>
      </c>
      <c r="C1040" s="9" t="s">
        <v>72</v>
      </c>
      <c r="D1040" s="11">
        <v>0</v>
      </c>
      <c r="E1040" s="9" t="s">
        <v>63</v>
      </c>
      <c r="G1040" s="9" t="s">
        <v>159</v>
      </c>
      <c r="H1040" s="9" t="s">
        <v>72</v>
      </c>
      <c r="I1040" s="13">
        <v>2.2536925630682283E-2</v>
      </c>
      <c r="J1040" s="9" t="s">
        <v>63</v>
      </c>
    </row>
    <row r="1041" spans="2:10" x14ac:dyDescent="0.45">
      <c r="B1041" s="8" t="s">
        <v>139</v>
      </c>
      <c r="C1041" s="8" t="s">
        <v>73</v>
      </c>
      <c r="D1041" s="10">
        <v>0</v>
      </c>
      <c r="E1041" s="8" t="s">
        <v>63</v>
      </c>
      <c r="G1041" s="8" t="s">
        <v>159</v>
      </c>
      <c r="H1041" s="8" t="s">
        <v>73</v>
      </c>
      <c r="I1041" s="12">
        <v>3.4384118772205929E-2</v>
      </c>
      <c r="J1041" s="8" t="s">
        <v>63</v>
      </c>
    </row>
    <row r="1042" spans="2:10" x14ac:dyDescent="0.45">
      <c r="B1042" s="9" t="s">
        <v>139</v>
      </c>
      <c r="C1042" s="9" t="s">
        <v>74</v>
      </c>
      <c r="D1042" s="11">
        <v>4.0469143974148662E-3</v>
      </c>
      <c r="E1042" s="9" t="s">
        <v>63</v>
      </c>
      <c r="G1042" s="9" t="s">
        <v>159</v>
      </c>
      <c r="H1042" s="9" t="s">
        <v>74</v>
      </c>
      <c r="I1042" s="13">
        <v>1.3782736693488352E-2</v>
      </c>
      <c r="J1042" s="9" t="s">
        <v>63</v>
      </c>
    </row>
    <row r="1043" spans="2:10" x14ac:dyDescent="0.45">
      <c r="B1043" s="8" t="s">
        <v>139</v>
      </c>
      <c r="C1043" s="8" t="s">
        <v>75</v>
      </c>
      <c r="D1043" s="10">
        <v>2.6293041481148378E-2</v>
      </c>
      <c r="E1043" s="8" t="s">
        <v>63</v>
      </c>
      <c r="G1043" s="8" t="s">
        <v>159</v>
      </c>
      <c r="H1043" s="8" t="s">
        <v>75</v>
      </c>
      <c r="I1043" s="12">
        <v>1.3332689025361241E-2</v>
      </c>
      <c r="J1043" s="8" t="s">
        <v>63</v>
      </c>
    </row>
    <row r="1044" spans="2:10" x14ac:dyDescent="0.45">
      <c r="B1044" s="9" t="s">
        <v>139</v>
      </c>
      <c r="C1044" s="9" t="s">
        <v>76</v>
      </c>
      <c r="D1044" s="11">
        <v>4.1950310660362596E-2</v>
      </c>
      <c r="E1044" s="9" t="s">
        <v>63</v>
      </c>
      <c r="G1044" s="9" t="s">
        <v>159</v>
      </c>
      <c r="H1044" s="9" t="s">
        <v>76</v>
      </c>
      <c r="I1044" s="13">
        <v>1.4380926067470145E-2</v>
      </c>
      <c r="J1044" s="9" t="s">
        <v>63</v>
      </c>
    </row>
    <row r="1045" spans="2:10" x14ac:dyDescent="0.45">
      <c r="B1045" s="8" t="s">
        <v>139</v>
      </c>
      <c r="C1045" s="8" t="s">
        <v>77</v>
      </c>
      <c r="D1045" s="10">
        <v>4.3906742577475823E-2</v>
      </c>
      <c r="E1045" s="8" t="s">
        <v>63</v>
      </c>
      <c r="G1045" s="8" t="s">
        <v>159</v>
      </c>
      <c r="H1045" s="8" t="s">
        <v>77</v>
      </c>
      <c r="I1045" s="12">
        <v>1.4181078606284602E-2</v>
      </c>
      <c r="J1045" s="8" t="s">
        <v>63</v>
      </c>
    </row>
    <row r="1046" spans="2:10" x14ac:dyDescent="0.45">
      <c r="B1046" s="9" t="s">
        <v>139</v>
      </c>
      <c r="C1046" s="9" t="s">
        <v>78</v>
      </c>
      <c r="D1046" s="11">
        <v>4.2529331129918697E-2</v>
      </c>
      <c r="E1046" s="9" t="s">
        <v>63</v>
      </c>
      <c r="G1046" s="9" t="s">
        <v>159</v>
      </c>
      <c r="H1046" s="9" t="s">
        <v>78</v>
      </c>
      <c r="I1046" s="13">
        <v>1.6192958924977907E-2</v>
      </c>
      <c r="J1046" s="9" t="s">
        <v>63</v>
      </c>
    </row>
    <row r="1047" spans="2:10" x14ac:dyDescent="0.45">
      <c r="B1047" s="8" t="s">
        <v>139</v>
      </c>
      <c r="C1047" s="8" t="s">
        <v>79</v>
      </c>
      <c r="D1047" s="10">
        <v>3.3100036147559006E-2</v>
      </c>
      <c r="E1047" s="8" t="s">
        <v>63</v>
      </c>
      <c r="G1047" s="8" t="s">
        <v>159</v>
      </c>
      <c r="H1047" s="8" t="s">
        <v>79</v>
      </c>
      <c r="I1047" s="12">
        <v>1.6636674662810314E-2</v>
      </c>
      <c r="J1047" s="8" t="s">
        <v>63</v>
      </c>
    </row>
    <row r="1048" spans="2:10" x14ac:dyDescent="0.45">
      <c r="B1048" s="9" t="s">
        <v>139</v>
      </c>
      <c r="C1048" s="9" t="s">
        <v>80</v>
      </c>
      <c r="D1048" s="11">
        <v>1.5139730483290172E-2</v>
      </c>
      <c r="E1048" s="9" t="s">
        <v>63</v>
      </c>
      <c r="G1048" s="9" t="s">
        <v>159</v>
      </c>
      <c r="H1048" s="9" t="s">
        <v>80</v>
      </c>
      <c r="I1048" s="13">
        <v>1.641161574681374E-2</v>
      </c>
      <c r="J1048" s="9" t="s">
        <v>63</v>
      </c>
    </row>
    <row r="1049" spans="2:10" x14ac:dyDescent="0.45">
      <c r="B1049" s="8" t="s">
        <v>139</v>
      </c>
      <c r="C1049" s="8" t="s">
        <v>81</v>
      </c>
      <c r="D1049" s="10">
        <v>7.4339631870082366E-4</v>
      </c>
      <c r="E1049" s="8" t="s">
        <v>63</v>
      </c>
      <c r="G1049" s="8" t="s">
        <v>159</v>
      </c>
      <c r="H1049" s="8" t="s">
        <v>81</v>
      </c>
      <c r="I1049" s="12">
        <v>1.711363071572412E-2</v>
      </c>
      <c r="J1049" s="8" t="s">
        <v>63</v>
      </c>
    </row>
    <row r="1050" spans="2:10" x14ac:dyDescent="0.45">
      <c r="B1050" s="9" t="s">
        <v>139</v>
      </c>
      <c r="C1050" s="9" t="s">
        <v>82</v>
      </c>
      <c r="D1050" s="11">
        <v>0</v>
      </c>
      <c r="E1050" s="9" t="s">
        <v>63</v>
      </c>
      <c r="G1050" s="9" t="s">
        <v>159</v>
      </c>
      <c r="H1050" s="9" t="s">
        <v>82</v>
      </c>
      <c r="I1050" s="13">
        <v>2.3277726262879054E-2</v>
      </c>
      <c r="J1050" s="9" t="s">
        <v>63</v>
      </c>
    </row>
    <row r="1051" spans="2:10" x14ac:dyDescent="0.45">
      <c r="B1051" s="8" t="s">
        <v>139</v>
      </c>
      <c r="C1051" s="8" t="s">
        <v>83</v>
      </c>
      <c r="D1051" s="10">
        <v>5.4568355729578963E-4</v>
      </c>
      <c r="E1051" s="8" t="s">
        <v>63</v>
      </c>
      <c r="G1051" s="8" t="s">
        <v>159</v>
      </c>
      <c r="H1051" s="8" t="s">
        <v>83</v>
      </c>
      <c r="I1051" s="12">
        <v>2.7371819890781413E-2</v>
      </c>
      <c r="J1051" s="8" t="s">
        <v>63</v>
      </c>
    </row>
    <row r="1052" spans="2:10" x14ac:dyDescent="0.45">
      <c r="B1052" s="9" t="s">
        <v>139</v>
      </c>
      <c r="C1052" s="9" t="s">
        <v>84</v>
      </c>
      <c r="D1052" s="11">
        <v>1.813547268525011E-2</v>
      </c>
      <c r="E1052" s="9" t="s">
        <v>63</v>
      </c>
      <c r="G1052" s="9" t="s">
        <v>159</v>
      </c>
      <c r="H1052" s="9" t="s">
        <v>84</v>
      </c>
      <c r="I1052" s="13">
        <v>1.1253106277726747E-2</v>
      </c>
      <c r="J1052" s="9" t="s">
        <v>63</v>
      </c>
    </row>
    <row r="1053" spans="2:10" x14ac:dyDescent="0.45">
      <c r="B1053" s="8" t="s">
        <v>139</v>
      </c>
      <c r="C1053" s="8" t="s">
        <v>85</v>
      </c>
      <c r="D1053" s="10">
        <v>3.8027495512891675E-2</v>
      </c>
      <c r="E1053" s="8" t="s">
        <v>63</v>
      </c>
      <c r="G1053" s="8" t="s">
        <v>159</v>
      </c>
      <c r="H1053" s="8" t="s">
        <v>85</v>
      </c>
      <c r="I1053" s="12">
        <v>1.1333803827274336E-2</v>
      </c>
      <c r="J1053" s="8" t="s">
        <v>63</v>
      </c>
    </row>
    <row r="1054" spans="2:10" x14ac:dyDescent="0.45">
      <c r="B1054" s="9" t="s">
        <v>139</v>
      </c>
      <c r="C1054" s="9" t="s">
        <v>86</v>
      </c>
      <c r="D1054" s="11">
        <v>4.8808437747623078E-2</v>
      </c>
      <c r="E1054" s="9" t="s">
        <v>63</v>
      </c>
      <c r="G1054" s="9" t="s">
        <v>159</v>
      </c>
      <c r="H1054" s="9" t="s">
        <v>86</v>
      </c>
      <c r="I1054" s="13">
        <v>1.239394189992175E-2</v>
      </c>
      <c r="J1054" s="9" t="s">
        <v>63</v>
      </c>
    </row>
    <row r="1055" spans="2:10" x14ac:dyDescent="0.45">
      <c r="B1055" s="8" t="s">
        <v>139</v>
      </c>
      <c r="C1055" s="8" t="s">
        <v>87</v>
      </c>
      <c r="D1055" s="10">
        <v>4.8698054648448064E-2</v>
      </c>
      <c r="E1055" s="8" t="s">
        <v>63</v>
      </c>
      <c r="G1055" s="8" t="s">
        <v>159</v>
      </c>
      <c r="H1055" s="8" t="s">
        <v>87</v>
      </c>
      <c r="I1055" s="12">
        <v>1.0213306600641923E-2</v>
      </c>
      <c r="J1055" s="8" t="s">
        <v>63</v>
      </c>
    </row>
    <row r="1056" spans="2:10" x14ac:dyDescent="0.45">
      <c r="B1056" s="9" t="s">
        <v>139</v>
      </c>
      <c r="C1056" s="9" t="s">
        <v>88</v>
      </c>
      <c r="D1056" s="11">
        <v>4.6141134986707764E-2</v>
      </c>
      <c r="E1056" s="9" t="s">
        <v>63</v>
      </c>
      <c r="G1056" s="9" t="s">
        <v>159</v>
      </c>
      <c r="H1056" s="9" t="s">
        <v>88</v>
      </c>
      <c r="I1056" s="13">
        <v>1.1672494273523897E-2</v>
      </c>
      <c r="J1056" s="9" t="s">
        <v>63</v>
      </c>
    </row>
    <row r="1057" spans="2:10" x14ac:dyDescent="0.45">
      <c r="B1057" s="8" t="s">
        <v>139</v>
      </c>
      <c r="C1057" s="8" t="s">
        <v>89</v>
      </c>
      <c r="D1057" s="10">
        <v>3.7011422713775936E-2</v>
      </c>
      <c r="E1057" s="8" t="s">
        <v>63</v>
      </c>
      <c r="G1057" s="8" t="s">
        <v>159</v>
      </c>
      <c r="H1057" s="8" t="s">
        <v>89</v>
      </c>
      <c r="I1057" s="12">
        <v>1.1652218211646215E-2</v>
      </c>
      <c r="J1057" s="8" t="s">
        <v>63</v>
      </c>
    </row>
    <row r="1058" spans="2:10" x14ac:dyDescent="0.45">
      <c r="B1058" s="9" t="s">
        <v>139</v>
      </c>
      <c r="C1058" s="9" t="s">
        <v>90</v>
      </c>
      <c r="D1058" s="11">
        <v>2.3642886656000887E-2</v>
      </c>
      <c r="E1058" s="9" t="s">
        <v>63</v>
      </c>
      <c r="G1058" s="9" t="s">
        <v>159</v>
      </c>
      <c r="H1058" s="9" t="s">
        <v>90</v>
      </c>
      <c r="I1058" s="13">
        <v>1.0310673438157083E-2</v>
      </c>
      <c r="J1058" s="9" t="s">
        <v>63</v>
      </c>
    </row>
    <row r="1059" spans="2:10" x14ac:dyDescent="0.45">
      <c r="B1059" s="8" t="s">
        <v>139</v>
      </c>
      <c r="C1059" s="8" t="s">
        <v>91</v>
      </c>
      <c r="D1059" s="10">
        <v>6.490054543466732E-3</v>
      </c>
      <c r="E1059" s="8" t="s">
        <v>63</v>
      </c>
      <c r="G1059" s="8" t="s">
        <v>159</v>
      </c>
      <c r="H1059" s="8" t="s">
        <v>91</v>
      </c>
      <c r="I1059" s="12">
        <v>1.042972066349644E-2</v>
      </c>
      <c r="J1059" s="8" t="s">
        <v>63</v>
      </c>
    </row>
    <row r="1060" spans="2:10" x14ac:dyDescent="0.45">
      <c r="B1060" s="9" t="s">
        <v>139</v>
      </c>
      <c r="C1060" s="9" t="s">
        <v>92</v>
      </c>
      <c r="D1060" s="11">
        <v>0</v>
      </c>
      <c r="E1060" s="9" t="s">
        <v>63</v>
      </c>
      <c r="G1060" s="9" t="s">
        <v>159</v>
      </c>
      <c r="H1060" s="9" t="s">
        <v>92</v>
      </c>
      <c r="I1060" s="13">
        <v>1.5966277587424128E-2</v>
      </c>
      <c r="J1060" s="9" t="s">
        <v>63</v>
      </c>
    </row>
    <row r="1061" spans="2:10" x14ac:dyDescent="0.45">
      <c r="B1061" s="8" t="s">
        <v>139</v>
      </c>
      <c r="C1061" s="8" t="s">
        <v>93</v>
      </c>
      <c r="D1061" s="10">
        <v>1.8435189936914204E-5</v>
      </c>
      <c r="E1061" s="8" t="s">
        <v>63</v>
      </c>
      <c r="G1061" s="8" t="s">
        <v>159</v>
      </c>
      <c r="H1061" s="8" t="s">
        <v>93</v>
      </c>
      <c r="I1061" s="12">
        <v>1.698605850282876E-2</v>
      </c>
      <c r="J1061" s="8" t="s">
        <v>63</v>
      </c>
    </row>
    <row r="1062" spans="2:10" x14ac:dyDescent="0.45">
      <c r="B1062" s="9" t="s">
        <v>139</v>
      </c>
      <c r="C1062" s="9" t="s">
        <v>94</v>
      </c>
      <c r="D1062" s="11">
        <v>1.6778334571212455E-2</v>
      </c>
      <c r="E1062" s="9" t="s">
        <v>63</v>
      </c>
      <c r="G1062" s="9" t="s">
        <v>159</v>
      </c>
      <c r="H1062" s="9" t="s">
        <v>94</v>
      </c>
      <c r="I1062" s="13">
        <v>6.1727194036499781E-3</v>
      </c>
      <c r="J1062" s="9" t="s">
        <v>63</v>
      </c>
    </row>
    <row r="1063" spans="2:10" x14ac:dyDescent="0.45">
      <c r="B1063" s="8" t="s">
        <v>139</v>
      </c>
      <c r="C1063" s="8" t="s">
        <v>95</v>
      </c>
      <c r="D1063" s="10">
        <v>4.1344352666307559E-2</v>
      </c>
      <c r="E1063" s="8" t="s">
        <v>63</v>
      </c>
      <c r="G1063" s="8" t="s">
        <v>159</v>
      </c>
      <c r="H1063" s="8" t="s">
        <v>95</v>
      </c>
      <c r="I1063" s="12">
        <v>5.2703676391205895E-3</v>
      </c>
      <c r="J1063" s="8" t="s">
        <v>63</v>
      </c>
    </row>
    <row r="1064" spans="2:10" x14ac:dyDescent="0.45">
      <c r="B1064" s="9" t="s">
        <v>139</v>
      </c>
      <c r="C1064" s="9" t="s">
        <v>96</v>
      </c>
      <c r="D1064" s="11">
        <v>5.2075833163130712E-2</v>
      </c>
      <c r="E1064" s="9" t="s">
        <v>63</v>
      </c>
      <c r="G1064" s="9" t="s">
        <v>159</v>
      </c>
      <c r="H1064" s="9" t="s">
        <v>96</v>
      </c>
      <c r="I1064" s="13">
        <v>6.6969497231236328E-3</v>
      </c>
      <c r="J1064" s="9" t="s">
        <v>63</v>
      </c>
    </row>
    <row r="1065" spans="2:10" x14ac:dyDescent="0.45">
      <c r="B1065" s="8" t="s">
        <v>139</v>
      </c>
      <c r="C1065" s="8" t="s">
        <v>97</v>
      </c>
      <c r="D1065" s="10">
        <v>5.1147800140532988E-2</v>
      </c>
      <c r="E1065" s="8" t="s">
        <v>63</v>
      </c>
      <c r="G1065" s="8" t="s">
        <v>159</v>
      </c>
      <c r="H1065" s="8" t="s">
        <v>97</v>
      </c>
      <c r="I1065" s="12">
        <v>5.9611637506573056E-3</v>
      </c>
      <c r="J1065" s="8" t="s">
        <v>63</v>
      </c>
    </row>
    <row r="1066" spans="2:10" x14ac:dyDescent="0.45">
      <c r="B1066" s="9" t="s">
        <v>139</v>
      </c>
      <c r="C1066" s="9" t="s">
        <v>98</v>
      </c>
      <c r="D1066" s="11">
        <v>4.9140306964560551E-2</v>
      </c>
      <c r="E1066" s="9" t="s">
        <v>63</v>
      </c>
      <c r="G1066" s="9" t="s">
        <v>159</v>
      </c>
      <c r="H1066" s="9" t="s">
        <v>98</v>
      </c>
      <c r="I1066" s="13">
        <v>7.0179068980083907E-3</v>
      </c>
      <c r="J1066" s="9" t="s">
        <v>63</v>
      </c>
    </row>
    <row r="1067" spans="2:10" x14ac:dyDescent="0.45">
      <c r="B1067" s="8" t="s">
        <v>139</v>
      </c>
      <c r="C1067" s="8" t="s">
        <v>99</v>
      </c>
      <c r="D1067" s="10">
        <v>4.3902273396455291E-2</v>
      </c>
      <c r="E1067" s="8" t="s">
        <v>63</v>
      </c>
      <c r="G1067" s="8" t="s">
        <v>159</v>
      </c>
      <c r="H1067" s="8" t="s">
        <v>99</v>
      </c>
      <c r="I1067" s="12">
        <v>7.0077794341975377E-3</v>
      </c>
      <c r="J1067" s="8" t="s">
        <v>63</v>
      </c>
    </row>
    <row r="1068" spans="2:10" x14ac:dyDescent="0.45">
      <c r="B1068" s="9" t="s">
        <v>139</v>
      </c>
      <c r="C1068" s="9" t="s">
        <v>100</v>
      </c>
      <c r="D1068" s="11">
        <v>2.9184395035478532E-2</v>
      </c>
      <c r="E1068" s="9" t="s">
        <v>63</v>
      </c>
      <c r="G1068" s="9" t="s">
        <v>159</v>
      </c>
      <c r="H1068" s="9" t="s">
        <v>100</v>
      </c>
      <c r="I1068" s="13">
        <v>6.4457854996455045E-3</v>
      </c>
      <c r="J1068" s="9" t="s">
        <v>63</v>
      </c>
    </row>
    <row r="1069" spans="2:10" x14ac:dyDescent="0.45">
      <c r="B1069" s="8" t="s">
        <v>139</v>
      </c>
      <c r="C1069" s="8" t="s">
        <v>101</v>
      </c>
      <c r="D1069" s="10">
        <v>7.1489959045009082E-3</v>
      </c>
      <c r="E1069" s="8" t="s">
        <v>63</v>
      </c>
      <c r="G1069" s="8" t="s">
        <v>159</v>
      </c>
      <c r="H1069" s="8" t="s">
        <v>101</v>
      </c>
      <c r="I1069" s="12">
        <v>6.5669698748663128E-3</v>
      </c>
      <c r="J1069" s="8" t="s">
        <v>63</v>
      </c>
    </row>
    <row r="1070" spans="2:10" x14ac:dyDescent="0.45">
      <c r="B1070" s="9" t="s">
        <v>139</v>
      </c>
      <c r="C1070" s="9" t="s">
        <v>102</v>
      </c>
      <c r="D1070" s="11">
        <v>0</v>
      </c>
      <c r="E1070" s="9" t="s">
        <v>63</v>
      </c>
      <c r="G1070" s="9" t="s">
        <v>159</v>
      </c>
      <c r="H1070" s="9" t="s">
        <v>102</v>
      </c>
      <c r="I1070" s="13">
        <v>1.0720618530159596E-2</v>
      </c>
      <c r="J1070" s="9" t="s">
        <v>63</v>
      </c>
    </row>
    <row r="1071" spans="2:10" x14ac:dyDescent="0.45">
      <c r="B1071" s="8" t="s">
        <v>139</v>
      </c>
      <c r="C1071" s="8" t="s">
        <v>103</v>
      </c>
      <c r="D1071" s="10">
        <v>0</v>
      </c>
      <c r="E1071" s="8" t="s">
        <v>63</v>
      </c>
      <c r="G1071" s="8" t="s">
        <v>159</v>
      </c>
      <c r="H1071" s="8" t="s">
        <v>103</v>
      </c>
      <c r="I1071" s="12">
        <v>3.0917568527129867E-2</v>
      </c>
      <c r="J1071" s="8" t="s">
        <v>63</v>
      </c>
    </row>
    <row r="1072" spans="2:10" x14ac:dyDescent="0.45">
      <c r="B1072" s="9" t="s">
        <v>139</v>
      </c>
      <c r="C1072" s="9" t="s">
        <v>104</v>
      </c>
      <c r="D1072" s="11">
        <v>1.4394091864683987E-3</v>
      </c>
      <c r="E1072" s="9" t="s">
        <v>63</v>
      </c>
      <c r="G1072" s="9" t="s">
        <v>159</v>
      </c>
      <c r="H1072" s="9" t="s">
        <v>104</v>
      </c>
      <c r="I1072" s="13">
        <v>1.282024156516012E-2</v>
      </c>
      <c r="J1072" s="9" t="s">
        <v>63</v>
      </c>
    </row>
    <row r="1073" spans="2:10" x14ac:dyDescent="0.45">
      <c r="B1073" s="8" t="s">
        <v>139</v>
      </c>
      <c r="C1073" s="8" t="s">
        <v>105</v>
      </c>
      <c r="D1073" s="10">
        <v>1.6627051518295532E-2</v>
      </c>
      <c r="E1073" s="8" t="s">
        <v>63</v>
      </c>
      <c r="G1073" s="8" t="s">
        <v>159</v>
      </c>
      <c r="H1073" s="8" t="s">
        <v>105</v>
      </c>
      <c r="I1073" s="12">
        <v>1.3465142020131446E-2</v>
      </c>
      <c r="J1073" s="8" t="s">
        <v>63</v>
      </c>
    </row>
    <row r="1074" spans="2:10" x14ac:dyDescent="0.45">
      <c r="B1074" s="9" t="s">
        <v>139</v>
      </c>
      <c r="C1074" s="9" t="s">
        <v>106</v>
      </c>
      <c r="D1074" s="11">
        <v>2.8416585253694737E-2</v>
      </c>
      <c r="E1074" s="9" t="s">
        <v>63</v>
      </c>
      <c r="G1074" s="9" t="s">
        <v>159</v>
      </c>
      <c r="H1074" s="9" t="s">
        <v>106</v>
      </c>
      <c r="I1074" s="13">
        <v>1.5088880307315256E-2</v>
      </c>
      <c r="J1074" s="9" t="s">
        <v>63</v>
      </c>
    </row>
    <row r="1075" spans="2:10" x14ac:dyDescent="0.45">
      <c r="B1075" s="8" t="s">
        <v>139</v>
      </c>
      <c r="C1075" s="8" t="s">
        <v>107</v>
      </c>
      <c r="D1075" s="10">
        <v>3.1036921620851619E-2</v>
      </c>
      <c r="E1075" s="8" t="s">
        <v>63</v>
      </c>
      <c r="G1075" s="8" t="s">
        <v>159</v>
      </c>
      <c r="H1075" s="8" t="s">
        <v>107</v>
      </c>
      <c r="I1075" s="12">
        <v>1.426393538812064E-2</v>
      </c>
      <c r="J1075" s="8" t="s">
        <v>63</v>
      </c>
    </row>
    <row r="1076" spans="2:10" x14ac:dyDescent="0.45">
      <c r="B1076" s="9" t="s">
        <v>139</v>
      </c>
      <c r="C1076" s="9" t="s">
        <v>108</v>
      </c>
      <c r="D1076" s="11">
        <v>3.1589641834240845E-2</v>
      </c>
      <c r="E1076" s="9" t="s">
        <v>63</v>
      </c>
      <c r="G1076" s="9" t="s">
        <v>159</v>
      </c>
      <c r="H1076" s="9" t="s">
        <v>108</v>
      </c>
      <c r="I1076" s="13">
        <v>1.5065576627273067E-2</v>
      </c>
      <c r="J1076" s="9" t="s">
        <v>63</v>
      </c>
    </row>
    <row r="1077" spans="2:10" x14ac:dyDescent="0.45">
      <c r="B1077" s="8" t="s">
        <v>139</v>
      </c>
      <c r="C1077" s="8" t="s">
        <v>109</v>
      </c>
      <c r="D1077" s="10">
        <v>2.2869083294821194E-2</v>
      </c>
      <c r="E1077" s="8" t="s">
        <v>63</v>
      </c>
      <c r="G1077" s="8" t="s">
        <v>159</v>
      </c>
      <c r="H1077" s="8" t="s">
        <v>109</v>
      </c>
      <c r="I1077" s="12">
        <v>1.470675566086105E-2</v>
      </c>
      <c r="J1077" s="8" t="s">
        <v>63</v>
      </c>
    </row>
    <row r="1078" spans="2:10" x14ac:dyDescent="0.45">
      <c r="B1078" s="9" t="s">
        <v>139</v>
      </c>
      <c r="C1078" s="9" t="s">
        <v>110</v>
      </c>
      <c r="D1078" s="11">
        <v>6.3883486743517128E-3</v>
      </c>
      <c r="E1078" s="9" t="s">
        <v>63</v>
      </c>
      <c r="G1078" s="9" t="s">
        <v>159</v>
      </c>
      <c r="H1078" s="9" t="s">
        <v>110</v>
      </c>
      <c r="I1078" s="13">
        <v>1.4954723026865525E-2</v>
      </c>
      <c r="J1078" s="9" t="s">
        <v>63</v>
      </c>
    </row>
    <row r="1079" spans="2:10" x14ac:dyDescent="0.45">
      <c r="B1079" s="8" t="s">
        <v>139</v>
      </c>
      <c r="C1079" s="8" t="s">
        <v>111</v>
      </c>
      <c r="D1079" s="10">
        <v>0</v>
      </c>
      <c r="E1079" s="8" t="s">
        <v>63</v>
      </c>
      <c r="G1079" s="8" t="s">
        <v>159</v>
      </c>
      <c r="H1079" s="8" t="s">
        <v>111</v>
      </c>
      <c r="I1079" s="12">
        <v>1.562060087830631E-2</v>
      </c>
      <c r="J1079" s="8" t="s">
        <v>63</v>
      </c>
    </row>
    <row r="1080" spans="2:10" x14ac:dyDescent="0.45">
      <c r="B1080" s="9" t="s">
        <v>139</v>
      </c>
      <c r="C1080" s="9" t="s">
        <v>112</v>
      </c>
      <c r="D1080" s="11">
        <v>0</v>
      </c>
      <c r="E1080" s="9" t="s">
        <v>63</v>
      </c>
      <c r="G1080" s="9" t="s">
        <v>159</v>
      </c>
      <c r="H1080" s="9" t="s">
        <v>112</v>
      </c>
      <c r="I1080" s="13">
        <v>2.2081319979298551E-2</v>
      </c>
      <c r="J1080" s="9" t="s">
        <v>63</v>
      </c>
    </row>
    <row r="1081" spans="2:10" x14ac:dyDescent="0.45">
      <c r="B1081" s="8" t="s">
        <v>139</v>
      </c>
      <c r="C1081" s="8" t="s">
        <v>113</v>
      </c>
      <c r="D1081" s="10">
        <v>0</v>
      </c>
      <c r="E1081" s="8" t="s">
        <v>63</v>
      </c>
      <c r="G1081" s="8" t="s">
        <v>159</v>
      </c>
      <c r="H1081" s="8" t="s">
        <v>113</v>
      </c>
      <c r="I1081" s="12">
        <v>5.2732815231102681E-2</v>
      </c>
      <c r="J1081" s="8" t="s">
        <v>63</v>
      </c>
    </row>
    <row r="1082" spans="2:10" x14ac:dyDescent="0.45">
      <c r="B1082" s="9" t="s">
        <v>139</v>
      </c>
      <c r="C1082" s="9" t="s">
        <v>114</v>
      </c>
      <c r="D1082" s="11">
        <v>0</v>
      </c>
      <c r="E1082" s="9" t="s">
        <v>63</v>
      </c>
      <c r="G1082" s="9" t="s">
        <v>159</v>
      </c>
      <c r="H1082" s="9" t="s">
        <v>114</v>
      </c>
      <c r="I1082" s="13">
        <v>2.0435600613668788E-2</v>
      </c>
      <c r="J1082" s="9" t="s">
        <v>63</v>
      </c>
    </row>
    <row r="1083" spans="2:10" x14ac:dyDescent="0.45">
      <c r="B1083" s="8" t="s">
        <v>139</v>
      </c>
      <c r="C1083" s="8" t="s">
        <v>115</v>
      </c>
      <c r="D1083" s="10">
        <v>1.2636065857962835E-3</v>
      </c>
      <c r="E1083" s="8" t="s">
        <v>63</v>
      </c>
      <c r="G1083" s="8" t="s">
        <v>159</v>
      </c>
      <c r="H1083" s="8" t="s">
        <v>115</v>
      </c>
      <c r="I1083" s="12">
        <v>2.1245265877602251E-2</v>
      </c>
      <c r="J1083" s="8" t="s">
        <v>63</v>
      </c>
    </row>
    <row r="1084" spans="2:10" x14ac:dyDescent="0.45">
      <c r="B1084" s="9" t="s">
        <v>139</v>
      </c>
      <c r="C1084" s="9" t="s">
        <v>116</v>
      </c>
      <c r="D1084" s="11">
        <v>1.0658868233745254E-2</v>
      </c>
      <c r="E1084" s="9" t="s">
        <v>63</v>
      </c>
      <c r="G1084" s="9" t="s">
        <v>159</v>
      </c>
      <c r="H1084" s="9" t="s">
        <v>116</v>
      </c>
      <c r="I1084" s="13">
        <v>2.2138265832027326E-2</v>
      </c>
      <c r="J1084" s="9" t="s">
        <v>63</v>
      </c>
    </row>
    <row r="1085" spans="2:10" x14ac:dyDescent="0.45">
      <c r="B1085" s="8" t="s">
        <v>139</v>
      </c>
      <c r="C1085" s="8" t="s">
        <v>117</v>
      </c>
      <c r="D1085" s="10">
        <v>1.402844761930858E-2</v>
      </c>
      <c r="E1085" s="8" t="s">
        <v>63</v>
      </c>
      <c r="G1085" s="8" t="s">
        <v>159</v>
      </c>
      <c r="H1085" s="8" t="s">
        <v>117</v>
      </c>
      <c r="I1085" s="12">
        <v>2.0538335415061486E-2</v>
      </c>
      <c r="J1085" s="8" t="s">
        <v>63</v>
      </c>
    </row>
    <row r="1086" spans="2:10" x14ac:dyDescent="0.45">
      <c r="B1086" s="9" t="s">
        <v>139</v>
      </c>
      <c r="C1086" s="9" t="s">
        <v>118</v>
      </c>
      <c r="D1086" s="11">
        <v>1.2965322337726241E-2</v>
      </c>
      <c r="E1086" s="9" t="s">
        <v>63</v>
      </c>
      <c r="G1086" s="9" t="s">
        <v>159</v>
      </c>
      <c r="H1086" s="9" t="s">
        <v>118</v>
      </c>
      <c r="I1086" s="13">
        <v>2.1305689116756902E-2</v>
      </c>
      <c r="J1086" s="9" t="s">
        <v>63</v>
      </c>
    </row>
    <row r="1087" spans="2:10" x14ac:dyDescent="0.45">
      <c r="B1087" s="8" t="s">
        <v>139</v>
      </c>
      <c r="C1087" s="8" t="s">
        <v>119</v>
      </c>
      <c r="D1087" s="10">
        <v>3.2170255611533149E-3</v>
      </c>
      <c r="E1087" s="8" t="s">
        <v>63</v>
      </c>
      <c r="G1087" s="8" t="s">
        <v>159</v>
      </c>
      <c r="H1087" s="8" t="s">
        <v>119</v>
      </c>
      <c r="I1087" s="12">
        <v>2.2053045779634507E-2</v>
      </c>
      <c r="J1087" s="8" t="s">
        <v>63</v>
      </c>
    </row>
    <row r="1088" spans="2:10" x14ac:dyDescent="0.45">
      <c r="B1088" s="9" t="s">
        <v>139</v>
      </c>
      <c r="C1088" s="9" t="s">
        <v>120</v>
      </c>
      <c r="D1088" s="11">
        <v>0</v>
      </c>
      <c r="E1088" s="9" t="s">
        <v>63</v>
      </c>
      <c r="G1088" s="9" t="s">
        <v>159</v>
      </c>
      <c r="H1088" s="9" t="s">
        <v>120</v>
      </c>
      <c r="I1088" s="13">
        <v>2.2852682167347229E-2</v>
      </c>
      <c r="J1088" s="9" t="s">
        <v>63</v>
      </c>
    </row>
    <row r="1089" spans="2:10" x14ac:dyDescent="0.45">
      <c r="B1089" s="8" t="s">
        <v>139</v>
      </c>
      <c r="C1089" s="8" t="s">
        <v>121</v>
      </c>
      <c r="D1089" s="10">
        <v>0</v>
      </c>
      <c r="E1089" s="8" t="s">
        <v>63</v>
      </c>
      <c r="G1089" s="8" t="s">
        <v>159</v>
      </c>
      <c r="H1089" s="8" t="s">
        <v>121</v>
      </c>
      <c r="I1089" s="12">
        <v>2.297101682794854E-2</v>
      </c>
      <c r="J1089" s="8" t="s">
        <v>63</v>
      </c>
    </row>
    <row r="1090" spans="2:10" x14ac:dyDescent="0.45">
      <c r="B1090" s="9" t="s">
        <v>139</v>
      </c>
      <c r="C1090" s="9" t="s">
        <v>122</v>
      </c>
      <c r="D1090" s="11">
        <v>0</v>
      </c>
      <c r="E1090" s="9" t="s">
        <v>63</v>
      </c>
      <c r="G1090" s="9" t="s">
        <v>159</v>
      </c>
      <c r="H1090" s="9" t="s">
        <v>122</v>
      </c>
      <c r="I1090" s="13">
        <v>3.3374966281572715E-2</v>
      </c>
      <c r="J1090" s="9" t="s">
        <v>63</v>
      </c>
    </row>
    <row r="1091" spans="2:10" x14ac:dyDescent="0.45">
      <c r="B1091" s="8" t="s">
        <v>140</v>
      </c>
      <c r="C1091" s="8" t="s">
        <v>62</v>
      </c>
      <c r="D1091" s="10">
        <v>0</v>
      </c>
      <c r="E1091" s="8" t="s">
        <v>63</v>
      </c>
      <c r="G1091" s="8" t="s">
        <v>160</v>
      </c>
      <c r="H1091" s="8" t="s">
        <v>62</v>
      </c>
      <c r="I1091" s="12">
        <v>3.9104512492243448E-2</v>
      </c>
      <c r="J1091" s="8" t="s">
        <v>63</v>
      </c>
    </row>
    <row r="1092" spans="2:10" x14ac:dyDescent="0.45">
      <c r="B1092" s="9" t="s">
        <v>140</v>
      </c>
      <c r="C1092" s="9" t="s">
        <v>64</v>
      </c>
      <c r="D1092" s="11">
        <v>0</v>
      </c>
      <c r="E1092" s="9" t="s">
        <v>63</v>
      </c>
      <c r="G1092" s="9" t="s">
        <v>160</v>
      </c>
      <c r="H1092" s="9" t="s">
        <v>64</v>
      </c>
      <c r="I1092" s="13">
        <v>1.6946050110310869E-2</v>
      </c>
      <c r="J1092" s="9" t="s">
        <v>63</v>
      </c>
    </row>
    <row r="1093" spans="2:10" x14ac:dyDescent="0.45">
      <c r="B1093" s="8" t="s">
        <v>140</v>
      </c>
      <c r="C1093" s="8" t="s">
        <v>65</v>
      </c>
      <c r="D1093" s="10">
        <v>1.2895694239945577E-3</v>
      </c>
      <c r="E1093" s="8" t="s">
        <v>63</v>
      </c>
      <c r="G1093" s="8" t="s">
        <v>160</v>
      </c>
      <c r="H1093" s="8" t="s">
        <v>65</v>
      </c>
      <c r="I1093" s="12">
        <v>1.7048409643904916E-2</v>
      </c>
      <c r="J1093" s="8" t="s">
        <v>63</v>
      </c>
    </row>
    <row r="1094" spans="2:10" x14ac:dyDescent="0.45">
      <c r="B1094" s="9" t="s">
        <v>140</v>
      </c>
      <c r="C1094" s="9" t="s">
        <v>66</v>
      </c>
      <c r="D1094" s="11">
        <v>1.2521364091215483E-2</v>
      </c>
      <c r="E1094" s="9" t="s">
        <v>63</v>
      </c>
      <c r="G1094" s="9" t="s">
        <v>160</v>
      </c>
      <c r="H1094" s="9" t="s">
        <v>66</v>
      </c>
      <c r="I1094" s="13">
        <v>1.6894765115842494E-2</v>
      </c>
      <c r="J1094" s="9" t="s">
        <v>63</v>
      </c>
    </row>
    <row r="1095" spans="2:10" x14ac:dyDescent="0.45">
      <c r="B1095" s="8" t="s">
        <v>140</v>
      </c>
      <c r="C1095" s="8" t="s">
        <v>67</v>
      </c>
      <c r="D1095" s="10">
        <v>1.8831335221337949E-2</v>
      </c>
      <c r="E1095" s="8" t="s">
        <v>63</v>
      </c>
      <c r="G1095" s="8" t="s">
        <v>160</v>
      </c>
      <c r="H1095" s="8" t="s">
        <v>67</v>
      </c>
      <c r="I1095" s="12">
        <v>1.6034022297922387E-2</v>
      </c>
      <c r="J1095" s="8" t="s">
        <v>63</v>
      </c>
    </row>
    <row r="1096" spans="2:10" x14ac:dyDescent="0.45">
      <c r="B1096" s="9" t="s">
        <v>140</v>
      </c>
      <c r="C1096" s="9" t="s">
        <v>68</v>
      </c>
      <c r="D1096" s="11">
        <v>1.7336936162328877E-2</v>
      </c>
      <c r="E1096" s="9" t="s">
        <v>63</v>
      </c>
      <c r="G1096" s="9" t="s">
        <v>160</v>
      </c>
      <c r="H1096" s="9" t="s">
        <v>68</v>
      </c>
      <c r="I1096" s="13">
        <v>1.6798604474589023E-2</v>
      </c>
      <c r="J1096" s="9" t="s">
        <v>63</v>
      </c>
    </row>
    <row r="1097" spans="2:10" x14ac:dyDescent="0.45">
      <c r="B1097" s="8" t="s">
        <v>140</v>
      </c>
      <c r="C1097" s="8" t="s">
        <v>69</v>
      </c>
      <c r="D1097" s="10">
        <v>8.7305254251645332E-3</v>
      </c>
      <c r="E1097" s="8" t="s">
        <v>63</v>
      </c>
      <c r="G1097" s="8" t="s">
        <v>160</v>
      </c>
      <c r="H1097" s="8" t="s">
        <v>69</v>
      </c>
      <c r="I1097" s="12">
        <v>1.7670666276669869E-2</v>
      </c>
      <c r="J1097" s="8" t="s">
        <v>63</v>
      </c>
    </row>
    <row r="1098" spans="2:10" x14ac:dyDescent="0.45">
      <c r="B1098" s="9" t="s">
        <v>140</v>
      </c>
      <c r="C1098" s="9" t="s">
        <v>70</v>
      </c>
      <c r="D1098" s="11">
        <v>7.0698694884020123E-4</v>
      </c>
      <c r="E1098" s="9" t="s">
        <v>63</v>
      </c>
      <c r="G1098" s="9" t="s">
        <v>160</v>
      </c>
      <c r="H1098" s="9" t="s">
        <v>70</v>
      </c>
      <c r="I1098" s="13">
        <v>1.836185559908159E-2</v>
      </c>
      <c r="J1098" s="9" t="s">
        <v>63</v>
      </c>
    </row>
    <row r="1099" spans="2:10" x14ac:dyDescent="0.45">
      <c r="B1099" s="8" t="s">
        <v>140</v>
      </c>
      <c r="C1099" s="8" t="s">
        <v>71</v>
      </c>
      <c r="D1099" s="10">
        <v>0</v>
      </c>
      <c r="E1099" s="8" t="s">
        <v>63</v>
      </c>
      <c r="G1099" s="8" t="s">
        <v>160</v>
      </c>
      <c r="H1099" s="8" t="s">
        <v>71</v>
      </c>
      <c r="I1099" s="12">
        <v>1.7855947983226501E-2</v>
      </c>
      <c r="J1099" s="8" t="s">
        <v>63</v>
      </c>
    </row>
    <row r="1100" spans="2:10" x14ac:dyDescent="0.45">
      <c r="B1100" s="9" t="s">
        <v>140</v>
      </c>
      <c r="C1100" s="9" t="s">
        <v>72</v>
      </c>
      <c r="D1100" s="11">
        <v>0</v>
      </c>
      <c r="E1100" s="9" t="s">
        <v>63</v>
      </c>
      <c r="G1100" s="9" t="s">
        <v>160</v>
      </c>
      <c r="H1100" s="9" t="s">
        <v>72</v>
      </c>
      <c r="I1100" s="13">
        <v>2.4829188155792426E-2</v>
      </c>
      <c r="J1100" s="9" t="s">
        <v>63</v>
      </c>
    </row>
    <row r="1101" spans="2:10" x14ac:dyDescent="0.45">
      <c r="B1101" s="8" t="s">
        <v>140</v>
      </c>
      <c r="C1101" s="8" t="s">
        <v>73</v>
      </c>
      <c r="D1101" s="10">
        <v>0</v>
      </c>
      <c r="E1101" s="8" t="s">
        <v>63</v>
      </c>
      <c r="G1101" s="8" t="s">
        <v>160</v>
      </c>
      <c r="H1101" s="8" t="s">
        <v>73</v>
      </c>
      <c r="I1101" s="12">
        <v>4.0909201805902989E-2</v>
      </c>
      <c r="J1101" s="8" t="s">
        <v>63</v>
      </c>
    </row>
    <row r="1102" spans="2:10" x14ac:dyDescent="0.45">
      <c r="B1102" s="9" t="s">
        <v>140</v>
      </c>
      <c r="C1102" s="9" t="s">
        <v>74</v>
      </c>
      <c r="D1102" s="11">
        <v>3.6600352490017826E-3</v>
      </c>
      <c r="E1102" s="9" t="s">
        <v>63</v>
      </c>
      <c r="G1102" s="9" t="s">
        <v>160</v>
      </c>
      <c r="H1102" s="9" t="s">
        <v>74</v>
      </c>
      <c r="I1102" s="13">
        <v>1.5612551354179433E-2</v>
      </c>
      <c r="J1102" s="9" t="s">
        <v>63</v>
      </c>
    </row>
    <row r="1103" spans="2:10" x14ac:dyDescent="0.45">
      <c r="B1103" s="8" t="s">
        <v>140</v>
      </c>
      <c r="C1103" s="8" t="s">
        <v>75</v>
      </c>
      <c r="D1103" s="10">
        <v>2.5361902733355982E-2</v>
      </c>
      <c r="E1103" s="8" t="s">
        <v>63</v>
      </c>
      <c r="G1103" s="8" t="s">
        <v>160</v>
      </c>
      <c r="H1103" s="8" t="s">
        <v>75</v>
      </c>
      <c r="I1103" s="12">
        <v>1.3297822816498016E-2</v>
      </c>
      <c r="J1103" s="8" t="s">
        <v>63</v>
      </c>
    </row>
    <row r="1104" spans="2:10" x14ac:dyDescent="0.45">
      <c r="B1104" s="9" t="s">
        <v>140</v>
      </c>
      <c r="C1104" s="9" t="s">
        <v>76</v>
      </c>
      <c r="D1104" s="11">
        <v>4.0761579268727907E-2</v>
      </c>
      <c r="E1104" s="9" t="s">
        <v>63</v>
      </c>
      <c r="G1104" s="9" t="s">
        <v>160</v>
      </c>
      <c r="H1104" s="9" t="s">
        <v>76</v>
      </c>
      <c r="I1104" s="13">
        <v>1.2660307850613742E-2</v>
      </c>
      <c r="J1104" s="9" t="s">
        <v>63</v>
      </c>
    </row>
    <row r="1105" spans="2:10" x14ac:dyDescent="0.45">
      <c r="B1105" s="8" t="s">
        <v>140</v>
      </c>
      <c r="C1105" s="8" t="s">
        <v>77</v>
      </c>
      <c r="D1105" s="10">
        <v>4.3411888755492269E-2</v>
      </c>
      <c r="E1105" s="8" t="s">
        <v>63</v>
      </c>
      <c r="G1105" s="8" t="s">
        <v>160</v>
      </c>
      <c r="H1105" s="8" t="s">
        <v>77</v>
      </c>
      <c r="I1105" s="12">
        <v>1.2136223716225436E-2</v>
      </c>
      <c r="J1105" s="8" t="s">
        <v>63</v>
      </c>
    </row>
    <row r="1106" spans="2:10" x14ac:dyDescent="0.45">
      <c r="B1106" s="9" t="s">
        <v>140</v>
      </c>
      <c r="C1106" s="9" t="s">
        <v>78</v>
      </c>
      <c r="D1106" s="11">
        <v>4.1764795555520123E-2</v>
      </c>
      <c r="E1106" s="9" t="s">
        <v>63</v>
      </c>
      <c r="G1106" s="9" t="s">
        <v>160</v>
      </c>
      <c r="H1106" s="9" t="s">
        <v>78</v>
      </c>
      <c r="I1106" s="13">
        <v>1.3949463372161717E-2</v>
      </c>
      <c r="J1106" s="9" t="s">
        <v>63</v>
      </c>
    </row>
    <row r="1107" spans="2:10" x14ac:dyDescent="0.45">
      <c r="B1107" s="8" t="s">
        <v>140</v>
      </c>
      <c r="C1107" s="8" t="s">
        <v>79</v>
      </c>
      <c r="D1107" s="10">
        <v>3.2680572130281874E-2</v>
      </c>
      <c r="E1107" s="8" t="s">
        <v>63</v>
      </c>
      <c r="G1107" s="8" t="s">
        <v>160</v>
      </c>
      <c r="H1107" s="8" t="s">
        <v>79</v>
      </c>
      <c r="I1107" s="12">
        <v>1.5329457726190907E-2</v>
      </c>
      <c r="J1107" s="8" t="s">
        <v>63</v>
      </c>
    </row>
    <row r="1108" spans="2:10" x14ac:dyDescent="0.45">
      <c r="B1108" s="9" t="s">
        <v>140</v>
      </c>
      <c r="C1108" s="9" t="s">
        <v>80</v>
      </c>
      <c r="D1108" s="11">
        <v>1.5137303506716764E-2</v>
      </c>
      <c r="E1108" s="9" t="s">
        <v>63</v>
      </c>
      <c r="G1108" s="9" t="s">
        <v>160</v>
      </c>
      <c r="H1108" s="9" t="s">
        <v>80</v>
      </c>
      <c r="I1108" s="13">
        <v>1.5985221978003158E-2</v>
      </c>
      <c r="J1108" s="9" t="s">
        <v>63</v>
      </c>
    </row>
    <row r="1109" spans="2:10" x14ac:dyDescent="0.45">
      <c r="B1109" s="8" t="s">
        <v>140</v>
      </c>
      <c r="C1109" s="8" t="s">
        <v>81</v>
      </c>
      <c r="D1109" s="10">
        <v>5.5594519688407379E-4</v>
      </c>
      <c r="E1109" s="8" t="s">
        <v>63</v>
      </c>
      <c r="G1109" s="8" t="s">
        <v>160</v>
      </c>
      <c r="H1109" s="8" t="s">
        <v>81</v>
      </c>
      <c r="I1109" s="12">
        <v>1.7756982457678528E-2</v>
      </c>
      <c r="J1109" s="8" t="s">
        <v>63</v>
      </c>
    </row>
    <row r="1110" spans="2:10" x14ac:dyDescent="0.45">
      <c r="B1110" s="9" t="s">
        <v>140</v>
      </c>
      <c r="C1110" s="9" t="s">
        <v>82</v>
      </c>
      <c r="D1110" s="11">
        <v>0</v>
      </c>
      <c r="E1110" s="9" t="s">
        <v>63</v>
      </c>
      <c r="G1110" s="9" t="s">
        <v>160</v>
      </c>
      <c r="H1110" s="9" t="s">
        <v>82</v>
      </c>
      <c r="I1110" s="13">
        <v>2.6071223637724832E-2</v>
      </c>
      <c r="J1110" s="9" t="s">
        <v>63</v>
      </c>
    </row>
    <row r="1111" spans="2:10" x14ac:dyDescent="0.45">
      <c r="B1111" s="8" t="s">
        <v>140</v>
      </c>
      <c r="C1111" s="8" t="s">
        <v>83</v>
      </c>
      <c r="D1111" s="10">
        <v>0</v>
      </c>
      <c r="E1111" s="8" t="s">
        <v>63</v>
      </c>
      <c r="G1111" s="8" t="s">
        <v>160</v>
      </c>
      <c r="H1111" s="8" t="s">
        <v>83</v>
      </c>
      <c r="I1111" s="12">
        <v>2.3492306788736234E-2</v>
      </c>
      <c r="J1111" s="8" t="s">
        <v>63</v>
      </c>
    </row>
    <row r="1112" spans="2:10" x14ac:dyDescent="0.45">
      <c r="B1112" s="9" t="s">
        <v>140</v>
      </c>
      <c r="C1112" s="9" t="s">
        <v>84</v>
      </c>
      <c r="D1112" s="11">
        <v>1.5350920134583564E-2</v>
      </c>
      <c r="E1112" s="9" t="s">
        <v>63</v>
      </c>
      <c r="G1112" s="9" t="s">
        <v>160</v>
      </c>
      <c r="H1112" s="9" t="s">
        <v>84</v>
      </c>
      <c r="I1112" s="13">
        <v>8.5484122226728403E-3</v>
      </c>
      <c r="J1112" s="9" t="s">
        <v>63</v>
      </c>
    </row>
    <row r="1113" spans="2:10" x14ac:dyDescent="0.45">
      <c r="B1113" s="8" t="s">
        <v>140</v>
      </c>
      <c r="C1113" s="8" t="s">
        <v>85</v>
      </c>
      <c r="D1113" s="10">
        <v>3.3869503932787232E-2</v>
      </c>
      <c r="E1113" s="8" t="s">
        <v>63</v>
      </c>
      <c r="G1113" s="8" t="s">
        <v>160</v>
      </c>
      <c r="H1113" s="8" t="s">
        <v>85</v>
      </c>
      <c r="I1113" s="12">
        <v>7.1159659431762117E-3</v>
      </c>
      <c r="J1113" s="8" t="s">
        <v>63</v>
      </c>
    </row>
    <row r="1114" spans="2:10" x14ac:dyDescent="0.45">
      <c r="B1114" s="9" t="s">
        <v>140</v>
      </c>
      <c r="C1114" s="9" t="s">
        <v>86</v>
      </c>
      <c r="D1114" s="11">
        <v>4.5652700339442479E-2</v>
      </c>
      <c r="E1114" s="9" t="s">
        <v>63</v>
      </c>
      <c r="G1114" s="9" t="s">
        <v>160</v>
      </c>
      <c r="H1114" s="9" t="s">
        <v>86</v>
      </c>
      <c r="I1114" s="13">
        <v>7.5566157806366708E-3</v>
      </c>
      <c r="J1114" s="9" t="s">
        <v>63</v>
      </c>
    </row>
    <row r="1115" spans="2:10" x14ac:dyDescent="0.45">
      <c r="B1115" s="8" t="s">
        <v>140</v>
      </c>
      <c r="C1115" s="8" t="s">
        <v>87</v>
      </c>
      <c r="D1115" s="10">
        <v>4.6052853920367384E-2</v>
      </c>
      <c r="E1115" s="8" t="s">
        <v>63</v>
      </c>
      <c r="G1115" s="8" t="s">
        <v>160</v>
      </c>
      <c r="H1115" s="8" t="s">
        <v>87</v>
      </c>
      <c r="I1115" s="12">
        <v>6.3967436547457011E-3</v>
      </c>
      <c r="J1115" s="8" t="s">
        <v>63</v>
      </c>
    </row>
    <row r="1116" spans="2:10" x14ac:dyDescent="0.45">
      <c r="B1116" s="9" t="s">
        <v>140</v>
      </c>
      <c r="C1116" s="9" t="s">
        <v>88</v>
      </c>
      <c r="D1116" s="11">
        <v>4.4189514584119058E-2</v>
      </c>
      <c r="E1116" s="9" t="s">
        <v>63</v>
      </c>
      <c r="G1116" s="9" t="s">
        <v>160</v>
      </c>
      <c r="H1116" s="9" t="s">
        <v>88</v>
      </c>
      <c r="I1116" s="13">
        <v>7.6311696119434761E-3</v>
      </c>
      <c r="J1116" s="9" t="s">
        <v>63</v>
      </c>
    </row>
    <row r="1117" spans="2:10" x14ac:dyDescent="0.45">
      <c r="B1117" s="8" t="s">
        <v>140</v>
      </c>
      <c r="C1117" s="8" t="s">
        <v>89</v>
      </c>
      <c r="D1117" s="10">
        <v>3.603237542105487E-2</v>
      </c>
      <c r="E1117" s="8" t="s">
        <v>63</v>
      </c>
      <c r="G1117" s="8" t="s">
        <v>160</v>
      </c>
      <c r="H1117" s="8" t="s">
        <v>89</v>
      </c>
      <c r="I1117" s="12">
        <v>8.5065983593019655E-3</v>
      </c>
      <c r="J1117" s="8" t="s">
        <v>63</v>
      </c>
    </row>
    <row r="1118" spans="2:10" x14ac:dyDescent="0.45">
      <c r="B1118" s="9" t="s">
        <v>140</v>
      </c>
      <c r="C1118" s="9" t="s">
        <v>90</v>
      </c>
      <c r="D1118" s="11">
        <v>2.1130682316407901E-2</v>
      </c>
      <c r="E1118" s="9" t="s">
        <v>63</v>
      </c>
      <c r="G1118" s="9" t="s">
        <v>160</v>
      </c>
      <c r="H1118" s="9" t="s">
        <v>90</v>
      </c>
      <c r="I1118" s="13">
        <v>7.9808967258787715E-3</v>
      </c>
      <c r="J1118" s="9" t="s">
        <v>63</v>
      </c>
    </row>
    <row r="1119" spans="2:10" x14ac:dyDescent="0.45">
      <c r="B1119" s="8" t="s">
        <v>140</v>
      </c>
      <c r="C1119" s="8" t="s">
        <v>91</v>
      </c>
      <c r="D1119" s="10">
        <v>5.6335124941122826E-3</v>
      </c>
      <c r="E1119" s="8" t="s">
        <v>63</v>
      </c>
      <c r="G1119" s="8" t="s">
        <v>160</v>
      </c>
      <c r="H1119" s="8" t="s">
        <v>91</v>
      </c>
      <c r="I1119" s="12">
        <v>9.1546562349280932E-3</v>
      </c>
      <c r="J1119" s="8" t="s">
        <v>63</v>
      </c>
    </row>
    <row r="1120" spans="2:10" x14ac:dyDescent="0.45">
      <c r="B1120" s="9" t="s">
        <v>140</v>
      </c>
      <c r="C1120" s="9" t="s">
        <v>92</v>
      </c>
      <c r="D1120" s="11">
        <v>0</v>
      </c>
      <c r="E1120" s="9" t="s">
        <v>63</v>
      </c>
      <c r="G1120" s="9" t="s">
        <v>160</v>
      </c>
      <c r="H1120" s="9" t="s">
        <v>92</v>
      </c>
      <c r="I1120" s="13">
        <v>1.4650846714512047E-2</v>
      </c>
      <c r="J1120" s="9" t="s">
        <v>63</v>
      </c>
    </row>
    <row r="1121" spans="2:10" x14ac:dyDescent="0.45">
      <c r="B1121" s="8" t="s">
        <v>140</v>
      </c>
      <c r="C1121" s="8" t="s">
        <v>93</v>
      </c>
      <c r="D1121" s="10">
        <v>0</v>
      </c>
      <c r="E1121" s="8" t="s">
        <v>63</v>
      </c>
      <c r="G1121" s="8" t="s">
        <v>160</v>
      </c>
      <c r="H1121" s="8" t="s">
        <v>93</v>
      </c>
      <c r="I1121" s="12">
        <v>2.0135588972866086E-2</v>
      </c>
      <c r="J1121" s="8" t="s">
        <v>63</v>
      </c>
    </row>
    <row r="1122" spans="2:10" x14ac:dyDescent="0.45">
      <c r="B1122" s="9" t="s">
        <v>140</v>
      </c>
      <c r="C1122" s="9" t="s">
        <v>94</v>
      </c>
      <c r="D1122" s="11">
        <v>1.6661757221916283E-2</v>
      </c>
      <c r="E1122" s="9" t="s">
        <v>63</v>
      </c>
      <c r="G1122" s="9" t="s">
        <v>160</v>
      </c>
      <c r="H1122" s="9" t="s">
        <v>94</v>
      </c>
      <c r="I1122" s="13">
        <v>7.1729784837720814E-3</v>
      </c>
      <c r="J1122" s="9" t="s">
        <v>63</v>
      </c>
    </row>
    <row r="1123" spans="2:10" x14ac:dyDescent="0.45">
      <c r="B1123" s="8" t="s">
        <v>140</v>
      </c>
      <c r="C1123" s="8" t="s">
        <v>95</v>
      </c>
      <c r="D1123" s="10">
        <v>4.2176409287808365E-2</v>
      </c>
      <c r="E1123" s="8" t="s">
        <v>63</v>
      </c>
      <c r="G1123" s="8" t="s">
        <v>160</v>
      </c>
      <c r="H1123" s="8" t="s">
        <v>95</v>
      </c>
      <c r="I1123" s="12">
        <v>5.937825909001224E-3</v>
      </c>
      <c r="J1123" s="8" t="s">
        <v>63</v>
      </c>
    </row>
    <row r="1124" spans="2:10" x14ac:dyDescent="0.45">
      <c r="B1124" s="9" t="s">
        <v>140</v>
      </c>
      <c r="C1124" s="9" t="s">
        <v>96</v>
      </c>
      <c r="D1124" s="11">
        <v>5.3250629343256153E-2</v>
      </c>
      <c r="E1124" s="9" t="s">
        <v>63</v>
      </c>
      <c r="G1124" s="9" t="s">
        <v>160</v>
      </c>
      <c r="H1124" s="9" t="s">
        <v>96</v>
      </c>
      <c r="I1124" s="13">
        <v>6.9522160775447629E-3</v>
      </c>
      <c r="J1124" s="9" t="s">
        <v>63</v>
      </c>
    </row>
    <row r="1125" spans="2:10" x14ac:dyDescent="0.45">
      <c r="B1125" s="8" t="s">
        <v>140</v>
      </c>
      <c r="C1125" s="8" t="s">
        <v>97</v>
      </c>
      <c r="D1125" s="10">
        <v>5.1779239898161154E-2</v>
      </c>
      <c r="E1125" s="8" t="s">
        <v>63</v>
      </c>
      <c r="G1125" s="8" t="s">
        <v>160</v>
      </c>
      <c r="H1125" s="8" t="s">
        <v>97</v>
      </c>
      <c r="I1125" s="12">
        <v>5.7691113437469783E-3</v>
      </c>
      <c r="J1125" s="8" t="s">
        <v>63</v>
      </c>
    </row>
    <row r="1126" spans="2:10" x14ac:dyDescent="0.45">
      <c r="B1126" s="9" t="s">
        <v>140</v>
      </c>
      <c r="C1126" s="9" t="s">
        <v>98</v>
      </c>
      <c r="D1126" s="11">
        <v>4.9657667549408452E-2</v>
      </c>
      <c r="E1126" s="9" t="s">
        <v>63</v>
      </c>
      <c r="G1126" s="9" t="s">
        <v>160</v>
      </c>
      <c r="H1126" s="9" t="s">
        <v>98</v>
      </c>
      <c r="I1126" s="13">
        <v>6.4006090345982217E-3</v>
      </c>
      <c r="J1126" s="9" t="s">
        <v>63</v>
      </c>
    </row>
    <row r="1127" spans="2:10" x14ac:dyDescent="0.45">
      <c r="B1127" s="8" t="s">
        <v>140</v>
      </c>
      <c r="C1127" s="8" t="s">
        <v>99</v>
      </c>
      <c r="D1127" s="10">
        <v>4.3478745510571223E-2</v>
      </c>
      <c r="E1127" s="8" t="s">
        <v>63</v>
      </c>
      <c r="G1127" s="8" t="s">
        <v>160</v>
      </c>
      <c r="H1127" s="8" t="s">
        <v>99</v>
      </c>
      <c r="I1127" s="12">
        <v>6.7963674886640348E-3</v>
      </c>
      <c r="J1127" s="8" t="s">
        <v>63</v>
      </c>
    </row>
    <row r="1128" spans="2:10" x14ac:dyDescent="0.45">
      <c r="B1128" s="9" t="s">
        <v>140</v>
      </c>
      <c r="C1128" s="9" t="s">
        <v>100</v>
      </c>
      <c r="D1128" s="11">
        <v>2.8311895664001375E-2</v>
      </c>
      <c r="E1128" s="9" t="s">
        <v>63</v>
      </c>
      <c r="G1128" s="9" t="s">
        <v>160</v>
      </c>
      <c r="H1128" s="9" t="s">
        <v>100</v>
      </c>
      <c r="I1128" s="13">
        <v>6.1360868450887106E-3</v>
      </c>
      <c r="J1128" s="9" t="s">
        <v>63</v>
      </c>
    </row>
    <row r="1129" spans="2:10" x14ac:dyDescent="0.45">
      <c r="B1129" s="8" t="s">
        <v>140</v>
      </c>
      <c r="C1129" s="8" t="s">
        <v>101</v>
      </c>
      <c r="D1129" s="10">
        <v>7.1464646621349943E-3</v>
      </c>
      <c r="E1129" s="8" t="s">
        <v>63</v>
      </c>
      <c r="G1129" s="8" t="s">
        <v>160</v>
      </c>
      <c r="H1129" s="8" t="s">
        <v>101</v>
      </c>
      <c r="I1129" s="12">
        <v>7.1203738528537539E-3</v>
      </c>
      <c r="J1129" s="8" t="s">
        <v>63</v>
      </c>
    </row>
    <row r="1130" spans="2:10" x14ac:dyDescent="0.45">
      <c r="B1130" s="9" t="s">
        <v>140</v>
      </c>
      <c r="C1130" s="9" t="s">
        <v>102</v>
      </c>
      <c r="D1130" s="11">
        <v>0</v>
      </c>
      <c r="E1130" s="9" t="s">
        <v>63</v>
      </c>
      <c r="G1130" s="9" t="s">
        <v>160</v>
      </c>
      <c r="H1130" s="9" t="s">
        <v>102</v>
      </c>
      <c r="I1130" s="13">
        <v>1.2364900526119096E-2</v>
      </c>
      <c r="J1130" s="9" t="s">
        <v>63</v>
      </c>
    </row>
    <row r="1131" spans="2:10" x14ac:dyDescent="0.45">
      <c r="B1131" s="8" t="s">
        <v>140</v>
      </c>
      <c r="C1131" s="8" t="s">
        <v>103</v>
      </c>
      <c r="D1131" s="10">
        <v>0</v>
      </c>
      <c r="E1131" s="8" t="s">
        <v>63</v>
      </c>
      <c r="G1131" s="8" t="s">
        <v>160</v>
      </c>
      <c r="H1131" s="8" t="s">
        <v>103</v>
      </c>
      <c r="I1131" s="12">
        <v>3.2640745688189761E-2</v>
      </c>
      <c r="J1131" s="8" t="s">
        <v>63</v>
      </c>
    </row>
    <row r="1132" spans="2:10" x14ac:dyDescent="0.45">
      <c r="B1132" s="9" t="s">
        <v>140</v>
      </c>
      <c r="C1132" s="9" t="s">
        <v>104</v>
      </c>
      <c r="D1132" s="11">
        <v>1.39672268858783E-3</v>
      </c>
      <c r="E1132" s="9" t="s">
        <v>63</v>
      </c>
      <c r="G1132" s="9" t="s">
        <v>160</v>
      </c>
      <c r="H1132" s="9" t="s">
        <v>104</v>
      </c>
      <c r="I1132" s="13">
        <v>1.2144455626442235E-2</v>
      </c>
      <c r="J1132" s="9" t="s">
        <v>63</v>
      </c>
    </row>
    <row r="1133" spans="2:10" x14ac:dyDescent="0.45">
      <c r="B1133" s="8" t="s">
        <v>140</v>
      </c>
      <c r="C1133" s="8" t="s">
        <v>105</v>
      </c>
      <c r="D1133" s="10">
        <v>1.7326401015470245E-2</v>
      </c>
      <c r="E1133" s="8" t="s">
        <v>63</v>
      </c>
      <c r="G1133" s="8" t="s">
        <v>160</v>
      </c>
      <c r="H1133" s="8" t="s">
        <v>105</v>
      </c>
      <c r="I1133" s="12">
        <v>1.193706598966647E-2</v>
      </c>
      <c r="J1133" s="8" t="s">
        <v>63</v>
      </c>
    </row>
    <row r="1134" spans="2:10" x14ac:dyDescent="0.45">
      <c r="B1134" s="9" t="s">
        <v>140</v>
      </c>
      <c r="C1134" s="9" t="s">
        <v>106</v>
      </c>
      <c r="D1134" s="11">
        <v>3.107725602325807E-2</v>
      </c>
      <c r="E1134" s="9" t="s">
        <v>63</v>
      </c>
      <c r="G1134" s="9" t="s">
        <v>160</v>
      </c>
      <c r="H1134" s="9" t="s">
        <v>106</v>
      </c>
      <c r="I1134" s="13">
        <v>1.2307633119417958E-2</v>
      </c>
      <c r="J1134" s="9" t="s">
        <v>63</v>
      </c>
    </row>
    <row r="1135" spans="2:10" x14ac:dyDescent="0.45">
      <c r="B1135" s="8" t="s">
        <v>140</v>
      </c>
      <c r="C1135" s="8" t="s">
        <v>107</v>
      </c>
      <c r="D1135" s="10">
        <v>3.1777540215826725E-2</v>
      </c>
      <c r="E1135" s="8" t="s">
        <v>63</v>
      </c>
      <c r="G1135" s="8" t="s">
        <v>160</v>
      </c>
      <c r="H1135" s="8" t="s">
        <v>107</v>
      </c>
      <c r="I1135" s="12">
        <v>1.1554040800029013E-2</v>
      </c>
      <c r="J1135" s="8" t="s">
        <v>63</v>
      </c>
    </row>
    <row r="1136" spans="2:10" x14ac:dyDescent="0.45">
      <c r="B1136" s="9" t="s">
        <v>140</v>
      </c>
      <c r="C1136" s="9" t="s">
        <v>108</v>
      </c>
      <c r="D1136" s="11">
        <v>3.2860871335369822E-2</v>
      </c>
      <c r="E1136" s="9" t="s">
        <v>63</v>
      </c>
      <c r="G1136" s="9" t="s">
        <v>160</v>
      </c>
      <c r="H1136" s="9" t="s">
        <v>108</v>
      </c>
      <c r="I1136" s="13">
        <v>1.3972512818549438E-2</v>
      </c>
      <c r="J1136" s="9" t="s">
        <v>63</v>
      </c>
    </row>
    <row r="1137" spans="2:10" x14ac:dyDescent="0.45">
      <c r="B1137" s="8" t="s">
        <v>140</v>
      </c>
      <c r="C1137" s="8" t="s">
        <v>109</v>
      </c>
      <c r="D1137" s="10">
        <v>2.3213637660477213E-2</v>
      </c>
      <c r="E1137" s="8" t="s">
        <v>63</v>
      </c>
      <c r="G1137" s="8" t="s">
        <v>160</v>
      </c>
      <c r="H1137" s="8" t="s">
        <v>109</v>
      </c>
      <c r="I1137" s="12">
        <v>1.4674628160922182E-2</v>
      </c>
      <c r="J1137" s="8" t="s">
        <v>63</v>
      </c>
    </row>
    <row r="1138" spans="2:10" x14ac:dyDescent="0.45">
      <c r="B1138" s="9" t="s">
        <v>140</v>
      </c>
      <c r="C1138" s="9" t="s">
        <v>110</v>
      </c>
      <c r="D1138" s="11">
        <v>6.862352187573903E-3</v>
      </c>
      <c r="E1138" s="9" t="s">
        <v>63</v>
      </c>
      <c r="G1138" s="9" t="s">
        <v>160</v>
      </c>
      <c r="H1138" s="9" t="s">
        <v>110</v>
      </c>
      <c r="I1138" s="13">
        <v>1.6128577909738817E-2</v>
      </c>
      <c r="J1138" s="9" t="s">
        <v>63</v>
      </c>
    </row>
    <row r="1139" spans="2:10" x14ac:dyDescent="0.45">
      <c r="B1139" s="8" t="s">
        <v>140</v>
      </c>
      <c r="C1139" s="8" t="s">
        <v>111</v>
      </c>
      <c r="D1139" s="10">
        <v>0</v>
      </c>
      <c r="E1139" s="8" t="s">
        <v>63</v>
      </c>
      <c r="G1139" s="8" t="s">
        <v>160</v>
      </c>
      <c r="H1139" s="8" t="s">
        <v>111</v>
      </c>
      <c r="I1139" s="12">
        <v>1.6839763149237012E-2</v>
      </c>
      <c r="J1139" s="8" t="s">
        <v>63</v>
      </c>
    </row>
    <row r="1140" spans="2:10" x14ac:dyDescent="0.45">
      <c r="B1140" s="9" t="s">
        <v>140</v>
      </c>
      <c r="C1140" s="9" t="s">
        <v>112</v>
      </c>
      <c r="D1140" s="11">
        <v>0</v>
      </c>
      <c r="E1140" s="9" t="s">
        <v>63</v>
      </c>
      <c r="G1140" s="9" t="s">
        <v>160</v>
      </c>
      <c r="H1140" s="9" t="s">
        <v>112</v>
      </c>
      <c r="I1140" s="13">
        <v>2.3825868801004325E-2</v>
      </c>
      <c r="J1140" s="9" t="s">
        <v>63</v>
      </c>
    </row>
    <row r="1141" spans="2:10" x14ac:dyDescent="0.45">
      <c r="B1141" s="8" t="s">
        <v>140</v>
      </c>
      <c r="C1141" s="8" t="s">
        <v>113</v>
      </c>
      <c r="D1141" s="10">
        <v>0</v>
      </c>
      <c r="E1141" s="8" t="s">
        <v>63</v>
      </c>
      <c r="G1141" s="8" t="s">
        <v>160</v>
      </c>
      <c r="H1141" s="8" t="s">
        <v>113</v>
      </c>
      <c r="I1141" s="12">
        <v>5.5724566664711921E-2</v>
      </c>
      <c r="J1141" s="8" t="s">
        <v>63</v>
      </c>
    </row>
    <row r="1142" spans="2:10" x14ac:dyDescent="0.45">
      <c r="B1142" s="9" t="s">
        <v>140</v>
      </c>
      <c r="C1142" s="9" t="s">
        <v>114</v>
      </c>
      <c r="D1142" s="11">
        <v>0</v>
      </c>
      <c r="E1142" s="9" t="s">
        <v>63</v>
      </c>
      <c r="G1142" s="9" t="s">
        <v>160</v>
      </c>
      <c r="H1142" s="9" t="s">
        <v>114</v>
      </c>
      <c r="I1142" s="13">
        <v>2.1257844534498051E-2</v>
      </c>
      <c r="J1142" s="9" t="s">
        <v>63</v>
      </c>
    </row>
    <row r="1143" spans="2:10" x14ac:dyDescent="0.45">
      <c r="B1143" s="8" t="s">
        <v>140</v>
      </c>
      <c r="C1143" s="8" t="s">
        <v>115</v>
      </c>
      <c r="D1143" s="10">
        <v>1.6202980871613364E-3</v>
      </c>
      <c r="E1143" s="8" t="s">
        <v>63</v>
      </c>
      <c r="G1143" s="8" t="s">
        <v>160</v>
      </c>
      <c r="H1143" s="8" t="s">
        <v>115</v>
      </c>
      <c r="I1143" s="12">
        <v>2.1180925287853983E-2</v>
      </c>
      <c r="J1143" s="8" t="s">
        <v>63</v>
      </c>
    </row>
    <row r="1144" spans="2:10" x14ac:dyDescent="0.45">
      <c r="B1144" s="9" t="s">
        <v>140</v>
      </c>
      <c r="C1144" s="9" t="s">
        <v>116</v>
      </c>
      <c r="D1144" s="11">
        <v>1.3448541223218044E-2</v>
      </c>
      <c r="E1144" s="9" t="s">
        <v>63</v>
      </c>
      <c r="G1144" s="9" t="s">
        <v>160</v>
      </c>
      <c r="H1144" s="9" t="s">
        <v>116</v>
      </c>
      <c r="I1144" s="13">
        <v>2.0436324168192119E-2</v>
      </c>
      <c r="J1144" s="9" t="s">
        <v>63</v>
      </c>
    </row>
    <row r="1145" spans="2:10" x14ac:dyDescent="0.45">
      <c r="B1145" s="8" t="s">
        <v>140</v>
      </c>
      <c r="C1145" s="8" t="s">
        <v>117</v>
      </c>
      <c r="D1145" s="10">
        <v>1.5951629061453036E-2</v>
      </c>
      <c r="E1145" s="8" t="s">
        <v>63</v>
      </c>
      <c r="G1145" s="8" t="s">
        <v>160</v>
      </c>
      <c r="H1145" s="8" t="s">
        <v>117</v>
      </c>
      <c r="I1145" s="12">
        <v>1.9252868237124535E-2</v>
      </c>
      <c r="J1145" s="8" t="s">
        <v>63</v>
      </c>
    </row>
    <row r="1146" spans="2:10" x14ac:dyDescent="0.45">
      <c r="B1146" s="9" t="s">
        <v>140</v>
      </c>
      <c r="C1146" s="9" t="s">
        <v>118</v>
      </c>
      <c r="D1146" s="11">
        <v>1.6039933553313231E-2</v>
      </c>
      <c r="E1146" s="9" t="s">
        <v>63</v>
      </c>
      <c r="G1146" s="9" t="s">
        <v>160</v>
      </c>
      <c r="H1146" s="9" t="s">
        <v>118</v>
      </c>
      <c r="I1146" s="13">
        <v>2.0024805624859365E-2</v>
      </c>
      <c r="J1146" s="9" t="s">
        <v>63</v>
      </c>
    </row>
    <row r="1147" spans="2:10" x14ac:dyDescent="0.45">
      <c r="B1147" s="8" t="s">
        <v>140</v>
      </c>
      <c r="C1147" s="8" t="s">
        <v>119</v>
      </c>
      <c r="D1147" s="10">
        <v>5.2992049992943565E-3</v>
      </c>
      <c r="E1147" s="8" t="s">
        <v>63</v>
      </c>
      <c r="G1147" s="8" t="s">
        <v>160</v>
      </c>
      <c r="H1147" s="8" t="s">
        <v>119</v>
      </c>
      <c r="I1147" s="12">
        <v>2.219911979820198E-2</v>
      </c>
      <c r="J1147" s="8" t="s">
        <v>63</v>
      </c>
    </row>
    <row r="1148" spans="2:10" x14ac:dyDescent="0.45">
      <c r="B1148" s="9" t="s">
        <v>140</v>
      </c>
      <c r="C1148" s="9" t="s">
        <v>120</v>
      </c>
      <c r="D1148" s="11">
        <v>0</v>
      </c>
      <c r="E1148" s="9" t="s">
        <v>63</v>
      </c>
      <c r="G1148" s="9" t="s">
        <v>160</v>
      </c>
      <c r="H1148" s="9" t="s">
        <v>120</v>
      </c>
      <c r="I1148" s="13">
        <v>2.4305904845282441E-2</v>
      </c>
      <c r="J1148" s="9" t="s">
        <v>63</v>
      </c>
    </row>
    <row r="1149" spans="2:10" x14ac:dyDescent="0.45">
      <c r="B1149" s="8" t="s">
        <v>140</v>
      </c>
      <c r="C1149" s="8" t="s">
        <v>121</v>
      </c>
      <c r="D1149" s="10">
        <v>0</v>
      </c>
      <c r="E1149" s="8" t="s">
        <v>63</v>
      </c>
      <c r="G1149" s="8" t="s">
        <v>160</v>
      </c>
      <c r="H1149" s="8" t="s">
        <v>121</v>
      </c>
      <c r="I1149" s="12">
        <v>2.4273203337001729E-2</v>
      </c>
      <c r="J1149" s="8" t="s">
        <v>63</v>
      </c>
    </row>
    <row r="1150" spans="2:10" x14ac:dyDescent="0.45">
      <c r="B1150" s="9" t="s">
        <v>140</v>
      </c>
      <c r="C1150" s="9" t="s">
        <v>122</v>
      </c>
      <c r="D1150" s="11">
        <v>0</v>
      </c>
      <c r="E1150" s="9" t="s">
        <v>63</v>
      </c>
      <c r="G1150" s="9" t="s">
        <v>160</v>
      </c>
      <c r="H1150" s="9" t="s">
        <v>122</v>
      </c>
      <c r="I1150" s="13">
        <v>3.4246396003529363E-2</v>
      </c>
      <c r="J1150" s="9" t="s">
        <v>63</v>
      </c>
    </row>
    <row r="1151" spans="2:10" x14ac:dyDescent="0.45">
      <c r="B1151" s="8" t="s">
        <v>141</v>
      </c>
      <c r="C1151" s="8" t="s">
        <v>62</v>
      </c>
      <c r="D1151" s="10">
        <v>0</v>
      </c>
      <c r="E1151" s="8" t="s">
        <v>63</v>
      </c>
      <c r="G1151" s="8" t="s">
        <v>161</v>
      </c>
      <c r="H1151" s="8" t="s">
        <v>62</v>
      </c>
      <c r="I1151" s="12">
        <v>3.8893297631175321E-2</v>
      </c>
      <c r="J1151" s="8" t="s">
        <v>63</v>
      </c>
    </row>
    <row r="1152" spans="2:10" x14ac:dyDescent="0.45">
      <c r="B1152" s="9" t="s">
        <v>141</v>
      </c>
      <c r="C1152" s="9" t="s">
        <v>64</v>
      </c>
      <c r="D1152" s="11">
        <v>0</v>
      </c>
      <c r="E1152" s="9" t="s">
        <v>63</v>
      </c>
      <c r="G1152" s="9" t="s">
        <v>161</v>
      </c>
      <c r="H1152" s="9" t="s">
        <v>64</v>
      </c>
      <c r="I1152" s="13">
        <v>1.6547953468788058E-2</v>
      </c>
      <c r="J1152" s="9" t="s">
        <v>63</v>
      </c>
    </row>
    <row r="1153" spans="2:10" x14ac:dyDescent="0.45">
      <c r="B1153" s="8" t="s">
        <v>141</v>
      </c>
      <c r="C1153" s="8" t="s">
        <v>65</v>
      </c>
      <c r="D1153" s="10">
        <v>1.3125607082344116E-3</v>
      </c>
      <c r="E1153" s="8" t="s">
        <v>63</v>
      </c>
      <c r="G1153" s="8" t="s">
        <v>161</v>
      </c>
      <c r="H1153" s="8" t="s">
        <v>65</v>
      </c>
      <c r="I1153" s="12">
        <v>1.6517051099846178E-2</v>
      </c>
      <c r="J1153" s="8" t="s">
        <v>63</v>
      </c>
    </row>
    <row r="1154" spans="2:10" x14ac:dyDescent="0.45">
      <c r="B1154" s="9" t="s">
        <v>141</v>
      </c>
      <c r="C1154" s="9" t="s">
        <v>66</v>
      </c>
      <c r="D1154" s="11">
        <v>1.2137409052663497E-2</v>
      </c>
      <c r="E1154" s="9" t="s">
        <v>63</v>
      </c>
      <c r="G1154" s="9" t="s">
        <v>161</v>
      </c>
      <c r="H1154" s="9" t="s">
        <v>66</v>
      </c>
      <c r="I1154" s="13">
        <v>1.6099965639416892E-2</v>
      </c>
      <c r="J1154" s="9" t="s">
        <v>63</v>
      </c>
    </row>
    <row r="1155" spans="2:10" x14ac:dyDescent="0.45">
      <c r="B1155" s="8" t="s">
        <v>141</v>
      </c>
      <c r="C1155" s="8" t="s">
        <v>67</v>
      </c>
      <c r="D1155" s="10">
        <v>1.7915637983674581E-2</v>
      </c>
      <c r="E1155" s="8" t="s">
        <v>63</v>
      </c>
      <c r="G1155" s="8" t="s">
        <v>161</v>
      </c>
      <c r="H1155" s="8" t="s">
        <v>67</v>
      </c>
      <c r="I1155" s="12">
        <v>1.4915926059562877E-2</v>
      </c>
      <c r="J1155" s="8" t="s">
        <v>63</v>
      </c>
    </row>
    <row r="1156" spans="2:10" x14ac:dyDescent="0.45">
      <c r="B1156" s="9" t="s">
        <v>141</v>
      </c>
      <c r="C1156" s="9" t="s">
        <v>68</v>
      </c>
      <c r="D1156" s="11">
        <v>1.6338335617096206E-2</v>
      </c>
      <c r="E1156" s="9" t="s">
        <v>63</v>
      </c>
      <c r="G1156" s="9" t="s">
        <v>161</v>
      </c>
      <c r="H1156" s="9" t="s">
        <v>68</v>
      </c>
      <c r="I1156" s="13">
        <v>1.51893791864982E-2</v>
      </c>
      <c r="J1156" s="9" t="s">
        <v>63</v>
      </c>
    </row>
    <row r="1157" spans="2:10" x14ac:dyDescent="0.45">
      <c r="B1157" s="8" t="s">
        <v>141</v>
      </c>
      <c r="C1157" s="8" t="s">
        <v>69</v>
      </c>
      <c r="D1157" s="10">
        <v>7.0739709202330353E-3</v>
      </c>
      <c r="E1157" s="8" t="s">
        <v>63</v>
      </c>
      <c r="G1157" s="8" t="s">
        <v>161</v>
      </c>
      <c r="H1157" s="8" t="s">
        <v>69</v>
      </c>
      <c r="I1157" s="12">
        <v>1.6059419194400602E-2</v>
      </c>
      <c r="J1157" s="8" t="s">
        <v>63</v>
      </c>
    </row>
    <row r="1158" spans="2:10" x14ac:dyDescent="0.45">
      <c r="B1158" s="9" t="s">
        <v>141</v>
      </c>
      <c r="C1158" s="9" t="s">
        <v>70</v>
      </c>
      <c r="D1158" s="11">
        <v>4.9277305922839352E-4</v>
      </c>
      <c r="E1158" s="9" t="s">
        <v>63</v>
      </c>
      <c r="G1158" s="9" t="s">
        <v>161</v>
      </c>
      <c r="H1158" s="9" t="s">
        <v>70</v>
      </c>
      <c r="I1158" s="13">
        <v>1.6302914527695552E-2</v>
      </c>
      <c r="J1158" s="9" t="s">
        <v>63</v>
      </c>
    </row>
    <row r="1159" spans="2:10" x14ac:dyDescent="0.45">
      <c r="B1159" s="8" t="s">
        <v>141</v>
      </c>
      <c r="C1159" s="8" t="s">
        <v>71</v>
      </c>
      <c r="D1159" s="10">
        <v>0</v>
      </c>
      <c r="E1159" s="8" t="s">
        <v>63</v>
      </c>
      <c r="G1159" s="8" t="s">
        <v>161</v>
      </c>
      <c r="H1159" s="8" t="s">
        <v>71</v>
      </c>
      <c r="I1159" s="12">
        <v>1.6274199420948692E-2</v>
      </c>
      <c r="J1159" s="8" t="s">
        <v>63</v>
      </c>
    </row>
    <row r="1160" spans="2:10" x14ac:dyDescent="0.45">
      <c r="B1160" s="9" t="s">
        <v>141</v>
      </c>
      <c r="C1160" s="9" t="s">
        <v>72</v>
      </c>
      <c r="D1160" s="11">
        <v>0</v>
      </c>
      <c r="E1160" s="9" t="s">
        <v>63</v>
      </c>
      <c r="G1160" s="9" t="s">
        <v>161</v>
      </c>
      <c r="H1160" s="9" t="s">
        <v>72</v>
      </c>
      <c r="I1160" s="13">
        <v>2.3107537780111757E-2</v>
      </c>
      <c r="J1160" s="9" t="s">
        <v>63</v>
      </c>
    </row>
    <row r="1161" spans="2:10" x14ac:dyDescent="0.45">
      <c r="B1161" s="8" t="s">
        <v>141</v>
      </c>
      <c r="C1161" s="8" t="s">
        <v>73</v>
      </c>
      <c r="D1161" s="10">
        <v>0</v>
      </c>
      <c r="E1161" s="8" t="s">
        <v>63</v>
      </c>
      <c r="G1161" s="8" t="s">
        <v>161</v>
      </c>
      <c r="H1161" s="8" t="s">
        <v>73</v>
      </c>
      <c r="I1161" s="12">
        <v>3.99653565107711E-2</v>
      </c>
      <c r="J1161" s="8" t="s">
        <v>63</v>
      </c>
    </row>
    <row r="1162" spans="2:10" x14ac:dyDescent="0.45">
      <c r="B1162" s="9" t="s">
        <v>141</v>
      </c>
      <c r="C1162" s="9" t="s">
        <v>74</v>
      </c>
      <c r="D1162" s="11">
        <v>4.6361907557135274E-3</v>
      </c>
      <c r="E1162" s="9" t="s">
        <v>63</v>
      </c>
      <c r="G1162" s="9" t="s">
        <v>161</v>
      </c>
      <c r="H1162" s="9" t="s">
        <v>74</v>
      </c>
      <c r="I1162" s="13">
        <v>1.4829602598064744E-2</v>
      </c>
      <c r="J1162" s="9" t="s">
        <v>63</v>
      </c>
    </row>
    <row r="1163" spans="2:10" x14ac:dyDescent="0.45">
      <c r="B1163" s="8" t="s">
        <v>141</v>
      </c>
      <c r="C1163" s="8" t="s">
        <v>75</v>
      </c>
      <c r="D1163" s="10">
        <v>2.7424192166804147E-2</v>
      </c>
      <c r="E1163" s="8" t="s">
        <v>63</v>
      </c>
      <c r="G1163" s="8" t="s">
        <v>161</v>
      </c>
      <c r="H1163" s="8" t="s">
        <v>75</v>
      </c>
      <c r="I1163" s="12">
        <v>1.3433251268364584E-2</v>
      </c>
      <c r="J1163" s="8" t="s">
        <v>63</v>
      </c>
    </row>
    <row r="1164" spans="2:10" x14ac:dyDescent="0.45">
      <c r="B1164" s="9" t="s">
        <v>141</v>
      </c>
      <c r="C1164" s="9" t="s">
        <v>76</v>
      </c>
      <c r="D1164" s="11">
        <v>4.0905356141853949E-2</v>
      </c>
      <c r="E1164" s="9" t="s">
        <v>63</v>
      </c>
      <c r="G1164" s="9" t="s">
        <v>161</v>
      </c>
      <c r="H1164" s="9" t="s">
        <v>76</v>
      </c>
      <c r="I1164" s="13">
        <v>1.3019141442470036E-2</v>
      </c>
      <c r="J1164" s="9" t="s">
        <v>63</v>
      </c>
    </row>
    <row r="1165" spans="2:10" x14ac:dyDescent="0.45">
      <c r="B1165" s="8" t="s">
        <v>141</v>
      </c>
      <c r="C1165" s="8" t="s">
        <v>77</v>
      </c>
      <c r="D1165" s="10">
        <v>4.2511374959664922E-2</v>
      </c>
      <c r="E1165" s="8" t="s">
        <v>63</v>
      </c>
      <c r="G1165" s="8" t="s">
        <v>161</v>
      </c>
      <c r="H1165" s="8" t="s">
        <v>77</v>
      </c>
      <c r="I1165" s="12">
        <v>1.3422070446894719E-2</v>
      </c>
      <c r="J1165" s="8" t="s">
        <v>63</v>
      </c>
    </row>
    <row r="1166" spans="2:10" x14ac:dyDescent="0.45">
      <c r="B1166" s="9" t="s">
        <v>141</v>
      </c>
      <c r="C1166" s="9" t="s">
        <v>78</v>
      </c>
      <c r="D1166" s="11">
        <v>4.0961969560780881E-2</v>
      </c>
      <c r="E1166" s="9" t="s">
        <v>63</v>
      </c>
      <c r="G1166" s="9" t="s">
        <v>161</v>
      </c>
      <c r="H1166" s="9" t="s">
        <v>78</v>
      </c>
      <c r="I1166" s="13">
        <v>1.5131798771354656E-2</v>
      </c>
      <c r="J1166" s="9" t="s">
        <v>63</v>
      </c>
    </row>
    <row r="1167" spans="2:10" x14ac:dyDescent="0.45">
      <c r="B1167" s="8" t="s">
        <v>141</v>
      </c>
      <c r="C1167" s="8" t="s">
        <v>79</v>
      </c>
      <c r="D1167" s="10">
        <v>3.2290881305210323E-2</v>
      </c>
      <c r="E1167" s="8" t="s">
        <v>63</v>
      </c>
      <c r="G1167" s="8" t="s">
        <v>161</v>
      </c>
      <c r="H1167" s="8" t="s">
        <v>79</v>
      </c>
      <c r="I1167" s="12">
        <v>1.6056564290067354E-2</v>
      </c>
      <c r="J1167" s="8" t="s">
        <v>63</v>
      </c>
    </row>
    <row r="1168" spans="2:10" x14ac:dyDescent="0.45">
      <c r="B1168" s="9" t="s">
        <v>141</v>
      </c>
      <c r="C1168" s="9" t="s">
        <v>80</v>
      </c>
      <c r="D1168" s="11">
        <v>1.5051689810156905E-2</v>
      </c>
      <c r="E1168" s="9" t="s">
        <v>63</v>
      </c>
      <c r="G1168" s="9" t="s">
        <v>161</v>
      </c>
      <c r="H1168" s="9" t="s">
        <v>80</v>
      </c>
      <c r="I1168" s="13">
        <v>1.5917505916163636E-2</v>
      </c>
      <c r="J1168" s="9" t="s">
        <v>63</v>
      </c>
    </row>
    <row r="1169" spans="2:10" x14ac:dyDescent="0.45">
      <c r="B1169" s="8" t="s">
        <v>141</v>
      </c>
      <c r="C1169" s="8" t="s">
        <v>81</v>
      </c>
      <c r="D1169" s="10">
        <v>3.3036466205091646E-4</v>
      </c>
      <c r="E1169" s="8" t="s">
        <v>63</v>
      </c>
      <c r="G1169" s="8" t="s">
        <v>161</v>
      </c>
      <c r="H1169" s="8" t="s">
        <v>81</v>
      </c>
      <c r="I1169" s="12">
        <v>1.7400784673500969E-2</v>
      </c>
      <c r="J1169" s="8" t="s">
        <v>63</v>
      </c>
    </row>
    <row r="1170" spans="2:10" x14ac:dyDescent="0.45">
      <c r="B1170" s="9" t="s">
        <v>141</v>
      </c>
      <c r="C1170" s="9" t="s">
        <v>82</v>
      </c>
      <c r="D1170" s="11">
        <v>0</v>
      </c>
      <c r="E1170" s="9" t="s">
        <v>63</v>
      </c>
      <c r="G1170" s="9" t="s">
        <v>161</v>
      </c>
      <c r="H1170" s="9" t="s">
        <v>82</v>
      </c>
      <c r="I1170" s="13">
        <v>2.5505166970079755E-2</v>
      </c>
      <c r="J1170" s="9" t="s">
        <v>63</v>
      </c>
    </row>
    <row r="1171" spans="2:10" x14ac:dyDescent="0.45">
      <c r="B1171" s="8" t="s">
        <v>141</v>
      </c>
      <c r="C1171" s="8" t="s">
        <v>83</v>
      </c>
      <c r="D1171" s="10">
        <v>6.8213935075864263E-4</v>
      </c>
      <c r="E1171" s="8" t="s">
        <v>63</v>
      </c>
      <c r="G1171" s="8" t="s">
        <v>161</v>
      </c>
      <c r="H1171" s="8" t="s">
        <v>83</v>
      </c>
      <c r="I1171" s="12">
        <v>2.3575839957807838E-2</v>
      </c>
      <c r="J1171" s="8" t="s">
        <v>63</v>
      </c>
    </row>
    <row r="1172" spans="2:10" x14ac:dyDescent="0.45">
      <c r="B1172" s="9" t="s">
        <v>141</v>
      </c>
      <c r="C1172" s="9" t="s">
        <v>84</v>
      </c>
      <c r="D1172" s="11">
        <v>1.8313427992784646E-2</v>
      </c>
      <c r="E1172" s="9" t="s">
        <v>63</v>
      </c>
      <c r="G1172" s="9" t="s">
        <v>161</v>
      </c>
      <c r="H1172" s="9" t="s">
        <v>84</v>
      </c>
      <c r="I1172" s="13">
        <v>8.6998346478894106E-3</v>
      </c>
      <c r="J1172" s="9" t="s">
        <v>63</v>
      </c>
    </row>
    <row r="1173" spans="2:10" x14ac:dyDescent="0.45">
      <c r="B1173" s="8" t="s">
        <v>141</v>
      </c>
      <c r="C1173" s="8" t="s">
        <v>85</v>
      </c>
      <c r="D1173" s="10">
        <v>3.8545873627901808E-2</v>
      </c>
      <c r="E1173" s="8" t="s">
        <v>63</v>
      </c>
      <c r="G1173" s="8" t="s">
        <v>161</v>
      </c>
      <c r="H1173" s="8" t="s">
        <v>85</v>
      </c>
      <c r="I1173" s="12">
        <v>8.3314441005160663E-3</v>
      </c>
      <c r="J1173" s="8" t="s">
        <v>63</v>
      </c>
    </row>
    <row r="1174" spans="2:10" x14ac:dyDescent="0.45">
      <c r="B1174" s="9" t="s">
        <v>141</v>
      </c>
      <c r="C1174" s="9" t="s">
        <v>86</v>
      </c>
      <c r="D1174" s="11">
        <v>4.8416544661821645E-2</v>
      </c>
      <c r="E1174" s="9" t="s">
        <v>63</v>
      </c>
      <c r="G1174" s="9" t="s">
        <v>161</v>
      </c>
      <c r="H1174" s="9" t="s">
        <v>86</v>
      </c>
      <c r="I1174" s="13">
        <v>9.634889032309156E-3</v>
      </c>
      <c r="J1174" s="9" t="s">
        <v>63</v>
      </c>
    </row>
    <row r="1175" spans="2:10" x14ac:dyDescent="0.45">
      <c r="B1175" s="8" t="s">
        <v>141</v>
      </c>
      <c r="C1175" s="8" t="s">
        <v>87</v>
      </c>
      <c r="D1175" s="10">
        <v>4.855295980267408E-2</v>
      </c>
      <c r="E1175" s="8" t="s">
        <v>63</v>
      </c>
      <c r="G1175" s="8" t="s">
        <v>161</v>
      </c>
      <c r="H1175" s="8" t="s">
        <v>87</v>
      </c>
      <c r="I1175" s="12">
        <v>7.5728224881070729E-3</v>
      </c>
      <c r="J1175" s="8" t="s">
        <v>63</v>
      </c>
    </row>
    <row r="1176" spans="2:10" x14ac:dyDescent="0.45">
      <c r="B1176" s="9" t="s">
        <v>141</v>
      </c>
      <c r="C1176" s="9" t="s">
        <v>88</v>
      </c>
      <c r="D1176" s="11">
        <v>4.565319065893237E-2</v>
      </c>
      <c r="E1176" s="9" t="s">
        <v>63</v>
      </c>
      <c r="G1176" s="9" t="s">
        <v>161</v>
      </c>
      <c r="H1176" s="9" t="s">
        <v>88</v>
      </c>
      <c r="I1176" s="13">
        <v>8.4009186065466899E-3</v>
      </c>
      <c r="J1176" s="9" t="s">
        <v>63</v>
      </c>
    </row>
    <row r="1177" spans="2:10" x14ac:dyDescent="0.45">
      <c r="B1177" s="8" t="s">
        <v>141</v>
      </c>
      <c r="C1177" s="8" t="s">
        <v>89</v>
      </c>
      <c r="D1177" s="10">
        <v>3.7165762304132891E-2</v>
      </c>
      <c r="E1177" s="8" t="s">
        <v>63</v>
      </c>
      <c r="G1177" s="8" t="s">
        <v>161</v>
      </c>
      <c r="H1177" s="8" t="s">
        <v>89</v>
      </c>
      <c r="I1177" s="12">
        <v>8.3895830208297866E-3</v>
      </c>
      <c r="J1177" s="8" t="s">
        <v>63</v>
      </c>
    </row>
    <row r="1178" spans="2:10" x14ac:dyDescent="0.45">
      <c r="B1178" s="9" t="s">
        <v>141</v>
      </c>
      <c r="C1178" s="9" t="s">
        <v>90</v>
      </c>
      <c r="D1178" s="11">
        <v>2.2993866810837277E-2</v>
      </c>
      <c r="E1178" s="9" t="s">
        <v>63</v>
      </c>
      <c r="G1178" s="9" t="s">
        <v>161</v>
      </c>
      <c r="H1178" s="9" t="s">
        <v>90</v>
      </c>
      <c r="I1178" s="13">
        <v>7.8303302281177434E-3</v>
      </c>
      <c r="J1178" s="9" t="s">
        <v>63</v>
      </c>
    </row>
    <row r="1179" spans="2:10" x14ac:dyDescent="0.45">
      <c r="B1179" s="8" t="s">
        <v>141</v>
      </c>
      <c r="C1179" s="8" t="s">
        <v>91</v>
      </c>
      <c r="D1179" s="10">
        <v>5.6153929753684747E-3</v>
      </c>
      <c r="E1179" s="8" t="s">
        <v>63</v>
      </c>
      <c r="G1179" s="8" t="s">
        <v>161</v>
      </c>
      <c r="H1179" s="8" t="s">
        <v>91</v>
      </c>
      <c r="I1179" s="12">
        <v>8.7527121386743751E-3</v>
      </c>
      <c r="J1179" s="8" t="s">
        <v>63</v>
      </c>
    </row>
    <row r="1180" spans="2:10" x14ac:dyDescent="0.45">
      <c r="B1180" s="9" t="s">
        <v>141</v>
      </c>
      <c r="C1180" s="9" t="s">
        <v>92</v>
      </c>
      <c r="D1180" s="11">
        <v>0</v>
      </c>
      <c r="E1180" s="9" t="s">
        <v>63</v>
      </c>
      <c r="G1180" s="9" t="s">
        <v>161</v>
      </c>
      <c r="H1180" s="9" t="s">
        <v>92</v>
      </c>
      <c r="I1180" s="13">
        <v>1.4324206360791047E-2</v>
      </c>
      <c r="J1180" s="9" t="s">
        <v>63</v>
      </c>
    </row>
    <row r="1181" spans="2:10" x14ac:dyDescent="0.45">
      <c r="B1181" s="8" t="s">
        <v>141</v>
      </c>
      <c r="C1181" s="8" t="s">
        <v>93</v>
      </c>
      <c r="D1181" s="10">
        <v>1.7131005023777769E-5</v>
      </c>
      <c r="E1181" s="8" t="s">
        <v>63</v>
      </c>
      <c r="G1181" s="8" t="s">
        <v>161</v>
      </c>
      <c r="H1181" s="8" t="s">
        <v>93</v>
      </c>
      <c r="I1181" s="12">
        <v>1.7104432448812098E-2</v>
      </c>
      <c r="J1181" s="8" t="s">
        <v>63</v>
      </c>
    </row>
    <row r="1182" spans="2:10" x14ac:dyDescent="0.45">
      <c r="B1182" s="9" t="s">
        <v>141</v>
      </c>
      <c r="C1182" s="9" t="s">
        <v>94</v>
      </c>
      <c r="D1182" s="11">
        <v>1.7287197270996254E-2</v>
      </c>
      <c r="E1182" s="9" t="s">
        <v>63</v>
      </c>
      <c r="G1182" s="9" t="s">
        <v>161</v>
      </c>
      <c r="H1182" s="9" t="s">
        <v>94</v>
      </c>
      <c r="I1182" s="13">
        <v>6.9422237925585882E-3</v>
      </c>
      <c r="J1182" s="9" t="s">
        <v>63</v>
      </c>
    </row>
    <row r="1183" spans="2:10" x14ac:dyDescent="0.45">
      <c r="B1183" s="8" t="s">
        <v>141</v>
      </c>
      <c r="C1183" s="8" t="s">
        <v>95</v>
      </c>
      <c r="D1183" s="10">
        <v>4.1585490774537083E-2</v>
      </c>
      <c r="E1183" s="8" t="s">
        <v>63</v>
      </c>
      <c r="G1183" s="8" t="s">
        <v>161</v>
      </c>
      <c r="H1183" s="8" t="s">
        <v>95</v>
      </c>
      <c r="I1183" s="12">
        <v>5.5883549794376059E-3</v>
      </c>
      <c r="J1183" s="8" t="s">
        <v>63</v>
      </c>
    </row>
    <row r="1184" spans="2:10" x14ac:dyDescent="0.45">
      <c r="B1184" s="9" t="s">
        <v>141</v>
      </c>
      <c r="C1184" s="9" t="s">
        <v>96</v>
      </c>
      <c r="D1184" s="11">
        <v>5.1370199701861186E-2</v>
      </c>
      <c r="E1184" s="9" t="s">
        <v>63</v>
      </c>
      <c r="G1184" s="9" t="s">
        <v>161</v>
      </c>
      <c r="H1184" s="9" t="s">
        <v>96</v>
      </c>
      <c r="I1184" s="13">
        <v>6.7600458678084008E-3</v>
      </c>
      <c r="J1184" s="9" t="s">
        <v>63</v>
      </c>
    </row>
    <row r="1185" spans="2:10" x14ac:dyDescent="0.45">
      <c r="B1185" s="8" t="s">
        <v>141</v>
      </c>
      <c r="C1185" s="8" t="s">
        <v>97</v>
      </c>
      <c r="D1185" s="10">
        <v>5.0462692521447083E-2</v>
      </c>
      <c r="E1185" s="8" t="s">
        <v>63</v>
      </c>
      <c r="G1185" s="8" t="s">
        <v>161</v>
      </c>
      <c r="H1185" s="8" t="s">
        <v>97</v>
      </c>
      <c r="I1185" s="12">
        <v>5.3776746587858694E-3</v>
      </c>
      <c r="J1185" s="8" t="s">
        <v>63</v>
      </c>
    </row>
    <row r="1186" spans="2:10" x14ac:dyDescent="0.45">
      <c r="B1186" s="9" t="s">
        <v>141</v>
      </c>
      <c r="C1186" s="9" t="s">
        <v>98</v>
      </c>
      <c r="D1186" s="11">
        <v>4.9273171350001664E-2</v>
      </c>
      <c r="E1186" s="9" t="s">
        <v>63</v>
      </c>
      <c r="G1186" s="9" t="s">
        <v>161</v>
      </c>
      <c r="H1186" s="9" t="s">
        <v>98</v>
      </c>
      <c r="I1186" s="13">
        <v>5.7144537967456274E-3</v>
      </c>
      <c r="J1186" s="9" t="s">
        <v>63</v>
      </c>
    </row>
    <row r="1187" spans="2:10" x14ac:dyDescent="0.45">
      <c r="B1187" s="8" t="s">
        <v>141</v>
      </c>
      <c r="C1187" s="8" t="s">
        <v>99</v>
      </c>
      <c r="D1187" s="10">
        <v>4.3281712965850157E-2</v>
      </c>
      <c r="E1187" s="8" t="s">
        <v>63</v>
      </c>
      <c r="G1187" s="8" t="s">
        <v>161</v>
      </c>
      <c r="H1187" s="8" t="s">
        <v>99</v>
      </c>
      <c r="I1187" s="12">
        <v>5.9106258689825171E-3</v>
      </c>
      <c r="J1187" s="8" t="s">
        <v>63</v>
      </c>
    </row>
    <row r="1188" spans="2:10" x14ac:dyDescent="0.45">
      <c r="B1188" s="9" t="s">
        <v>141</v>
      </c>
      <c r="C1188" s="9" t="s">
        <v>100</v>
      </c>
      <c r="D1188" s="11">
        <v>2.8543428570722222E-2</v>
      </c>
      <c r="E1188" s="9" t="s">
        <v>63</v>
      </c>
      <c r="G1188" s="9" t="s">
        <v>161</v>
      </c>
      <c r="H1188" s="9" t="s">
        <v>100</v>
      </c>
      <c r="I1188" s="13">
        <v>5.2057637585390107E-3</v>
      </c>
      <c r="J1188" s="9" t="s">
        <v>63</v>
      </c>
    </row>
    <row r="1189" spans="2:10" x14ac:dyDescent="0.45">
      <c r="B1189" s="8" t="s">
        <v>141</v>
      </c>
      <c r="C1189" s="8" t="s">
        <v>101</v>
      </c>
      <c r="D1189" s="10">
        <v>6.2818869469964053E-3</v>
      </c>
      <c r="E1189" s="8" t="s">
        <v>63</v>
      </c>
      <c r="G1189" s="8" t="s">
        <v>161</v>
      </c>
      <c r="H1189" s="8" t="s">
        <v>101</v>
      </c>
      <c r="I1189" s="12">
        <v>6.3840886407180658E-3</v>
      </c>
      <c r="J1189" s="8" t="s">
        <v>63</v>
      </c>
    </row>
    <row r="1190" spans="2:10" x14ac:dyDescent="0.45">
      <c r="B1190" s="9" t="s">
        <v>141</v>
      </c>
      <c r="C1190" s="9" t="s">
        <v>102</v>
      </c>
      <c r="D1190" s="11">
        <v>0</v>
      </c>
      <c r="E1190" s="9" t="s">
        <v>63</v>
      </c>
      <c r="G1190" s="9" t="s">
        <v>161</v>
      </c>
      <c r="H1190" s="9" t="s">
        <v>102</v>
      </c>
      <c r="I1190" s="13">
        <v>1.1574930011375224E-2</v>
      </c>
      <c r="J1190" s="9" t="s">
        <v>63</v>
      </c>
    </row>
    <row r="1191" spans="2:10" x14ac:dyDescent="0.45">
      <c r="B1191" s="8" t="s">
        <v>141</v>
      </c>
      <c r="C1191" s="8" t="s">
        <v>103</v>
      </c>
      <c r="D1191" s="10">
        <v>0</v>
      </c>
      <c r="E1191" s="8" t="s">
        <v>63</v>
      </c>
      <c r="G1191" s="8" t="s">
        <v>161</v>
      </c>
      <c r="H1191" s="8" t="s">
        <v>103</v>
      </c>
      <c r="I1191" s="12">
        <v>3.092674163753285E-2</v>
      </c>
      <c r="J1191" s="8" t="s">
        <v>63</v>
      </c>
    </row>
    <row r="1192" spans="2:10" x14ac:dyDescent="0.45">
      <c r="B1192" s="9" t="s">
        <v>141</v>
      </c>
      <c r="C1192" s="9" t="s">
        <v>104</v>
      </c>
      <c r="D1192" s="11">
        <v>1.7239329126335552E-3</v>
      </c>
      <c r="E1192" s="9" t="s">
        <v>63</v>
      </c>
      <c r="G1192" s="9" t="s">
        <v>161</v>
      </c>
      <c r="H1192" s="9" t="s">
        <v>104</v>
      </c>
      <c r="I1192" s="13">
        <v>1.1957405086456359E-2</v>
      </c>
      <c r="J1192" s="9" t="s">
        <v>63</v>
      </c>
    </row>
    <row r="1193" spans="2:10" x14ac:dyDescent="0.45">
      <c r="B1193" s="8" t="s">
        <v>141</v>
      </c>
      <c r="C1193" s="8" t="s">
        <v>105</v>
      </c>
      <c r="D1193" s="10">
        <v>1.7310095145013672E-2</v>
      </c>
      <c r="E1193" s="8" t="s">
        <v>63</v>
      </c>
      <c r="G1193" s="8" t="s">
        <v>161</v>
      </c>
      <c r="H1193" s="8" t="s">
        <v>105</v>
      </c>
      <c r="I1193" s="12">
        <v>1.1573175194194388E-2</v>
      </c>
      <c r="J1193" s="8" t="s">
        <v>63</v>
      </c>
    </row>
    <row r="1194" spans="2:10" x14ac:dyDescent="0.45">
      <c r="B1194" s="9" t="s">
        <v>141</v>
      </c>
      <c r="C1194" s="9" t="s">
        <v>106</v>
      </c>
      <c r="D1194" s="11">
        <v>2.968954330549398E-2</v>
      </c>
      <c r="E1194" s="9" t="s">
        <v>63</v>
      </c>
      <c r="G1194" s="9" t="s">
        <v>161</v>
      </c>
      <c r="H1194" s="9" t="s">
        <v>106</v>
      </c>
      <c r="I1194" s="13">
        <v>1.2503424967205079E-2</v>
      </c>
      <c r="J1194" s="9" t="s">
        <v>63</v>
      </c>
    </row>
    <row r="1195" spans="2:10" x14ac:dyDescent="0.45">
      <c r="B1195" s="8" t="s">
        <v>141</v>
      </c>
      <c r="C1195" s="8" t="s">
        <v>107</v>
      </c>
      <c r="D1195" s="10">
        <v>3.1519004782666338E-2</v>
      </c>
      <c r="E1195" s="8" t="s">
        <v>63</v>
      </c>
      <c r="G1195" s="8" t="s">
        <v>161</v>
      </c>
      <c r="H1195" s="8" t="s">
        <v>107</v>
      </c>
      <c r="I1195" s="12">
        <v>1.2240526866003385E-2</v>
      </c>
      <c r="J1195" s="8" t="s">
        <v>63</v>
      </c>
    </row>
    <row r="1196" spans="2:10" x14ac:dyDescent="0.45">
      <c r="B1196" s="9" t="s">
        <v>141</v>
      </c>
      <c r="C1196" s="9" t="s">
        <v>108</v>
      </c>
      <c r="D1196" s="11">
        <v>3.0541049038256839E-2</v>
      </c>
      <c r="E1196" s="9" t="s">
        <v>63</v>
      </c>
      <c r="G1196" s="9" t="s">
        <v>161</v>
      </c>
      <c r="H1196" s="9" t="s">
        <v>108</v>
      </c>
      <c r="I1196" s="13">
        <v>1.4338327477120071E-2</v>
      </c>
      <c r="J1196" s="9" t="s">
        <v>63</v>
      </c>
    </row>
    <row r="1197" spans="2:10" x14ac:dyDescent="0.45">
      <c r="B1197" s="8" t="s">
        <v>141</v>
      </c>
      <c r="C1197" s="8" t="s">
        <v>109</v>
      </c>
      <c r="D1197" s="10">
        <v>2.1642854427780505E-2</v>
      </c>
      <c r="E1197" s="8" t="s">
        <v>63</v>
      </c>
      <c r="G1197" s="8" t="s">
        <v>161</v>
      </c>
      <c r="H1197" s="8" t="s">
        <v>109</v>
      </c>
      <c r="I1197" s="12">
        <v>1.3715599472720743E-2</v>
      </c>
      <c r="J1197" s="8" t="s">
        <v>63</v>
      </c>
    </row>
    <row r="1198" spans="2:10" x14ac:dyDescent="0.45">
      <c r="B1198" s="9" t="s">
        <v>141</v>
      </c>
      <c r="C1198" s="9" t="s">
        <v>110</v>
      </c>
      <c r="D1198" s="11">
        <v>6.1394137174750575E-3</v>
      </c>
      <c r="E1198" s="9" t="s">
        <v>63</v>
      </c>
      <c r="G1198" s="9" t="s">
        <v>161</v>
      </c>
      <c r="H1198" s="9" t="s">
        <v>110</v>
      </c>
      <c r="I1198" s="13">
        <v>1.4245917315398336E-2</v>
      </c>
      <c r="J1198" s="9" t="s">
        <v>63</v>
      </c>
    </row>
    <row r="1199" spans="2:10" x14ac:dyDescent="0.45">
      <c r="B1199" s="8" t="s">
        <v>141</v>
      </c>
      <c r="C1199" s="8" t="s">
        <v>111</v>
      </c>
      <c r="D1199" s="10">
        <v>0</v>
      </c>
      <c r="E1199" s="8" t="s">
        <v>63</v>
      </c>
      <c r="G1199" s="8" t="s">
        <v>161</v>
      </c>
      <c r="H1199" s="8" t="s">
        <v>111</v>
      </c>
      <c r="I1199" s="12">
        <v>1.498338047536075E-2</v>
      </c>
      <c r="J1199" s="8" t="s">
        <v>63</v>
      </c>
    </row>
    <row r="1200" spans="2:10" x14ac:dyDescent="0.45">
      <c r="B1200" s="9" t="s">
        <v>141</v>
      </c>
      <c r="C1200" s="9" t="s">
        <v>112</v>
      </c>
      <c r="D1200" s="11">
        <v>0</v>
      </c>
      <c r="E1200" s="9" t="s">
        <v>63</v>
      </c>
      <c r="G1200" s="9" t="s">
        <v>161</v>
      </c>
      <c r="H1200" s="9" t="s">
        <v>112</v>
      </c>
      <c r="I1200" s="13">
        <v>2.1759997197309155E-2</v>
      </c>
      <c r="J1200" s="9" t="s">
        <v>63</v>
      </c>
    </row>
    <row r="1201" spans="2:10" x14ac:dyDescent="0.45">
      <c r="B1201" s="8" t="s">
        <v>141</v>
      </c>
      <c r="C1201" s="8" t="s">
        <v>113</v>
      </c>
      <c r="D1201" s="10">
        <v>0</v>
      </c>
      <c r="E1201" s="8" t="s">
        <v>63</v>
      </c>
      <c r="G1201" s="8" t="s">
        <v>161</v>
      </c>
      <c r="H1201" s="8" t="s">
        <v>113</v>
      </c>
      <c r="I1201" s="12">
        <v>6.0388969682419649E-2</v>
      </c>
      <c r="J1201" s="8" t="s">
        <v>63</v>
      </c>
    </row>
    <row r="1202" spans="2:10" x14ac:dyDescent="0.45">
      <c r="B1202" s="9" t="s">
        <v>141</v>
      </c>
      <c r="C1202" s="9" t="s">
        <v>114</v>
      </c>
      <c r="D1202" s="11">
        <v>0</v>
      </c>
      <c r="E1202" s="9" t="s">
        <v>63</v>
      </c>
      <c r="G1202" s="9" t="s">
        <v>161</v>
      </c>
      <c r="H1202" s="9" t="s">
        <v>114</v>
      </c>
      <c r="I1202" s="13">
        <v>2.394211307398814E-2</v>
      </c>
      <c r="J1202" s="9" t="s">
        <v>63</v>
      </c>
    </row>
    <row r="1203" spans="2:10" x14ac:dyDescent="0.45">
      <c r="B1203" s="8" t="s">
        <v>141</v>
      </c>
      <c r="C1203" s="8" t="s">
        <v>115</v>
      </c>
      <c r="D1203" s="10">
        <v>1.5640151577576028E-3</v>
      </c>
      <c r="E1203" s="8" t="s">
        <v>63</v>
      </c>
      <c r="G1203" s="8" t="s">
        <v>161</v>
      </c>
      <c r="H1203" s="8" t="s">
        <v>115</v>
      </c>
      <c r="I1203" s="12">
        <v>2.4082192700713451E-2</v>
      </c>
      <c r="J1203" s="8" t="s">
        <v>63</v>
      </c>
    </row>
    <row r="1204" spans="2:10" x14ac:dyDescent="0.45">
      <c r="B1204" s="9" t="s">
        <v>141</v>
      </c>
      <c r="C1204" s="9" t="s">
        <v>116</v>
      </c>
      <c r="D1204" s="11">
        <v>1.2202029886375568E-2</v>
      </c>
      <c r="E1204" s="9" t="s">
        <v>63</v>
      </c>
      <c r="G1204" s="9" t="s">
        <v>161</v>
      </c>
      <c r="H1204" s="9" t="s">
        <v>116</v>
      </c>
      <c r="I1204" s="13">
        <v>2.2940690712358151E-2</v>
      </c>
      <c r="J1204" s="9" t="s">
        <v>63</v>
      </c>
    </row>
    <row r="1205" spans="2:10" x14ac:dyDescent="0.45">
      <c r="B1205" s="8" t="s">
        <v>141</v>
      </c>
      <c r="C1205" s="8" t="s">
        <v>117</v>
      </c>
      <c r="D1205" s="10">
        <v>1.5314000372623236E-2</v>
      </c>
      <c r="E1205" s="8" t="s">
        <v>63</v>
      </c>
      <c r="G1205" s="8" t="s">
        <v>161</v>
      </c>
      <c r="H1205" s="8" t="s">
        <v>117</v>
      </c>
      <c r="I1205" s="12">
        <v>2.1105003403066723E-2</v>
      </c>
      <c r="J1205" s="8" t="s">
        <v>63</v>
      </c>
    </row>
    <row r="1206" spans="2:10" x14ac:dyDescent="0.45">
      <c r="B1206" s="9" t="s">
        <v>141</v>
      </c>
      <c r="C1206" s="9" t="s">
        <v>118</v>
      </c>
      <c r="D1206" s="11">
        <v>1.4805740103431353E-2</v>
      </c>
      <c r="E1206" s="9" t="s">
        <v>63</v>
      </c>
      <c r="G1206" s="9" t="s">
        <v>161</v>
      </c>
      <c r="H1206" s="9" t="s">
        <v>118</v>
      </c>
      <c r="I1206" s="13">
        <v>2.1909922103726394E-2</v>
      </c>
      <c r="J1206" s="9" t="s">
        <v>63</v>
      </c>
    </row>
    <row r="1207" spans="2:10" x14ac:dyDescent="0.45">
      <c r="B1207" s="8" t="s">
        <v>141</v>
      </c>
      <c r="C1207" s="8" t="s">
        <v>119</v>
      </c>
      <c r="D1207" s="10">
        <v>4.1235451544767128E-3</v>
      </c>
      <c r="E1207" s="8" t="s">
        <v>63</v>
      </c>
      <c r="G1207" s="8" t="s">
        <v>161</v>
      </c>
      <c r="H1207" s="8" t="s">
        <v>119</v>
      </c>
      <c r="I1207" s="12">
        <v>2.4123177297161142E-2</v>
      </c>
      <c r="J1207" s="8" t="s">
        <v>63</v>
      </c>
    </row>
    <row r="1208" spans="2:10" x14ac:dyDescent="0.45">
      <c r="B1208" s="9" t="s">
        <v>141</v>
      </c>
      <c r="C1208" s="9" t="s">
        <v>120</v>
      </c>
      <c r="D1208" s="11">
        <v>0</v>
      </c>
      <c r="E1208" s="9" t="s">
        <v>63</v>
      </c>
      <c r="G1208" s="9" t="s">
        <v>161</v>
      </c>
      <c r="H1208" s="9" t="s">
        <v>120</v>
      </c>
      <c r="I1208" s="13">
        <v>2.5827476322455876E-2</v>
      </c>
      <c r="J1208" s="9" t="s">
        <v>63</v>
      </c>
    </row>
    <row r="1209" spans="2:10" x14ac:dyDescent="0.45">
      <c r="B1209" s="8" t="s">
        <v>141</v>
      </c>
      <c r="C1209" s="8" t="s">
        <v>121</v>
      </c>
      <c r="D1209" s="10">
        <v>0</v>
      </c>
      <c r="E1209" s="8" t="s">
        <v>63</v>
      </c>
      <c r="G1209" s="8" t="s">
        <v>161</v>
      </c>
      <c r="H1209" s="8" t="s">
        <v>121</v>
      </c>
      <c r="I1209" s="12">
        <v>2.4860751341398136E-2</v>
      </c>
      <c r="J1209" s="8" t="s">
        <v>63</v>
      </c>
    </row>
    <row r="1210" spans="2:10" x14ac:dyDescent="0.45">
      <c r="B1210" s="9" t="s">
        <v>141</v>
      </c>
      <c r="C1210" s="9" t="s">
        <v>122</v>
      </c>
      <c r="D1210" s="11">
        <v>0</v>
      </c>
      <c r="E1210" s="9" t="s">
        <v>63</v>
      </c>
      <c r="G1210" s="9" t="s">
        <v>161</v>
      </c>
      <c r="H1210" s="9" t="s">
        <v>122</v>
      </c>
      <c r="I1210" s="13">
        <v>3.5911146371884965E-2</v>
      </c>
      <c r="J1210" s="9" t="s">
        <v>63</v>
      </c>
    </row>
  </sheetData>
  <mergeCells count="1">
    <mergeCell ref="A1:H1"/>
  </mergeCells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6CD601-3D8D-49AA-ADFE-CEA3D32F8377}">
  <dimension ref="A1:IV60"/>
  <sheetViews>
    <sheetView workbookViewId="0">
      <selection sqref="A1:BH1"/>
    </sheetView>
  </sheetViews>
  <sheetFormatPr defaultRowHeight="14.25" x14ac:dyDescent="0.45"/>
  <cols>
    <col min="2" max="2" width="20" bestFit="1" customWidth="1"/>
    <col min="3" max="3" width="10.59765625" bestFit="1" customWidth="1"/>
    <col min="4" max="63" width="10.59765625" customWidth="1"/>
    <col min="65" max="65" width="10.59765625" customWidth="1"/>
    <col min="66" max="66" width="10.59765625" bestFit="1" customWidth="1"/>
    <col min="67" max="126" width="10.59765625" customWidth="1"/>
    <col min="128" max="128" width="10.59765625" customWidth="1"/>
    <col min="129" max="129" width="10.59765625" bestFit="1" customWidth="1"/>
    <col min="130" max="189" width="10.59765625" customWidth="1"/>
    <col min="191" max="191" width="20" bestFit="1" customWidth="1"/>
    <col min="192" max="251" width="10.59765625" customWidth="1"/>
    <col min="253" max="253" width="20" bestFit="1" customWidth="1"/>
    <col min="254" max="254" width="10.59765625" bestFit="1" customWidth="1"/>
    <col min="255" max="255" width="12.6640625" bestFit="1" customWidth="1"/>
    <col min="256" max="256" width="10.59765625" customWidth="1"/>
  </cols>
  <sheetData>
    <row r="1" spans="1:256" ht="22.05" customHeight="1" x14ac:dyDescent="0.45">
      <c r="A1" s="17" t="s">
        <v>55</v>
      </c>
      <c r="B1" s="17"/>
      <c r="C1" s="17"/>
      <c r="D1" s="17"/>
      <c r="E1" s="17"/>
      <c r="F1" s="17"/>
      <c r="G1" s="17"/>
      <c r="H1" s="17"/>
      <c r="I1" s="17"/>
      <c r="J1" s="17"/>
      <c r="K1" s="17"/>
      <c r="L1" s="17"/>
      <c r="M1" s="17"/>
      <c r="N1" s="17"/>
      <c r="O1" s="17"/>
      <c r="P1" s="17"/>
      <c r="Q1" s="17"/>
      <c r="R1" s="17"/>
      <c r="S1" s="17"/>
      <c r="T1" s="17"/>
      <c r="U1" s="17"/>
      <c r="V1" s="17"/>
      <c r="W1" s="17"/>
      <c r="X1" s="17"/>
      <c r="Y1" s="17"/>
      <c r="Z1" s="17"/>
      <c r="AA1" s="17"/>
      <c r="AB1" s="17"/>
      <c r="AC1" s="17"/>
      <c r="AD1" s="17"/>
      <c r="AE1" s="17"/>
      <c r="AF1" s="17"/>
      <c r="AG1" s="17"/>
      <c r="AH1" s="17"/>
      <c r="AI1" s="17"/>
      <c r="AJ1" s="17"/>
      <c r="AK1" s="17"/>
      <c r="AL1" s="17"/>
      <c r="AM1" s="17"/>
      <c r="AN1" s="17"/>
      <c r="AO1" s="17"/>
      <c r="AP1" s="17"/>
      <c r="AQ1" s="17"/>
      <c r="AR1" s="17"/>
      <c r="AS1" s="17"/>
      <c r="AT1" s="17"/>
      <c r="AU1" s="17"/>
      <c r="AV1" s="17"/>
      <c r="AW1" s="17"/>
      <c r="AX1" s="17"/>
      <c r="AY1" s="17"/>
      <c r="AZ1" s="17"/>
      <c r="BA1" s="17"/>
      <c r="BB1" s="17"/>
      <c r="BC1" s="17"/>
      <c r="BD1" s="17"/>
      <c r="BE1" s="17"/>
      <c r="BF1" s="17"/>
      <c r="BG1" s="17"/>
      <c r="BH1" s="17"/>
    </row>
    <row r="9" spans="1:256" ht="14.65" thickBot="1" x14ac:dyDescent="0.5">
      <c r="B9" s="6" t="str">
        <f>IF(A11="x","DeActivated","~TFM_DINS-TSL: attribute=FLO_EMIS; other_indexes=ACT")</f>
        <v>~TFM_DINS-TSL: attribute=FLO_EMIS; other_indexes=ACT</v>
      </c>
      <c r="BM9" s="6" t="str">
        <f>IF(A11="x","DeActivated","~TFM_INS-TSL: attribute=FLO_SHAR; limtype=FX")</f>
        <v>~TFM_INS-TSL: attribute=FLO_SHAR; limtype=FX</v>
      </c>
      <c r="DX9" s="6" t="str">
        <f>IF(A11="x","DeActivated","~TFM_INS-TSL: attribute=FLO_SHAR; limtype=FX")</f>
        <v>~TFM_INS-TSL: attribute=FLO_SHAR; limtype=FX</v>
      </c>
      <c r="GI9" s="6" t="str">
        <f>IF(A11="x","DeActivated","~TFM_DINS-TSL: attribute=NCAP_PKCNT")</f>
        <v>~TFM_DINS-TSL: attribute=NCAP_PKCNT</v>
      </c>
      <c r="IS9" s="6" t="str">
        <f>IF(A11="x","DeActivated","~TFM_DINS-AT")</f>
        <v>~TFM_DINS-AT</v>
      </c>
    </row>
    <row r="10" spans="1:256" ht="15.75" thickBot="1" x14ac:dyDescent="0.6">
      <c r="B10" s="7" t="s">
        <v>60</v>
      </c>
      <c r="C10" s="7" t="s">
        <v>57</v>
      </c>
      <c r="D10" s="7" t="s">
        <v>62</v>
      </c>
      <c r="E10" s="7" t="s">
        <v>64</v>
      </c>
      <c r="F10" s="7" t="s">
        <v>65</v>
      </c>
      <c r="G10" s="7" t="s">
        <v>66</v>
      </c>
      <c r="H10" s="7" t="s">
        <v>67</v>
      </c>
      <c r="I10" s="7" t="s">
        <v>68</v>
      </c>
      <c r="J10" s="7" t="s">
        <v>69</v>
      </c>
      <c r="K10" s="7" t="s">
        <v>70</v>
      </c>
      <c r="L10" s="7" t="s">
        <v>71</v>
      </c>
      <c r="M10" s="7" t="s">
        <v>72</v>
      </c>
      <c r="N10" s="7" t="s">
        <v>73</v>
      </c>
      <c r="O10" s="7" t="s">
        <v>74</v>
      </c>
      <c r="P10" s="7" t="s">
        <v>75</v>
      </c>
      <c r="Q10" s="7" t="s">
        <v>76</v>
      </c>
      <c r="R10" s="7" t="s">
        <v>77</v>
      </c>
      <c r="S10" s="7" t="s">
        <v>78</v>
      </c>
      <c r="T10" s="7" t="s">
        <v>79</v>
      </c>
      <c r="U10" s="7" t="s">
        <v>80</v>
      </c>
      <c r="V10" s="7" t="s">
        <v>81</v>
      </c>
      <c r="W10" s="7" t="s">
        <v>82</v>
      </c>
      <c r="X10" s="7" t="s">
        <v>83</v>
      </c>
      <c r="Y10" s="7" t="s">
        <v>84</v>
      </c>
      <c r="Z10" s="7" t="s">
        <v>85</v>
      </c>
      <c r="AA10" s="7" t="s">
        <v>86</v>
      </c>
      <c r="AB10" s="7" t="s">
        <v>87</v>
      </c>
      <c r="AC10" s="7" t="s">
        <v>88</v>
      </c>
      <c r="AD10" s="7" t="s">
        <v>89</v>
      </c>
      <c r="AE10" s="7" t="s">
        <v>90</v>
      </c>
      <c r="AF10" s="7" t="s">
        <v>91</v>
      </c>
      <c r="AG10" s="7" t="s">
        <v>92</v>
      </c>
      <c r="AH10" s="7" t="s">
        <v>93</v>
      </c>
      <c r="AI10" s="7" t="s">
        <v>94</v>
      </c>
      <c r="AJ10" s="7" t="s">
        <v>95</v>
      </c>
      <c r="AK10" s="7" t="s">
        <v>96</v>
      </c>
      <c r="AL10" s="7" t="s">
        <v>97</v>
      </c>
      <c r="AM10" s="7" t="s">
        <v>98</v>
      </c>
      <c r="AN10" s="7" t="s">
        <v>99</v>
      </c>
      <c r="AO10" s="7" t="s">
        <v>100</v>
      </c>
      <c r="AP10" s="7" t="s">
        <v>101</v>
      </c>
      <c r="AQ10" s="7" t="s">
        <v>102</v>
      </c>
      <c r="AR10" s="7" t="s">
        <v>103</v>
      </c>
      <c r="AS10" s="7" t="s">
        <v>104</v>
      </c>
      <c r="AT10" s="7" t="s">
        <v>105</v>
      </c>
      <c r="AU10" s="7" t="s">
        <v>106</v>
      </c>
      <c r="AV10" s="7" t="s">
        <v>107</v>
      </c>
      <c r="AW10" s="7" t="s">
        <v>108</v>
      </c>
      <c r="AX10" s="7" t="s">
        <v>109</v>
      </c>
      <c r="AY10" s="7" t="s">
        <v>110</v>
      </c>
      <c r="AZ10" s="7" t="s">
        <v>111</v>
      </c>
      <c r="BA10" s="7" t="s">
        <v>112</v>
      </c>
      <c r="BB10" s="7" t="s">
        <v>113</v>
      </c>
      <c r="BC10" s="7" t="s">
        <v>114</v>
      </c>
      <c r="BD10" s="7" t="s">
        <v>115</v>
      </c>
      <c r="BE10" s="7" t="s">
        <v>116</v>
      </c>
      <c r="BF10" s="7" t="s">
        <v>117</v>
      </c>
      <c r="BG10" s="7" t="s">
        <v>118</v>
      </c>
      <c r="BH10" s="7" t="s">
        <v>119</v>
      </c>
      <c r="BI10" s="7" t="s">
        <v>120</v>
      </c>
      <c r="BJ10" s="7" t="s">
        <v>121</v>
      </c>
      <c r="BK10" s="7" t="s">
        <v>122</v>
      </c>
      <c r="BM10" s="7" t="s">
        <v>60</v>
      </c>
      <c r="BN10" s="7" t="s">
        <v>57</v>
      </c>
      <c r="BO10" s="7" t="s">
        <v>62</v>
      </c>
      <c r="BP10" s="7" t="s">
        <v>64</v>
      </c>
      <c r="BQ10" s="7" t="s">
        <v>65</v>
      </c>
      <c r="BR10" s="7" t="s">
        <v>66</v>
      </c>
      <c r="BS10" s="7" t="s">
        <v>67</v>
      </c>
      <c r="BT10" s="7" t="s">
        <v>68</v>
      </c>
      <c r="BU10" s="7" t="s">
        <v>69</v>
      </c>
      <c r="BV10" s="7" t="s">
        <v>70</v>
      </c>
      <c r="BW10" s="7" t="s">
        <v>71</v>
      </c>
      <c r="BX10" s="7" t="s">
        <v>72</v>
      </c>
      <c r="BY10" s="7" t="s">
        <v>73</v>
      </c>
      <c r="BZ10" s="7" t="s">
        <v>74</v>
      </c>
      <c r="CA10" s="7" t="s">
        <v>75</v>
      </c>
      <c r="CB10" s="7" t="s">
        <v>76</v>
      </c>
      <c r="CC10" s="7" t="s">
        <v>77</v>
      </c>
      <c r="CD10" s="7" t="s">
        <v>78</v>
      </c>
      <c r="CE10" s="7" t="s">
        <v>79</v>
      </c>
      <c r="CF10" s="7" t="s">
        <v>80</v>
      </c>
      <c r="CG10" s="7" t="s">
        <v>81</v>
      </c>
      <c r="CH10" s="7" t="s">
        <v>82</v>
      </c>
      <c r="CI10" s="7" t="s">
        <v>83</v>
      </c>
      <c r="CJ10" s="7" t="s">
        <v>84</v>
      </c>
      <c r="CK10" s="7" t="s">
        <v>85</v>
      </c>
      <c r="CL10" s="7" t="s">
        <v>86</v>
      </c>
      <c r="CM10" s="7" t="s">
        <v>87</v>
      </c>
      <c r="CN10" s="7" t="s">
        <v>88</v>
      </c>
      <c r="CO10" s="7" t="s">
        <v>89</v>
      </c>
      <c r="CP10" s="7" t="s">
        <v>90</v>
      </c>
      <c r="CQ10" s="7" t="s">
        <v>91</v>
      </c>
      <c r="CR10" s="7" t="s">
        <v>92</v>
      </c>
      <c r="CS10" s="7" t="s">
        <v>93</v>
      </c>
      <c r="CT10" s="7" t="s">
        <v>94</v>
      </c>
      <c r="CU10" s="7" t="s">
        <v>95</v>
      </c>
      <c r="CV10" s="7" t="s">
        <v>96</v>
      </c>
      <c r="CW10" s="7" t="s">
        <v>97</v>
      </c>
      <c r="CX10" s="7" t="s">
        <v>98</v>
      </c>
      <c r="CY10" s="7" t="s">
        <v>99</v>
      </c>
      <c r="CZ10" s="7" t="s">
        <v>100</v>
      </c>
      <c r="DA10" s="7" t="s">
        <v>101</v>
      </c>
      <c r="DB10" s="7" t="s">
        <v>102</v>
      </c>
      <c r="DC10" s="7" t="s">
        <v>103</v>
      </c>
      <c r="DD10" s="7" t="s">
        <v>104</v>
      </c>
      <c r="DE10" s="7" t="s">
        <v>105</v>
      </c>
      <c r="DF10" s="7" t="s">
        <v>106</v>
      </c>
      <c r="DG10" s="7" t="s">
        <v>107</v>
      </c>
      <c r="DH10" s="7" t="s">
        <v>108</v>
      </c>
      <c r="DI10" s="7" t="s">
        <v>109</v>
      </c>
      <c r="DJ10" s="7" t="s">
        <v>110</v>
      </c>
      <c r="DK10" s="7" t="s">
        <v>111</v>
      </c>
      <c r="DL10" s="7" t="s">
        <v>112</v>
      </c>
      <c r="DM10" s="7" t="s">
        <v>113</v>
      </c>
      <c r="DN10" s="7" t="s">
        <v>114</v>
      </c>
      <c r="DO10" s="7" t="s">
        <v>115</v>
      </c>
      <c r="DP10" s="7" t="s">
        <v>116</v>
      </c>
      <c r="DQ10" s="7" t="s">
        <v>117</v>
      </c>
      <c r="DR10" s="7" t="s">
        <v>118</v>
      </c>
      <c r="DS10" s="7" t="s">
        <v>119</v>
      </c>
      <c r="DT10" s="7" t="s">
        <v>120</v>
      </c>
      <c r="DU10" s="7" t="s">
        <v>121</v>
      </c>
      <c r="DV10" s="7" t="s">
        <v>122</v>
      </c>
      <c r="DX10" s="7" t="s">
        <v>60</v>
      </c>
      <c r="DY10" s="7" t="s">
        <v>57</v>
      </c>
      <c r="DZ10" s="7" t="s">
        <v>62</v>
      </c>
      <c r="EA10" s="7" t="s">
        <v>64</v>
      </c>
      <c r="EB10" s="7" t="s">
        <v>65</v>
      </c>
      <c r="EC10" s="7" t="s">
        <v>66</v>
      </c>
      <c r="ED10" s="7" t="s">
        <v>67</v>
      </c>
      <c r="EE10" s="7" t="s">
        <v>68</v>
      </c>
      <c r="EF10" s="7" t="s">
        <v>69</v>
      </c>
      <c r="EG10" s="7" t="s">
        <v>70</v>
      </c>
      <c r="EH10" s="7" t="s">
        <v>71</v>
      </c>
      <c r="EI10" s="7" t="s">
        <v>72</v>
      </c>
      <c r="EJ10" s="7" t="s">
        <v>73</v>
      </c>
      <c r="EK10" s="7" t="s">
        <v>74</v>
      </c>
      <c r="EL10" s="7" t="s">
        <v>75</v>
      </c>
      <c r="EM10" s="7" t="s">
        <v>76</v>
      </c>
      <c r="EN10" s="7" t="s">
        <v>77</v>
      </c>
      <c r="EO10" s="7" t="s">
        <v>78</v>
      </c>
      <c r="EP10" s="7" t="s">
        <v>79</v>
      </c>
      <c r="EQ10" s="7" t="s">
        <v>80</v>
      </c>
      <c r="ER10" s="7" t="s">
        <v>81</v>
      </c>
      <c r="ES10" s="7" t="s">
        <v>82</v>
      </c>
      <c r="ET10" s="7" t="s">
        <v>83</v>
      </c>
      <c r="EU10" s="7" t="s">
        <v>84</v>
      </c>
      <c r="EV10" s="7" t="s">
        <v>85</v>
      </c>
      <c r="EW10" s="7" t="s">
        <v>86</v>
      </c>
      <c r="EX10" s="7" t="s">
        <v>87</v>
      </c>
      <c r="EY10" s="7" t="s">
        <v>88</v>
      </c>
      <c r="EZ10" s="7" t="s">
        <v>89</v>
      </c>
      <c r="FA10" s="7" t="s">
        <v>90</v>
      </c>
      <c r="FB10" s="7" t="s">
        <v>91</v>
      </c>
      <c r="FC10" s="7" t="s">
        <v>92</v>
      </c>
      <c r="FD10" s="7" t="s">
        <v>93</v>
      </c>
      <c r="FE10" s="7" t="s">
        <v>94</v>
      </c>
      <c r="FF10" s="7" t="s">
        <v>95</v>
      </c>
      <c r="FG10" s="7" t="s">
        <v>96</v>
      </c>
      <c r="FH10" s="7" t="s">
        <v>97</v>
      </c>
      <c r="FI10" s="7" t="s">
        <v>98</v>
      </c>
      <c r="FJ10" s="7" t="s">
        <v>99</v>
      </c>
      <c r="FK10" s="7" t="s">
        <v>100</v>
      </c>
      <c r="FL10" s="7" t="s">
        <v>101</v>
      </c>
      <c r="FM10" s="7" t="s">
        <v>102</v>
      </c>
      <c r="FN10" s="7" t="s">
        <v>103</v>
      </c>
      <c r="FO10" s="7" t="s">
        <v>104</v>
      </c>
      <c r="FP10" s="7" t="s">
        <v>105</v>
      </c>
      <c r="FQ10" s="7" t="s">
        <v>106</v>
      </c>
      <c r="FR10" s="7" t="s">
        <v>107</v>
      </c>
      <c r="FS10" s="7" t="s">
        <v>108</v>
      </c>
      <c r="FT10" s="7" t="s">
        <v>109</v>
      </c>
      <c r="FU10" s="7" t="s">
        <v>110</v>
      </c>
      <c r="FV10" s="7" t="s">
        <v>111</v>
      </c>
      <c r="FW10" s="7" t="s">
        <v>112</v>
      </c>
      <c r="FX10" s="7" t="s">
        <v>113</v>
      </c>
      <c r="FY10" s="7" t="s">
        <v>114</v>
      </c>
      <c r="FZ10" s="7" t="s">
        <v>115</v>
      </c>
      <c r="GA10" s="7" t="s">
        <v>116</v>
      </c>
      <c r="GB10" s="7" t="s">
        <v>117</v>
      </c>
      <c r="GC10" s="7" t="s">
        <v>118</v>
      </c>
      <c r="GD10" s="7" t="s">
        <v>119</v>
      </c>
      <c r="GE10" s="7" t="s">
        <v>120</v>
      </c>
      <c r="GF10" s="7" t="s">
        <v>121</v>
      </c>
      <c r="GG10" s="7" t="s">
        <v>122</v>
      </c>
      <c r="GI10" s="7" t="s">
        <v>60</v>
      </c>
      <c r="GJ10" s="7" t="s">
        <v>62</v>
      </c>
      <c r="GK10" s="7" t="s">
        <v>64</v>
      </c>
      <c r="GL10" s="7" t="s">
        <v>65</v>
      </c>
      <c r="GM10" s="7" t="s">
        <v>66</v>
      </c>
      <c r="GN10" s="7" t="s">
        <v>67</v>
      </c>
      <c r="GO10" s="7" t="s">
        <v>68</v>
      </c>
      <c r="GP10" s="7" t="s">
        <v>69</v>
      </c>
      <c r="GQ10" s="7" t="s">
        <v>70</v>
      </c>
      <c r="GR10" s="7" t="s">
        <v>71</v>
      </c>
      <c r="GS10" s="7" t="s">
        <v>72</v>
      </c>
      <c r="GT10" s="7" t="s">
        <v>73</v>
      </c>
      <c r="GU10" s="7" t="s">
        <v>74</v>
      </c>
      <c r="GV10" s="7" t="s">
        <v>75</v>
      </c>
      <c r="GW10" s="7" t="s">
        <v>76</v>
      </c>
      <c r="GX10" s="7" t="s">
        <v>77</v>
      </c>
      <c r="GY10" s="7" t="s">
        <v>78</v>
      </c>
      <c r="GZ10" s="7" t="s">
        <v>79</v>
      </c>
      <c r="HA10" s="7" t="s">
        <v>80</v>
      </c>
      <c r="HB10" s="7" t="s">
        <v>81</v>
      </c>
      <c r="HC10" s="7" t="s">
        <v>82</v>
      </c>
      <c r="HD10" s="7" t="s">
        <v>83</v>
      </c>
      <c r="HE10" s="7" t="s">
        <v>84</v>
      </c>
      <c r="HF10" s="7" t="s">
        <v>85</v>
      </c>
      <c r="HG10" s="7" t="s">
        <v>86</v>
      </c>
      <c r="HH10" s="7" t="s">
        <v>87</v>
      </c>
      <c r="HI10" s="7" t="s">
        <v>88</v>
      </c>
      <c r="HJ10" s="7" t="s">
        <v>89</v>
      </c>
      <c r="HK10" s="7" t="s">
        <v>90</v>
      </c>
      <c r="HL10" s="7" t="s">
        <v>91</v>
      </c>
      <c r="HM10" s="7" t="s">
        <v>92</v>
      </c>
      <c r="HN10" s="7" t="s">
        <v>93</v>
      </c>
      <c r="HO10" s="7" t="s">
        <v>94</v>
      </c>
      <c r="HP10" s="7" t="s">
        <v>95</v>
      </c>
      <c r="HQ10" s="7" t="s">
        <v>96</v>
      </c>
      <c r="HR10" s="7" t="s">
        <v>97</v>
      </c>
      <c r="HS10" s="7" t="s">
        <v>98</v>
      </c>
      <c r="HT10" s="7" t="s">
        <v>99</v>
      </c>
      <c r="HU10" s="7" t="s">
        <v>100</v>
      </c>
      <c r="HV10" s="7" t="s">
        <v>101</v>
      </c>
      <c r="HW10" s="7" t="s">
        <v>102</v>
      </c>
      <c r="HX10" s="7" t="s">
        <v>103</v>
      </c>
      <c r="HY10" s="7" t="s">
        <v>104</v>
      </c>
      <c r="HZ10" s="7" t="s">
        <v>105</v>
      </c>
      <c r="IA10" s="7" t="s">
        <v>106</v>
      </c>
      <c r="IB10" s="7" t="s">
        <v>107</v>
      </c>
      <c r="IC10" s="7" t="s">
        <v>108</v>
      </c>
      <c r="ID10" s="7" t="s">
        <v>109</v>
      </c>
      <c r="IE10" s="7" t="s">
        <v>110</v>
      </c>
      <c r="IF10" s="7" t="s">
        <v>111</v>
      </c>
      <c r="IG10" s="7" t="s">
        <v>112</v>
      </c>
      <c r="IH10" s="7" t="s">
        <v>113</v>
      </c>
      <c r="II10" s="7" t="s">
        <v>114</v>
      </c>
      <c r="IJ10" s="7" t="s">
        <v>115</v>
      </c>
      <c r="IK10" s="7" t="s">
        <v>116</v>
      </c>
      <c r="IL10" s="7" t="s">
        <v>117</v>
      </c>
      <c r="IM10" s="7" t="s">
        <v>118</v>
      </c>
      <c r="IN10" s="7" t="s">
        <v>119</v>
      </c>
      <c r="IO10" s="7" t="s">
        <v>120</v>
      </c>
      <c r="IP10" s="7" t="s">
        <v>121</v>
      </c>
      <c r="IQ10" s="7" t="s">
        <v>122</v>
      </c>
      <c r="IS10" s="7" t="s">
        <v>60</v>
      </c>
      <c r="IT10" s="7" t="s">
        <v>57</v>
      </c>
      <c r="IU10" s="7" t="s">
        <v>227</v>
      </c>
      <c r="IV10" s="7" t="s">
        <v>228</v>
      </c>
    </row>
    <row r="11" spans="1:256" x14ac:dyDescent="0.45">
      <c r="B11" s="8" t="s">
        <v>172</v>
      </c>
      <c r="C11" s="8" t="s">
        <v>31</v>
      </c>
      <c r="D11" s="12">
        <v>0</v>
      </c>
      <c r="E11" s="12">
        <v>0</v>
      </c>
      <c r="F11" s="12">
        <v>0.87452796083542805</v>
      </c>
      <c r="G11" s="12">
        <v>0.35655928999300457</v>
      </c>
      <c r="H11" s="12">
        <v>0.21674433645925775</v>
      </c>
      <c r="I11" s="12">
        <v>0.22125481655145693</v>
      </c>
      <c r="J11" s="12">
        <v>0.32860330937097287</v>
      </c>
      <c r="K11" s="12">
        <v>0.75517147604022528</v>
      </c>
      <c r="L11" s="12">
        <v>0</v>
      </c>
      <c r="M11" s="12">
        <v>0</v>
      </c>
      <c r="N11" s="12">
        <v>0</v>
      </c>
      <c r="O11" s="12">
        <v>0.8355695487380117</v>
      </c>
      <c r="P11" s="12">
        <v>0.38211136248523725</v>
      </c>
      <c r="Q11" s="12">
        <v>0.24722588407301524</v>
      </c>
      <c r="R11" s="12">
        <v>0.17497578457136503</v>
      </c>
      <c r="S11" s="12">
        <v>0.17293529178105052</v>
      </c>
      <c r="T11" s="12">
        <v>0.25236051757133587</v>
      </c>
      <c r="U11" s="12">
        <v>0.31410852276138629</v>
      </c>
      <c r="V11" s="12">
        <v>0.83080150784001017</v>
      </c>
      <c r="W11" s="12">
        <v>0</v>
      </c>
      <c r="X11" s="12">
        <v>0</v>
      </c>
      <c r="Y11" s="12">
        <v>0.35819220416233333</v>
      </c>
      <c r="Z11" s="12">
        <v>0.24660065275519399</v>
      </c>
      <c r="AA11" s="12">
        <v>0.21659121678702226</v>
      </c>
      <c r="AB11" s="12">
        <v>0.18349304050064733</v>
      </c>
      <c r="AC11" s="12">
        <v>0.1758141496909375</v>
      </c>
      <c r="AD11" s="12">
        <v>0.212523855568343</v>
      </c>
      <c r="AE11" s="12">
        <v>0.25774647910583787</v>
      </c>
      <c r="AF11" s="12">
        <v>0.37597835671086555</v>
      </c>
      <c r="AG11" s="12">
        <v>0</v>
      </c>
      <c r="AH11" s="12">
        <v>0</v>
      </c>
      <c r="AI11" s="12">
        <v>0.39374598367456026</v>
      </c>
      <c r="AJ11" s="12">
        <v>0.18175230799171432</v>
      </c>
      <c r="AK11" s="12">
        <v>0.12882580256865708</v>
      </c>
      <c r="AL11" s="12">
        <v>9.6475555061099824E-2</v>
      </c>
      <c r="AM11" s="12">
        <v>0.10215244865417936</v>
      </c>
      <c r="AN11" s="12">
        <v>0.12213910933768678</v>
      </c>
      <c r="AO11" s="12">
        <v>0.17387980906437062</v>
      </c>
      <c r="AP11" s="12">
        <v>0.37461200235798731</v>
      </c>
      <c r="AQ11" s="12">
        <v>0</v>
      </c>
      <c r="AR11" s="12">
        <v>0</v>
      </c>
      <c r="AS11" s="12">
        <v>0.95081967213114771</v>
      </c>
      <c r="AT11" s="12">
        <v>0.44465733247566125</v>
      </c>
      <c r="AU11" s="12">
        <v>0.27804437193874298</v>
      </c>
      <c r="AV11" s="12">
        <v>0.18396166720034676</v>
      </c>
      <c r="AW11" s="12">
        <v>0.1912374900149334</v>
      </c>
      <c r="AX11" s="12">
        <v>0.24809993840334807</v>
      </c>
      <c r="AY11" s="12">
        <v>0.47785962847653884</v>
      </c>
      <c r="AZ11" s="12">
        <v>0.98050299760128012</v>
      </c>
      <c r="BA11" s="12">
        <v>0</v>
      </c>
      <c r="BB11" s="12">
        <v>0</v>
      </c>
      <c r="BC11" s="12">
        <v>0</v>
      </c>
      <c r="BD11" s="12">
        <v>0.90891918619746459</v>
      </c>
      <c r="BE11" s="12">
        <v>0.35489679969814875</v>
      </c>
      <c r="BF11" s="12">
        <v>0.27161133959704836</v>
      </c>
      <c r="BG11" s="12">
        <v>0.30717905136065599</v>
      </c>
      <c r="BH11" s="12">
        <v>0.43089846494509432</v>
      </c>
      <c r="BI11" s="12">
        <v>0</v>
      </c>
      <c r="BJ11" s="12">
        <v>0</v>
      </c>
      <c r="BK11" s="12">
        <v>0</v>
      </c>
      <c r="BM11" s="8" t="s">
        <v>222</v>
      </c>
      <c r="BN11" s="8" t="s">
        <v>223</v>
      </c>
      <c r="BO11" s="12">
        <v>0</v>
      </c>
      <c r="BP11" s="14">
        <v>0</v>
      </c>
      <c r="BQ11" s="12">
        <v>0.55083650932160488</v>
      </c>
      <c r="BR11" s="10">
        <v>0.15864378224233808</v>
      </c>
      <c r="BS11" s="10">
        <v>8.0761820530917072E-2</v>
      </c>
      <c r="BT11" s="12">
        <v>1.4293693974534888E-2</v>
      </c>
      <c r="BU11" s="14">
        <v>5.6720718052103896E-3</v>
      </c>
      <c r="BV11" s="12">
        <v>4.6527357549199136E-2</v>
      </c>
      <c r="BW11" s="14">
        <v>0</v>
      </c>
      <c r="BX11" s="14">
        <v>0</v>
      </c>
      <c r="BY11" s="14">
        <v>0</v>
      </c>
      <c r="BZ11" s="12">
        <v>0.48719193457417215</v>
      </c>
      <c r="CA11" s="12">
        <v>0.16086278057000861</v>
      </c>
      <c r="CB11" s="12">
        <v>8.5243988514980967E-2</v>
      </c>
      <c r="CC11" s="10">
        <v>2.5368181484731404E-2</v>
      </c>
      <c r="CD11" s="12">
        <v>0</v>
      </c>
      <c r="CE11" s="12">
        <v>0</v>
      </c>
      <c r="CF11" s="10">
        <v>5.6046739586221124E-3</v>
      </c>
      <c r="CG11" s="12">
        <v>0.15076965138634804</v>
      </c>
      <c r="CH11" s="12">
        <v>0</v>
      </c>
      <c r="CI11" s="12">
        <v>0.77102664732386184</v>
      </c>
      <c r="CJ11" s="12">
        <v>0.1410266820223742</v>
      </c>
      <c r="CK11" s="12">
        <v>8.8093331974970282E-2</v>
      </c>
      <c r="CL11" s="12">
        <v>4.0140390075244697E-2</v>
      </c>
      <c r="CM11" s="12">
        <v>3.3766212695589973E-3</v>
      </c>
      <c r="CN11" s="12">
        <v>2.9615264950199629E-3</v>
      </c>
      <c r="CO11" s="14">
        <v>1.8448807622906474E-3</v>
      </c>
      <c r="CP11" s="12">
        <v>3.5336599839820818E-3</v>
      </c>
      <c r="CQ11" s="12">
        <v>5.7368402251652593E-2</v>
      </c>
      <c r="CR11" s="12">
        <v>0</v>
      </c>
      <c r="CS11" s="12">
        <v>0.9135346411862062</v>
      </c>
      <c r="CT11" s="12">
        <v>0.16415378808052519</v>
      </c>
      <c r="CU11" s="12">
        <v>6.6406187291705249E-2</v>
      </c>
      <c r="CV11" s="12">
        <v>3.2217506397823212E-2</v>
      </c>
      <c r="CW11" s="12">
        <v>2.2010026946108056E-3</v>
      </c>
      <c r="CX11" s="12">
        <v>3.0857659638478443E-3</v>
      </c>
      <c r="CY11" s="12">
        <v>3.3567234706413348E-3</v>
      </c>
      <c r="CZ11" s="12">
        <v>1.0658190012541131E-2</v>
      </c>
      <c r="DA11" s="12">
        <v>7.7874786171991575E-2</v>
      </c>
      <c r="DB11" s="12">
        <v>0</v>
      </c>
      <c r="DC11" s="14">
        <v>0</v>
      </c>
      <c r="DD11" s="12">
        <v>0.70376048621760912</v>
      </c>
      <c r="DE11" s="12">
        <v>0.19096440328260028</v>
      </c>
      <c r="DF11" s="12">
        <v>0.11952692843967473</v>
      </c>
      <c r="DG11" s="12">
        <v>2.7795902282453003E-2</v>
      </c>
      <c r="DH11" s="14">
        <v>8.6255609772839317E-3</v>
      </c>
      <c r="DI11" s="14">
        <v>5.006132979464257E-3</v>
      </c>
      <c r="DJ11" s="12">
        <v>5.6796628982184988E-2</v>
      </c>
      <c r="DK11" s="12">
        <v>1.1157500597344281E-2</v>
      </c>
      <c r="DL11" s="14">
        <v>0</v>
      </c>
      <c r="DM11" s="14">
        <v>0</v>
      </c>
      <c r="DN11" s="14">
        <v>0</v>
      </c>
      <c r="DO11" s="12">
        <v>0.57464560894018235</v>
      </c>
      <c r="DP11" s="12">
        <v>0.17103404974692218</v>
      </c>
      <c r="DQ11" s="12">
        <v>0.10366568685814175</v>
      </c>
      <c r="DR11" s="10">
        <v>3.1295754757704748E-2</v>
      </c>
      <c r="DS11" s="10">
        <v>0.1009916343577241</v>
      </c>
      <c r="DT11" s="12">
        <v>0</v>
      </c>
      <c r="DU11" s="14">
        <v>0</v>
      </c>
      <c r="DV11" s="14">
        <v>0</v>
      </c>
      <c r="DX11" s="8" t="s">
        <v>222</v>
      </c>
      <c r="DY11" s="8" t="s">
        <v>226</v>
      </c>
      <c r="DZ11" s="12">
        <v>0</v>
      </c>
      <c r="EA11" s="12">
        <v>0</v>
      </c>
      <c r="EB11" s="12">
        <v>0</v>
      </c>
      <c r="EC11" s="12">
        <v>0</v>
      </c>
      <c r="ED11" s="12">
        <v>1.2748748957929127E-2</v>
      </c>
      <c r="EE11" s="12">
        <v>9.2420683259381825E-2</v>
      </c>
      <c r="EF11" s="12">
        <v>0.2060571620743096</v>
      </c>
      <c r="EG11" s="12">
        <v>0.27604960933829947</v>
      </c>
      <c r="EH11" s="12">
        <v>0</v>
      </c>
      <c r="EI11" s="12">
        <v>0</v>
      </c>
      <c r="EJ11" s="12">
        <v>0</v>
      </c>
      <c r="EK11" s="12">
        <v>0</v>
      </c>
      <c r="EL11" s="12">
        <v>0</v>
      </c>
      <c r="EM11" s="12">
        <v>1.5678466441001241E-2</v>
      </c>
      <c r="EN11" s="12">
        <v>4.7716958827553023E-2</v>
      </c>
      <c r="EO11" s="12">
        <v>8.5004885064937349E-2</v>
      </c>
      <c r="EP11" s="12">
        <v>7.9476441082192498E-2</v>
      </c>
      <c r="EQ11" s="12">
        <v>2.973732809787772E-2</v>
      </c>
      <c r="ER11" s="12">
        <v>0</v>
      </c>
      <c r="ES11" s="12">
        <v>0</v>
      </c>
      <c r="ET11" s="12">
        <v>0</v>
      </c>
      <c r="EU11" s="12">
        <v>0</v>
      </c>
      <c r="EV11" s="12">
        <v>0</v>
      </c>
      <c r="EW11" s="12">
        <v>2.852640720633539E-2</v>
      </c>
      <c r="EX11" s="12">
        <v>4.7601405102568994E-2</v>
      </c>
      <c r="EY11" s="12">
        <v>4.1550476035103624E-2</v>
      </c>
      <c r="EZ11" s="12">
        <v>2.6979612993530831E-2</v>
      </c>
      <c r="FA11" s="12">
        <v>1.8171608902741328E-2</v>
      </c>
      <c r="FB11" s="12">
        <v>1.4570478085040356E-2</v>
      </c>
      <c r="FC11" s="12">
        <v>0</v>
      </c>
      <c r="FD11" s="12">
        <v>0</v>
      </c>
      <c r="FE11" s="12">
        <v>0</v>
      </c>
      <c r="FF11" s="12">
        <v>0</v>
      </c>
      <c r="FG11" s="12">
        <v>2.040887419119539E-2</v>
      </c>
      <c r="FH11" s="12">
        <v>4.1380983358079063E-2</v>
      </c>
      <c r="FI11" s="12">
        <v>3.7612952594055456E-2</v>
      </c>
      <c r="FJ11" s="12">
        <v>2.6101008270099087E-2</v>
      </c>
      <c r="FK11" s="12">
        <v>9.2467217756746038E-3</v>
      </c>
      <c r="FL11" s="12">
        <v>1.8585213670316836E-2</v>
      </c>
      <c r="FM11" s="12">
        <v>0</v>
      </c>
      <c r="FN11" s="12">
        <v>0</v>
      </c>
      <c r="FO11" s="12">
        <v>0</v>
      </c>
      <c r="FP11" s="12">
        <v>0</v>
      </c>
      <c r="FQ11" s="12">
        <v>0</v>
      </c>
      <c r="FR11" s="12">
        <v>6.3432655563156151E-2</v>
      </c>
      <c r="FS11" s="12">
        <v>9.2169625428659141E-2</v>
      </c>
      <c r="FT11" s="12">
        <v>0.10229628561198537</v>
      </c>
      <c r="FU11" s="12">
        <v>3.8277909633240577E-2</v>
      </c>
      <c r="FV11" s="12">
        <v>0.7818979334125572</v>
      </c>
      <c r="FW11" s="12">
        <v>0</v>
      </c>
      <c r="FX11" s="12">
        <v>0</v>
      </c>
      <c r="FY11" s="12">
        <v>0</v>
      </c>
      <c r="FZ11" s="14">
        <v>0</v>
      </c>
      <c r="GA11" s="12">
        <v>0</v>
      </c>
      <c r="GB11" s="12">
        <v>5.5148565233414963E-3</v>
      </c>
      <c r="GC11" s="12">
        <v>8.6937204824753422E-2</v>
      </c>
      <c r="GD11" s="12">
        <v>0.17171567945851884</v>
      </c>
      <c r="GE11" s="12">
        <v>0</v>
      </c>
      <c r="GF11" s="12">
        <v>0</v>
      </c>
      <c r="GG11" s="12">
        <v>0</v>
      </c>
      <c r="GI11" s="8" t="s">
        <v>172</v>
      </c>
      <c r="GJ11" s="12">
        <v>0</v>
      </c>
      <c r="GK11" s="12">
        <v>0</v>
      </c>
      <c r="GL11" s="12">
        <v>2.8586811357246291E-3</v>
      </c>
      <c r="GM11" s="12">
        <v>8.8592189288673781E-2</v>
      </c>
      <c r="GN11" s="12">
        <v>0.17454880941953041</v>
      </c>
      <c r="GO11" s="12">
        <v>0.16800618209423376</v>
      </c>
      <c r="GP11" s="12">
        <v>0.10221700728634744</v>
      </c>
      <c r="GQ11" s="12">
        <v>1.3605204801008368E-2</v>
      </c>
      <c r="GR11" s="12">
        <v>0</v>
      </c>
      <c r="GS11" s="12">
        <v>0</v>
      </c>
      <c r="GT11" s="12">
        <v>0</v>
      </c>
      <c r="GU11" s="12">
        <v>1.9140350865627518E-2</v>
      </c>
      <c r="GV11" s="12">
        <v>0.18567337768851419</v>
      </c>
      <c r="GW11" s="12">
        <v>0.38743686987758102</v>
      </c>
      <c r="GX11" s="12">
        <v>0.43665422940661941</v>
      </c>
      <c r="GY11" s="12">
        <v>0.40050578390933256</v>
      </c>
      <c r="GZ11" s="12">
        <v>0.32880244117236535</v>
      </c>
      <c r="HA11" s="12">
        <v>0.18594163832642649</v>
      </c>
      <c r="HB11" s="10">
        <v>1.9254298492292619E-2</v>
      </c>
      <c r="HC11" s="12">
        <v>0</v>
      </c>
      <c r="HD11" s="10">
        <v>0</v>
      </c>
      <c r="HE11" s="12">
        <v>0.11193806736679164</v>
      </c>
      <c r="HF11" s="12">
        <v>0.31624440944998511</v>
      </c>
      <c r="HG11" s="12">
        <v>0.43275848112064813</v>
      </c>
      <c r="HH11" s="12">
        <v>0.445071324534975</v>
      </c>
      <c r="HI11" s="12">
        <v>0.41565043997657136</v>
      </c>
      <c r="HJ11" s="12">
        <v>0.35574262984579091</v>
      </c>
      <c r="HK11" s="12">
        <v>0.23686226269820079</v>
      </c>
      <c r="HL11" s="12">
        <v>8.4892013715286596E-2</v>
      </c>
      <c r="HM11" s="12">
        <v>0</v>
      </c>
      <c r="HN11" s="10">
        <v>0</v>
      </c>
      <c r="HO11" s="12">
        <v>0.10364885031614288</v>
      </c>
      <c r="HP11" s="12">
        <v>0.34527580270844582</v>
      </c>
      <c r="HQ11" s="12">
        <v>0.50003355821401974</v>
      </c>
      <c r="HR11" s="12">
        <v>0.51831441918130605</v>
      </c>
      <c r="HS11" s="12">
        <v>0.48422406173080601</v>
      </c>
      <c r="HT11" s="12">
        <v>0.43428299966233269</v>
      </c>
      <c r="HU11" s="12">
        <v>0.30559069946286604</v>
      </c>
      <c r="HV11" s="12">
        <v>0.10905068796844067</v>
      </c>
      <c r="HW11" s="12">
        <v>0</v>
      </c>
      <c r="HX11" s="12">
        <v>0</v>
      </c>
      <c r="HY11" s="12">
        <v>1.6244154738502224E-3</v>
      </c>
      <c r="HZ11" s="12">
        <v>0.12678320101602233</v>
      </c>
      <c r="IA11" s="12">
        <v>0.27482382027688762</v>
      </c>
      <c r="IB11" s="12">
        <v>0.31820859786850092</v>
      </c>
      <c r="IC11" s="12">
        <v>0.32580260841722669</v>
      </c>
      <c r="ID11" s="12">
        <v>0.25743783063790981</v>
      </c>
      <c r="IE11" s="12">
        <v>9.0552199663824967E-2</v>
      </c>
      <c r="IF11" s="10">
        <v>5.9832722218211044E-4</v>
      </c>
      <c r="IG11" s="12">
        <v>0</v>
      </c>
      <c r="IH11" s="12">
        <v>0</v>
      </c>
      <c r="II11" s="12">
        <v>0</v>
      </c>
      <c r="IJ11" s="12">
        <v>2.4412597050556804E-3</v>
      </c>
      <c r="IK11" s="12">
        <v>8.533450447512321E-2</v>
      </c>
      <c r="IL11" s="12">
        <v>0.14065907888394427</v>
      </c>
      <c r="IM11" s="12">
        <v>0.1396170552932669</v>
      </c>
      <c r="IN11" s="12">
        <v>7.4738490264272886E-2</v>
      </c>
      <c r="IO11" s="12">
        <v>0</v>
      </c>
      <c r="IP11" s="12">
        <v>0</v>
      </c>
      <c r="IQ11" s="12">
        <v>0</v>
      </c>
      <c r="IS11" s="8" t="s">
        <v>172</v>
      </c>
      <c r="IT11" s="8" t="s">
        <v>229</v>
      </c>
      <c r="IU11" s="8" t="s">
        <v>230</v>
      </c>
      <c r="IV11" s="12">
        <v>0.43906640533417379</v>
      </c>
    </row>
    <row r="12" spans="1:256" x14ac:dyDescent="0.45">
      <c r="B12" s="9" t="s">
        <v>173</v>
      </c>
      <c r="C12" s="9" t="s">
        <v>31</v>
      </c>
      <c r="D12" s="13">
        <v>0</v>
      </c>
      <c r="E12" s="13">
        <v>0</v>
      </c>
      <c r="F12" s="13">
        <v>0.83081739851094805</v>
      </c>
      <c r="G12" s="13">
        <v>0.3130418964469579</v>
      </c>
      <c r="H12" s="13">
        <v>0.2020975263318962</v>
      </c>
      <c r="I12" s="13">
        <v>0.21184095681112713</v>
      </c>
      <c r="J12" s="13">
        <v>0.31195326719129229</v>
      </c>
      <c r="K12" s="13">
        <v>0.78411893904246011</v>
      </c>
      <c r="L12" s="13">
        <v>0</v>
      </c>
      <c r="M12" s="13">
        <v>0</v>
      </c>
      <c r="N12" s="13">
        <v>0</v>
      </c>
      <c r="O12" s="13">
        <v>0.81916066765691153</v>
      </c>
      <c r="P12" s="13">
        <v>0.39284479864976701</v>
      </c>
      <c r="Q12" s="13">
        <v>0.26589494995059892</v>
      </c>
      <c r="R12" s="13">
        <v>0.181698845437399</v>
      </c>
      <c r="S12" s="13">
        <v>0.17598748293889088</v>
      </c>
      <c r="T12" s="13">
        <v>0.24683337609052938</v>
      </c>
      <c r="U12" s="13">
        <v>0.35079015926937518</v>
      </c>
      <c r="V12" s="13">
        <v>0.84154609975318984</v>
      </c>
      <c r="W12" s="13">
        <v>0</v>
      </c>
      <c r="X12" s="13">
        <v>0</v>
      </c>
      <c r="Y12" s="13">
        <v>0.38412068045287046</v>
      </c>
      <c r="Z12" s="13">
        <v>0.27911231227443595</v>
      </c>
      <c r="AA12" s="13">
        <v>0.25564990422073325</v>
      </c>
      <c r="AB12" s="13">
        <v>0.19122035272355414</v>
      </c>
      <c r="AC12" s="13">
        <v>0.17094468551790146</v>
      </c>
      <c r="AD12" s="13">
        <v>0.19610117035628274</v>
      </c>
      <c r="AE12" s="13">
        <v>0.24351092018234155</v>
      </c>
      <c r="AF12" s="13">
        <v>0.43082704373636482</v>
      </c>
      <c r="AG12" s="13">
        <v>0</v>
      </c>
      <c r="AH12" s="13">
        <v>0</v>
      </c>
      <c r="AI12" s="13">
        <v>0.39767825864961581</v>
      </c>
      <c r="AJ12" s="13">
        <v>0.16526233998708637</v>
      </c>
      <c r="AK12" s="13">
        <v>0.11350799530847699</v>
      </c>
      <c r="AL12" s="13">
        <v>9.7876914573124169E-2</v>
      </c>
      <c r="AM12" s="13">
        <v>0.10179986907825744</v>
      </c>
      <c r="AN12" s="13">
        <v>0.12318229411141053</v>
      </c>
      <c r="AO12" s="13">
        <v>0.17955315438958055</v>
      </c>
      <c r="AP12" s="13">
        <v>0.39239667719870225</v>
      </c>
      <c r="AQ12" s="13">
        <v>0</v>
      </c>
      <c r="AR12" s="13">
        <v>0</v>
      </c>
      <c r="AS12" s="13">
        <v>0.92919930750649971</v>
      </c>
      <c r="AT12" s="13">
        <v>0.38814990916254977</v>
      </c>
      <c r="AU12" s="13">
        <v>0.25517837225069157</v>
      </c>
      <c r="AV12" s="13">
        <v>0.18573235392812504</v>
      </c>
      <c r="AW12" s="13">
        <v>0.18572470343246913</v>
      </c>
      <c r="AX12" s="13">
        <v>0.23662357437796533</v>
      </c>
      <c r="AY12" s="13">
        <v>0.50559347224095763</v>
      </c>
      <c r="AZ12" s="13">
        <v>0.99180327868852436</v>
      </c>
      <c r="BA12" s="13">
        <v>0</v>
      </c>
      <c r="BB12" s="13">
        <v>0</v>
      </c>
      <c r="BC12" s="13">
        <v>0</v>
      </c>
      <c r="BD12" s="13">
        <v>0.86070701080933554</v>
      </c>
      <c r="BE12" s="13">
        <v>0.31588402927255738</v>
      </c>
      <c r="BF12" s="13">
        <v>0.2125177348645669</v>
      </c>
      <c r="BG12" s="13">
        <v>0.23851597780321268</v>
      </c>
      <c r="BH12" s="13">
        <v>0.33739866995605167</v>
      </c>
      <c r="BI12" s="13">
        <v>0</v>
      </c>
      <c r="BJ12" s="13">
        <v>0</v>
      </c>
      <c r="BK12" s="13">
        <v>0</v>
      </c>
      <c r="BM12" s="9" t="s">
        <v>224</v>
      </c>
      <c r="BN12" s="9" t="s">
        <v>223</v>
      </c>
      <c r="BO12" s="13">
        <v>1.7672589756929199E-2</v>
      </c>
      <c r="BP12" s="15">
        <v>5.0985153599194318E-4</v>
      </c>
      <c r="BQ12" s="13">
        <v>5.384161916203241E-3</v>
      </c>
      <c r="BR12" s="11">
        <v>6.4992930306153056E-4</v>
      </c>
      <c r="BS12" s="11">
        <v>3.0335277686898204E-3</v>
      </c>
      <c r="BT12" s="13">
        <v>9.5993315511242478E-3</v>
      </c>
      <c r="BU12" s="15">
        <v>9.7834070476843747E-3</v>
      </c>
      <c r="BV12" s="13">
        <v>5.8451165760929815E-3</v>
      </c>
      <c r="BW12" s="15">
        <v>0</v>
      </c>
      <c r="BX12" s="15">
        <v>9.5202823708277469E-4</v>
      </c>
      <c r="BY12" s="15">
        <v>4.102989481982954E-3</v>
      </c>
      <c r="BZ12" s="13">
        <v>8.5932068966983501E-3</v>
      </c>
      <c r="CA12" s="13">
        <v>4.0835914823848891E-3</v>
      </c>
      <c r="CB12" s="13">
        <v>0</v>
      </c>
      <c r="CC12" s="11">
        <v>3.7498070891332429E-3</v>
      </c>
      <c r="CD12" s="13">
        <v>1.1426945082078846E-2</v>
      </c>
      <c r="CE12" s="13">
        <v>1.4680501685889632E-2</v>
      </c>
      <c r="CF12" s="11">
        <v>2.0547350388572166E-2</v>
      </c>
      <c r="CG12" s="13">
        <v>2.1953551072747032E-2</v>
      </c>
      <c r="CH12" s="13">
        <v>2.0609024479369391E-2</v>
      </c>
      <c r="CI12" s="13">
        <v>6.4959502405835812E-3</v>
      </c>
      <c r="CJ12" s="13">
        <v>3.4854139294009734E-3</v>
      </c>
      <c r="CK12" s="13">
        <v>6.8611392280990263E-3</v>
      </c>
      <c r="CL12" s="13">
        <v>4.7036245113350264E-3</v>
      </c>
      <c r="CM12" s="13">
        <v>1.7465575584651668E-2</v>
      </c>
      <c r="CN12" s="13">
        <v>3.3085625152640893E-2</v>
      </c>
      <c r="CO12" s="15">
        <v>7.7401769423966248E-3</v>
      </c>
      <c r="CP12" s="13">
        <v>2.5010200360003801E-2</v>
      </c>
      <c r="CQ12" s="13">
        <v>1.6667044418691043E-2</v>
      </c>
      <c r="CR12" s="13">
        <v>1.7108173526759186E-2</v>
      </c>
      <c r="CS12" s="13">
        <v>1.2669984080505204E-2</v>
      </c>
      <c r="CT12" s="13">
        <v>0</v>
      </c>
      <c r="CU12" s="13">
        <v>0</v>
      </c>
      <c r="CV12" s="13">
        <v>2.9795336966350824E-3</v>
      </c>
      <c r="CW12" s="13">
        <v>1.0700776163767628E-2</v>
      </c>
      <c r="CX12" s="13">
        <v>6.6461047975683281E-3</v>
      </c>
      <c r="CY12" s="13">
        <v>9.5823061641327166E-3</v>
      </c>
      <c r="CZ12" s="13">
        <v>4.7525996009786693E-3</v>
      </c>
      <c r="DA12" s="13">
        <v>2.1880298499206533E-2</v>
      </c>
      <c r="DB12" s="13">
        <v>3.9508295287225076E-2</v>
      </c>
      <c r="DC12" s="15">
        <v>3.8396857968940397E-3</v>
      </c>
      <c r="DD12" s="13">
        <v>0</v>
      </c>
      <c r="DE12" s="13">
        <v>0</v>
      </c>
      <c r="DF12" s="13">
        <v>2.2831986675886312E-3</v>
      </c>
      <c r="DG12" s="13">
        <v>3.5263185588110366E-3</v>
      </c>
      <c r="DH12" s="15">
        <v>0</v>
      </c>
      <c r="DI12" s="15">
        <v>0</v>
      </c>
      <c r="DJ12" s="13">
        <v>6.3512059742147353E-3</v>
      </c>
      <c r="DK12" s="13">
        <v>1.634349465389982E-2</v>
      </c>
      <c r="DL12" s="15">
        <v>6.0583904350016236E-3</v>
      </c>
      <c r="DM12" s="15">
        <v>4.71434733297426E-3</v>
      </c>
      <c r="DN12" s="15">
        <v>1.4774154350675848E-3</v>
      </c>
      <c r="DO12" s="13">
        <v>2.999395519105347E-3</v>
      </c>
      <c r="DP12" s="13">
        <v>0</v>
      </c>
      <c r="DQ12" s="13">
        <v>4.5161623815071061E-3</v>
      </c>
      <c r="DR12" s="11">
        <v>8.1812930575851997E-3</v>
      </c>
      <c r="DS12" s="11">
        <v>9.2165708722169448E-4</v>
      </c>
      <c r="DT12" s="13">
        <v>2.7228997670246317E-3</v>
      </c>
      <c r="DU12" s="15">
        <v>0</v>
      </c>
      <c r="DV12" s="15">
        <v>1.6796509692183889E-3</v>
      </c>
      <c r="DX12" s="9" t="s">
        <v>224</v>
      </c>
      <c r="DY12" s="9" t="s">
        <v>226</v>
      </c>
      <c r="DZ12" s="13">
        <v>1.3445359174210116E-2</v>
      </c>
      <c r="EA12" s="13">
        <v>3.121437743096998E-2</v>
      </c>
      <c r="EB12" s="13">
        <v>2.0838320195000877E-2</v>
      </c>
      <c r="EC12" s="13">
        <v>2.4666480298114715E-2</v>
      </c>
      <c r="ED12" s="13">
        <v>2.9507900894330846E-2</v>
      </c>
      <c r="EE12" s="13">
        <v>2.1501532162019235E-2</v>
      </c>
      <c r="EF12" s="13">
        <v>2.1193284865806843E-2</v>
      </c>
      <c r="EG12" s="13">
        <v>4.0573339970941452E-2</v>
      </c>
      <c r="EH12" s="13">
        <v>4.6396235970044566E-2</v>
      </c>
      <c r="EI12" s="13">
        <v>1.2123963990984621E-2</v>
      </c>
      <c r="EJ12" s="13">
        <v>3.2295220993597856E-2</v>
      </c>
      <c r="EK12" s="13">
        <v>9.6491128510763774E-3</v>
      </c>
      <c r="EL12" s="13">
        <v>1.9137811796175491E-2</v>
      </c>
      <c r="EM12" s="13">
        <v>2.9177704549552461E-2</v>
      </c>
      <c r="EN12" s="13">
        <v>2.8856196132601528E-2</v>
      </c>
      <c r="EO12" s="13">
        <v>0</v>
      </c>
      <c r="EP12" s="13">
        <v>3.145386700851419E-3</v>
      </c>
      <c r="EQ12" s="13">
        <v>1.250772924338674E-2</v>
      </c>
      <c r="ER12" s="13">
        <v>2.6389965136141398E-2</v>
      </c>
      <c r="ES12" s="13">
        <v>4.3632922969082777E-2</v>
      </c>
      <c r="ET12" s="13">
        <v>3.7658589562879492E-2</v>
      </c>
      <c r="EU12" s="13">
        <v>3.285563238587022E-2</v>
      </c>
      <c r="EV12" s="13">
        <v>2.5834706626280693E-2</v>
      </c>
      <c r="EW12" s="13">
        <v>1.4142863589466936E-2</v>
      </c>
      <c r="EX12" s="13">
        <v>1.7749864347496914E-2</v>
      </c>
      <c r="EY12" s="13">
        <v>1.6362445263111803E-2</v>
      </c>
      <c r="EZ12" s="13">
        <v>3.3389666796450092E-2</v>
      </c>
      <c r="FA12" s="13">
        <v>4.5506456360761033E-2</v>
      </c>
      <c r="FB12" s="13">
        <v>7.778892157517027E-2</v>
      </c>
      <c r="FC12" s="13">
        <v>4.9775112759854828E-2</v>
      </c>
      <c r="FD12" s="13">
        <v>3.892597360216575E-2</v>
      </c>
      <c r="FE12" s="13">
        <v>2.3162182500417364E-2</v>
      </c>
      <c r="FF12" s="13">
        <v>3.1851293784491606E-2</v>
      </c>
      <c r="FG12" s="13">
        <v>2.3369747683328609E-2</v>
      </c>
      <c r="FH12" s="13">
        <v>0</v>
      </c>
      <c r="FI12" s="13">
        <v>6.5220629910375839E-3</v>
      </c>
      <c r="FJ12" s="13">
        <v>7.9935319632671985E-3</v>
      </c>
      <c r="FK12" s="13">
        <v>1.0747566023924867E-2</v>
      </c>
      <c r="FL12" s="13">
        <v>1.4779161484616851E-2</v>
      </c>
      <c r="FM12" s="13">
        <v>3.4358705973785118E-2</v>
      </c>
      <c r="FN12" s="13">
        <v>2.065608926024038E-2</v>
      </c>
      <c r="FO12" s="13">
        <v>1.6101736961653755E-2</v>
      </c>
      <c r="FP12" s="13">
        <v>1.0469387886696709E-2</v>
      </c>
      <c r="FQ12" s="13">
        <v>1.5915292765233623E-3</v>
      </c>
      <c r="FR12" s="13">
        <v>9.0741031446292392E-3</v>
      </c>
      <c r="FS12" s="13">
        <v>1.3498562115706488E-2</v>
      </c>
      <c r="FT12" s="13">
        <v>5.9738092025542252E-3</v>
      </c>
      <c r="FU12" s="13">
        <v>1.554751838174087E-3</v>
      </c>
      <c r="FV12" s="13">
        <v>3.3406639119888037E-3</v>
      </c>
      <c r="FW12" s="13">
        <v>2.005015646674559E-2</v>
      </c>
      <c r="FX12" s="13">
        <v>1.3585946730876956E-2</v>
      </c>
      <c r="FY12" s="13">
        <v>1.3322669487056025E-2</v>
      </c>
      <c r="FZ12" s="15">
        <v>5.469557454527812E-3</v>
      </c>
      <c r="GA12" s="13">
        <v>1.2273493142347167E-2</v>
      </c>
      <c r="GB12" s="13">
        <v>1.4652859093788636E-2</v>
      </c>
      <c r="GC12" s="13">
        <v>2.2264126575565106E-3</v>
      </c>
      <c r="GD12" s="13">
        <v>1.0939273602151023E-2</v>
      </c>
      <c r="GE12" s="13">
        <v>1.3866456941064146E-2</v>
      </c>
      <c r="GF12" s="13">
        <v>1.4908465057774548E-2</v>
      </c>
      <c r="GG12" s="13">
        <v>1.3108008339872133E-2</v>
      </c>
      <c r="GI12" s="9" t="s">
        <v>173</v>
      </c>
      <c r="GJ12" s="13">
        <v>0</v>
      </c>
      <c r="GK12" s="13">
        <v>0</v>
      </c>
      <c r="GL12" s="13">
        <v>8.0551878353134973E-3</v>
      </c>
      <c r="GM12" s="13">
        <v>0.11176469718026581</v>
      </c>
      <c r="GN12" s="13">
        <v>0.20422569565950002</v>
      </c>
      <c r="GO12" s="13">
        <v>0.20584861075581221</v>
      </c>
      <c r="GP12" s="13">
        <v>0.1261870153102371</v>
      </c>
      <c r="GQ12" s="13">
        <v>1.5439928612387561E-2</v>
      </c>
      <c r="GR12" s="13">
        <v>0</v>
      </c>
      <c r="GS12" s="13">
        <v>0</v>
      </c>
      <c r="GT12" s="13">
        <v>0</v>
      </c>
      <c r="GU12" s="13">
        <v>2.923614084591147E-2</v>
      </c>
      <c r="GV12" s="13">
        <v>0.20693357279409091</v>
      </c>
      <c r="GW12" s="13">
        <v>0.38359508847145901</v>
      </c>
      <c r="GX12" s="13">
        <v>0.43449306577182895</v>
      </c>
      <c r="GY12" s="13">
        <v>0.41116478073105428</v>
      </c>
      <c r="GZ12" s="13">
        <v>0.33958033586498859</v>
      </c>
      <c r="HA12" s="13">
        <v>0.18164465504323407</v>
      </c>
      <c r="HB12" s="11">
        <v>1.557916646271656E-2</v>
      </c>
      <c r="HC12" s="13">
        <v>0</v>
      </c>
      <c r="HD12" s="11">
        <v>0</v>
      </c>
      <c r="HE12" s="13">
        <v>0.10274998019140923</v>
      </c>
      <c r="HF12" s="13">
        <v>0.28885089801075048</v>
      </c>
      <c r="HG12" s="13">
        <v>0.39373623077756104</v>
      </c>
      <c r="HH12" s="13">
        <v>0.4297728779484673</v>
      </c>
      <c r="HI12" s="13">
        <v>0.42627590196601906</v>
      </c>
      <c r="HJ12" s="13">
        <v>0.36197690001554195</v>
      </c>
      <c r="HK12" s="13">
        <v>0.22632712087304344</v>
      </c>
      <c r="HL12" s="13">
        <v>7.0711826587022297E-2</v>
      </c>
      <c r="HM12" s="13">
        <v>0</v>
      </c>
      <c r="HN12" s="11">
        <v>0</v>
      </c>
      <c r="HO12" s="13">
        <v>0.11999271652411758</v>
      </c>
      <c r="HP12" s="13">
        <v>0.38870133164078341</v>
      </c>
      <c r="HQ12" s="13">
        <v>0.53525709163244251</v>
      </c>
      <c r="HR12" s="13">
        <v>0.53085173190725643</v>
      </c>
      <c r="HS12" s="13">
        <v>0.49793322910722987</v>
      </c>
      <c r="HT12" s="13">
        <v>0.45044792822864133</v>
      </c>
      <c r="HU12" s="13">
        <v>0.30738874669091037</v>
      </c>
      <c r="HV12" s="13">
        <v>9.5184367570911879E-2</v>
      </c>
      <c r="HW12" s="13">
        <v>0</v>
      </c>
      <c r="HX12" s="13">
        <v>0</v>
      </c>
      <c r="HY12" s="13">
        <v>6.3124239107509618E-3</v>
      </c>
      <c r="HZ12" s="13">
        <v>0.15102732123008192</v>
      </c>
      <c r="IA12" s="13">
        <v>0.31343762042520906</v>
      </c>
      <c r="IB12" s="13">
        <v>0.33894782192390777</v>
      </c>
      <c r="IC12" s="13">
        <v>0.34061734221624934</v>
      </c>
      <c r="ID12" s="13">
        <v>0.26414562857315099</v>
      </c>
      <c r="IE12" s="13">
        <v>8.3315132561633407E-2</v>
      </c>
      <c r="IF12" s="11">
        <v>6.1183207621782268E-6</v>
      </c>
      <c r="IG12" s="13">
        <v>0</v>
      </c>
      <c r="IH12" s="13">
        <v>0</v>
      </c>
      <c r="II12" s="13">
        <v>0</v>
      </c>
      <c r="IJ12" s="13">
        <v>8.7397084416750044E-3</v>
      </c>
      <c r="IK12" s="13">
        <v>0.105015894334236</v>
      </c>
      <c r="IL12" s="13">
        <v>0.17166743316465782</v>
      </c>
      <c r="IM12" s="13">
        <v>0.19034008655811277</v>
      </c>
      <c r="IN12" s="13">
        <v>0.10069104874570529</v>
      </c>
      <c r="IO12" s="13">
        <v>0</v>
      </c>
      <c r="IP12" s="13">
        <v>0</v>
      </c>
      <c r="IQ12" s="13">
        <v>0</v>
      </c>
      <c r="IS12" s="9" t="s">
        <v>173</v>
      </c>
      <c r="IT12" s="9" t="s">
        <v>229</v>
      </c>
      <c r="IU12" s="9" t="s">
        <v>230</v>
      </c>
      <c r="IV12" s="13">
        <v>0.43583718589452125</v>
      </c>
    </row>
    <row r="13" spans="1:256" x14ac:dyDescent="0.45">
      <c r="B13" s="8" t="s">
        <v>174</v>
      </c>
      <c r="C13" s="8" t="s">
        <v>31</v>
      </c>
      <c r="D13" s="12">
        <v>0</v>
      </c>
      <c r="E13" s="12">
        <v>0</v>
      </c>
      <c r="F13" s="12">
        <v>0.8277493778576801</v>
      </c>
      <c r="G13" s="12">
        <v>0.33572124373404777</v>
      </c>
      <c r="H13" s="12">
        <v>0.21295107780865746</v>
      </c>
      <c r="I13" s="12">
        <v>0.22862470027476131</v>
      </c>
      <c r="J13" s="12">
        <v>0.34564972094739238</v>
      </c>
      <c r="K13" s="12">
        <v>0.78654748758581639</v>
      </c>
      <c r="L13" s="12">
        <v>0</v>
      </c>
      <c r="M13" s="12">
        <v>0</v>
      </c>
      <c r="N13" s="12">
        <v>0</v>
      </c>
      <c r="O13" s="12">
        <v>0.83646572259856211</v>
      </c>
      <c r="P13" s="12">
        <v>0.3852042891893398</v>
      </c>
      <c r="Q13" s="12">
        <v>0.26993763188303171</v>
      </c>
      <c r="R13" s="12">
        <v>0.1787202024561593</v>
      </c>
      <c r="S13" s="12">
        <v>0.18123084398720932</v>
      </c>
      <c r="T13" s="12">
        <v>0.25537226842450639</v>
      </c>
      <c r="U13" s="12">
        <v>0.36196074208797174</v>
      </c>
      <c r="V13" s="12">
        <v>0.83781059943421854</v>
      </c>
      <c r="W13" s="12">
        <v>0</v>
      </c>
      <c r="X13" s="12">
        <v>0</v>
      </c>
      <c r="Y13" s="12">
        <v>0.35724044213393435</v>
      </c>
      <c r="Z13" s="12">
        <v>0.26633821613392472</v>
      </c>
      <c r="AA13" s="12">
        <v>0.21505412624423714</v>
      </c>
      <c r="AB13" s="12">
        <v>0.17432257234864032</v>
      </c>
      <c r="AC13" s="12">
        <v>0.16497460627459892</v>
      </c>
      <c r="AD13" s="12">
        <v>0.19028134870534152</v>
      </c>
      <c r="AE13" s="12">
        <v>0.22341609458838449</v>
      </c>
      <c r="AF13" s="12">
        <v>0.40584254709903517</v>
      </c>
      <c r="AG13" s="12">
        <v>0</v>
      </c>
      <c r="AH13" s="12">
        <v>0</v>
      </c>
      <c r="AI13" s="12">
        <v>0.3784934194555713</v>
      </c>
      <c r="AJ13" s="12">
        <v>0.15704565488350344</v>
      </c>
      <c r="AK13" s="12">
        <v>0.11694461002098755</v>
      </c>
      <c r="AL13" s="12">
        <v>9.5057168173923096E-2</v>
      </c>
      <c r="AM13" s="12">
        <v>9.5220531322228699E-2</v>
      </c>
      <c r="AN13" s="12">
        <v>0.1256429986853374</v>
      </c>
      <c r="AO13" s="12">
        <v>0.15912299158344312</v>
      </c>
      <c r="AP13" s="12">
        <v>0.37066051520832061</v>
      </c>
      <c r="AQ13" s="12">
        <v>0</v>
      </c>
      <c r="AR13" s="12">
        <v>0</v>
      </c>
      <c r="AS13" s="12">
        <v>0.91780579995677958</v>
      </c>
      <c r="AT13" s="12">
        <v>0.37188326115937564</v>
      </c>
      <c r="AU13" s="12">
        <v>0.2347727082065402</v>
      </c>
      <c r="AV13" s="12">
        <v>0.16242896723083342</v>
      </c>
      <c r="AW13" s="12">
        <v>0.17350950948416954</v>
      </c>
      <c r="AX13" s="12">
        <v>0.23628678438714601</v>
      </c>
      <c r="AY13" s="12">
        <v>0.51719286410340293</v>
      </c>
      <c r="AZ13" s="12">
        <v>0.99180327868852469</v>
      </c>
      <c r="BA13" s="12">
        <v>0</v>
      </c>
      <c r="BB13" s="12">
        <v>0</v>
      </c>
      <c r="BC13" s="12">
        <v>0</v>
      </c>
      <c r="BD13" s="12">
        <v>0.86153829502296486</v>
      </c>
      <c r="BE13" s="12">
        <v>0.30997042570013889</v>
      </c>
      <c r="BF13" s="12">
        <v>0.2255040322530239</v>
      </c>
      <c r="BG13" s="12">
        <v>0.26038244124132948</v>
      </c>
      <c r="BH13" s="12">
        <v>0.39107698442367056</v>
      </c>
      <c r="BI13" s="12">
        <v>0</v>
      </c>
      <c r="BJ13" s="12">
        <v>0</v>
      </c>
      <c r="BK13" s="12">
        <v>0</v>
      </c>
      <c r="BM13" s="8" t="s">
        <v>225</v>
      </c>
      <c r="BN13" s="8" t="s">
        <v>223</v>
      </c>
      <c r="BO13" s="12">
        <v>1.6049219154105714E-2</v>
      </c>
      <c r="BP13" s="14">
        <v>8.8032203947494246E-3</v>
      </c>
      <c r="BQ13" s="12">
        <v>6.466354742895807E-3</v>
      </c>
      <c r="BR13" s="10">
        <v>1.8656120782329481E-2</v>
      </c>
      <c r="BS13" s="10">
        <v>8.6595432883891015E-4</v>
      </c>
      <c r="BT13" s="12">
        <v>3.2369770839954992E-3</v>
      </c>
      <c r="BU13" s="14">
        <v>1.066441174709097E-3</v>
      </c>
      <c r="BV13" s="12">
        <v>1.492016088000697E-2</v>
      </c>
      <c r="BW13" s="14">
        <v>4.053073546273836E-3</v>
      </c>
      <c r="BX13" s="14">
        <v>0</v>
      </c>
      <c r="BY13" s="14">
        <v>9.9801336339087731E-3</v>
      </c>
      <c r="BZ13" s="12">
        <v>1.5379342526802557E-2</v>
      </c>
      <c r="CA13" s="12">
        <v>1.4879335159236244E-2</v>
      </c>
      <c r="CB13" s="12">
        <v>5.6703680419515189E-3</v>
      </c>
      <c r="CC13" s="10">
        <v>3.6683001965137738E-4</v>
      </c>
      <c r="CD13" s="12">
        <v>7.7113760581223973E-3</v>
      </c>
      <c r="CE13" s="12">
        <v>1.1632553004844058E-2</v>
      </c>
      <c r="CF13" s="10">
        <v>4.0293166954711527E-4</v>
      </c>
      <c r="CG13" s="12">
        <v>8.4821351258707583E-3</v>
      </c>
      <c r="CH13" s="12">
        <v>9.2281321013108989E-3</v>
      </c>
      <c r="CI13" s="12">
        <v>1.8150964654321821E-2</v>
      </c>
      <c r="CJ13" s="12">
        <v>7.4149707076849548E-3</v>
      </c>
      <c r="CK13" s="12">
        <v>7.6120504739544169E-3</v>
      </c>
      <c r="CL13" s="12">
        <v>5.3608466756252336E-3</v>
      </c>
      <c r="CM13" s="12">
        <v>1.7387147296950907E-2</v>
      </c>
      <c r="CN13" s="12">
        <v>1.6759665069488512E-2</v>
      </c>
      <c r="CO13" s="14">
        <v>1.9056622641500686E-3</v>
      </c>
      <c r="CP13" s="12">
        <v>0</v>
      </c>
      <c r="CQ13" s="12">
        <v>1.0669221670509023E-2</v>
      </c>
      <c r="CR13" s="12">
        <v>1.7599505086553571E-2</v>
      </c>
      <c r="CS13" s="12">
        <v>1.2713384217919002E-2</v>
      </c>
      <c r="CT13" s="12">
        <v>8.2462858274395239E-3</v>
      </c>
      <c r="CU13" s="12">
        <v>1.5088471101891708E-2</v>
      </c>
      <c r="CV13" s="12">
        <v>1.922367781392522E-2</v>
      </c>
      <c r="CW13" s="12">
        <v>2.4234214794021668E-2</v>
      </c>
      <c r="CX13" s="12">
        <v>1.9328237918745699E-2</v>
      </c>
      <c r="CY13" s="12">
        <v>3.3638706115193949E-2</v>
      </c>
      <c r="CZ13" s="12">
        <v>4.7878544882742147E-3</v>
      </c>
      <c r="DA13" s="12">
        <v>1.0023696179017806E-2</v>
      </c>
      <c r="DB13" s="12">
        <v>1.9910756904251477E-2</v>
      </c>
      <c r="DC13" s="14">
        <v>4.7281371730360346E-3</v>
      </c>
      <c r="DD13" s="12">
        <v>9.7986143783198257E-3</v>
      </c>
      <c r="DE13" s="12">
        <v>0</v>
      </c>
      <c r="DF13" s="12">
        <v>4.0882003079846215E-3</v>
      </c>
      <c r="DG13" s="12">
        <v>8.7555882972362217E-3</v>
      </c>
      <c r="DH13" s="14">
        <v>0</v>
      </c>
      <c r="DI13" s="14">
        <v>0</v>
      </c>
      <c r="DJ13" s="12">
        <v>5.8595302797672302E-3</v>
      </c>
      <c r="DK13" s="12">
        <v>4.7069780350019498E-3</v>
      </c>
      <c r="DL13" s="14">
        <v>8.0237283407236983E-3</v>
      </c>
      <c r="DM13" s="14">
        <v>5.7702242810299407E-3</v>
      </c>
      <c r="DN13" s="14">
        <v>0</v>
      </c>
      <c r="DO13" s="12">
        <v>3.132494619148002E-3</v>
      </c>
      <c r="DP13" s="12">
        <v>7.815936029233056E-3</v>
      </c>
      <c r="DQ13" s="12">
        <v>5.8763750443166004E-3</v>
      </c>
      <c r="DR13" s="10">
        <v>9.6458339012625127E-4</v>
      </c>
      <c r="DS13" s="10">
        <v>5.2274555981880614E-3</v>
      </c>
      <c r="DT13" s="12">
        <v>1.011785615949257E-2</v>
      </c>
      <c r="DU13" s="14">
        <v>5.803625280623924E-3</v>
      </c>
      <c r="DV13" s="14">
        <v>5.3849555546133547E-3</v>
      </c>
      <c r="DX13" s="8" t="s">
        <v>225</v>
      </c>
      <c r="DY13" s="8" t="s">
        <v>226</v>
      </c>
      <c r="DZ13" s="12">
        <v>3.8879021146975452E-3</v>
      </c>
      <c r="EA13" s="12">
        <v>2.6172311229198001E-2</v>
      </c>
      <c r="EB13" s="12">
        <v>3.3832738367986726E-2</v>
      </c>
      <c r="EC13" s="12">
        <v>2.1969286507811412E-2</v>
      </c>
      <c r="ED13" s="12">
        <v>4.1808378997263557E-2</v>
      </c>
      <c r="EE13" s="12">
        <v>3.7551355510739855E-2</v>
      </c>
      <c r="EF13" s="12">
        <v>2.1398303821081693E-2</v>
      </c>
      <c r="EG13" s="12">
        <v>8.4332855920108071E-3</v>
      </c>
      <c r="EH13" s="12">
        <v>2.5343991222900725E-2</v>
      </c>
      <c r="EI13" s="12">
        <v>2.0236403219986692E-2</v>
      </c>
      <c r="EJ13" s="12">
        <v>1.8491733342219104E-2</v>
      </c>
      <c r="EK13" s="12">
        <v>2.4348300688633664E-2</v>
      </c>
      <c r="EL13" s="12">
        <v>2.7517642514135063E-2</v>
      </c>
      <c r="EM13" s="12">
        <v>2.7010104108553239E-2</v>
      </c>
      <c r="EN13" s="12">
        <v>1.7218115149667916E-2</v>
      </c>
      <c r="EO13" s="12">
        <v>1.6507252955842922E-2</v>
      </c>
      <c r="EP13" s="12">
        <v>0</v>
      </c>
      <c r="EQ13" s="12">
        <v>1.0979878968750925E-2</v>
      </c>
      <c r="ER13" s="12">
        <v>1.4137459043216873E-2</v>
      </c>
      <c r="ES13" s="12">
        <v>2.0050213798649824E-2</v>
      </c>
      <c r="ET13" s="12">
        <v>3.2970780399799116E-2</v>
      </c>
      <c r="EU13" s="12">
        <v>3.7405443398591427E-2</v>
      </c>
      <c r="EV13" s="12">
        <v>4.1737141665762305E-2</v>
      </c>
      <c r="EW13" s="12">
        <v>1.6781932809338644E-2</v>
      </c>
      <c r="EX13" s="12">
        <v>2.1747767540674361E-2</v>
      </c>
      <c r="EY13" s="12">
        <v>2.2719885720329243E-2</v>
      </c>
      <c r="EZ13" s="12">
        <v>4.2053904935207186E-2</v>
      </c>
      <c r="FA13" s="12">
        <v>3.8441907671873249E-2</v>
      </c>
      <c r="FB13" s="12">
        <v>3.6181246380652517E-2</v>
      </c>
      <c r="FC13" s="12">
        <v>1.3392979040156025E-2</v>
      </c>
      <c r="FD13" s="12">
        <v>2.9184720628912541E-2</v>
      </c>
      <c r="FE13" s="12">
        <v>3.9237976377044861E-2</v>
      </c>
      <c r="FF13" s="12">
        <v>2.2362933012510577E-2</v>
      </c>
      <c r="FG13" s="12">
        <v>3.6435725454667445E-2</v>
      </c>
      <c r="FH13" s="12">
        <v>5.093243156740361E-2</v>
      </c>
      <c r="FI13" s="12">
        <v>4.5257689233171784E-2</v>
      </c>
      <c r="FJ13" s="12">
        <v>3.5872386258827688E-2</v>
      </c>
      <c r="FK13" s="12">
        <v>7.2056007107884068E-2</v>
      </c>
      <c r="FL13" s="12">
        <v>4.8762052001375192E-2</v>
      </c>
      <c r="FM13" s="12">
        <v>2.1706881126317752E-2</v>
      </c>
      <c r="FN13" s="12">
        <v>1.7054344481537399E-2</v>
      </c>
      <c r="FO13" s="12">
        <v>1.3044427140568516E-2</v>
      </c>
      <c r="FP13" s="12">
        <v>1.4985073415511337E-2</v>
      </c>
      <c r="FQ13" s="12">
        <v>1.2754019851787302E-2</v>
      </c>
      <c r="FR13" s="12">
        <v>1.2735455014242331E-2</v>
      </c>
      <c r="FS13" s="12">
        <v>1.7174743056131921E-2</v>
      </c>
      <c r="FT13" s="12">
        <v>2.1957792834430341E-2</v>
      </c>
      <c r="FU13" s="12">
        <v>1.065047173342098E-2</v>
      </c>
      <c r="FV13" s="12">
        <v>2.519234465333229E-3</v>
      </c>
      <c r="FW13" s="12">
        <v>4.8185079851866576E-3</v>
      </c>
      <c r="FX13" s="12">
        <v>1.1707362792469611E-2</v>
      </c>
      <c r="FY13" s="12">
        <v>1.2772535341587383E-2</v>
      </c>
      <c r="FZ13" s="14">
        <v>9.7725781529222362E-3</v>
      </c>
      <c r="GA13" s="12">
        <v>5.127268118966139E-3</v>
      </c>
      <c r="GB13" s="12">
        <v>1.0206884676950079E-2</v>
      </c>
      <c r="GC13" s="12">
        <v>1.5399780341678956E-2</v>
      </c>
      <c r="GD13" s="12">
        <v>1.3056398737861364E-2</v>
      </c>
      <c r="GE13" s="12">
        <v>4.383751613198858E-3</v>
      </c>
      <c r="GF13" s="12">
        <v>1.1693225320972124E-2</v>
      </c>
      <c r="GG13" s="12">
        <v>1.5075181836182176E-2</v>
      </c>
      <c r="GI13" s="8" t="s">
        <v>174</v>
      </c>
      <c r="GJ13" s="12">
        <v>0</v>
      </c>
      <c r="GK13" s="12">
        <v>0</v>
      </c>
      <c r="GL13" s="12">
        <v>5.056328574841347E-3</v>
      </c>
      <c r="GM13" s="12">
        <v>8.7647614340550337E-2</v>
      </c>
      <c r="GN13" s="12">
        <v>0.17446249181048323</v>
      </c>
      <c r="GO13" s="12">
        <v>0.17294896580886004</v>
      </c>
      <c r="GP13" s="12">
        <v>9.6571973200536176E-2</v>
      </c>
      <c r="GQ13" s="12">
        <v>1.0466742873092795E-2</v>
      </c>
      <c r="GR13" s="12">
        <v>0</v>
      </c>
      <c r="GS13" s="12">
        <v>0</v>
      </c>
      <c r="GT13" s="12">
        <v>0</v>
      </c>
      <c r="GU13" s="12">
        <v>2.5589392048224614E-2</v>
      </c>
      <c r="GV13" s="12">
        <v>0.20100611035933472</v>
      </c>
      <c r="GW13" s="12">
        <v>0.37610664704172952</v>
      </c>
      <c r="GX13" s="12">
        <v>0.43029056609206001</v>
      </c>
      <c r="GY13" s="12">
        <v>0.4003074979772599</v>
      </c>
      <c r="GZ13" s="12">
        <v>0.32675774378556172</v>
      </c>
      <c r="HA13" s="12">
        <v>0.17981347236789832</v>
      </c>
      <c r="HB13" s="10">
        <v>1.7639440176248935E-2</v>
      </c>
      <c r="HC13" s="12">
        <v>0</v>
      </c>
      <c r="HD13" s="10">
        <v>0</v>
      </c>
      <c r="HE13" s="12">
        <v>0.1192006175772909</v>
      </c>
      <c r="HF13" s="12">
        <v>0.31029761333042283</v>
      </c>
      <c r="HG13" s="12">
        <v>0.41992869230937391</v>
      </c>
      <c r="HH13" s="12">
        <v>0.44717184464522319</v>
      </c>
      <c r="HI13" s="12">
        <v>0.4261335855195863</v>
      </c>
      <c r="HJ13" s="12">
        <v>0.35643679990082422</v>
      </c>
      <c r="HK13" s="12">
        <v>0.23335185049526139</v>
      </c>
      <c r="HL13" s="12">
        <v>7.704608757724983E-2</v>
      </c>
      <c r="HM13" s="12">
        <v>0</v>
      </c>
      <c r="HN13" s="10">
        <v>0</v>
      </c>
      <c r="HO13" s="12">
        <v>0.11814474105542533</v>
      </c>
      <c r="HP13" s="12">
        <v>0.37742711610987989</v>
      </c>
      <c r="HQ13" s="12">
        <v>0.5186185948985822</v>
      </c>
      <c r="HR13" s="12">
        <v>0.52009012254386522</v>
      </c>
      <c r="HS13" s="12">
        <v>0.49271857639867184</v>
      </c>
      <c r="HT13" s="12">
        <v>0.44511118032535019</v>
      </c>
      <c r="HU13" s="12">
        <v>0.3113504545455581</v>
      </c>
      <c r="HV13" s="12">
        <v>0.10085899723480672</v>
      </c>
      <c r="HW13" s="12">
        <v>0</v>
      </c>
      <c r="HX13" s="12">
        <v>0</v>
      </c>
      <c r="HY13" s="12">
        <v>6.5755657004526995E-3</v>
      </c>
      <c r="HZ13" s="12">
        <v>0.14408717198766804</v>
      </c>
      <c r="IA13" s="12">
        <v>0.29712756971775434</v>
      </c>
      <c r="IB13" s="12">
        <v>0.33847479478334164</v>
      </c>
      <c r="IC13" s="12">
        <v>0.33388943126003617</v>
      </c>
      <c r="ID13" s="12">
        <v>0.25415129000200626</v>
      </c>
      <c r="IE13" s="12">
        <v>7.7290364435877626E-2</v>
      </c>
      <c r="IF13" s="10">
        <v>2.0620218022452007E-4</v>
      </c>
      <c r="IG13" s="12">
        <v>0</v>
      </c>
      <c r="IH13" s="12">
        <v>0</v>
      </c>
      <c r="II13" s="12">
        <v>0</v>
      </c>
      <c r="IJ13" s="12">
        <v>7.4393181550168799E-3</v>
      </c>
      <c r="IK13" s="12">
        <v>0.10959367884539793</v>
      </c>
      <c r="IL13" s="12">
        <v>0.15795210298512588</v>
      </c>
      <c r="IM13" s="12">
        <v>0.15985175313601055</v>
      </c>
      <c r="IN13" s="12">
        <v>7.3547896584217898E-2</v>
      </c>
      <c r="IO13" s="12">
        <v>0</v>
      </c>
      <c r="IP13" s="12">
        <v>0</v>
      </c>
      <c r="IQ13" s="12">
        <v>0</v>
      </c>
      <c r="IS13" s="8" t="s">
        <v>174</v>
      </c>
      <c r="IT13" s="8" t="s">
        <v>229</v>
      </c>
      <c r="IU13" s="8" t="s">
        <v>230</v>
      </c>
      <c r="IV13" s="12">
        <v>0.40572133355912582</v>
      </c>
    </row>
    <row r="14" spans="1:256" x14ac:dyDescent="0.45">
      <c r="B14" s="9" t="s">
        <v>175</v>
      </c>
      <c r="C14" s="9" t="s">
        <v>31</v>
      </c>
      <c r="D14" s="13">
        <v>0</v>
      </c>
      <c r="E14" s="13">
        <v>0</v>
      </c>
      <c r="F14" s="13">
        <v>0.89330724492247715</v>
      </c>
      <c r="G14" s="13">
        <v>0.40401709213883258</v>
      </c>
      <c r="H14" s="13">
        <v>0.2353867138355234</v>
      </c>
      <c r="I14" s="13">
        <v>0.22349115771026229</v>
      </c>
      <c r="J14" s="13">
        <v>0.3465737340331832</v>
      </c>
      <c r="K14" s="13">
        <v>0.78943816402856648</v>
      </c>
      <c r="L14" s="13">
        <v>0</v>
      </c>
      <c r="M14" s="13">
        <v>0</v>
      </c>
      <c r="N14" s="13">
        <v>0</v>
      </c>
      <c r="O14" s="13">
        <v>0.83141056915294975</v>
      </c>
      <c r="P14" s="13">
        <v>0.36453276582486382</v>
      </c>
      <c r="Q14" s="13">
        <v>0.21887933842072918</v>
      </c>
      <c r="R14" s="13">
        <v>0.16695467782114815</v>
      </c>
      <c r="S14" s="13">
        <v>0.17391540922384954</v>
      </c>
      <c r="T14" s="13">
        <v>0.22616108345428276</v>
      </c>
      <c r="U14" s="13">
        <v>0.32234642186969203</v>
      </c>
      <c r="V14" s="13">
        <v>0.81705275336717498</v>
      </c>
      <c r="W14" s="13">
        <v>0</v>
      </c>
      <c r="X14" s="13">
        <v>0</v>
      </c>
      <c r="Y14" s="13">
        <v>0.34286036700124045</v>
      </c>
      <c r="Z14" s="13">
        <v>0.2121511086240942</v>
      </c>
      <c r="AA14" s="13">
        <v>0.1779770755633257</v>
      </c>
      <c r="AB14" s="13">
        <v>0.1401363142735198</v>
      </c>
      <c r="AC14" s="13">
        <v>0.15550781292884122</v>
      </c>
      <c r="AD14" s="13">
        <v>0.19987534354706157</v>
      </c>
      <c r="AE14" s="13">
        <v>0.24253473270594156</v>
      </c>
      <c r="AF14" s="13">
        <v>0.36209036361807356</v>
      </c>
      <c r="AG14" s="13">
        <v>0</v>
      </c>
      <c r="AH14" s="13">
        <v>0</v>
      </c>
      <c r="AI14" s="13">
        <v>0.41784603764143413</v>
      </c>
      <c r="AJ14" s="13">
        <v>0.19683602329648259</v>
      </c>
      <c r="AK14" s="13">
        <v>0.12965629158396721</v>
      </c>
      <c r="AL14" s="13">
        <v>0.10390345209726927</v>
      </c>
      <c r="AM14" s="13">
        <v>0.1031950501458742</v>
      </c>
      <c r="AN14" s="13">
        <v>0.1398365920545229</v>
      </c>
      <c r="AO14" s="13">
        <v>0.20367768306026793</v>
      </c>
      <c r="AP14" s="13">
        <v>0.374829686062704</v>
      </c>
      <c r="AQ14" s="13">
        <v>0</v>
      </c>
      <c r="AR14" s="13">
        <v>0</v>
      </c>
      <c r="AS14" s="13">
        <v>0.96713847874977044</v>
      </c>
      <c r="AT14" s="13">
        <v>0.4461731259555558</v>
      </c>
      <c r="AU14" s="13">
        <v>0.28594320648405602</v>
      </c>
      <c r="AV14" s="13">
        <v>0.20047207202721173</v>
      </c>
      <c r="AW14" s="13">
        <v>0.18970583256146473</v>
      </c>
      <c r="AX14" s="13">
        <v>0.26518613791338363</v>
      </c>
      <c r="AY14" s="13">
        <v>0.50432296612695926</v>
      </c>
      <c r="AZ14" s="13">
        <v>0.97540983606557352</v>
      </c>
      <c r="BA14" s="13">
        <v>0</v>
      </c>
      <c r="BB14" s="13">
        <v>0</v>
      </c>
      <c r="BC14" s="13">
        <v>0</v>
      </c>
      <c r="BD14" s="13">
        <v>0.94171129220557559</v>
      </c>
      <c r="BE14" s="13">
        <v>0.40492316678975032</v>
      </c>
      <c r="BF14" s="13">
        <v>0.29394048199366174</v>
      </c>
      <c r="BG14" s="13">
        <v>0.3309293383459051</v>
      </c>
      <c r="BH14" s="13">
        <v>0.4832226327936508</v>
      </c>
      <c r="BI14" s="13">
        <v>0</v>
      </c>
      <c r="BJ14" s="13">
        <v>0</v>
      </c>
      <c r="BK14" s="13">
        <v>0</v>
      </c>
      <c r="GI14" s="9" t="s">
        <v>175</v>
      </c>
      <c r="GJ14" s="13">
        <v>0</v>
      </c>
      <c r="GK14" s="13">
        <v>0</v>
      </c>
      <c r="GL14" s="13">
        <v>3.3672133339037852E-3</v>
      </c>
      <c r="GM14" s="13">
        <v>8.0859285586378685E-2</v>
      </c>
      <c r="GN14" s="13">
        <v>0.15932843888526352</v>
      </c>
      <c r="GO14" s="13">
        <v>0.14837757183255115</v>
      </c>
      <c r="GP14" s="13">
        <v>9.2180594843962765E-2</v>
      </c>
      <c r="GQ14" s="13">
        <v>1.2569068815978045E-2</v>
      </c>
      <c r="GR14" s="13">
        <v>0</v>
      </c>
      <c r="GS14" s="13">
        <v>0</v>
      </c>
      <c r="GT14" s="13">
        <v>0</v>
      </c>
      <c r="GU14" s="13">
        <v>2.0667457407407341E-2</v>
      </c>
      <c r="GV14" s="13">
        <v>0.20582516959566768</v>
      </c>
      <c r="GW14" s="13">
        <v>0.41423300542973529</v>
      </c>
      <c r="GX14" s="13">
        <v>0.45841607663970546</v>
      </c>
      <c r="GY14" s="13">
        <v>0.42211028249280719</v>
      </c>
      <c r="GZ14" s="13">
        <v>0.35666758822259531</v>
      </c>
      <c r="HA14" s="13">
        <v>0.19055349022703869</v>
      </c>
      <c r="HB14" s="11">
        <v>1.8519989048809929E-2</v>
      </c>
      <c r="HC14" s="13">
        <v>0</v>
      </c>
      <c r="HD14" s="11">
        <v>0</v>
      </c>
      <c r="HE14" s="13">
        <v>0.12742714750959233</v>
      </c>
      <c r="HF14" s="13">
        <v>0.3472624595145149</v>
      </c>
      <c r="HG14" s="13">
        <v>0.46602353550040887</v>
      </c>
      <c r="HH14" s="13">
        <v>0.48598094580436713</v>
      </c>
      <c r="HI14" s="13">
        <v>0.45507849113021193</v>
      </c>
      <c r="HJ14" s="13">
        <v>0.39107732358737113</v>
      </c>
      <c r="HK14" s="13">
        <v>0.260836379563128</v>
      </c>
      <c r="HL14" s="13">
        <v>9.6559672488320439E-2</v>
      </c>
      <c r="HM14" s="13">
        <v>0</v>
      </c>
      <c r="HN14" s="11">
        <v>0</v>
      </c>
      <c r="HO14" s="13">
        <v>0.10469985528274932</v>
      </c>
      <c r="HP14" s="13">
        <v>0.3374859132429931</v>
      </c>
      <c r="HQ14" s="13">
        <v>0.48946922121089564</v>
      </c>
      <c r="HR14" s="13">
        <v>0.50957496869926799</v>
      </c>
      <c r="HS14" s="13">
        <v>0.4942744449373172</v>
      </c>
      <c r="HT14" s="13">
        <v>0.43684137075334883</v>
      </c>
      <c r="HU14" s="13">
        <v>0.29862229085276931</v>
      </c>
      <c r="HV14" s="13">
        <v>0.11130986062511265</v>
      </c>
      <c r="HW14" s="13">
        <v>0</v>
      </c>
      <c r="HX14" s="13">
        <v>0</v>
      </c>
      <c r="HY14" s="13">
        <v>2.1433712547583397E-3</v>
      </c>
      <c r="HZ14" s="13">
        <v>0.12137484063038272</v>
      </c>
      <c r="IA14" s="13">
        <v>0.26883846023515984</v>
      </c>
      <c r="IB14" s="13">
        <v>0.31585719247590277</v>
      </c>
      <c r="IC14" s="13">
        <v>0.31333512808862174</v>
      </c>
      <c r="ID14" s="13">
        <v>0.23964978944716667</v>
      </c>
      <c r="IE14" s="13">
        <v>8.5260698900421955E-2</v>
      </c>
      <c r="IF14" s="11">
        <v>8.3642482720712517E-4</v>
      </c>
      <c r="IG14" s="13">
        <v>0</v>
      </c>
      <c r="IH14" s="13">
        <v>0</v>
      </c>
      <c r="II14" s="13">
        <v>0</v>
      </c>
      <c r="IJ14" s="13">
        <v>1.4139673738209466E-3</v>
      </c>
      <c r="IK14" s="13">
        <v>6.9352537748164217E-2</v>
      </c>
      <c r="IL14" s="13">
        <v>0.12024231748213174</v>
      </c>
      <c r="IM14" s="13">
        <v>0.1246199014404813</v>
      </c>
      <c r="IN14" s="13">
        <v>6.2681028943082473E-2</v>
      </c>
      <c r="IO14" s="13">
        <v>0</v>
      </c>
      <c r="IP14" s="13">
        <v>0</v>
      </c>
      <c r="IQ14" s="13">
        <v>0</v>
      </c>
      <c r="IS14" s="9" t="s">
        <v>175</v>
      </c>
      <c r="IT14" s="9" t="s">
        <v>229</v>
      </c>
      <c r="IU14" s="9" t="s">
        <v>230</v>
      </c>
      <c r="IV14" s="13">
        <v>0.45274393125234169</v>
      </c>
    </row>
    <row r="15" spans="1:256" x14ac:dyDescent="0.45">
      <c r="B15" s="8" t="s">
        <v>176</v>
      </c>
      <c r="C15" s="8" t="s">
        <v>31</v>
      </c>
      <c r="D15" s="12">
        <v>0</v>
      </c>
      <c r="E15" s="12">
        <v>0</v>
      </c>
      <c r="F15" s="12">
        <v>0.85502444763760155</v>
      </c>
      <c r="G15" s="12">
        <v>0.37948647134067459</v>
      </c>
      <c r="H15" s="12">
        <v>0.24362088112124519</v>
      </c>
      <c r="I15" s="12">
        <v>0.21823460492186067</v>
      </c>
      <c r="J15" s="12">
        <v>0.34482166773649142</v>
      </c>
      <c r="K15" s="12">
        <v>0.79447163421831213</v>
      </c>
      <c r="L15" s="12">
        <v>0</v>
      </c>
      <c r="M15" s="12">
        <v>0</v>
      </c>
      <c r="N15" s="12">
        <v>0</v>
      </c>
      <c r="O15" s="12">
        <v>0.80944219481377166</v>
      </c>
      <c r="P15" s="12">
        <v>0.36765782758809296</v>
      </c>
      <c r="Q15" s="12">
        <v>0.22346681095772081</v>
      </c>
      <c r="R15" s="12">
        <v>0.16252554387720397</v>
      </c>
      <c r="S15" s="12">
        <v>0.15933470383820875</v>
      </c>
      <c r="T15" s="12">
        <v>0.2176915214173874</v>
      </c>
      <c r="U15" s="12">
        <v>0.34996563594502661</v>
      </c>
      <c r="V15" s="12">
        <v>0.83507111101748066</v>
      </c>
      <c r="W15" s="12">
        <v>0</v>
      </c>
      <c r="X15" s="12">
        <v>0</v>
      </c>
      <c r="Y15" s="12">
        <v>0.31701004921574621</v>
      </c>
      <c r="Z15" s="12">
        <v>0.22027914523798137</v>
      </c>
      <c r="AA15" s="12">
        <v>0.1626694508574299</v>
      </c>
      <c r="AB15" s="12">
        <v>0.14064615832235972</v>
      </c>
      <c r="AC15" s="12">
        <v>0.14454178484036234</v>
      </c>
      <c r="AD15" s="12">
        <v>0.17948003565437332</v>
      </c>
      <c r="AE15" s="12">
        <v>0.21444608500353751</v>
      </c>
      <c r="AF15" s="12">
        <v>0.36416766905529707</v>
      </c>
      <c r="AG15" s="12">
        <v>0</v>
      </c>
      <c r="AH15" s="12">
        <v>0</v>
      </c>
      <c r="AI15" s="12">
        <v>0.3583280208759077</v>
      </c>
      <c r="AJ15" s="12">
        <v>0.18677968713704995</v>
      </c>
      <c r="AK15" s="12">
        <v>0.13826546317723692</v>
      </c>
      <c r="AL15" s="12">
        <v>0.10476608660967336</v>
      </c>
      <c r="AM15" s="12">
        <v>0.10150493264469307</v>
      </c>
      <c r="AN15" s="12">
        <v>0.12687768664827806</v>
      </c>
      <c r="AO15" s="12">
        <v>0.18383438921941633</v>
      </c>
      <c r="AP15" s="12">
        <v>0.37305058022506898</v>
      </c>
      <c r="AQ15" s="12">
        <v>0</v>
      </c>
      <c r="AR15" s="12">
        <v>0</v>
      </c>
      <c r="AS15" s="12">
        <v>0.92111092886492985</v>
      </c>
      <c r="AT15" s="12">
        <v>0.41502011623226243</v>
      </c>
      <c r="AU15" s="12">
        <v>0.27172885026954557</v>
      </c>
      <c r="AV15" s="12">
        <v>0.1992887344379134</v>
      </c>
      <c r="AW15" s="12">
        <v>0.18905489797301941</v>
      </c>
      <c r="AX15" s="12">
        <v>0.25984855157690528</v>
      </c>
      <c r="AY15" s="12">
        <v>0.53507293479250195</v>
      </c>
      <c r="AZ15" s="12">
        <v>0.98360655737704961</v>
      </c>
      <c r="BA15" s="12">
        <v>0</v>
      </c>
      <c r="BB15" s="12">
        <v>0</v>
      </c>
      <c r="BC15" s="12">
        <v>0</v>
      </c>
      <c r="BD15" s="12">
        <v>0.90378031164543482</v>
      </c>
      <c r="BE15" s="12">
        <v>0.41331153885237193</v>
      </c>
      <c r="BF15" s="12">
        <v>0.27717210415908744</v>
      </c>
      <c r="BG15" s="12">
        <v>0.32332648560842669</v>
      </c>
      <c r="BH15" s="12">
        <v>0.52075947550851709</v>
      </c>
      <c r="BI15" s="12">
        <v>0</v>
      </c>
      <c r="BJ15" s="12">
        <v>0</v>
      </c>
      <c r="BK15" s="12">
        <v>0</v>
      </c>
      <c r="GI15" s="8" t="s">
        <v>176</v>
      </c>
      <c r="GJ15" s="12">
        <v>0</v>
      </c>
      <c r="GK15" s="12">
        <v>0</v>
      </c>
      <c r="GL15" s="12">
        <v>4.4039462142190008E-3</v>
      </c>
      <c r="GM15" s="12">
        <v>8.6289009944742714E-2</v>
      </c>
      <c r="GN15" s="12">
        <v>0.15597415748399035</v>
      </c>
      <c r="GO15" s="12">
        <v>0.15099510957430765</v>
      </c>
      <c r="GP15" s="12">
        <v>8.6884597674986241E-2</v>
      </c>
      <c r="GQ15" s="12">
        <v>9.5967940769877708E-3</v>
      </c>
      <c r="GR15" s="12">
        <v>0</v>
      </c>
      <c r="GS15" s="12">
        <v>0</v>
      </c>
      <c r="GT15" s="12">
        <v>0</v>
      </c>
      <c r="GU15" s="12">
        <v>2.4483764309097374E-2</v>
      </c>
      <c r="GV15" s="12">
        <v>0.2184320404440564</v>
      </c>
      <c r="GW15" s="12">
        <v>0.42217160654669</v>
      </c>
      <c r="GX15" s="12">
        <v>0.46623915622437195</v>
      </c>
      <c r="GY15" s="12">
        <v>0.44312752316066317</v>
      </c>
      <c r="GZ15" s="12">
        <v>0.36598556643109392</v>
      </c>
      <c r="HA15" s="12">
        <v>0.19334575682871008</v>
      </c>
      <c r="HB15" s="10">
        <v>1.6075245270089977E-2</v>
      </c>
      <c r="HC15" s="12">
        <v>0</v>
      </c>
      <c r="HD15" s="10">
        <v>0</v>
      </c>
      <c r="HE15" s="12">
        <v>0.14047944450750016</v>
      </c>
      <c r="HF15" s="12">
        <v>0.34935883555466113</v>
      </c>
      <c r="HG15" s="12">
        <v>0.47706718974786699</v>
      </c>
      <c r="HH15" s="12">
        <v>0.48702693876816583</v>
      </c>
      <c r="HI15" s="12">
        <v>0.45207027081575041</v>
      </c>
      <c r="HJ15" s="12">
        <v>0.37973234892615365</v>
      </c>
      <c r="HK15" s="12">
        <v>0.25243656973175388</v>
      </c>
      <c r="HL15" s="12">
        <v>9.3026346118489936E-2</v>
      </c>
      <c r="HM15" s="12">
        <v>0</v>
      </c>
      <c r="HN15" s="10">
        <v>0</v>
      </c>
      <c r="HO15" s="12">
        <v>0.12162425043722479</v>
      </c>
      <c r="HP15" s="12">
        <v>0.35355709609607011</v>
      </c>
      <c r="HQ15" s="12">
        <v>0.49028270046449379</v>
      </c>
      <c r="HR15" s="12">
        <v>0.50694804553313044</v>
      </c>
      <c r="HS15" s="12">
        <v>0.48578099842666805</v>
      </c>
      <c r="HT15" s="12">
        <v>0.44142019886924361</v>
      </c>
      <c r="HU15" s="12">
        <v>0.29865097910585348</v>
      </c>
      <c r="HV15" s="12">
        <v>0.10677590702567061</v>
      </c>
      <c r="HW15" s="12">
        <v>0</v>
      </c>
      <c r="HX15" s="12">
        <v>0</v>
      </c>
      <c r="HY15" s="12">
        <v>9.1867505460343207E-3</v>
      </c>
      <c r="HZ15" s="12">
        <v>0.14966672343726395</v>
      </c>
      <c r="IA15" s="12">
        <v>0.29997486693268988</v>
      </c>
      <c r="IB15" s="12">
        <v>0.32224863974094614</v>
      </c>
      <c r="IC15" s="12">
        <v>0.32109518338930193</v>
      </c>
      <c r="ID15" s="12">
        <v>0.23711662552186197</v>
      </c>
      <c r="IE15" s="12">
        <v>7.4818525620697948E-2</v>
      </c>
      <c r="IF15" s="10">
        <v>5.4494346418645879E-4</v>
      </c>
      <c r="IG15" s="12">
        <v>0</v>
      </c>
      <c r="IH15" s="12">
        <v>0</v>
      </c>
      <c r="II15" s="12">
        <v>0</v>
      </c>
      <c r="IJ15" s="12">
        <v>4.180105500581302E-3</v>
      </c>
      <c r="IK15" s="12">
        <v>8.2438322484438067E-2</v>
      </c>
      <c r="IL15" s="12">
        <v>0.12027861983696399</v>
      </c>
      <c r="IM15" s="12">
        <v>0.11342877704211263</v>
      </c>
      <c r="IN15" s="12">
        <v>4.0488578746219826E-2</v>
      </c>
      <c r="IO15" s="12">
        <v>0</v>
      </c>
      <c r="IP15" s="12">
        <v>0</v>
      </c>
      <c r="IQ15" s="12">
        <v>0</v>
      </c>
      <c r="IS15" s="8" t="s">
        <v>176</v>
      </c>
      <c r="IT15" s="8" t="s">
        <v>229</v>
      </c>
      <c r="IU15" s="8" t="s">
        <v>230</v>
      </c>
      <c r="IV15" s="12">
        <v>0.4530372332227694</v>
      </c>
    </row>
    <row r="16" spans="1:256" x14ac:dyDescent="0.45">
      <c r="B16" s="9" t="s">
        <v>177</v>
      </c>
      <c r="C16" s="9" t="s">
        <v>31</v>
      </c>
      <c r="D16" s="13">
        <v>0</v>
      </c>
      <c r="E16" s="13">
        <v>0</v>
      </c>
      <c r="F16" s="13">
        <v>0.80258339655438227</v>
      </c>
      <c r="G16" s="13">
        <v>0.29900800773642744</v>
      </c>
      <c r="H16" s="13">
        <v>0.20525809327483982</v>
      </c>
      <c r="I16" s="13">
        <v>0.22150016500022615</v>
      </c>
      <c r="J16" s="13">
        <v>0.39215232060274735</v>
      </c>
      <c r="K16" s="13">
        <v>0.87933865139742307</v>
      </c>
      <c r="L16" s="13">
        <v>0</v>
      </c>
      <c r="M16" s="13">
        <v>0</v>
      </c>
      <c r="N16" s="13">
        <v>0</v>
      </c>
      <c r="O16" s="13">
        <v>0.73190983326534553</v>
      </c>
      <c r="P16" s="13">
        <v>0.29221431046045537</v>
      </c>
      <c r="Q16" s="13">
        <v>0.18036435651177887</v>
      </c>
      <c r="R16" s="13">
        <v>0.13163656291573195</v>
      </c>
      <c r="S16" s="13">
        <v>0.15755897550225254</v>
      </c>
      <c r="T16" s="13">
        <v>0.23083129814568043</v>
      </c>
      <c r="U16" s="13">
        <v>0.38158426073589619</v>
      </c>
      <c r="V16" s="13">
        <v>0.89359208577306382</v>
      </c>
      <c r="W16" s="13">
        <v>0</v>
      </c>
      <c r="X16" s="13">
        <v>0.89126255879438765</v>
      </c>
      <c r="Y16" s="13">
        <v>0.30468788665736368</v>
      </c>
      <c r="Z16" s="13">
        <v>0.20842319700394554</v>
      </c>
      <c r="AA16" s="13">
        <v>0.15131773434413631</v>
      </c>
      <c r="AB16" s="13">
        <v>0.11361240479099183</v>
      </c>
      <c r="AC16" s="13">
        <v>0.11221451930046386</v>
      </c>
      <c r="AD16" s="13">
        <v>0.15012701954779339</v>
      </c>
      <c r="AE16" s="13">
        <v>0.21926191039684534</v>
      </c>
      <c r="AF16" s="13">
        <v>0.39997297913075203</v>
      </c>
      <c r="AG16" s="13">
        <v>0</v>
      </c>
      <c r="AH16" s="13">
        <v>0.97096774193548385</v>
      </c>
      <c r="AI16" s="13">
        <v>0.32016813545915485</v>
      </c>
      <c r="AJ16" s="13">
        <v>0.16993917146966678</v>
      </c>
      <c r="AK16" s="13">
        <v>0.15113656641844672</v>
      </c>
      <c r="AL16" s="13">
        <v>0.12448854446320459</v>
      </c>
      <c r="AM16" s="13">
        <v>0.12414330625089315</v>
      </c>
      <c r="AN16" s="13">
        <v>0.13394447462571954</v>
      </c>
      <c r="AO16" s="13">
        <v>0.19022853029711884</v>
      </c>
      <c r="AP16" s="13">
        <v>0.44931406520214556</v>
      </c>
      <c r="AQ16" s="13">
        <v>0</v>
      </c>
      <c r="AR16" s="13">
        <v>0</v>
      </c>
      <c r="AS16" s="13">
        <v>0.88141407028041385</v>
      </c>
      <c r="AT16" s="13">
        <v>0.39092173875272124</v>
      </c>
      <c r="AU16" s="13">
        <v>0.27454920395250859</v>
      </c>
      <c r="AV16" s="13">
        <v>0.20055739224099067</v>
      </c>
      <c r="AW16" s="13">
        <v>0.22588315742851314</v>
      </c>
      <c r="AX16" s="13">
        <v>0.30809751003656993</v>
      </c>
      <c r="AY16" s="13">
        <v>0.62486881681962692</v>
      </c>
      <c r="AZ16" s="13">
        <v>0</v>
      </c>
      <c r="BA16" s="13">
        <v>0</v>
      </c>
      <c r="BB16" s="13">
        <v>0</v>
      </c>
      <c r="BC16" s="13">
        <v>0</v>
      </c>
      <c r="BD16" s="13">
        <v>0.88460560396160259</v>
      </c>
      <c r="BE16" s="13">
        <v>0.43011435712109913</v>
      </c>
      <c r="BF16" s="13">
        <v>0.28887200685411635</v>
      </c>
      <c r="BG16" s="13">
        <v>0.33387191878152384</v>
      </c>
      <c r="BH16" s="13">
        <v>0.62820083018010253</v>
      </c>
      <c r="BI16" s="13">
        <v>0</v>
      </c>
      <c r="BJ16" s="13">
        <v>0</v>
      </c>
      <c r="BK16" s="13">
        <v>0</v>
      </c>
      <c r="GI16" s="9" t="s">
        <v>177</v>
      </c>
      <c r="GJ16" s="13">
        <v>0</v>
      </c>
      <c r="GK16" s="13">
        <v>0</v>
      </c>
      <c r="GL16" s="13">
        <v>1.0986734763618201E-2</v>
      </c>
      <c r="GM16" s="13">
        <v>0.10379812404519644</v>
      </c>
      <c r="GN16" s="13">
        <v>0.17508763348669776</v>
      </c>
      <c r="GO16" s="13">
        <v>0.15875051716941652</v>
      </c>
      <c r="GP16" s="13">
        <v>7.6353975353671832E-2</v>
      </c>
      <c r="GQ16" s="13">
        <v>6.577122325485363E-3</v>
      </c>
      <c r="GR16" s="13">
        <v>0</v>
      </c>
      <c r="GS16" s="13">
        <v>0</v>
      </c>
      <c r="GT16" s="13">
        <v>0</v>
      </c>
      <c r="GU16" s="13">
        <v>4.1576447654257769E-2</v>
      </c>
      <c r="GV16" s="13">
        <v>0.292972841187504</v>
      </c>
      <c r="GW16" s="13">
        <v>0.47893462470095416</v>
      </c>
      <c r="GX16" s="13">
        <v>0.47520488180791964</v>
      </c>
      <c r="GY16" s="13">
        <v>0.46295508537441721</v>
      </c>
      <c r="GZ16" s="13">
        <v>0.38435607511316827</v>
      </c>
      <c r="HA16" s="13">
        <v>0.18442292246185332</v>
      </c>
      <c r="HB16" s="11">
        <v>1.0821306471133949E-2</v>
      </c>
      <c r="HC16" s="13">
        <v>0</v>
      </c>
      <c r="HD16" s="11">
        <v>4.1306583315338591E-3</v>
      </c>
      <c r="HE16" s="13">
        <v>0.17448508079543446</v>
      </c>
      <c r="HF16" s="13">
        <v>0.38316205152423605</v>
      </c>
      <c r="HG16" s="13">
        <v>0.49816914660541534</v>
      </c>
      <c r="HH16" s="13">
        <v>0.50298444063466119</v>
      </c>
      <c r="HI16" s="13">
        <v>0.48943429638902625</v>
      </c>
      <c r="HJ16" s="13">
        <v>0.41198747703462091</v>
      </c>
      <c r="HK16" s="13">
        <v>0.26482849606147529</v>
      </c>
      <c r="HL16" s="13">
        <v>8.0891862630830966E-2</v>
      </c>
      <c r="HM16" s="13">
        <v>0</v>
      </c>
      <c r="HN16" s="11">
        <v>9.2309662914276164E-4</v>
      </c>
      <c r="HO16" s="13">
        <v>0.14754974663748954</v>
      </c>
      <c r="HP16" s="13">
        <v>0.36905409613590429</v>
      </c>
      <c r="HQ16" s="13">
        <v>0.473377439058764</v>
      </c>
      <c r="HR16" s="13">
        <v>0.47453986078337212</v>
      </c>
      <c r="HS16" s="13">
        <v>0.46669686081762601</v>
      </c>
      <c r="HT16" s="13">
        <v>0.41749235263403695</v>
      </c>
      <c r="HU16" s="13">
        <v>0.28243458118055664</v>
      </c>
      <c r="HV16" s="13">
        <v>8.2086429101108319E-2</v>
      </c>
      <c r="HW16" s="13">
        <v>0</v>
      </c>
      <c r="HX16" s="13">
        <v>0</v>
      </c>
      <c r="HY16" s="13">
        <v>1.2601190217262906E-2</v>
      </c>
      <c r="HZ16" s="13">
        <v>0.14955300752983944</v>
      </c>
      <c r="IA16" s="13">
        <v>0.27766719337588069</v>
      </c>
      <c r="IB16" s="13">
        <v>0.29125115923848383</v>
      </c>
      <c r="IC16" s="13">
        <v>0.29773162256632968</v>
      </c>
      <c r="ID16" s="13">
        <v>0.21210871039605556</v>
      </c>
      <c r="IE16" s="13">
        <v>6.6116525875092813E-2</v>
      </c>
      <c r="IF16" s="11">
        <v>0</v>
      </c>
      <c r="IG16" s="13">
        <v>0</v>
      </c>
      <c r="IH16" s="13">
        <v>0</v>
      </c>
      <c r="II16" s="13">
        <v>0</v>
      </c>
      <c r="IJ16" s="13">
        <v>6.0102285601102354E-3</v>
      </c>
      <c r="IK16" s="13">
        <v>8.0657288331906718E-2</v>
      </c>
      <c r="IL16" s="13">
        <v>0.11194046508970683</v>
      </c>
      <c r="IM16" s="13">
        <v>0.10231267010257751</v>
      </c>
      <c r="IN16" s="13">
        <v>2.7317916193107836E-2</v>
      </c>
      <c r="IO16" s="13">
        <v>0</v>
      </c>
      <c r="IP16" s="13">
        <v>0</v>
      </c>
      <c r="IQ16" s="13">
        <v>0</v>
      </c>
      <c r="IS16" s="9" t="s">
        <v>177</v>
      </c>
      <c r="IT16" s="9" t="s">
        <v>229</v>
      </c>
      <c r="IU16" s="9" t="s">
        <v>230</v>
      </c>
      <c r="IV16" s="13">
        <v>0.44250137417724295</v>
      </c>
    </row>
    <row r="17" spans="2:256" x14ac:dyDescent="0.45">
      <c r="B17" s="8" t="s">
        <v>178</v>
      </c>
      <c r="C17" s="8" t="s">
        <v>31</v>
      </c>
      <c r="D17" s="12">
        <v>0</v>
      </c>
      <c r="E17" s="12">
        <v>0</v>
      </c>
      <c r="F17" s="12">
        <v>0.86116064690725258</v>
      </c>
      <c r="G17" s="12">
        <v>0.35363043748171363</v>
      </c>
      <c r="H17" s="12">
        <v>0.25620914100751252</v>
      </c>
      <c r="I17" s="12">
        <v>0.22243557823010579</v>
      </c>
      <c r="J17" s="12">
        <v>0.34581296072956186</v>
      </c>
      <c r="K17" s="12">
        <v>0.82252264287664778</v>
      </c>
      <c r="L17" s="12">
        <v>0</v>
      </c>
      <c r="M17" s="12">
        <v>0</v>
      </c>
      <c r="N17" s="12">
        <v>0</v>
      </c>
      <c r="O17" s="12">
        <v>0.79470887317525385</v>
      </c>
      <c r="P17" s="12">
        <v>0.30574457626420604</v>
      </c>
      <c r="Q17" s="12">
        <v>0.15784573846441491</v>
      </c>
      <c r="R17" s="12">
        <v>0.1272002782177212</v>
      </c>
      <c r="S17" s="12">
        <v>0.14439511600474997</v>
      </c>
      <c r="T17" s="12">
        <v>0.19962925997550826</v>
      </c>
      <c r="U17" s="12">
        <v>0.31097934724088444</v>
      </c>
      <c r="V17" s="12">
        <v>0.81744385470849801</v>
      </c>
      <c r="W17" s="12">
        <v>0</v>
      </c>
      <c r="X17" s="12">
        <v>0.96721311475409821</v>
      </c>
      <c r="Y17" s="12">
        <v>0.30812919798206562</v>
      </c>
      <c r="Z17" s="12">
        <v>0.20799508907890737</v>
      </c>
      <c r="AA17" s="12">
        <v>0.1596737208357476</v>
      </c>
      <c r="AB17" s="12">
        <v>0.11127323591382962</v>
      </c>
      <c r="AC17" s="12">
        <v>0.1170680047011812</v>
      </c>
      <c r="AD17" s="12">
        <v>0.15638467318256949</v>
      </c>
      <c r="AE17" s="12">
        <v>0.2076903125325823</v>
      </c>
      <c r="AF17" s="12">
        <v>0.33509336795438083</v>
      </c>
      <c r="AG17" s="12">
        <v>0</v>
      </c>
      <c r="AH17" s="12">
        <v>0</v>
      </c>
      <c r="AI17" s="12">
        <v>0.35769258692465195</v>
      </c>
      <c r="AJ17" s="12">
        <v>0.18757551693057031</v>
      </c>
      <c r="AK17" s="12">
        <v>0.14342000859144072</v>
      </c>
      <c r="AL17" s="12">
        <v>0.10847026663284154</v>
      </c>
      <c r="AM17" s="12">
        <v>9.4012091036044354E-2</v>
      </c>
      <c r="AN17" s="12">
        <v>0.11764095309229267</v>
      </c>
      <c r="AO17" s="12">
        <v>0.17553194180727225</v>
      </c>
      <c r="AP17" s="12">
        <v>0.36078527034059515</v>
      </c>
      <c r="AQ17" s="12">
        <v>0</v>
      </c>
      <c r="AR17" s="12">
        <v>0</v>
      </c>
      <c r="AS17" s="12">
        <v>0.92509615460616201</v>
      </c>
      <c r="AT17" s="12">
        <v>0.4076102513980806</v>
      </c>
      <c r="AU17" s="12">
        <v>0.23209162668406508</v>
      </c>
      <c r="AV17" s="12">
        <v>0.19335304964159303</v>
      </c>
      <c r="AW17" s="12">
        <v>0.20159278792376084</v>
      </c>
      <c r="AX17" s="12">
        <v>0.27660225605767919</v>
      </c>
      <c r="AY17" s="12">
        <v>0.54434299041759415</v>
      </c>
      <c r="AZ17" s="12">
        <v>0.97540983606557363</v>
      </c>
      <c r="BA17" s="12">
        <v>0</v>
      </c>
      <c r="BB17" s="12">
        <v>0</v>
      </c>
      <c r="BC17" s="12">
        <v>0</v>
      </c>
      <c r="BD17" s="12">
        <v>0.91965076752801334</v>
      </c>
      <c r="BE17" s="12">
        <v>0.44534038612481219</v>
      </c>
      <c r="BF17" s="12">
        <v>0.3058779943411512</v>
      </c>
      <c r="BG17" s="12">
        <v>0.35445297997030006</v>
      </c>
      <c r="BH17" s="12">
        <v>0.5820523856902563</v>
      </c>
      <c r="BI17" s="12">
        <v>0</v>
      </c>
      <c r="BJ17" s="12">
        <v>0</v>
      </c>
      <c r="BK17" s="12">
        <v>0</v>
      </c>
      <c r="GI17" s="8" t="s">
        <v>178</v>
      </c>
      <c r="GJ17" s="12">
        <v>0</v>
      </c>
      <c r="GK17" s="12">
        <v>0</v>
      </c>
      <c r="GL17" s="12">
        <v>5.610595264574034E-3</v>
      </c>
      <c r="GM17" s="12">
        <v>8.7875908638767472E-2</v>
      </c>
      <c r="GN17" s="12">
        <v>0.17168660207374109</v>
      </c>
      <c r="GO17" s="12">
        <v>0.1645855948150462</v>
      </c>
      <c r="GP17" s="12">
        <v>9.7552974703131609E-2</v>
      </c>
      <c r="GQ17" s="12">
        <v>1.2292464820873168E-2</v>
      </c>
      <c r="GR17" s="12">
        <v>0</v>
      </c>
      <c r="GS17" s="12">
        <v>0</v>
      </c>
      <c r="GT17" s="12">
        <v>0</v>
      </c>
      <c r="GU17" s="12">
        <v>2.8609513018829739E-2</v>
      </c>
      <c r="GV17" s="12">
        <v>0.24998086818165785</v>
      </c>
      <c r="GW17" s="12">
        <v>0.48046419344645119</v>
      </c>
      <c r="GX17" s="12">
        <v>0.49471061079388112</v>
      </c>
      <c r="GY17" s="12">
        <v>0.46841731121826985</v>
      </c>
      <c r="GZ17" s="12">
        <v>0.42065191101731875</v>
      </c>
      <c r="HA17" s="12">
        <v>0.23034340637400624</v>
      </c>
      <c r="HB17" s="10">
        <v>2.0573665646556459E-2</v>
      </c>
      <c r="HC17" s="12">
        <v>0</v>
      </c>
      <c r="HD17" s="10">
        <v>7.9820836456094538E-6</v>
      </c>
      <c r="HE17" s="12">
        <v>0.16237020235357669</v>
      </c>
      <c r="HF17" s="12">
        <v>0.37802772720275013</v>
      </c>
      <c r="HG17" s="12">
        <v>0.49275258822535445</v>
      </c>
      <c r="HH17" s="12">
        <v>0.52082403206947847</v>
      </c>
      <c r="HI17" s="12">
        <v>0.49777783482385302</v>
      </c>
      <c r="HJ17" s="12">
        <v>0.43544663437575654</v>
      </c>
      <c r="HK17" s="12">
        <v>0.31167972244253761</v>
      </c>
      <c r="HL17" s="12">
        <v>0.11813816791016393</v>
      </c>
      <c r="HM17" s="12">
        <v>0</v>
      </c>
      <c r="HN17" s="10">
        <v>0</v>
      </c>
      <c r="HO17" s="12">
        <v>0.1163252335729565</v>
      </c>
      <c r="HP17" s="12">
        <v>0.32134821964712951</v>
      </c>
      <c r="HQ17" s="12">
        <v>0.45674580391365793</v>
      </c>
      <c r="HR17" s="12">
        <v>0.47955795039273036</v>
      </c>
      <c r="HS17" s="12">
        <v>0.47670079051602765</v>
      </c>
      <c r="HT17" s="12">
        <v>0.45452929430269667</v>
      </c>
      <c r="HU17" s="12">
        <v>0.33165107705751462</v>
      </c>
      <c r="HV17" s="12">
        <v>0.11716233474607138</v>
      </c>
      <c r="HW17" s="12">
        <v>0</v>
      </c>
      <c r="HX17" s="12">
        <v>0</v>
      </c>
      <c r="HY17" s="12">
        <v>1.0661619892000308E-2</v>
      </c>
      <c r="HZ17" s="12">
        <v>0.1546660130714172</v>
      </c>
      <c r="IA17" s="12">
        <v>0.30983149563573148</v>
      </c>
      <c r="IB17" s="12">
        <v>0.31204875279400929</v>
      </c>
      <c r="IC17" s="12">
        <v>0.31053298026566117</v>
      </c>
      <c r="ID17" s="12">
        <v>0.24832562693471205</v>
      </c>
      <c r="IE17" s="12">
        <v>9.1392409027241883E-2</v>
      </c>
      <c r="IF17" s="10">
        <v>5.2908896459731667E-4</v>
      </c>
      <c r="IG17" s="12">
        <v>0</v>
      </c>
      <c r="IH17" s="12">
        <v>0</v>
      </c>
      <c r="II17" s="12">
        <v>0</v>
      </c>
      <c r="IJ17" s="12">
        <v>2.3220383530025744E-3</v>
      </c>
      <c r="IK17" s="12">
        <v>6.2260892097716604E-2</v>
      </c>
      <c r="IL17" s="12">
        <v>0.10359146711354116</v>
      </c>
      <c r="IM17" s="12">
        <v>0.10558715333017075</v>
      </c>
      <c r="IN17" s="12">
        <v>3.9457078542185754E-2</v>
      </c>
      <c r="IO17" s="12">
        <v>0</v>
      </c>
      <c r="IP17" s="12">
        <v>0</v>
      </c>
      <c r="IQ17" s="12">
        <v>0</v>
      </c>
      <c r="IS17" s="8" t="s">
        <v>178</v>
      </c>
      <c r="IT17" s="8" t="s">
        <v>229</v>
      </c>
      <c r="IU17" s="8" t="s">
        <v>230</v>
      </c>
      <c r="IV17" s="12">
        <v>0.44717163751703071</v>
      </c>
    </row>
    <row r="18" spans="2:256" x14ac:dyDescent="0.45">
      <c r="B18" s="9" t="s">
        <v>179</v>
      </c>
      <c r="C18" s="9" t="s">
        <v>31</v>
      </c>
      <c r="D18" s="13">
        <v>0</v>
      </c>
      <c r="E18" s="13">
        <v>0</v>
      </c>
      <c r="F18" s="13">
        <v>0.83406605618746299</v>
      </c>
      <c r="G18" s="13">
        <v>0.33401557497936085</v>
      </c>
      <c r="H18" s="13">
        <v>0.22497305895150799</v>
      </c>
      <c r="I18" s="13">
        <v>0.21741749587362103</v>
      </c>
      <c r="J18" s="13">
        <v>0.3635445841599827</v>
      </c>
      <c r="K18" s="13">
        <v>0.84279327784567004</v>
      </c>
      <c r="L18" s="13">
        <v>0</v>
      </c>
      <c r="M18" s="13">
        <v>0</v>
      </c>
      <c r="N18" s="13">
        <v>0</v>
      </c>
      <c r="O18" s="13">
        <v>0.76761820371017275</v>
      </c>
      <c r="P18" s="13">
        <v>0.29878870859283491</v>
      </c>
      <c r="Q18" s="13">
        <v>0.16452556422339842</v>
      </c>
      <c r="R18" s="13">
        <v>0.11837593616820513</v>
      </c>
      <c r="S18" s="13">
        <v>0.13203318347989607</v>
      </c>
      <c r="T18" s="13">
        <v>0.20188960420917818</v>
      </c>
      <c r="U18" s="13">
        <v>0.34984496401866605</v>
      </c>
      <c r="V18" s="13">
        <v>0.86297660810979171</v>
      </c>
      <c r="W18" s="13">
        <v>0</v>
      </c>
      <c r="X18" s="13">
        <v>0.91929899017719652</v>
      </c>
      <c r="Y18" s="13">
        <v>0.30730176523110736</v>
      </c>
      <c r="Z18" s="13">
        <v>0.20666730939207692</v>
      </c>
      <c r="AA18" s="13">
        <v>0.14960432750280034</v>
      </c>
      <c r="AB18" s="13">
        <v>0.10904769858700127</v>
      </c>
      <c r="AC18" s="13">
        <v>0.11709374468036282</v>
      </c>
      <c r="AD18" s="13">
        <v>0.15650601812022108</v>
      </c>
      <c r="AE18" s="13">
        <v>0.20884586806187372</v>
      </c>
      <c r="AF18" s="13">
        <v>0.38541693199024907</v>
      </c>
      <c r="AG18" s="13">
        <v>0</v>
      </c>
      <c r="AH18" s="13">
        <v>0.99354838709677418</v>
      </c>
      <c r="AI18" s="13">
        <v>0.34525581749967682</v>
      </c>
      <c r="AJ18" s="13">
        <v>0.18287205634051096</v>
      </c>
      <c r="AK18" s="13">
        <v>0.14634342039201642</v>
      </c>
      <c r="AL18" s="13">
        <v>0.12489660327675128</v>
      </c>
      <c r="AM18" s="13">
        <v>0.11938824653872725</v>
      </c>
      <c r="AN18" s="13">
        <v>0.13536561915993903</v>
      </c>
      <c r="AO18" s="13">
        <v>0.20326485343820602</v>
      </c>
      <c r="AP18" s="13">
        <v>0.41963140187009168</v>
      </c>
      <c r="AQ18" s="13">
        <v>0</v>
      </c>
      <c r="AR18" s="13">
        <v>0</v>
      </c>
      <c r="AS18" s="13">
        <v>0.89408158762062173</v>
      </c>
      <c r="AT18" s="13">
        <v>0.37750503837591742</v>
      </c>
      <c r="AU18" s="13">
        <v>0.25011963704817314</v>
      </c>
      <c r="AV18" s="13">
        <v>0.18730088975967191</v>
      </c>
      <c r="AW18" s="13">
        <v>0.20751419364417964</v>
      </c>
      <c r="AX18" s="13">
        <v>0.2864033868038518</v>
      </c>
      <c r="AY18" s="13">
        <v>0.58358903847315391</v>
      </c>
      <c r="AZ18" s="13">
        <v>0</v>
      </c>
      <c r="BA18" s="13">
        <v>0</v>
      </c>
      <c r="BB18" s="13">
        <v>0</v>
      </c>
      <c r="BC18" s="13">
        <v>0</v>
      </c>
      <c r="BD18" s="13">
        <v>0.89979884949222555</v>
      </c>
      <c r="BE18" s="13">
        <v>0.39220618578161726</v>
      </c>
      <c r="BF18" s="13">
        <v>0.28372797918374637</v>
      </c>
      <c r="BG18" s="13">
        <v>0.35396264746934342</v>
      </c>
      <c r="BH18" s="13">
        <v>0.60849697689916837</v>
      </c>
      <c r="BI18" s="13">
        <v>0</v>
      </c>
      <c r="BJ18" s="13">
        <v>0</v>
      </c>
      <c r="BK18" s="13">
        <v>0</v>
      </c>
      <c r="GI18" s="9" t="s">
        <v>179</v>
      </c>
      <c r="GJ18" s="13">
        <v>0</v>
      </c>
      <c r="GK18" s="13">
        <v>0</v>
      </c>
      <c r="GL18" s="13">
        <v>8.3947423215227166E-3</v>
      </c>
      <c r="GM18" s="13">
        <v>0.10083078851177374</v>
      </c>
      <c r="GN18" s="13">
        <v>0.18284965545910981</v>
      </c>
      <c r="GO18" s="13">
        <v>0.17178157986261941</v>
      </c>
      <c r="GP18" s="13">
        <v>9.0397205316613938E-2</v>
      </c>
      <c r="GQ18" s="13">
        <v>8.2022755759162628E-3</v>
      </c>
      <c r="GR18" s="13">
        <v>0</v>
      </c>
      <c r="GS18" s="13">
        <v>0</v>
      </c>
      <c r="GT18" s="13">
        <v>0</v>
      </c>
      <c r="GU18" s="13">
        <v>3.4141500309490869E-2</v>
      </c>
      <c r="GV18" s="13">
        <v>0.27211230133556247</v>
      </c>
      <c r="GW18" s="13">
        <v>0.49693355791596733</v>
      </c>
      <c r="GX18" s="13">
        <v>0.51557260127755844</v>
      </c>
      <c r="GY18" s="13">
        <v>0.49915154232011771</v>
      </c>
      <c r="GZ18" s="13">
        <v>0.42653767621370781</v>
      </c>
      <c r="HA18" s="13">
        <v>0.21296209195919977</v>
      </c>
      <c r="HB18" s="11">
        <v>1.5731687609432769E-2</v>
      </c>
      <c r="HC18" s="13">
        <v>0</v>
      </c>
      <c r="HD18" s="11">
        <v>1.5732648887957443E-3</v>
      </c>
      <c r="HE18" s="13">
        <v>0.16536654620871344</v>
      </c>
      <c r="HF18" s="13">
        <v>0.38089709432532837</v>
      </c>
      <c r="HG18" s="13">
        <v>0.50313725575954427</v>
      </c>
      <c r="HH18" s="13">
        <v>0.51589539327803013</v>
      </c>
      <c r="HI18" s="13">
        <v>0.4853956389476114</v>
      </c>
      <c r="HJ18" s="13">
        <v>0.40350648922899746</v>
      </c>
      <c r="HK18" s="13">
        <v>0.26683780645388905</v>
      </c>
      <c r="HL18" s="13">
        <v>9.1977571592017041E-2</v>
      </c>
      <c r="HM18" s="13">
        <v>0</v>
      </c>
      <c r="HN18" s="11">
        <v>9.7719282617354799E-6</v>
      </c>
      <c r="HO18" s="13">
        <v>0.13074144517640396</v>
      </c>
      <c r="HP18" s="13">
        <v>0.34616263106632045</v>
      </c>
      <c r="HQ18" s="13">
        <v>0.46357031207101473</v>
      </c>
      <c r="HR18" s="13">
        <v>0.47348947038812317</v>
      </c>
      <c r="HS18" s="13">
        <v>0.45618282845107949</v>
      </c>
      <c r="HT18" s="13">
        <v>0.41934810368281827</v>
      </c>
      <c r="HU18" s="13">
        <v>0.28154958240594885</v>
      </c>
      <c r="HV18" s="13">
        <v>8.8973085895689988E-2</v>
      </c>
      <c r="HW18" s="13">
        <v>0</v>
      </c>
      <c r="HX18" s="13">
        <v>0</v>
      </c>
      <c r="HY18" s="13">
        <v>1.1507385325616824E-2</v>
      </c>
      <c r="HZ18" s="13">
        <v>0.15917844004581377</v>
      </c>
      <c r="IA18" s="13">
        <v>0.2994756972194515</v>
      </c>
      <c r="IB18" s="13">
        <v>0.31178516793599365</v>
      </c>
      <c r="IC18" s="13">
        <v>0.31240678093124657</v>
      </c>
      <c r="ID18" s="13">
        <v>0.23208428776143661</v>
      </c>
      <c r="IE18" s="13">
        <v>7.650372763877232E-2</v>
      </c>
      <c r="IF18" s="11">
        <v>0</v>
      </c>
      <c r="IG18" s="13">
        <v>0</v>
      </c>
      <c r="IH18" s="13">
        <v>0</v>
      </c>
      <c r="II18" s="13">
        <v>0</v>
      </c>
      <c r="IJ18" s="13">
        <v>6.9301443457875931E-3</v>
      </c>
      <c r="IK18" s="13">
        <v>8.8277469486282248E-2</v>
      </c>
      <c r="IL18" s="13">
        <v>0.11933807212947203</v>
      </c>
      <c r="IM18" s="13">
        <v>0.10274623156708432</v>
      </c>
      <c r="IN18" s="13">
        <v>2.9578443038352418E-2</v>
      </c>
      <c r="IO18" s="13">
        <v>0</v>
      </c>
      <c r="IP18" s="13">
        <v>0</v>
      </c>
      <c r="IQ18" s="13">
        <v>0</v>
      </c>
      <c r="IS18" s="9" t="s">
        <v>179</v>
      </c>
      <c r="IT18" s="9" t="s">
        <v>229</v>
      </c>
      <c r="IU18" s="9" t="s">
        <v>230</v>
      </c>
      <c r="IV18" s="13">
        <v>0.44622795493405554</v>
      </c>
    </row>
    <row r="19" spans="2:256" x14ac:dyDescent="0.45">
      <c r="B19" s="8" t="s">
        <v>180</v>
      </c>
      <c r="C19" s="8" t="s">
        <v>31</v>
      </c>
      <c r="D19" s="12">
        <v>0</v>
      </c>
      <c r="E19" s="12">
        <v>0</v>
      </c>
      <c r="F19" s="12">
        <v>0.75000097645684349</v>
      </c>
      <c r="G19" s="12">
        <v>0.31438913364835763</v>
      </c>
      <c r="H19" s="12">
        <v>0.20664311644608116</v>
      </c>
      <c r="I19" s="12">
        <v>0.2400009225557288</v>
      </c>
      <c r="J19" s="12">
        <v>0.4384985036433991</v>
      </c>
      <c r="K19" s="12">
        <v>0.89380309308712969</v>
      </c>
      <c r="L19" s="12">
        <v>0</v>
      </c>
      <c r="M19" s="12">
        <v>0</v>
      </c>
      <c r="N19" s="12">
        <v>0</v>
      </c>
      <c r="O19" s="12">
        <v>0.68442910234115895</v>
      </c>
      <c r="P19" s="12">
        <v>0.34759918844185272</v>
      </c>
      <c r="Q19" s="12">
        <v>0.23743858970129106</v>
      </c>
      <c r="R19" s="12">
        <v>0.17011304625271662</v>
      </c>
      <c r="S19" s="12">
        <v>0.20187364644103351</v>
      </c>
      <c r="T19" s="12">
        <v>0.29359956466423504</v>
      </c>
      <c r="U19" s="12">
        <v>0.45273475075330027</v>
      </c>
      <c r="V19" s="12">
        <v>0.9412369742725315</v>
      </c>
      <c r="W19" s="12">
        <v>0</v>
      </c>
      <c r="X19" s="12">
        <v>0.89327411893647246</v>
      </c>
      <c r="Y19" s="12">
        <v>0.26210762717107772</v>
      </c>
      <c r="Z19" s="12">
        <v>0.19319372079156599</v>
      </c>
      <c r="AA19" s="12">
        <v>0.16314045690191983</v>
      </c>
      <c r="AB19" s="12">
        <v>0.12118305039593257</v>
      </c>
      <c r="AC19" s="12">
        <v>0.13305155943302888</v>
      </c>
      <c r="AD19" s="12">
        <v>0.1701412062902542</v>
      </c>
      <c r="AE19" s="12">
        <v>0.22415135352693177</v>
      </c>
      <c r="AF19" s="12">
        <v>0.45556903172514568</v>
      </c>
      <c r="AG19" s="12">
        <v>0</v>
      </c>
      <c r="AH19" s="12">
        <v>0.96312123577092246</v>
      </c>
      <c r="AI19" s="12">
        <v>0.27299509172638647</v>
      </c>
      <c r="AJ19" s="12">
        <v>0.15506400999601858</v>
      </c>
      <c r="AK19" s="12">
        <v>0.13890518980386454</v>
      </c>
      <c r="AL19" s="12">
        <v>0.11107977820477971</v>
      </c>
      <c r="AM19" s="12">
        <v>0.13204255369005388</v>
      </c>
      <c r="AN19" s="12">
        <v>0.14986069637541086</v>
      </c>
      <c r="AO19" s="12">
        <v>0.18107693755642676</v>
      </c>
      <c r="AP19" s="12">
        <v>0.52267663732605041</v>
      </c>
      <c r="AQ19" s="12">
        <v>0</v>
      </c>
      <c r="AR19" s="12">
        <v>0</v>
      </c>
      <c r="AS19" s="12">
        <v>0.8508153800649404</v>
      </c>
      <c r="AT19" s="12">
        <v>0.36180934112184715</v>
      </c>
      <c r="AU19" s="12">
        <v>0.27138083706006816</v>
      </c>
      <c r="AV19" s="12">
        <v>0.21572205875405898</v>
      </c>
      <c r="AW19" s="12">
        <v>0.25008786150578149</v>
      </c>
      <c r="AX19" s="12">
        <v>0.33568123282676809</v>
      </c>
      <c r="AY19" s="12">
        <v>0.66073727814640359</v>
      </c>
      <c r="AZ19" s="12">
        <v>0</v>
      </c>
      <c r="BA19" s="12">
        <v>0</v>
      </c>
      <c r="BB19" s="12">
        <v>0</v>
      </c>
      <c r="BC19" s="12">
        <v>0</v>
      </c>
      <c r="BD19" s="12">
        <v>0.82048980205544608</v>
      </c>
      <c r="BE19" s="12">
        <v>0.3672195058686189</v>
      </c>
      <c r="BF19" s="12">
        <v>0.23751159171806044</v>
      </c>
      <c r="BG19" s="12">
        <v>0.32635184600340272</v>
      </c>
      <c r="BH19" s="12">
        <v>0.63756441872350966</v>
      </c>
      <c r="BI19" s="12">
        <v>0</v>
      </c>
      <c r="BJ19" s="12">
        <v>0</v>
      </c>
      <c r="BK19" s="12">
        <v>0</v>
      </c>
      <c r="GI19" s="8" t="s">
        <v>180</v>
      </c>
      <c r="GJ19" s="12">
        <v>0</v>
      </c>
      <c r="GK19" s="12">
        <v>0</v>
      </c>
      <c r="GL19" s="12">
        <v>1.6065128478278481E-2</v>
      </c>
      <c r="GM19" s="12">
        <v>0.12171388886678788</v>
      </c>
      <c r="GN19" s="12">
        <v>0.18296100721866868</v>
      </c>
      <c r="GO19" s="12">
        <v>0.18333157167260505</v>
      </c>
      <c r="GP19" s="12">
        <v>8.8808380698745984E-2</v>
      </c>
      <c r="GQ19" s="12">
        <v>6.9150379305717574E-3</v>
      </c>
      <c r="GR19" s="12">
        <v>0</v>
      </c>
      <c r="GS19" s="12">
        <v>0</v>
      </c>
      <c r="GT19" s="12">
        <v>0</v>
      </c>
      <c r="GU19" s="12">
        <v>5.8847397227179375E-2</v>
      </c>
      <c r="GV19" s="12">
        <v>0.28895466109734902</v>
      </c>
      <c r="GW19" s="12">
        <v>0.43631840134685895</v>
      </c>
      <c r="GX19" s="12">
        <v>0.44138985305769968</v>
      </c>
      <c r="GY19" s="12">
        <v>0.43067380140504402</v>
      </c>
      <c r="GZ19" s="12">
        <v>0.33683370118784395</v>
      </c>
      <c r="HA19" s="12">
        <v>0.14860117117632143</v>
      </c>
      <c r="HB19" s="10">
        <v>2.7783434393743524E-3</v>
      </c>
      <c r="HC19" s="12">
        <v>0</v>
      </c>
      <c r="HD19" s="10">
        <v>5.6402606656384673E-3</v>
      </c>
      <c r="HE19" s="12">
        <v>0.20716836045801437</v>
      </c>
      <c r="HF19" s="12">
        <v>0.40946871576307337</v>
      </c>
      <c r="HG19" s="12">
        <v>0.49828044546512301</v>
      </c>
      <c r="HH19" s="12">
        <v>0.49436940588365402</v>
      </c>
      <c r="HI19" s="12">
        <v>0.46539480204935196</v>
      </c>
      <c r="HJ19" s="12">
        <v>0.38560481851035766</v>
      </c>
      <c r="HK19" s="12">
        <v>0.23802149606084005</v>
      </c>
      <c r="HL19" s="12">
        <v>5.9494621525141518E-2</v>
      </c>
      <c r="HM19" s="12">
        <v>0</v>
      </c>
      <c r="HN19" s="10">
        <v>1.6910815943988176E-3</v>
      </c>
      <c r="HO19" s="12">
        <v>0.17721371113502707</v>
      </c>
      <c r="HP19" s="12">
        <v>0.39904310073903254</v>
      </c>
      <c r="HQ19" s="12">
        <v>0.48640088498021783</v>
      </c>
      <c r="HR19" s="12">
        <v>0.47740699969954686</v>
      </c>
      <c r="HS19" s="12">
        <v>0.45731556572235948</v>
      </c>
      <c r="HT19" s="12">
        <v>0.40475608466063567</v>
      </c>
      <c r="HU19" s="12">
        <v>0.26167722729582282</v>
      </c>
      <c r="HV19" s="12">
        <v>5.7873750388233482E-2</v>
      </c>
      <c r="HW19" s="12">
        <v>0</v>
      </c>
      <c r="HX19" s="12">
        <v>0</v>
      </c>
      <c r="HY19" s="12">
        <v>1.7899049189295697E-2</v>
      </c>
      <c r="HZ19" s="12">
        <v>0.17098423108913702</v>
      </c>
      <c r="IA19" s="12">
        <v>0.28751874595971583</v>
      </c>
      <c r="IB19" s="12">
        <v>0.29218883473062712</v>
      </c>
      <c r="IC19" s="12">
        <v>0.28956567731068494</v>
      </c>
      <c r="ID19" s="12">
        <v>0.20266184476103474</v>
      </c>
      <c r="IE19" s="12">
        <v>5.8907170058115299E-2</v>
      </c>
      <c r="IF19" s="10">
        <v>0</v>
      </c>
      <c r="IG19" s="12">
        <v>0</v>
      </c>
      <c r="IH19" s="12">
        <v>0</v>
      </c>
      <c r="II19" s="12">
        <v>0</v>
      </c>
      <c r="IJ19" s="12">
        <v>1.4033239726903316E-2</v>
      </c>
      <c r="IK19" s="12">
        <v>0.11200278937396352</v>
      </c>
      <c r="IL19" s="12">
        <v>0.1364582483701765</v>
      </c>
      <c r="IM19" s="12">
        <v>0.12821230936212949</v>
      </c>
      <c r="IN19" s="12">
        <v>3.1408934520273504E-2</v>
      </c>
      <c r="IO19" s="12">
        <v>0</v>
      </c>
      <c r="IP19" s="12">
        <v>0</v>
      </c>
      <c r="IQ19" s="12">
        <v>0</v>
      </c>
      <c r="IS19" s="8" t="s">
        <v>180</v>
      </c>
      <c r="IT19" s="8" t="s">
        <v>229</v>
      </c>
      <c r="IU19" s="8" t="s">
        <v>230</v>
      </c>
      <c r="IV19" s="12">
        <v>0.45721673713312577</v>
      </c>
    </row>
    <row r="20" spans="2:256" x14ac:dyDescent="0.45">
      <c r="B20" s="9" t="s">
        <v>181</v>
      </c>
      <c r="C20" s="9" t="s">
        <v>31</v>
      </c>
      <c r="D20" s="13">
        <v>0</v>
      </c>
      <c r="E20" s="13">
        <v>0</v>
      </c>
      <c r="F20" s="13">
        <v>0.79386981830418812</v>
      </c>
      <c r="G20" s="13">
        <v>0.32549723852961177</v>
      </c>
      <c r="H20" s="13">
        <v>0.20823623598038551</v>
      </c>
      <c r="I20" s="13">
        <v>0.25416807041719436</v>
      </c>
      <c r="J20" s="13">
        <v>0.43583794969976636</v>
      </c>
      <c r="K20" s="13">
        <v>0.91306761216673826</v>
      </c>
      <c r="L20" s="13">
        <v>0</v>
      </c>
      <c r="M20" s="13">
        <v>0</v>
      </c>
      <c r="N20" s="13">
        <v>0</v>
      </c>
      <c r="O20" s="13">
        <v>0.69283421918864341</v>
      </c>
      <c r="P20" s="13">
        <v>0.29908603538978185</v>
      </c>
      <c r="Q20" s="13">
        <v>0.18602144482809885</v>
      </c>
      <c r="R20" s="13">
        <v>0.13854298452162878</v>
      </c>
      <c r="S20" s="13">
        <v>0.159112564330853</v>
      </c>
      <c r="T20" s="13">
        <v>0.25433895079943331</v>
      </c>
      <c r="U20" s="13">
        <v>0.41404971362506748</v>
      </c>
      <c r="V20" s="13">
        <v>0.91283454533305219</v>
      </c>
      <c r="W20" s="13">
        <v>0</v>
      </c>
      <c r="X20" s="13">
        <v>0.8766263796874989</v>
      </c>
      <c r="Y20" s="13">
        <v>0.27572208276041288</v>
      </c>
      <c r="Z20" s="13">
        <v>0.19416858741529319</v>
      </c>
      <c r="AA20" s="13">
        <v>0.15709134575083133</v>
      </c>
      <c r="AB20" s="13">
        <v>0.11512779117048851</v>
      </c>
      <c r="AC20" s="13">
        <v>0.11465804702581428</v>
      </c>
      <c r="AD20" s="13">
        <v>0.13910953682976043</v>
      </c>
      <c r="AE20" s="13">
        <v>0.2226939670682121</v>
      </c>
      <c r="AF20" s="13">
        <v>0.4138832137922494</v>
      </c>
      <c r="AG20" s="13">
        <v>0</v>
      </c>
      <c r="AH20" s="13">
        <v>0.95657824002297498</v>
      </c>
      <c r="AI20" s="13">
        <v>0.35508303100862265</v>
      </c>
      <c r="AJ20" s="13">
        <v>0.21936494094409412</v>
      </c>
      <c r="AK20" s="13">
        <v>0.16189898318723786</v>
      </c>
      <c r="AL20" s="13">
        <v>0.11643592046720064</v>
      </c>
      <c r="AM20" s="13">
        <v>0.11394102887713432</v>
      </c>
      <c r="AN20" s="13">
        <v>0.15098278697692505</v>
      </c>
      <c r="AO20" s="13">
        <v>0.18684067557443937</v>
      </c>
      <c r="AP20" s="13">
        <v>0.45380164101280968</v>
      </c>
      <c r="AQ20" s="13">
        <v>0</v>
      </c>
      <c r="AR20" s="13">
        <v>0</v>
      </c>
      <c r="AS20" s="13">
        <v>0.87240263052850364</v>
      </c>
      <c r="AT20" s="13">
        <v>0.44224046789703503</v>
      </c>
      <c r="AU20" s="13">
        <v>0.33242686933602872</v>
      </c>
      <c r="AV20" s="13">
        <v>0.25907411034175948</v>
      </c>
      <c r="AW20" s="13">
        <v>0.28257389794653143</v>
      </c>
      <c r="AX20" s="13">
        <v>0.36503433787104017</v>
      </c>
      <c r="AY20" s="13">
        <v>0.68098668572297827</v>
      </c>
      <c r="AZ20" s="13">
        <v>0</v>
      </c>
      <c r="BA20" s="13">
        <v>0</v>
      </c>
      <c r="BB20" s="13">
        <v>0</v>
      </c>
      <c r="BC20" s="13">
        <v>0</v>
      </c>
      <c r="BD20" s="13">
        <v>0.86961197933714129</v>
      </c>
      <c r="BE20" s="13">
        <v>0.45322434690144586</v>
      </c>
      <c r="BF20" s="13">
        <v>0.30748917298726364</v>
      </c>
      <c r="BG20" s="13">
        <v>0.37643025888035631</v>
      </c>
      <c r="BH20" s="13">
        <v>0.6624498489743198</v>
      </c>
      <c r="BI20" s="13">
        <v>0</v>
      </c>
      <c r="BJ20" s="13">
        <v>0</v>
      </c>
      <c r="BK20" s="13">
        <v>0</v>
      </c>
      <c r="GI20" s="9" t="s">
        <v>181</v>
      </c>
      <c r="GJ20" s="13">
        <v>0</v>
      </c>
      <c r="GK20" s="13">
        <v>0</v>
      </c>
      <c r="GL20" s="13">
        <v>1.3179678995245173E-2</v>
      </c>
      <c r="GM20" s="13">
        <v>0.11025614930949874</v>
      </c>
      <c r="GN20" s="13">
        <v>0.17920708369038293</v>
      </c>
      <c r="GO20" s="13">
        <v>0.16059962388430626</v>
      </c>
      <c r="GP20" s="13">
        <v>7.2780129154341108E-2</v>
      </c>
      <c r="GQ20" s="13">
        <v>6.5170327596495809E-3</v>
      </c>
      <c r="GR20" s="13">
        <v>0</v>
      </c>
      <c r="GS20" s="13">
        <v>0</v>
      </c>
      <c r="GT20" s="13">
        <v>0</v>
      </c>
      <c r="GU20" s="13">
        <v>5.5212080955274134E-2</v>
      </c>
      <c r="GV20" s="13">
        <v>0.30762309714989106</v>
      </c>
      <c r="GW20" s="13">
        <v>0.48579502116283413</v>
      </c>
      <c r="GX20" s="13">
        <v>0.46703391146666773</v>
      </c>
      <c r="GY20" s="13">
        <v>0.45565523593250901</v>
      </c>
      <c r="GZ20" s="13">
        <v>0.35998655567989019</v>
      </c>
      <c r="HA20" s="13">
        <v>0.16022347108601434</v>
      </c>
      <c r="HB20" s="11">
        <v>7.3305511903044253E-3</v>
      </c>
      <c r="HC20" s="13">
        <v>0</v>
      </c>
      <c r="HD20" s="11">
        <v>6.798044810009592E-3</v>
      </c>
      <c r="HE20" s="13">
        <v>0.20230446566490323</v>
      </c>
      <c r="HF20" s="13">
        <v>0.39942364051524964</v>
      </c>
      <c r="HG20" s="13">
        <v>0.49856301274479037</v>
      </c>
      <c r="HH20" s="13">
        <v>0.49906120376846763</v>
      </c>
      <c r="HI20" s="13">
        <v>0.49338698853465746</v>
      </c>
      <c r="HJ20" s="13">
        <v>0.42416065404072589</v>
      </c>
      <c r="HK20" s="13">
        <v>0.25851030328282038</v>
      </c>
      <c r="HL20" s="13">
        <v>7.4971577128437522E-2</v>
      </c>
      <c r="HM20" s="13">
        <v>0</v>
      </c>
      <c r="HN20" s="11">
        <v>2.4938656702954442E-3</v>
      </c>
      <c r="HO20" s="13">
        <v>0.14832891331303544</v>
      </c>
      <c r="HP20" s="13">
        <v>0.34566285148720849</v>
      </c>
      <c r="HQ20" s="13">
        <v>0.45579875402267001</v>
      </c>
      <c r="HR20" s="13">
        <v>0.46605460493811773</v>
      </c>
      <c r="HS20" s="13">
        <v>0.46000383531173272</v>
      </c>
      <c r="HT20" s="13">
        <v>0.40220416059916592</v>
      </c>
      <c r="HU20" s="13">
        <v>0.27609747754461716</v>
      </c>
      <c r="HV20" s="13">
        <v>7.5632636143070545E-2</v>
      </c>
      <c r="HW20" s="13">
        <v>0</v>
      </c>
      <c r="HX20" s="13">
        <v>0</v>
      </c>
      <c r="HY20" s="13">
        <v>1.4927252401426361E-2</v>
      </c>
      <c r="HZ20" s="13">
        <v>0.14710677802551189</v>
      </c>
      <c r="IA20" s="13">
        <v>0.25536167387186426</v>
      </c>
      <c r="IB20" s="13">
        <v>0.26126935869931961</v>
      </c>
      <c r="IC20" s="13">
        <v>0.26135418495885859</v>
      </c>
      <c r="ID20" s="13">
        <v>0.18836695485788088</v>
      </c>
      <c r="IE20" s="13">
        <v>5.8115409762986972E-2</v>
      </c>
      <c r="IF20" s="11">
        <v>0</v>
      </c>
      <c r="IG20" s="13">
        <v>0</v>
      </c>
      <c r="IH20" s="13">
        <v>0</v>
      </c>
      <c r="II20" s="13">
        <v>0</v>
      </c>
      <c r="IJ20" s="13">
        <v>5.473937010128738E-3</v>
      </c>
      <c r="IK20" s="13">
        <v>7.3460810479628574E-2</v>
      </c>
      <c r="IL20" s="13">
        <v>0.10203314731964769</v>
      </c>
      <c r="IM20" s="13">
        <v>9.250194935717522E-2</v>
      </c>
      <c r="IN20" s="13">
        <v>2.4262930843490165E-2</v>
      </c>
      <c r="IO20" s="13">
        <v>0</v>
      </c>
      <c r="IP20" s="13">
        <v>0</v>
      </c>
      <c r="IQ20" s="13">
        <v>0</v>
      </c>
      <c r="IS20" s="9" t="s">
        <v>181</v>
      </c>
      <c r="IT20" s="9" t="s">
        <v>229</v>
      </c>
      <c r="IU20" s="9" t="s">
        <v>230</v>
      </c>
      <c r="IV20" s="13">
        <v>0.45660383317570685</v>
      </c>
    </row>
    <row r="21" spans="2:256" x14ac:dyDescent="0.45">
      <c r="B21" s="8" t="s">
        <v>182</v>
      </c>
      <c r="C21" s="8" t="s">
        <v>31</v>
      </c>
      <c r="D21" s="12">
        <v>0</v>
      </c>
      <c r="E21" s="12">
        <v>0</v>
      </c>
      <c r="F21" s="12">
        <v>0.76335820202820026</v>
      </c>
      <c r="G21" s="12">
        <v>0.3168394920473428</v>
      </c>
      <c r="H21" s="12">
        <v>0.19468801638201064</v>
      </c>
      <c r="I21" s="12">
        <v>0.24080403956699201</v>
      </c>
      <c r="J21" s="12">
        <v>0.44027990704716313</v>
      </c>
      <c r="K21" s="12">
        <v>0.90959105180037447</v>
      </c>
      <c r="L21" s="12">
        <v>0</v>
      </c>
      <c r="M21" s="12">
        <v>0</v>
      </c>
      <c r="N21" s="12">
        <v>0</v>
      </c>
      <c r="O21" s="12">
        <v>0.6854115389043639</v>
      </c>
      <c r="P21" s="12">
        <v>0.33322884806992492</v>
      </c>
      <c r="Q21" s="12">
        <v>0.20529494115165972</v>
      </c>
      <c r="R21" s="12">
        <v>0.15249765907115809</v>
      </c>
      <c r="S21" s="12">
        <v>0.1815735815396472</v>
      </c>
      <c r="T21" s="12">
        <v>0.27662902652292737</v>
      </c>
      <c r="U21" s="12">
        <v>0.43964692943265743</v>
      </c>
      <c r="V21" s="12">
        <v>0.91394815124000117</v>
      </c>
      <c r="W21" s="12">
        <v>0</v>
      </c>
      <c r="X21" s="12">
        <v>0.86849348222419087</v>
      </c>
      <c r="Y21" s="12">
        <v>0.24211219391736405</v>
      </c>
      <c r="Z21" s="12">
        <v>0.17535608542687625</v>
      </c>
      <c r="AA21" s="12">
        <v>0.14266778959890944</v>
      </c>
      <c r="AB21" s="12">
        <v>0.11203475507984058</v>
      </c>
      <c r="AC21" s="12">
        <v>0.1143821374889244</v>
      </c>
      <c r="AD21" s="12">
        <v>0.16046796836935198</v>
      </c>
      <c r="AE21" s="12">
        <v>0.22641155365335591</v>
      </c>
      <c r="AF21" s="12">
        <v>0.41174978015545016</v>
      </c>
      <c r="AG21" s="12">
        <v>0</v>
      </c>
      <c r="AH21" s="12">
        <v>0.9456863618541328</v>
      </c>
      <c r="AI21" s="12">
        <v>0.29798374478152534</v>
      </c>
      <c r="AJ21" s="12">
        <v>0.19225901429716133</v>
      </c>
      <c r="AK21" s="12">
        <v>0.15738354117665374</v>
      </c>
      <c r="AL21" s="12">
        <v>0.11456363381257512</v>
      </c>
      <c r="AM21" s="12">
        <v>0.11421789803148295</v>
      </c>
      <c r="AN21" s="12">
        <v>0.13041963446916269</v>
      </c>
      <c r="AO21" s="12">
        <v>0.17156432634192215</v>
      </c>
      <c r="AP21" s="12">
        <v>0.47978506462592713</v>
      </c>
      <c r="AQ21" s="12">
        <v>0</v>
      </c>
      <c r="AR21" s="12">
        <v>0</v>
      </c>
      <c r="AS21" s="12">
        <v>0.84421486332382423</v>
      </c>
      <c r="AT21" s="12">
        <v>0.40198977178563361</v>
      </c>
      <c r="AU21" s="12">
        <v>0.30062605241267842</v>
      </c>
      <c r="AV21" s="12">
        <v>0.23681353418046042</v>
      </c>
      <c r="AW21" s="12">
        <v>0.28202526269585065</v>
      </c>
      <c r="AX21" s="12">
        <v>0.34806562234129518</v>
      </c>
      <c r="AY21" s="12">
        <v>0.65331883267873048</v>
      </c>
      <c r="AZ21" s="12">
        <v>0</v>
      </c>
      <c r="BA21" s="12">
        <v>0</v>
      </c>
      <c r="BB21" s="12">
        <v>0</v>
      </c>
      <c r="BC21" s="12">
        <v>0</v>
      </c>
      <c r="BD21" s="12">
        <v>0.83328155909300905</v>
      </c>
      <c r="BE21" s="12">
        <v>0.40390687107788464</v>
      </c>
      <c r="BF21" s="12">
        <v>0.27440962688645282</v>
      </c>
      <c r="BG21" s="12">
        <v>0.34476577108987</v>
      </c>
      <c r="BH21" s="12">
        <v>0.63085552388423016</v>
      </c>
      <c r="BI21" s="12">
        <v>0</v>
      </c>
      <c r="BJ21" s="12">
        <v>0</v>
      </c>
      <c r="BK21" s="12">
        <v>0</v>
      </c>
      <c r="GI21" s="8" t="s">
        <v>182</v>
      </c>
      <c r="GJ21" s="12">
        <v>0</v>
      </c>
      <c r="GK21" s="12">
        <v>0</v>
      </c>
      <c r="GL21" s="12">
        <v>1.1381021375903806E-2</v>
      </c>
      <c r="GM21" s="12">
        <v>0.11068846241894705</v>
      </c>
      <c r="GN21" s="12">
        <v>0.17893959778067428</v>
      </c>
      <c r="GO21" s="12">
        <v>0.17252264686898613</v>
      </c>
      <c r="GP21" s="12">
        <v>8.5280639126055782E-2</v>
      </c>
      <c r="GQ21" s="12">
        <v>7.3984466342294029E-3</v>
      </c>
      <c r="GR21" s="12">
        <v>0</v>
      </c>
      <c r="GS21" s="12">
        <v>0</v>
      </c>
      <c r="GT21" s="12">
        <v>0</v>
      </c>
      <c r="GU21" s="12">
        <v>5.5620644684333351E-2</v>
      </c>
      <c r="GV21" s="12">
        <v>0.29156714841745696</v>
      </c>
      <c r="GW21" s="12">
        <v>0.46553498130429183</v>
      </c>
      <c r="GX21" s="12">
        <v>0.46030887600748199</v>
      </c>
      <c r="GY21" s="12">
        <v>0.45018972735122592</v>
      </c>
      <c r="GZ21" s="12">
        <v>0.35474267647270741</v>
      </c>
      <c r="HA21" s="12">
        <v>0.15468717064060822</v>
      </c>
      <c r="HB21" s="10">
        <v>5.1360091717219522E-3</v>
      </c>
      <c r="HC21" s="12">
        <v>0</v>
      </c>
      <c r="HD21" s="10">
        <v>6.6283640311602015E-3</v>
      </c>
      <c r="HE21" s="12">
        <v>0.20855414699838221</v>
      </c>
      <c r="HF21" s="12">
        <v>0.4111769828092508</v>
      </c>
      <c r="HG21" s="12">
        <v>0.510082613331443</v>
      </c>
      <c r="HH21" s="12">
        <v>0.50343351072998588</v>
      </c>
      <c r="HI21" s="12">
        <v>0.48396336964414821</v>
      </c>
      <c r="HJ21" s="12">
        <v>0.39087422298355995</v>
      </c>
      <c r="HK21" s="12">
        <v>0.23270251090331787</v>
      </c>
      <c r="HL21" s="12">
        <v>6.3081110496442702E-2</v>
      </c>
      <c r="HM21" s="12">
        <v>0</v>
      </c>
      <c r="HN21" s="10">
        <v>2.4079391139638921E-3</v>
      </c>
      <c r="HO21" s="12">
        <v>0.16664797415649885</v>
      </c>
      <c r="HP21" s="12">
        <v>0.36932129367073113</v>
      </c>
      <c r="HQ21" s="12">
        <v>0.46561897777114036</v>
      </c>
      <c r="HR21" s="12">
        <v>0.46663129194303771</v>
      </c>
      <c r="HS21" s="12">
        <v>0.46292566298914456</v>
      </c>
      <c r="HT21" s="12">
        <v>0.41409239151055288</v>
      </c>
      <c r="HU21" s="12">
        <v>0.27299897311189231</v>
      </c>
      <c r="HV21" s="12">
        <v>6.6549424270389665E-2</v>
      </c>
      <c r="HW21" s="12">
        <v>0</v>
      </c>
      <c r="HX21" s="12">
        <v>0</v>
      </c>
      <c r="HY21" s="12">
        <v>1.5540864898667855E-2</v>
      </c>
      <c r="HZ21" s="12">
        <v>0.16192799998339338</v>
      </c>
      <c r="IA21" s="12">
        <v>0.26924939320882363</v>
      </c>
      <c r="IB21" s="12">
        <v>0.27936053819265527</v>
      </c>
      <c r="IC21" s="12">
        <v>0.27723960281759857</v>
      </c>
      <c r="ID21" s="12">
        <v>0.20043449610462521</v>
      </c>
      <c r="IE21" s="12">
        <v>5.9269382086055318E-2</v>
      </c>
      <c r="IF21" s="10">
        <v>0</v>
      </c>
      <c r="IG21" s="12">
        <v>0</v>
      </c>
      <c r="IH21" s="12">
        <v>0</v>
      </c>
      <c r="II21" s="12">
        <v>0</v>
      </c>
      <c r="IJ21" s="12">
        <v>8.8860677617315087E-3</v>
      </c>
      <c r="IK21" s="12">
        <v>8.5475978986363776E-2</v>
      </c>
      <c r="IL21" s="12">
        <v>0.11162646673765346</v>
      </c>
      <c r="IM21" s="12">
        <v>0.10392904226843502</v>
      </c>
      <c r="IN21" s="12">
        <v>2.4111047832258488E-2</v>
      </c>
      <c r="IO21" s="12">
        <v>0</v>
      </c>
      <c r="IP21" s="12">
        <v>0</v>
      </c>
      <c r="IQ21" s="12">
        <v>0</v>
      </c>
      <c r="IS21" s="8" t="s">
        <v>182</v>
      </c>
      <c r="IT21" s="8" t="s">
        <v>229</v>
      </c>
      <c r="IU21" s="8" t="s">
        <v>230</v>
      </c>
      <c r="IV21" s="12">
        <v>0.45575133225457182</v>
      </c>
    </row>
    <row r="22" spans="2:256" x14ac:dyDescent="0.45">
      <c r="B22" s="9" t="s">
        <v>183</v>
      </c>
      <c r="C22" s="9" t="s">
        <v>31</v>
      </c>
      <c r="D22" s="13">
        <v>0</v>
      </c>
      <c r="E22" s="13">
        <v>0</v>
      </c>
      <c r="F22" s="13">
        <v>0.72499562569110809</v>
      </c>
      <c r="G22" s="13">
        <v>0.33745506221750088</v>
      </c>
      <c r="H22" s="13">
        <v>0.23384425962945468</v>
      </c>
      <c r="I22" s="13">
        <v>0.26605442107723831</v>
      </c>
      <c r="J22" s="13">
        <v>0.40071137896325271</v>
      </c>
      <c r="K22" s="13">
        <v>0.86352411846344523</v>
      </c>
      <c r="L22" s="13">
        <v>0</v>
      </c>
      <c r="M22" s="13">
        <v>0</v>
      </c>
      <c r="N22" s="13">
        <v>0</v>
      </c>
      <c r="O22" s="13">
        <v>0.72623590061269083</v>
      </c>
      <c r="P22" s="13">
        <v>0.36010004801576223</v>
      </c>
      <c r="Q22" s="13">
        <v>0.26312230746363863</v>
      </c>
      <c r="R22" s="13">
        <v>0.20678859541879588</v>
      </c>
      <c r="S22" s="13">
        <v>0.22893742883573989</v>
      </c>
      <c r="T22" s="13">
        <v>0.28059283614920061</v>
      </c>
      <c r="U22" s="13">
        <v>0.43201414884941708</v>
      </c>
      <c r="V22" s="13">
        <v>0.94065123257446137</v>
      </c>
      <c r="W22" s="13">
        <v>0</v>
      </c>
      <c r="X22" s="13">
        <v>0</v>
      </c>
      <c r="Y22" s="13">
        <v>0.31449426704689992</v>
      </c>
      <c r="Z22" s="13">
        <v>0.23971443022485969</v>
      </c>
      <c r="AA22" s="13">
        <v>0.19047757209666563</v>
      </c>
      <c r="AB22" s="13">
        <v>0.14457972410568778</v>
      </c>
      <c r="AC22" s="13">
        <v>0.14471051410106722</v>
      </c>
      <c r="AD22" s="13">
        <v>0.16810002578282962</v>
      </c>
      <c r="AE22" s="13">
        <v>0.26267516715144706</v>
      </c>
      <c r="AF22" s="13">
        <v>0.57549010147692647</v>
      </c>
      <c r="AG22" s="13">
        <v>0</v>
      </c>
      <c r="AH22" s="13">
        <v>0</v>
      </c>
      <c r="AI22" s="13">
        <v>0.30582284977077973</v>
      </c>
      <c r="AJ22" s="13">
        <v>0.15706543325496505</v>
      </c>
      <c r="AK22" s="13">
        <v>0.12247937041137641</v>
      </c>
      <c r="AL22" s="13">
        <v>0.10852996749085111</v>
      </c>
      <c r="AM22" s="13">
        <v>0.1307012000753125</v>
      </c>
      <c r="AN22" s="13">
        <v>0.16634370363979542</v>
      </c>
      <c r="AO22" s="13">
        <v>0.20604161118591702</v>
      </c>
      <c r="AP22" s="13">
        <v>0.60319045126805726</v>
      </c>
      <c r="AQ22" s="13">
        <v>0</v>
      </c>
      <c r="AR22" s="13">
        <v>0</v>
      </c>
      <c r="AS22" s="13">
        <v>0.85462414162350975</v>
      </c>
      <c r="AT22" s="13">
        <v>0.29396857151796218</v>
      </c>
      <c r="AU22" s="13">
        <v>0.19500759565324188</v>
      </c>
      <c r="AV22" s="13">
        <v>0.15569825818994143</v>
      </c>
      <c r="AW22" s="13">
        <v>0.17078046312906625</v>
      </c>
      <c r="AX22" s="13">
        <v>0.2466547227051204</v>
      </c>
      <c r="AY22" s="13">
        <v>0.60123766072501661</v>
      </c>
      <c r="AZ22" s="13">
        <v>0</v>
      </c>
      <c r="BA22" s="13">
        <v>0</v>
      </c>
      <c r="BB22" s="13">
        <v>0</v>
      </c>
      <c r="BC22" s="13">
        <v>0</v>
      </c>
      <c r="BD22" s="13">
        <v>0.73811440628000979</v>
      </c>
      <c r="BE22" s="13">
        <v>0.30419221207344427</v>
      </c>
      <c r="BF22" s="13">
        <v>0.20811308408924983</v>
      </c>
      <c r="BG22" s="13">
        <v>0.25262218011900067</v>
      </c>
      <c r="BH22" s="13">
        <v>0.54429097054702302</v>
      </c>
      <c r="BI22" s="13">
        <v>0</v>
      </c>
      <c r="BJ22" s="13">
        <v>0</v>
      </c>
      <c r="BK22" s="13">
        <v>0</v>
      </c>
      <c r="GI22" s="9" t="s">
        <v>183</v>
      </c>
      <c r="GJ22" s="13">
        <v>0</v>
      </c>
      <c r="GK22" s="13">
        <v>0</v>
      </c>
      <c r="GL22" s="13">
        <v>2.8641519579440226E-2</v>
      </c>
      <c r="GM22" s="13">
        <v>0.15773291084640617</v>
      </c>
      <c r="GN22" s="13">
        <v>0.21611606287519178</v>
      </c>
      <c r="GO22" s="13">
        <v>0.21437498890298809</v>
      </c>
      <c r="GP22" s="13">
        <v>0.1151075902580314</v>
      </c>
      <c r="GQ22" s="13">
        <v>1.0455289413766914E-2</v>
      </c>
      <c r="GR22" s="13">
        <v>0</v>
      </c>
      <c r="GS22" s="13">
        <v>0</v>
      </c>
      <c r="GT22" s="13">
        <v>0</v>
      </c>
      <c r="GU22" s="13">
        <v>4.8242537320365299E-2</v>
      </c>
      <c r="GV22" s="13">
        <v>0.27087403273044591</v>
      </c>
      <c r="GW22" s="13">
        <v>0.41708989477650416</v>
      </c>
      <c r="GX22" s="13">
        <v>0.42206837370020389</v>
      </c>
      <c r="GY22" s="13">
        <v>0.4060870028105189</v>
      </c>
      <c r="GZ22" s="13">
        <v>0.31083644659393861</v>
      </c>
      <c r="HA22" s="13">
        <v>0.140292276780111</v>
      </c>
      <c r="HB22" s="11">
        <v>1.592434050222269E-3</v>
      </c>
      <c r="HC22" s="13">
        <v>0</v>
      </c>
      <c r="HD22" s="11">
        <v>0</v>
      </c>
      <c r="HE22" s="13">
        <v>0.15267772851278816</v>
      </c>
      <c r="HF22" s="13">
        <v>0.34773505856454273</v>
      </c>
      <c r="HG22" s="13">
        <v>0.45931243661828675</v>
      </c>
      <c r="HH22" s="13">
        <v>0.47031991810371998</v>
      </c>
      <c r="HI22" s="13">
        <v>0.46027601019413594</v>
      </c>
      <c r="HJ22" s="13">
        <v>0.37730931606005591</v>
      </c>
      <c r="HK22" s="13">
        <v>0.21501348316882266</v>
      </c>
      <c r="HL22" s="13">
        <v>3.8763856403527072E-2</v>
      </c>
      <c r="HM22" s="13">
        <v>0</v>
      </c>
      <c r="HN22" s="11">
        <v>0</v>
      </c>
      <c r="HO22" s="13">
        <v>0.16696118090946568</v>
      </c>
      <c r="HP22" s="13">
        <v>0.41108589517371502</v>
      </c>
      <c r="HQ22" s="13">
        <v>0.51383518605700318</v>
      </c>
      <c r="HR22" s="13">
        <v>0.50542675615703081</v>
      </c>
      <c r="HS22" s="13">
        <v>0.47173800533841004</v>
      </c>
      <c r="HT22" s="13">
        <v>0.3968214033045856</v>
      </c>
      <c r="HU22" s="13">
        <v>0.26086973669626323</v>
      </c>
      <c r="HV22" s="13">
        <v>5.1281930285790929E-2</v>
      </c>
      <c r="HW22" s="13">
        <v>0</v>
      </c>
      <c r="HX22" s="13">
        <v>0</v>
      </c>
      <c r="HY22" s="13">
        <v>1.836047863930456E-2</v>
      </c>
      <c r="HZ22" s="13">
        <v>0.20994090023610723</v>
      </c>
      <c r="IA22" s="13">
        <v>0.35202535682827163</v>
      </c>
      <c r="IB22" s="13">
        <v>0.34330627417180226</v>
      </c>
      <c r="IC22" s="13">
        <v>0.34987647783873826</v>
      </c>
      <c r="ID22" s="13">
        <v>0.24215681506455122</v>
      </c>
      <c r="IE22" s="13">
        <v>6.7666695494085979E-2</v>
      </c>
      <c r="IF22" s="11">
        <v>0</v>
      </c>
      <c r="IG22" s="13">
        <v>0</v>
      </c>
      <c r="IH22" s="13">
        <v>0</v>
      </c>
      <c r="II22" s="13">
        <v>0</v>
      </c>
      <c r="IJ22" s="13">
        <v>2.6576501125137202E-2</v>
      </c>
      <c r="IK22" s="13">
        <v>0.16328139321711538</v>
      </c>
      <c r="IL22" s="13">
        <v>0.19249817651324641</v>
      </c>
      <c r="IM22" s="13">
        <v>0.20143169373351272</v>
      </c>
      <c r="IN22" s="13">
        <v>6.8746214614171866E-2</v>
      </c>
      <c r="IO22" s="13">
        <v>0</v>
      </c>
      <c r="IP22" s="13">
        <v>0</v>
      </c>
      <c r="IQ22" s="13">
        <v>0</v>
      </c>
      <c r="IS22" s="9" t="s">
        <v>183</v>
      </c>
      <c r="IT22" s="9" t="s">
        <v>229</v>
      </c>
      <c r="IU22" s="9" t="s">
        <v>230</v>
      </c>
      <c r="IV22" s="13">
        <v>0.47310566468437143</v>
      </c>
    </row>
    <row r="23" spans="2:256" x14ac:dyDescent="0.45">
      <c r="B23" s="8" t="s">
        <v>184</v>
      </c>
      <c r="C23" s="8" t="s">
        <v>31</v>
      </c>
      <c r="D23" s="12">
        <v>0</v>
      </c>
      <c r="E23" s="12">
        <v>0</v>
      </c>
      <c r="F23" s="12">
        <v>0.70420304541538825</v>
      </c>
      <c r="G23" s="12">
        <v>0.31736409047890807</v>
      </c>
      <c r="H23" s="12">
        <v>0.20589195835164725</v>
      </c>
      <c r="I23" s="12">
        <v>0.25045252519499089</v>
      </c>
      <c r="J23" s="12">
        <v>0.40947775218788307</v>
      </c>
      <c r="K23" s="12">
        <v>0.88500054320581489</v>
      </c>
      <c r="L23" s="12">
        <v>0</v>
      </c>
      <c r="M23" s="12">
        <v>0</v>
      </c>
      <c r="N23" s="12">
        <v>0</v>
      </c>
      <c r="O23" s="12">
        <v>0.67704415828346109</v>
      </c>
      <c r="P23" s="12">
        <v>0.34016977505919305</v>
      </c>
      <c r="Q23" s="12">
        <v>0.2554866707138998</v>
      </c>
      <c r="R23" s="12">
        <v>0.1965701219484054</v>
      </c>
      <c r="S23" s="12">
        <v>0.21666893016948269</v>
      </c>
      <c r="T23" s="12">
        <v>0.27801072941842009</v>
      </c>
      <c r="U23" s="12">
        <v>0.42707027893827598</v>
      </c>
      <c r="V23" s="12">
        <v>0.95376280937972135</v>
      </c>
      <c r="W23" s="12">
        <v>0</v>
      </c>
      <c r="X23" s="12">
        <v>0.89936476078476457</v>
      </c>
      <c r="Y23" s="12">
        <v>0.27008744060432827</v>
      </c>
      <c r="Z23" s="12">
        <v>0.18984026120892675</v>
      </c>
      <c r="AA23" s="12">
        <v>0.14992341983104132</v>
      </c>
      <c r="AB23" s="12">
        <v>0.12795224973859964</v>
      </c>
      <c r="AC23" s="12">
        <v>0.13797318528803257</v>
      </c>
      <c r="AD23" s="12">
        <v>0.16023867233189268</v>
      </c>
      <c r="AE23" s="12">
        <v>0.22570661014088839</v>
      </c>
      <c r="AF23" s="12">
        <v>0.54289949576201879</v>
      </c>
      <c r="AG23" s="12">
        <v>0</v>
      </c>
      <c r="AH23" s="12">
        <v>0.97419354838709682</v>
      </c>
      <c r="AI23" s="12">
        <v>0.29093928102854139</v>
      </c>
      <c r="AJ23" s="12">
        <v>0.14648279937287081</v>
      </c>
      <c r="AK23" s="12">
        <v>0.11612639252220704</v>
      </c>
      <c r="AL23" s="12">
        <v>9.823844393979235E-2</v>
      </c>
      <c r="AM23" s="12">
        <v>0.11735413395140352</v>
      </c>
      <c r="AN23" s="12">
        <v>0.15262917308812951</v>
      </c>
      <c r="AO23" s="12">
        <v>0.19457130457699495</v>
      </c>
      <c r="AP23" s="12">
        <v>0.60743204597090472</v>
      </c>
      <c r="AQ23" s="12">
        <v>0</v>
      </c>
      <c r="AR23" s="12">
        <v>0</v>
      </c>
      <c r="AS23" s="12">
        <v>0.82100152249228631</v>
      </c>
      <c r="AT23" s="12">
        <v>0.30950730347791783</v>
      </c>
      <c r="AU23" s="12">
        <v>0.20492292953657407</v>
      </c>
      <c r="AV23" s="12">
        <v>0.1442883643557758</v>
      </c>
      <c r="AW23" s="12">
        <v>0.17706849292077037</v>
      </c>
      <c r="AX23" s="12">
        <v>0.25901183422462781</v>
      </c>
      <c r="AY23" s="12">
        <v>0.6173027034437174</v>
      </c>
      <c r="AZ23" s="12">
        <v>0</v>
      </c>
      <c r="BA23" s="12">
        <v>0</v>
      </c>
      <c r="BB23" s="12">
        <v>0</v>
      </c>
      <c r="BC23" s="12">
        <v>0</v>
      </c>
      <c r="BD23" s="12">
        <v>0.74752139627415748</v>
      </c>
      <c r="BE23" s="12">
        <v>0.34118266940208347</v>
      </c>
      <c r="BF23" s="12">
        <v>0.23805452811080183</v>
      </c>
      <c r="BG23" s="12">
        <v>0.29235955781963008</v>
      </c>
      <c r="BH23" s="12">
        <v>0.57194277738368571</v>
      </c>
      <c r="BI23" s="12">
        <v>0</v>
      </c>
      <c r="BJ23" s="12">
        <v>0</v>
      </c>
      <c r="BK23" s="12">
        <v>0</v>
      </c>
      <c r="GI23" s="8" t="s">
        <v>184</v>
      </c>
      <c r="GJ23" s="12">
        <v>0</v>
      </c>
      <c r="GK23" s="12">
        <v>0</v>
      </c>
      <c r="GL23" s="12">
        <v>2.5449275809976142E-2</v>
      </c>
      <c r="GM23" s="12">
        <v>0.14165482805572666</v>
      </c>
      <c r="GN23" s="12">
        <v>0.19380324655294118</v>
      </c>
      <c r="GO23" s="12">
        <v>0.18878317126806843</v>
      </c>
      <c r="GP23" s="12">
        <v>8.90723639224799E-2</v>
      </c>
      <c r="GQ23" s="12">
        <v>6.2176902208102586E-3</v>
      </c>
      <c r="GR23" s="12">
        <v>0</v>
      </c>
      <c r="GS23" s="12">
        <v>0</v>
      </c>
      <c r="GT23" s="12">
        <v>0</v>
      </c>
      <c r="GU23" s="12">
        <v>5.8029376671964887E-2</v>
      </c>
      <c r="GV23" s="12">
        <v>0.28609121454077452</v>
      </c>
      <c r="GW23" s="12">
        <v>0.42313577512640477</v>
      </c>
      <c r="GX23" s="12">
        <v>0.4318980739166246</v>
      </c>
      <c r="GY23" s="12">
        <v>0.41639261567690472</v>
      </c>
      <c r="GZ23" s="12">
        <v>0.31996750251579248</v>
      </c>
      <c r="HA23" s="12">
        <v>0.13937279705995501</v>
      </c>
      <c r="HB23" s="10">
        <v>7.7249495605593872E-4</v>
      </c>
      <c r="HC23" s="12">
        <v>0</v>
      </c>
      <c r="HD23" s="10">
        <v>2.2235273512333053E-3</v>
      </c>
      <c r="HE23" s="12">
        <v>0.18414817618290691</v>
      </c>
      <c r="HF23" s="12">
        <v>0.38956598454009267</v>
      </c>
      <c r="HG23" s="12">
        <v>0.48931999658167602</v>
      </c>
      <c r="HH23" s="12">
        <v>0.48818750258049659</v>
      </c>
      <c r="HI23" s="12">
        <v>0.46602088337670167</v>
      </c>
      <c r="HJ23" s="12">
        <v>0.38603972259598734</v>
      </c>
      <c r="HK23" s="12">
        <v>0.22974966274631289</v>
      </c>
      <c r="HL23" s="12">
        <v>4.4158813100223002E-2</v>
      </c>
      <c r="HM23" s="12">
        <v>0</v>
      </c>
      <c r="HN23" s="10">
        <v>1.725713514864459E-4</v>
      </c>
      <c r="HO23" s="12">
        <v>0.17173548651450177</v>
      </c>
      <c r="HP23" s="12">
        <v>0.41138990356847288</v>
      </c>
      <c r="HQ23" s="12">
        <v>0.51271501197526914</v>
      </c>
      <c r="HR23" s="12">
        <v>0.50315569013393324</v>
      </c>
      <c r="HS23" s="12">
        <v>0.47587529793784195</v>
      </c>
      <c r="HT23" s="12">
        <v>0.39772489151370455</v>
      </c>
      <c r="HU23" s="12">
        <v>0.25145773098826241</v>
      </c>
      <c r="HV23" s="12">
        <v>4.6548075492627808E-2</v>
      </c>
      <c r="HW23" s="12">
        <v>0</v>
      </c>
      <c r="HX23" s="12">
        <v>0</v>
      </c>
      <c r="HY23" s="12">
        <v>2.2738673794084379E-2</v>
      </c>
      <c r="HZ23" s="12">
        <v>0.19692521297866061</v>
      </c>
      <c r="IA23" s="12">
        <v>0.33556663264418013</v>
      </c>
      <c r="IB23" s="12">
        <v>0.33273780609230963</v>
      </c>
      <c r="IC23" s="12">
        <v>0.32089046752661682</v>
      </c>
      <c r="ID23" s="12">
        <v>0.21156581943650651</v>
      </c>
      <c r="IE23" s="12">
        <v>5.6546934978963764E-2</v>
      </c>
      <c r="IF23" s="10">
        <v>0</v>
      </c>
      <c r="IG23" s="12">
        <v>0</v>
      </c>
      <c r="IH23" s="12">
        <v>0</v>
      </c>
      <c r="II23" s="12">
        <v>0</v>
      </c>
      <c r="IJ23" s="12">
        <v>2.7591341896981279E-2</v>
      </c>
      <c r="IK23" s="12">
        <v>0.15699116320846104</v>
      </c>
      <c r="IL23" s="12">
        <v>0.1775841639070701</v>
      </c>
      <c r="IM23" s="12">
        <v>0.1730130996300816</v>
      </c>
      <c r="IN23" s="12">
        <v>4.9368288259664744E-2</v>
      </c>
      <c r="IO23" s="12">
        <v>0</v>
      </c>
      <c r="IP23" s="12">
        <v>0</v>
      </c>
      <c r="IQ23" s="12">
        <v>0</v>
      </c>
      <c r="IS23" s="8" t="s">
        <v>184</v>
      </c>
      <c r="IT23" s="8" t="s">
        <v>229</v>
      </c>
      <c r="IU23" s="8" t="s">
        <v>230</v>
      </c>
      <c r="IV23" s="12">
        <v>0.43986412835921762</v>
      </c>
    </row>
    <row r="24" spans="2:256" x14ac:dyDescent="0.45">
      <c r="B24" s="9" t="s">
        <v>185</v>
      </c>
      <c r="C24" s="9" t="s">
        <v>31</v>
      </c>
      <c r="D24" s="13">
        <v>0</v>
      </c>
      <c r="E24" s="13">
        <v>0</v>
      </c>
      <c r="F24" s="13">
        <v>0.76505568940722657</v>
      </c>
      <c r="G24" s="13">
        <v>0.31689844611669798</v>
      </c>
      <c r="H24" s="13">
        <v>0.20166837981706154</v>
      </c>
      <c r="I24" s="13">
        <v>0.22317536348361502</v>
      </c>
      <c r="J24" s="13">
        <v>0.36137752665262651</v>
      </c>
      <c r="K24" s="13">
        <v>0.82683030576364724</v>
      </c>
      <c r="L24" s="13">
        <v>0</v>
      </c>
      <c r="M24" s="13">
        <v>0</v>
      </c>
      <c r="N24" s="13">
        <v>0</v>
      </c>
      <c r="O24" s="13">
        <v>0.80319602126767198</v>
      </c>
      <c r="P24" s="13">
        <v>0.36753701107815134</v>
      </c>
      <c r="Q24" s="13">
        <v>0.25319462897562972</v>
      </c>
      <c r="R24" s="13">
        <v>0.17525285607109498</v>
      </c>
      <c r="S24" s="13">
        <v>0.186085895287882</v>
      </c>
      <c r="T24" s="13">
        <v>0.26863878647026102</v>
      </c>
      <c r="U24" s="13">
        <v>0.38626946321397371</v>
      </c>
      <c r="V24" s="13">
        <v>0.91049151270718265</v>
      </c>
      <c r="W24" s="13">
        <v>0</v>
      </c>
      <c r="X24" s="13">
        <v>0</v>
      </c>
      <c r="Y24" s="13">
        <v>0.38164278427699344</v>
      </c>
      <c r="Z24" s="13">
        <v>0.27817286530541424</v>
      </c>
      <c r="AA24" s="13">
        <v>0.20555203356899149</v>
      </c>
      <c r="AB24" s="13">
        <v>0.14892334772691346</v>
      </c>
      <c r="AC24" s="13">
        <v>0.14344027855425426</v>
      </c>
      <c r="AD24" s="13">
        <v>0.17782855812691367</v>
      </c>
      <c r="AE24" s="13">
        <v>0.24417610024376929</v>
      </c>
      <c r="AF24" s="13">
        <v>0.47210156409295956</v>
      </c>
      <c r="AG24" s="13">
        <v>0</v>
      </c>
      <c r="AH24" s="13">
        <v>0</v>
      </c>
      <c r="AI24" s="13">
        <v>0.33968740328351243</v>
      </c>
      <c r="AJ24" s="13">
        <v>0.17179660932817345</v>
      </c>
      <c r="AK24" s="13">
        <v>0.13108757894566786</v>
      </c>
      <c r="AL24" s="13">
        <v>0.11488278407472167</v>
      </c>
      <c r="AM24" s="13">
        <v>0.11887045266346069</v>
      </c>
      <c r="AN24" s="13">
        <v>0.14364731398844965</v>
      </c>
      <c r="AO24" s="13">
        <v>0.18381366624685255</v>
      </c>
      <c r="AP24" s="13">
        <v>0.50290209997759194</v>
      </c>
      <c r="AQ24" s="13">
        <v>0</v>
      </c>
      <c r="AR24" s="13">
        <v>0</v>
      </c>
      <c r="AS24" s="13">
        <v>0.87371449958697256</v>
      </c>
      <c r="AT24" s="13">
        <v>0.30651586442802015</v>
      </c>
      <c r="AU24" s="13">
        <v>0.19796818385600157</v>
      </c>
      <c r="AV24" s="13">
        <v>0.15680716876463782</v>
      </c>
      <c r="AW24" s="13">
        <v>0.17505499779666786</v>
      </c>
      <c r="AX24" s="13">
        <v>0.25130427681828266</v>
      </c>
      <c r="AY24" s="13">
        <v>0.55533368994453614</v>
      </c>
      <c r="AZ24" s="13">
        <v>0</v>
      </c>
      <c r="BA24" s="13">
        <v>0</v>
      </c>
      <c r="BB24" s="13">
        <v>0</v>
      </c>
      <c r="BC24" s="13">
        <v>0</v>
      </c>
      <c r="BD24" s="13">
        <v>0.77441092239249776</v>
      </c>
      <c r="BE24" s="13">
        <v>0.28840513691853387</v>
      </c>
      <c r="BF24" s="13">
        <v>0.20160803618068091</v>
      </c>
      <c r="BG24" s="13">
        <v>0.24010286618601093</v>
      </c>
      <c r="BH24" s="13">
        <v>0.43215673461000864</v>
      </c>
      <c r="BI24" s="13">
        <v>0</v>
      </c>
      <c r="BJ24" s="13">
        <v>0</v>
      </c>
      <c r="BK24" s="13">
        <v>0</v>
      </c>
      <c r="GI24" s="9" t="s">
        <v>185</v>
      </c>
      <c r="GJ24" s="13">
        <v>0</v>
      </c>
      <c r="GK24" s="13">
        <v>0</v>
      </c>
      <c r="GL24" s="13">
        <v>1.5707848905463114E-2</v>
      </c>
      <c r="GM24" s="13">
        <v>0.13755111617820753</v>
      </c>
      <c r="GN24" s="13">
        <v>0.21745401606745504</v>
      </c>
      <c r="GO24" s="13">
        <v>0.21123105299005321</v>
      </c>
      <c r="GP24" s="13">
        <v>0.12414569656128026</v>
      </c>
      <c r="GQ24" s="13">
        <v>1.4440923901537174E-2</v>
      </c>
      <c r="GR24" s="13">
        <v>0</v>
      </c>
      <c r="GS24" s="13">
        <v>0</v>
      </c>
      <c r="GT24" s="13">
        <v>0</v>
      </c>
      <c r="GU24" s="13">
        <v>3.7987615232880446E-2</v>
      </c>
      <c r="GV24" s="13">
        <v>0.24770354029879191</v>
      </c>
      <c r="GW24" s="13">
        <v>0.40328597847188213</v>
      </c>
      <c r="GX24" s="13">
        <v>0.4387213383800963</v>
      </c>
      <c r="GY24" s="13">
        <v>0.41792005888838463</v>
      </c>
      <c r="GZ24" s="13">
        <v>0.32421829047959239</v>
      </c>
      <c r="HA24" s="13">
        <v>0.16389281914913439</v>
      </c>
      <c r="HB24" s="11">
        <v>6.3473576481389675E-3</v>
      </c>
      <c r="HC24" s="13">
        <v>0</v>
      </c>
      <c r="HD24" s="11">
        <v>0</v>
      </c>
      <c r="HE24" s="13">
        <v>0.11626929092532567</v>
      </c>
      <c r="HF24" s="13">
        <v>0.29785436493084289</v>
      </c>
      <c r="HG24" s="13">
        <v>0.42198089339152411</v>
      </c>
      <c r="HH24" s="13">
        <v>0.44701973012563334</v>
      </c>
      <c r="HI24" s="13">
        <v>0.43130904364004413</v>
      </c>
      <c r="HJ24" s="13">
        <v>0.34871325915011886</v>
      </c>
      <c r="HK24" s="13">
        <v>0.20957572759344437</v>
      </c>
      <c r="HL24" s="13">
        <v>5.0386779093798732E-2</v>
      </c>
      <c r="HM24" s="13">
        <v>0</v>
      </c>
      <c r="HN24" s="11">
        <v>0</v>
      </c>
      <c r="HO24" s="13">
        <v>0.14680112489214076</v>
      </c>
      <c r="HP24" s="13">
        <v>0.40024750867083331</v>
      </c>
      <c r="HQ24" s="13">
        <v>0.52119104100150471</v>
      </c>
      <c r="HR24" s="13">
        <v>0.50767622164827819</v>
      </c>
      <c r="HS24" s="13">
        <v>0.47667329260056213</v>
      </c>
      <c r="HT24" s="13">
        <v>0.41170011908493742</v>
      </c>
      <c r="HU24" s="13">
        <v>0.27479385405679302</v>
      </c>
      <c r="HV24" s="13">
        <v>6.9044412886426182E-2</v>
      </c>
      <c r="HW24" s="13">
        <v>0</v>
      </c>
      <c r="HX24" s="13">
        <v>0</v>
      </c>
      <c r="HY24" s="13">
        <v>1.2291659184545591E-2</v>
      </c>
      <c r="HZ24" s="13">
        <v>0.18645771640479172</v>
      </c>
      <c r="IA24" s="13">
        <v>0.33643342761745204</v>
      </c>
      <c r="IB24" s="13">
        <v>0.35195429931411309</v>
      </c>
      <c r="IC24" s="13">
        <v>0.36380710899774094</v>
      </c>
      <c r="ID24" s="13">
        <v>0.25977998344681402</v>
      </c>
      <c r="IE24" s="13">
        <v>7.9951419067534724E-2</v>
      </c>
      <c r="IF24" s="11">
        <v>0</v>
      </c>
      <c r="IG24" s="13">
        <v>0</v>
      </c>
      <c r="IH24" s="13">
        <v>0</v>
      </c>
      <c r="II24" s="13">
        <v>0</v>
      </c>
      <c r="IJ24" s="13">
        <v>1.6000427017116951E-2</v>
      </c>
      <c r="IK24" s="13">
        <v>0.15329669035970436</v>
      </c>
      <c r="IL24" s="13">
        <v>0.19540828350056735</v>
      </c>
      <c r="IM24" s="13">
        <v>0.22009314051955858</v>
      </c>
      <c r="IN24" s="13">
        <v>9.8766855505583742E-2</v>
      </c>
      <c r="IO24" s="13">
        <v>0</v>
      </c>
      <c r="IP24" s="13">
        <v>0</v>
      </c>
      <c r="IQ24" s="13">
        <v>0</v>
      </c>
      <c r="IS24" s="9" t="s">
        <v>185</v>
      </c>
      <c r="IT24" s="9" t="s">
        <v>229</v>
      </c>
      <c r="IU24" s="9" t="s">
        <v>230</v>
      </c>
      <c r="IV24" s="13">
        <v>0.44771773301986362</v>
      </c>
    </row>
    <row r="25" spans="2:256" x14ac:dyDescent="0.45">
      <c r="B25" s="8" t="s">
        <v>186</v>
      </c>
      <c r="C25" s="8" t="s">
        <v>31</v>
      </c>
      <c r="D25" s="12">
        <v>0</v>
      </c>
      <c r="E25" s="12">
        <v>0</v>
      </c>
      <c r="F25" s="12">
        <v>0.78971204407495932</v>
      </c>
      <c r="G25" s="12">
        <v>0.31362014455659543</v>
      </c>
      <c r="H25" s="12">
        <v>0.19794012544931125</v>
      </c>
      <c r="I25" s="12">
        <v>0.20647198416448781</v>
      </c>
      <c r="J25" s="12">
        <v>0.32572702417730176</v>
      </c>
      <c r="K25" s="12">
        <v>0.79798923893146523</v>
      </c>
      <c r="L25" s="12">
        <v>0</v>
      </c>
      <c r="M25" s="12">
        <v>0</v>
      </c>
      <c r="N25" s="12">
        <v>0</v>
      </c>
      <c r="O25" s="12">
        <v>0.81356677810622291</v>
      </c>
      <c r="P25" s="12">
        <v>0.37311730287795186</v>
      </c>
      <c r="Q25" s="12">
        <v>0.26469121525662781</v>
      </c>
      <c r="R25" s="12">
        <v>0.19291030360115283</v>
      </c>
      <c r="S25" s="12">
        <v>0.19824360744953151</v>
      </c>
      <c r="T25" s="12">
        <v>0.25447898327135687</v>
      </c>
      <c r="U25" s="12">
        <v>0.36713035138473304</v>
      </c>
      <c r="V25" s="12">
        <v>0.88057371610537949</v>
      </c>
      <c r="W25" s="12">
        <v>0</v>
      </c>
      <c r="X25" s="12">
        <v>0</v>
      </c>
      <c r="Y25" s="12">
        <v>0.37319973449280547</v>
      </c>
      <c r="Z25" s="12">
        <v>0.28777587554891593</v>
      </c>
      <c r="AA25" s="12">
        <v>0.23945708451036612</v>
      </c>
      <c r="AB25" s="12">
        <v>0.18225256412342164</v>
      </c>
      <c r="AC25" s="12">
        <v>0.16753762195876171</v>
      </c>
      <c r="AD25" s="12">
        <v>0.18933772283221589</v>
      </c>
      <c r="AE25" s="12">
        <v>0.24882702636154003</v>
      </c>
      <c r="AF25" s="12">
        <v>0.44731765848469141</v>
      </c>
      <c r="AG25" s="12">
        <v>0</v>
      </c>
      <c r="AH25" s="12">
        <v>0</v>
      </c>
      <c r="AI25" s="12">
        <v>0.34471943920087389</v>
      </c>
      <c r="AJ25" s="12">
        <v>0.15647354044042311</v>
      </c>
      <c r="AK25" s="12">
        <v>0.10270505671192769</v>
      </c>
      <c r="AL25" s="12">
        <v>9.5295712144140052E-2</v>
      </c>
      <c r="AM25" s="12">
        <v>9.9948688587968515E-2</v>
      </c>
      <c r="AN25" s="12">
        <v>0.12054044705767654</v>
      </c>
      <c r="AO25" s="12">
        <v>0.17915112995752996</v>
      </c>
      <c r="AP25" s="12">
        <v>0.44177796488324877</v>
      </c>
      <c r="AQ25" s="12">
        <v>0</v>
      </c>
      <c r="AR25" s="12">
        <v>0</v>
      </c>
      <c r="AS25" s="12">
        <v>0.90313632243191211</v>
      </c>
      <c r="AT25" s="12">
        <v>0.32879939285451437</v>
      </c>
      <c r="AU25" s="12">
        <v>0.21282338107516618</v>
      </c>
      <c r="AV25" s="12">
        <v>0.14933181879938612</v>
      </c>
      <c r="AW25" s="12">
        <v>0.16585604645025517</v>
      </c>
      <c r="AX25" s="12">
        <v>0.24335599185346082</v>
      </c>
      <c r="AY25" s="12">
        <v>0.51910949250788929</v>
      </c>
      <c r="AZ25" s="12">
        <v>0</v>
      </c>
      <c r="BA25" s="12">
        <v>0</v>
      </c>
      <c r="BB25" s="12">
        <v>0</v>
      </c>
      <c r="BC25" s="12">
        <v>0</v>
      </c>
      <c r="BD25" s="12">
        <v>0.83377102660425351</v>
      </c>
      <c r="BE25" s="12">
        <v>0.31054491279990376</v>
      </c>
      <c r="BF25" s="12">
        <v>0.21638532968686111</v>
      </c>
      <c r="BG25" s="12">
        <v>0.23746723422937691</v>
      </c>
      <c r="BH25" s="12">
        <v>0.37506627885456767</v>
      </c>
      <c r="BI25" s="12">
        <v>0</v>
      </c>
      <c r="BJ25" s="12">
        <v>0</v>
      </c>
      <c r="BK25" s="12">
        <v>0</v>
      </c>
      <c r="GI25" s="8" t="s">
        <v>186</v>
      </c>
      <c r="GJ25" s="12">
        <v>0</v>
      </c>
      <c r="GK25" s="12">
        <v>0</v>
      </c>
      <c r="GL25" s="12">
        <v>9.0818627693967542E-3</v>
      </c>
      <c r="GM25" s="12">
        <v>0.11814502783444136</v>
      </c>
      <c r="GN25" s="12">
        <v>0.19697053278987164</v>
      </c>
      <c r="GO25" s="12">
        <v>0.19298428789596622</v>
      </c>
      <c r="GP25" s="12">
        <v>0.10783785949020398</v>
      </c>
      <c r="GQ25" s="12">
        <v>1.1512084458824253E-2</v>
      </c>
      <c r="GR25" s="12">
        <v>0</v>
      </c>
      <c r="GS25" s="12">
        <v>0</v>
      </c>
      <c r="GT25" s="12">
        <v>0</v>
      </c>
      <c r="GU25" s="12">
        <v>3.2511924913949324E-2</v>
      </c>
      <c r="GV25" s="12">
        <v>0.23103766860104866</v>
      </c>
      <c r="GW25" s="12">
        <v>0.38834759906788552</v>
      </c>
      <c r="GX25" s="12">
        <v>0.42759329811843638</v>
      </c>
      <c r="GY25" s="12">
        <v>0.40633735204341004</v>
      </c>
      <c r="GZ25" s="12">
        <v>0.33252720947420128</v>
      </c>
      <c r="HA25" s="12">
        <v>0.16474848360026012</v>
      </c>
      <c r="HB25" s="10">
        <v>9.5154027989410341E-3</v>
      </c>
      <c r="HC25" s="12">
        <v>0</v>
      </c>
      <c r="HD25" s="10">
        <v>0</v>
      </c>
      <c r="HE25" s="12">
        <v>0.11779057652795631</v>
      </c>
      <c r="HF25" s="12">
        <v>0.3023449914058296</v>
      </c>
      <c r="HG25" s="12">
        <v>0.4130762758416428</v>
      </c>
      <c r="HH25" s="12">
        <v>0.43512095168876541</v>
      </c>
      <c r="HI25" s="12">
        <v>0.42398325235582912</v>
      </c>
      <c r="HJ25" s="12">
        <v>0.35698788378845608</v>
      </c>
      <c r="HK25" s="12">
        <v>0.22542507455327224</v>
      </c>
      <c r="HL25" s="12">
        <v>5.9016136128409731E-2</v>
      </c>
      <c r="HM25" s="12">
        <v>0</v>
      </c>
      <c r="HN25" s="10">
        <v>0</v>
      </c>
      <c r="HO25" s="12">
        <v>0.13883148146442326</v>
      </c>
      <c r="HP25" s="12">
        <v>0.39836436141268805</v>
      </c>
      <c r="HQ25" s="12">
        <v>0.53663932838834083</v>
      </c>
      <c r="HR25" s="12">
        <v>0.51784008102189893</v>
      </c>
      <c r="HS25" s="12">
        <v>0.49041299868925464</v>
      </c>
      <c r="HT25" s="12">
        <v>0.43245180737155009</v>
      </c>
      <c r="HU25" s="12">
        <v>0.29092134782653845</v>
      </c>
      <c r="HV25" s="12">
        <v>8.1878741518078141E-2</v>
      </c>
      <c r="HW25" s="12">
        <v>0</v>
      </c>
      <c r="HX25" s="12">
        <v>0</v>
      </c>
      <c r="HY25" s="12">
        <v>1.036507796895972E-2</v>
      </c>
      <c r="HZ25" s="12">
        <v>0.17487039115059261</v>
      </c>
      <c r="IA25" s="12">
        <v>0.32869426077871505</v>
      </c>
      <c r="IB25" s="12">
        <v>0.34782978271363707</v>
      </c>
      <c r="IC25" s="12">
        <v>0.3609222364123521</v>
      </c>
      <c r="ID25" s="12">
        <v>0.26707609708585306</v>
      </c>
      <c r="IE25" s="12">
        <v>8.2655023240628359E-2</v>
      </c>
      <c r="IF25" s="10">
        <v>0</v>
      </c>
      <c r="IG25" s="12">
        <v>0</v>
      </c>
      <c r="IH25" s="12">
        <v>0</v>
      </c>
      <c r="II25" s="12">
        <v>0</v>
      </c>
      <c r="IJ25" s="12">
        <v>1.3350193458467836E-2</v>
      </c>
      <c r="IK25" s="12">
        <v>0.13012117779657495</v>
      </c>
      <c r="IL25" s="12">
        <v>0.17110762860398626</v>
      </c>
      <c r="IM25" s="12">
        <v>0.19141995946714779</v>
      </c>
      <c r="IN25" s="12">
        <v>8.9394832796961199E-2</v>
      </c>
      <c r="IO25" s="12">
        <v>0</v>
      </c>
      <c r="IP25" s="12">
        <v>0</v>
      </c>
      <c r="IQ25" s="12">
        <v>0</v>
      </c>
      <c r="IS25" s="8" t="s">
        <v>186</v>
      </c>
      <c r="IT25" s="8" t="s">
        <v>229</v>
      </c>
      <c r="IU25" s="8" t="s">
        <v>230</v>
      </c>
      <c r="IV25" s="12">
        <v>0.4894163050295674</v>
      </c>
    </row>
    <row r="26" spans="2:256" x14ac:dyDescent="0.45">
      <c r="B26" s="9" t="s">
        <v>187</v>
      </c>
      <c r="C26" s="9" t="s">
        <v>31</v>
      </c>
      <c r="D26" s="13">
        <v>0</v>
      </c>
      <c r="E26" s="13">
        <v>0</v>
      </c>
      <c r="F26" s="13">
        <v>0.81295654952153606</v>
      </c>
      <c r="G26" s="13">
        <v>0.33890685188462805</v>
      </c>
      <c r="H26" s="13">
        <v>0.21487031346703164</v>
      </c>
      <c r="I26" s="13">
        <v>0.20132333370563485</v>
      </c>
      <c r="J26" s="13">
        <v>0.33626057249476132</v>
      </c>
      <c r="K26" s="13">
        <v>0.81782549096722901</v>
      </c>
      <c r="L26" s="13">
        <v>0</v>
      </c>
      <c r="M26" s="13">
        <v>0</v>
      </c>
      <c r="N26" s="13">
        <v>0</v>
      </c>
      <c r="O26" s="13">
        <v>0.80586789948447823</v>
      </c>
      <c r="P26" s="13">
        <v>0.35978970931053517</v>
      </c>
      <c r="Q26" s="13">
        <v>0.24719029202801526</v>
      </c>
      <c r="R26" s="13">
        <v>0.18060741037384115</v>
      </c>
      <c r="S26" s="13">
        <v>0.18333586125955784</v>
      </c>
      <c r="T26" s="13">
        <v>0.24981243056812991</v>
      </c>
      <c r="U26" s="13">
        <v>0.35963033151401669</v>
      </c>
      <c r="V26" s="13">
        <v>0.86623276451591735</v>
      </c>
      <c r="W26" s="13">
        <v>0</v>
      </c>
      <c r="X26" s="13">
        <v>0</v>
      </c>
      <c r="Y26" s="13">
        <v>0.34759001969741371</v>
      </c>
      <c r="Z26" s="13">
        <v>0.26465427851163636</v>
      </c>
      <c r="AA26" s="13">
        <v>0.21207322442071772</v>
      </c>
      <c r="AB26" s="13">
        <v>0.15930067808337786</v>
      </c>
      <c r="AC26" s="13">
        <v>0.1463754001785495</v>
      </c>
      <c r="AD26" s="13">
        <v>0.17639602354044645</v>
      </c>
      <c r="AE26" s="13">
        <v>0.23511829357927844</v>
      </c>
      <c r="AF26" s="13">
        <v>0.41971771617336417</v>
      </c>
      <c r="AG26" s="13">
        <v>0</v>
      </c>
      <c r="AH26" s="13">
        <v>0</v>
      </c>
      <c r="AI26" s="13">
        <v>0.33850025678500423</v>
      </c>
      <c r="AJ26" s="13">
        <v>0.15251013162522872</v>
      </c>
      <c r="AK26" s="13">
        <v>0.11890528739779548</v>
      </c>
      <c r="AL26" s="13">
        <v>9.9203607773786756E-2</v>
      </c>
      <c r="AM26" s="13">
        <v>0.10419062618284489</v>
      </c>
      <c r="AN26" s="13">
        <v>0.13043938470181488</v>
      </c>
      <c r="AO26" s="13">
        <v>0.16637407012992381</v>
      </c>
      <c r="AP26" s="13">
        <v>0.40746438399280499</v>
      </c>
      <c r="AQ26" s="13">
        <v>0</v>
      </c>
      <c r="AR26" s="13">
        <v>0</v>
      </c>
      <c r="AS26" s="13">
        <v>0.90519022473512312</v>
      </c>
      <c r="AT26" s="13">
        <v>0.38495366093040179</v>
      </c>
      <c r="AU26" s="13">
        <v>0.2347129814718415</v>
      </c>
      <c r="AV26" s="13">
        <v>0.15436097029173654</v>
      </c>
      <c r="AW26" s="13">
        <v>0.15911729182597165</v>
      </c>
      <c r="AX26" s="13">
        <v>0.22946976852340861</v>
      </c>
      <c r="AY26" s="13">
        <v>0.54517952993087315</v>
      </c>
      <c r="AZ26" s="13">
        <v>0</v>
      </c>
      <c r="BA26" s="13">
        <v>0</v>
      </c>
      <c r="BB26" s="13">
        <v>0</v>
      </c>
      <c r="BC26" s="13">
        <v>0</v>
      </c>
      <c r="BD26" s="13">
        <v>0.84358093402278411</v>
      </c>
      <c r="BE26" s="13">
        <v>0.35806965721322015</v>
      </c>
      <c r="BF26" s="13">
        <v>0.25845262255372714</v>
      </c>
      <c r="BG26" s="13">
        <v>0.31278920321019382</v>
      </c>
      <c r="BH26" s="13">
        <v>0.5516834579591593</v>
      </c>
      <c r="BI26" s="13">
        <v>0</v>
      </c>
      <c r="BJ26" s="13">
        <v>0</v>
      </c>
      <c r="BK26" s="13">
        <v>0</v>
      </c>
      <c r="GI26" s="9" t="s">
        <v>187</v>
      </c>
      <c r="GJ26" s="13">
        <v>0</v>
      </c>
      <c r="GK26" s="13">
        <v>0</v>
      </c>
      <c r="GL26" s="13">
        <v>8.8187456203679387E-3</v>
      </c>
      <c r="GM26" s="13">
        <v>0.10002160479462191</v>
      </c>
      <c r="GN26" s="13">
        <v>0.1690939521761439</v>
      </c>
      <c r="GO26" s="13">
        <v>0.16993979546660107</v>
      </c>
      <c r="GP26" s="13">
        <v>8.4867902856281333E-2</v>
      </c>
      <c r="GQ26" s="13">
        <v>6.7923025568411991E-3</v>
      </c>
      <c r="GR26" s="13">
        <v>0</v>
      </c>
      <c r="GS26" s="13">
        <v>0</v>
      </c>
      <c r="GT26" s="13">
        <v>0</v>
      </c>
      <c r="GU26" s="13">
        <v>2.8336490958154496E-2</v>
      </c>
      <c r="GV26" s="13">
        <v>0.23516983590429832</v>
      </c>
      <c r="GW26" s="13">
        <v>0.41351723801545709</v>
      </c>
      <c r="GX26" s="13">
        <v>0.45039418768725398</v>
      </c>
      <c r="GY26" s="13">
        <v>0.43155522995959317</v>
      </c>
      <c r="GZ26" s="13">
        <v>0.34099663382991602</v>
      </c>
      <c r="HA26" s="13">
        <v>0.16958077996948856</v>
      </c>
      <c r="HB26" s="11">
        <v>1.369575502362997E-2</v>
      </c>
      <c r="HC26" s="13">
        <v>0</v>
      </c>
      <c r="HD26" s="11">
        <v>0</v>
      </c>
      <c r="HE26" s="13">
        <v>0.13657358993229649</v>
      </c>
      <c r="HF26" s="13">
        <v>0.33033878577823744</v>
      </c>
      <c r="HG26" s="13">
        <v>0.44124464413724934</v>
      </c>
      <c r="HH26" s="13">
        <v>0.45205581035439069</v>
      </c>
      <c r="HI26" s="13">
        <v>0.4371334005727418</v>
      </c>
      <c r="HJ26" s="13">
        <v>0.36806405216365673</v>
      </c>
      <c r="HK26" s="13">
        <v>0.23124110551321303</v>
      </c>
      <c r="HL26" s="13">
        <v>7.4082748695277145E-2</v>
      </c>
      <c r="HM26" s="13">
        <v>0</v>
      </c>
      <c r="HN26" s="11">
        <v>0</v>
      </c>
      <c r="HO26" s="13">
        <v>0.14348094788361904</v>
      </c>
      <c r="HP26" s="13">
        <v>0.39428099191102189</v>
      </c>
      <c r="HQ26" s="13">
        <v>0.52460067335193061</v>
      </c>
      <c r="HR26" s="13">
        <v>0.51324568267517512</v>
      </c>
      <c r="HS26" s="13">
        <v>0.47920427955953848</v>
      </c>
      <c r="HT26" s="13">
        <v>0.42468739525087362</v>
      </c>
      <c r="HU26" s="13">
        <v>0.29687452268377712</v>
      </c>
      <c r="HV26" s="13">
        <v>8.7765315744074548E-2</v>
      </c>
      <c r="HW26" s="13">
        <v>0</v>
      </c>
      <c r="HX26" s="13">
        <v>0</v>
      </c>
      <c r="HY26" s="13">
        <v>1.2073434281576591E-2</v>
      </c>
      <c r="HZ26" s="13">
        <v>0.16770036271530214</v>
      </c>
      <c r="IA26" s="13">
        <v>0.31619839418175627</v>
      </c>
      <c r="IB26" s="13">
        <v>0.33810446406212563</v>
      </c>
      <c r="IC26" s="13">
        <v>0.32966475457245176</v>
      </c>
      <c r="ID26" s="13">
        <v>0.25154895374774577</v>
      </c>
      <c r="IE26" s="13">
        <v>7.4810621142715486E-2</v>
      </c>
      <c r="IF26" s="11">
        <v>0</v>
      </c>
      <c r="IG26" s="13">
        <v>0</v>
      </c>
      <c r="IH26" s="13">
        <v>0</v>
      </c>
      <c r="II26" s="13">
        <v>0</v>
      </c>
      <c r="IJ26" s="13">
        <v>8.5359623086433325E-3</v>
      </c>
      <c r="IK26" s="13">
        <v>0.111653457899152</v>
      </c>
      <c r="IL26" s="13">
        <v>0.14168201047243489</v>
      </c>
      <c r="IM26" s="13">
        <v>0.13977323769558841</v>
      </c>
      <c r="IN26" s="13">
        <v>4.6092123918975422E-2</v>
      </c>
      <c r="IO26" s="13">
        <v>0</v>
      </c>
      <c r="IP26" s="13">
        <v>0</v>
      </c>
      <c r="IQ26" s="13">
        <v>0</v>
      </c>
      <c r="IS26" s="9" t="s">
        <v>187</v>
      </c>
      <c r="IT26" s="9" t="s">
        <v>229</v>
      </c>
      <c r="IU26" s="9" t="s">
        <v>230</v>
      </c>
      <c r="IV26" s="13">
        <v>0.49632480828975123</v>
      </c>
    </row>
    <row r="27" spans="2:256" x14ac:dyDescent="0.45">
      <c r="B27" s="8" t="s">
        <v>188</v>
      </c>
      <c r="C27" s="8" t="s">
        <v>31</v>
      </c>
      <c r="D27" s="12">
        <v>0</v>
      </c>
      <c r="E27" s="12">
        <v>0</v>
      </c>
      <c r="F27" s="12">
        <v>0.83201456531866591</v>
      </c>
      <c r="G27" s="12">
        <v>0.36492677565450282</v>
      </c>
      <c r="H27" s="12">
        <v>0.24173856670137917</v>
      </c>
      <c r="I27" s="12">
        <v>0.23799677419022336</v>
      </c>
      <c r="J27" s="12">
        <v>0.37599018034092196</v>
      </c>
      <c r="K27" s="12">
        <v>0.82209319902085209</v>
      </c>
      <c r="L27" s="12">
        <v>0</v>
      </c>
      <c r="M27" s="12">
        <v>0</v>
      </c>
      <c r="N27" s="12">
        <v>0</v>
      </c>
      <c r="O27" s="12">
        <v>0.78644207722985104</v>
      </c>
      <c r="P27" s="12">
        <v>0.34910876304904714</v>
      </c>
      <c r="Q27" s="12">
        <v>0.22043587053987462</v>
      </c>
      <c r="R27" s="12">
        <v>0.15212514099048247</v>
      </c>
      <c r="S27" s="12">
        <v>0.16810435694620654</v>
      </c>
      <c r="T27" s="12">
        <v>0.23773050209959071</v>
      </c>
      <c r="U27" s="12">
        <v>0.36938884859579785</v>
      </c>
      <c r="V27" s="12">
        <v>0.86964231001508663</v>
      </c>
      <c r="W27" s="12">
        <v>0</v>
      </c>
      <c r="X27" s="12">
        <v>0.94657657821880958</v>
      </c>
      <c r="Y27" s="12">
        <v>0.33972377989457631</v>
      </c>
      <c r="Z27" s="12">
        <v>0.25036337212434667</v>
      </c>
      <c r="AA27" s="12">
        <v>0.19495178465128193</v>
      </c>
      <c r="AB27" s="12">
        <v>0.14206676070459376</v>
      </c>
      <c r="AC27" s="12">
        <v>0.13448716098527316</v>
      </c>
      <c r="AD27" s="12">
        <v>0.1755214595921506</v>
      </c>
      <c r="AE27" s="12">
        <v>0.21894571916733138</v>
      </c>
      <c r="AF27" s="12">
        <v>0.40513725526990585</v>
      </c>
      <c r="AG27" s="12">
        <v>0</v>
      </c>
      <c r="AH27" s="12">
        <v>0</v>
      </c>
      <c r="AI27" s="12">
        <v>0.33270308622079725</v>
      </c>
      <c r="AJ27" s="12">
        <v>0.17195200521241752</v>
      </c>
      <c r="AK27" s="12">
        <v>0.12812957095266048</v>
      </c>
      <c r="AL27" s="12">
        <v>0.10304845078855898</v>
      </c>
      <c r="AM27" s="12">
        <v>0.11356442533073845</v>
      </c>
      <c r="AN27" s="12">
        <v>0.1372786787189634</v>
      </c>
      <c r="AO27" s="12">
        <v>0.17630010915780922</v>
      </c>
      <c r="AP27" s="12">
        <v>0.40999494415102328</v>
      </c>
      <c r="AQ27" s="12">
        <v>0</v>
      </c>
      <c r="AR27" s="12">
        <v>0</v>
      </c>
      <c r="AS27" s="12">
        <v>0.89370373504642098</v>
      </c>
      <c r="AT27" s="12">
        <v>0.39542830690336556</v>
      </c>
      <c r="AU27" s="12">
        <v>0.27300417173232017</v>
      </c>
      <c r="AV27" s="12">
        <v>0.16845332801024399</v>
      </c>
      <c r="AW27" s="12">
        <v>0.18580540481597299</v>
      </c>
      <c r="AX27" s="12">
        <v>0.25819769306205759</v>
      </c>
      <c r="AY27" s="12">
        <v>0.57944983576202125</v>
      </c>
      <c r="AZ27" s="12">
        <v>0</v>
      </c>
      <c r="BA27" s="12">
        <v>0</v>
      </c>
      <c r="BB27" s="12">
        <v>0</v>
      </c>
      <c r="BC27" s="12">
        <v>0</v>
      </c>
      <c r="BD27" s="12">
        <v>0.86962216560414984</v>
      </c>
      <c r="BE27" s="12">
        <v>0.41002151295505634</v>
      </c>
      <c r="BF27" s="12">
        <v>0.274521014524649</v>
      </c>
      <c r="BG27" s="12">
        <v>0.32085622553488058</v>
      </c>
      <c r="BH27" s="12">
        <v>0.59138409090779298</v>
      </c>
      <c r="BI27" s="12">
        <v>0</v>
      </c>
      <c r="BJ27" s="12">
        <v>0</v>
      </c>
      <c r="BK27" s="12">
        <v>0</v>
      </c>
      <c r="GI27" s="8" t="s">
        <v>188</v>
      </c>
      <c r="GJ27" s="12">
        <v>0</v>
      </c>
      <c r="GK27" s="12">
        <v>0</v>
      </c>
      <c r="GL27" s="12">
        <v>7.1427182927226805E-3</v>
      </c>
      <c r="GM27" s="12">
        <v>9.7379237751561376E-2</v>
      </c>
      <c r="GN27" s="12">
        <v>0.16606056251634843</v>
      </c>
      <c r="GO27" s="12">
        <v>0.16344776128306301</v>
      </c>
      <c r="GP27" s="12">
        <v>8.3894404277681744E-2</v>
      </c>
      <c r="GQ27" s="12">
        <v>6.965884722107997E-3</v>
      </c>
      <c r="GR27" s="12">
        <v>0</v>
      </c>
      <c r="GS27" s="12">
        <v>0</v>
      </c>
      <c r="GT27" s="12">
        <v>0</v>
      </c>
      <c r="GU27" s="12">
        <v>2.9479236807278687E-2</v>
      </c>
      <c r="GV27" s="12">
        <v>0.24289775667351823</v>
      </c>
      <c r="GW27" s="12">
        <v>0.43804371625437366</v>
      </c>
      <c r="GX27" s="12">
        <v>0.4712122450946678</v>
      </c>
      <c r="GY27" s="12">
        <v>0.45797673777262687</v>
      </c>
      <c r="GZ27" s="12">
        <v>0.36371180827965649</v>
      </c>
      <c r="HA27" s="12">
        <v>0.17897675399018323</v>
      </c>
      <c r="HB27" s="10">
        <v>1.4048397457137304E-2</v>
      </c>
      <c r="HC27" s="12">
        <v>0</v>
      </c>
      <c r="HD27" s="10">
        <v>2.7801239565637592E-5</v>
      </c>
      <c r="HE27" s="12">
        <v>0.15232001387578009</v>
      </c>
      <c r="HF27" s="12">
        <v>0.35254805417070595</v>
      </c>
      <c r="HG27" s="12">
        <v>0.46639322568984354</v>
      </c>
      <c r="HH27" s="12">
        <v>0.47535008561474779</v>
      </c>
      <c r="HI27" s="12">
        <v>0.45552079214199609</v>
      </c>
      <c r="HJ27" s="12">
        <v>0.37586770966561311</v>
      </c>
      <c r="HK27" s="12">
        <v>0.24155242512925706</v>
      </c>
      <c r="HL27" s="12">
        <v>8.141359608568402E-2</v>
      </c>
      <c r="HM27" s="12">
        <v>0</v>
      </c>
      <c r="HN27" s="10">
        <v>0</v>
      </c>
      <c r="HO27" s="12">
        <v>0.14498516124411615</v>
      </c>
      <c r="HP27" s="12">
        <v>0.37811098010087463</v>
      </c>
      <c r="HQ27" s="12">
        <v>0.49779115324896006</v>
      </c>
      <c r="HR27" s="12">
        <v>0.49544869570441452</v>
      </c>
      <c r="HS27" s="12">
        <v>0.46262141899124221</v>
      </c>
      <c r="HT27" s="12">
        <v>0.41528238548660573</v>
      </c>
      <c r="HU27" s="12">
        <v>0.28445246725384549</v>
      </c>
      <c r="HV27" s="12">
        <v>8.6438202876328613E-2</v>
      </c>
      <c r="HW27" s="12">
        <v>0</v>
      </c>
      <c r="HX27" s="12">
        <v>0</v>
      </c>
      <c r="HY27" s="12">
        <v>1.2284035879567548E-2</v>
      </c>
      <c r="HZ27" s="12">
        <v>0.16764613099617154</v>
      </c>
      <c r="IA27" s="12">
        <v>0.30924624003427098</v>
      </c>
      <c r="IB27" s="12">
        <v>0.31969809961746826</v>
      </c>
      <c r="IC27" s="12">
        <v>0.31245306858934035</v>
      </c>
      <c r="ID27" s="12">
        <v>0.23255034512445677</v>
      </c>
      <c r="IE27" s="12">
        <v>7.5946507782083464E-2</v>
      </c>
      <c r="IF27" s="10">
        <v>0</v>
      </c>
      <c r="IG27" s="12">
        <v>0</v>
      </c>
      <c r="IH27" s="12">
        <v>0</v>
      </c>
      <c r="II27" s="12">
        <v>0</v>
      </c>
      <c r="IJ27" s="12">
        <v>7.0466493355153502E-3</v>
      </c>
      <c r="IK27" s="12">
        <v>0.10090041478739814</v>
      </c>
      <c r="IL27" s="12">
        <v>0.1294618769147993</v>
      </c>
      <c r="IM27" s="12">
        <v>0.11588373100946479</v>
      </c>
      <c r="IN27" s="12">
        <v>3.3550537368966349E-2</v>
      </c>
      <c r="IO27" s="12">
        <v>0</v>
      </c>
      <c r="IP27" s="12">
        <v>0</v>
      </c>
      <c r="IQ27" s="12">
        <v>0</v>
      </c>
      <c r="IS27" s="8" t="s">
        <v>188</v>
      </c>
      <c r="IT27" s="8" t="s">
        <v>229</v>
      </c>
      <c r="IU27" s="8" t="s">
        <v>230</v>
      </c>
      <c r="IV27" s="12">
        <v>0.48183714476846201</v>
      </c>
    </row>
    <row r="28" spans="2:256" x14ac:dyDescent="0.45">
      <c r="B28" s="9" t="s">
        <v>189</v>
      </c>
      <c r="C28" s="9" t="s">
        <v>31</v>
      </c>
      <c r="D28" s="13">
        <v>0</v>
      </c>
      <c r="E28" s="13">
        <v>0</v>
      </c>
      <c r="F28" s="13">
        <v>0.80237760762054522</v>
      </c>
      <c r="G28" s="13">
        <v>0.3400887271997145</v>
      </c>
      <c r="H28" s="13">
        <v>0.21523872817790426</v>
      </c>
      <c r="I28" s="13">
        <v>0.24146754344583624</v>
      </c>
      <c r="J28" s="13">
        <v>0.3985904706139714</v>
      </c>
      <c r="K28" s="13">
        <v>0.86904743779924032</v>
      </c>
      <c r="L28" s="13">
        <v>0</v>
      </c>
      <c r="M28" s="13">
        <v>0</v>
      </c>
      <c r="N28" s="13">
        <v>0</v>
      </c>
      <c r="O28" s="13">
        <v>0.74502092232175066</v>
      </c>
      <c r="P28" s="13">
        <v>0.34713486032620122</v>
      </c>
      <c r="Q28" s="13">
        <v>0.24119210097757207</v>
      </c>
      <c r="R28" s="13">
        <v>0.17599601934051043</v>
      </c>
      <c r="S28" s="13">
        <v>0.19299130806736561</v>
      </c>
      <c r="T28" s="13">
        <v>0.27082926783449274</v>
      </c>
      <c r="U28" s="13">
        <v>0.41435715962860692</v>
      </c>
      <c r="V28" s="13">
        <v>0.90621036325866022</v>
      </c>
      <c r="W28" s="13">
        <v>0</v>
      </c>
      <c r="X28" s="13">
        <v>0.91329740118982872</v>
      </c>
      <c r="Y28" s="13">
        <v>0.29984624683346167</v>
      </c>
      <c r="Z28" s="13">
        <v>0.22898157011831674</v>
      </c>
      <c r="AA28" s="13">
        <v>0.16964906002391025</v>
      </c>
      <c r="AB28" s="13">
        <v>0.13369936515427397</v>
      </c>
      <c r="AC28" s="13">
        <v>0.14036678469567981</v>
      </c>
      <c r="AD28" s="13">
        <v>0.19665888269010021</v>
      </c>
      <c r="AE28" s="13">
        <v>0.24961226491831956</v>
      </c>
      <c r="AF28" s="13">
        <v>0.4362323385272508</v>
      </c>
      <c r="AG28" s="13">
        <v>0</v>
      </c>
      <c r="AH28" s="13">
        <v>0.9838709677419355</v>
      </c>
      <c r="AI28" s="13">
        <v>0.32034756369311124</v>
      </c>
      <c r="AJ28" s="13">
        <v>0.15704073604769453</v>
      </c>
      <c r="AK28" s="13">
        <v>0.11969144421852777</v>
      </c>
      <c r="AL28" s="13">
        <v>9.3921305636918542E-2</v>
      </c>
      <c r="AM28" s="13">
        <v>0.11182582750132526</v>
      </c>
      <c r="AN28" s="13">
        <v>0.12966049761831294</v>
      </c>
      <c r="AO28" s="13">
        <v>0.17064583566786984</v>
      </c>
      <c r="AP28" s="13">
        <v>0.45692468192669178</v>
      </c>
      <c r="AQ28" s="13">
        <v>0</v>
      </c>
      <c r="AR28" s="13">
        <v>0</v>
      </c>
      <c r="AS28" s="13">
        <v>0.86306917888395829</v>
      </c>
      <c r="AT28" s="13">
        <v>0.37605383814593302</v>
      </c>
      <c r="AU28" s="13">
        <v>0.2578057335058499</v>
      </c>
      <c r="AV28" s="13">
        <v>0.18367400641061257</v>
      </c>
      <c r="AW28" s="13">
        <v>0.20672552773968542</v>
      </c>
      <c r="AX28" s="13">
        <v>0.25842958691246926</v>
      </c>
      <c r="AY28" s="13">
        <v>0.60181989131120017</v>
      </c>
      <c r="AZ28" s="13">
        <v>0</v>
      </c>
      <c r="BA28" s="13">
        <v>0</v>
      </c>
      <c r="BB28" s="13">
        <v>0</v>
      </c>
      <c r="BC28" s="13">
        <v>0</v>
      </c>
      <c r="BD28" s="13">
        <v>0.83505964982675362</v>
      </c>
      <c r="BE28" s="13">
        <v>0.37151543592523012</v>
      </c>
      <c r="BF28" s="13">
        <v>0.27046542126756229</v>
      </c>
      <c r="BG28" s="13">
        <v>0.32324928002940317</v>
      </c>
      <c r="BH28" s="13">
        <v>0.60258552822936962</v>
      </c>
      <c r="BI28" s="13">
        <v>0</v>
      </c>
      <c r="BJ28" s="13">
        <v>0</v>
      </c>
      <c r="BK28" s="13">
        <v>0</v>
      </c>
      <c r="GI28" s="9" t="s">
        <v>189</v>
      </c>
      <c r="GJ28" s="13">
        <v>0</v>
      </c>
      <c r="GK28" s="13">
        <v>0</v>
      </c>
      <c r="GL28" s="13">
        <v>1.0336974054779135E-2</v>
      </c>
      <c r="GM28" s="13">
        <v>0.11339504618320816</v>
      </c>
      <c r="GN28" s="13">
        <v>0.17764328505498198</v>
      </c>
      <c r="GO28" s="13">
        <v>0.16507047525415008</v>
      </c>
      <c r="GP28" s="13">
        <v>7.7935673291760862E-2</v>
      </c>
      <c r="GQ28" s="13">
        <v>5.6894253970320085E-3</v>
      </c>
      <c r="GR28" s="13">
        <v>0</v>
      </c>
      <c r="GS28" s="13">
        <v>0</v>
      </c>
      <c r="GT28" s="13">
        <v>0</v>
      </c>
      <c r="GU28" s="13">
        <v>4.0208232642323968E-2</v>
      </c>
      <c r="GV28" s="13">
        <v>0.26123525850302554</v>
      </c>
      <c r="GW28" s="13">
        <v>0.41679849999473723</v>
      </c>
      <c r="GX28" s="13">
        <v>0.43623668473183147</v>
      </c>
      <c r="GY28" s="13">
        <v>0.42255137427333606</v>
      </c>
      <c r="GZ28" s="13">
        <v>0.3288663468494783</v>
      </c>
      <c r="HA28" s="13">
        <v>0.15042122111677825</v>
      </c>
      <c r="HB28" s="11">
        <v>7.3860351844515946E-3</v>
      </c>
      <c r="HC28" s="13">
        <v>0</v>
      </c>
      <c r="HD28" s="11">
        <v>2.1686617769682229E-3</v>
      </c>
      <c r="HE28" s="13">
        <v>0.18018550263204272</v>
      </c>
      <c r="HF28" s="13">
        <v>0.37782325896589325</v>
      </c>
      <c r="HG28" s="13">
        <v>0.4849376159570965</v>
      </c>
      <c r="HH28" s="13">
        <v>0.48384090154815207</v>
      </c>
      <c r="HI28" s="13">
        <v>0.45843655381283549</v>
      </c>
      <c r="HJ28" s="13">
        <v>0.36772803888550804</v>
      </c>
      <c r="HK28" s="13">
        <v>0.23490457016037705</v>
      </c>
      <c r="HL28" s="13">
        <v>6.4482120776208379E-2</v>
      </c>
      <c r="HM28" s="13">
        <v>0</v>
      </c>
      <c r="HN28" s="11">
        <v>7.208364170634272E-5</v>
      </c>
      <c r="HO28" s="13">
        <v>0.16401288267156122</v>
      </c>
      <c r="HP28" s="13">
        <v>0.40415253577225185</v>
      </c>
      <c r="HQ28" s="13">
        <v>0.50905573961213169</v>
      </c>
      <c r="HR28" s="13">
        <v>0.49998395894137238</v>
      </c>
      <c r="HS28" s="13">
        <v>0.48036015531907206</v>
      </c>
      <c r="HT28" s="13">
        <v>0.42915692168530239</v>
      </c>
      <c r="HU28" s="13">
        <v>0.28528557101293628</v>
      </c>
      <c r="HV28" s="13">
        <v>6.9883421475940233E-2</v>
      </c>
      <c r="HW28" s="13">
        <v>0</v>
      </c>
      <c r="HX28" s="13">
        <v>0</v>
      </c>
      <c r="HY28" s="13">
        <v>1.4301290749809384E-2</v>
      </c>
      <c r="HZ28" s="13">
        <v>0.16519854139504228</v>
      </c>
      <c r="IA28" s="13">
        <v>0.28233378781396046</v>
      </c>
      <c r="IB28" s="13">
        <v>0.30836821402250297</v>
      </c>
      <c r="IC28" s="13">
        <v>0.31385978136088444</v>
      </c>
      <c r="ID28" s="13">
        <v>0.22721642494396221</v>
      </c>
      <c r="IE28" s="13">
        <v>6.3471619232346038E-2</v>
      </c>
      <c r="IF28" s="11">
        <v>0</v>
      </c>
      <c r="IG28" s="13">
        <v>0</v>
      </c>
      <c r="IH28" s="13">
        <v>0</v>
      </c>
      <c r="II28" s="13">
        <v>0</v>
      </c>
      <c r="IJ28" s="13">
        <v>1.2554599030442792E-2</v>
      </c>
      <c r="IK28" s="13">
        <v>0.10590148729611761</v>
      </c>
      <c r="IL28" s="13">
        <v>0.13938003873967067</v>
      </c>
      <c r="IM28" s="13">
        <v>0.12881732738676813</v>
      </c>
      <c r="IN28" s="13">
        <v>3.196284859936338E-2</v>
      </c>
      <c r="IO28" s="13">
        <v>0</v>
      </c>
      <c r="IP28" s="13">
        <v>0</v>
      </c>
      <c r="IQ28" s="13">
        <v>0</v>
      </c>
      <c r="IS28" s="9" t="s">
        <v>189</v>
      </c>
      <c r="IT28" s="9" t="s">
        <v>229</v>
      </c>
      <c r="IU28" s="9" t="s">
        <v>230</v>
      </c>
      <c r="IV28" s="13">
        <v>0.45405763076212929</v>
      </c>
    </row>
    <row r="29" spans="2:256" x14ac:dyDescent="0.45">
      <c r="B29" s="8" t="s">
        <v>190</v>
      </c>
      <c r="C29" s="8" t="s">
        <v>31</v>
      </c>
      <c r="D29" s="12">
        <v>0</v>
      </c>
      <c r="E29" s="12">
        <v>0</v>
      </c>
      <c r="F29" s="12">
        <v>0.7819465669100446</v>
      </c>
      <c r="G29" s="12">
        <v>0.317931107072637</v>
      </c>
      <c r="H29" s="12">
        <v>0.21966437069550285</v>
      </c>
      <c r="I29" s="12">
        <v>0.23431737749152026</v>
      </c>
      <c r="J29" s="12">
        <v>0.36267200464020827</v>
      </c>
      <c r="K29" s="12">
        <v>0.8304171299874189</v>
      </c>
      <c r="L29" s="12">
        <v>0</v>
      </c>
      <c r="M29" s="12">
        <v>0</v>
      </c>
      <c r="N29" s="12">
        <v>0</v>
      </c>
      <c r="O29" s="12">
        <v>0.77678220411282073</v>
      </c>
      <c r="P29" s="12">
        <v>0.36337663531170139</v>
      </c>
      <c r="Q29" s="12">
        <v>0.26647988962893787</v>
      </c>
      <c r="R29" s="12">
        <v>0.18588237383942319</v>
      </c>
      <c r="S29" s="12">
        <v>0.18837735468306815</v>
      </c>
      <c r="T29" s="12">
        <v>0.25428840311655115</v>
      </c>
      <c r="U29" s="12">
        <v>0.40070257705099799</v>
      </c>
      <c r="V29" s="12">
        <v>0.90991736563477577</v>
      </c>
      <c r="W29" s="12">
        <v>0</v>
      </c>
      <c r="X29" s="12">
        <v>0</v>
      </c>
      <c r="Y29" s="12">
        <v>0.33259855982570252</v>
      </c>
      <c r="Z29" s="12">
        <v>0.25679255146118035</v>
      </c>
      <c r="AA29" s="12">
        <v>0.19002517202386784</v>
      </c>
      <c r="AB29" s="12">
        <v>0.15265171991043891</v>
      </c>
      <c r="AC29" s="12">
        <v>0.14410301097642458</v>
      </c>
      <c r="AD29" s="12">
        <v>0.19029701876216376</v>
      </c>
      <c r="AE29" s="12">
        <v>0.26345827452797876</v>
      </c>
      <c r="AF29" s="12">
        <v>0.47105188520687258</v>
      </c>
      <c r="AG29" s="12">
        <v>0</v>
      </c>
      <c r="AH29" s="12">
        <v>0</v>
      </c>
      <c r="AI29" s="12">
        <v>0.30901143176645246</v>
      </c>
      <c r="AJ29" s="12">
        <v>0.15627052004462286</v>
      </c>
      <c r="AK29" s="12">
        <v>0.11957488742986168</v>
      </c>
      <c r="AL29" s="12">
        <v>9.5071679507942403E-2</v>
      </c>
      <c r="AM29" s="12">
        <v>0.10307968405125988</v>
      </c>
      <c r="AN29" s="12">
        <v>0.12338642120702421</v>
      </c>
      <c r="AO29" s="12">
        <v>0.17874178109880887</v>
      </c>
      <c r="AP29" s="12">
        <v>0.47248042376200805</v>
      </c>
      <c r="AQ29" s="12">
        <v>0</v>
      </c>
      <c r="AR29" s="12">
        <v>0</v>
      </c>
      <c r="AS29" s="12">
        <v>0.89144665073419016</v>
      </c>
      <c r="AT29" s="12">
        <v>0.37119056638630504</v>
      </c>
      <c r="AU29" s="12">
        <v>0.24313909946703413</v>
      </c>
      <c r="AV29" s="12">
        <v>0.15857772306253987</v>
      </c>
      <c r="AW29" s="12">
        <v>0.17372134630391359</v>
      </c>
      <c r="AX29" s="12">
        <v>0.26258538699234096</v>
      </c>
      <c r="AY29" s="12">
        <v>0.59024363486340659</v>
      </c>
      <c r="AZ29" s="12">
        <v>0</v>
      </c>
      <c r="BA29" s="12">
        <v>0</v>
      </c>
      <c r="BB29" s="12">
        <v>0</v>
      </c>
      <c r="BC29" s="12">
        <v>0</v>
      </c>
      <c r="BD29" s="12">
        <v>0.81753262336054844</v>
      </c>
      <c r="BE29" s="12">
        <v>0.32324744422925544</v>
      </c>
      <c r="BF29" s="12">
        <v>0.22641280580173415</v>
      </c>
      <c r="BG29" s="12">
        <v>0.28633722821078994</v>
      </c>
      <c r="BH29" s="12">
        <v>0.54532677520977546</v>
      </c>
      <c r="BI29" s="12">
        <v>0</v>
      </c>
      <c r="BJ29" s="12">
        <v>0</v>
      </c>
      <c r="BK29" s="12">
        <v>0</v>
      </c>
      <c r="GI29" s="8" t="s">
        <v>190</v>
      </c>
      <c r="GJ29" s="12">
        <v>0</v>
      </c>
      <c r="GK29" s="12">
        <v>0</v>
      </c>
      <c r="GL29" s="12">
        <v>1.3214842628857368E-2</v>
      </c>
      <c r="GM29" s="12">
        <v>0.12831248390760275</v>
      </c>
      <c r="GN29" s="12">
        <v>0.19297381498887808</v>
      </c>
      <c r="GO29" s="12">
        <v>0.17765998385883669</v>
      </c>
      <c r="GP29" s="12">
        <v>8.9465923597514083E-2</v>
      </c>
      <c r="GQ29" s="12">
        <v>7.244837769679254E-3</v>
      </c>
      <c r="GR29" s="12">
        <v>0</v>
      </c>
      <c r="GS29" s="12">
        <v>0</v>
      </c>
      <c r="GT29" s="12">
        <v>0</v>
      </c>
      <c r="GU29" s="12">
        <v>3.6276444348997287E-2</v>
      </c>
      <c r="GV29" s="12">
        <v>0.25137453343986155</v>
      </c>
      <c r="GW29" s="12">
        <v>0.40400844836741334</v>
      </c>
      <c r="GX29" s="12">
        <v>0.43027699445052786</v>
      </c>
      <c r="GY29" s="12">
        <v>0.41395182795856655</v>
      </c>
      <c r="GZ29" s="12">
        <v>0.32391353512261889</v>
      </c>
      <c r="HA29" s="12">
        <v>0.15003340429714665</v>
      </c>
      <c r="HB29" s="10">
        <v>5.510251575133838E-3</v>
      </c>
      <c r="HC29" s="12">
        <v>0</v>
      </c>
      <c r="HD29" s="10">
        <v>0</v>
      </c>
      <c r="HE29" s="12">
        <v>0.1521506657948177</v>
      </c>
      <c r="HF29" s="12">
        <v>0.33569763430037997</v>
      </c>
      <c r="HG29" s="12">
        <v>0.45248680151288567</v>
      </c>
      <c r="HH29" s="12">
        <v>0.45645292427452677</v>
      </c>
      <c r="HI29" s="12">
        <v>0.43798443390871789</v>
      </c>
      <c r="HJ29" s="12">
        <v>0.35713493799836299</v>
      </c>
      <c r="HK29" s="12">
        <v>0.20943678652181721</v>
      </c>
      <c r="HL29" s="12">
        <v>5.5836566748307177E-2</v>
      </c>
      <c r="HM29" s="12">
        <v>0</v>
      </c>
      <c r="HN29" s="10">
        <v>0</v>
      </c>
      <c r="HO29" s="12">
        <v>0.16247943212107879</v>
      </c>
      <c r="HP29" s="12">
        <v>0.41128909386432355</v>
      </c>
      <c r="HQ29" s="12">
        <v>0.51928088379547432</v>
      </c>
      <c r="HR29" s="12">
        <v>0.50493242592972654</v>
      </c>
      <c r="HS29" s="12">
        <v>0.48424361947084354</v>
      </c>
      <c r="HT29" s="12">
        <v>0.42398900582960442</v>
      </c>
      <c r="HU29" s="12">
        <v>0.27608736992682664</v>
      </c>
      <c r="HV29" s="12">
        <v>6.9689739474160087E-2</v>
      </c>
      <c r="HW29" s="12">
        <v>0</v>
      </c>
      <c r="HX29" s="12">
        <v>0</v>
      </c>
      <c r="HY29" s="12">
        <v>1.3843618827812444E-2</v>
      </c>
      <c r="HZ29" s="12">
        <v>0.17173064723284864</v>
      </c>
      <c r="IA29" s="12">
        <v>0.30802226534696225</v>
      </c>
      <c r="IB29" s="12">
        <v>0.31496313307415919</v>
      </c>
      <c r="IC29" s="12">
        <v>0.32570057093909782</v>
      </c>
      <c r="ID29" s="12">
        <v>0.23008200124787351</v>
      </c>
      <c r="IE29" s="12">
        <v>6.8016213041565507E-2</v>
      </c>
      <c r="IF29" s="10">
        <v>0</v>
      </c>
      <c r="IG29" s="12">
        <v>0</v>
      </c>
      <c r="IH29" s="12">
        <v>0</v>
      </c>
      <c r="II29" s="12">
        <v>0</v>
      </c>
      <c r="IJ29" s="12">
        <v>1.6059586694889327E-2</v>
      </c>
      <c r="IK29" s="12">
        <v>0.1332952346271318</v>
      </c>
      <c r="IL29" s="12">
        <v>0.15810459314059114</v>
      </c>
      <c r="IM29" s="12">
        <v>0.15897982323177848</v>
      </c>
      <c r="IN29" s="12">
        <v>5.2523077558681817E-2</v>
      </c>
      <c r="IO29" s="12">
        <v>0</v>
      </c>
      <c r="IP29" s="12">
        <v>0</v>
      </c>
      <c r="IQ29" s="12">
        <v>0</v>
      </c>
      <c r="IS29" s="8" t="s">
        <v>190</v>
      </c>
      <c r="IT29" s="8" t="s">
        <v>229</v>
      </c>
      <c r="IU29" s="8" t="s">
        <v>230</v>
      </c>
      <c r="IV29" s="12">
        <v>0.45477884469619129</v>
      </c>
    </row>
    <row r="30" spans="2:256" x14ac:dyDescent="0.45">
      <c r="B30" s="9" t="s">
        <v>191</v>
      </c>
      <c r="C30" s="9" t="s">
        <v>31</v>
      </c>
      <c r="D30" s="13">
        <v>0</v>
      </c>
      <c r="E30" s="13">
        <v>0</v>
      </c>
      <c r="F30" s="13">
        <v>0.7801400559958559</v>
      </c>
      <c r="G30" s="13">
        <v>0.33951128317979562</v>
      </c>
      <c r="H30" s="13">
        <v>0.2147151618861802</v>
      </c>
      <c r="I30" s="13">
        <v>0.24111073412739584</v>
      </c>
      <c r="J30" s="13">
        <v>0.38851184871972722</v>
      </c>
      <c r="K30" s="13">
        <v>0.86299861158119673</v>
      </c>
      <c r="L30" s="13">
        <v>0</v>
      </c>
      <c r="M30" s="13">
        <v>0</v>
      </c>
      <c r="N30" s="13">
        <v>0</v>
      </c>
      <c r="O30" s="13">
        <v>0.723959579296932</v>
      </c>
      <c r="P30" s="13">
        <v>0.35731388164873595</v>
      </c>
      <c r="Q30" s="13">
        <v>0.26430091272325168</v>
      </c>
      <c r="R30" s="13">
        <v>0.19204804188865834</v>
      </c>
      <c r="S30" s="13">
        <v>0.21016551640899356</v>
      </c>
      <c r="T30" s="13">
        <v>0.28506210482169292</v>
      </c>
      <c r="U30" s="13">
        <v>0.41872550516441454</v>
      </c>
      <c r="V30" s="13">
        <v>0.92653855669946805</v>
      </c>
      <c r="W30" s="13">
        <v>0</v>
      </c>
      <c r="X30" s="13">
        <v>0.91471464997200458</v>
      </c>
      <c r="Y30" s="13">
        <v>0.29100794838320365</v>
      </c>
      <c r="Z30" s="13">
        <v>0.21130500891258441</v>
      </c>
      <c r="AA30" s="13">
        <v>0.15790639664270401</v>
      </c>
      <c r="AB30" s="13">
        <v>0.13131969072274954</v>
      </c>
      <c r="AC30" s="13">
        <v>0.14043741906813631</v>
      </c>
      <c r="AD30" s="13">
        <v>0.17656853906370007</v>
      </c>
      <c r="AE30" s="13">
        <v>0.23957457758028702</v>
      </c>
      <c r="AF30" s="13">
        <v>0.45039143703534451</v>
      </c>
      <c r="AG30" s="13">
        <v>0</v>
      </c>
      <c r="AH30" s="13">
        <v>0.98709677419354847</v>
      </c>
      <c r="AI30" s="13">
        <v>0.29719600906145521</v>
      </c>
      <c r="AJ30" s="13">
        <v>0.1547428430834053</v>
      </c>
      <c r="AK30" s="13">
        <v>0.12951708540687984</v>
      </c>
      <c r="AL30" s="13">
        <v>0.10028401017033689</v>
      </c>
      <c r="AM30" s="13">
        <v>0.10637542359142962</v>
      </c>
      <c r="AN30" s="13">
        <v>0.13541453103567436</v>
      </c>
      <c r="AO30" s="13">
        <v>0.17627109742284186</v>
      </c>
      <c r="AP30" s="13">
        <v>0.49656988130366891</v>
      </c>
      <c r="AQ30" s="13">
        <v>0</v>
      </c>
      <c r="AR30" s="13">
        <v>0</v>
      </c>
      <c r="AS30" s="13">
        <v>0.85394830677613831</v>
      </c>
      <c r="AT30" s="13">
        <v>0.35133525265490478</v>
      </c>
      <c r="AU30" s="13">
        <v>0.24922328326112414</v>
      </c>
      <c r="AV30" s="13">
        <v>0.18303941900520218</v>
      </c>
      <c r="AW30" s="13">
        <v>0.20746565560464081</v>
      </c>
      <c r="AX30" s="13">
        <v>0.27262202995944063</v>
      </c>
      <c r="AY30" s="13">
        <v>0.62060073835228657</v>
      </c>
      <c r="AZ30" s="13">
        <v>0</v>
      </c>
      <c r="BA30" s="13">
        <v>0</v>
      </c>
      <c r="BB30" s="13">
        <v>0</v>
      </c>
      <c r="BC30" s="13">
        <v>0</v>
      </c>
      <c r="BD30" s="13">
        <v>0.79649392431736554</v>
      </c>
      <c r="BE30" s="13">
        <v>0.34409255083945212</v>
      </c>
      <c r="BF30" s="13">
        <v>0.23982294359564302</v>
      </c>
      <c r="BG30" s="13">
        <v>0.30399828284348951</v>
      </c>
      <c r="BH30" s="13">
        <v>0.58436118518271718</v>
      </c>
      <c r="BI30" s="13">
        <v>0</v>
      </c>
      <c r="BJ30" s="13">
        <v>0</v>
      </c>
      <c r="BK30" s="13">
        <v>0</v>
      </c>
      <c r="GI30" s="9" t="s">
        <v>191</v>
      </c>
      <c r="GJ30" s="13">
        <v>0</v>
      </c>
      <c r="GK30" s="13">
        <v>0</v>
      </c>
      <c r="GL30" s="13">
        <v>1.3478272953011287E-2</v>
      </c>
      <c r="GM30" s="13">
        <v>0.12463523487169087</v>
      </c>
      <c r="GN30" s="13">
        <v>0.18397004980906229</v>
      </c>
      <c r="GO30" s="13">
        <v>0.16777322805994038</v>
      </c>
      <c r="GP30" s="13">
        <v>7.2640381756374758E-2</v>
      </c>
      <c r="GQ30" s="13">
        <v>5.0601315082064238E-3</v>
      </c>
      <c r="GR30" s="13">
        <v>0</v>
      </c>
      <c r="GS30" s="13">
        <v>0</v>
      </c>
      <c r="GT30" s="13">
        <v>0</v>
      </c>
      <c r="GU30" s="13">
        <v>4.6046679824209215E-2</v>
      </c>
      <c r="GV30" s="13">
        <v>0.27237727321426153</v>
      </c>
      <c r="GW30" s="13">
        <v>0.40627229046560487</v>
      </c>
      <c r="GX30" s="13">
        <v>0.42222328087821048</v>
      </c>
      <c r="GY30" s="13">
        <v>0.40683457534826845</v>
      </c>
      <c r="GZ30" s="13">
        <v>0.32071326462789707</v>
      </c>
      <c r="HA30" s="13">
        <v>0.14949349110527263</v>
      </c>
      <c r="HB30" s="11">
        <v>3.281184191988756E-3</v>
      </c>
      <c r="HC30" s="13">
        <v>0</v>
      </c>
      <c r="HD30" s="11">
        <v>2.7100051688915463E-3</v>
      </c>
      <c r="HE30" s="13">
        <v>0.18188909811966575</v>
      </c>
      <c r="HF30" s="13">
        <v>0.38283789322108225</v>
      </c>
      <c r="HG30" s="13">
        <v>0.48087346869624448</v>
      </c>
      <c r="HH30" s="13">
        <v>0.48222834485319849</v>
      </c>
      <c r="HI30" s="13">
        <v>0.45342781692810319</v>
      </c>
      <c r="HJ30" s="13">
        <v>0.36913061765891181</v>
      </c>
      <c r="HK30" s="13">
        <v>0.22837525001625664</v>
      </c>
      <c r="HL30" s="13">
        <v>5.5772123290063098E-2</v>
      </c>
      <c r="HM30" s="13">
        <v>0</v>
      </c>
      <c r="HN30" s="11">
        <v>6.6960394500461848E-5</v>
      </c>
      <c r="HO30" s="13">
        <v>0.16892726776195138</v>
      </c>
      <c r="HP30" s="13">
        <v>0.40636566037622024</v>
      </c>
      <c r="HQ30" s="13">
        <v>0.50198001121792712</v>
      </c>
      <c r="HR30" s="13">
        <v>0.49311202029617657</v>
      </c>
      <c r="HS30" s="13">
        <v>0.48148824124817535</v>
      </c>
      <c r="HT30" s="13">
        <v>0.42294082729332655</v>
      </c>
      <c r="HU30" s="13">
        <v>0.27892106079568385</v>
      </c>
      <c r="HV30" s="13">
        <v>6.1385427707588917E-2</v>
      </c>
      <c r="HW30" s="13">
        <v>0</v>
      </c>
      <c r="HX30" s="13">
        <v>0</v>
      </c>
      <c r="HY30" s="13">
        <v>1.712211404775053E-2</v>
      </c>
      <c r="HZ30" s="13">
        <v>0.17192398908236256</v>
      </c>
      <c r="IA30" s="13">
        <v>0.2948767569648183</v>
      </c>
      <c r="IB30" s="13">
        <v>0.31304698147213927</v>
      </c>
      <c r="IC30" s="13">
        <v>0.30333391800735959</v>
      </c>
      <c r="ID30" s="13">
        <v>0.21495698534185961</v>
      </c>
      <c r="IE30" s="13">
        <v>6.0976701057552471E-2</v>
      </c>
      <c r="IF30" s="11">
        <v>0</v>
      </c>
      <c r="IG30" s="13">
        <v>0</v>
      </c>
      <c r="IH30" s="13">
        <v>0</v>
      </c>
      <c r="II30" s="13">
        <v>0</v>
      </c>
      <c r="IJ30" s="13">
        <v>1.5533809759816622E-2</v>
      </c>
      <c r="IK30" s="13">
        <v>0.12119064831207421</v>
      </c>
      <c r="IL30" s="13">
        <v>0.15209876149228374</v>
      </c>
      <c r="IM30" s="13">
        <v>0.1470507168547755</v>
      </c>
      <c r="IN30" s="13">
        <v>4.0955080037390727E-2</v>
      </c>
      <c r="IO30" s="13">
        <v>0</v>
      </c>
      <c r="IP30" s="13">
        <v>0</v>
      </c>
      <c r="IQ30" s="13">
        <v>0</v>
      </c>
      <c r="IS30" s="9" t="s">
        <v>191</v>
      </c>
      <c r="IT30" s="9" t="s">
        <v>229</v>
      </c>
      <c r="IU30" s="9" t="s">
        <v>230</v>
      </c>
      <c r="IV30" s="13">
        <v>0.44376762970617961</v>
      </c>
    </row>
    <row r="31" spans="2:256" x14ac:dyDescent="0.45">
      <c r="B31" s="8" t="s">
        <v>192</v>
      </c>
      <c r="C31" s="8" t="s">
        <v>31</v>
      </c>
      <c r="D31" s="12">
        <v>0.38652115267099352</v>
      </c>
      <c r="E31" s="12">
        <v>0.39554756074758735</v>
      </c>
      <c r="F31" s="12">
        <v>0.37961876944740169</v>
      </c>
      <c r="G31" s="12">
        <v>0.38616403663775184</v>
      </c>
      <c r="H31" s="12">
        <v>0.39396138290848298</v>
      </c>
      <c r="I31" s="12">
        <v>0.40770606564661876</v>
      </c>
      <c r="J31" s="12">
        <v>0.38829663477997456</v>
      </c>
      <c r="K31" s="12">
        <v>0.37784715621199227</v>
      </c>
      <c r="L31" s="12">
        <v>0.37513992459199996</v>
      </c>
      <c r="M31" s="12">
        <v>0.38597645416127885</v>
      </c>
      <c r="N31" s="12">
        <v>0.32384865892340026</v>
      </c>
      <c r="O31" s="12">
        <v>0.31295345923340329</v>
      </c>
      <c r="P31" s="12">
        <v>0.33634414056532469</v>
      </c>
      <c r="Q31" s="12">
        <v>0.36065664115820822</v>
      </c>
      <c r="R31" s="12">
        <v>0.4062980087079785</v>
      </c>
      <c r="S31" s="12">
        <v>0.4020250144951833</v>
      </c>
      <c r="T31" s="12">
        <v>0.38446034915417532</v>
      </c>
      <c r="U31" s="12">
        <v>0.36955185723519757</v>
      </c>
      <c r="V31" s="12">
        <v>0.33726290419157001</v>
      </c>
      <c r="W31" s="12">
        <v>0.32862028324876802</v>
      </c>
      <c r="X31" s="12">
        <v>0.37152604321798155</v>
      </c>
      <c r="Y31" s="12">
        <v>0.38607623510340988</v>
      </c>
      <c r="Z31" s="12">
        <v>0.44896117963592447</v>
      </c>
      <c r="AA31" s="12">
        <v>0.45601055263076906</v>
      </c>
      <c r="AB31" s="12">
        <v>0.43172417886895614</v>
      </c>
      <c r="AC31" s="12">
        <v>0.40011237056982135</v>
      </c>
      <c r="AD31" s="12">
        <v>0.37902477308790555</v>
      </c>
      <c r="AE31" s="12">
        <v>0.38989849272473032</v>
      </c>
      <c r="AF31" s="12">
        <v>0.4086656700529851</v>
      </c>
      <c r="AG31" s="12">
        <v>0.3975551421965452</v>
      </c>
      <c r="AH31" s="12">
        <v>0.40816479208153356</v>
      </c>
      <c r="AI31" s="12">
        <v>0.39288335174134204</v>
      </c>
      <c r="AJ31" s="12">
        <v>0.47351236391307389</v>
      </c>
      <c r="AK31" s="12">
        <v>0.45967372895649006</v>
      </c>
      <c r="AL31" s="12">
        <v>0.47429133865258044</v>
      </c>
      <c r="AM31" s="12">
        <v>0.45527396318632068</v>
      </c>
      <c r="AN31" s="12">
        <v>0.42829024480967359</v>
      </c>
      <c r="AO31" s="12">
        <v>0.42160918707807932</v>
      </c>
      <c r="AP31" s="12">
        <v>0.40118430543259087</v>
      </c>
      <c r="AQ31" s="12">
        <v>0.40566661226506134</v>
      </c>
      <c r="AR31" s="12">
        <v>0.40897457527721981</v>
      </c>
      <c r="AS31" s="12">
        <v>0.42428460758196085</v>
      </c>
      <c r="AT31" s="12">
        <v>0.44172964077777621</v>
      </c>
      <c r="AU31" s="12">
        <v>0.45215169074413614</v>
      </c>
      <c r="AV31" s="12">
        <v>0.46267009960100025</v>
      </c>
      <c r="AW31" s="12">
        <v>0.45409319896269817</v>
      </c>
      <c r="AX31" s="12">
        <v>0.44033584889437166</v>
      </c>
      <c r="AY31" s="12">
        <v>0.38475659162250497</v>
      </c>
      <c r="AZ31" s="12">
        <v>0.34400411916646467</v>
      </c>
      <c r="BA31" s="12">
        <v>0.37035645987121807</v>
      </c>
      <c r="BB31" s="12">
        <v>0.28222615805458473</v>
      </c>
      <c r="BC31" s="12">
        <v>0.2854699158573954</v>
      </c>
      <c r="BD31" s="12">
        <v>0.27379139156971011</v>
      </c>
      <c r="BE31" s="12">
        <v>0.2732882295054701</v>
      </c>
      <c r="BF31" s="12">
        <v>0.30922009874935225</v>
      </c>
      <c r="BG31" s="12">
        <v>0.32354653786964971</v>
      </c>
      <c r="BH31" s="12">
        <v>0.32672572500815955</v>
      </c>
      <c r="BI31" s="12">
        <v>0.31167648742164794</v>
      </c>
      <c r="BJ31" s="12">
        <v>0.30418682104213657</v>
      </c>
      <c r="BK31" s="12">
        <v>0.28926746586664509</v>
      </c>
      <c r="GI31" s="8" t="s">
        <v>192</v>
      </c>
      <c r="GJ31" s="12">
        <v>0.32184424575344567</v>
      </c>
      <c r="GK31" s="12">
        <v>0.31346318722826311</v>
      </c>
      <c r="GL31" s="12">
        <v>0.32252795115653848</v>
      </c>
      <c r="GM31" s="12">
        <v>0.32229703293867334</v>
      </c>
      <c r="GN31" s="12">
        <v>0.29304574497068175</v>
      </c>
      <c r="GO31" s="12">
        <v>0.29625312443569901</v>
      </c>
      <c r="GP31" s="12">
        <v>0.30797725762659744</v>
      </c>
      <c r="GQ31" s="12">
        <v>0.34158735851647559</v>
      </c>
      <c r="GR31" s="12">
        <v>0.350179681560635</v>
      </c>
      <c r="GS31" s="12">
        <v>0.338807490653184</v>
      </c>
      <c r="GT31" s="12">
        <v>0.33618973714730943</v>
      </c>
      <c r="GU31" s="12">
        <v>0.33947962127823211</v>
      </c>
      <c r="GV31" s="12">
        <v>0.31168056139648126</v>
      </c>
      <c r="GW31" s="12">
        <v>0.28585833804954774</v>
      </c>
      <c r="GX31" s="12">
        <v>0.25576984585356799</v>
      </c>
      <c r="GY31" s="12">
        <v>0.27929819289376856</v>
      </c>
      <c r="GZ31" s="12">
        <v>0.30106238911775868</v>
      </c>
      <c r="HA31" s="12">
        <v>0.31902587395785414</v>
      </c>
      <c r="HB31" s="10">
        <v>0.33413015505117</v>
      </c>
      <c r="HC31" s="12">
        <v>0.33462815631142029</v>
      </c>
      <c r="HD31" s="10">
        <v>0.20379051374372101</v>
      </c>
      <c r="HE31" s="12">
        <v>0.19277690001362616</v>
      </c>
      <c r="HF31" s="12">
        <v>0.1559467871370912</v>
      </c>
      <c r="HG31" s="12">
        <v>0.15781031364219331</v>
      </c>
      <c r="HH31" s="12">
        <v>0.14598370401400532</v>
      </c>
      <c r="HI31" s="12">
        <v>0.16786296129658004</v>
      </c>
      <c r="HJ31" s="12">
        <v>0.17325634703327603</v>
      </c>
      <c r="HK31" s="12">
        <v>0.17918697285986579</v>
      </c>
      <c r="HL31" s="12">
        <v>0.19428207000329864</v>
      </c>
      <c r="HM31" s="12">
        <v>0.21544916376134435</v>
      </c>
      <c r="HN31" s="10">
        <v>0.16976501848184022</v>
      </c>
      <c r="HO31" s="12">
        <v>0.15604733295986664</v>
      </c>
      <c r="HP31" s="12">
        <v>0.15415763229292095</v>
      </c>
      <c r="HQ31" s="12">
        <v>0.16743898049118397</v>
      </c>
      <c r="HR31" s="12">
        <v>0.15671576916932631</v>
      </c>
      <c r="HS31" s="12">
        <v>0.19240158148135963</v>
      </c>
      <c r="HT31" s="12">
        <v>0.20789613787421771</v>
      </c>
      <c r="HU31" s="12">
        <v>0.18963760262972501</v>
      </c>
      <c r="HV31" s="12">
        <v>0.18068690791370576</v>
      </c>
      <c r="HW31" s="12">
        <v>0.17682136092696066</v>
      </c>
      <c r="HX31" s="12">
        <v>0.28737403024684072</v>
      </c>
      <c r="HY31" s="12">
        <v>0.27867925103162439</v>
      </c>
      <c r="HZ31" s="12">
        <v>0.2711411070951894</v>
      </c>
      <c r="IA31" s="12">
        <v>0.26937702109876926</v>
      </c>
      <c r="IB31" s="12">
        <v>0.26044347578050558</v>
      </c>
      <c r="IC31" s="12">
        <v>0.27795693498017193</v>
      </c>
      <c r="ID31" s="12">
        <v>0.30565588242019859</v>
      </c>
      <c r="IE31" s="12">
        <v>0.31860981567680952</v>
      </c>
      <c r="IF31" s="10">
        <v>0.32512597281894995</v>
      </c>
      <c r="IG31" s="12">
        <v>0.32248137292260809</v>
      </c>
      <c r="IH31" s="12">
        <v>0.49653488596821366</v>
      </c>
      <c r="II31" s="12">
        <v>0.49436285486066495</v>
      </c>
      <c r="IJ31" s="12">
        <v>0.48803180019228509</v>
      </c>
      <c r="IK31" s="12">
        <v>0.48601370190749676</v>
      </c>
      <c r="IL31" s="12">
        <v>0.46639208942130039</v>
      </c>
      <c r="IM31" s="12">
        <v>0.45484287828341952</v>
      </c>
      <c r="IN31" s="12">
        <v>0.46749608711834106</v>
      </c>
      <c r="IO31" s="12">
        <v>0.48514086249993987</v>
      </c>
      <c r="IP31" s="12">
        <v>0.4980917180843904</v>
      </c>
      <c r="IQ31" s="12">
        <v>0.50860579608700829</v>
      </c>
      <c r="IS31" s="8" t="s">
        <v>202</v>
      </c>
      <c r="IT31" s="8" t="s">
        <v>229</v>
      </c>
      <c r="IU31" s="8" t="s">
        <v>230</v>
      </c>
      <c r="IV31" s="12">
        <v>0.4859258609564876</v>
      </c>
    </row>
    <row r="32" spans="2:256" x14ac:dyDescent="0.45">
      <c r="B32" s="9" t="s">
        <v>193</v>
      </c>
      <c r="C32" s="9" t="s">
        <v>31</v>
      </c>
      <c r="D32" s="13">
        <v>0.34288462041276163</v>
      </c>
      <c r="E32" s="13">
        <v>0.35501961199842486</v>
      </c>
      <c r="F32" s="13">
        <v>0.34274834407498234</v>
      </c>
      <c r="G32" s="13">
        <v>0.32569488925032503</v>
      </c>
      <c r="H32" s="13">
        <v>0.33811330940477413</v>
      </c>
      <c r="I32" s="13">
        <v>0.34350153764467339</v>
      </c>
      <c r="J32" s="13">
        <v>0.32021667121256137</v>
      </c>
      <c r="K32" s="13">
        <v>0.30511495438455988</v>
      </c>
      <c r="L32" s="13">
        <v>0.30740248115696817</v>
      </c>
      <c r="M32" s="13">
        <v>0.32700881604833199</v>
      </c>
      <c r="N32" s="13">
        <v>0.2638160146132551</v>
      </c>
      <c r="O32" s="13">
        <v>0.28217401768147687</v>
      </c>
      <c r="P32" s="13">
        <v>0.2936198220736978</v>
      </c>
      <c r="Q32" s="13">
        <v>0.32329289849541043</v>
      </c>
      <c r="R32" s="13">
        <v>0.36394715481160927</v>
      </c>
      <c r="S32" s="13">
        <v>0.36078449708088911</v>
      </c>
      <c r="T32" s="13">
        <v>0.3300856394686143</v>
      </c>
      <c r="U32" s="13">
        <v>0.29605070101933595</v>
      </c>
      <c r="V32" s="13">
        <v>0.27641504091587482</v>
      </c>
      <c r="W32" s="13">
        <v>0.25934882192151432</v>
      </c>
      <c r="X32" s="13">
        <v>0.38294167644414789</v>
      </c>
      <c r="Y32" s="13">
        <v>0.36539085843334163</v>
      </c>
      <c r="Z32" s="13">
        <v>0.38740932387593618</v>
      </c>
      <c r="AA32" s="13">
        <v>0.39784879648715532</v>
      </c>
      <c r="AB32" s="13">
        <v>0.4008707510711928</v>
      </c>
      <c r="AC32" s="13">
        <v>0.41423674932879151</v>
      </c>
      <c r="AD32" s="13">
        <v>0.41205960618012027</v>
      </c>
      <c r="AE32" s="13">
        <v>0.41322602321348784</v>
      </c>
      <c r="AF32" s="13">
        <v>0.42117505563434149</v>
      </c>
      <c r="AG32" s="13">
        <v>0.43240504209534608</v>
      </c>
      <c r="AH32" s="13">
        <v>0.36895316413499996</v>
      </c>
      <c r="AI32" s="13">
        <v>0.37778956928333707</v>
      </c>
      <c r="AJ32" s="13">
        <v>0.39238114365181964</v>
      </c>
      <c r="AK32" s="13">
        <v>0.39966739613652452</v>
      </c>
      <c r="AL32" s="13">
        <v>0.4241053691962271</v>
      </c>
      <c r="AM32" s="13">
        <v>0.40555741990981153</v>
      </c>
      <c r="AN32" s="13">
        <v>0.36890400604553181</v>
      </c>
      <c r="AO32" s="13">
        <v>0.36216937754826661</v>
      </c>
      <c r="AP32" s="13">
        <v>0.36043699141952135</v>
      </c>
      <c r="AQ32" s="13">
        <v>0.38351475256101641</v>
      </c>
      <c r="AR32" s="13">
        <v>0.36945176288142761</v>
      </c>
      <c r="AS32" s="13">
        <v>0.37948306337894955</v>
      </c>
      <c r="AT32" s="13">
        <v>0.37833110337688736</v>
      </c>
      <c r="AU32" s="13">
        <v>0.36239123320436911</v>
      </c>
      <c r="AV32" s="13">
        <v>0.37568013265091865</v>
      </c>
      <c r="AW32" s="13">
        <v>0.39442909126642478</v>
      </c>
      <c r="AX32" s="13">
        <v>0.37511951974001528</v>
      </c>
      <c r="AY32" s="13">
        <v>0.34965444894584491</v>
      </c>
      <c r="AZ32" s="13">
        <v>0.32414111306622706</v>
      </c>
      <c r="BA32" s="13">
        <v>0.32815771184896508</v>
      </c>
      <c r="BB32" s="13">
        <v>0.24728661662887888</v>
      </c>
      <c r="BC32" s="13">
        <v>0.24245168533978398</v>
      </c>
      <c r="BD32" s="13">
        <v>0.21846882183079763</v>
      </c>
      <c r="BE32" s="13">
        <v>0.22307755641849525</v>
      </c>
      <c r="BF32" s="13">
        <v>0.24964746017113948</v>
      </c>
      <c r="BG32" s="13">
        <v>0.26065946120376904</v>
      </c>
      <c r="BH32" s="13">
        <v>0.26163009783689389</v>
      </c>
      <c r="BI32" s="13">
        <v>0.25048714327173299</v>
      </c>
      <c r="BJ32" s="13">
        <v>0.24958817809928879</v>
      </c>
      <c r="BK32" s="13">
        <v>0.24046241276683489</v>
      </c>
      <c r="GI32" s="9" t="s">
        <v>193</v>
      </c>
      <c r="GJ32" s="13">
        <v>0.48834918940311917</v>
      </c>
      <c r="GK32" s="13">
        <v>0.48724314992208123</v>
      </c>
      <c r="GL32" s="13">
        <v>0.49004656725260737</v>
      </c>
      <c r="GM32" s="13">
        <v>0.50461054153927787</v>
      </c>
      <c r="GN32" s="13">
        <v>0.50039517350489959</v>
      </c>
      <c r="GO32" s="13">
        <v>0.48667305388879939</v>
      </c>
      <c r="GP32" s="13">
        <v>0.50083298909764684</v>
      </c>
      <c r="GQ32" s="13">
        <v>0.52646256319870699</v>
      </c>
      <c r="GR32" s="13">
        <v>0.53214678980673369</v>
      </c>
      <c r="GS32" s="13">
        <v>0.51815135804838774</v>
      </c>
      <c r="GT32" s="13">
        <v>0.56234566015686416</v>
      </c>
      <c r="GU32" s="13">
        <v>0.55317275942184707</v>
      </c>
      <c r="GV32" s="13">
        <v>0.54346374701667366</v>
      </c>
      <c r="GW32" s="13">
        <v>0.52682356271323294</v>
      </c>
      <c r="GX32" s="13">
        <v>0.4528188958870113</v>
      </c>
      <c r="GY32" s="13">
        <v>0.46229960849411844</v>
      </c>
      <c r="GZ32" s="13">
        <v>0.50333117699342866</v>
      </c>
      <c r="HA32" s="13">
        <v>0.55255775156071485</v>
      </c>
      <c r="HB32" s="11">
        <v>0.59336357915274696</v>
      </c>
      <c r="HC32" s="13">
        <v>0.5954619465451807</v>
      </c>
      <c r="HD32" s="11">
        <v>0.38714847464323904</v>
      </c>
      <c r="HE32" s="13">
        <v>0.38825565163069103</v>
      </c>
      <c r="HF32" s="13">
        <v>0.37626467644692596</v>
      </c>
      <c r="HG32" s="13">
        <v>0.34932736491980404</v>
      </c>
      <c r="HH32" s="13">
        <v>0.29312058347203268</v>
      </c>
      <c r="HI32" s="13">
        <v>0.30213701883830307</v>
      </c>
      <c r="HJ32" s="13">
        <v>0.31828607871609849</v>
      </c>
      <c r="HK32" s="13">
        <v>0.32424029876606064</v>
      </c>
      <c r="HL32" s="13">
        <v>0.33799072424255094</v>
      </c>
      <c r="HM32" s="13">
        <v>0.35621039633545404</v>
      </c>
      <c r="HN32" s="11">
        <v>0.33255293342289066</v>
      </c>
      <c r="HO32" s="13">
        <v>0.31407648510440578</v>
      </c>
      <c r="HP32" s="13">
        <v>0.3208079486850734</v>
      </c>
      <c r="HQ32" s="13">
        <v>0.31822518733952287</v>
      </c>
      <c r="HR32" s="13">
        <v>0.30021174244404386</v>
      </c>
      <c r="HS32" s="13">
        <v>0.33259005296097865</v>
      </c>
      <c r="HT32" s="13">
        <v>0.37201232431027409</v>
      </c>
      <c r="HU32" s="13">
        <v>0.37748523214295493</v>
      </c>
      <c r="HV32" s="13">
        <v>0.36569330201328221</v>
      </c>
      <c r="HW32" s="13">
        <v>0.35525918538770102</v>
      </c>
      <c r="HX32" s="13">
        <v>0.43667475799387623</v>
      </c>
      <c r="HY32" s="13">
        <v>0.43995550916899701</v>
      </c>
      <c r="HZ32" s="13">
        <v>0.45212518841341248</v>
      </c>
      <c r="IA32" s="13">
        <v>0.46035004586809936</v>
      </c>
      <c r="IB32" s="13">
        <v>0.4409205538864206</v>
      </c>
      <c r="IC32" s="13">
        <v>0.44193110218847809</v>
      </c>
      <c r="ID32" s="13">
        <v>0.46529084046399072</v>
      </c>
      <c r="IE32" s="13">
        <v>0.49283055338707926</v>
      </c>
      <c r="IF32" s="11">
        <v>0.50942885703736618</v>
      </c>
      <c r="IG32" s="13">
        <v>0.49529451751096359</v>
      </c>
      <c r="IH32" s="13">
        <v>0.68634609588191531</v>
      </c>
      <c r="II32" s="13">
        <v>0.68115972584257733</v>
      </c>
      <c r="IJ32" s="13">
        <v>0.70100492614685184</v>
      </c>
      <c r="IK32" s="13">
        <v>0.70295332561207235</v>
      </c>
      <c r="IL32" s="13">
        <v>0.67100222338593862</v>
      </c>
      <c r="IM32" s="13">
        <v>0.65816805757793628</v>
      </c>
      <c r="IN32" s="13">
        <v>0.66407680470976982</v>
      </c>
      <c r="IO32" s="13">
        <v>0.68094969472347666</v>
      </c>
      <c r="IP32" s="13">
        <v>0.68017017572170457</v>
      </c>
      <c r="IQ32" s="13">
        <v>0.68811908733664884</v>
      </c>
      <c r="IS32" s="9" t="s">
        <v>203</v>
      </c>
      <c r="IT32" s="9" t="s">
        <v>229</v>
      </c>
      <c r="IU32" s="9" t="s">
        <v>230</v>
      </c>
      <c r="IV32" s="13">
        <v>0.45694563811015632</v>
      </c>
    </row>
    <row r="33" spans="2:256" x14ac:dyDescent="0.45">
      <c r="B33" s="8" t="s">
        <v>194</v>
      </c>
      <c r="C33" s="8" t="s">
        <v>31</v>
      </c>
      <c r="D33" s="12">
        <v>0.36147817860653414</v>
      </c>
      <c r="E33" s="12">
        <v>0.36700148161801194</v>
      </c>
      <c r="F33" s="12">
        <v>0.35613598846354116</v>
      </c>
      <c r="G33" s="12">
        <v>0.35073763952654896</v>
      </c>
      <c r="H33" s="12">
        <v>0.36606245679067084</v>
      </c>
      <c r="I33" s="12">
        <v>0.37843912133267082</v>
      </c>
      <c r="J33" s="12">
        <v>0.3541114447523499</v>
      </c>
      <c r="K33" s="12">
        <v>0.34232303716283224</v>
      </c>
      <c r="L33" s="12">
        <v>0.33418846237792738</v>
      </c>
      <c r="M33" s="12">
        <v>0.34561936677856753</v>
      </c>
      <c r="N33" s="12">
        <v>0.29021062050546259</v>
      </c>
      <c r="O33" s="12">
        <v>0.3005459631283024</v>
      </c>
      <c r="P33" s="12">
        <v>0.31637542552705328</v>
      </c>
      <c r="Q33" s="12">
        <v>0.33812695522654723</v>
      </c>
      <c r="R33" s="12">
        <v>0.38438309897568207</v>
      </c>
      <c r="S33" s="12">
        <v>0.37323131205252297</v>
      </c>
      <c r="T33" s="12">
        <v>0.34772208778954072</v>
      </c>
      <c r="U33" s="12">
        <v>0.31973928677168673</v>
      </c>
      <c r="V33" s="12">
        <v>0.30435931236717378</v>
      </c>
      <c r="W33" s="12">
        <v>0.29925042895877391</v>
      </c>
      <c r="X33" s="12">
        <v>0.37914448447815047</v>
      </c>
      <c r="Y33" s="12">
        <v>0.37414515347362998</v>
      </c>
      <c r="Z33" s="12">
        <v>0.41490580862418069</v>
      </c>
      <c r="AA33" s="12">
        <v>0.43146055564036351</v>
      </c>
      <c r="AB33" s="12">
        <v>0.41246532278271619</v>
      </c>
      <c r="AC33" s="12">
        <v>0.41134060062668831</v>
      </c>
      <c r="AD33" s="12">
        <v>0.39152620309577785</v>
      </c>
      <c r="AE33" s="12">
        <v>0.39237462802184248</v>
      </c>
      <c r="AF33" s="12">
        <v>0.42052440244498213</v>
      </c>
      <c r="AG33" s="12">
        <v>0.43146166813564457</v>
      </c>
      <c r="AH33" s="12">
        <v>0.39295411949248238</v>
      </c>
      <c r="AI33" s="12">
        <v>0.39487630544714902</v>
      </c>
      <c r="AJ33" s="12">
        <v>0.41487038401813808</v>
      </c>
      <c r="AK33" s="12">
        <v>0.41741383702481183</v>
      </c>
      <c r="AL33" s="12">
        <v>0.4424920371947495</v>
      </c>
      <c r="AM33" s="12">
        <v>0.42481256468929096</v>
      </c>
      <c r="AN33" s="12">
        <v>0.38179500351915102</v>
      </c>
      <c r="AO33" s="12">
        <v>0.38112454357641395</v>
      </c>
      <c r="AP33" s="12">
        <v>0.38280323143080819</v>
      </c>
      <c r="AQ33" s="12">
        <v>0.41244138493075111</v>
      </c>
      <c r="AR33" s="12">
        <v>0.39491827601808205</v>
      </c>
      <c r="AS33" s="12">
        <v>0.40953224690152878</v>
      </c>
      <c r="AT33" s="12">
        <v>0.41423519797777369</v>
      </c>
      <c r="AU33" s="12">
        <v>0.40801516481526617</v>
      </c>
      <c r="AV33" s="12">
        <v>0.41838527556296201</v>
      </c>
      <c r="AW33" s="12">
        <v>0.4166777851381927</v>
      </c>
      <c r="AX33" s="12">
        <v>0.39665988237364597</v>
      </c>
      <c r="AY33" s="12">
        <v>0.35778038026439135</v>
      </c>
      <c r="AZ33" s="12">
        <v>0.33463721592998724</v>
      </c>
      <c r="BA33" s="12">
        <v>0.35107759454973231</v>
      </c>
      <c r="BB33" s="12">
        <v>0.24601740045678225</v>
      </c>
      <c r="BC33" s="12">
        <v>0.24942536334350279</v>
      </c>
      <c r="BD33" s="12">
        <v>0.23243062316922303</v>
      </c>
      <c r="BE33" s="12">
        <v>0.23119172476024405</v>
      </c>
      <c r="BF33" s="12">
        <v>0.26381198415322166</v>
      </c>
      <c r="BG33" s="12">
        <v>0.27998521872888849</v>
      </c>
      <c r="BH33" s="12">
        <v>0.28185568319979004</v>
      </c>
      <c r="BI33" s="12">
        <v>0.26990566700753194</v>
      </c>
      <c r="BJ33" s="12">
        <v>0.26199608363680288</v>
      </c>
      <c r="BK33" s="12">
        <v>0.25343583169373757</v>
      </c>
      <c r="GI33" s="8" t="s">
        <v>194</v>
      </c>
      <c r="GJ33" s="12">
        <v>0.42107432156661784</v>
      </c>
      <c r="GK33" s="12">
        <v>0.41440242511082509</v>
      </c>
      <c r="GL33" s="12">
        <v>0.41647745893967819</v>
      </c>
      <c r="GM33" s="12">
        <v>0.42212777584210248</v>
      </c>
      <c r="GN33" s="12">
        <v>0.4028476583895173</v>
      </c>
      <c r="GO33" s="12">
        <v>0.40037658248129354</v>
      </c>
      <c r="GP33" s="12">
        <v>0.41920968500440237</v>
      </c>
      <c r="GQ33" s="12">
        <v>0.45294497655752669</v>
      </c>
      <c r="GR33" s="12">
        <v>0.46266284599035562</v>
      </c>
      <c r="GS33" s="12">
        <v>0.44980702642369214</v>
      </c>
      <c r="GT33" s="12">
        <v>0.46174681157841996</v>
      </c>
      <c r="GU33" s="12">
        <v>0.45922104377287942</v>
      </c>
      <c r="GV33" s="12">
        <v>0.44059092187359911</v>
      </c>
      <c r="GW33" s="12">
        <v>0.41716861295431318</v>
      </c>
      <c r="GX33" s="12">
        <v>0.35615736980094737</v>
      </c>
      <c r="GY33" s="12">
        <v>0.36749535155882262</v>
      </c>
      <c r="GZ33" s="12">
        <v>0.40813688376794277</v>
      </c>
      <c r="HA33" s="12">
        <v>0.44528765231006417</v>
      </c>
      <c r="HB33" s="10">
        <v>0.47000901140969292</v>
      </c>
      <c r="HC33" s="12">
        <v>0.47152490406302511</v>
      </c>
      <c r="HD33" s="10">
        <v>0.29351862995832334</v>
      </c>
      <c r="HE33" s="12">
        <v>0.29507080786398737</v>
      </c>
      <c r="HF33" s="12">
        <v>0.2657523002297898</v>
      </c>
      <c r="HG33" s="12">
        <v>0.24795413176826445</v>
      </c>
      <c r="HH33" s="12">
        <v>0.20922869063594851</v>
      </c>
      <c r="HI33" s="12">
        <v>0.2254366971734946</v>
      </c>
      <c r="HJ33" s="12">
        <v>0.23891290350374611</v>
      </c>
      <c r="HK33" s="12">
        <v>0.25090825669131123</v>
      </c>
      <c r="HL33" s="12">
        <v>0.26440579724333141</v>
      </c>
      <c r="HM33" s="12">
        <v>0.28598241586923384</v>
      </c>
      <c r="HN33" s="10">
        <v>0.2568039650353976</v>
      </c>
      <c r="HO33" s="12">
        <v>0.24234527798908995</v>
      </c>
      <c r="HP33" s="12">
        <v>0.24523403800624974</v>
      </c>
      <c r="HQ33" s="12">
        <v>0.25044158791665921</v>
      </c>
      <c r="HR33" s="12">
        <v>0.23313895476910959</v>
      </c>
      <c r="HS33" s="12">
        <v>0.26772624054287031</v>
      </c>
      <c r="HT33" s="12">
        <v>0.29982917439869494</v>
      </c>
      <c r="HU33" s="12">
        <v>0.29432802641663003</v>
      </c>
      <c r="HV33" s="12">
        <v>0.27972846964661008</v>
      </c>
      <c r="HW33" s="12">
        <v>0.27150158847174394</v>
      </c>
      <c r="HX33" s="12">
        <v>0.36910557521410592</v>
      </c>
      <c r="HY33" s="12">
        <v>0.3651024739127135</v>
      </c>
      <c r="HZ33" s="12">
        <v>0.36727505185230003</v>
      </c>
      <c r="IA33" s="12">
        <v>0.36843663607271748</v>
      </c>
      <c r="IB33" s="12">
        <v>0.35296637498872507</v>
      </c>
      <c r="IC33" s="12">
        <v>0.36588083540037697</v>
      </c>
      <c r="ID33" s="12">
        <v>0.39994642576536843</v>
      </c>
      <c r="IE33" s="12">
        <v>0.42352724194388836</v>
      </c>
      <c r="IF33" s="10">
        <v>0.43371604829657984</v>
      </c>
      <c r="IG33" s="12">
        <v>0.41757889412348015</v>
      </c>
      <c r="IH33" s="12">
        <v>0.615644764711897</v>
      </c>
      <c r="II33" s="12">
        <v>0.61180977571648676</v>
      </c>
      <c r="IJ33" s="12">
        <v>0.61862460983675871</v>
      </c>
      <c r="IK33" s="12">
        <v>0.61886259341832883</v>
      </c>
      <c r="IL33" s="12">
        <v>0.59049198147350623</v>
      </c>
      <c r="IM33" s="12">
        <v>0.57003200976198132</v>
      </c>
      <c r="IN33" s="12">
        <v>0.58107053710603473</v>
      </c>
      <c r="IO33" s="12">
        <v>0.59893819898965883</v>
      </c>
      <c r="IP33" s="12">
        <v>0.6068011412115687</v>
      </c>
      <c r="IQ33" s="12">
        <v>0.62020673540402915</v>
      </c>
      <c r="IS33" s="8" t="s">
        <v>204</v>
      </c>
      <c r="IT33" s="8" t="s">
        <v>229</v>
      </c>
      <c r="IU33" s="8" t="s">
        <v>230</v>
      </c>
      <c r="IV33" s="12">
        <v>0.4704844945291643</v>
      </c>
    </row>
    <row r="34" spans="2:256" x14ac:dyDescent="0.45">
      <c r="B34" s="9" t="s">
        <v>195</v>
      </c>
      <c r="C34" s="9" t="s">
        <v>31</v>
      </c>
      <c r="D34" s="13">
        <v>0.33895743179637072</v>
      </c>
      <c r="E34" s="13">
        <v>0.34914825128836197</v>
      </c>
      <c r="F34" s="13">
        <v>0.35446705149099167</v>
      </c>
      <c r="G34" s="13">
        <v>0.34309515799404378</v>
      </c>
      <c r="H34" s="13">
        <v>0.33847425674759368</v>
      </c>
      <c r="I34" s="13">
        <v>0.34326758579882621</v>
      </c>
      <c r="J34" s="13">
        <v>0.32237344894397196</v>
      </c>
      <c r="K34" s="13">
        <v>0.31369211730351465</v>
      </c>
      <c r="L34" s="13">
        <v>0.33377940971962111</v>
      </c>
      <c r="M34" s="13">
        <v>0.33096544334026251</v>
      </c>
      <c r="N34" s="13">
        <v>0.26623770340440195</v>
      </c>
      <c r="O34" s="13">
        <v>0.3081212935636603</v>
      </c>
      <c r="P34" s="13">
        <v>0.32097271854483705</v>
      </c>
      <c r="Q34" s="13">
        <v>0.31523245483958168</v>
      </c>
      <c r="R34" s="13">
        <v>0.3447903284563682</v>
      </c>
      <c r="S34" s="13">
        <v>0.33590662383291309</v>
      </c>
      <c r="T34" s="13">
        <v>0.29997378312235595</v>
      </c>
      <c r="U34" s="13">
        <v>0.26243438317153084</v>
      </c>
      <c r="V34" s="13">
        <v>0.23528926763213492</v>
      </c>
      <c r="W34" s="13">
        <v>0.22841333694993077</v>
      </c>
      <c r="X34" s="13">
        <v>0.32236829834509012</v>
      </c>
      <c r="Y34" s="13">
        <v>0.33794486377787836</v>
      </c>
      <c r="Z34" s="13">
        <v>0.36014818675940086</v>
      </c>
      <c r="AA34" s="13">
        <v>0.3712589461813906</v>
      </c>
      <c r="AB34" s="13">
        <v>0.3998289724780964</v>
      </c>
      <c r="AC34" s="13">
        <v>0.40366713634483686</v>
      </c>
      <c r="AD34" s="13">
        <v>0.39310424619720646</v>
      </c>
      <c r="AE34" s="13">
        <v>0.37690378461938673</v>
      </c>
      <c r="AF34" s="13">
        <v>0.38536378292413809</v>
      </c>
      <c r="AG34" s="13">
        <v>0.3594904431386956</v>
      </c>
      <c r="AH34" s="13">
        <v>0.32541015659877737</v>
      </c>
      <c r="AI34" s="13">
        <v>0.33865961780116954</v>
      </c>
      <c r="AJ34" s="13">
        <v>0.36027569868808557</v>
      </c>
      <c r="AK34" s="13">
        <v>0.36037306420508874</v>
      </c>
      <c r="AL34" s="13">
        <v>0.37662348897510156</v>
      </c>
      <c r="AM34" s="13">
        <v>0.37620975645521282</v>
      </c>
      <c r="AN34" s="13">
        <v>0.37873954547796052</v>
      </c>
      <c r="AO34" s="13">
        <v>0.38163276216505088</v>
      </c>
      <c r="AP34" s="13">
        <v>0.36831572776764498</v>
      </c>
      <c r="AQ34" s="13">
        <v>0.3571028449627634</v>
      </c>
      <c r="AR34" s="13">
        <v>0.3451733403703085</v>
      </c>
      <c r="AS34" s="13">
        <v>0.3337673205018668</v>
      </c>
      <c r="AT34" s="13">
        <v>0.32965882971862576</v>
      </c>
      <c r="AU34" s="13">
        <v>0.33835605242352229</v>
      </c>
      <c r="AV34" s="13">
        <v>0.35933569386422398</v>
      </c>
      <c r="AW34" s="13">
        <v>0.37346989131864777</v>
      </c>
      <c r="AX34" s="13">
        <v>0.37623496110863375</v>
      </c>
      <c r="AY34" s="13">
        <v>0.36252362679135186</v>
      </c>
      <c r="AZ34" s="13">
        <v>0.34418997983210825</v>
      </c>
      <c r="BA34" s="13">
        <v>0.35695334384674887</v>
      </c>
      <c r="BB34" s="13">
        <v>0.25229928504271687</v>
      </c>
      <c r="BC34" s="13">
        <v>0.23551035412727578</v>
      </c>
      <c r="BD34" s="13">
        <v>0.23756535820315028</v>
      </c>
      <c r="BE34" s="13">
        <v>0.25493450428963377</v>
      </c>
      <c r="BF34" s="13">
        <v>0.24724559253178216</v>
      </c>
      <c r="BG34" s="13">
        <v>0.23636863500257976</v>
      </c>
      <c r="BH34" s="13">
        <v>0.2335987339253679</v>
      </c>
      <c r="BI34" s="13">
        <v>0.25610462112555676</v>
      </c>
      <c r="BJ34" s="13">
        <v>0.25706018451239981</v>
      </c>
      <c r="BK34" s="13">
        <v>0.2623387394575239</v>
      </c>
      <c r="GI34" s="9" t="s">
        <v>195</v>
      </c>
      <c r="GJ34" s="13">
        <v>0.49113661649797313</v>
      </c>
      <c r="GK34" s="13">
        <v>0.51055406141095405</v>
      </c>
      <c r="GL34" s="13">
        <v>0.52381488703176682</v>
      </c>
      <c r="GM34" s="13">
        <v>0.53163159953421435</v>
      </c>
      <c r="GN34" s="13">
        <v>0.5312927507113494</v>
      </c>
      <c r="GO34" s="13">
        <v>0.51463753913484234</v>
      </c>
      <c r="GP34" s="13">
        <v>0.52254722985260105</v>
      </c>
      <c r="GQ34" s="13">
        <v>0.53910784958926272</v>
      </c>
      <c r="GR34" s="13">
        <v>0.53275463823672986</v>
      </c>
      <c r="GS34" s="13">
        <v>0.51245638080293066</v>
      </c>
      <c r="GT34" s="13">
        <v>0.60850181751250898</v>
      </c>
      <c r="GU34" s="13">
        <v>0.56734843458543049</v>
      </c>
      <c r="GV34" s="13">
        <v>0.56152504162295436</v>
      </c>
      <c r="GW34" s="13">
        <v>0.56222117999394838</v>
      </c>
      <c r="GX34" s="13">
        <v>0.5302570926903587</v>
      </c>
      <c r="GY34" s="13">
        <v>0.53762769617525918</v>
      </c>
      <c r="GZ34" s="13">
        <v>0.56879224226583158</v>
      </c>
      <c r="HA34" s="13">
        <v>0.61274294595919709</v>
      </c>
      <c r="HB34" s="11">
        <v>0.64708013900233396</v>
      </c>
      <c r="HC34" s="13">
        <v>0.63988844822319713</v>
      </c>
      <c r="HD34" s="11">
        <v>0.47453279886811167</v>
      </c>
      <c r="HE34" s="13">
        <v>0.44669176980750691</v>
      </c>
      <c r="HF34" s="13">
        <v>0.43549099808474384</v>
      </c>
      <c r="HG34" s="13">
        <v>0.42185003071326144</v>
      </c>
      <c r="HH34" s="13">
        <v>0.39308245412142623</v>
      </c>
      <c r="HI34" s="13">
        <v>0.40231773946014665</v>
      </c>
      <c r="HJ34" s="13">
        <v>0.41226079970075313</v>
      </c>
      <c r="HK34" s="13">
        <v>0.40953624695614094</v>
      </c>
      <c r="HL34" s="13">
        <v>0.4127504152860354</v>
      </c>
      <c r="HM34" s="13">
        <v>0.44623231480660824</v>
      </c>
      <c r="HN34" s="11">
        <v>0.3587682786303224</v>
      </c>
      <c r="HO34" s="13">
        <v>0.35071592438062721</v>
      </c>
      <c r="HP34" s="13">
        <v>0.33043808099359856</v>
      </c>
      <c r="HQ34" s="13">
        <v>0.34734571893447191</v>
      </c>
      <c r="HR34" s="13">
        <v>0.321094770382016</v>
      </c>
      <c r="HS34" s="13">
        <v>0.35458799583949563</v>
      </c>
      <c r="HT34" s="13">
        <v>0.3632055480771616</v>
      </c>
      <c r="HU34" s="13">
        <v>0.36251815250167324</v>
      </c>
      <c r="HV34" s="13">
        <v>0.36203261421436467</v>
      </c>
      <c r="HW34" s="13">
        <v>0.38772474180221045</v>
      </c>
      <c r="HX34" s="13">
        <v>0.50388545793027861</v>
      </c>
      <c r="HY34" s="13">
        <v>0.49317532884929277</v>
      </c>
      <c r="HZ34" s="13">
        <v>0.51073802475460695</v>
      </c>
      <c r="IA34" s="13">
        <v>0.52164600780216086</v>
      </c>
      <c r="IB34" s="13">
        <v>0.49521024652903489</v>
      </c>
      <c r="IC34" s="13">
        <v>0.48406982552524358</v>
      </c>
      <c r="ID34" s="13">
        <v>0.4879024590939105</v>
      </c>
      <c r="IE34" s="13">
        <v>0.4941615974758698</v>
      </c>
      <c r="IF34" s="11">
        <v>0.50701534971588647</v>
      </c>
      <c r="IG34" s="13">
        <v>0.51463166413479566</v>
      </c>
      <c r="IH34" s="13">
        <v>0.68219611595950347</v>
      </c>
      <c r="II34" s="13">
        <v>0.70065094785448001</v>
      </c>
      <c r="IJ34" s="13">
        <v>0.69140325430928129</v>
      </c>
      <c r="IK34" s="13">
        <v>0.68848239406800227</v>
      </c>
      <c r="IL34" s="13">
        <v>0.70429890914131277</v>
      </c>
      <c r="IM34" s="13">
        <v>0.70408711907528587</v>
      </c>
      <c r="IN34" s="13">
        <v>0.70165637791556845</v>
      </c>
      <c r="IO34" s="13">
        <v>0.69007072533710834</v>
      </c>
      <c r="IP34" s="13">
        <v>0.68921464829342982</v>
      </c>
      <c r="IQ34" s="13">
        <v>0.68084020891973873</v>
      </c>
      <c r="IS34" s="9" t="s">
        <v>205</v>
      </c>
      <c r="IT34" s="9" t="s">
        <v>229</v>
      </c>
      <c r="IU34" s="9" t="s">
        <v>230</v>
      </c>
      <c r="IV34" s="13">
        <v>0.50662802569419607</v>
      </c>
    </row>
    <row r="35" spans="2:256" x14ac:dyDescent="0.45">
      <c r="B35" s="8" t="s">
        <v>196</v>
      </c>
      <c r="C35" s="8" t="s">
        <v>31</v>
      </c>
      <c r="D35" s="12">
        <v>0.34882434260011924</v>
      </c>
      <c r="E35" s="12">
        <v>0.34878918709686796</v>
      </c>
      <c r="F35" s="12">
        <v>0.34274215315006645</v>
      </c>
      <c r="G35" s="12">
        <v>0.33549494657767637</v>
      </c>
      <c r="H35" s="12">
        <v>0.32362904408134635</v>
      </c>
      <c r="I35" s="12">
        <v>0.32729550958460346</v>
      </c>
      <c r="J35" s="12">
        <v>0.31683841018906345</v>
      </c>
      <c r="K35" s="12">
        <v>0.31200319702479262</v>
      </c>
      <c r="L35" s="12">
        <v>0.33036194028380228</v>
      </c>
      <c r="M35" s="12">
        <v>0.34375106384660042</v>
      </c>
      <c r="N35" s="12">
        <v>0.25747824779537065</v>
      </c>
      <c r="O35" s="12">
        <v>0.28646150418021343</v>
      </c>
      <c r="P35" s="12">
        <v>0.31054490154823705</v>
      </c>
      <c r="Q35" s="12">
        <v>0.33418297902157273</v>
      </c>
      <c r="R35" s="12">
        <v>0.3609323184448876</v>
      </c>
      <c r="S35" s="12">
        <v>0.36942714908283969</v>
      </c>
      <c r="T35" s="12">
        <v>0.32795886719027117</v>
      </c>
      <c r="U35" s="12">
        <v>0.28588137441666456</v>
      </c>
      <c r="V35" s="12">
        <v>0.24700421995722086</v>
      </c>
      <c r="W35" s="12">
        <v>0.23951116534167916</v>
      </c>
      <c r="X35" s="12">
        <v>0.35907579893771102</v>
      </c>
      <c r="Y35" s="12">
        <v>0.36266469445394367</v>
      </c>
      <c r="Z35" s="12">
        <v>0.36845845836269131</v>
      </c>
      <c r="AA35" s="12">
        <v>0.37178343349345039</v>
      </c>
      <c r="AB35" s="12">
        <v>0.39024472463155258</v>
      </c>
      <c r="AC35" s="12">
        <v>0.39826816632829221</v>
      </c>
      <c r="AD35" s="12">
        <v>0.40323380132913361</v>
      </c>
      <c r="AE35" s="12">
        <v>0.40782918016346942</v>
      </c>
      <c r="AF35" s="12">
        <v>0.41852885687924507</v>
      </c>
      <c r="AG35" s="12">
        <v>0.40146767064251004</v>
      </c>
      <c r="AH35" s="12">
        <v>0.34606590231527107</v>
      </c>
      <c r="AI35" s="12">
        <v>0.35096162410594189</v>
      </c>
      <c r="AJ35" s="12">
        <v>0.39213250041842657</v>
      </c>
      <c r="AK35" s="12">
        <v>0.41568204250462293</v>
      </c>
      <c r="AL35" s="12">
        <v>0.42378879274558645</v>
      </c>
      <c r="AM35" s="12">
        <v>0.4134123117868464</v>
      </c>
      <c r="AN35" s="12">
        <v>0.40477642854975865</v>
      </c>
      <c r="AO35" s="12">
        <v>0.37426178641191982</v>
      </c>
      <c r="AP35" s="12">
        <v>0.35274958435971726</v>
      </c>
      <c r="AQ35" s="12">
        <v>0.35318915098852</v>
      </c>
      <c r="AR35" s="12">
        <v>0.35998912903368713</v>
      </c>
      <c r="AS35" s="12">
        <v>0.34505509720945049</v>
      </c>
      <c r="AT35" s="12">
        <v>0.35000224132952079</v>
      </c>
      <c r="AU35" s="12">
        <v>0.33690556369149322</v>
      </c>
      <c r="AV35" s="12">
        <v>0.34473190650561802</v>
      </c>
      <c r="AW35" s="12">
        <v>0.36116408451941556</v>
      </c>
      <c r="AX35" s="12">
        <v>0.35284113169074771</v>
      </c>
      <c r="AY35" s="12">
        <v>0.34008717444100439</v>
      </c>
      <c r="AZ35" s="12">
        <v>0.3211532059056848</v>
      </c>
      <c r="BA35" s="12">
        <v>0.33549980986348349</v>
      </c>
      <c r="BB35" s="12">
        <v>0.25831039658087701</v>
      </c>
      <c r="BC35" s="12">
        <v>0.24233009144424922</v>
      </c>
      <c r="BD35" s="12">
        <v>0.2312784139191372</v>
      </c>
      <c r="BE35" s="12">
        <v>0.23172854567169532</v>
      </c>
      <c r="BF35" s="12">
        <v>0.2465833440814536</v>
      </c>
      <c r="BG35" s="12">
        <v>0.25379940754828045</v>
      </c>
      <c r="BH35" s="12">
        <v>0.25170783161350835</v>
      </c>
      <c r="BI35" s="12">
        <v>0.25481382543682662</v>
      </c>
      <c r="BJ35" s="12">
        <v>0.25891794601816825</v>
      </c>
      <c r="BK35" s="12">
        <v>0.25459977440755516</v>
      </c>
      <c r="GI35" s="8" t="s">
        <v>196</v>
      </c>
      <c r="GJ35" s="12">
        <v>0.49801371137324674</v>
      </c>
      <c r="GK35" s="12">
        <v>0.49812411116548372</v>
      </c>
      <c r="GL35" s="12">
        <v>0.51231162365938054</v>
      </c>
      <c r="GM35" s="12">
        <v>0.52866752731436428</v>
      </c>
      <c r="GN35" s="12">
        <v>0.53264553135682302</v>
      </c>
      <c r="GO35" s="12">
        <v>0.51292242147734246</v>
      </c>
      <c r="GP35" s="12">
        <v>0.51136398267630878</v>
      </c>
      <c r="GQ35" s="12">
        <v>0.5218551494020891</v>
      </c>
      <c r="GR35" s="12">
        <v>0.52901231751602373</v>
      </c>
      <c r="GS35" s="12">
        <v>0.51688324155555598</v>
      </c>
      <c r="GT35" s="12">
        <v>0.59789612907290468</v>
      </c>
      <c r="GU35" s="12">
        <v>0.56884768175209699</v>
      </c>
      <c r="GV35" s="12">
        <v>0.55760548156406831</v>
      </c>
      <c r="GW35" s="12">
        <v>0.55122442369585511</v>
      </c>
      <c r="GX35" s="12">
        <v>0.50997986389082417</v>
      </c>
      <c r="GY35" s="12">
        <v>0.51777990177021127</v>
      </c>
      <c r="GZ35" s="12">
        <v>0.54651635928145614</v>
      </c>
      <c r="HA35" s="12">
        <v>0.58644368142098979</v>
      </c>
      <c r="HB35" s="10">
        <v>0.63460732070945003</v>
      </c>
      <c r="HC35" s="12">
        <v>0.63683523618634874</v>
      </c>
      <c r="HD35" s="10">
        <v>0.42696494117794193</v>
      </c>
      <c r="HE35" s="12">
        <v>0.39790373937013612</v>
      </c>
      <c r="HF35" s="12">
        <v>0.40205486738203794</v>
      </c>
      <c r="HG35" s="12">
        <v>0.39876010095742104</v>
      </c>
      <c r="HH35" s="12">
        <v>0.35628448413104297</v>
      </c>
      <c r="HI35" s="12">
        <v>0.37674011994532264</v>
      </c>
      <c r="HJ35" s="12">
        <v>0.39332302558695692</v>
      </c>
      <c r="HK35" s="12">
        <v>0.38670628708183791</v>
      </c>
      <c r="HL35" s="12">
        <v>0.39523632191486319</v>
      </c>
      <c r="HM35" s="12">
        <v>0.40996895069186107</v>
      </c>
      <c r="HN35" s="10">
        <v>0.34418746872311279</v>
      </c>
      <c r="HO35" s="12">
        <v>0.33203312949238362</v>
      </c>
      <c r="HP35" s="12">
        <v>0.32578783224221142</v>
      </c>
      <c r="HQ35" s="12">
        <v>0.32417830962979721</v>
      </c>
      <c r="HR35" s="12">
        <v>0.3171021324685766</v>
      </c>
      <c r="HS35" s="12">
        <v>0.36118100696933431</v>
      </c>
      <c r="HT35" s="12">
        <v>0.3988898012388718</v>
      </c>
      <c r="HU35" s="12">
        <v>0.38244994367583179</v>
      </c>
      <c r="HV35" s="12">
        <v>0.36232882232876168</v>
      </c>
      <c r="HW35" s="12">
        <v>0.36615760682972787</v>
      </c>
      <c r="HX35" s="12">
        <v>0.4694289538295221</v>
      </c>
      <c r="HY35" s="12">
        <v>0.48252931107554298</v>
      </c>
      <c r="HZ35" s="12">
        <v>0.49882371736843673</v>
      </c>
      <c r="IA35" s="12">
        <v>0.51411376287978516</v>
      </c>
      <c r="IB35" s="12">
        <v>0.49660247068249952</v>
      </c>
      <c r="IC35" s="12">
        <v>0.48832046698060599</v>
      </c>
      <c r="ID35" s="12">
        <v>0.50053326002957299</v>
      </c>
      <c r="IE35" s="12">
        <v>0.51568515585500063</v>
      </c>
      <c r="IF35" s="10">
        <v>0.52181433464987248</v>
      </c>
      <c r="IG35" s="12">
        <v>0.50894112268298608</v>
      </c>
      <c r="IH35" s="12">
        <v>0.68943126633559981</v>
      </c>
      <c r="II35" s="12">
        <v>0.69627717415823787</v>
      </c>
      <c r="IJ35" s="12">
        <v>0.70799902686638394</v>
      </c>
      <c r="IK35" s="12">
        <v>0.70506050340512194</v>
      </c>
      <c r="IL35" s="12">
        <v>0.6966881234901906</v>
      </c>
      <c r="IM35" s="12">
        <v>0.68900578307312044</v>
      </c>
      <c r="IN35" s="12">
        <v>0.68308448905551711</v>
      </c>
      <c r="IO35" s="12">
        <v>0.69292823596515196</v>
      </c>
      <c r="IP35" s="12">
        <v>0.68346744792792935</v>
      </c>
      <c r="IQ35" s="12">
        <v>0.68598361387773732</v>
      </c>
      <c r="IS35" s="8" t="s">
        <v>206</v>
      </c>
      <c r="IT35" s="8" t="s">
        <v>229</v>
      </c>
      <c r="IU35" s="8" t="s">
        <v>230</v>
      </c>
      <c r="IV35" s="12">
        <v>0.50392090887966079</v>
      </c>
    </row>
    <row r="36" spans="2:256" x14ac:dyDescent="0.45">
      <c r="B36" s="9" t="s">
        <v>197</v>
      </c>
      <c r="C36" s="9" t="s">
        <v>31</v>
      </c>
      <c r="D36" s="13">
        <v>0.34652154615656983</v>
      </c>
      <c r="E36" s="13">
        <v>0.36465085167261008</v>
      </c>
      <c r="F36" s="13">
        <v>0.36589909248859193</v>
      </c>
      <c r="G36" s="13">
        <v>0.35258671169653044</v>
      </c>
      <c r="H36" s="13">
        <v>0.34097252009072748</v>
      </c>
      <c r="I36" s="13">
        <v>0.33645245177299754</v>
      </c>
      <c r="J36" s="13">
        <v>0.32388792805765704</v>
      </c>
      <c r="K36" s="13">
        <v>0.31295924112467571</v>
      </c>
      <c r="L36" s="13">
        <v>0.32223110544899602</v>
      </c>
      <c r="M36" s="13">
        <v>0.3306999410241373</v>
      </c>
      <c r="N36" s="13">
        <v>0.27045878357152348</v>
      </c>
      <c r="O36" s="13">
        <v>0.30024839611726056</v>
      </c>
      <c r="P36" s="13">
        <v>0.31965557599340472</v>
      </c>
      <c r="Q36" s="13">
        <v>0.32516325031952287</v>
      </c>
      <c r="R36" s="13">
        <v>0.34019653937218264</v>
      </c>
      <c r="S36" s="13">
        <v>0.33640313477880568</v>
      </c>
      <c r="T36" s="13">
        <v>0.30681953033578563</v>
      </c>
      <c r="U36" s="13">
        <v>0.28589592099305483</v>
      </c>
      <c r="V36" s="13">
        <v>0.26261883167728378</v>
      </c>
      <c r="W36" s="13">
        <v>0.25352392562766618</v>
      </c>
      <c r="X36" s="13">
        <v>0.32989064371137233</v>
      </c>
      <c r="Y36" s="13">
        <v>0.35288678493365028</v>
      </c>
      <c r="Z36" s="13">
        <v>0.37130300546005202</v>
      </c>
      <c r="AA36" s="13">
        <v>0.38595794484860418</v>
      </c>
      <c r="AB36" s="13">
        <v>0.41606157677516847</v>
      </c>
      <c r="AC36" s="13">
        <v>0.4170507731352443</v>
      </c>
      <c r="AD36" s="13">
        <v>0.42016366586025361</v>
      </c>
      <c r="AE36" s="13">
        <v>0.44043577216669239</v>
      </c>
      <c r="AF36" s="13">
        <v>0.43821725259756933</v>
      </c>
      <c r="AG36" s="13">
        <v>0.3850551850100426</v>
      </c>
      <c r="AH36" s="13">
        <v>0.3462842319051031</v>
      </c>
      <c r="AI36" s="13">
        <v>0.34476661994855329</v>
      </c>
      <c r="AJ36" s="13">
        <v>0.37569525612105076</v>
      </c>
      <c r="AK36" s="13">
        <v>0.39630075465462422</v>
      </c>
      <c r="AL36" s="13">
        <v>0.40821045094632563</v>
      </c>
      <c r="AM36" s="13">
        <v>0.37460229270045642</v>
      </c>
      <c r="AN36" s="13">
        <v>0.35571217422683477</v>
      </c>
      <c r="AO36" s="13">
        <v>0.36913036003736488</v>
      </c>
      <c r="AP36" s="13">
        <v>0.3657902453744496</v>
      </c>
      <c r="AQ36" s="13">
        <v>0.36609244321281581</v>
      </c>
      <c r="AR36" s="13">
        <v>0.3637441811455992</v>
      </c>
      <c r="AS36" s="13">
        <v>0.3585550445451966</v>
      </c>
      <c r="AT36" s="13">
        <v>0.35671052388596097</v>
      </c>
      <c r="AU36" s="13">
        <v>0.35299013088833375</v>
      </c>
      <c r="AV36" s="13">
        <v>0.36414556952761457</v>
      </c>
      <c r="AW36" s="13">
        <v>0.37199670975255467</v>
      </c>
      <c r="AX36" s="13">
        <v>0.36235964736294479</v>
      </c>
      <c r="AY36" s="13">
        <v>0.35123191872379766</v>
      </c>
      <c r="AZ36" s="13">
        <v>0.33260163646257401</v>
      </c>
      <c r="BA36" s="13">
        <v>0.34277663959277199</v>
      </c>
      <c r="BB36" s="13">
        <v>0.26098465024162887</v>
      </c>
      <c r="BC36" s="13">
        <v>0.24638403111186377</v>
      </c>
      <c r="BD36" s="13">
        <v>0.23037367302162493</v>
      </c>
      <c r="BE36" s="13">
        <v>0.22954590340158088</v>
      </c>
      <c r="BF36" s="13">
        <v>0.25611790054603395</v>
      </c>
      <c r="BG36" s="13">
        <v>0.26321446549608118</v>
      </c>
      <c r="BH36" s="13">
        <v>0.26829976640524755</v>
      </c>
      <c r="BI36" s="13">
        <v>0.26525404162207716</v>
      </c>
      <c r="BJ36" s="13">
        <v>0.25351405253770382</v>
      </c>
      <c r="BK36" s="13">
        <v>0.25924378846552576</v>
      </c>
      <c r="GI36" s="9" t="s">
        <v>197</v>
      </c>
      <c r="GJ36" s="13">
        <v>0.47138017805616528</v>
      </c>
      <c r="GK36" s="13">
        <v>0.48091109317427921</v>
      </c>
      <c r="GL36" s="13">
        <v>0.49677949625344697</v>
      </c>
      <c r="GM36" s="13">
        <v>0.51050500375391628</v>
      </c>
      <c r="GN36" s="13">
        <v>0.50729967803086051</v>
      </c>
      <c r="GO36" s="13">
        <v>0.49450908769749075</v>
      </c>
      <c r="GP36" s="13">
        <v>0.5041751028974617</v>
      </c>
      <c r="GQ36" s="13">
        <v>0.52468657232111904</v>
      </c>
      <c r="GR36" s="13">
        <v>0.52992440534506435</v>
      </c>
      <c r="GS36" s="13">
        <v>0.50935480595554528</v>
      </c>
      <c r="GT36" s="13">
        <v>0.56326896660498427</v>
      </c>
      <c r="GU36" s="13">
        <v>0.53542327110430354</v>
      </c>
      <c r="GV36" s="13">
        <v>0.5332896534911471</v>
      </c>
      <c r="GW36" s="13">
        <v>0.53073804337127573</v>
      </c>
      <c r="GX36" s="13">
        <v>0.49330261491895078</v>
      </c>
      <c r="GY36" s="13">
        <v>0.49990243368592113</v>
      </c>
      <c r="GZ36" s="13">
        <v>0.52395884650893432</v>
      </c>
      <c r="HA36" s="13">
        <v>0.55788089023474885</v>
      </c>
      <c r="HB36" s="11">
        <v>0.58943860896739708</v>
      </c>
      <c r="HC36" s="13">
        <v>0.59266656723540811</v>
      </c>
      <c r="HD36" s="11">
        <v>0.40227121855948123</v>
      </c>
      <c r="HE36" s="13">
        <v>0.37679248379008751</v>
      </c>
      <c r="HF36" s="13">
        <v>0.36827844890398653</v>
      </c>
      <c r="HG36" s="13">
        <v>0.36198916405048259</v>
      </c>
      <c r="HH36" s="13">
        <v>0.32922233394534145</v>
      </c>
      <c r="HI36" s="13">
        <v>0.35411834915324125</v>
      </c>
      <c r="HJ36" s="13">
        <v>0.36232361664714469</v>
      </c>
      <c r="HK36" s="13">
        <v>0.34781253168101711</v>
      </c>
      <c r="HL36" s="13">
        <v>0.34467922879663154</v>
      </c>
      <c r="HM36" s="13">
        <v>0.38178222690148589</v>
      </c>
      <c r="HN36" s="11">
        <v>0.32714101671755552</v>
      </c>
      <c r="HO36" s="13">
        <v>0.32800023675312578</v>
      </c>
      <c r="HP36" s="13">
        <v>0.31835572542734025</v>
      </c>
      <c r="HQ36" s="13">
        <v>0.32161315678206903</v>
      </c>
      <c r="HR36" s="13">
        <v>0.31075898724459033</v>
      </c>
      <c r="HS36" s="13">
        <v>0.35578898622263277</v>
      </c>
      <c r="HT36" s="13">
        <v>0.37423468504753066</v>
      </c>
      <c r="HU36" s="13">
        <v>0.34779921417424409</v>
      </c>
      <c r="HV36" s="13">
        <v>0.33063893116352311</v>
      </c>
      <c r="HW36" s="13">
        <v>0.33187909740333488</v>
      </c>
      <c r="HX36" s="13">
        <v>0.4485444191399886</v>
      </c>
      <c r="HY36" s="13">
        <v>0.4516564015140147</v>
      </c>
      <c r="HZ36" s="13">
        <v>0.45847496582211317</v>
      </c>
      <c r="IA36" s="13">
        <v>0.46809081710795875</v>
      </c>
      <c r="IB36" s="13">
        <v>0.45182419560597381</v>
      </c>
      <c r="IC36" s="13">
        <v>0.45079047504945163</v>
      </c>
      <c r="ID36" s="13">
        <v>0.46717811844846796</v>
      </c>
      <c r="IE36" s="13">
        <v>0.47673294309226272</v>
      </c>
      <c r="IF36" s="11">
        <v>0.48382839552481383</v>
      </c>
      <c r="IG36" s="13">
        <v>0.48133675002163429</v>
      </c>
      <c r="IH36" s="13">
        <v>0.66960417660565663</v>
      </c>
      <c r="II36" s="13">
        <v>0.67590389427070385</v>
      </c>
      <c r="IJ36" s="13">
        <v>0.68915601073802613</v>
      </c>
      <c r="IK36" s="13">
        <v>0.68084274946443368</v>
      </c>
      <c r="IL36" s="13">
        <v>0.67247127762024028</v>
      </c>
      <c r="IM36" s="13">
        <v>0.65994683978295121</v>
      </c>
      <c r="IN36" s="13">
        <v>0.66216954586738253</v>
      </c>
      <c r="IO36" s="13">
        <v>0.66730718531315802</v>
      </c>
      <c r="IP36" s="13">
        <v>0.66882163573677278</v>
      </c>
      <c r="IQ36" s="13">
        <v>0.66877288918476485</v>
      </c>
      <c r="IS36" s="9" t="s">
        <v>207</v>
      </c>
      <c r="IT36" s="9" t="s">
        <v>229</v>
      </c>
      <c r="IU36" s="9" t="s">
        <v>230</v>
      </c>
      <c r="IV36" s="13">
        <v>0.4996022054043493</v>
      </c>
    </row>
    <row r="37" spans="2:256" x14ac:dyDescent="0.45">
      <c r="B37" s="8" t="s">
        <v>198</v>
      </c>
      <c r="C37" s="8" t="s">
        <v>31</v>
      </c>
      <c r="D37" s="12">
        <v>0.37744724646761368</v>
      </c>
      <c r="E37" s="12">
        <v>0.37681929742552789</v>
      </c>
      <c r="F37" s="12">
        <v>0.37131752703745419</v>
      </c>
      <c r="G37" s="12">
        <v>0.3623187352608716</v>
      </c>
      <c r="H37" s="12">
        <v>0.37139820458592093</v>
      </c>
      <c r="I37" s="12">
        <v>0.36832920798572305</v>
      </c>
      <c r="J37" s="12">
        <v>0.36413140258991505</v>
      </c>
      <c r="K37" s="12">
        <v>0.34889098745291192</v>
      </c>
      <c r="L37" s="12">
        <v>0.34072119255161176</v>
      </c>
      <c r="M37" s="12">
        <v>0.36039960309474006</v>
      </c>
      <c r="N37" s="12">
        <v>0.31240386851931617</v>
      </c>
      <c r="O37" s="12">
        <v>0.32531928177163927</v>
      </c>
      <c r="P37" s="12">
        <v>0.33993428675656312</v>
      </c>
      <c r="Q37" s="12">
        <v>0.35541337109402787</v>
      </c>
      <c r="R37" s="12">
        <v>0.35255482350448358</v>
      </c>
      <c r="S37" s="12">
        <v>0.35389106050807156</v>
      </c>
      <c r="T37" s="12">
        <v>0.33443022641882758</v>
      </c>
      <c r="U37" s="12">
        <v>0.31696887973682714</v>
      </c>
      <c r="V37" s="12">
        <v>0.28929618762968484</v>
      </c>
      <c r="W37" s="12">
        <v>0.27518921219150855</v>
      </c>
      <c r="X37" s="12">
        <v>0.38589347545387537</v>
      </c>
      <c r="Y37" s="12">
        <v>0.38775148509374735</v>
      </c>
      <c r="Z37" s="12">
        <v>0.41804565784109149</v>
      </c>
      <c r="AA37" s="12">
        <v>0.42198489540512135</v>
      </c>
      <c r="AB37" s="12">
        <v>0.44119136083042715</v>
      </c>
      <c r="AC37" s="12">
        <v>0.42967273833190833</v>
      </c>
      <c r="AD37" s="12">
        <v>0.43496221643043392</v>
      </c>
      <c r="AE37" s="12">
        <v>0.43770382387443491</v>
      </c>
      <c r="AF37" s="12">
        <v>0.42749012871425385</v>
      </c>
      <c r="AG37" s="12">
        <v>0.39322877078094687</v>
      </c>
      <c r="AH37" s="12">
        <v>0.3958031298540618</v>
      </c>
      <c r="AI37" s="12">
        <v>0.40669125403662215</v>
      </c>
      <c r="AJ37" s="12">
        <v>0.42306603945288068</v>
      </c>
      <c r="AK37" s="12">
        <v>0.41602395341985593</v>
      </c>
      <c r="AL37" s="12">
        <v>0.44533658386005837</v>
      </c>
      <c r="AM37" s="12">
        <v>0.43815828840983684</v>
      </c>
      <c r="AN37" s="12">
        <v>0.42018206447602152</v>
      </c>
      <c r="AO37" s="12">
        <v>0.42146392560342449</v>
      </c>
      <c r="AP37" s="12">
        <v>0.39803057116951135</v>
      </c>
      <c r="AQ37" s="12">
        <v>0.36359183430895303</v>
      </c>
      <c r="AR37" s="12">
        <v>0.35141143751089576</v>
      </c>
      <c r="AS37" s="12">
        <v>0.35036280674106368</v>
      </c>
      <c r="AT37" s="12">
        <v>0.35684712464116547</v>
      </c>
      <c r="AU37" s="12">
        <v>0.3909734774545518</v>
      </c>
      <c r="AV37" s="12">
        <v>0.40878652599189458</v>
      </c>
      <c r="AW37" s="12">
        <v>0.40249695362465554</v>
      </c>
      <c r="AX37" s="12">
        <v>0.38067931696594171</v>
      </c>
      <c r="AY37" s="12">
        <v>0.35040386513901944</v>
      </c>
      <c r="AZ37" s="12">
        <v>0.3317657215689877</v>
      </c>
      <c r="BA37" s="12">
        <v>0.33358647304235534</v>
      </c>
      <c r="BB37" s="12">
        <v>0.25731283835095786</v>
      </c>
      <c r="BC37" s="12">
        <v>0.24466312660350256</v>
      </c>
      <c r="BD37" s="12">
        <v>0.25608990806846271</v>
      </c>
      <c r="BE37" s="12">
        <v>0.26533283933523061</v>
      </c>
      <c r="BF37" s="12">
        <v>0.26878044874782592</v>
      </c>
      <c r="BG37" s="12">
        <v>0.29243636156245412</v>
      </c>
      <c r="BH37" s="12">
        <v>0.28859573583116738</v>
      </c>
      <c r="BI37" s="12">
        <v>0.2663666483314619</v>
      </c>
      <c r="BJ37" s="12">
        <v>0.26874599151784934</v>
      </c>
      <c r="BK37" s="12">
        <v>0.26687165347531189</v>
      </c>
      <c r="GI37" s="8" t="s">
        <v>198</v>
      </c>
      <c r="GJ37" s="12">
        <v>0.36858485707869126</v>
      </c>
      <c r="GK37" s="12">
        <v>0.37588594367724631</v>
      </c>
      <c r="GL37" s="12">
        <v>0.39291529323485264</v>
      </c>
      <c r="GM37" s="12">
        <v>0.39294983152788676</v>
      </c>
      <c r="GN37" s="12">
        <v>0.40418684070226402</v>
      </c>
      <c r="GO37" s="12">
        <v>0.41624503342046865</v>
      </c>
      <c r="GP37" s="12">
        <v>0.42564962954099256</v>
      </c>
      <c r="GQ37" s="12">
        <v>0.44201387841704726</v>
      </c>
      <c r="GR37" s="12">
        <v>0.44457652938644743</v>
      </c>
      <c r="GS37" s="12">
        <v>0.40041752116263318</v>
      </c>
      <c r="GT37" s="12">
        <v>0.40532942397141741</v>
      </c>
      <c r="GU37" s="12">
        <v>0.39868981373983475</v>
      </c>
      <c r="GV37" s="12">
        <v>0.39199814612187672</v>
      </c>
      <c r="GW37" s="12">
        <v>0.38773117288818704</v>
      </c>
      <c r="GX37" s="12">
        <v>0.36573481052644236</v>
      </c>
      <c r="GY37" s="12">
        <v>0.38237272571729825</v>
      </c>
      <c r="GZ37" s="12">
        <v>0.39263078729550144</v>
      </c>
      <c r="HA37" s="12">
        <v>0.41616852384819342</v>
      </c>
      <c r="HB37" s="10">
        <v>0.43561905267371948</v>
      </c>
      <c r="HC37" s="12">
        <v>0.42122986261475454</v>
      </c>
      <c r="HD37" s="10">
        <v>0.30417201592576482</v>
      </c>
      <c r="HE37" s="12">
        <v>0.28875791475424978</v>
      </c>
      <c r="HF37" s="12">
        <v>0.27889321637997355</v>
      </c>
      <c r="HG37" s="12">
        <v>0.28101947443202674</v>
      </c>
      <c r="HH37" s="12">
        <v>0.27052195168950738</v>
      </c>
      <c r="HI37" s="12">
        <v>0.27698414221649731</v>
      </c>
      <c r="HJ37" s="12">
        <v>0.27356634142664493</v>
      </c>
      <c r="HK37" s="12">
        <v>0.27127677206190198</v>
      </c>
      <c r="HL37" s="12">
        <v>0.27961075474687291</v>
      </c>
      <c r="HM37" s="12">
        <v>0.30422899119739327</v>
      </c>
      <c r="HN37" s="10">
        <v>0.2435662947037126</v>
      </c>
      <c r="HO37" s="12">
        <v>0.24235009091543136</v>
      </c>
      <c r="HP37" s="12">
        <v>0.23156264370560709</v>
      </c>
      <c r="HQ37" s="12">
        <v>0.24289549188603299</v>
      </c>
      <c r="HR37" s="12">
        <v>0.22486911676777419</v>
      </c>
      <c r="HS37" s="12">
        <v>0.23091496520410279</v>
      </c>
      <c r="HT37" s="12">
        <v>0.25059981093503264</v>
      </c>
      <c r="HU37" s="12">
        <v>0.26052950207240366</v>
      </c>
      <c r="HV37" s="12">
        <v>0.27645294834413792</v>
      </c>
      <c r="HW37" s="12">
        <v>0.27398531920551483</v>
      </c>
      <c r="HX37" s="12">
        <v>0.3769710086013745</v>
      </c>
      <c r="HY37" s="12">
        <v>0.35812904117712546</v>
      </c>
      <c r="HZ37" s="12">
        <v>0.37196359739655577</v>
      </c>
      <c r="IA37" s="12">
        <v>0.37945999976095118</v>
      </c>
      <c r="IB37" s="12">
        <v>0.37312325770662469</v>
      </c>
      <c r="IC37" s="12">
        <v>0.3671058920039536</v>
      </c>
      <c r="ID37" s="12">
        <v>0.37367874508467025</v>
      </c>
      <c r="IE37" s="12">
        <v>0.40936660302573119</v>
      </c>
      <c r="IF37" s="10">
        <v>0.43822713519111267</v>
      </c>
      <c r="IG37" s="12">
        <v>0.42809942925813488</v>
      </c>
      <c r="IH37" s="12">
        <v>0.54411201102739737</v>
      </c>
      <c r="II37" s="12">
        <v>0.55209613134104096</v>
      </c>
      <c r="IJ37" s="12">
        <v>0.56681598951462409</v>
      </c>
      <c r="IK37" s="12">
        <v>0.56429612531685358</v>
      </c>
      <c r="IL37" s="12">
        <v>0.56134797124782299</v>
      </c>
      <c r="IM37" s="12">
        <v>0.55161805608803827</v>
      </c>
      <c r="IN37" s="12">
        <v>0.54781071958528604</v>
      </c>
      <c r="IO37" s="12">
        <v>0.56476662653779564</v>
      </c>
      <c r="IP37" s="12">
        <v>0.56828454710066145</v>
      </c>
      <c r="IQ37" s="12">
        <v>0.56627204722756386</v>
      </c>
      <c r="IS37" s="8" t="s">
        <v>208</v>
      </c>
      <c r="IT37" s="8" t="s">
        <v>229</v>
      </c>
      <c r="IU37" s="8" t="s">
        <v>230</v>
      </c>
      <c r="IV37" s="12">
        <v>0.5031418818285478</v>
      </c>
    </row>
    <row r="38" spans="2:256" x14ac:dyDescent="0.45">
      <c r="B38" s="9" t="s">
        <v>199</v>
      </c>
      <c r="C38" s="9" t="s">
        <v>31</v>
      </c>
      <c r="D38" s="13">
        <v>0.33629883581408826</v>
      </c>
      <c r="E38" s="13">
        <v>0.34866088709546983</v>
      </c>
      <c r="F38" s="13">
        <v>0.34279123497577413</v>
      </c>
      <c r="G38" s="13">
        <v>0.34916101982991526</v>
      </c>
      <c r="H38" s="13">
        <v>0.33739731482469287</v>
      </c>
      <c r="I38" s="13">
        <v>0.33896004623812009</v>
      </c>
      <c r="J38" s="13">
        <v>0.33546653795637327</v>
      </c>
      <c r="K38" s="13">
        <v>0.31852808690198392</v>
      </c>
      <c r="L38" s="13">
        <v>0.30817604723462733</v>
      </c>
      <c r="M38" s="13">
        <v>0.31097175617371853</v>
      </c>
      <c r="N38" s="13">
        <v>0.27768846352835619</v>
      </c>
      <c r="O38" s="13">
        <v>0.29898925483273542</v>
      </c>
      <c r="P38" s="13">
        <v>0.2994587924330338</v>
      </c>
      <c r="Q38" s="13">
        <v>0.29629799894183673</v>
      </c>
      <c r="R38" s="13">
        <v>0.31698398198644129</v>
      </c>
      <c r="S38" s="13">
        <v>0.31820047579552951</v>
      </c>
      <c r="T38" s="13">
        <v>0.30816538093122103</v>
      </c>
      <c r="U38" s="13">
        <v>0.29895794125495634</v>
      </c>
      <c r="V38" s="13">
        <v>0.27578561594959078</v>
      </c>
      <c r="W38" s="13">
        <v>0.24550152087763166</v>
      </c>
      <c r="X38" s="13">
        <v>0.37204747143300354</v>
      </c>
      <c r="Y38" s="13">
        <v>0.38176117833327211</v>
      </c>
      <c r="Z38" s="13">
        <v>0.4020230960129077</v>
      </c>
      <c r="AA38" s="13">
        <v>0.40436222606647237</v>
      </c>
      <c r="AB38" s="13">
        <v>0.41932624760195236</v>
      </c>
      <c r="AC38" s="13">
        <v>0.42795689672695364</v>
      </c>
      <c r="AD38" s="13">
        <v>0.43790111967792872</v>
      </c>
      <c r="AE38" s="13">
        <v>0.4342363975713891</v>
      </c>
      <c r="AF38" s="13">
        <v>0.4174681817902221</v>
      </c>
      <c r="AG38" s="13">
        <v>0.38398452137092437</v>
      </c>
      <c r="AH38" s="13">
        <v>0.38775567902624686</v>
      </c>
      <c r="AI38" s="13">
        <v>0.39457323674171568</v>
      </c>
      <c r="AJ38" s="13">
        <v>0.38705005044030533</v>
      </c>
      <c r="AK38" s="13">
        <v>0.39307969184233998</v>
      </c>
      <c r="AL38" s="13">
        <v>0.44215184667619095</v>
      </c>
      <c r="AM38" s="13">
        <v>0.43561849824818305</v>
      </c>
      <c r="AN38" s="13">
        <v>0.40889015316075306</v>
      </c>
      <c r="AO38" s="13">
        <v>0.38289002824327806</v>
      </c>
      <c r="AP38" s="13">
        <v>0.36030304138321534</v>
      </c>
      <c r="AQ38" s="13">
        <v>0.3386770707684304</v>
      </c>
      <c r="AR38" s="13">
        <v>0.33068795593012201</v>
      </c>
      <c r="AS38" s="13">
        <v>0.34811175712506154</v>
      </c>
      <c r="AT38" s="13">
        <v>0.35752340598621873</v>
      </c>
      <c r="AU38" s="13">
        <v>0.36165192128153201</v>
      </c>
      <c r="AV38" s="13">
        <v>0.38457508511355093</v>
      </c>
      <c r="AW38" s="13">
        <v>0.38842150218755045</v>
      </c>
      <c r="AX38" s="13">
        <v>0.35363499088119793</v>
      </c>
      <c r="AY38" s="13">
        <v>0.31534596756077621</v>
      </c>
      <c r="AZ38" s="13">
        <v>0.30307899251558934</v>
      </c>
      <c r="BA38" s="13">
        <v>0.31266865177531744</v>
      </c>
      <c r="BB38" s="13">
        <v>0.23865170304903491</v>
      </c>
      <c r="BC38" s="13">
        <v>0.2386116121521332</v>
      </c>
      <c r="BD38" s="13">
        <v>0.23180107281972309</v>
      </c>
      <c r="BE38" s="13">
        <v>0.24667524769920945</v>
      </c>
      <c r="BF38" s="13">
        <v>0.23576178413190868</v>
      </c>
      <c r="BG38" s="13">
        <v>0.25192046259011841</v>
      </c>
      <c r="BH38" s="13">
        <v>0.24822115201926151</v>
      </c>
      <c r="BI38" s="13">
        <v>0.23606850839899066</v>
      </c>
      <c r="BJ38" s="13">
        <v>0.25073844387585703</v>
      </c>
      <c r="BK38" s="13">
        <v>0.25041345619226563</v>
      </c>
      <c r="GI38" s="9" t="s">
        <v>199</v>
      </c>
      <c r="GJ38" s="13">
        <v>0.50067501070814069</v>
      </c>
      <c r="GK38" s="13">
        <v>0.49621149374613027</v>
      </c>
      <c r="GL38" s="13">
        <v>0.51458759680626354</v>
      </c>
      <c r="GM38" s="13">
        <v>0.51162193382677701</v>
      </c>
      <c r="GN38" s="13">
        <v>0.5280759648946598</v>
      </c>
      <c r="GO38" s="13">
        <v>0.54337769941758562</v>
      </c>
      <c r="GP38" s="13">
        <v>0.55653392857112294</v>
      </c>
      <c r="GQ38" s="13">
        <v>0.57774279225750258</v>
      </c>
      <c r="GR38" s="13">
        <v>0.58165843636351489</v>
      </c>
      <c r="GS38" s="13">
        <v>0.539615964337404</v>
      </c>
      <c r="GT38" s="13">
        <v>0.5612613600355657</v>
      </c>
      <c r="GU38" s="13">
        <v>0.53226378332255941</v>
      </c>
      <c r="GV38" s="13">
        <v>0.53332817160489099</v>
      </c>
      <c r="GW38" s="13">
        <v>0.54139953742109848</v>
      </c>
      <c r="GX38" s="13">
        <v>0.5205655643435636</v>
      </c>
      <c r="GY38" s="13">
        <v>0.52979617990399785</v>
      </c>
      <c r="GZ38" s="13">
        <v>0.55368205645663227</v>
      </c>
      <c r="HA38" s="13">
        <v>0.58970857946005151</v>
      </c>
      <c r="HB38" s="11">
        <v>0.60735171454730452</v>
      </c>
      <c r="HC38" s="13">
        <v>0.59929136405836436</v>
      </c>
      <c r="HD38" s="11">
        <v>0.43423990893069658</v>
      </c>
      <c r="HE38" s="13">
        <v>0.41202327560193658</v>
      </c>
      <c r="HF38" s="13">
        <v>0.41242969059515533</v>
      </c>
      <c r="HG38" s="13">
        <v>0.39632148325914407</v>
      </c>
      <c r="HH38" s="13">
        <v>0.36666475893843853</v>
      </c>
      <c r="HI38" s="13">
        <v>0.36296547318723749</v>
      </c>
      <c r="HJ38" s="13">
        <v>0.35991992113667459</v>
      </c>
      <c r="HK38" s="13">
        <v>0.36995025196329751</v>
      </c>
      <c r="HL38" s="13">
        <v>0.39236266685692395</v>
      </c>
      <c r="HM38" s="13">
        <v>0.42345480113458339</v>
      </c>
      <c r="HN38" s="11">
        <v>0.34412048530824557</v>
      </c>
      <c r="HO38" s="13">
        <v>0.32817663124046365</v>
      </c>
      <c r="HP38" s="13">
        <v>0.33063339495131849</v>
      </c>
      <c r="HQ38" s="13">
        <v>0.3360917812905509</v>
      </c>
      <c r="HR38" s="13">
        <v>0.3059683061246663</v>
      </c>
      <c r="HS38" s="13">
        <v>0.32043479171107853</v>
      </c>
      <c r="HT38" s="13">
        <v>0.36324185770602363</v>
      </c>
      <c r="HU38" s="13">
        <v>0.40723624415474052</v>
      </c>
      <c r="HV38" s="13">
        <v>0.43904618294704706</v>
      </c>
      <c r="HW38" s="13">
        <v>0.41237344933287245</v>
      </c>
      <c r="HX38" s="13">
        <v>0.47527549569599192</v>
      </c>
      <c r="HY38" s="13">
        <v>0.44770193098019245</v>
      </c>
      <c r="HZ38" s="13">
        <v>0.46538750916143135</v>
      </c>
      <c r="IA38" s="13">
        <v>0.47770612383603511</v>
      </c>
      <c r="IB38" s="13">
        <v>0.46619470704585891</v>
      </c>
      <c r="IC38" s="13">
        <v>0.46458836408080306</v>
      </c>
      <c r="ID38" s="13">
        <v>0.47606267409466785</v>
      </c>
      <c r="IE38" s="13">
        <v>0.51642149762394163</v>
      </c>
      <c r="IF38" s="11">
        <v>0.54589708640906243</v>
      </c>
      <c r="IG38" s="13">
        <v>0.52955308006598079</v>
      </c>
      <c r="IH38" s="13">
        <v>0.65865012953399016</v>
      </c>
      <c r="II38" s="13">
        <v>0.66398124510728929</v>
      </c>
      <c r="IJ38" s="13">
        <v>0.67336981985624234</v>
      </c>
      <c r="IK38" s="13">
        <v>0.6666695061363993</v>
      </c>
      <c r="IL38" s="13">
        <v>0.68045189912991888</v>
      </c>
      <c r="IM38" s="13">
        <v>0.66554430039101542</v>
      </c>
      <c r="IN38" s="13">
        <v>0.65989331853971733</v>
      </c>
      <c r="IO38" s="13">
        <v>0.67831779027654693</v>
      </c>
      <c r="IP38" s="13">
        <v>0.67989099237104311</v>
      </c>
      <c r="IQ38" s="13">
        <v>0.67565364489159629</v>
      </c>
      <c r="IS38" s="9" t="s">
        <v>209</v>
      </c>
      <c r="IT38" s="9" t="s">
        <v>229</v>
      </c>
      <c r="IU38" s="9" t="s">
        <v>230</v>
      </c>
      <c r="IV38" s="13">
        <v>0.53223163677334051</v>
      </c>
    </row>
    <row r="39" spans="2:256" x14ac:dyDescent="0.45">
      <c r="B39" s="8" t="s">
        <v>200</v>
      </c>
      <c r="C39" s="8" t="s">
        <v>31</v>
      </c>
      <c r="D39" s="12">
        <v>0.33148769907152514</v>
      </c>
      <c r="E39" s="12">
        <v>0.34518718469452575</v>
      </c>
      <c r="F39" s="12">
        <v>0.35262701735850233</v>
      </c>
      <c r="G39" s="12">
        <v>0.34247220215495483</v>
      </c>
      <c r="H39" s="12">
        <v>0.34029852508298591</v>
      </c>
      <c r="I39" s="12">
        <v>0.34214418823753107</v>
      </c>
      <c r="J39" s="12">
        <v>0.32547573184209649</v>
      </c>
      <c r="K39" s="12">
        <v>0.31466213069057308</v>
      </c>
      <c r="L39" s="12">
        <v>0.31120487281322262</v>
      </c>
      <c r="M39" s="12">
        <v>0.30689162453482377</v>
      </c>
      <c r="N39" s="12">
        <v>0.269440256809231</v>
      </c>
      <c r="O39" s="12">
        <v>0.30601666327053412</v>
      </c>
      <c r="P39" s="12">
        <v>0.31432305966881596</v>
      </c>
      <c r="Q39" s="12">
        <v>0.29993956118020598</v>
      </c>
      <c r="R39" s="12">
        <v>0.31601561317664206</v>
      </c>
      <c r="S39" s="12">
        <v>0.30979004574701691</v>
      </c>
      <c r="T39" s="12">
        <v>0.29136327378931459</v>
      </c>
      <c r="U39" s="12">
        <v>0.27240211077287396</v>
      </c>
      <c r="V39" s="12">
        <v>0.24288975064787716</v>
      </c>
      <c r="W39" s="12">
        <v>0.23674348607328832</v>
      </c>
      <c r="X39" s="12">
        <v>0.33057869822509406</v>
      </c>
      <c r="Y39" s="12">
        <v>0.34705428462656013</v>
      </c>
      <c r="Z39" s="12">
        <v>0.36782997356513336</v>
      </c>
      <c r="AA39" s="12">
        <v>0.38066270197156271</v>
      </c>
      <c r="AB39" s="12">
        <v>0.41975912331346243</v>
      </c>
      <c r="AC39" s="12">
        <v>0.42582373086746861</v>
      </c>
      <c r="AD39" s="12">
        <v>0.41638707561371147</v>
      </c>
      <c r="AE39" s="12">
        <v>0.41400773842182209</v>
      </c>
      <c r="AF39" s="12">
        <v>0.40623811770187296</v>
      </c>
      <c r="AG39" s="12">
        <v>0.37473896939472934</v>
      </c>
      <c r="AH39" s="12">
        <v>0.3403272938937697</v>
      </c>
      <c r="AI39" s="12">
        <v>0.35953116417022729</v>
      </c>
      <c r="AJ39" s="12">
        <v>0.35675153290207617</v>
      </c>
      <c r="AK39" s="12">
        <v>0.36266996478727376</v>
      </c>
      <c r="AL39" s="12">
        <v>0.38425074765093209</v>
      </c>
      <c r="AM39" s="12">
        <v>0.37399879022976262</v>
      </c>
      <c r="AN39" s="12">
        <v>0.38163549533524282</v>
      </c>
      <c r="AO39" s="12">
        <v>0.38457082213681693</v>
      </c>
      <c r="AP39" s="12">
        <v>0.3819583944699218</v>
      </c>
      <c r="AQ39" s="12">
        <v>0.36856878378672941</v>
      </c>
      <c r="AR39" s="12">
        <v>0.3303065611663053</v>
      </c>
      <c r="AS39" s="12">
        <v>0.33915666017518276</v>
      </c>
      <c r="AT39" s="12">
        <v>0.34047095302299163</v>
      </c>
      <c r="AU39" s="12">
        <v>0.35802810114825134</v>
      </c>
      <c r="AV39" s="12">
        <v>0.37535031756975423</v>
      </c>
      <c r="AW39" s="12">
        <v>0.3838724303963294</v>
      </c>
      <c r="AX39" s="12">
        <v>0.35784473108052312</v>
      </c>
      <c r="AY39" s="12">
        <v>0.32853188462269928</v>
      </c>
      <c r="AZ39" s="12">
        <v>0.31881699987253365</v>
      </c>
      <c r="BA39" s="12">
        <v>0.3342248272814346</v>
      </c>
      <c r="BB39" s="12">
        <v>0.24680953525008439</v>
      </c>
      <c r="BC39" s="12">
        <v>0.23074927648424509</v>
      </c>
      <c r="BD39" s="12">
        <v>0.23129745939789972</v>
      </c>
      <c r="BE39" s="12">
        <v>0.25053576988435905</v>
      </c>
      <c r="BF39" s="12">
        <v>0.23690074896160257</v>
      </c>
      <c r="BG39" s="12">
        <v>0.24073945720764456</v>
      </c>
      <c r="BH39" s="12">
        <v>0.24179801470777046</v>
      </c>
      <c r="BI39" s="12">
        <v>0.2495085147344196</v>
      </c>
      <c r="BJ39" s="12">
        <v>0.25278801071599788</v>
      </c>
      <c r="BK39" s="12">
        <v>0.25708891378750354</v>
      </c>
      <c r="GI39" s="8" t="s">
        <v>200</v>
      </c>
      <c r="GJ39" s="12">
        <v>0.49186753992611293</v>
      </c>
      <c r="GK39" s="12">
        <v>0.51240129246933919</v>
      </c>
      <c r="GL39" s="12">
        <v>0.52582635839663949</v>
      </c>
      <c r="GM39" s="12">
        <v>0.5257196209514069</v>
      </c>
      <c r="GN39" s="12">
        <v>0.53432451898379485</v>
      </c>
      <c r="GO39" s="12">
        <v>0.52989389346441107</v>
      </c>
      <c r="GP39" s="12">
        <v>0.55001320359358452</v>
      </c>
      <c r="GQ39" s="12">
        <v>0.56588729644462898</v>
      </c>
      <c r="GR39" s="12">
        <v>0.56180609401309844</v>
      </c>
      <c r="GS39" s="12">
        <v>0.52738190198018653</v>
      </c>
      <c r="GT39" s="12">
        <v>0.59333629786641573</v>
      </c>
      <c r="GU39" s="12">
        <v>0.55646037664059644</v>
      </c>
      <c r="GV39" s="12">
        <v>0.55754595738089308</v>
      </c>
      <c r="GW39" s="12">
        <v>0.56301781899183934</v>
      </c>
      <c r="GX39" s="12">
        <v>0.54547121747997518</v>
      </c>
      <c r="GY39" s="12">
        <v>0.54934870619764631</v>
      </c>
      <c r="GZ39" s="12">
        <v>0.57598024134497472</v>
      </c>
      <c r="HA39" s="12">
        <v>0.60682898915372341</v>
      </c>
      <c r="HB39" s="10">
        <v>0.63235309231302428</v>
      </c>
      <c r="HC39" s="12">
        <v>0.62567314150570918</v>
      </c>
      <c r="HD39" s="10">
        <v>0.46235169684894362</v>
      </c>
      <c r="HE39" s="12">
        <v>0.43815528186439212</v>
      </c>
      <c r="HF39" s="12">
        <v>0.4299620503898946</v>
      </c>
      <c r="HG39" s="12">
        <v>0.41192213882918677</v>
      </c>
      <c r="HH39" s="12">
        <v>0.37565173247441253</v>
      </c>
      <c r="HI39" s="12">
        <v>0.3774944005677594</v>
      </c>
      <c r="HJ39" s="12">
        <v>0.38519482461944565</v>
      </c>
      <c r="HK39" s="12">
        <v>0.37745136971319554</v>
      </c>
      <c r="HL39" s="12">
        <v>0.38469038152557122</v>
      </c>
      <c r="HM39" s="12">
        <v>0.42964603896283388</v>
      </c>
      <c r="HN39" s="10">
        <v>0.35953182020844632</v>
      </c>
      <c r="HO39" s="12">
        <v>0.33727579760925186</v>
      </c>
      <c r="HP39" s="12">
        <v>0.33400909732189465</v>
      </c>
      <c r="HQ39" s="12">
        <v>0.34331512755698945</v>
      </c>
      <c r="HR39" s="12">
        <v>0.30919754479518019</v>
      </c>
      <c r="HS39" s="12">
        <v>0.33780593189755143</v>
      </c>
      <c r="HT39" s="12">
        <v>0.35619799236000316</v>
      </c>
      <c r="HU39" s="12">
        <v>0.37839194853184571</v>
      </c>
      <c r="HV39" s="12">
        <v>0.37210688213367465</v>
      </c>
      <c r="HW39" s="12">
        <v>0.38407407849388003</v>
      </c>
      <c r="HX39" s="12">
        <v>0.50268090147298983</v>
      </c>
      <c r="HY39" s="12">
        <v>0.47365030167490246</v>
      </c>
      <c r="HZ39" s="12">
        <v>0.49107021750796559</v>
      </c>
      <c r="IA39" s="12">
        <v>0.49201769972028436</v>
      </c>
      <c r="IB39" s="12">
        <v>0.47103341347665761</v>
      </c>
      <c r="IC39" s="12">
        <v>0.47008260681351138</v>
      </c>
      <c r="ID39" s="12">
        <v>0.48431335983120716</v>
      </c>
      <c r="IE39" s="12">
        <v>0.51086739315458862</v>
      </c>
      <c r="IF39" s="10">
        <v>0.52794568225991323</v>
      </c>
      <c r="IG39" s="12">
        <v>0.52310757551911879</v>
      </c>
      <c r="IH39" s="12">
        <v>0.68086814324108158</v>
      </c>
      <c r="II39" s="12">
        <v>0.69131855581700308</v>
      </c>
      <c r="IJ39" s="12">
        <v>0.69082958099542424</v>
      </c>
      <c r="IK39" s="12">
        <v>0.67824096171358017</v>
      </c>
      <c r="IL39" s="12">
        <v>0.69776314494170211</v>
      </c>
      <c r="IM39" s="12">
        <v>0.68895961162567243</v>
      </c>
      <c r="IN39" s="12">
        <v>0.68691039492813699</v>
      </c>
      <c r="IO39" s="12">
        <v>0.68338729520182162</v>
      </c>
      <c r="IP39" s="12">
        <v>0.68852062987474871</v>
      </c>
      <c r="IQ39" s="12">
        <v>0.68164825364610637</v>
      </c>
      <c r="IS39" s="8" t="s">
        <v>210</v>
      </c>
      <c r="IT39" s="8" t="s">
        <v>229</v>
      </c>
      <c r="IU39" s="8" t="s">
        <v>230</v>
      </c>
      <c r="IV39" s="12">
        <v>0.55738032407323812</v>
      </c>
    </row>
    <row r="40" spans="2:256" x14ac:dyDescent="0.45">
      <c r="B40" s="9" t="s">
        <v>201</v>
      </c>
      <c r="C40" s="9" t="s">
        <v>31</v>
      </c>
      <c r="D40" s="13">
        <v>0.35128769403067472</v>
      </c>
      <c r="E40" s="13">
        <v>0.36759303949145627</v>
      </c>
      <c r="F40" s="13">
        <v>0.36954204559858828</v>
      </c>
      <c r="G40" s="13">
        <v>0.35266963043827226</v>
      </c>
      <c r="H40" s="13">
        <v>0.36128034917700247</v>
      </c>
      <c r="I40" s="13">
        <v>0.35905899544392084</v>
      </c>
      <c r="J40" s="13">
        <v>0.35022859071039431</v>
      </c>
      <c r="K40" s="13">
        <v>0.33330727382557584</v>
      </c>
      <c r="L40" s="13">
        <v>0.32336774712739857</v>
      </c>
      <c r="M40" s="13">
        <v>0.3323940462199072</v>
      </c>
      <c r="N40" s="13">
        <v>0.29148757160353944</v>
      </c>
      <c r="O40" s="13">
        <v>0.32543850466552582</v>
      </c>
      <c r="P40" s="13">
        <v>0.33505620648827728</v>
      </c>
      <c r="Q40" s="13">
        <v>0.32379221458803881</v>
      </c>
      <c r="R40" s="13">
        <v>0.33042153597803753</v>
      </c>
      <c r="S40" s="13">
        <v>0.33097319393642421</v>
      </c>
      <c r="T40" s="13">
        <v>0.31359241046687342</v>
      </c>
      <c r="U40" s="13">
        <v>0.29737688772299381</v>
      </c>
      <c r="V40" s="13">
        <v>0.2781930167022561</v>
      </c>
      <c r="W40" s="13">
        <v>0.25739138601124739</v>
      </c>
      <c r="X40" s="13">
        <v>0.3718849461973342</v>
      </c>
      <c r="Y40" s="13">
        <v>0.36706077682743493</v>
      </c>
      <c r="Z40" s="13">
        <v>0.39071080565814748</v>
      </c>
      <c r="AA40" s="13">
        <v>0.40965534693722494</v>
      </c>
      <c r="AB40" s="13">
        <v>0.44668812957328002</v>
      </c>
      <c r="AC40" s="13">
        <v>0.45292363725314977</v>
      </c>
      <c r="AD40" s="13">
        <v>0.45431898415643129</v>
      </c>
      <c r="AE40" s="13">
        <v>0.44769919451329049</v>
      </c>
      <c r="AF40" s="13">
        <v>0.44499426390846081</v>
      </c>
      <c r="AG40" s="13">
        <v>0.39839347682085535</v>
      </c>
      <c r="AH40" s="13">
        <v>0.38147632727216746</v>
      </c>
      <c r="AI40" s="13">
        <v>0.40030080359053621</v>
      </c>
      <c r="AJ40" s="13">
        <v>0.39651187698455675</v>
      </c>
      <c r="AK40" s="13">
        <v>0.39087218735781148</v>
      </c>
      <c r="AL40" s="13">
        <v>0.41641034924572162</v>
      </c>
      <c r="AM40" s="13">
        <v>0.40404879474046013</v>
      </c>
      <c r="AN40" s="13">
        <v>0.40485650908423659</v>
      </c>
      <c r="AO40" s="13">
        <v>0.40430016151540044</v>
      </c>
      <c r="AP40" s="13">
        <v>0.39836164619500808</v>
      </c>
      <c r="AQ40" s="13">
        <v>0.37878668851500247</v>
      </c>
      <c r="AR40" s="13">
        <v>0.33662609006621269</v>
      </c>
      <c r="AS40" s="13">
        <v>0.35858426771889773</v>
      </c>
      <c r="AT40" s="13">
        <v>0.36013412939006889</v>
      </c>
      <c r="AU40" s="13">
        <v>0.3804592324753554</v>
      </c>
      <c r="AV40" s="13">
        <v>0.39901375237447934</v>
      </c>
      <c r="AW40" s="13">
        <v>0.39792990294931757</v>
      </c>
      <c r="AX40" s="13">
        <v>0.36560857775561156</v>
      </c>
      <c r="AY40" s="13">
        <v>0.32684037541929278</v>
      </c>
      <c r="AZ40" s="13">
        <v>0.31624138978872984</v>
      </c>
      <c r="BA40" s="13">
        <v>0.33069713802573503</v>
      </c>
      <c r="BB40" s="13">
        <v>0.251142398693393</v>
      </c>
      <c r="BC40" s="13">
        <v>0.23756090308856376</v>
      </c>
      <c r="BD40" s="13">
        <v>0.23468752844674026</v>
      </c>
      <c r="BE40" s="13">
        <v>0.24924404892374624</v>
      </c>
      <c r="BF40" s="13">
        <v>0.24627825458546282</v>
      </c>
      <c r="BG40" s="13">
        <v>0.25804440023143527</v>
      </c>
      <c r="BH40" s="13">
        <v>0.2666330237665987</v>
      </c>
      <c r="BI40" s="13">
        <v>0.24985300949093425</v>
      </c>
      <c r="BJ40" s="13">
        <v>0.24400010699047794</v>
      </c>
      <c r="BK40" s="13">
        <v>0.25739420732831697</v>
      </c>
      <c r="GI40" s="9" t="s">
        <v>201</v>
      </c>
      <c r="GJ40" s="13">
        <v>0.44402571453529799</v>
      </c>
      <c r="GK40" s="13">
        <v>0.46315321079702082</v>
      </c>
      <c r="GL40" s="13">
        <v>0.48186421912997862</v>
      </c>
      <c r="GM40" s="13">
        <v>0.48658533619064986</v>
      </c>
      <c r="GN40" s="13">
        <v>0.49401361673337885</v>
      </c>
      <c r="GO40" s="13">
        <v>0.50367826938017013</v>
      </c>
      <c r="GP40" s="13">
        <v>0.52063655114945684</v>
      </c>
      <c r="GQ40" s="13">
        <v>0.53195412684613674</v>
      </c>
      <c r="GR40" s="13">
        <v>0.53365664346975783</v>
      </c>
      <c r="GS40" s="13">
        <v>0.48093462665360076</v>
      </c>
      <c r="GT40" s="13">
        <v>0.5146853813451725</v>
      </c>
      <c r="GU40" s="13">
        <v>0.48949554600163203</v>
      </c>
      <c r="GV40" s="13">
        <v>0.49017056104685874</v>
      </c>
      <c r="GW40" s="13">
        <v>0.49411577314952232</v>
      </c>
      <c r="GX40" s="13">
        <v>0.47780825630698986</v>
      </c>
      <c r="GY40" s="13">
        <v>0.48559096200228546</v>
      </c>
      <c r="GZ40" s="13">
        <v>0.50459199748464101</v>
      </c>
      <c r="HA40" s="13">
        <v>0.52588261901773192</v>
      </c>
      <c r="HB40" s="11">
        <v>0.54337120581650888</v>
      </c>
      <c r="HC40" s="13">
        <v>0.53859949206184154</v>
      </c>
      <c r="HD40" s="11">
        <v>0.39193149424482637</v>
      </c>
      <c r="HE40" s="13">
        <v>0.3717482601707493</v>
      </c>
      <c r="HF40" s="13">
        <v>0.36343024824845027</v>
      </c>
      <c r="HG40" s="13">
        <v>0.35306348747106131</v>
      </c>
      <c r="HH40" s="13">
        <v>0.32365014810072157</v>
      </c>
      <c r="HI40" s="13">
        <v>0.32804437060332675</v>
      </c>
      <c r="HJ40" s="13">
        <v>0.32583351300183028</v>
      </c>
      <c r="HK40" s="13">
        <v>0.31531665615409249</v>
      </c>
      <c r="HL40" s="13">
        <v>0.3225604615920426</v>
      </c>
      <c r="HM40" s="13">
        <v>0.36718180524948041</v>
      </c>
      <c r="HN40" s="11">
        <v>0.3102138924851055</v>
      </c>
      <c r="HO40" s="13">
        <v>0.29919268944598959</v>
      </c>
      <c r="HP40" s="13">
        <v>0.2982599033140107</v>
      </c>
      <c r="HQ40" s="13">
        <v>0.3109833010005475</v>
      </c>
      <c r="HR40" s="13">
        <v>0.28810984983989435</v>
      </c>
      <c r="HS40" s="13">
        <v>0.30707369988496508</v>
      </c>
      <c r="HT40" s="13">
        <v>0.32238801036068881</v>
      </c>
      <c r="HU40" s="13">
        <v>0.34116856825684116</v>
      </c>
      <c r="HV40" s="13">
        <v>0.34136864512851206</v>
      </c>
      <c r="HW40" s="13">
        <v>0.34073802071316073</v>
      </c>
      <c r="HX40" s="13">
        <v>0.46032253165827425</v>
      </c>
      <c r="HY40" s="13">
        <v>0.42760192734255548</v>
      </c>
      <c r="HZ40" s="13">
        <v>0.43743015497716276</v>
      </c>
      <c r="IA40" s="13">
        <v>0.44349375012477871</v>
      </c>
      <c r="IB40" s="13">
        <v>0.43365250677703959</v>
      </c>
      <c r="IC40" s="13">
        <v>0.4373772119670376</v>
      </c>
      <c r="ID40" s="13">
        <v>0.44921636874855225</v>
      </c>
      <c r="IE40" s="13">
        <v>0.47950629302564268</v>
      </c>
      <c r="IF40" s="11">
        <v>0.50434705527206591</v>
      </c>
      <c r="IG40" s="13">
        <v>0.49644441665208305</v>
      </c>
      <c r="IH40" s="13">
        <v>0.646291215569335</v>
      </c>
      <c r="II40" s="13">
        <v>0.65268098603512104</v>
      </c>
      <c r="IJ40" s="13">
        <v>0.663153936394976</v>
      </c>
      <c r="IK40" s="13">
        <v>0.6492887410005268</v>
      </c>
      <c r="IL40" s="13">
        <v>0.65604307704585274</v>
      </c>
      <c r="IM40" s="13">
        <v>0.64752619716517046</v>
      </c>
      <c r="IN40" s="13">
        <v>0.64243142335903036</v>
      </c>
      <c r="IO40" s="13">
        <v>0.65042626999751618</v>
      </c>
      <c r="IP40" s="13">
        <v>0.66214699840305757</v>
      </c>
      <c r="IQ40" s="13">
        <v>0.66355978378658709</v>
      </c>
      <c r="IS40" s="9" t="s">
        <v>211</v>
      </c>
      <c r="IT40" s="9" t="s">
        <v>229</v>
      </c>
      <c r="IU40" s="9" t="s">
        <v>230</v>
      </c>
      <c r="IV40" s="13">
        <v>0.57337543522238743</v>
      </c>
    </row>
    <row r="41" spans="2:256" x14ac:dyDescent="0.45">
      <c r="B41" s="8" t="s">
        <v>202</v>
      </c>
      <c r="C41" s="8" t="s">
        <v>31</v>
      </c>
      <c r="D41" s="12">
        <v>0.36936188174760337</v>
      </c>
      <c r="E41" s="12">
        <v>0.35968505474990248</v>
      </c>
      <c r="F41" s="12">
        <v>0.35951628523059487</v>
      </c>
      <c r="G41" s="12">
        <v>0.39661355718892866</v>
      </c>
      <c r="H41" s="12">
        <v>0.4438880861720797</v>
      </c>
      <c r="I41" s="12">
        <v>0.45402948720720787</v>
      </c>
      <c r="J41" s="12">
        <v>0.44267952714149245</v>
      </c>
      <c r="K41" s="12">
        <v>0.41324079785664836</v>
      </c>
      <c r="L41" s="12">
        <v>0.39568538126155145</v>
      </c>
      <c r="M41" s="12">
        <v>0.3762491281325831</v>
      </c>
      <c r="N41" s="12">
        <v>0.31988090905421362</v>
      </c>
      <c r="O41" s="12">
        <v>0.30177217097181819</v>
      </c>
      <c r="P41" s="12">
        <v>0.34818179027930807</v>
      </c>
      <c r="Q41" s="12">
        <v>0.35829051505079829</v>
      </c>
      <c r="R41" s="12">
        <v>0.38864926118694942</v>
      </c>
      <c r="S41" s="12">
        <v>0.38949778225357234</v>
      </c>
      <c r="T41" s="12">
        <v>0.37715588160633118</v>
      </c>
      <c r="U41" s="12">
        <v>0.37087683062226878</v>
      </c>
      <c r="V41" s="12">
        <v>0.33832379392958756</v>
      </c>
      <c r="W41" s="12">
        <v>0.32496824618032921</v>
      </c>
      <c r="X41" s="12">
        <v>0.3126172157558349</v>
      </c>
      <c r="Y41" s="12">
        <v>0.34381917339806456</v>
      </c>
      <c r="Z41" s="12">
        <v>0.42715115328844999</v>
      </c>
      <c r="AA41" s="12">
        <v>0.37789109101956436</v>
      </c>
      <c r="AB41" s="12">
        <v>0.44522729886854623</v>
      </c>
      <c r="AC41" s="12">
        <v>0.44435030152063559</v>
      </c>
      <c r="AD41" s="12">
        <v>0.43963718485416931</v>
      </c>
      <c r="AE41" s="12">
        <v>0.43051847169733021</v>
      </c>
      <c r="AF41" s="12">
        <v>0.36442841987106417</v>
      </c>
      <c r="AG41" s="12">
        <v>0.32375477209028503</v>
      </c>
      <c r="AH41" s="12">
        <v>0.30735876911476934</v>
      </c>
      <c r="AI41" s="12">
        <v>0.32986488235601646</v>
      </c>
      <c r="AJ41" s="12">
        <v>0.45486423742008902</v>
      </c>
      <c r="AK41" s="12">
        <v>0.43895690284120825</v>
      </c>
      <c r="AL41" s="12">
        <v>0.44196874506910322</v>
      </c>
      <c r="AM41" s="12">
        <v>0.41852368948355134</v>
      </c>
      <c r="AN41" s="12">
        <v>0.40459618319950147</v>
      </c>
      <c r="AO41" s="12">
        <v>0.39353619719230831</v>
      </c>
      <c r="AP41" s="12">
        <v>0.33173798634601975</v>
      </c>
      <c r="AQ41" s="12">
        <v>0.30943001713725943</v>
      </c>
      <c r="AR41" s="12">
        <v>0.35371080648133663</v>
      </c>
      <c r="AS41" s="12">
        <v>0.37736725965344842</v>
      </c>
      <c r="AT41" s="12">
        <v>0.43143920460300822</v>
      </c>
      <c r="AU41" s="12">
        <v>0.47370504336385522</v>
      </c>
      <c r="AV41" s="12">
        <v>0.45836276377531671</v>
      </c>
      <c r="AW41" s="12">
        <v>0.44238425741719467</v>
      </c>
      <c r="AX41" s="12">
        <v>0.43191258837267599</v>
      </c>
      <c r="AY41" s="12">
        <v>0.39015357984987314</v>
      </c>
      <c r="AZ41" s="12">
        <v>0.33936671982247452</v>
      </c>
      <c r="BA41" s="12">
        <v>0.32173397843445778</v>
      </c>
      <c r="BB41" s="12">
        <v>0.33800452213157761</v>
      </c>
      <c r="BC41" s="12">
        <v>0.29934792697978202</v>
      </c>
      <c r="BD41" s="12">
        <v>0.29049511276678808</v>
      </c>
      <c r="BE41" s="12">
        <v>0.32102220487309435</v>
      </c>
      <c r="BF41" s="12">
        <v>0.37348323192851307</v>
      </c>
      <c r="BG41" s="12">
        <v>0.37631447582014482</v>
      </c>
      <c r="BH41" s="12">
        <v>0.33840856944107761</v>
      </c>
      <c r="BI41" s="12">
        <v>0.31511139060882243</v>
      </c>
      <c r="BJ41" s="12">
        <v>0.31829383362884095</v>
      </c>
      <c r="BK41" s="12">
        <v>0.33251768892363193</v>
      </c>
      <c r="GI41" s="8" t="s">
        <v>202</v>
      </c>
      <c r="GJ41" s="12">
        <v>0.33926046988615088</v>
      </c>
      <c r="GK41" s="12">
        <v>0.34928579575500712</v>
      </c>
      <c r="GL41" s="12">
        <v>0.35962231308059872</v>
      </c>
      <c r="GM41" s="12">
        <v>0.35168453988995757</v>
      </c>
      <c r="GN41" s="12">
        <v>0.30730170885974711</v>
      </c>
      <c r="GO41" s="12">
        <v>0.29798603550500508</v>
      </c>
      <c r="GP41" s="12">
        <v>0.31271462843520559</v>
      </c>
      <c r="GQ41" s="12">
        <v>0.35496610145633484</v>
      </c>
      <c r="GR41" s="12">
        <v>0.37983510933643222</v>
      </c>
      <c r="GS41" s="12">
        <v>0.3679628709756268</v>
      </c>
      <c r="GT41" s="12">
        <v>0.37590492096912381</v>
      </c>
      <c r="GU41" s="12">
        <v>0.37151356194726942</v>
      </c>
      <c r="GV41" s="12">
        <v>0.32658813938217146</v>
      </c>
      <c r="GW41" s="12">
        <v>0.30287361640383836</v>
      </c>
      <c r="GX41" s="12">
        <v>0.2738415425095907</v>
      </c>
      <c r="GY41" s="12">
        <v>0.29880502050872737</v>
      </c>
      <c r="GZ41" s="12">
        <v>0.29704669935535266</v>
      </c>
      <c r="HA41" s="12">
        <v>0.31669203665859058</v>
      </c>
      <c r="HB41" s="10">
        <v>0.37449426024260613</v>
      </c>
      <c r="HC41" s="12">
        <v>0.38328101403450515</v>
      </c>
      <c r="HD41" s="10">
        <v>0.2429419339371035</v>
      </c>
      <c r="HE41" s="12">
        <v>0.19850254876930976</v>
      </c>
      <c r="HF41" s="12">
        <v>0.14312091896130646</v>
      </c>
      <c r="HG41" s="12">
        <v>0.15199722126427276</v>
      </c>
      <c r="HH41" s="12">
        <v>0.12592743484692201</v>
      </c>
      <c r="HI41" s="12">
        <v>0.15312032879451576</v>
      </c>
      <c r="HJ41" s="12">
        <v>0.16002289881795062</v>
      </c>
      <c r="HK41" s="12">
        <v>0.16486194971161733</v>
      </c>
      <c r="HL41" s="12">
        <v>0.18726518388482077</v>
      </c>
      <c r="HM41" s="12">
        <v>0.23776758356214139</v>
      </c>
      <c r="HN41" s="10">
        <v>0.18952519619258923</v>
      </c>
      <c r="HO41" s="12">
        <v>0.14480366689186161</v>
      </c>
      <c r="HP41" s="12">
        <v>0.10750855869484227</v>
      </c>
      <c r="HQ41" s="12">
        <v>0.13092930985409157</v>
      </c>
      <c r="HR41" s="12">
        <v>0.11391266189613806</v>
      </c>
      <c r="HS41" s="12">
        <v>0.14889788532306741</v>
      </c>
      <c r="HT41" s="12">
        <v>0.15574910219532689</v>
      </c>
      <c r="HU41" s="12">
        <v>0.14074205323623248</v>
      </c>
      <c r="HV41" s="12">
        <v>0.16281377703582223</v>
      </c>
      <c r="HW41" s="12">
        <v>0.20993919828899113</v>
      </c>
      <c r="HX41" s="12">
        <v>0.30442241675499704</v>
      </c>
      <c r="HY41" s="12">
        <v>0.27382411295605852</v>
      </c>
      <c r="HZ41" s="12">
        <v>0.25537563014994036</v>
      </c>
      <c r="IA41" s="12">
        <v>0.23785165422690482</v>
      </c>
      <c r="IB41" s="12">
        <v>0.21808395282592036</v>
      </c>
      <c r="IC41" s="12">
        <v>0.24026794662592599</v>
      </c>
      <c r="ID41" s="12">
        <v>0.24657227880560231</v>
      </c>
      <c r="IE41" s="12">
        <v>0.28873231363519536</v>
      </c>
      <c r="IF41" s="10">
        <v>0.33571189466807239</v>
      </c>
      <c r="IG41" s="12">
        <v>0.35434507404706328</v>
      </c>
      <c r="IH41" s="12">
        <v>0.4548618377276506</v>
      </c>
      <c r="II41" s="12">
        <v>0.45819666618653837</v>
      </c>
      <c r="IJ41" s="12">
        <v>0.45756863093550654</v>
      </c>
      <c r="IK41" s="12">
        <v>0.43803947010981592</v>
      </c>
      <c r="IL41" s="12">
        <v>0.40439688771095289</v>
      </c>
      <c r="IM41" s="12">
        <v>0.40140300786502581</v>
      </c>
      <c r="IN41" s="12">
        <v>0.43319697539472668</v>
      </c>
      <c r="IO41" s="12">
        <v>0.47626511305370417</v>
      </c>
      <c r="IP41" s="12">
        <v>0.48599673205049776</v>
      </c>
      <c r="IQ41" s="12">
        <v>0.47568205497962451</v>
      </c>
      <c r="IS41" s="8" t="s">
        <v>212</v>
      </c>
      <c r="IT41" s="8" t="s">
        <v>229</v>
      </c>
      <c r="IU41" s="8" t="s">
        <v>230</v>
      </c>
      <c r="IV41" s="12">
        <v>0.43058864206397163</v>
      </c>
    </row>
    <row r="42" spans="2:256" x14ac:dyDescent="0.45">
      <c r="B42" s="9" t="s">
        <v>203</v>
      </c>
      <c r="C42" s="9" t="s">
        <v>31</v>
      </c>
      <c r="D42" s="13">
        <v>0.32986397039911497</v>
      </c>
      <c r="E42" s="13">
        <v>0.35157421296122776</v>
      </c>
      <c r="F42" s="13">
        <v>0.34565303465410518</v>
      </c>
      <c r="G42" s="13">
        <v>0.37242231543043103</v>
      </c>
      <c r="H42" s="13">
        <v>0.42318800952062469</v>
      </c>
      <c r="I42" s="13">
        <v>0.43202052227490023</v>
      </c>
      <c r="J42" s="13">
        <v>0.4157223609580703</v>
      </c>
      <c r="K42" s="13">
        <v>0.37459281352295715</v>
      </c>
      <c r="L42" s="13">
        <v>0.35425880302787438</v>
      </c>
      <c r="M42" s="13">
        <v>0.33748033280315454</v>
      </c>
      <c r="N42" s="13">
        <v>0.34802588560825592</v>
      </c>
      <c r="O42" s="13">
        <v>0.36936739372894295</v>
      </c>
      <c r="P42" s="13">
        <v>0.43464588799326304</v>
      </c>
      <c r="Q42" s="13">
        <v>0.44408842492809641</v>
      </c>
      <c r="R42" s="13">
        <v>0.45840976695895225</v>
      </c>
      <c r="S42" s="13">
        <v>0.4177700535696256</v>
      </c>
      <c r="T42" s="13">
        <v>0.40179538561298406</v>
      </c>
      <c r="U42" s="13">
        <v>0.35661674636288199</v>
      </c>
      <c r="V42" s="13">
        <v>0.31653908467634212</v>
      </c>
      <c r="W42" s="13">
        <v>0.32917778330703445</v>
      </c>
      <c r="X42" s="13">
        <v>0.33074972932370283</v>
      </c>
      <c r="Y42" s="13">
        <v>0.3552706664520327</v>
      </c>
      <c r="Z42" s="13">
        <v>0.45828305158542559</v>
      </c>
      <c r="AA42" s="13">
        <v>0.43664862213167277</v>
      </c>
      <c r="AB42" s="13">
        <v>0.45364915168111725</v>
      </c>
      <c r="AC42" s="13">
        <v>0.439273659707761</v>
      </c>
      <c r="AD42" s="13">
        <v>0.4212078784341422</v>
      </c>
      <c r="AE42" s="13">
        <v>0.39291752095374366</v>
      </c>
      <c r="AF42" s="13">
        <v>0.34041268454939871</v>
      </c>
      <c r="AG42" s="13">
        <v>0.32200797851496105</v>
      </c>
      <c r="AH42" s="13">
        <v>0.30485861871685349</v>
      </c>
      <c r="AI42" s="13">
        <v>0.34313290056360618</v>
      </c>
      <c r="AJ42" s="13">
        <v>0.48675371859317756</v>
      </c>
      <c r="AK42" s="13">
        <v>0.45229454684151127</v>
      </c>
      <c r="AL42" s="13">
        <v>0.44293682515220717</v>
      </c>
      <c r="AM42" s="13">
        <v>0.42349210896381412</v>
      </c>
      <c r="AN42" s="13">
        <v>0.42820796723068799</v>
      </c>
      <c r="AO42" s="13">
        <v>0.41879259082435832</v>
      </c>
      <c r="AP42" s="13">
        <v>0.35349334973224511</v>
      </c>
      <c r="AQ42" s="13">
        <v>0.34010537424590942</v>
      </c>
      <c r="AR42" s="13">
        <v>0.36471916230428353</v>
      </c>
      <c r="AS42" s="13">
        <v>0.38221412303242863</v>
      </c>
      <c r="AT42" s="13">
        <v>0.43223502060497315</v>
      </c>
      <c r="AU42" s="13">
        <v>0.47651222104416119</v>
      </c>
      <c r="AV42" s="13">
        <v>0.4918236994194628</v>
      </c>
      <c r="AW42" s="13">
        <v>0.47596215008759296</v>
      </c>
      <c r="AX42" s="13">
        <v>0.43643648481837194</v>
      </c>
      <c r="AY42" s="13">
        <v>0.38553468366644889</v>
      </c>
      <c r="AZ42" s="13">
        <v>0.32990912520120463</v>
      </c>
      <c r="BA42" s="13">
        <v>0.31938003621135663</v>
      </c>
      <c r="BB42" s="13">
        <v>0.33016916943909519</v>
      </c>
      <c r="BC42" s="13">
        <v>0.3178347270934746</v>
      </c>
      <c r="BD42" s="13">
        <v>0.31163831130109454</v>
      </c>
      <c r="BE42" s="13">
        <v>0.35679082796064443</v>
      </c>
      <c r="BF42" s="13">
        <v>0.3895468922520699</v>
      </c>
      <c r="BG42" s="13">
        <v>0.36839173039149481</v>
      </c>
      <c r="BH42" s="13">
        <v>0.33717250555348088</v>
      </c>
      <c r="BI42" s="13">
        <v>0.30931528636510836</v>
      </c>
      <c r="BJ42" s="13">
        <v>0.29925681303487345</v>
      </c>
      <c r="BK42" s="13">
        <v>0.31839469742304172</v>
      </c>
      <c r="GI42" s="9" t="s">
        <v>203</v>
      </c>
      <c r="GJ42" s="13">
        <v>0.33206049242889468</v>
      </c>
      <c r="GK42" s="13">
        <v>0.34225891709216155</v>
      </c>
      <c r="GL42" s="13">
        <v>0.34907427297973526</v>
      </c>
      <c r="GM42" s="13">
        <v>0.33449236144424027</v>
      </c>
      <c r="GN42" s="13">
        <v>0.30504513194708588</v>
      </c>
      <c r="GO42" s="13">
        <v>0.31665202934997239</v>
      </c>
      <c r="GP42" s="13">
        <v>0.3331681014464512</v>
      </c>
      <c r="GQ42" s="13">
        <v>0.36736581525046819</v>
      </c>
      <c r="GR42" s="13">
        <v>0.37383747149404978</v>
      </c>
      <c r="GS42" s="13">
        <v>0.35389449650679911</v>
      </c>
      <c r="GT42" s="13">
        <v>0.35786181285491603</v>
      </c>
      <c r="GU42" s="13">
        <v>0.34614298891624173</v>
      </c>
      <c r="GV42" s="13">
        <v>0.30383652586937082</v>
      </c>
      <c r="GW42" s="13">
        <v>0.29096422892208473</v>
      </c>
      <c r="GX42" s="13">
        <v>0.26118389855264285</v>
      </c>
      <c r="GY42" s="13">
        <v>0.29262580429493923</v>
      </c>
      <c r="GZ42" s="13">
        <v>0.29884913762228316</v>
      </c>
      <c r="HA42" s="13">
        <v>0.32423043850851857</v>
      </c>
      <c r="HB42" s="11">
        <v>0.37655232999209426</v>
      </c>
      <c r="HC42" s="13">
        <v>0.37534759736517503</v>
      </c>
      <c r="HD42" s="11">
        <v>0.18838783697130387</v>
      </c>
      <c r="HE42" s="13">
        <v>0.17326873471076359</v>
      </c>
      <c r="HF42" s="13">
        <v>0.13689937636032509</v>
      </c>
      <c r="HG42" s="13">
        <v>0.13040325848290965</v>
      </c>
      <c r="HH42" s="13">
        <v>0.10322811716183185</v>
      </c>
      <c r="HI42" s="13">
        <v>0.12527372714113266</v>
      </c>
      <c r="HJ42" s="13">
        <v>0.15230702908027857</v>
      </c>
      <c r="HK42" s="13">
        <v>0.15017522692968607</v>
      </c>
      <c r="HL42" s="13">
        <v>0.18443251622088447</v>
      </c>
      <c r="HM42" s="13">
        <v>0.19480328299842237</v>
      </c>
      <c r="HN42" s="11">
        <v>0.16675019486185103</v>
      </c>
      <c r="HO42" s="13">
        <v>0.13326647829689539</v>
      </c>
      <c r="HP42" s="13">
        <v>0.10404603466285746</v>
      </c>
      <c r="HQ42" s="13">
        <v>0.12908037936048664</v>
      </c>
      <c r="HR42" s="13">
        <v>0.10977157196905127</v>
      </c>
      <c r="HS42" s="13">
        <v>0.13067537222947695</v>
      </c>
      <c r="HT42" s="13">
        <v>0.14940769514260852</v>
      </c>
      <c r="HU42" s="13">
        <v>0.13917104843455599</v>
      </c>
      <c r="HV42" s="13">
        <v>0.15750690483443661</v>
      </c>
      <c r="HW42" s="13">
        <v>0.18187093824275699</v>
      </c>
      <c r="HX42" s="13">
        <v>0.2729864205319642</v>
      </c>
      <c r="HY42" s="13">
        <v>0.23862393599985751</v>
      </c>
      <c r="HZ42" s="13">
        <v>0.22610297045001168</v>
      </c>
      <c r="IA42" s="13">
        <v>0.22083464757818874</v>
      </c>
      <c r="IB42" s="13">
        <v>0.21416133891576122</v>
      </c>
      <c r="IC42" s="13">
        <v>0.24014961600819448</v>
      </c>
      <c r="ID42" s="13">
        <v>0.24602998491017658</v>
      </c>
      <c r="IE42" s="13">
        <v>0.28738594625493197</v>
      </c>
      <c r="IF42" s="11">
        <v>0.3195611318752703</v>
      </c>
      <c r="IG42" s="13">
        <v>0.3212943280231691</v>
      </c>
      <c r="IH42" s="13">
        <v>0.43414709933361273</v>
      </c>
      <c r="II42" s="13">
        <v>0.42668284542472862</v>
      </c>
      <c r="IJ42" s="13">
        <v>0.41756295256999176</v>
      </c>
      <c r="IK42" s="13">
        <v>0.38603828729701561</v>
      </c>
      <c r="IL42" s="13">
        <v>0.35704546434979983</v>
      </c>
      <c r="IM42" s="13">
        <v>0.37670047084161357</v>
      </c>
      <c r="IN42" s="13">
        <v>0.40985334893530756</v>
      </c>
      <c r="IO42" s="13">
        <v>0.44967536057187124</v>
      </c>
      <c r="IP42" s="13">
        <v>0.45768096921419704</v>
      </c>
      <c r="IQ42" s="13">
        <v>0.45613444351492793</v>
      </c>
      <c r="IS42" s="9" t="s">
        <v>213</v>
      </c>
      <c r="IT42" s="9" t="s">
        <v>229</v>
      </c>
      <c r="IU42" s="9" t="s">
        <v>230</v>
      </c>
      <c r="IV42" s="13">
        <v>0.46953380974631043</v>
      </c>
    </row>
    <row r="43" spans="2:256" x14ac:dyDescent="0.45">
      <c r="B43" s="8" t="s">
        <v>204</v>
      </c>
      <c r="C43" s="8" t="s">
        <v>31</v>
      </c>
      <c r="D43" s="12">
        <v>0.36602119380474912</v>
      </c>
      <c r="E43" s="12">
        <v>0.35611354843184295</v>
      </c>
      <c r="F43" s="12">
        <v>0.34911227777813519</v>
      </c>
      <c r="G43" s="12">
        <v>0.37294817625813914</v>
      </c>
      <c r="H43" s="12">
        <v>0.39756112632365548</v>
      </c>
      <c r="I43" s="12">
        <v>0.40632760926091493</v>
      </c>
      <c r="J43" s="12">
        <v>0.41169826439577634</v>
      </c>
      <c r="K43" s="12">
        <v>0.39637038211706049</v>
      </c>
      <c r="L43" s="12">
        <v>0.3970124749042564</v>
      </c>
      <c r="M43" s="12">
        <v>0.39371125902963383</v>
      </c>
      <c r="N43" s="12">
        <v>0.33935475636625262</v>
      </c>
      <c r="O43" s="12">
        <v>0.32234800733138458</v>
      </c>
      <c r="P43" s="12">
        <v>0.36475659189088755</v>
      </c>
      <c r="Q43" s="12">
        <v>0.38602954470296075</v>
      </c>
      <c r="R43" s="12">
        <v>0.38114124245595049</v>
      </c>
      <c r="S43" s="12">
        <v>0.36639666258584835</v>
      </c>
      <c r="T43" s="12">
        <v>0.37721115895679974</v>
      </c>
      <c r="U43" s="12">
        <v>0.37003289716041859</v>
      </c>
      <c r="V43" s="12">
        <v>0.32193681242482025</v>
      </c>
      <c r="W43" s="12">
        <v>0.3256775468151929</v>
      </c>
      <c r="X43" s="12">
        <v>0.32314428103089926</v>
      </c>
      <c r="Y43" s="12">
        <v>0.37548548564175371</v>
      </c>
      <c r="Z43" s="12">
        <v>0.45609777587968647</v>
      </c>
      <c r="AA43" s="12">
        <v>0.42614726386058405</v>
      </c>
      <c r="AB43" s="12">
        <v>0.46894579287232141</v>
      </c>
      <c r="AC43" s="12">
        <v>0.47015039289565269</v>
      </c>
      <c r="AD43" s="12">
        <v>0.46136415938830605</v>
      </c>
      <c r="AE43" s="12">
        <v>0.4585121825761686</v>
      </c>
      <c r="AF43" s="12">
        <v>0.40158468084139226</v>
      </c>
      <c r="AG43" s="12">
        <v>0.33234996215975143</v>
      </c>
      <c r="AH43" s="12">
        <v>0.31869549267591124</v>
      </c>
      <c r="AI43" s="12">
        <v>0.34872169789805352</v>
      </c>
      <c r="AJ43" s="12">
        <v>0.47710763855988153</v>
      </c>
      <c r="AK43" s="12">
        <v>0.4683241891814709</v>
      </c>
      <c r="AL43" s="12">
        <v>0.46977325869799486</v>
      </c>
      <c r="AM43" s="12">
        <v>0.44876134310126775</v>
      </c>
      <c r="AN43" s="12">
        <v>0.42384870876493208</v>
      </c>
      <c r="AO43" s="12">
        <v>0.41866120600518159</v>
      </c>
      <c r="AP43" s="12">
        <v>0.36560786119462657</v>
      </c>
      <c r="AQ43" s="12">
        <v>0.32392804654554552</v>
      </c>
      <c r="AR43" s="12">
        <v>0.38163219753397148</v>
      </c>
      <c r="AS43" s="12">
        <v>0.38608435233409472</v>
      </c>
      <c r="AT43" s="12">
        <v>0.42145608685151603</v>
      </c>
      <c r="AU43" s="12">
        <v>0.4506190248268015</v>
      </c>
      <c r="AV43" s="12">
        <v>0.43401283962273979</v>
      </c>
      <c r="AW43" s="12">
        <v>0.42300876874015148</v>
      </c>
      <c r="AX43" s="12">
        <v>0.41879185060255303</v>
      </c>
      <c r="AY43" s="12">
        <v>0.3872903552642934</v>
      </c>
      <c r="AZ43" s="12">
        <v>0.36402789225081528</v>
      </c>
      <c r="BA43" s="12">
        <v>0.3535404492652815</v>
      </c>
      <c r="BB43" s="12">
        <v>0.34088083383904089</v>
      </c>
      <c r="BC43" s="12">
        <v>0.32701015955068191</v>
      </c>
      <c r="BD43" s="12">
        <v>0.32994939634566106</v>
      </c>
      <c r="BE43" s="12">
        <v>0.34504471444869206</v>
      </c>
      <c r="BF43" s="12">
        <v>0.37740497588899874</v>
      </c>
      <c r="BG43" s="12">
        <v>0.37676177474635147</v>
      </c>
      <c r="BH43" s="12">
        <v>0.33837493021613929</v>
      </c>
      <c r="BI43" s="12">
        <v>0.32266226737501524</v>
      </c>
      <c r="BJ43" s="12">
        <v>0.33380935163459124</v>
      </c>
      <c r="BK43" s="12">
        <v>0.33364688409873405</v>
      </c>
      <c r="GI43" s="8" t="s">
        <v>204</v>
      </c>
      <c r="GJ43" s="12">
        <v>0.35546716468809009</v>
      </c>
      <c r="GK43" s="12">
        <v>0.36278320124162605</v>
      </c>
      <c r="GL43" s="12">
        <v>0.36746442333951795</v>
      </c>
      <c r="GM43" s="12">
        <v>0.36219031311124122</v>
      </c>
      <c r="GN43" s="12">
        <v>0.32896066972020488</v>
      </c>
      <c r="GO43" s="12">
        <v>0.31837684898194596</v>
      </c>
      <c r="GP43" s="12">
        <v>0.33131395878696157</v>
      </c>
      <c r="GQ43" s="12">
        <v>0.36567829498754034</v>
      </c>
      <c r="GR43" s="12">
        <v>0.37738718225747114</v>
      </c>
      <c r="GS43" s="12">
        <v>0.36758931575829717</v>
      </c>
      <c r="GT43" s="12">
        <v>0.3655435602748156</v>
      </c>
      <c r="GU43" s="12">
        <v>0.36962952758989837</v>
      </c>
      <c r="GV43" s="12">
        <v>0.33384615479807062</v>
      </c>
      <c r="GW43" s="12">
        <v>0.32667271113615143</v>
      </c>
      <c r="GX43" s="12">
        <v>0.30915998674259182</v>
      </c>
      <c r="GY43" s="12">
        <v>0.35080734100109712</v>
      </c>
      <c r="GZ43" s="12">
        <v>0.33695243236026495</v>
      </c>
      <c r="HA43" s="12">
        <v>0.33965478317547521</v>
      </c>
      <c r="HB43" s="10">
        <v>0.38017387557969573</v>
      </c>
      <c r="HC43" s="12">
        <v>0.37865893184843669</v>
      </c>
      <c r="HD43" s="10">
        <v>0.22475017220370683</v>
      </c>
      <c r="HE43" s="12">
        <v>0.18849591862744697</v>
      </c>
      <c r="HF43" s="12">
        <v>0.14296549568814837</v>
      </c>
      <c r="HG43" s="12">
        <v>0.15185367140506334</v>
      </c>
      <c r="HH43" s="12">
        <v>0.13331219279070577</v>
      </c>
      <c r="HI43" s="12">
        <v>0.15968627660369744</v>
      </c>
      <c r="HJ43" s="12">
        <v>0.17060709200213758</v>
      </c>
      <c r="HK43" s="12">
        <v>0.15445382115313475</v>
      </c>
      <c r="HL43" s="12">
        <v>0.18591055802562467</v>
      </c>
      <c r="HM43" s="12">
        <v>0.22925794566729185</v>
      </c>
      <c r="HN43" s="10">
        <v>0.18734644056679212</v>
      </c>
      <c r="HO43" s="12">
        <v>0.1435595647605282</v>
      </c>
      <c r="HP43" s="12">
        <v>0.11738025102832247</v>
      </c>
      <c r="HQ43" s="12">
        <v>0.1431382358197984</v>
      </c>
      <c r="HR43" s="12">
        <v>0.13441181819279094</v>
      </c>
      <c r="HS43" s="12">
        <v>0.17024332971516434</v>
      </c>
      <c r="HT43" s="12">
        <v>0.18441668943273612</v>
      </c>
      <c r="HU43" s="12">
        <v>0.16992227878211655</v>
      </c>
      <c r="HV43" s="12">
        <v>0.19235758050452942</v>
      </c>
      <c r="HW43" s="12">
        <v>0.2189688891088758</v>
      </c>
      <c r="HX43" s="12">
        <v>0.3096873045088544</v>
      </c>
      <c r="HY43" s="12">
        <v>0.28644271940653271</v>
      </c>
      <c r="HZ43" s="12">
        <v>0.26512954022510971</v>
      </c>
      <c r="IA43" s="12">
        <v>0.24611998978841321</v>
      </c>
      <c r="IB43" s="12">
        <v>0.22982189850248594</v>
      </c>
      <c r="IC43" s="12">
        <v>0.25223092637831512</v>
      </c>
      <c r="ID43" s="12">
        <v>0.27083982534528489</v>
      </c>
      <c r="IE43" s="12">
        <v>0.29689958997915372</v>
      </c>
      <c r="IF43" s="10">
        <v>0.32515014858557473</v>
      </c>
      <c r="IG43" s="12">
        <v>0.33285050490168439</v>
      </c>
      <c r="IH43" s="12">
        <v>0.46035771397102004</v>
      </c>
      <c r="II43" s="12">
        <v>0.46120346535595325</v>
      </c>
      <c r="IJ43" s="12">
        <v>0.45354491030456823</v>
      </c>
      <c r="IK43" s="12">
        <v>0.43193046892589715</v>
      </c>
      <c r="IL43" s="12">
        <v>0.40732788844899048</v>
      </c>
      <c r="IM43" s="12">
        <v>0.40327230410426057</v>
      </c>
      <c r="IN43" s="12">
        <v>0.43090786195239233</v>
      </c>
      <c r="IO43" s="12">
        <v>0.46112409416239541</v>
      </c>
      <c r="IP43" s="12">
        <v>0.46896018148646906</v>
      </c>
      <c r="IQ43" s="12">
        <v>0.47514077080515249</v>
      </c>
      <c r="IS43" s="8" t="s">
        <v>214</v>
      </c>
      <c r="IT43" s="8" t="s">
        <v>229</v>
      </c>
      <c r="IU43" s="8" t="s">
        <v>230</v>
      </c>
      <c r="IV43" s="12">
        <v>0.45876275744790007</v>
      </c>
    </row>
    <row r="44" spans="2:256" x14ac:dyDescent="0.45">
      <c r="B44" s="9" t="s">
        <v>205</v>
      </c>
      <c r="C44" s="9" t="s">
        <v>31</v>
      </c>
      <c r="D44" s="13">
        <v>0.33853759683824303</v>
      </c>
      <c r="E44" s="13">
        <v>0.33320258900226274</v>
      </c>
      <c r="F44" s="13">
        <v>0.3333488452031268</v>
      </c>
      <c r="G44" s="13">
        <v>0.36185082346746705</v>
      </c>
      <c r="H44" s="13">
        <v>0.38609129567456801</v>
      </c>
      <c r="I44" s="13">
        <v>0.38819625687010945</v>
      </c>
      <c r="J44" s="13">
        <v>0.3957685285338719</v>
      </c>
      <c r="K44" s="13">
        <v>0.3789856498947119</v>
      </c>
      <c r="L44" s="13">
        <v>0.36247839599306436</v>
      </c>
      <c r="M44" s="13">
        <v>0.35034235540265979</v>
      </c>
      <c r="N44" s="13">
        <v>0.3276864799462843</v>
      </c>
      <c r="O44" s="13">
        <v>0.33529735548162476</v>
      </c>
      <c r="P44" s="13">
        <v>0.39089393665749134</v>
      </c>
      <c r="Q44" s="13">
        <v>0.41225846112615094</v>
      </c>
      <c r="R44" s="13">
        <v>0.41652473889258074</v>
      </c>
      <c r="S44" s="13">
        <v>0.40288249907345935</v>
      </c>
      <c r="T44" s="13">
        <v>0.38380258220153129</v>
      </c>
      <c r="U44" s="13">
        <v>0.35438188292738432</v>
      </c>
      <c r="V44" s="13">
        <v>0.30353554102790503</v>
      </c>
      <c r="W44" s="13">
        <v>0.30635663251074069</v>
      </c>
      <c r="X44" s="13">
        <v>0.34035303119503402</v>
      </c>
      <c r="Y44" s="13">
        <v>0.38331646518399093</v>
      </c>
      <c r="Z44" s="13">
        <v>0.45297486425787781</v>
      </c>
      <c r="AA44" s="13">
        <v>0.44487770730259668</v>
      </c>
      <c r="AB44" s="13">
        <v>0.47086809928402878</v>
      </c>
      <c r="AC44" s="13">
        <v>0.47154511851369124</v>
      </c>
      <c r="AD44" s="13">
        <v>0.44414159671477493</v>
      </c>
      <c r="AE44" s="13">
        <v>0.42252720791492065</v>
      </c>
      <c r="AF44" s="13">
        <v>0.36711080239232013</v>
      </c>
      <c r="AG44" s="13">
        <v>0.3281426009427999</v>
      </c>
      <c r="AH44" s="13">
        <v>0.33205011792563205</v>
      </c>
      <c r="AI44" s="13">
        <v>0.36241113606723413</v>
      </c>
      <c r="AJ44" s="13">
        <v>0.4435059167507735</v>
      </c>
      <c r="AK44" s="13">
        <v>0.41419165669094382</v>
      </c>
      <c r="AL44" s="13">
        <v>0.43560936142538204</v>
      </c>
      <c r="AM44" s="13">
        <v>0.43563613166414367</v>
      </c>
      <c r="AN44" s="13">
        <v>0.41172504592997722</v>
      </c>
      <c r="AO44" s="13">
        <v>0.36611347052252635</v>
      </c>
      <c r="AP44" s="13">
        <v>0.33580602046074043</v>
      </c>
      <c r="AQ44" s="13">
        <v>0.34425017495463606</v>
      </c>
      <c r="AR44" s="13">
        <v>0.35297935946158721</v>
      </c>
      <c r="AS44" s="13">
        <v>0.35649180187601781</v>
      </c>
      <c r="AT44" s="13">
        <v>0.40725565387351886</v>
      </c>
      <c r="AU44" s="13">
        <v>0.42621218958759011</v>
      </c>
      <c r="AV44" s="13">
        <v>0.44624022558514642</v>
      </c>
      <c r="AW44" s="13">
        <v>0.44194489731506953</v>
      </c>
      <c r="AX44" s="13">
        <v>0.44506217069414594</v>
      </c>
      <c r="AY44" s="13">
        <v>0.39987939497178082</v>
      </c>
      <c r="AZ44" s="13">
        <v>0.35043651740042081</v>
      </c>
      <c r="BA44" s="13">
        <v>0.33495034136477347</v>
      </c>
      <c r="BB44" s="13">
        <v>0.28380943027240668</v>
      </c>
      <c r="BC44" s="13">
        <v>0.28417727054272801</v>
      </c>
      <c r="BD44" s="13">
        <v>0.28467317546210541</v>
      </c>
      <c r="BE44" s="13">
        <v>0.3059734853629742</v>
      </c>
      <c r="BF44" s="13">
        <v>0.34278768279889527</v>
      </c>
      <c r="BG44" s="13">
        <v>0.34710317080996045</v>
      </c>
      <c r="BH44" s="13">
        <v>0.30929960291678205</v>
      </c>
      <c r="BI44" s="13">
        <v>0.28882481377066677</v>
      </c>
      <c r="BJ44" s="13">
        <v>0.27137060974737054</v>
      </c>
      <c r="BK44" s="13">
        <v>0.28359579232667054</v>
      </c>
      <c r="GI44" s="9" t="s">
        <v>205</v>
      </c>
      <c r="GJ44" s="13">
        <v>0.37401548971947945</v>
      </c>
      <c r="GK44" s="13">
        <v>0.37077023649474661</v>
      </c>
      <c r="GL44" s="13">
        <v>0.36962636091167289</v>
      </c>
      <c r="GM44" s="13">
        <v>0.35139804430328259</v>
      </c>
      <c r="GN44" s="13">
        <v>0.33525819371569371</v>
      </c>
      <c r="GO44" s="13">
        <v>0.34654084604868718</v>
      </c>
      <c r="GP44" s="13">
        <v>0.35821224561980508</v>
      </c>
      <c r="GQ44" s="13">
        <v>0.39080767760674345</v>
      </c>
      <c r="GR44" s="13">
        <v>0.40515611911785865</v>
      </c>
      <c r="GS44" s="13">
        <v>0.39665233931425015</v>
      </c>
      <c r="GT44" s="13">
        <v>0.40525040014856689</v>
      </c>
      <c r="GU44" s="13">
        <v>0.40447908629100271</v>
      </c>
      <c r="GV44" s="13">
        <v>0.36299005871201734</v>
      </c>
      <c r="GW44" s="13">
        <v>0.34720617832077311</v>
      </c>
      <c r="GX44" s="13">
        <v>0.31147522890665563</v>
      </c>
      <c r="GY44" s="13">
        <v>0.34859342145011918</v>
      </c>
      <c r="GZ44" s="13">
        <v>0.34778866758342625</v>
      </c>
      <c r="HA44" s="13">
        <v>0.36878511549541132</v>
      </c>
      <c r="HB44" s="11">
        <v>0.41581011741591856</v>
      </c>
      <c r="HC44" s="13">
        <v>0.40717065665362434</v>
      </c>
      <c r="HD44" s="11">
        <v>0.21696381858191505</v>
      </c>
      <c r="HE44" s="13">
        <v>0.17719380066226539</v>
      </c>
      <c r="HF44" s="13">
        <v>0.1418096733820384</v>
      </c>
      <c r="HG44" s="13">
        <v>0.14208415895286561</v>
      </c>
      <c r="HH44" s="13">
        <v>0.12031345693647953</v>
      </c>
      <c r="HI44" s="13">
        <v>0.14450144665911266</v>
      </c>
      <c r="HJ44" s="13">
        <v>0.15567408758037085</v>
      </c>
      <c r="HK44" s="13">
        <v>0.16116726553652433</v>
      </c>
      <c r="HL44" s="13">
        <v>0.2091740741784783</v>
      </c>
      <c r="HM44" s="13">
        <v>0.23766170774775106</v>
      </c>
      <c r="HN44" s="11">
        <v>0.19287626695020557</v>
      </c>
      <c r="HO44" s="13">
        <v>0.16056216444049401</v>
      </c>
      <c r="HP44" s="13">
        <v>0.1217061810697386</v>
      </c>
      <c r="HQ44" s="13">
        <v>0.14750175047087644</v>
      </c>
      <c r="HR44" s="13">
        <v>0.13533761259395199</v>
      </c>
      <c r="HS44" s="13">
        <v>0.16133669424458891</v>
      </c>
      <c r="HT44" s="13">
        <v>0.17017406280865843</v>
      </c>
      <c r="HU44" s="13">
        <v>0.14790023062574528</v>
      </c>
      <c r="HV44" s="13">
        <v>0.17953434440637128</v>
      </c>
      <c r="HW44" s="13">
        <v>0.20232327127563629</v>
      </c>
      <c r="HX44" s="13">
        <v>0.3342122943271153</v>
      </c>
      <c r="HY44" s="13">
        <v>0.32061269669693176</v>
      </c>
      <c r="HZ44" s="13">
        <v>0.29042152294605078</v>
      </c>
      <c r="IA44" s="13">
        <v>0.26832059022727334</v>
      </c>
      <c r="IB44" s="13">
        <v>0.25125025493521819</v>
      </c>
      <c r="IC44" s="13">
        <v>0.28060573481494272</v>
      </c>
      <c r="ID44" s="13">
        <v>0.29194399991564446</v>
      </c>
      <c r="IE44" s="13">
        <v>0.30977427696005977</v>
      </c>
      <c r="IF44" s="11">
        <v>0.34171159669776974</v>
      </c>
      <c r="IG44" s="13">
        <v>0.3517134331451936</v>
      </c>
      <c r="IH44" s="13">
        <v>0.50563437846299519</v>
      </c>
      <c r="II44" s="13">
        <v>0.49307342222459233</v>
      </c>
      <c r="IJ44" s="13">
        <v>0.4915589024070296</v>
      </c>
      <c r="IK44" s="13">
        <v>0.47273083464495036</v>
      </c>
      <c r="IL44" s="13">
        <v>0.43003511253795584</v>
      </c>
      <c r="IM44" s="13">
        <v>0.43362496658645439</v>
      </c>
      <c r="IN44" s="13">
        <v>0.47158603345460165</v>
      </c>
      <c r="IO44" s="13">
        <v>0.5041048765893974</v>
      </c>
      <c r="IP44" s="13">
        <v>0.50699293489805242</v>
      </c>
      <c r="IQ44" s="13">
        <v>0.50649533638064914</v>
      </c>
      <c r="IS44" s="9" t="s">
        <v>215</v>
      </c>
      <c r="IT44" s="9" t="s">
        <v>229</v>
      </c>
      <c r="IU44" s="9" t="s">
        <v>230</v>
      </c>
      <c r="IV44" s="13">
        <v>0.47107728748903355</v>
      </c>
    </row>
    <row r="45" spans="2:256" x14ac:dyDescent="0.45">
      <c r="B45" s="8" t="s">
        <v>206</v>
      </c>
      <c r="C45" s="8" t="s">
        <v>31</v>
      </c>
      <c r="D45" s="12">
        <v>0.36817209173269366</v>
      </c>
      <c r="E45" s="12">
        <v>0.3519992113700548</v>
      </c>
      <c r="F45" s="12">
        <v>0.34307072433366004</v>
      </c>
      <c r="G45" s="12">
        <v>0.36942201352911175</v>
      </c>
      <c r="H45" s="12">
        <v>0.3765848539477698</v>
      </c>
      <c r="I45" s="12">
        <v>0.38380625344926961</v>
      </c>
      <c r="J45" s="12">
        <v>0.37869807166602132</v>
      </c>
      <c r="K45" s="12">
        <v>0.35179347589486665</v>
      </c>
      <c r="L45" s="12">
        <v>0.34373282554954276</v>
      </c>
      <c r="M45" s="12">
        <v>0.35742221455545842</v>
      </c>
      <c r="N45" s="12">
        <v>0.30506356427937509</v>
      </c>
      <c r="O45" s="12">
        <v>0.31221664406131305</v>
      </c>
      <c r="P45" s="12">
        <v>0.34478889359694648</v>
      </c>
      <c r="Q45" s="12">
        <v>0.35912481485650688</v>
      </c>
      <c r="R45" s="12">
        <v>0.35950049333002293</v>
      </c>
      <c r="S45" s="12">
        <v>0.33624686132910858</v>
      </c>
      <c r="T45" s="12">
        <v>0.33563883579371939</v>
      </c>
      <c r="U45" s="12">
        <v>0.34460611240953909</v>
      </c>
      <c r="V45" s="12">
        <v>0.30655296209885702</v>
      </c>
      <c r="W45" s="12">
        <v>0.30347770682505687</v>
      </c>
      <c r="X45" s="12">
        <v>0.31487159793627073</v>
      </c>
      <c r="Y45" s="12">
        <v>0.36272494287231782</v>
      </c>
      <c r="Z45" s="12">
        <v>0.42512985447677809</v>
      </c>
      <c r="AA45" s="12">
        <v>0.42603630904513523</v>
      </c>
      <c r="AB45" s="12">
        <v>0.44408970734901471</v>
      </c>
      <c r="AC45" s="12">
        <v>0.42945860688251664</v>
      </c>
      <c r="AD45" s="12">
        <v>0.40855852598229903</v>
      </c>
      <c r="AE45" s="12">
        <v>0.40843741403232342</v>
      </c>
      <c r="AF45" s="12">
        <v>0.357932151736157</v>
      </c>
      <c r="AG45" s="12">
        <v>0.32359457835032596</v>
      </c>
      <c r="AH45" s="12">
        <v>0.32726344461588147</v>
      </c>
      <c r="AI45" s="12">
        <v>0.36867471016636721</v>
      </c>
      <c r="AJ45" s="12">
        <v>0.47726519337309392</v>
      </c>
      <c r="AK45" s="12">
        <v>0.49617279161919126</v>
      </c>
      <c r="AL45" s="12">
        <v>0.47078882598111765</v>
      </c>
      <c r="AM45" s="12">
        <v>0.44391042967776773</v>
      </c>
      <c r="AN45" s="12">
        <v>0.42461080718168503</v>
      </c>
      <c r="AO45" s="12">
        <v>0.40822349053210683</v>
      </c>
      <c r="AP45" s="12">
        <v>0.35433079578544752</v>
      </c>
      <c r="AQ45" s="12">
        <v>0.31169557651143592</v>
      </c>
      <c r="AR45" s="12">
        <v>0.39392675656467524</v>
      </c>
      <c r="AS45" s="12">
        <v>0.38134693283369009</v>
      </c>
      <c r="AT45" s="12">
        <v>0.39732876449837662</v>
      </c>
      <c r="AU45" s="12">
        <v>0.41406023929081026</v>
      </c>
      <c r="AV45" s="12">
        <v>0.4063572313450326</v>
      </c>
      <c r="AW45" s="12">
        <v>0.38969831322505577</v>
      </c>
      <c r="AX45" s="12">
        <v>0.40070611425945662</v>
      </c>
      <c r="AY45" s="12">
        <v>0.38081246954699816</v>
      </c>
      <c r="AZ45" s="12">
        <v>0.35663176813545922</v>
      </c>
      <c r="BA45" s="12">
        <v>0.35758297860958599</v>
      </c>
      <c r="BB45" s="12">
        <v>0.29984498798939158</v>
      </c>
      <c r="BC45" s="12">
        <v>0.30601186433359623</v>
      </c>
      <c r="BD45" s="12">
        <v>0.30083720982413792</v>
      </c>
      <c r="BE45" s="12">
        <v>0.3031833043113939</v>
      </c>
      <c r="BF45" s="12">
        <v>0.32200392759055513</v>
      </c>
      <c r="BG45" s="12">
        <v>0.33648905121298045</v>
      </c>
      <c r="BH45" s="12">
        <v>0.32789351913115317</v>
      </c>
      <c r="BI45" s="12">
        <v>0.31165314892333951</v>
      </c>
      <c r="BJ45" s="12">
        <v>0.31111443325907234</v>
      </c>
      <c r="BK45" s="12">
        <v>0.30041524284724996</v>
      </c>
      <c r="GI45" s="8" t="s">
        <v>206</v>
      </c>
      <c r="GJ45" s="12">
        <v>0.35186307674249195</v>
      </c>
      <c r="GK45" s="12">
        <v>0.359475716509426</v>
      </c>
      <c r="GL45" s="12">
        <v>0.35747505621452713</v>
      </c>
      <c r="GM45" s="12">
        <v>0.34526594337534888</v>
      </c>
      <c r="GN45" s="12">
        <v>0.31026018534945599</v>
      </c>
      <c r="GO45" s="12">
        <v>0.30137467050803296</v>
      </c>
      <c r="GP45" s="12">
        <v>0.32416655036320047</v>
      </c>
      <c r="GQ45" s="12">
        <v>0.36195515862467603</v>
      </c>
      <c r="GR45" s="12">
        <v>0.38065560037085844</v>
      </c>
      <c r="GS45" s="12">
        <v>0.36743124340627442</v>
      </c>
      <c r="GT45" s="12">
        <v>0.40314708545769312</v>
      </c>
      <c r="GU45" s="12">
        <v>0.39433890742548161</v>
      </c>
      <c r="GV45" s="12">
        <v>0.34816446266577378</v>
      </c>
      <c r="GW45" s="12">
        <v>0.32786562442158457</v>
      </c>
      <c r="GX45" s="12">
        <v>0.30464061373823531</v>
      </c>
      <c r="GY45" s="12">
        <v>0.34606719644357992</v>
      </c>
      <c r="GZ45" s="12">
        <v>0.35671823070306374</v>
      </c>
      <c r="HA45" s="12">
        <v>0.36778998714077343</v>
      </c>
      <c r="HB45" s="10">
        <v>0.41412586964607673</v>
      </c>
      <c r="HC45" s="12">
        <v>0.40899827701854374</v>
      </c>
      <c r="HD45" s="10">
        <v>0.19696589499954484</v>
      </c>
      <c r="HE45" s="12">
        <v>0.17066413800022801</v>
      </c>
      <c r="HF45" s="12">
        <v>0.13097511128183253</v>
      </c>
      <c r="HG45" s="12">
        <v>0.14885364243837276</v>
      </c>
      <c r="HH45" s="12">
        <v>0.14092489764428565</v>
      </c>
      <c r="HI45" s="12">
        <v>0.16947827807463103</v>
      </c>
      <c r="HJ45" s="12">
        <v>0.16893507443257841</v>
      </c>
      <c r="HK45" s="12">
        <v>0.16061853332220649</v>
      </c>
      <c r="HL45" s="12">
        <v>0.19094782791823386</v>
      </c>
      <c r="HM45" s="12">
        <v>0.21546969923703466</v>
      </c>
      <c r="HN45" s="10">
        <v>0.20443358764148589</v>
      </c>
      <c r="HO45" s="12">
        <v>0.17454719084829851</v>
      </c>
      <c r="HP45" s="12">
        <v>0.1602839679784028</v>
      </c>
      <c r="HQ45" s="12">
        <v>0.1747165780063985</v>
      </c>
      <c r="HR45" s="12">
        <v>0.16421060814514807</v>
      </c>
      <c r="HS45" s="12">
        <v>0.20472298099536188</v>
      </c>
      <c r="HT45" s="12">
        <v>0.23338679974165991</v>
      </c>
      <c r="HU45" s="12">
        <v>0.21890790754087078</v>
      </c>
      <c r="HV45" s="12">
        <v>0.2245332693952572</v>
      </c>
      <c r="HW45" s="12">
        <v>0.24182562552847861</v>
      </c>
      <c r="HX45" s="12">
        <v>0.30874000968598014</v>
      </c>
      <c r="HY45" s="12">
        <v>0.29567282502575859</v>
      </c>
      <c r="HZ45" s="12">
        <v>0.28145836329651491</v>
      </c>
      <c r="IA45" s="12">
        <v>0.27760718025442993</v>
      </c>
      <c r="IB45" s="12">
        <v>0.25988146147171326</v>
      </c>
      <c r="IC45" s="12">
        <v>0.2807135172109837</v>
      </c>
      <c r="ID45" s="12">
        <v>0.30495511322989427</v>
      </c>
      <c r="IE45" s="12">
        <v>0.33018791206241371</v>
      </c>
      <c r="IF45" s="10">
        <v>0.34793889138723882</v>
      </c>
      <c r="IG45" s="12">
        <v>0.33894280949625982</v>
      </c>
      <c r="IH45" s="12">
        <v>0.50062066975191566</v>
      </c>
      <c r="II45" s="12">
        <v>0.50540789162919553</v>
      </c>
      <c r="IJ45" s="12">
        <v>0.50225853448876467</v>
      </c>
      <c r="IK45" s="12">
        <v>0.48279534691623299</v>
      </c>
      <c r="IL45" s="12">
        <v>0.44632600292545255</v>
      </c>
      <c r="IM45" s="12">
        <v>0.44205243032362668</v>
      </c>
      <c r="IN45" s="12">
        <v>0.45859898519388831</v>
      </c>
      <c r="IO45" s="12">
        <v>0.48476228714149749</v>
      </c>
      <c r="IP45" s="12">
        <v>0.48647324378984769</v>
      </c>
      <c r="IQ45" s="12">
        <v>0.49555253851056763</v>
      </c>
      <c r="IS45" s="8" t="s">
        <v>216</v>
      </c>
      <c r="IT45" s="8" t="s">
        <v>229</v>
      </c>
      <c r="IU45" s="8" t="s">
        <v>230</v>
      </c>
      <c r="IV45" s="12">
        <v>0.23539698842948828</v>
      </c>
    </row>
    <row r="46" spans="2:256" x14ac:dyDescent="0.45">
      <c r="B46" s="9" t="s">
        <v>207</v>
      </c>
      <c r="C46" s="9" t="s">
        <v>31</v>
      </c>
      <c r="D46" s="13">
        <v>0.37105665639524782</v>
      </c>
      <c r="E46" s="13">
        <v>0.37320978746417843</v>
      </c>
      <c r="F46" s="13">
        <v>0.38998138686688233</v>
      </c>
      <c r="G46" s="13">
        <v>0.41865674135110587</v>
      </c>
      <c r="H46" s="13">
        <v>0.43621306492917294</v>
      </c>
      <c r="I46" s="13">
        <v>0.44852924169954644</v>
      </c>
      <c r="J46" s="13">
        <v>0.42984433959920426</v>
      </c>
      <c r="K46" s="13">
        <v>0.39504274125775168</v>
      </c>
      <c r="L46" s="13">
        <v>0.38006901053280145</v>
      </c>
      <c r="M46" s="13">
        <v>0.38648832995003202</v>
      </c>
      <c r="N46" s="13">
        <v>0.28305942392822525</v>
      </c>
      <c r="O46" s="13">
        <v>0.2830250736107523</v>
      </c>
      <c r="P46" s="13">
        <v>0.33055602663358818</v>
      </c>
      <c r="Q46" s="13">
        <v>0.3485910045626609</v>
      </c>
      <c r="R46" s="13">
        <v>0.36321166914429937</v>
      </c>
      <c r="S46" s="13">
        <v>0.3725808093449009</v>
      </c>
      <c r="T46" s="13">
        <v>0.38047145929712783</v>
      </c>
      <c r="U46" s="13">
        <v>0.3809350395426952</v>
      </c>
      <c r="V46" s="13">
        <v>0.33923163151154367</v>
      </c>
      <c r="W46" s="13">
        <v>0.30419666155540503</v>
      </c>
      <c r="X46" s="13">
        <v>0.33767008523789155</v>
      </c>
      <c r="Y46" s="13">
        <v>0.35589962977697498</v>
      </c>
      <c r="Z46" s="13">
        <v>0.43394270130438917</v>
      </c>
      <c r="AA46" s="13">
        <v>0.38592109489705301</v>
      </c>
      <c r="AB46" s="13">
        <v>0.38903284036609886</v>
      </c>
      <c r="AC46" s="13">
        <v>0.40468958435730806</v>
      </c>
      <c r="AD46" s="13">
        <v>0.413738677896481</v>
      </c>
      <c r="AE46" s="13">
        <v>0.39674523012007595</v>
      </c>
      <c r="AF46" s="13">
        <v>0.37045840586542483</v>
      </c>
      <c r="AG46" s="13">
        <v>0.33890560116822732</v>
      </c>
      <c r="AH46" s="13">
        <v>0.31529163883343847</v>
      </c>
      <c r="AI46" s="13">
        <v>0.33732032237478771</v>
      </c>
      <c r="AJ46" s="13">
        <v>0.44697243543622744</v>
      </c>
      <c r="AK46" s="13">
        <v>0.44271167303856523</v>
      </c>
      <c r="AL46" s="13">
        <v>0.44278440993707491</v>
      </c>
      <c r="AM46" s="13">
        <v>0.39841869435363658</v>
      </c>
      <c r="AN46" s="13">
        <v>0.39682248514966523</v>
      </c>
      <c r="AO46" s="13">
        <v>0.40202443597461979</v>
      </c>
      <c r="AP46" s="13">
        <v>0.34364922150609511</v>
      </c>
      <c r="AQ46" s="13">
        <v>0.31800992753013535</v>
      </c>
      <c r="AR46" s="13">
        <v>0.34983475697183924</v>
      </c>
      <c r="AS46" s="13">
        <v>0.39209104928569222</v>
      </c>
      <c r="AT46" s="13">
        <v>0.43317711455404911</v>
      </c>
      <c r="AU46" s="13">
        <v>0.45208757434433133</v>
      </c>
      <c r="AV46" s="13">
        <v>0.43260491520164202</v>
      </c>
      <c r="AW46" s="13">
        <v>0.42503725322890396</v>
      </c>
      <c r="AX46" s="13">
        <v>0.40540899359193222</v>
      </c>
      <c r="AY46" s="13">
        <v>0.35059228979130835</v>
      </c>
      <c r="AZ46" s="13">
        <v>0.32014889206563568</v>
      </c>
      <c r="BA46" s="13">
        <v>0.31988194905671075</v>
      </c>
      <c r="BB46" s="13">
        <v>0.31716499903022294</v>
      </c>
      <c r="BC46" s="13">
        <v>0.30477521862099827</v>
      </c>
      <c r="BD46" s="13">
        <v>0.28762475013192235</v>
      </c>
      <c r="BE46" s="13">
        <v>0.29664476835351605</v>
      </c>
      <c r="BF46" s="13">
        <v>0.33583395834862129</v>
      </c>
      <c r="BG46" s="13">
        <v>0.34555827462814237</v>
      </c>
      <c r="BH46" s="13">
        <v>0.32298717942218447</v>
      </c>
      <c r="BI46" s="13">
        <v>0.30031745244002217</v>
      </c>
      <c r="BJ46" s="13">
        <v>0.2997947984560197</v>
      </c>
      <c r="BK46" s="13">
        <v>0.3195709725441262</v>
      </c>
      <c r="GI46" s="9" t="s">
        <v>207</v>
      </c>
      <c r="GJ46" s="13">
        <v>0.34439256817227992</v>
      </c>
      <c r="GK46" s="13">
        <v>0.35248236438088287</v>
      </c>
      <c r="GL46" s="13">
        <v>0.35998648068935013</v>
      </c>
      <c r="GM46" s="13">
        <v>0.35219952793123016</v>
      </c>
      <c r="GN46" s="13">
        <v>0.32031003488765825</v>
      </c>
      <c r="GO46" s="13">
        <v>0.31986234533714369</v>
      </c>
      <c r="GP46" s="13">
        <v>0.33792252472020051</v>
      </c>
      <c r="GQ46" s="13">
        <v>0.3704953442048482</v>
      </c>
      <c r="GR46" s="13">
        <v>0.38123544980735286</v>
      </c>
      <c r="GS46" s="13">
        <v>0.36210303154515294</v>
      </c>
      <c r="GT46" s="13">
        <v>0.39714072150420765</v>
      </c>
      <c r="GU46" s="13">
        <v>0.39365147628083547</v>
      </c>
      <c r="GV46" s="13">
        <v>0.35889052000150845</v>
      </c>
      <c r="GW46" s="13">
        <v>0.31649849499360788</v>
      </c>
      <c r="GX46" s="13">
        <v>0.26294481325646241</v>
      </c>
      <c r="GY46" s="13">
        <v>0.29890848981740437</v>
      </c>
      <c r="GZ46" s="13">
        <v>0.31734160010806362</v>
      </c>
      <c r="HA46" s="13">
        <v>0.32562717354792631</v>
      </c>
      <c r="HB46" s="11">
        <v>0.38669349885110077</v>
      </c>
      <c r="HC46" s="13">
        <v>0.40687815836055075</v>
      </c>
      <c r="HD46" s="11">
        <v>0.26570984303326067</v>
      </c>
      <c r="HE46" s="13">
        <v>0.24031797126856963</v>
      </c>
      <c r="HF46" s="13">
        <v>0.18851534364211328</v>
      </c>
      <c r="HG46" s="13">
        <v>0.18966241498211109</v>
      </c>
      <c r="HH46" s="13">
        <v>0.16520893963304067</v>
      </c>
      <c r="HI46" s="13">
        <v>0.18975088150699623</v>
      </c>
      <c r="HJ46" s="13">
        <v>0.20292216515529676</v>
      </c>
      <c r="HK46" s="13">
        <v>0.2003318406333171</v>
      </c>
      <c r="HL46" s="13">
        <v>0.23746678038481761</v>
      </c>
      <c r="HM46" s="13">
        <v>0.2885214714948256</v>
      </c>
      <c r="HN46" s="11">
        <v>0.17667878433186182</v>
      </c>
      <c r="HO46" s="13">
        <v>0.15478988295998686</v>
      </c>
      <c r="HP46" s="13">
        <v>0.11508915147157642</v>
      </c>
      <c r="HQ46" s="13">
        <v>0.14969572575026632</v>
      </c>
      <c r="HR46" s="13">
        <v>0.13917998661166461</v>
      </c>
      <c r="HS46" s="13">
        <v>0.17377809074994363</v>
      </c>
      <c r="HT46" s="13">
        <v>0.18153623681160019</v>
      </c>
      <c r="HU46" s="13">
        <v>0.16624076353349906</v>
      </c>
      <c r="HV46" s="13">
        <v>0.18161153115120363</v>
      </c>
      <c r="HW46" s="13">
        <v>0.20120826387397953</v>
      </c>
      <c r="HX46" s="13">
        <v>0.31400157692779446</v>
      </c>
      <c r="HY46" s="13">
        <v>0.30680593224678149</v>
      </c>
      <c r="HZ46" s="13">
        <v>0.2874104521123968</v>
      </c>
      <c r="IA46" s="13">
        <v>0.25951849741232802</v>
      </c>
      <c r="IB46" s="13">
        <v>0.26013116559543925</v>
      </c>
      <c r="IC46" s="13">
        <v>0.27970669261515491</v>
      </c>
      <c r="ID46" s="13">
        <v>0.285585921126356</v>
      </c>
      <c r="IE46" s="13">
        <v>0.3280527184775146</v>
      </c>
      <c r="IF46" s="11">
        <v>0.36924828859531811</v>
      </c>
      <c r="IG46" s="13">
        <v>0.36546319746012795</v>
      </c>
      <c r="IH46" s="13">
        <v>0.47053884545995528</v>
      </c>
      <c r="II46" s="13">
        <v>0.46199513137067177</v>
      </c>
      <c r="IJ46" s="13">
        <v>0.47006773858368361</v>
      </c>
      <c r="IK46" s="13">
        <v>0.46087779534594997</v>
      </c>
      <c r="IL46" s="13">
        <v>0.43444522043672235</v>
      </c>
      <c r="IM46" s="13">
        <v>0.4448111606882072</v>
      </c>
      <c r="IN46" s="13">
        <v>0.47268525181390436</v>
      </c>
      <c r="IO46" s="13">
        <v>0.49684349742515965</v>
      </c>
      <c r="IP46" s="13">
        <v>0.50082609515310128</v>
      </c>
      <c r="IQ46" s="13">
        <v>0.49719612610975888</v>
      </c>
      <c r="IS46" s="9" t="s">
        <v>217</v>
      </c>
      <c r="IT46" s="9" t="s">
        <v>229</v>
      </c>
      <c r="IU46" s="9" t="s">
        <v>230</v>
      </c>
      <c r="IV46" s="13">
        <v>0.53778064684343196</v>
      </c>
    </row>
    <row r="47" spans="2:256" x14ac:dyDescent="0.45">
      <c r="B47" s="8" t="s">
        <v>208</v>
      </c>
      <c r="C47" s="8" t="s">
        <v>31</v>
      </c>
      <c r="D47" s="12">
        <v>0.37884498706866571</v>
      </c>
      <c r="E47" s="12">
        <v>0.34489071609996941</v>
      </c>
      <c r="F47" s="12">
        <v>0.3312446794756162</v>
      </c>
      <c r="G47" s="12">
        <v>0.35566376488886853</v>
      </c>
      <c r="H47" s="12">
        <v>0.38058442297763168</v>
      </c>
      <c r="I47" s="12">
        <v>0.41607044182600406</v>
      </c>
      <c r="J47" s="12">
        <v>0.42468745659940921</v>
      </c>
      <c r="K47" s="12">
        <v>0.37774991130127944</v>
      </c>
      <c r="L47" s="12">
        <v>0.36458758365257438</v>
      </c>
      <c r="M47" s="12">
        <v>0.37730657051909033</v>
      </c>
      <c r="N47" s="12">
        <v>0.30713836999631638</v>
      </c>
      <c r="O47" s="12">
        <v>0.29938168200456555</v>
      </c>
      <c r="P47" s="12">
        <v>0.34475382221962897</v>
      </c>
      <c r="Q47" s="12">
        <v>0.37787321918819133</v>
      </c>
      <c r="R47" s="12">
        <v>0.38409151667690022</v>
      </c>
      <c r="S47" s="12">
        <v>0.36831974236628257</v>
      </c>
      <c r="T47" s="12">
        <v>0.35994084815008687</v>
      </c>
      <c r="U47" s="12">
        <v>0.35150586189779004</v>
      </c>
      <c r="V47" s="12">
        <v>0.32672332487039302</v>
      </c>
      <c r="W47" s="12">
        <v>0.32989074613875835</v>
      </c>
      <c r="X47" s="12">
        <v>0.34307709448464829</v>
      </c>
      <c r="Y47" s="12">
        <v>0.37947532981668092</v>
      </c>
      <c r="Z47" s="12">
        <v>0.43091830555793714</v>
      </c>
      <c r="AA47" s="12">
        <v>0.41649175226312696</v>
      </c>
      <c r="AB47" s="12">
        <v>0.41544611993165709</v>
      </c>
      <c r="AC47" s="12">
        <v>0.4131277949794866</v>
      </c>
      <c r="AD47" s="12">
        <v>0.40517971527161478</v>
      </c>
      <c r="AE47" s="12">
        <v>0.40406320236485049</v>
      </c>
      <c r="AF47" s="12">
        <v>0.37489391651553861</v>
      </c>
      <c r="AG47" s="12">
        <v>0.33548341539455473</v>
      </c>
      <c r="AH47" s="12">
        <v>0.33522899883856511</v>
      </c>
      <c r="AI47" s="12">
        <v>0.34738200244555262</v>
      </c>
      <c r="AJ47" s="12">
        <v>0.48463102496826965</v>
      </c>
      <c r="AK47" s="12">
        <v>0.45984293293794726</v>
      </c>
      <c r="AL47" s="12">
        <v>0.42843276654998691</v>
      </c>
      <c r="AM47" s="12">
        <v>0.40887931502820923</v>
      </c>
      <c r="AN47" s="12">
        <v>0.40196612237433127</v>
      </c>
      <c r="AO47" s="12">
        <v>0.39642897327914173</v>
      </c>
      <c r="AP47" s="12">
        <v>0.33741106710288798</v>
      </c>
      <c r="AQ47" s="12">
        <v>0.3166704815373857</v>
      </c>
      <c r="AR47" s="12">
        <v>0.36771906226254103</v>
      </c>
      <c r="AS47" s="12">
        <v>0.3868419482601228</v>
      </c>
      <c r="AT47" s="12">
        <v>0.4307975061827885</v>
      </c>
      <c r="AU47" s="12">
        <v>0.47746821469769035</v>
      </c>
      <c r="AV47" s="12">
        <v>0.48704028632101604</v>
      </c>
      <c r="AW47" s="12">
        <v>0.46127854530974122</v>
      </c>
      <c r="AX47" s="12">
        <v>0.43267647632827166</v>
      </c>
      <c r="AY47" s="12">
        <v>0.38713545805250499</v>
      </c>
      <c r="AZ47" s="12">
        <v>0.35570083217275383</v>
      </c>
      <c r="BA47" s="12">
        <v>0.34219943177656109</v>
      </c>
      <c r="BB47" s="12">
        <v>0.31462211711485694</v>
      </c>
      <c r="BC47" s="12">
        <v>0.32828716148209397</v>
      </c>
      <c r="BD47" s="12">
        <v>0.31500886335869377</v>
      </c>
      <c r="BE47" s="12">
        <v>0.31841873734925819</v>
      </c>
      <c r="BF47" s="12">
        <v>0.34398336860518336</v>
      </c>
      <c r="BG47" s="12">
        <v>0.34285167948760031</v>
      </c>
      <c r="BH47" s="12">
        <v>0.33244191271043749</v>
      </c>
      <c r="BI47" s="12">
        <v>0.30498609063930304</v>
      </c>
      <c r="BJ47" s="12">
        <v>0.30499911328168899</v>
      </c>
      <c r="BK47" s="12">
        <v>0.31273512712236001</v>
      </c>
      <c r="GI47" s="8" t="s">
        <v>208</v>
      </c>
      <c r="GJ47" s="12">
        <v>0.36944838828436627</v>
      </c>
      <c r="GK47" s="12">
        <v>0.3777388205429113</v>
      </c>
      <c r="GL47" s="12">
        <v>0.38474746943811478</v>
      </c>
      <c r="GM47" s="12">
        <v>0.37757289035377173</v>
      </c>
      <c r="GN47" s="12">
        <v>0.33802023940220977</v>
      </c>
      <c r="GO47" s="12">
        <v>0.32021732014115306</v>
      </c>
      <c r="GP47" s="12">
        <v>0.33291219732941513</v>
      </c>
      <c r="GQ47" s="12">
        <v>0.3773193283698188</v>
      </c>
      <c r="GR47" s="12">
        <v>0.39204431139948226</v>
      </c>
      <c r="GS47" s="12">
        <v>0.38255549496394026</v>
      </c>
      <c r="GT47" s="12">
        <v>0.4012571802417717</v>
      </c>
      <c r="GU47" s="12">
        <v>0.39786440721867566</v>
      </c>
      <c r="GV47" s="12">
        <v>0.36127997129382161</v>
      </c>
      <c r="GW47" s="12">
        <v>0.33017879151520091</v>
      </c>
      <c r="GX47" s="12">
        <v>0.30544055046713015</v>
      </c>
      <c r="GY47" s="12">
        <v>0.33868219586127574</v>
      </c>
      <c r="GZ47" s="12">
        <v>0.34280471443583266</v>
      </c>
      <c r="HA47" s="12">
        <v>0.36143637489249292</v>
      </c>
      <c r="HB47" s="10">
        <v>0.40628058383334326</v>
      </c>
      <c r="HC47" s="12">
        <v>0.40275357241665732</v>
      </c>
      <c r="HD47" s="10">
        <v>0.25390578222063775</v>
      </c>
      <c r="HE47" s="12">
        <v>0.20409456858596331</v>
      </c>
      <c r="HF47" s="12">
        <v>0.15850993152170148</v>
      </c>
      <c r="HG47" s="12">
        <v>0.18315132678176405</v>
      </c>
      <c r="HH47" s="12">
        <v>0.15418346711837863</v>
      </c>
      <c r="HI47" s="12">
        <v>0.18174041960268059</v>
      </c>
      <c r="HJ47" s="12">
        <v>0.1878764196032281</v>
      </c>
      <c r="HK47" s="12">
        <v>0.19843103070723897</v>
      </c>
      <c r="HL47" s="12">
        <v>0.22721723121858925</v>
      </c>
      <c r="HM47" s="12">
        <v>0.27508745391384554</v>
      </c>
      <c r="HN47" s="10">
        <v>0.1894747114374937</v>
      </c>
      <c r="HO47" s="12">
        <v>0.15290435509578312</v>
      </c>
      <c r="HP47" s="12">
        <v>0.13039020349723487</v>
      </c>
      <c r="HQ47" s="12">
        <v>0.15266335977265238</v>
      </c>
      <c r="HR47" s="12">
        <v>0.14598922973048098</v>
      </c>
      <c r="HS47" s="12">
        <v>0.1981587270027873</v>
      </c>
      <c r="HT47" s="12">
        <v>0.23188011606140715</v>
      </c>
      <c r="HU47" s="12">
        <v>0.20794297516939431</v>
      </c>
      <c r="HV47" s="12">
        <v>0.20536133619501679</v>
      </c>
      <c r="HW47" s="12">
        <v>0.21381739020204549</v>
      </c>
      <c r="HX47" s="12">
        <v>0.31888568856414568</v>
      </c>
      <c r="HY47" s="12">
        <v>0.29469133315656515</v>
      </c>
      <c r="HZ47" s="12">
        <v>0.27514290128075441</v>
      </c>
      <c r="IA47" s="12">
        <v>0.26490456754056241</v>
      </c>
      <c r="IB47" s="12">
        <v>0.25582387147856495</v>
      </c>
      <c r="IC47" s="12">
        <v>0.27382130098788848</v>
      </c>
      <c r="ID47" s="12">
        <v>0.28630059402226726</v>
      </c>
      <c r="IE47" s="12">
        <v>0.32099857123400977</v>
      </c>
      <c r="IF47" s="10">
        <v>0.34367854471533887</v>
      </c>
      <c r="IG47" s="12">
        <v>0.34670674640802362</v>
      </c>
      <c r="IH47" s="12">
        <v>0.49230378798256991</v>
      </c>
      <c r="II47" s="12">
        <v>0.48144922354763758</v>
      </c>
      <c r="IJ47" s="12">
        <v>0.47841518299049096</v>
      </c>
      <c r="IK47" s="12">
        <v>0.4607199510374404</v>
      </c>
      <c r="IL47" s="12">
        <v>0.4508274890710029</v>
      </c>
      <c r="IM47" s="12">
        <v>0.43863983893605152</v>
      </c>
      <c r="IN47" s="12">
        <v>0.45831317625682333</v>
      </c>
      <c r="IO47" s="12">
        <v>0.49086748903020039</v>
      </c>
      <c r="IP47" s="12">
        <v>0.50035692461106118</v>
      </c>
      <c r="IQ47" s="12">
        <v>0.50316484059089817</v>
      </c>
      <c r="IS47" s="8" t="s">
        <v>218</v>
      </c>
      <c r="IT47" s="8" t="s">
        <v>229</v>
      </c>
      <c r="IU47" s="8" t="s">
        <v>230</v>
      </c>
      <c r="IV47" s="12">
        <v>0.38305431701086873</v>
      </c>
    </row>
    <row r="48" spans="2:256" x14ac:dyDescent="0.45">
      <c r="B48" s="9" t="s">
        <v>209</v>
      </c>
      <c r="C48" s="9" t="s">
        <v>31</v>
      </c>
      <c r="D48" s="13">
        <v>0.37971084954951784</v>
      </c>
      <c r="E48" s="13">
        <v>0.37095439520524232</v>
      </c>
      <c r="F48" s="13">
        <v>0.36164367331465097</v>
      </c>
      <c r="G48" s="13">
        <v>0.3816647971175679</v>
      </c>
      <c r="H48" s="13">
        <v>0.3877979187408378</v>
      </c>
      <c r="I48" s="13">
        <v>0.40382758618577924</v>
      </c>
      <c r="J48" s="13">
        <v>0.4004129239258824</v>
      </c>
      <c r="K48" s="13">
        <v>0.35892961834667725</v>
      </c>
      <c r="L48" s="13">
        <v>0.35127200926707813</v>
      </c>
      <c r="M48" s="13">
        <v>0.3739535101089671</v>
      </c>
      <c r="N48" s="13">
        <v>0.33470254468882121</v>
      </c>
      <c r="O48" s="13">
        <v>0.31397422059610774</v>
      </c>
      <c r="P48" s="13">
        <v>0.34771881649372105</v>
      </c>
      <c r="Q48" s="13">
        <v>0.37940133335355181</v>
      </c>
      <c r="R48" s="13">
        <v>0.39289128878707064</v>
      </c>
      <c r="S48" s="13">
        <v>0.36572589509784043</v>
      </c>
      <c r="T48" s="13">
        <v>0.36549678982989753</v>
      </c>
      <c r="U48" s="13">
        <v>0.37632764817027931</v>
      </c>
      <c r="V48" s="13">
        <v>0.33701359916684809</v>
      </c>
      <c r="W48" s="13">
        <v>0.32790917077838105</v>
      </c>
      <c r="X48" s="13">
        <v>0.35127794607661239</v>
      </c>
      <c r="Y48" s="13">
        <v>0.37095198385672745</v>
      </c>
      <c r="Z48" s="13">
        <v>0.47544222851084605</v>
      </c>
      <c r="AA48" s="13">
        <v>0.46869240352652702</v>
      </c>
      <c r="AB48" s="13">
        <v>0.46289949370268935</v>
      </c>
      <c r="AC48" s="13">
        <v>0.42644683262717559</v>
      </c>
      <c r="AD48" s="13">
        <v>0.38604453621580376</v>
      </c>
      <c r="AE48" s="13">
        <v>0.37840966934132614</v>
      </c>
      <c r="AF48" s="13">
        <v>0.35214786455150249</v>
      </c>
      <c r="AG48" s="13">
        <v>0.37882429472257173</v>
      </c>
      <c r="AH48" s="13">
        <v>0.36565496989938745</v>
      </c>
      <c r="AI48" s="13">
        <v>0.38748037510178612</v>
      </c>
      <c r="AJ48" s="13">
        <v>0.48098848903469132</v>
      </c>
      <c r="AK48" s="13">
        <v>0.4778462359785155</v>
      </c>
      <c r="AL48" s="13">
        <v>0.45758080380049526</v>
      </c>
      <c r="AM48" s="13">
        <v>0.42632522221367553</v>
      </c>
      <c r="AN48" s="13">
        <v>0.39063369438488499</v>
      </c>
      <c r="AO48" s="13">
        <v>0.38177979444128279</v>
      </c>
      <c r="AP48" s="13">
        <v>0.35264446127318472</v>
      </c>
      <c r="AQ48" s="13">
        <v>0.35846223328718702</v>
      </c>
      <c r="AR48" s="13">
        <v>0.40960695179113316</v>
      </c>
      <c r="AS48" s="13">
        <v>0.3988108911062675</v>
      </c>
      <c r="AT48" s="13">
        <v>0.43635078069717143</v>
      </c>
      <c r="AU48" s="13">
        <v>0.46000915381925056</v>
      </c>
      <c r="AV48" s="13">
        <v>0.45146016615005702</v>
      </c>
      <c r="AW48" s="13">
        <v>0.43514841182839742</v>
      </c>
      <c r="AX48" s="13">
        <v>0.43478295340679657</v>
      </c>
      <c r="AY48" s="13">
        <v>0.40076204395776699</v>
      </c>
      <c r="AZ48" s="13">
        <v>0.35793935745676819</v>
      </c>
      <c r="BA48" s="13">
        <v>0.37307589177386002</v>
      </c>
      <c r="BB48" s="13">
        <v>0.27815399201680824</v>
      </c>
      <c r="BC48" s="13">
        <v>0.2869414089866803</v>
      </c>
      <c r="BD48" s="13">
        <v>0.2827905891619687</v>
      </c>
      <c r="BE48" s="13">
        <v>0.27958900794877811</v>
      </c>
      <c r="BF48" s="13">
        <v>0.30895692697889959</v>
      </c>
      <c r="BG48" s="13">
        <v>0.32653317171993712</v>
      </c>
      <c r="BH48" s="13">
        <v>0.32520091186361932</v>
      </c>
      <c r="BI48" s="13">
        <v>0.3086535388585287</v>
      </c>
      <c r="BJ48" s="13">
        <v>0.30314896060726937</v>
      </c>
      <c r="BK48" s="13">
        <v>0.29658523924829849</v>
      </c>
      <c r="GI48" s="9" t="s">
        <v>209</v>
      </c>
      <c r="GJ48" s="13">
        <v>0.33931894444323307</v>
      </c>
      <c r="GK48" s="13">
        <v>0.33580865747507055</v>
      </c>
      <c r="GL48" s="13">
        <v>0.33363150602089198</v>
      </c>
      <c r="GM48" s="13">
        <v>0.32012401444202099</v>
      </c>
      <c r="GN48" s="13">
        <v>0.28844851316046327</v>
      </c>
      <c r="GO48" s="13">
        <v>0.28241703721174882</v>
      </c>
      <c r="GP48" s="13">
        <v>0.2986827782501239</v>
      </c>
      <c r="GQ48" s="13">
        <v>0.34728904807721178</v>
      </c>
      <c r="GR48" s="13">
        <v>0.3650613020330275</v>
      </c>
      <c r="GS48" s="13">
        <v>0.35325761840568831</v>
      </c>
      <c r="GT48" s="13">
        <v>0.37049917141220767</v>
      </c>
      <c r="GU48" s="13">
        <v>0.35868291103406502</v>
      </c>
      <c r="GV48" s="13">
        <v>0.31882470051740819</v>
      </c>
      <c r="GW48" s="13">
        <v>0.31238188314175219</v>
      </c>
      <c r="GX48" s="13">
        <v>0.29035322327967195</v>
      </c>
      <c r="GY48" s="13">
        <v>0.32855880591308795</v>
      </c>
      <c r="GZ48" s="13">
        <v>0.33882579291842968</v>
      </c>
      <c r="HA48" s="13">
        <v>0.33932241844705385</v>
      </c>
      <c r="HB48" s="11">
        <v>0.37433328039413166</v>
      </c>
      <c r="HC48" s="13">
        <v>0.37558041424827421</v>
      </c>
      <c r="HD48" s="11">
        <v>0.21082029820548936</v>
      </c>
      <c r="HE48" s="13">
        <v>0.17708171062890005</v>
      </c>
      <c r="HF48" s="13">
        <v>0.14524620237698768</v>
      </c>
      <c r="HG48" s="13">
        <v>0.15577214507918824</v>
      </c>
      <c r="HH48" s="13">
        <v>0.14219804022921287</v>
      </c>
      <c r="HI48" s="13">
        <v>0.14896962126958255</v>
      </c>
      <c r="HJ48" s="13">
        <v>0.1571350386854132</v>
      </c>
      <c r="HK48" s="13">
        <v>0.15940141202339214</v>
      </c>
      <c r="HL48" s="13">
        <v>0.19359561904463102</v>
      </c>
      <c r="HM48" s="13">
        <v>0.21603948678162721</v>
      </c>
      <c r="HN48" s="11">
        <v>0.19170199579618963</v>
      </c>
      <c r="HO48" s="13">
        <v>0.18259419320000478</v>
      </c>
      <c r="HP48" s="13">
        <v>0.16562788022250136</v>
      </c>
      <c r="HQ48" s="13">
        <v>0.18257636945914732</v>
      </c>
      <c r="HR48" s="13">
        <v>0.1823401320452496</v>
      </c>
      <c r="HS48" s="13">
        <v>0.22822746016811904</v>
      </c>
      <c r="HT48" s="13">
        <v>0.25532970245757747</v>
      </c>
      <c r="HU48" s="13">
        <v>0.21502869215483064</v>
      </c>
      <c r="HV48" s="13">
        <v>0.19916991969205397</v>
      </c>
      <c r="HW48" s="13">
        <v>0.20675012406371629</v>
      </c>
      <c r="HX48" s="13">
        <v>0.31026316832070122</v>
      </c>
      <c r="HY48" s="13">
        <v>0.29417640286782459</v>
      </c>
      <c r="HZ48" s="13">
        <v>0.27812859642444154</v>
      </c>
      <c r="IA48" s="13">
        <v>0.27824882321920774</v>
      </c>
      <c r="IB48" s="13">
        <v>0.26824905468689847</v>
      </c>
      <c r="IC48" s="13">
        <v>0.28383682645426467</v>
      </c>
      <c r="ID48" s="13">
        <v>0.30096784637655316</v>
      </c>
      <c r="IE48" s="13">
        <v>0.32294024911186531</v>
      </c>
      <c r="IF48" s="11">
        <v>0.33917989007663385</v>
      </c>
      <c r="IG48" s="13">
        <v>0.33468972597452462</v>
      </c>
      <c r="IH48" s="13">
        <v>0.53237571734969935</v>
      </c>
      <c r="II48" s="13">
        <v>0.53012704492132801</v>
      </c>
      <c r="IJ48" s="13">
        <v>0.51467386843037832</v>
      </c>
      <c r="IK48" s="13">
        <v>0.49129950547929024</v>
      </c>
      <c r="IL48" s="13">
        <v>0.46868846976980538</v>
      </c>
      <c r="IM48" s="13">
        <v>0.46204071036629923</v>
      </c>
      <c r="IN48" s="13">
        <v>0.47334900656390311</v>
      </c>
      <c r="IO48" s="13">
        <v>0.50182473637259717</v>
      </c>
      <c r="IP48" s="13">
        <v>0.51450589080075992</v>
      </c>
      <c r="IQ48" s="13">
        <v>0.53033199211736826</v>
      </c>
      <c r="IS48" s="9" t="s">
        <v>219</v>
      </c>
      <c r="IT48" s="9" t="s">
        <v>229</v>
      </c>
      <c r="IU48" s="9" t="s">
        <v>230</v>
      </c>
      <c r="IV48" s="13">
        <v>0.38531616931543206</v>
      </c>
    </row>
    <row r="49" spans="2:256" x14ac:dyDescent="0.45">
      <c r="B49" s="8" t="s">
        <v>210</v>
      </c>
      <c r="C49" s="8" t="s">
        <v>31</v>
      </c>
      <c r="D49" s="12">
        <v>0.38213701919679394</v>
      </c>
      <c r="E49" s="12">
        <v>0.38110822711747117</v>
      </c>
      <c r="F49" s="12">
        <v>0.37541542381463233</v>
      </c>
      <c r="G49" s="12">
        <v>0.39048636030284978</v>
      </c>
      <c r="H49" s="12">
        <v>0.40261290279855261</v>
      </c>
      <c r="I49" s="12">
        <v>0.40350862112054214</v>
      </c>
      <c r="J49" s="12">
        <v>0.38123102789736979</v>
      </c>
      <c r="K49" s="12">
        <v>0.36486820629128081</v>
      </c>
      <c r="L49" s="12">
        <v>0.37169029132406745</v>
      </c>
      <c r="M49" s="12">
        <v>0.39031715292793401</v>
      </c>
      <c r="N49" s="12">
        <v>0.32326890770979361</v>
      </c>
      <c r="O49" s="12">
        <v>0.29979723320417878</v>
      </c>
      <c r="P49" s="12">
        <v>0.32364135276273076</v>
      </c>
      <c r="Q49" s="12">
        <v>0.36077847147695274</v>
      </c>
      <c r="R49" s="12">
        <v>0.39618652359132572</v>
      </c>
      <c r="S49" s="12">
        <v>0.38004679579838585</v>
      </c>
      <c r="T49" s="12">
        <v>0.35982179026752775</v>
      </c>
      <c r="U49" s="12">
        <v>0.34696605228802413</v>
      </c>
      <c r="V49" s="12">
        <v>0.30514542236407499</v>
      </c>
      <c r="W49" s="12">
        <v>0.32099425824642996</v>
      </c>
      <c r="X49" s="12">
        <v>0.3692924549704607</v>
      </c>
      <c r="Y49" s="12">
        <v>0.39555220549561354</v>
      </c>
      <c r="Z49" s="12">
        <v>0.45822630477102316</v>
      </c>
      <c r="AA49" s="12">
        <v>0.45003145288711466</v>
      </c>
      <c r="AB49" s="12">
        <v>0.43845113583350653</v>
      </c>
      <c r="AC49" s="12">
        <v>0.40631867441453356</v>
      </c>
      <c r="AD49" s="12">
        <v>0.38723786458349246</v>
      </c>
      <c r="AE49" s="12">
        <v>0.3903995615022709</v>
      </c>
      <c r="AF49" s="12">
        <v>0.39031484492816326</v>
      </c>
      <c r="AG49" s="12">
        <v>0.36268185372858042</v>
      </c>
      <c r="AH49" s="12">
        <v>0.38686979674368094</v>
      </c>
      <c r="AI49" s="12">
        <v>0.36911623292450951</v>
      </c>
      <c r="AJ49" s="12">
        <v>0.49633620417725938</v>
      </c>
      <c r="AK49" s="12">
        <v>0.46762702781484622</v>
      </c>
      <c r="AL49" s="12">
        <v>0.4574279839327246</v>
      </c>
      <c r="AM49" s="12">
        <v>0.45158453262773995</v>
      </c>
      <c r="AN49" s="12">
        <v>0.44542732823479636</v>
      </c>
      <c r="AO49" s="12">
        <v>0.44139502870317954</v>
      </c>
      <c r="AP49" s="12">
        <v>0.38056569857690831</v>
      </c>
      <c r="AQ49" s="12">
        <v>0.37194005733268726</v>
      </c>
      <c r="AR49" s="12">
        <v>0.37081732942713375</v>
      </c>
      <c r="AS49" s="12">
        <v>0.39135449231396346</v>
      </c>
      <c r="AT49" s="12">
        <v>0.42730404039554742</v>
      </c>
      <c r="AU49" s="12">
        <v>0.46649497245029181</v>
      </c>
      <c r="AV49" s="12">
        <v>0.46169275927043857</v>
      </c>
      <c r="AW49" s="12">
        <v>0.45309628044713074</v>
      </c>
      <c r="AX49" s="12">
        <v>0.4405651904455723</v>
      </c>
      <c r="AY49" s="12">
        <v>0.3907322775523952</v>
      </c>
      <c r="AZ49" s="12">
        <v>0.32904948529805039</v>
      </c>
      <c r="BA49" s="12">
        <v>0.33420700767871903</v>
      </c>
      <c r="BB49" s="12">
        <v>0.26821365292599159</v>
      </c>
      <c r="BC49" s="12">
        <v>0.27234068042134246</v>
      </c>
      <c r="BD49" s="12">
        <v>0.26174377036336205</v>
      </c>
      <c r="BE49" s="12">
        <v>0.26667204131257244</v>
      </c>
      <c r="BF49" s="12">
        <v>0.29889185284217723</v>
      </c>
      <c r="BG49" s="12">
        <v>0.30638609939946326</v>
      </c>
      <c r="BH49" s="12">
        <v>0.3153467054221033</v>
      </c>
      <c r="BI49" s="12">
        <v>0.28976942539695194</v>
      </c>
      <c r="BJ49" s="12">
        <v>0.29055422407626819</v>
      </c>
      <c r="BK49" s="12">
        <v>0.27687206239517881</v>
      </c>
      <c r="GI49" s="8" t="s">
        <v>210</v>
      </c>
      <c r="GJ49" s="12">
        <v>0.36406372413486693</v>
      </c>
      <c r="GK49" s="12">
        <v>0.35448078737551969</v>
      </c>
      <c r="GL49" s="12">
        <v>0.36719926537458775</v>
      </c>
      <c r="GM49" s="12">
        <v>0.36399160161711008</v>
      </c>
      <c r="GN49" s="12">
        <v>0.32898957054392253</v>
      </c>
      <c r="GO49" s="12">
        <v>0.33066373798336712</v>
      </c>
      <c r="GP49" s="12">
        <v>0.34297056425935962</v>
      </c>
      <c r="GQ49" s="12">
        <v>0.38077752481771648</v>
      </c>
      <c r="GR49" s="12">
        <v>0.38775982505428525</v>
      </c>
      <c r="GS49" s="12">
        <v>0.37688770881370576</v>
      </c>
      <c r="GT49" s="12">
        <v>0.38414530532753655</v>
      </c>
      <c r="GU49" s="12">
        <v>0.39843065976881603</v>
      </c>
      <c r="GV49" s="12">
        <v>0.35347132521949587</v>
      </c>
      <c r="GW49" s="12">
        <v>0.31822730235421692</v>
      </c>
      <c r="GX49" s="12">
        <v>0.29592916782472112</v>
      </c>
      <c r="GY49" s="12">
        <v>0.33195499309981114</v>
      </c>
      <c r="GZ49" s="12">
        <v>0.34186800745958978</v>
      </c>
      <c r="HA49" s="12">
        <v>0.36065740209791419</v>
      </c>
      <c r="HB49" s="10">
        <v>0.39076931138514986</v>
      </c>
      <c r="HC49" s="12">
        <v>0.39090893669765453</v>
      </c>
      <c r="HD49" s="10">
        <v>0.25665650642270776</v>
      </c>
      <c r="HE49" s="12">
        <v>0.22237689750429723</v>
      </c>
      <c r="HF49" s="12">
        <v>0.16880095905315146</v>
      </c>
      <c r="HG49" s="12">
        <v>0.18641722654942436</v>
      </c>
      <c r="HH49" s="12">
        <v>0.18358306839377445</v>
      </c>
      <c r="HI49" s="12">
        <v>0.2087459963489067</v>
      </c>
      <c r="HJ49" s="12">
        <v>0.21023420105764842</v>
      </c>
      <c r="HK49" s="12">
        <v>0.2074146916934701</v>
      </c>
      <c r="HL49" s="12">
        <v>0.2405289620591067</v>
      </c>
      <c r="HM49" s="12">
        <v>0.27957973338643233</v>
      </c>
      <c r="HN49" s="10">
        <v>0.19265079193113852</v>
      </c>
      <c r="HO49" s="12">
        <v>0.17317508333716289</v>
      </c>
      <c r="HP49" s="12">
        <v>0.15899056986584725</v>
      </c>
      <c r="HQ49" s="12">
        <v>0.18202583467701927</v>
      </c>
      <c r="HR49" s="12">
        <v>0.17826687949676054</v>
      </c>
      <c r="HS49" s="12">
        <v>0.22996032730441943</v>
      </c>
      <c r="HT49" s="12">
        <v>0.23502636065340535</v>
      </c>
      <c r="HU49" s="12">
        <v>0.20052016574204096</v>
      </c>
      <c r="HV49" s="12">
        <v>0.20095516934188959</v>
      </c>
      <c r="HW49" s="12">
        <v>0.19849212663984422</v>
      </c>
      <c r="HX49" s="12">
        <v>0.3330243370085722</v>
      </c>
      <c r="HY49" s="12">
        <v>0.31790049428105266</v>
      </c>
      <c r="HZ49" s="12">
        <v>0.29997466222697772</v>
      </c>
      <c r="IA49" s="12">
        <v>0.29738088229022236</v>
      </c>
      <c r="IB49" s="12">
        <v>0.29093180968057403</v>
      </c>
      <c r="IC49" s="12">
        <v>0.31103950263376395</v>
      </c>
      <c r="ID49" s="12">
        <v>0.333057963176567</v>
      </c>
      <c r="IE49" s="12">
        <v>0.35622871630076203</v>
      </c>
      <c r="IF49" s="10">
        <v>0.37185599025229044</v>
      </c>
      <c r="IG49" s="12">
        <v>0.37644839499455274</v>
      </c>
      <c r="IH49" s="12">
        <v>0.54602190624737434</v>
      </c>
      <c r="II49" s="12">
        <v>0.54000917547629124</v>
      </c>
      <c r="IJ49" s="12">
        <v>0.53467322384296612</v>
      </c>
      <c r="IK49" s="12">
        <v>0.53056762085469988</v>
      </c>
      <c r="IL49" s="12">
        <v>0.50187716218534506</v>
      </c>
      <c r="IM49" s="12">
        <v>0.49996837480334838</v>
      </c>
      <c r="IN49" s="12">
        <v>0.50908350588171736</v>
      </c>
      <c r="IO49" s="12">
        <v>0.5332770089117832</v>
      </c>
      <c r="IP49" s="12">
        <v>0.54718048710568767</v>
      </c>
      <c r="IQ49" s="12">
        <v>0.55738032407323812</v>
      </c>
      <c r="IS49" s="8" t="s">
        <v>220</v>
      </c>
      <c r="IT49" s="8" t="s">
        <v>229</v>
      </c>
      <c r="IU49" s="8" t="s">
        <v>230</v>
      </c>
      <c r="IV49" s="12">
        <v>0.43530219900228068</v>
      </c>
    </row>
    <row r="50" spans="2:256" x14ac:dyDescent="0.45">
      <c r="B50" s="9" t="s">
        <v>211</v>
      </c>
      <c r="C50" s="9" t="s">
        <v>31</v>
      </c>
      <c r="D50" s="13">
        <v>0.37950536463202189</v>
      </c>
      <c r="E50" s="13">
        <v>0.36853448004347972</v>
      </c>
      <c r="F50" s="13">
        <v>0.36106417709732574</v>
      </c>
      <c r="G50" s="13">
        <v>0.37266158882299177</v>
      </c>
      <c r="H50" s="13">
        <v>0.38387110050477358</v>
      </c>
      <c r="I50" s="13">
        <v>0.38374345643125157</v>
      </c>
      <c r="J50" s="13">
        <v>0.38877339483862683</v>
      </c>
      <c r="K50" s="13">
        <v>0.37716240609760288</v>
      </c>
      <c r="L50" s="13">
        <v>0.36362902377425282</v>
      </c>
      <c r="M50" s="13">
        <v>0.37282948324805837</v>
      </c>
      <c r="N50" s="13">
        <v>0.3026555586596989</v>
      </c>
      <c r="O50" s="13">
        <v>0.29561166685890999</v>
      </c>
      <c r="P50" s="13">
        <v>0.3207830579643775</v>
      </c>
      <c r="Q50" s="13">
        <v>0.35849036425033626</v>
      </c>
      <c r="R50" s="13">
        <v>0.36024822965858744</v>
      </c>
      <c r="S50" s="13">
        <v>0.34517076450610712</v>
      </c>
      <c r="T50" s="13">
        <v>0.33485821408440181</v>
      </c>
      <c r="U50" s="13">
        <v>0.32824260770011654</v>
      </c>
      <c r="V50" s="13">
        <v>0.31037021956185573</v>
      </c>
      <c r="W50" s="13">
        <v>0.2971440168273925</v>
      </c>
      <c r="X50" s="13">
        <v>0.34744425357705561</v>
      </c>
      <c r="Y50" s="13">
        <v>0.35896076945912619</v>
      </c>
      <c r="Z50" s="13">
        <v>0.41588604742024748</v>
      </c>
      <c r="AA50" s="13">
        <v>0.39852588284455148</v>
      </c>
      <c r="AB50" s="13">
        <v>0.42844735953113594</v>
      </c>
      <c r="AC50" s="13">
        <v>0.42078723114161232</v>
      </c>
      <c r="AD50" s="13">
        <v>0.40877373697154606</v>
      </c>
      <c r="AE50" s="13">
        <v>0.39880786156402442</v>
      </c>
      <c r="AF50" s="13">
        <v>0.36361687705878171</v>
      </c>
      <c r="AG50" s="13">
        <v>0.34265072193652907</v>
      </c>
      <c r="AH50" s="13">
        <v>0.34865688726880251</v>
      </c>
      <c r="AI50" s="13">
        <v>0.35761350824142085</v>
      </c>
      <c r="AJ50" s="13">
        <v>0.42297787070425952</v>
      </c>
      <c r="AK50" s="13">
        <v>0.41941739175021603</v>
      </c>
      <c r="AL50" s="13">
        <v>0.4074804590918969</v>
      </c>
      <c r="AM50" s="13">
        <v>0.41477118891787512</v>
      </c>
      <c r="AN50" s="13">
        <v>0.39264114867637312</v>
      </c>
      <c r="AO50" s="13">
        <v>0.38029402655054456</v>
      </c>
      <c r="AP50" s="13">
        <v>0.37174412085850084</v>
      </c>
      <c r="AQ50" s="13">
        <v>0.37015880121671257</v>
      </c>
      <c r="AR50" s="13">
        <v>0.33528001372272725</v>
      </c>
      <c r="AS50" s="13">
        <v>0.33156721919227494</v>
      </c>
      <c r="AT50" s="13">
        <v>0.33732764904774332</v>
      </c>
      <c r="AU50" s="13">
        <v>0.38505363743220616</v>
      </c>
      <c r="AV50" s="13">
        <v>0.38352136273187526</v>
      </c>
      <c r="AW50" s="13">
        <v>0.37336867545808516</v>
      </c>
      <c r="AX50" s="13">
        <v>0.36717222412885275</v>
      </c>
      <c r="AY50" s="13">
        <v>0.34725531604706816</v>
      </c>
      <c r="AZ50" s="13">
        <v>0.33268054471518971</v>
      </c>
      <c r="BA50" s="13">
        <v>0.3368144567406865</v>
      </c>
      <c r="BB50" s="13">
        <v>0.26380354993198912</v>
      </c>
      <c r="BC50" s="13">
        <v>0.24575879297293585</v>
      </c>
      <c r="BD50" s="13">
        <v>0.24955919403339796</v>
      </c>
      <c r="BE50" s="13">
        <v>0.26272124146658682</v>
      </c>
      <c r="BF50" s="13">
        <v>0.27097169423998901</v>
      </c>
      <c r="BG50" s="13">
        <v>0.28604743614847494</v>
      </c>
      <c r="BH50" s="13">
        <v>0.29281898396161588</v>
      </c>
      <c r="BI50" s="13">
        <v>0.26346301108398135</v>
      </c>
      <c r="BJ50" s="13">
        <v>0.25416554022056181</v>
      </c>
      <c r="BK50" s="13">
        <v>0.25542435599409385</v>
      </c>
      <c r="GI50" s="9" t="s">
        <v>211</v>
      </c>
      <c r="GJ50" s="13">
        <v>0.34451908538719633</v>
      </c>
      <c r="GK50" s="13">
        <v>0.36254738413640841</v>
      </c>
      <c r="GL50" s="13">
        <v>0.37746689184953391</v>
      </c>
      <c r="GM50" s="13">
        <v>0.38569494710546359</v>
      </c>
      <c r="GN50" s="13">
        <v>0.38142856817007803</v>
      </c>
      <c r="GO50" s="13">
        <v>0.38885732806990253</v>
      </c>
      <c r="GP50" s="13">
        <v>0.3921406866398397</v>
      </c>
      <c r="GQ50" s="13">
        <v>0.40880807435520555</v>
      </c>
      <c r="GR50" s="13">
        <v>0.41691967589658507</v>
      </c>
      <c r="GS50" s="13">
        <v>0.37451083044549066</v>
      </c>
      <c r="GT50" s="13">
        <v>0.41439650345119011</v>
      </c>
      <c r="GU50" s="13">
        <v>0.41677144010867179</v>
      </c>
      <c r="GV50" s="13">
        <v>0.39157599153857314</v>
      </c>
      <c r="GW50" s="13">
        <v>0.37793827672966673</v>
      </c>
      <c r="GX50" s="13">
        <v>0.34997216005611909</v>
      </c>
      <c r="GY50" s="13">
        <v>0.36731132333640576</v>
      </c>
      <c r="GZ50" s="13">
        <v>0.37013576035928425</v>
      </c>
      <c r="HA50" s="13">
        <v>0.36503447766077973</v>
      </c>
      <c r="HB50" s="11">
        <v>0.39902305874806537</v>
      </c>
      <c r="HC50" s="13">
        <v>0.40526506456559414</v>
      </c>
      <c r="HD50" s="11">
        <v>0.29364479784258751</v>
      </c>
      <c r="HE50" s="13">
        <v>0.2679876169826661</v>
      </c>
      <c r="HF50" s="13">
        <v>0.22516764620083321</v>
      </c>
      <c r="HG50" s="13">
        <v>0.26632900995584097</v>
      </c>
      <c r="HH50" s="13">
        <v>0.26313218932828253</v>
      </c>
      <c r="HI50" s="13">
        <v>0.29012740376248086</v>
      </c>
      <c r="HJ50" s="13">
        <v>0.2797182571715045</v>
      </c>
      <c r="HK50" s="13">
        <v>0.25231539998301644</v>
      </c>
      <c r="HL50" s="13">
        <v>0.24689706782646778</v>
      </c>
      <c r="HM50" s="13">
        <v>0.29689723153386205</v>
      </c>
      <c r="HN50" s="11">
        <v>0.22339512422406962</v>
      </c>
      <c r="HO50" s="13">
        <v>0.23363538972015874</v>
      </c>
      <c r="HP50" s="13">
        <v>0.2103021881813803</v>
      </c>
      <c r="HQ50" s="13">
        <v>0.22832723405439123</v>
      </c>
      <c r="HR50" s="13">
        <v>0.21978735651894946</v>
      </c>
      <c r="HS50" s="13">
        <v>0.25695113290225052</v>
      </c>
      <c r="HT50" s="13">
        <v>0.25945190452974498</v>
      </c>
      <c r="HU50" s="13">
        <v>0.22356026957179059</v>
      </c>
      <c r="HV50" s="13">
        <v>0.20345248212052983</v>
      </c>
      <c r="HW50" s="13">
        <v>0.22021877677675825</v>
      </c>
      <c r="HX50" s="13">
        <v>0.38924345293188595</v>
      </c>
      <c r="HY50" s="13">
        <v>0.37399428456156442</v>
      </c>
      <c r="HZ50" s="13">
        <v>0.36557941872567684</v>
      </c>
      <c r="IA50" s="13">
        <v>0.35656341273773967</v>
      </c>
      <c r="IB50" s="13">
        <v>0.3622514450980433</v>
      </c>
      <c r="IC50" s="13">
        <v>0.37277944778955485</v>
      </c>
      <c r="ID50" s="13">
        <v>0.37303391913843342</v>
      </c>
      <c r="IE50" s="13">
        <v>0.3980770154798296</v>
      </c>
      <c r="IF50" s="11">
        <v>0.42537329669861251</v>
      </c>
      <c r="IG50" s="13">
        <v>0.42806450037635591</v>
      </c>
      <c r="IH50" s="13">
        <v>0.55650814716898567</v>
      </c>
      <c r="II50" s="13">
        <v>0.56342818481063639</v>
      </c>
      <c r="IJ50" s="13">
        <v>0.56753684631412449</v>
      </c>
      <c r="IK50" s="13">
        <v>0.56659298253265444</v>
      </c>
      <c r="IL50" s="13">
        <v>0.54982830092769175</v>
      </c>
      <c r="IM50" s="13">
        <v>0.54186825961578744</v>
      </c>
      <c r="IN50" s="13">
        <v>0.54304409133336962</v>
      </c>
      <c r="IO50" s="13">
        <v>0.55886465092109117</v>
      </c>
      <c r="IP50" s="13">
        <v>0.57203376864515665</v>
      </c>
      <c r="IQ50" s="13">
        <v>0.57342682704763859</v>
      </c>
      <c r="IS50" s="9" t="s">
        <v>221</v>
      </c>
      <c r="IT50" s="9" t="s">
        <v>229</v>
      </c>
      <c r="IU50" s="9" t="s">
        <v>230</v>
      </c>
      <c r="IV50" s="13">
        <v>0.4842652242202628</v>
      </c>
    </row>
    <row r="51" spans="2:256" x14ac:dyDescent="0.45">
      <c r="B51" s="8" t="s">
        <v>212</v>
      </c>
      <c r="C51" s="8" t="s">
        <v>31</v>
      </c>
      <c r="D51" s="12">
        <v>0.42419644780756821</v>
      </c>
      <c r="E51" s="12">
        <v>0.43552297558408715</v>
      </c>
      <c r="F51" s="12">
        <v>0.43552387588350205</v>
      </c>
      <c r="G51" s="12">
        <v>0.45796414578361772</v>
      </c>
      <c r="H51" s="12">
        <v>0.47272773938816959</v>
      </c>
      <c r="I51" s="12">
        <v>0.48529032533558458</v>
      </c>
      <c r="J51" s="12">
        <v>0.46537724939304448</v>
      </c>
      <c r="K51" s="12">
        <v>0.42191378076879837</v>
      </c>
      <c r="L51" s="12">
        <v>0.41116189450401047</v>
      </c>
      <c r="M51" s="12">
        <v>0.41998699245441784</v>
      </c>
      <c r="N51" s="12">
        <v>0.35388011285994769</v>
      </c>
      <c r="O51" s="12">
        <v>0.37311704773864107</v>
      </c>
      <c r="P51" s="12">
        <v>0.407924872865771</v>
      </c>
      <c r="Q51" s="12">
        <v>0.42798091089898549</v>
      </c>
      <c r="R51" s="12">
        <v>0.42376223686627285</v>
      </c>
      <c r="S51" s="12">
        <v>0.41815561114306182</v>
      </c>
      <c r="T51" s="12">
        <v>0.39105314827314247</v>
      </c>
      <c r="U51" s="12">
        <v>0.34721801661520879</v>
      </c>
      <c r="V51" s="12">
        <v>0.3201460297387631</v>
      </c>
      <c r="W51" s="12">
        <v>0.32261488265808946</v>
      </c>
      <c r="X51" s="12">
        <v>0.40676527313675143</v>
      </c>
      <c r="Y51" s="12">
        <v>0.43328916276611795</v>
      </c>
      <c r="Z51" s="12">
        <v>0.50223390444968785</v>
      </c>
      <c r="AA51" s="12">
        <v>0.4942631883416192</v>
      </c>
      <c r="AB51" s="12">
        <v>0.47853224435190894</v>
      </c>
      <c r="AC51" s="12">
        <v>0.4698534418412183</v>
      </c>
      <c r="AD51" s="12">
        <v>0.44908783146302655</v>
      </c>
      <c r="AE51" s="12">
        <v>0.47096613177745061</v>
      </c>
      <c r="AF51" s="12">
        <v>0.45006437789091736</v>
      </c>
      <c r="AG51" s="12">
        <v>0.39799740945724027</v>
      </c>
      <c r="AH51" s="12">
        <v>0.38955810050899281</v>
      </c>
      <c r="AI51" s="12">
        <v>0.43323962491685242</v>
      </c>
      <c r="AJ51" s="12">
        <v>0.49250089236061395</v>
      </c>
      <c r="AK51" s="12">
        <v>0.50670698499048583</v>
      </c>
      <c r="AL51" s="12">
        <v>0.49782514591304899</v>
      </c>
      <c r="AM51" s="12">
        <v>0.47108505380524801</v>
      </c>
      <c r="AN51" s="12">
        <v>0.45579246874013912</v>
      </c>
      <c r="AO51" s="12">
        <v>0.40834027921999644</v>
      </c>
      <c r="AP51" s="12">
        <v>0.33400274862023938</v>
      </c>
      <c r="AQ51" s="12">
        <v>0.34789244605829911</v>
      </c>
      <c r="AR51" s="12">
        <v>0.38749862200195934</v>
      </c>
      <c r="AS51" s="12">
        <v>0.34422037785428738</v>
      </c>
      <c r="AT51" s="12">
        <v>0.33485978089647622</v>
      </c>
      <c r="AU51" s="12">
        <v>0.35000890747101798</v>
      </c>
      <c r="AV51" s="12">
        <v>0.35886656755871477</v>
      </c>
      <c r="AW51" s="12">
        <v>0.34173323875416345</v>
      </c>
      <c r="AX51" s="12">
        <v>0.36926571883391135</v>
      </c>
      <c r="AY51" s="12">
        <v>0.3828147220896872</v>
      </c>
      <c r="AZ51" s="12">
        <v>0.36205503728780764</v>
      </c>
      <c r="BA51" s="12">
        <v>0.37442673327572057</v>
      </c>
      <c r="BB51" s="12">
        <v>0.3055775957285069</v>
      </c>
      <c r="BC51" s="12">
        <v>0.30911557182235477</v>
      </c>
      <c r="BD51" s="12">
        <v>0.3114809105651733</v>
      </c>
      <c r="BE51" s="12">
        <v>0.3181353128460786</v>
      </c>
      <c r="BF51" s="12">
        <v>0.34927294563307837</v>
      </c>
      <c r="BG51" s="12">
        <v>0.35601551612252996</v>
      </c>
      <c r="BH51" s="12">
        <v>0.33748448246303736</v>
      </c>
      <c r="BI51" s="12">
        <v>0.30462379334785622</v>
      </c>
      <c r="BJ51" s="12">
        <v>0.28739923513840471</v>
      </c>
      <c r="BK51" s="12">
        <v>0.29847301263249032</v>
      </c>
      <c r="GI51" s="8" t="s">
        <v>212</v>
      </c>
      <c r="GJ51" s="12">
        <v>0.27049205661959302</v>
      </c>
      <c r="GK51" s="12">
        <v>0.27519453140541345</v>
      </c>
      <c r="GL51" s="12">
        <v>0.27774461376931808</v>
      </c>
      <c r="GM51" s="12">
        <v>0.29832239992207565</v>
      </c>
      <c r="GN51" s="12">
        <v>0.27928531292467462</v>
      </c>
      <c r="GO51" s="12">
        <v>0.30249936029480562</v>
      </c>
      <c r="GP51" s="12">
        <v>0.29975924204283039</v>
      </c>
      <c r="GQ51" s="12">
        <v>0.30858481790550329</v>
      </c>
      <c r="GR51" s="12">
        <v>0.30769796807844785</v>
      </c>
      <c r="GS51" s="12">
        <v>0.2816063120748189</v>
      </c>
      <c r="GT51" s="12">
        <v>0.24018073122499442</v>
      </c>
      <c r="GU51" s="12">
        <v>0.2363416123469359</v>
      </c>
      <c r="GV51" s="12">
        <v>0.221355440206154</v>
      </c>
      <c r="GW51" s="12">
        <v>0.22022270279051859</v>
      </c>
      <c r="GX51" s="12">
        <v>0.20546506085058749</v>
      </c>
      <c r="GY51" s="12">
        <v>0.22580654328827288</v>
      </c>
      <c r="GZ51" s="12">
        <v>0.23552473875692054</v>
      </c>
      <c r="HA51" s="12">
        <v>0.22726788205136966</v>
      </c>
      <c r="HB51" s="10">
        <v>0.26327893120138651</v>
      </c>
      <c r="HC51" s="12">
        <v>0.26702725617325979</v>
      </c>
      <c r="HD51" s="10">
        <v>0.24661784669364464</v>
      </c>
      <c r="HE51" s="12">
        <v>0.23934480155599663</v>
      </c>
      <c r="HF51" s="12">
        <v>0.21592678428467285</v>
      </c>
      <c r="HG51" s="12">
        <v>0.22585773554152147</v>
      </c>
      <c r="HH51" s="12">
        <v>0.18852287111172267</v>
      </c>
      <c r="HI51" s="12">
        <v>0.22799440108895636</v>
      </c>
      <c r="HJ51" s="12">
        <v>0.21940086551047897</v>
      </c>
      <c r="HK51" s="12">
        <v>0.20774931246928516</v>
      </c>
      <c r="HL51" s="12">
        <v>0.21149467886048626</v>
      </c>
      <c r="HM51" s="12">
        <v>0.22745688556646293</v>
      </c>
      <c r="HN51" s="10">
        <v>0.13327254000280586</v>
      </c>
      <c r="HO51" s="12">
        <v>0.12205764706306156</v>
      </c>
      <c r="HP51" s="12">
        <v>9.9169927812967754E-2</v>
      </c>
      <c r="HQ51" s="12">
        <v>0.10232973610532521</v>
      </c>
      <c r="HR51" s="12">
        <v>8.1358948160272199E-2</v>
      </c>
      <c r="HS51" s="12">
        <v>0.10242122959838409</v>
      </c>
      <c r="HT51" s="12">
        <v>0.10959997895283764</v>
      </c>
      <c r="HU51" s="12">
        <v>9.9893551836536143E-2</v>
      </c>
      <c r="HV51" s="12">
        <v>0.11997041983245266</v>
      </c>
      <c r="HW51" s="12">
        <v>0.13556831361101057</v>
      </c>
      <c r="HX51" s="12">
        <v>0.29773350943393612</v>
      </c>
      <c r="HY51" s="12">
        <v>0.32283827871636339</v>
      </c>
      <c r="HZ51" s="12">
        <v>0.32902675786903857</v>
      </c>
      <c r="IA51" s="12">
        <v>0.3221300495815011</v>
      </c>
      <c r="IB51" s="12">
        <v>0.26970525653616095</v>
      </c>
      <c r="IC51" s="12">
        <v>0.27089398032321488</v>
      </c>
      <c r="ID51" s="12">
        <v>0.26606490841624331</v>
      </c>
      <c r="IE51" s="12">
        <v>0.28091758350052115</v>
      </c>
      <c r="IF51" s="10">
        <v>0.30873657903173179</v>
      </c>
      <c r="IG51" s="12">
        <v>0.31099899491503691</v>
      </c>
      <c r="IH51" s="12">
        <v>0.39200735019288441</v>
      </c>
      <c r="II51" s="12">
        <v>0.40655345569233825</v>
      </c>
      <c r="IJ51" s="12">
        <v>0.42557934754903015</v>
      </c>
      <c r="IK51" s="12">
        <v>0.43061979098909331</v>
      </c>
      <c r="IL51" s="12">
        <v>0.38092510859673151</v>
      </c>
      <c r="IM51" s="12">
        <v>0.3850461116488938</v>
      </c>
      <c r="IN51" s="12">
        <v>0.39210811399857254</v>
      </c>
      <c r="IO51" s="12">
        <v>0.41556077035191935</v>
      </c>
      <c r="IP51" s="12">
        <v>0.43573635553056633</v>
      </c>
      <c r="IQ51" s="12">
        <v>0.41973362053945462</v>
      </c>
      <c r="IS51" s="8" t="s">
        <v>192</v>
      </c>
      <c r="IT51" s="8" t="s">
        <v>229</v>
      </c>
      <c r="IU51" s="8" t="s">
        <v>230</v>
      </c>
      <c r="IV51" s="12">
        <v>0.50860579608700829</v>
      </c>
    </row>
    <row r="52" spans="2:256" x14ac:dyDescent="0.45">
      <c r="B52" s="9" t="s">
        <v>213</v>
      </c>
      <c r="C52" s="9" t="s">
        <v>31</v>
      </c>
      <c r="D52" s="13">
        <v>0.41122650767771918</v>
      </c>
      <c r="E52" s="13">
        <v>0.42388092113545689</v>
      </c>
      <c r="F52" s="13">
        <v>0.41495186871953837</v>
      </c>
      <c r="G52" s="13">
        <v>0.41663237495726524</v>
      </c>
      <c r="H52" s="13">
        <v>0.4351488525782109</v>
      </c>
      <c r="I52" s="13">
        <v>0.42662655205723116</v>
      </c>
      <c r="J52" s="13">
        <v>0.4158811284727672</v>
      </c>
      <c r="K52" s="13">
        <v>0.39923987846440068</v>
      </c>
      <c r="L52" s="13">
        <v>0.388390934208867</v>
      </c>
      <c r="M52" s="13">
        <v>0.39420136611410578</v>
      </c>
      <c r="N52" s="13">
        <v>0.31208704052838299</v>
      </c>
      <c r="O52" s="13">
        <v>0.32940159680545883</v>
      </c>
      <c r="P52" s="13">
        <v>0.377342380117829</v>
      </c>
      <c r="Q52" s="13">
        <v>0.43060738662903508</v>
      </c>
      <c r="R52" s="13">
        <v>0.43015378565397305</v>
      </c>
      <c r="S52" s="13">
        <v>0.40492065320046228</v>
      </c>
      <c r="T52" s="13">
        <v>0.38775872470316181</v>
      </c>
      <c r="U52" s="13">
        <v>0.3735669057907498</v>
      </c>
      <c r="V52" s="13">
        <v>0.32088924800747853</v>
      </c>
      <c r="W52" s="13">
        <v>0.28649368438094619</v>
      </c>
      <c r="X52" s="13">
        <v>0.35066902519819293</v>
      </c>
      <c r="Y52" s="13">
        <v>0.37481602459488333</v>
      </c>
      <c r="Z52" s="13">
        <v>0.46717041230316325</v>
      </c>
      <c r="AA52" s="13">
        <v>0.46617571504180227</v>
      </c>
      <c r="AB52" s="13">
        <v>0.48065197610414551</v>
      </c>
      <c r="AC52" s="13">
        <v>0.45780713400602002</v>
      </c>
      <c r="AD52" s="13">
        <v>0.46066318365508008</v>
      </c>
      <c r="AE52" s="13">
        <v>0.45018393215401881</v>
      </c>
      <c r="AF52" s="13">
        <v>0.40933860710572673</v>
      </c>
      <c r="AG52" s="13">
        <v>0.34255401916930112</v>
      </c>
      <c r="AH52" s="13">
        <v>0.34030662583239291</v>
      </c>
      <c r="AI52" s="13">
        <v>0.38934888796449429</v>
      </c>
      <c r="AJ52" s="13">
        <v>0.5086071838788403</v>
      </c>
      <c r="AK52" s="13">
        <v>0.52844542032198505</v>
      </c>
      <c r="AL52" s="13">
        <v>0.49121959505294377</v>
      </c>
      <c r="AM52" s="13">
        <v>0.50185761622487379</v>
      </c>
      <c r="AN52" s="13">
        <v>0.47561376721485238</v>
      </c>
      <c r="AO52" s="13">
        <v>0.42161778099918495</v>
      </c>
      <c r="AP52" s="13">
        <v>0.32938582400443817</v>
      </c>
      <c r="AQ52" s="13">
        <v>0.31644258013918081</v>
      </c>
      <c r="AR52" s="13">
        <v>0.35975110569559343</v>
      </c>
      <c r="AS52" s="13">
        <v>0.32083077139105376</v>
      </c>
      <c r="AT52" s="13">
        <v>0.32613157482548405</v>
      </c>
      <c r="AU52" s="13">
        <v>0.35846042808825279</v>
      </c>
      <c r="AV52" s="13">
        <v>0.36133107084178229</v>
      </c>
      <c r="AW52" s="13">
        <v>0.36030677493803709</v>
      </c>
      <c r="AX52" s="13">
        <v>0.37983133435709798</v>
      </c>
      <c r="AY52" s="13">
        <v>0.38418113483383609</v>
      </c>
      <c r="AZ52" s="13">
        <v>0.36307686017357177</v>
      </c>
      <c r="BA52" s="13">
        <v>0.35891784202455757</v>
      </c>
      <c r="BB52" s="13">
        <v>0.31429801808228319</v>
      </c>
      <c r="BC52" s="13">
        <v>0.29652095998058181</v>
      </c>
      <c r="BD52" s="13">
        <v>0.29909353820649348</v>
      </c>
      <c r="BE52" s="13">
        <v>0.30703317480212144</v>
      </c>
      <c r="BF52" s="13">
        <v>0.34166518692526493</v>
      </c>
      <c r="BG52" s="13">
        <v>0.35465836336759116</v>
      </c>
      <c r="BH52" s="13">
        <v>0.34917003511979661</v>
      </c>
      <c r="BI52" s="13">
        <v>0.31604110382898976</v>
      </c>
      <c r="BJ52" s="13">
        <v>0.32745655822310649</v>
      </c>
      <c r="BK52" s="13">
        <v>0.33137737982786641</v>
      </c>
      <c r="GI52" s="9" t="s">
        <v>213</v>
      </c>
      <c r="GJ52" s="13">
        <v>0.31015409645650382</v>
      </c>
      <c r="GK52" s="13">
        <v>0.31842062039625801</v>
      </c>
      <c r="GL52" s="13">
        <v>0.32583794547732248</v>
      </c>
      <c r="GM52" s="13">
        <v>0.33215817335010583</v>
      </c>
      <c r="GN52" s="13">
        <v>0.32006553921362413</v>
      </c>
      <c r="GO52" s="13">
        <v>0.31974535694281137</v>
      </c>
      <c r="GP52" s="13">
        <v>0.31003638925204552</v>
      </c>
      <c r="GQ52" s="13">
        <v>0.33182733115706209</v>
      </c>
      <c r="GR52" s="13">
        <v>0.34668058972990212</v>
      </c>
      <c r="GS52" s="13">
        <v>0.3260782116340315</v>
      </c>
      <c r="GT52" s="13">
        <v>0.33668787284483592</v>
      </c>
      <c r="GU52" s="13">
        <v>0.31622319052448006</v>
      </c>
      <c r="GV52" s="13">
        <v>0.27196613877413334</v>
      </c>
      <c r="GW52" s="13">
        <v>0.23302803472073638</v>
      </c>
      <c r="GX52" s="13">
        <v>0.21419663927613355</v>
      </c>
      <c r="GY52" s="13">
        <v>0.24866856051857478</v>
      </c>
      <c r="GZ52" s="13">
        <v>0.25654583495640554</v>
      </c>
      <c r="HA52" s="13">
        <v>0.26064377811196243</v>
      </c>
      <c r="HB52" s="11">
        <v>0.31922657276665145</v>
      </c>
      <c r="HC52" s="13">
        <v>0.34970695536669139</v>
      </c>
      <c r="HD52" s="11">
        <v>0.2810760075286543</v>
      </c>
      <c r="HE52" s="13">
        <v>0.25238893754022201</v>
      </c>
      <c r="HF52" s="13">
        <v>0.21439984901683468</v>
      </c>
      <c r="HG52" s="13">
        <v>0.22935006874849029</v>
      </c>
      <c r="HH52" s="13">
        <v>0.23218322186193704</v>
      </c>
      <c r="HI52" s="13">
        <v>0.26756964841055958</v>
      </c>
      <c r="HJ52" s="13">
        <v>0.25924514486836409</v>
      </c>
      <c r="HK52" s="13">
        <v>0.24159637356440761</v>
      </c>
      <c r="HL52" s="13">
        <v>0.25186007468932142</v>
      </c>
      <c r="HM52" s="13">
        <v>0.29260306248639961</v>
      </c>
      <c r="HN52" s="11">
        <v>0.18074012342664034</v>
      </c>
      <c r="HO52" s="13">
        <v>0.17169621027047605</v>
      </c>
      <c r="HP52" s="13">
        <v>0.12947569895826533</v>
      </c>
      <c r="HQ52" s="13">
        <v>0.14052462179970576</v>
      </c>
      <c r="HR52" s="13">
        <v>0.12710758489542498</v>
      </c>
      <c r="HS52" s="13">
        <v>0.15537879957852371</v>
      </c>
      <c r="HT52" s="13">
        <v>0.16075089150211494</v>
      </c>
      <c r="HU52" s="13">
        <v>0.1383616187505641</v>
      </c>
      <c r="HV52" s="13">
        <v>0.15401818452343433</v>
      </c>
      <c r="HW52" s="13">
        <v>0.19023099425928333</v>
      </c>
      <c r="HX52" s="13">
        <v>0.35932948129705544</v>
      </c>
      <c r="HY52" s="13">
        <v>0.34914107777577552</v>
      </c>
      <c r="HZ52" s="13">
        <v>0.33110457386738751</v>
      </c>
      <c r="IA52" s="13">
        <v>0.30654653113439057</v>
      </c>
      <c r="IB52" s="13">
        <v>0.27975790242533938</v>
      </c>
      <c r="IC52" s="13">
        <v>0.30431999196460113</v>
      </c>
      <c r="ID52" s="13">
        <v>0.31142974098905785</v>
      </c>
      <c r="IE52" s="13">
        <v>0.332242920484695</v>
      </c>
      <c r="IF52" s="11">
        <v>0.37339038441945338</v>
      </c>
      <c r="IG52" s="13">
        <v>0.37926071472106965</v>
      </c>
      <c r="IH52" s="13">
        <v>0.42750625984621771</v>
      </c>
      <c r="II52" s="13">
        <v>0.43891804965023129</v>
      </c>
      <c r="IJ52" s="13">
        <v>0.46026434395308052</v>
      </c>
      <c r="IK52" s="13">
        <v>0.46749206511185221</v>
      </c>
      <c r="IL52" s="13">
        <v>0.42941139940280065</v>
      </c>
      <c r="IM52" s="13">
        <v>0.4296371305478569</v>
      </c>
      <c r="IN52" s="13">
        <v>0.44770646037519435</v>
      </c>
      <c r="IO52" s="13">
        <v>0.46962131823043279</v>
      </c>
      <c r="IP52" s="13">
        <v>0.467113189232294</v>
      </c>
      <c r="IQ52" s="13">
        <v>0.44512547631413618</v>
      </c>
      <c r="IS52" s="9" t="s">
        <v>193</v>
      </c>
      <c r="IT52" s="9" t="s">
        <v>229</v>
      </c>
      <c r="IU52" s="9" t="s">
        <v>230</v>
      </c>
      <c r="IV52" s="13">
        <v>0.69188207897948795</v>
      </c>
    </row>
    <row r="53" spans="2:256" x14ac:dyDescent="0.45">
      <c r="B53" s="8" t="s">
        <v>214</v>
      </c>
      <c r="C53" s="8" t="s">
        <v>31</v>
      </c>
      <c r="D53" s="12">
        <v>0.40875437842626505</v>
      </c>
      <c r="E53" s="12">
        <v>0.43913093701245576</v>
      </c>
      <c r="F53" s="12">
        <v>0.44617025339040317</v>
      </c>
      <c r="G53" s="12">
        <v>0.45315052635448788</v>
      </c>
      <c r="H53" s="12">
        <v>0.47333701737076289</v>
      </c>
      <c r="I53" s="12">
        <v>0.48052801078466867</v>
      </c>
      <c r="J53" s="12">
        <v>0.47021021223087139</v>
      </c>
      <c r="K53" s="12">
        <v>0.42788781263634534</v>
      </c>
      <c r="L53" s="12">
        <v>0.40640156566003854</v>
      </c>
      <c r="M53" s="12">
        <v>0.39722272086717619</v>
      </c>
      <c r="N53" s="12">
        <v>0.27643414732670951</v>
      </c>
      <c r="O53" s="12">
        <v>0.31517023689388807</v>
      </c>
      <c r="P53" s="12">
        <v>0.37875486440269973</v>
      </c>
      <c r="Q53" s="12">
        <v>0.40520091458162649</v>
      </c>
      <c r="R53" s="12">
        <v>0.39782342114225433</v>
      </c>
      <c r="S53" s="12">
        <v>0.39640601078939797</v>
      </c>
      <c r="T53" s="12">
        <v>0.38240678644342901</v>
      </c>
      <c r="U53" s="12">
        <v>0.35938959724300495</v>
      </c>
      <c r="V53" s="12">
        <v>0.29885878266737093</v>
      </c>
      <c r="W53" s="12">
        <v>0.2667963560606702</v>
      </c>
      <c r="X53" s="12">
        <v>0.3765011895586165</v>
      </c>
      <c r="Y53" s="12">
        <v>0.39762501103988679</v>
      </c>
      <c r="Z53" s="12">
        <v>0.48982436554757941</v>
      </c>
      <c r="AA53" s="12">
        <v>0.47802039511430794</v>
      </c>
      <c r="AB53" s="12">
        <v>0.49210482681650436</v>
      </c>
      <c r="AC53" s="12">
        <v>0.45079940485154857</v>
      </c>
      <c r="AD53" s="12">
        <v>0.44588263333351741</v>
      </c>
      <c r="AE53" s="12">
        <v>0.46500561407789326</v>
      </c>
      <c r="AF53" s="12">
        <v>0.43793909247845764</v>
      </c>
      <c r="AG53" s="12">
        <v>0.37356139735914767</v>
      </c>
      <c r="AH53" s="12">
        <v>0.31216586881422159</v>
      </c>
      <c r="AI53" s="12">
        <v>0.38980106571730111</v>
      </c>
      <c r="AJ53" s="12">
        <v>0.49868356484099846</v>
      </c>
      <c r="AK53" s="12">
        <v>0.53567653504719093</v>
      </c>
      <c r="AL53" s="12">
        <v>0.52976286225812785</v>
      </c>
      <c r="AM53" s="12">
        <v>0.49939832526627437</v>
      </c>
      <c r="AN53" s="12">
        <v>0.49971521908503641</v>
      </c>
      <c r="AO53" s="12">
        <v>0.46893372908315434</v>
      </c>
      <c r="AP53" s="12">
        <v>0.38310994869099152</v>
      </c>
      <c r="AQ53" s="12">
        <v>0.28241314193980965</v>
      </c>
      <c r="AR53" s="12">
        <v>0.36176032683356318</v>
      </c>
      <c r="AS53" s="12">
        <v>0.36560013505056532</v>
      </c>
      <c r="AT53" s="12">
        <v>0.37785708705199628</v>
      </c>
      <c r="AU53" s="12">
        <v>0.38330264335045366</v>
      </c>
      <c r="AV53" s="12">
        <v>0.36983674011180057</v>
      </c>
      <c r="AW53" s="12">
        <v>0.36166374017531228</v>
      </c>
      <c r="AX53" s="12">
        <v>0.36303503994095238</v>
      </c>
      <c r="AY53" s="12">
        <v>0.34815195619537898</v>
      </c>
      <c r="AZ53" s="12">
        <v>0.32623271518332031</v>
      </c>
      <c r="BA53" s="12">
        <v>0.33114512101805393</v>
      </c>
      <c r="BB53" s="12">
        <v>0.33584217012452211</v>
      </c>
      <c r="BC53" s="12">
        <v>0.32229020166722766</v>
      </c>
      <c r="BD53" s="12">
        <v>0.30580665706390381</v>
      </c>
      <c r="BE53" s="12">
        <v>0.32090149462012579</v>
      </c>
      <c r="BF53" s="12">
        <v>0.36438710811563263</v>
      </c>
      <c r="BG53" s="12">
        <v>0.37240759244689925</v>
      </c>
      <c r="BH53" s="12">
        <v>0.34025854470052591</v>
      </c>
      <c r="BI53" s="12">
        <v>0.32372556323531598</v>
      </c>
      <c r="BJ53" s="12">
        <v>0.32971973747954375</v>
      </c>
      <c r="BK53" s="12">
        <v>0.34093836998104121</v>
      </c>
      <c r="GI53" s="8" t="s">
        <v>214</v>
      </c>
      <c r="GJ53" s="12">
        <v>0.30189453050313902</v>
      </c>
      <c r="GK53" s="12">
        <v>0.30655710415762749</v>
      </c>
      <c r="GL53" s="12">
        <v>0.31267571950781387</v>
      </c>
      <c r="GM53" s="12">
        <v>0.31186059672290395</v>
      </c>
      <c r="GN53" s="12">
        <v>0.29919268967056234</v>
      </c>
      <c r="GO53" s="12">
        <v>0.30802347342789749</v>
      </c>
      <c r="GP53" s="12">
        <v>0.31370998080350665</v>
      </c>
      <c r="GQ53" s="12">
        <v>0.32042487730047403</v>
      </c>
      <c r="GR53" s="12">
        <v>0.33045945881792771</v>
      </c>
      <c r="GS53" s="12">
        <v>0.31326684930163973</v>
      </c>
      <c r="GT53" s="12">
        <v>0.33566053776109123</v>
      </c>
      <c r="GU53" s="12">
        <v>0.30344094291667084</v>
      </c>
      <c r="GV53" s="12">
        <v>0.26369468946702518</v>
      </c>
      <c r="GW53" s="12">
        <v>0.23596136231472181</v>
      </c>
      <c r="GX53" s="12">
        <v>0.22010430251033258</v>
      </c>
      <c r="GY53" s="12">
        <v>0.26755779019937259</v>
      </c>
      <c r="GZ53" s="12">
        <v>0.28195732916250899</v>
      </c>
      <c r="HA53" s="12">
        <v>0.28296866377914215</v>
      </c>
      <c r="HB53" s="10">
        <v>0.3339174924209668</v>
      </c>
      <c r="HC53" s="12">
        <v>0.35079355947972218</v>
      </c>
      <c r="HD53" s="10">
        <v>0.28866486842051448</v>
      </c>
      <c r="HE53" s="12">
        <v>0.26700769495387905</v>
      </c>
      <c r="HF53" s="12">
        <v>0.21234225091497788</v>
      </c>
      <c r="HG53" s="12">
        <v>0.21087309780388752</v>
      </c>
      <c r="HH53" s="12">
        <v>0.20064070944919934</v>
      </c>
      <c r="HI53" s="12">
        <v>0.22611741209613967</v>
      </c>
      <c r="HJ53" s="12">
        <v>0.23141924303132613</v>
      </c>
      <c r="HK53" s="12">
        <v>0.20656408222063841</v>
      </c>
      <c r="HL53" s="12">
        <v>0.23829501340467868</v>
      </c>
      <c r="HM53" s="12">
        <v>0.28364925059059759</v>
      </c>
      <c r="HN53" s="10">
        <v>0.18128492438729238</v>
      </c>
      <c r="HO53" s="12">
        <v>0.15960340651028401</v>
      </c>
      <c r="HP53" s="12">
        <v>0.11944975763968554</v>
      </c>
      <c r="HQ53" s="12">
        <v>0.14104974301749756</v>
      </c>
      <c r="HR53" s="12">
        <v>0.12854205749018299</v>
      </c>
      <c r="HS53" s="12">
        <v>0.15109740257311025</v>
      </c>
      <c r="HT53" s="12">
        <v>0.1578030771190109</v>
      </c>
      <c r="HU53" s="12">
        <v>0.13361735307313991</v>
      </c>
      <c r="HV53" s="12">
        <v>0.14949227844278001</v>
      </c>
      <c r="HW53" s="12">
        <v>0.19182980506557609</v>
      </c>
      <c r="HX53" s="12">
        <v>0.33788503438378636</v>
      </c>
      <c r="HY53" s="12">
        <v>0.33156120007813694</v>
      </c>
      <c r="HZ53" s="12">
        <v>0.30447002044619909</v>
      </c>
      <c r="IA53" s="12">
        <v>0.2776844317004119</v>
      </c>
      <c r="IB53" s="12">
        <v>0.26984031135486602</v>
      </c>
      <c r="IC53" s="12">
        <v>0.28672883841406738</v>
      </c>
      <c r="ID53" s="12">
        <v>0.28878588206737271</v>
      </c>
      <c r="IE53" s="12">
        <v>0.32202976137548661</v>
      </c>
      <c r="IF53" s="10">
        <v>0.36674879384701886</v>
      </c>
      <c r="IG53" s="12">
        <v>0.37431430670587645</v>
      </c>
      <c r="IH53" s="12">
        <v>0.41540984011990301</v>
      </c>
      <c r="II53" s="12">
        <v>0.40947648722157642</v>
      </c>
      <c r="IJ53" s="12">
        <v>0.43295328262598992</v>
      </c>
      <c r="IK53" s="12">
        <v>0.43468554810419441</v>
      </c>
      <c r="IL53" s="12">
        <v>0.38723686288539261</v>
      </c>
      <c r="IM53" s="12">
        <v>0.40487599593424139</v>
      </c>
      <c r="IN53" s="12">
        <v>0.42503044661715467</v>
      </c>
      <c r="IO53" s="12">
        <v>0.44481834440973173</v>
      </c>
      <c r="IP53" s="12">
        <v>0.45887253262293443</v>
      </c>
      <c r="IQ53" s="12">
        <v>0.44028573175722047</v>
      </c>
      <c r="IS53" s="8" t="s">
        <v>194</v>
      </c>
      <c r="IT53" s="8" t="s">
        <v>229</v>
      </c>
      <c r="IU53" s="8" t="s">
        <v>230</v>
      </c>
      <c r="IV53" s="12">
        <v>0.62020673540402915</v>
      </c>
    </row>
    <row r="54" spans="2:256" x14ac:dyDescent="0.45">
      <c r="B54" s="9" t="s">
        <v>215</v>
      </c>
      <c r="C54" s="9" t="s">
        <v>31</v>
      </c>
      <c r="D54" s="13">
        <v>0.39879304877653721</v>
      </c>
      <c r="E54" s="13">
        <v>0.40553626069991283</v>
      </c>
      <c r="F54" s="13">
        <v>0.40735850951424246</v>
      </c>
      <c r="G54" s="13">
        <v>0.42549753806789792</v>
      </c>
      <c r="H54" s="13">
        <v>0.42470267618653612</v>
      </c>
      <c r="I54" s="13">
        <v>0.42375690873074323</v>
      </c>
      <c r="J54" s="13">
        <v>0.4205593002326522</v>
      </c>
      <c r="K54" s="13">
        <v>0.38729978747561022</v>
      </c>
      <c r="L54" s="13">
        <v>0.37185525089813626</v>
      </c>
      <c r="M54" s="13">
        <v>0.38684814049379074</v>
      </c>
      <c r="N54" s="13">
        <v>0.2975356139568136</v>
      </c>
      <c r="O54" s="13">
        <v>0.31349473095396346</v>
      </c>
      <c r="P54" s="13">
        <v>0.35693217826193557</v>
      </c>
      <c r="Q54" s="13">
        <v>0.38847627892763864</v>
      </c>
      <c r="R54" s="13">
        <v>0.40167234966558285</v>
      </c>
      <c r="S54" s="13">
        <v>0.40667619391719606</v>
      </c>
      <c r="T54" s="13">
        <v>0.40281688823730882</v>
      </c>
      <c r="U54" s="13">
        <v>0.39352092925965027</v>
      </c>
      <c r="V54" s="13">
        <v>0.33943911442806635</v>
      </c>
      <c r="W54" s="13">
        <v>0.29252188583829997</v>
      </c>
      <c r="X54" s="13">
        <v>0.34114734168629529</v>
      </c>
      <c r="Y54" s="13">
        <v>0.37733331564964956</v>
      </c>
      <c r="Z54" s="13">
        <v>0.43982687263775921</v>
      </c>
      <c r="AA54" s="13">
        <v>0.44126329653579777</v>
      </c>
      <c r="AB54" s="13">
        <v>0.45911118864726197</v>
      </c>
      <c r="AC54" s="13">
        <v>0.43132874033517782</v>
      </c>
      <c r="AD54" s="13">
        <v>0.43155766903284282</v>
      </c>
      <c r="AE54" s="13">
        <v>0.43934856418918067</v>
      </c>
      <c r="AF54" s="13">
        <v>0.38448339786127578</v>
      </c>
      <c r="AG54" s="13">
        <v>0.32765902944485786</v>
      </c>
      <c r="AH54" s="13">
        <v>0.34229155632228769</v>
      </c>
      <c r="AI54" s="13">
        <v>0.3992743604174141</v>
      </c>
      <c r="AJ54" s="13">
        <v>0.50536527811729548</v>
      </c>
      <c r="AK54" s="13">
        <v>0.49950864632144132</v>
      </c>
      <c r="AL54" s="13">
        <v>0.47516384384414873</v>
      </c>
      <c r="AM54" s="13">
        <v>0.45210112407317776</v>
      </c>
      <c r="AN54" s="13">
        <v>0.45131319465421216</v>
      </c>
      <c r="AO54" s="13">
        <v>0.41514405225242168</v>
      </c>
      <c r="AP54" s="13">
        <v>0.33248722948368098</v>
      </c>
      <c r="AQ54" s="13">
        <v>0.30337294700787343</v>
      </c>
      <c r="AR54" s="13">
        <v>0.36682072840670937</v>
      </c>
      <c r="AS54" s="13">
        <v>0.37642173700298542</v>
      </c>
      <c r="AT54" s="13">
        <v>0.39127917261479012</v>
      </c>
      <c r="AU54" s="13">
        <v>0.41872077850627254</v>
      </c>
      <c r="AV54" s="13">
        <v>0.39461131179780373</v>
      </c>
      <c r="AW54" s="13">
        <v>0.38452611005869053</v>
      </c>
      <c r="AX54" s="13">
        <v>0.36286701919695535</v>
      </c>
      <c r="AY54" s="13">
        <v>0.3476043894992466</v>
      </c>
      <c r="AZ54" s="13">
        <v>0.33037745067176205</v>
      </c>
      <c r="BA54" s="13">
        <v>0.34661795577842219</v>
      </c>
      <c r="BB54" s="13">
        <v>0.32064386205579098</v>
      </c>
      <c r="BC54" s="13">
        <v>0.3045064944280253</v>
      </c>
      <c r="BD54" s="13">
        <v>0.28756681326029837</v>
      </c>
      <c r="BE54" s="13">
        <v>0.28732029018608607</v>
      </c>
      <c r="BF54" s="13">
        <v>0.31687023361268457</v>
      </c>
      <c r="BG54" s="13">
        <v>0.33243303612388925</v>
      </c>
      <c r="BH54" s="13">
        <v>0.32051976963790652</v>
      </c>
      <c r="BI54" s="13">
        <v>0.30101438690495286</v>
      </c>
      <c r="BJ54" s="13">
        <v>0.30394388666064748</v>
      </c>
      <c r="BK54" s="13">
        <v>0.31762517305828841</v>
      </c>
      <c r="GI54" s="9" t="s">
        <v>215</v>
      </c>
      <c r="GJ54" s="13">
        <v>0.30969798189456549</v>
      </c>
      <c r="GK54" s="13">
        <v>0.31722148229548719</v>
      </c>
      <c r="GL54" s="13">
        <v>0.33063705901599461</v>
      </c>
      <c r="GM54" s="13">
        <v>0.32426581152410722</v>
      </c>
      <c r="GN54" s="13">
        <v>0.3180186288506559</v>
      </c>
      <c r="GO54" s="13">
        <v>0.32965164854643569</v>
      </c>
      <c r="GP54" s="13">
        <v>0.32882395596936626</v>
      </c>
      <c r="GQ54" s="13">
        <v>0.352037574322494</v>
      </c>
      <c r="GR54" s="13">
        <v>0.36318393547281452</v>
      </c>
      <c r="GS54" s="13">
        <v>0.33239496392331103</v>
      </c>
      <c r="GT54" s="13">
        <v>0.36439083166695752</v>
      </c>
      <c r="GU54" s="13">
        <v>0.35508686493540798</v>
      </c>
      <c r="GV54" s="13">
        <v>0.3220065690854278</v>
      </c>
      <c r="GW54" s="13">
        <v>0.27572848041748577</v>
      </c>
      <c r="GX54" s="13">
        <v>0.23667105269625091</v>
      </c>
      <c r="GY54" s="13">
        <v>0.27910844558888975</v>
      </c>
      <c r="GZ54" s="13">
        <v>0.28791516656217681</v>
      </c>
      <c r="HA54" s="13">
        <v>0.29111136630628393</v>
      </c>
      <c r="HB54" s="11">
        <v>0.351461596564557</v>
      </c>
      <c r="HC54" s="13">
        <v>0.37194831264884459</v>
      </c>
      <c r="HD54" s="11">
        <v>0.26764631707529135</v>
      </c>
      <c r="HE54" s="13">
        <v>0.24812183020826331</v>
      </c>
      <c r="HF54" s="13">
        <v>0.19354569090716997</v>
      </c>
      <c r="HG54" s="13">
        <v>0.21207202627567659</v>
      </c>
      <c r="HH54" s="13">
        <v>0.2114533872799701</v>
      </c>
      <c r="HI54" s="13">
        <v>0.23767190522072928</v>
      </c>
      <c r="HJ54" s="13">
        <v>0.22677394321327701</v>
      </c>
      <c r="HK54" s="13">
        <v>0.21415586242050758</v>
      </c>
      <c r="HL54" s="13">
        <v>0.24192939493618262</v>
      </c>
      <c r="HM54" s="13">
        <v>0.28707617955777182</v>
      </c>
      <c r="HN54" s="11">
        <v>0.15796844784731776</v>
      </c>
      <c r="HO54" s="13">
        <v>0.15731675167727649</v>
      </c>
      <c r="HP54" s="13">
        <v>0.12890158126889351</v>
      </c>
      <c r="HQ54" s="13">
        <v>0.14944823607834148</v>
      </c>
      <c r="HR54" s="13">
        <v>0.13886924649708993</v>
      </c>
      <c r="HS54" s="13">
        <v>0.16728308699033401</v>
      </c>
      <c r="HT54" s="13">
        <v>0.18260361086763949</v>
      </c>
      <c r="HU54" s="13">
        <v>0.16065894274039039</v>
      </c>
      <c r="HV54" s="13">
        <v>0.17589212431237292</v>
      </c>
      <c r="HW54" s="13">
        <v>0.18680919145645708</v>
      </c>
      <c r="HX54" s="13">
        <v>0.32209276870663589</v>
      </c>
      <c r="HY54" s="13">
        <v>0.31619436291485709</v>
      </c>
      <c r="HZ54" s="13">
        <v>0.29946130748312566</v>
      </c>
      <c r="IA54" s="13">
        <v>0.27183998910977897</v>
      </c>
      <c r="IB54" s="13">
        <v>0.28201762583009993</v>
      </c>
      <c r="IC54" s="13">
        <v>0.30153832250816009</v>
      </c>
      <c r="ID54" s="13">
        <v>0.30179675544598872</v>
      </c>
      <c r="IE54" s="13">
        <v>0.33696609617593509</v>
      </c>
      <c r="IF54" s="11">
        <v>0.37302768732114533</v>
      </c>
      <c r="IG54" s="13">
        <v>0.36128867090204658</v>
      </c>
      <c r="IH54" s="13">
        <v>0.4260136251960569</v>
      </c>
      <c r="II54" s="13">
        <v>0.42735354547777044</v>
      </c>
      <c r="IJ54" s="13">
        <v>0.44072171785524505</v>
      </c>
      <c r="IK54" s="13">
        <v>0.44560472059360079</v>
      </c>
      <c r="IL54" s="13">
        <v>0.41956144822498009</v>
      </c>
      <c r="IM54" s="13">
        <v>0.42649325458356557</v>
      </c>
      <c r="IN54" s="13">
        <v>0.44454881547442787</v>
      </c>
      <c r="IO54" s="13">
        <v>0.47030130010707905</v>
      </c>
      <c r="IP54" s="13">
        <v>0.4712215580068877</v>
      </c>
      <c r="IQ54" s="13">
        <v>0.45753069498446264</v>
      </c>
      <c r="IS54" s="9" t="s">
        <v>195</v>
      </c>
      <c r="IT54" s="9" t="s">
        <v>229</v>
      </c>
      <c r="IU54" s="9" t="s">
        <v>230</v>
      </c>
      <c r="IV54" s="13">
        <v>0.70065094785448001</v>
      </c>
    </row>
    <row r="55" spans="2:256" x14ac:dyDescent="0.45">
      <c r="B55" s="8" t="s">
        <v>216</v>
      </c>
      <c r="C55" s="8" t="s">
        <v>31</v>
      </c>
      <c r="D55" s="12">
        <v>0.4794794897548208</v>
      </c>
      <c r="E55" s="12">
        <v>0.49766680243392586</v>
      </c>
      <c r="F55" s="12">
        <v>0.49937429866513561</v>
      </c>
      <c r="G55" s="12">
        <v>0.52212621910359935</v>
      </c>
      <c r="H55" s="12">
        <v>0.51927998139868281</v>
      </c>
      <c r="I55" s="12">
        <v>0.5104839198996235</v>
      </c>
      <c r="J55" s="12">
        <v>0.49606244434275948</v>
      </c>
      <c r="K55" s="12">
        <v>0.46155836846585363</v>
      </c>
      <c r="L55" s="12">
        <v>0.46738906813580877</v>
      </c>
      <c r="M55" s="12">
        <v>0.47483021132159847</v>
      </c>
      <c r="N55" s="12">
        <v>0.47106317505553114</v>
      </c>
      <c r="O55" s="12">
        <v>0.4794192232961908</v>
      </c>
      <c r="P55" s="12">
        <v>0.49179219039792038</v>
      </c>
      <c r="Q55" s="12">
        <v>0.46106856091469356</v>
      </c>
      <c r="R55" s="12">
        <v>0.4902355030517041</v>
      </c>
      <c r="S55" s="12">
        <v>0.46069896928009579</v>
      </c>
      <c r="T55" s="12">
        <v>0.43934588058991325</v>
      </c>
      <c r="U55" s="12">
        <v>0.43006791159076974</v>
      </c>
      <c r="V55" s="12">
        <v>0.46327623949941721</v>
      </c>
      <c r="W55" s="12">
        <v>0.47999468502582993</v>
      </c>
      <c r="X55" s="12">
        <v>0.48795823852081094</v>
      </c>
      <c r="Y55" s="12">
        <v>0.53176408666922259</v>
      </c>
      <c r="Z55" s="12">
        <v>0.55400918014530909</v>
      </c>
      <c r="AA55" s="12">
        <v>0.53115957582309525</v>
      </c>
      <c r="AB55" s="12">
        <v>0.45606310266879224</v>
      </c>
      <c r="AC55" s="12">
        <v>0.41266500476224194</v>
      </c>
      <c r="AD55" s="12">
        <v>0.36059938357457533</v>
      </c>
      <c r="AE55" s="12">
        <v>0.36609993282285436</v>
      </c>
      <c r="AF55" s="12">
        <v>0.38733539809274953</v>
      </c>
      <c r="AG55" s="12">
        <v>0.40651297331081687</v>
      </c>
      <c r="AH55" s="12">
        <v>0.45301218113201336</v>
      </c>
      <c r="AI55" s="12">
        <v>0.51628102033273715</v>
      </c>
      <c r="AJ55" s="12">
        <v>0.56686842674602311</v>
      </c>
      <c r="AK55" s="12">
        <v>0.51350713782481339</v>
      </c>
      <c r="AL55" s="12">
        <v>0.44533038546378484</v>
      </c>
      <c r="AM55" s="12">
        <v>0.38334320420715579</v>
      </c>
      <c r="AN55" s="12">
        <v>0.35985807589459523</v>
      </c>
      <c r="AO55" s="12">
        <v>0.35542293152562415</v>
      </c>
      <c r="AP55" s="12">
        <v>0.38553512882050361</v>
      </c>
      <c r="AQ55" s="12">
        <v>0.43003269510925152</v>
      </c>
      <c r="AR55" s="12">
        <v>0.48082431435054995</v>
      </c>
      <c r="AS55" s="12">
        <v>0.49727693182585864</v>
      </c>
      <c r="AT55" s="12">
        <v>0.52704108048596454</v>
      </c>
      <c r="AU55" s="12">
        <v>0.53578580345583138</v>
      </c>
      <c r="AV55" s="12">
        <v>0.5186760258490164</v>
      </c>
      <c r="AW55" s="12">
        <v>0.4767987630489291</v>
      </c>
      <c r="AX55" s="12">
        <v>0.49000689422578059</v>
      </c>
      <c r="AY55" s="12">
        <v>0.45665296822818274</v>
      </c>
      <c r="AZ55" s="12">
        <v>0.44628552121996456</v>
      </c>
      <c r="BA55" s="12">
        <v>0.45591136041006192</v>
      </c>
      <c r="BB55" s="12">
        <v>0.42715477255698359</v>
      </c>
      <c r="BC55" s="12">
        <v>0.43561504104317578</v>
      </c>
      <c r="BD55" s="12">
        <v>0.43607431525895751</v>
      </c>
      <c r="BE55" s="12">
        <v>0.46392330308732049</v>
      </c>
      <c r="BF55" s="12">
        <v>0.47782789343035814</v>
      </c>
      <c r="BG55" s="12">
        <v>0.4605219688770586</v>
      </c>
      <c r="BH55" s="12">
        <v>0.45792544634848631</v>
      </c>
      <c r="BI55" s="12">
        <v>0.43654842567062957</v>
      </c>
      <c r="BJ55" s="12">
        <v>0.42759608606566601</v>
      </c>
      <c r="BK55" s="12">
        <v>0.42032409049633429</v>
      </c>
      <c r="GI55" s="8" t="s">
        <v>216</v>
      </c>
      <c r="GJ55" s="12">
        <v>0.12895208256609919</v>
      </c>
      <c r="GK55" s="12">
        <v>0.1385453108445461</v>
      </c>
      <c r="GL55" s="12">
        <v>0.14107787127915425</v>
      </c>
      <c r="GM55" s="12">
        <v>0.14479554185475094</v>
      </c>
      <c r="GN55" s="12">
        <v>0.14320474406286682</v>
      </c>
      <c r="GO55" s="12">
        <v>0.16334222437601015</v>
      </c>
      <c r="GP55" s="12">
        <v>0.16102346697578479</v>
      </c>
      <c r="GQ55" s="12">
        <v>0.15573999796176591</v>
      </c>
      <c r="GR55" s="12">
        <v>0.14594897336683618</v>
      </c>
      <c r="GS55" s="12">
        <v>0.13115576714821406</v>
      </c>
      <c r="GT55" s="12">
        <v>0.12908732540566506</v>
      </c>
      <c r="GU55" s="12">
        <v>0.12512445069636646</v>
      </c>
      <c r="GV55" s="12">
        <v>0.11335860898914756</v>
      </c>
      <c r="GW55" s="12">
        <v>0.11948553222392033</v>
      </c>
      <c r="GX55" s="12">
        <v>0.13142535880905787</v>
      </c>
      <c r="GY55" s="12">
        <v>0.16917999374948625</v>
      </c>
      <c r="GZ55" s="12">
        <v>0.175621343019572</v>
      </c>
      <c r="HA55" s="12">
        <v>0.16010356675119336</v>
      </c>
      <c r="HB55" s="10">
        <v>0.15006824163791699</v>
      </c>
      <c r="HC55" s="12">
        <v>0.13447409673582958</v>
      </c>
      <c r="HD55" s="10">
        <v>4.0416752173981711E-2</v>
      </c>
      <c r="HE55" s="12">
        <v>4.5952133426831319E-2</v>
      </c>
      <c r="HF55" s="12">
        <v>5.3911928487963612E-2</v>
      </c>
      <c r="HG55" s="12">
        <v>7.7182693379523104E-2</v>
      </c>
      <c r="HH55" s="12">
        <v>6.0737849838298184E-2</v>
      </c>
      <c r="HI55" s="12">
        <v>7.9876826473264786E-2</v>
      </c>
      <c r="HJ55" s="12">
        <v>8.8602654767531833E-2</v>
      </c>
      <c r="HK55" s="12">
        <v>6.7619227829583198E-2</v>
      </c>
      <c r="HL55" s="12">
        <v>5.9593020259447925E-2</v>
      </c>
      <c r="HM55" s="12">
        <v>4.5485363622594692E-2</v>
      </c>
      <c r="HN55" s="10">
        <v>2.9854226934226187E-2</v>
      </c>
      <c r="HO55" s="12">
        <v>3.3028813177594242E-2</v>
      </c>
      <c r="HP55" s="12">
        <v>3.5889476719087814E-2</v>
      </c>
      <c r="HQ55" s="12">
        <v>6.4272532242996436E-2</v>
      </c>
      <c r="HR55" s="12">
        <v>5.8872809382212031E-2</v>
      </c>
      <c r="HS55" s="12">
        <v>7.4154698069656286E-2</v>
      </c>
      <c r="HT55" s="12">
        <v>8.0021827447617891E-2</v>
      </c>
      <c r="HU55" s="12">
        <v>7.1525431379791671E-2</v>
      </c>
      <c r="HV55" s="12">
        <v>5.3548540153986829E-2</v>
      </c>
      <c r="HW55" s="12">
        <v>3.7589564440775672E-2</v>
      </c>
      <c r="HX55" s="12">
        <v>8.7301741980167019E-2</v>
      </c>
      <c r="HY55" s="12">
        <v>8.1495837236259541E-2</v>
      </c>
      <c r="HZ55" s="12">
        <v>8.8995917233763377E-2</v>
      </c>
      <c r="IA55" s="12">
        <v>0.104143613082537</v>
      </c>
      <c r="IB55" s="12">
        <v>0.1102801282234975</v>
      </c>
      <c r="IC55" s="12">
        <v>0.14628228298234422</v>
      </c>
      <c r="ID55" s="12">
        <v>0.14962781280928503</v>
      </c>
      <c r="IE55" s="12">
        <v>0.13852041436620716</v>
      </c>
      <c r="IF55" s="10">
        <v>0.12992442785265304</v>
      </c>
      <c r="IG55" s="12">
        <v>0.11691986242799458</v>
      </c>
      <c r="IH55" s="12">
        <v>0.22880173563788389</v>
      </c>
      <c r="II55" s="12">
        <v>0.22788949244866225</v>
      </c>
      <c r="IJ55" s="12">
        <v>0.2183851310950275</v>
      </c>
      <c r="IK55" s="12">
        <v>0.20866418432558653</v>
      </c>
      <c r="IL55" s="12">
        <v>0.18745223697699348</v>
      </c>
      <c r="IM55" s="12">
        <v>0.2051831146807708</v>
      </c>
      <c r="IN55" s="12">
        <v>0.21997279546688786</v>
      </c>
      <c r="IO55" s="12">
        <v>0.23044420651062661</v>
      </c>
      <c r="IP55" s="12">
        <v>0.23552021087444625</v>
      </c>
      <c r="IQ55" s="12">
        <v>0.22358384745582441</v>
      </c>
      <c r="IS55" s="8" t="s">
        <v>196</v>
      </c>
      <c r="IT55" s="8" t="s">
        <v>229</v>
      </c>
      <c r="IU55" s="8" t="s">
        <v>230</v>
      </c>
      <c r="IV55" s="12">
        <v>0.70799902686638394</v>
      </c>
    </row>
    <row r="56" spans="2:256" x14ac:dyDescent="0.45">
      <c r="B56" s="9" t="s">
        <v>217</v>
      </c>
      <c r="C56" s="9" t="s">
        <v>31</v>
      </c>
      <c r="D56" s="13">
        <v>0.36945388268291479</v>
      </c>
      <c r="E56" s="13">
        <v>0.35795083380650727</v>
      </c>
      <c r="F56" s="13">
        <v>0.36828838411472303</v>
      </c>
      <c r="G56" s="13">
        <v>0.39538077799297772</v>
      </c>
      <c r="H56" s="13">
        <v>0.42232720830876908</v>
      </c>
      <c r="I56" s="13">
        <v>0.42608542593316895</v>
      </c>
      <c r="J56" s="13">
        <v>0.41963693502930999</v>
      </c>
      <c r="K56" s="13">
        <v>0.37969238175885073</v>
      </c>
      <c r="L56" s="13">
        <v>0.35847529657254901</v>
      </c>
      <c r="M56" s="13">
        <v>0.35766611972736545</v>
      </c>
      <c r="N56" s="13">
        <v>0.40573814019337956</v>
      </c>
      <c r="O56" s="13">
        <v>0.422435322126331</v>
      </c>
      <c r="P56" s="13">
        <v>0.45458145429193986</v>
      </c>
      <c r="Q56" s="13">
        <v>0.44865037367357852</v>
      </c>
      <c r="R56" s="13">
        <v>0.4729056118359774</v>
      </c>
      <c r="S56" s="13">
        <v>0.42932593835869337</v>
      </c>
      <c r="T56" s="13">
        <v>0.40162303707225866</v>
      </c>
      <c r="U56" s="13">
        <v>0.37560588905528963</v>
      </c>
      <c r="V56" s="13">
        <v>0.36188610174316038</v>
      </c>
      <c r="W56" s="13">
        <v>0.37852539767172594</v>
      </c>
      <c r="X56" s="13">
        <v>0.38280561521718048</v>
      </c>
      <c r="Y56" s="13">
        <v>0.44127537859344312</v>
      </c>
      <c r="Z56" s="13">
        <v>0.49939556154590448</v>
      </c>
      <c r="AA56" s="13">
        <v>0.49400179510438663</v>
      </c>
      <c r="AB56" s="13">
        <v>0.50934740116787813</v>
      </c>
      <c r="AC56" s="13">
        <v>0.48588293226677765</v>
      </c>
      <c r="AD56" s="13">
        <v>0.44069941511639998</v>
      </c>
      <c r="AE56" s="13">
        <v>0.40996413434767531</v>
      </c>
      <c r="AF56" s="13">
        <v>0.37518597885067223</v>
      </c>
      <c r="AG56" s="13">
        <v>0.35656000103032309</v>
      </c>
      <c r="AH56" s="13">
        <v>0.41863269319053276</v>
      </c>
      <c r="AI56" s="13">
        <v>0.435375706328061</v>
      </c>
      <c r="AJ56" s="13">
        <v>0.47247334622101511</v>
      </c>
      <c r="AK56" s="13">
        <v>0.4437159475357495</v>
      </c>
      <c r="AL56" s="13">
        <v>0.48497560853928084</v>
      </c>
      <c r="AM56" s="13">
        <v>0.4586252836382434</v>
      </c>
      <c r="AN56" s="13">
        <v>0.40509834157558955</v>
      </c>
      <c r="AO56" s="13">
        <v>0.36465229180275593</v>
      </c>
      <c r="AP56" s="13">
        <v>0.37206876750981488</v>
      </c>
      <c r="AQ56" s="13">
        <v>0.37753375673033157</v>
      </c>
      <c r="AR56" s="13">
        <v>0.3978035235008075</v>
      </c>
      <c r="AS56" s="13">
        <v>0.41223123879529522</v>
      </c>
      <c r="AT56" s="13">
        <v>0.43941240919899222</v>
      </c>
      <c r="AU56" s="13">
        <v>0.4432289814629029</v>
      </c>
      <c r="AV56" s="13">
        <v>0.46163340071152659</v>
      </c>
      <c r="AW56" s="13">
        <v>0.44128648868093739</v>
      </c>
      <c r="AX56" s="13">
        <v>0.44577584054521646</v>
      </c>
      <c r="AY56" s="13">
        <v>0.40567853354448169</v>
      </c>
      <c r="AZ56" s="13">
        <v>0.38334801823270681</v>
      </c>
      <c r="BA56" s="13">
        <v>0.38711147246607364</v>
      </c>
      <c r="BB56" s="13">
        <v>0.2919207204489509</v>
      </c>
      <c r="BC56" s="13">
        <v>0.29730837031041751</v>
      </c>
      <c r="BD56" s="13">
        <v>0.29572312733813233</v>
      </c>
      <c r="BE56" s="13">
        <v>0.32093163299850558</v>
      </c>
      <c r="BF56" s="13">
        <v>0.34580278302375361</v>
      </c>
      <c r="BG56" s="13">
        <v>0.34633183659539657</v>
      </c>
      <c r="BH56" s="13">
        <v>0.31034088452462083</v>
      </c>
      <c r="BI56" s="13">
        <v>0.29688788368901475</v>
      </c>
      <c r="BJ56" s="13">
        <v>0.29377923529617372</v>
      </c>
      <c r="BK56" s="13">
        <v>0.29748055940278006</v>
      </c>
      <c r="GI56" s="9" t="s">
        <v>217</v>
      </c>
      <c r="GJ56" s="13">
        <v>0.34570037914048229</v>
      </c>
      <c r="GK56" s="13">
        <v>0.3398950126030264</v>
      </c>
      <c r="GL56" s="13">
        <v>0.33995269362321667</v>
      </c>
      <c r="GM56" s="13">
        <v>0.33196110349814267</v>
      </c>
      <c r="GN56" s="13">
        <v>0.3263092800886101</v>
      </c>
      <c r="GO56" s="13">
        <v>0.34671318157794906</v>
      </c>
      <c r="GP56" s="13">
        <v>0.36112494541930212</v>
      </c>
      <c r="GQ56" s="13">
        <v>0.3832416911112384</v>
      </c>
      <c r="GR56" s="13">
        <v>0.38484708710265725</v>
      </c>
      <c r="GS56" s="13">
        <v>0.36886682793568298</v>
      </c>
      <c r="GT56" s="13">
        <v>0.33870200828005947</v>
      </c>
      <c r="GU56" s="13">
        <v>0.33359404034322399</v>
      </c>
      <c r="GV56" s="13">
        <v>0.30968586695328032</v>
      </c>
      <c r="GW56" s="13">
        <v>0.31700136198445839</v>
      </c>
      <c r="GX56" s="13">
        <v>0.29766326368393281</v>
      </c>
      <c r="GY56" s="13">
        <v>0.32734880773605218</v>
      </c>
      <c r="GZ56" s="13">
        <v>0.32441542137757345</v>
      </c>
      <c r="HA56" s="13">
        <v>0.33320889037702389</v>
      </c>
      <c r="HB56" s="11">
        <v>0.35563705211089303</v>
      </c>
      <c r="HC56" s="13">
        <v>0.34315937895437215</v>
      </c>
      <c r="HD56" s="11">
        <v>0.14051105292275851</v>
      </c>
      <c r="HE56" s="13">
        <v>0.14303890209965753</v>
      </c>
      <c r="HF56" s="13">
        <v>0.144597012779488</v>
      </c>
      <c r="HG56" s="13">
        <v>0.15017615480026034</v>
      </c>
      <c r="HH56" s="13">
        <v>0.10756396146375248</v>
      </c>
      <c r="HI56" s="13">
        <v>0.13370185979836036</v>
      </c>
      <c r="HJ56" s="13">
        <v>0.15227775338615723</v>
      </c>
      <c r="HK56" s="13">
        <v>0.15023261027243234</v>
      </c>
      <c r="HL56" s="13">
        <v>0.16584452678959596</v>
      </c>
      <c r="HM56" s="13">
        <v>0.15534171831989974</v>
      </c>
      <c r="HN56" s="11">
        <v>0.13422122418805599</v>
      </c>
      <c r="HO56" s="13">
        <v>0.13169868260978607</v>
      </c>
      <c r="HP56" s="13">
        <v>0.11323525452088413</v>
      </c>
      <c r="HQ56" s="13">
        <v>0.13587683861450775</v>
      </c>
      <c r="HR56" s="13">
        <v>0.12719399287055191</v>
      </c>
      <c r="HS56" s="13">
        <v>0.15585381815030516</v>
      </c>
      <c r="HT56" s="13">
        <v>0.15287237768376627</v>
      </c>
      <c r="HU56" s="13">
        <v>0.1311421829186688</v>
      </c>
      <c r="HV56" s="13">
        <v>0.14877679477711489</v>
      </c>
      <c r="HW56" s="13">
        <v>0.13900094472562299</v>
      </c>
      <c r="HX56" s="13">
        <v>0.30998118703535738</v>
      </c>
      <c r="HY56" s="13">
        <v>0.2932961431792126</v>
      </c>
      <c r="HZ56" s="13">
        <v>0.28793944550676065</v>
      </c>
      <c r="IA56" s="13">
        <v>0.29286444141549811</v>
      </c>
      <c r="IB56" s="13">
        <v>0.27002325213500722</v>
      </c>
      <c r="IC56" s="13">
        <v>0.29463296227794311</v>
      </c>
      <c r="ID56" s="13">
        <v>0.29805303278274065</v>
      </c>
      <c r="IE56" s="13">
        <v>0.30541273141372977</v>
      </c>
      <c r="IF56" s="11">
        <v>0.3290330746263917</v>
      </c>
      <c r="IG56" s="13">
        <v>0.33333781494497311</v>
      </c>
      <c r="IH56" s="13">
        <v>0.52991209457830568</v>
      </c>
      <c r="II56" s="13">
        <v>0.53861918446930646</v>
      </c>
      <c r="IJ56" s="13">
        <v>0.53380069230184002</v>
      </c>
      <c r="IK56" s="13">
        <v>0.52339668089366487</v>
      </c>
      <c r="IL56" s="13">
        <v>0.4914292147020799</v>
      </c>
      <c r="IM56" s="13">
        <v>0.48788739534841735</v>
      </c>
      <c r="IN56" s="13">
        <v>0.50608479397132922</v>
      </c>
      <c r="IO56" s="13">
        <v>0.53330133241730904</v>
      </c>
      <c r="IP56" s="13">
        <v>0.53785984945160636</v>
      </c>
      <c r="IQ56" s="13">
        <v>0.53316286708368488</v>
      </c>
      <c r="IS56" s="9" t="s">
        <v>197</v>
      </c>
      <c r="IT56" s="9" t="s">
        <v>229</v>
      </c>
      <c r="IU56" s="9" t="s">
        <v>230</v>
      </c>
      <c r="IV56" s="13">
        <v>0.68744536677168466</v>
      </c>
    </row>
    <row r="57" spans="2:256" x14ac:dyDescent="0.45">
      <c r="B57" s="8" t="s">
        <v>218</v>
      </c>
      <c r="C57" s="8" t="s">
        <v>31</v>
      </c>
      <c r="D57" s="12">
        <v>0.37027377608482342</v>
      </c>
      <c r="E57" s="12">
        <v>0.40023182196236479</v>
      </c>
      <c r="F57" s="12">
        <v>0.3909031096059673</v>
      </c>
      <c r="G57" s="12">
        <v>0.4193400329163024</v>
      </c>
      <c r="H57" s="12">
        <v>0.43789813542101214</v>
      </c>
      <c r="I57" s="12">
        <v>0.42800820903423747</v>
      </c>
      <c r="J57" s="12">
        <v>0.41342595952533767</v>
      </c>
      <c r="K57" s="12">
        <v>0.36827588711316367</v>
      </c>
      <c r="L57" s="12">
        <v>0.35362303774835419</v>
      </c>
      <c r="M57" s="12">
        <v>0.35102677798784537</v>
      </c>
      <c r="N57" s="12">
        <v>0.44062656678008577</v>
      </c>
      <c r="O57" s="12">
        <v>0.44728885472264934</v>
      </c>
      <c r="P57" s="12">
        <v>0.47372089651236948</v>
      </c>
      <c r="Q57" s="12">
        <v>0.46033187281013938</v>
      </c>
      <c r="R57" s="12">
        <v>0.46687017105185624</v>
      </c>
      <c r="S57" s="12">
        <v>0.44316776363114174</v>
      </c>
      <c r="T57" s="12">
        <v>0.40088853228872562</v>
      </c>
      <c r="U57" s="12">
        <v>0.35025252449157368</v>
      </c>
      <c r="V57" s="12">
        <v>0.34123616280868058</v>
      </c>
      <c r="W57" s="12">
        <v>0.38503927683017825</v>
      </c>
      <c r="X57" s="12">
        <v>0.40036495301374181</v>
      </c>
      <c r="Y57" s="12">
        <v>0.44152565578299557</v>
      </c>
      <c r="Z57" s="12">
        <v>0.4972447494056903</v>
      </c>
      <c r="AA57" s="12">
        <v>0.49204136799358822</v>
      </c>
      <c r="AB57" s="12">
        <v>0.46205955095205964</v>
      </c>
      <c r="AC57" s="12">
        <v>0.4217173290041108</v>
      </c>
      <c r="AD57" s="12">
        <v>0.3908533313033028</v>
      </c>
      <c r="AE57" s="12">
        <v>0.36760327065207127</v>
      </c>
      <c r="AF57" s="12">
        <v>0.34667693684479911</v>
      </c>
      <c r="AG57" s="12">
        <v>0.34101160048784729</v>
      </c>
      <c r="AH57" s="12">
        <v>0.39021936521855843</v>
      </c>
      <c r="AI57" s="12">
        <v>0.42488497254939733</v>
      </c>
      <c r="AJ57" s="12">
        <v>0.51747950373592866</v>
      </c>
      <c r="AK57" s="12">
        <v>0.46018877010525122</v>
      </c>
      <c r="AL57" s="12">
        <v>0.48110985594882527</v>
      </c>
      <c r="AM57" s="12">
        <v>0.44696097880990282</v>
      </c>
      <c r="AN57" s="12">
        <v>0.43322808722421041</v>
      </c>
      <c r="AO57" s="12">
        <v>0.38712622374908978</v>
      </c>
      <c r="AP57" s="12">
        <v>0.35032307011401898</v>
      </c>
      <c r="AQ57" s="12">
        <v>0.36454534241913139</v>
      </c>
      <c r="AR57" s="12">
        <v>0.38805230333257507</v>
      </c>
      <c r="AS57" s="12">
        <v>0.38992205617306042</v>
      </c>
      <c r="AT57" s="12">
        <v>0.43111577381374672</v>
      </c>
      <c r="AU57" s="12">
        <v>0.4535702332497481</v>
      </c>
      <c r="AV57" s="12">
        <v>0.46206278863945416</v>
      </c>
      <c r="AW57" s="12">
        <v>0.47727483960380063</v>
      </c>
      <c r="AX57" s="12">
        <v>0.45931057939644065</v>
      </c>
      <c r="AY57" s="12">
        <v>0.4145175719951088</v>
      </c>
      <c r="AZ57" s="12">
        <v>0.3851171256685525</v>
      </c>
      <c r="BA57" s="12">
        <v>0.37069158988012313</v>
      </c>
      <c r="BB57" s="12">
        <v>0.34514978245182337</v>
      </c>
      <c r="BC57" s="12">
        <v>0.35485847695196687</v>
      </c>
      <c r="BD57" s="12">
        <v>0.35806575190088014</v>
      </c>
      <c r="BE57" s="12">
        <v>0.38107024816693974</v>
      </c>
      <c r="BF57" s="12">
        <v>0.40222101100815394</v>
      </c>
      <c r="BG57" s="12">
        <v>0.38729072535925346</v>
      </c>
      <c r="BH57" s="12">
        <v>0.3726467750089954</v>
      </c>
      <c r="BI57" s="12">
        <v>0.3495994298252818</v>
      </c>
      <c r="BJ57" s="12">
        <v>0.33065261932381906</v>
      </c>
      <c r="BK57" s="12">
        <v>0.33886524815413599</v>
      </c>
      <c r="GI57" s="8" t="s">
        <v>218</v>
      </c>
      <c r="GJ57" s="12">
        <v>0.23699367496997911</v>
      </c>
      <c r="GK57" s="12">
        <v>0.24478507316639941</v>
      </c>
      <c r="GL57" s="12">
        <v>0.24855504712025789</v>
      </c>
      <c r="GM57" s="12">
        <v>0.24067415552306631</v>
      </c>
      <c r="GN57" s="12">
        <v>0.22711390119467975</v>
      </c>
      <c r="GO57" s="12">
        <v>0.24449676880810708</v>
      </c>
      <c r="GP57" s="12">
        <v>0.25467051508340321</v>
      </c>
      <c r="GQ57" s="12">
        <v>0.27622702393943976</v>
      </c>
      <c r="GR57" s="12">
        <v>0.27043774959690137</v>
      </c>
      <c r="GS57" s="12">
        <v>0.24898734928403246</v>
      </c>
      <c r="GT57" s="12">
        <v>0.2630409388895813</v>
      </c>
      <c r="GU57" s="12">
        <v>0.25868502423092443</v>
      </c>
      <c r="GV57" s="12">
        <v>0.23969737571883909</v>
      </c>
      <c r="GW57" s="12">
        <v>0.24213179687431982</v>
      </c>
      <c r="GX57" s="12">
        <v>0.22884080989677405</v>
      </c>
      <c r="GY57" s="12">
        <v>0.25742550520417296</v>
      </c>
      <c r="GZ57" s="12">
        <v>0.25471965989059486</v>
      </c>
      <c r="HA57" s="12">
        <v>0.27099015164752277</v>
      </c>
      <c r="HB57" s="10">
        <v>0.29417021683691541</v>
      </c>
      <c r="HC57" s="12">
        <v>0.27665841770284805</v>
      </c>
      <c r="HD57" s="10">
        <v>0.12451713328624631</v>
      </c>
      <c r="HE57" s="12">
        <v>0.13746528592488105</v>
      </c>
      <c r="HF57" s="12">
        <v>0.13433436148192165</v>
      </c>
      <c r="HG57" s="12">
        <v>0.14487201925122961</v>
      </c>
      <c r="HH57" s="12">
        <v>0.10346373564805691</v>
      </c>
      <c r="HI57" s="12">
        <v>0.12199362854496346</v>
      </c>
      <c r="HJ57" s="12">
        <v>0.13471018245985039</v>
      </c>
      <c r="HK57" s="12">
        <v>0.12185793763905257</v>
      </c>
      <c r="HL57" s="12">
        <v>0.13253492777354431</v>
      </c>
      <c r="HM57" s="12">
        <v>0.12336955120653903</v>
      </c>
      <c r="HN57" s="10">
        <v>0.11151797008578505</v>
      </c>
      <c r="HO57" s="12">
        <v>0.10259598464414628</v>
      </c>
      <c r="HP57" s="12">
        <v>9.4436598520141524E-2</v>
      </c>
      <c r="HQ57" s="12">
        <v>0.11311952548452607</v>
      </c>
      <c r="HR57" s="12">
        <v>9.9491289537986055E-2</v>
      </c>
      <c r="HS57" s="12">
        <v>0.12247545211915038</v>
      </c>
      <c r="HT57" s="12">
        <v>0.14123948771726499</v>
      </c>
      <c r="HU57" s="12">
        <v>0.12840772351075788</v>
      </c>
      <c r="HV57" s="12">
        <v>0.12689433451985702</v>
      </c>
      <c r="HW57" s="12">
        <v>0.12220255643474388</v>
      </c>
      <c r="HX57" s="12">
        <v>0.20795603643706878</v>
      </c>
      <c r="HY57" s="12">
        <v>0.18997308615254369</v>
      </c>
      <c r="HZ57" s="12">
        <v>0.19900552489003687</v>
      </c>
      <c r="IA57" s="12">
        <v>0.20237074855077575</v>
      </c>
      <c r="IB57" s="12">
        <v>0.19434954690489809</v>
      </c>
      <c r="IC57" s="12">
        <v>0.2239243680708296</v>
      </c>
      <c r="ID57" s="12">
        <v>0.23552806864232823</v>
      </c>
      <c r="IE57" s="12">
        <v>0.26756618552387096</v>
      </c>
      <c r="IF57" s="10">
        <v>0.2760254340353106</v>
      </c>
      <c r="IG57" s="12">
        <v>0.25603268482681757</v>
      </c>
      <c r="IH57" s="12">
        <v>0.37613515300525413</v>
      </c>
      <c r="II57" s="12">
        <v>0.380605307800151</v>
      </c>
      <c r="IJ57" s="12">
        <v>0.36894239622090291</v>
      </c>
      <c r="IK57" s="12">
        <v>0.34972019230093243</v>
      </c>
      <c r="IL57" s="12">
        <v>0.32309993793311098</v>
      </c>
      <c r="IM57" s="12">
        <v>0.34074682478339241</v>
      </c>
      <c r="IN57" s="12">
        <v>0.36242542622697943</v>
      </c>
      <c r="IO57" s="12">
        <v>0.37761777137958402</v>
      </c>
      <c r="IP57" s="12">
        <v>0.38468670253349246</v>
      </c>
      <c r="IQ57" s="12">
        <v>0.38059035150632969</v>
      </c>
      <c r="IS57" s="8" t="s">
        <v>198</v>
      </c>
      <c r="IT57" s="8" t="s">
        <v>229</v>
      </c>
      <c r="IU57" s="8" t="s">
        <v>230</v>
      </c>
      <c r="IV57" s="12">
        <v>0.56828454710066145</v>
      </c>
    </row>
    <row r="58" spans="2:256" x14ac:dyDescent="0.45">
      <c r="B58" s="9" t="s">
        <v>219</v>
      </c>
      <c r="C58" s="9" t="s">
        <v>31</v>
      </c>
      <c r="D58" s="13">
        <v>0.39135523589350202</v>
      </c>
      <c r="E58" s="13">
        <v>0.398738174652632</v>
      </c>
      <c r="F58" s="13">
        <v>0.43424899160829389</v>
      </c>
      <c r="G58" s="13">
        <v>0.45675486714801095</v>
      </c>
      <c r="H58" s="13">
        <v>0.4526338245213723</v>
      </c>
      <c r="I58" s="13">
        <v>0.4572140682715487</v>
      </c>
      <c r="J58" s="13">
        <v>0.45499596533472042</v>
      </c>
      <c r="K58" s="13">
        <v>0.42492974651194354</v>
      </c>
      <c r="L58" s="13">
        <v>0.39950006837940194</v>
      </c>
      <c r="M58" s="13">
        <v>0.38769282879497402</v>
      </c>
      <c r="N58" s="13">
        <v>0.36604011452821456</v>
      </c>
      <c r="O58" s="13">
        <v>0.40881985710882068</v>
      </c>
      <c r="P58" s="13">
        <v>0.43718494312880546</v>
      </c>
      <c r="Q58" s="13">
        <v>0.44568374651017789</v>
      </c>
      <c r="R58" s="13">
        <v>0.44103454472910786</v>
      </c>
      <c r="S58" s="13">
        <v>0.42687580325474278</v>
      </c>
      <c r="T58" s="13">
        <v>0.40776179041463473</v>
      </c>
      <c r="U58" s="13">
        <v>0.38674808798846777</v>
      </c>
      <c r="V58" s="13">
        <v>0.3594244318845608</v>
      </c>
      <c r="W58" s="13">
        <v>0.35372806998179968</v>
      </c>
      <c r="X58" s="13">
        <v>0.39170408587749955</v>
      </c>
      <c r="Y58" s="13">
        <v>0.40700237248186877</v>
      </c>
      <c r="Z58" s="13">
        <v>0.45135514493655127</v>
      </c>
      <c r="AA58" s="13">
        <v>0.44019090582217935</v>
      </c>
      <c r="AB58" s="13">
        <v>0.43179194141748939</v>
      </c>
      <c r="AC58" s="13">
        <v>0.41785217323159668</v>
      </c>
      <c r="AD58" s="13">
        <v>0.39727694901619243</v>
      </c>
      <c r="AE58" s="13">
        <v>0.39300519756341507</v>
      </c>
      <c r="AF58" s="13">
        <v>0.39669004689559823</v>
      </c>
      <c r="AG58" s="13">
        <v>0.3836001153486055</v>
      </c>
      <c r="AH58" s="13">
        <v>0.40648532458939773</v>
      </c>
      <c r="AI58" s="13">
        <v>0.42668258676190052</v>
      </c>
      <c r="AJ58" s="13">
        <v>0.46994988612722122</v>
      </c>
      <c r="AK58" s="13">
        <v>0.46038658665457233</v>
      </c>
      <c r="AL58" s="13">
        <v>0.47980624962821861</v>
      </c>
      <c r="AM58" s="13">
        <v>0.43818915346293869</v>
      </c>
      <c r="AN58" s="13">
        <v>0.39837873055231582</v>
      </c>
      <c r="AO58" s="13">
        <v>0.36418827115952318</v>
      </c>
      <c r="AP58" s="13">
        <v>0.33100772391433142</v>
      </c>
      <c r="AQ58" s="13">
        <v>0.35074617592029833</v>
      </c>
      <c r="AR58" s="13">
        <v>0.42687895389293129</v>
      </c>
      <c r="AS58" s="13">
        <v>0.43084504021823433</v>
      </c>
      <c r="AT58" s="13">
        <v>0.43073784062948356</v>
      </c>
      <c r="AU58" s="13">
        <v>0.41539352824243975</v>
      </c>
      <c r="AV58" s="13">
        <v>0.3978859327347567</v>
      </c>
      <c r="AW58" s="13">
        <v>0.35838307660576763</v>
      </c>
      <c r="AX58" s="13">
        <v>0.36163616021358574</v>
      </c>
      <c r="AY58" s="13">
        <v>0.37000228520398204</v>
      </c>
      <c r="AZ58" s="13">
        <v>0.37486575726523824</v>
      </c>
      <c r="BA58" s="13">
        <v>0.38466358935126321</v>
      </c>
      <c r="BB58" s="13">
        <v>0.3540381235559093</v>
      </c>
      <c r="BC58" s="13">
        <v>0.34457473468182198</v>
      </c>
      <c r="BD58" s="13">
        <v>0.34724280171978894</v>
      </c>
      <c r="BE58" s="13">
        <v>0.35473301652750105</v>
      </c>
      <c r="BF58" s="13">
        <v>0.37447955961157947</v>
      </c>
      <c r="BG58" s="13">
        <v>0.37062353071776383</v>
      </c>
      <c r="BH58" s="13">
        <v>0.37299047858436607</v>
      </c>
      <c r="BI58" s="13">
        <v>0.34775970861381389</v>
      </c>
      <c r="BJ58" s="13">
        <v>0.33692016108103895</v>
      </c>
      <c r="BK58" s="13">
        <v>0.34500013767247562</v>
      </c>
      <c r="GI58" s="9" t="s">
        <v>219</v>
      </c>
      <c r="GJ58" s="13">
        <v>0.25308232033656564</v>
      </c>
      <c r="GK58" s="13">
        <v>0.26277017305723427</v>
      </c>
      <c r="GL58" s="13">
        <v>0.25954490817041165</v>
      </c>
      <c r="GM58" s="13">
        <v>0.26329667073257401</v>
      </c>
      <c r="GN58" s="13">
        <v>0.25434918443633403</v>
      </c>
      <c r="GO58" s="13">
        <v>0.27110849148810334</v>
      </c>
      <c r="GP58" s="13">
        <v>0.27945300128930861</v>
      </c>
      <c r="GQ58" s="13">
        <v>0.28379715170454317</v>
      </c>
      <c r="GR58" s="13">
        <v>0.28511302756378554</v>
      </c>
      <c r="GS58" s="13">
        <v>0.26602868257569828</v>
      </c>
      <c r="GT58" s="13">
        <v>0.23554024231901521</v>
      </c>
      <c r="GU58" s="13">
        <v>0.23603841370129983</v>
      </c>
      <c r="GV58" s="13">
        <v>0.22833105194600495</v>
      </c>
      <c r="GW58" s="13">
        <v>0.24628279941856773</v>
      </c>
      <c r="GX58" s="13">
        <v>0.24286028045375613</v>
      </c>
      <c r="GY58" s="13">
        <v>0.27731505163179021</v>
      </c>
      <c r="GZ58" s="13">
        <v>0.28491397492412474</v>
      </c>
      <c r="HA58" s="13">
        <v>0.28105969324534447</v>
      </c>
      <c r="HB58" s="11">
        <v>0.29308216043318958</v>
      </c>
      <c r="HC58" s="13">
        <v>0.2657642287765633</v>
      </c>
      <c r="HD58" s="11">
        <v>0.18750415366173637</v>
      </c>
      <c r="HE58" s="13">
        <v>0.19271683222836758</v>
      </c>
      <c r="HF58" s="13">
        <v>0.19409883073914186</v>
      </c>
      <c r="HG58" s="13">
        <v>0.21225439117223577</v>
      </c>
      <c r="HH58" s="13">
        <v>0.1749095801706409</v>
      </c>
      <c r="HI58" s="13">
        <v>0.19989912696814116</v>
      </c>
      <c r="HJ58" s="13">
        <v>0.19955188609804766</v>
      </c>
      <c r="HK58" s="13">
        <v>0.17657705118059266</v>
      </c>
      <c r="HL58" s="13">
        <v>0.17861581306435689</v>
      </c>
      <c r="HM58" s="13">
        <v>0.18228865661252441</v>
      </c>
      <c r="HN58" s="11">
        <v>0.11448220358073394</v>
      </c>
      <c r="HO58" s="13">
        <v>0.10400684174285038</v>
      </c>
      <c r="HP58" s="13">
        <v>8.8802723260760427E-2</v>
      </c>
      <c r="HQ58" s="13">
        <v>0.11283982706242607</v>
      </c>
      <c r="HR58" s="13">
        <v>0.10044224826601042</v>
      </c>
      <c r="HS58" s="13">
        <v>0.11824777450204765</v>
      </c>
      <c r="HT58" s="13">
        <v>0.11807713244674722</v>
      </c>
      <c r="HU58" s="13">
        <v>0.10860785150440716</v>
      </c>
      <c r="HV58" s="13">
        <v>0.11064973990254885</v>
      </c>
      <c r="HW58" s="13">
        <v>0.12042425193154033</v>
      </c>
      <c r="HX58" s="13">
        <v>0.21179346287861039</v>
      </c>
      <c r="HY58" s="13">
        <v>0.21955505278842985</v>
      </c>
      <c r="HZ58" s="13">
        <v>0.23059939643163349</v>
      </c>
      <c r="IA58" s="13">
        <v>0.25840698052006827</v>
      </c>
      <c r="IB58" s="13">
        <v>0.24427925723492133</v>
      </c>
      <c r="IC58" s="13">
        <v>0.2580078897013951</v>
      </c>
      <c r="ID58" s="13">
        <v>0.25186284509971785</v>
      </c>
      <c r="IE58" s="13">
        <v>0.25610944902338112</v>
      </c>
      <c r="IF58" s="11">
        <v>0.26751304435196127</v>
      </c>
      <c r="IG58" s="13">
        <v>0.25210473344319562</v>
      </c>
      <c r="IH58" s="13">
        <v>0.36123363114188445</v>
      </c>
      <c r="II58" s="13">
        <v>0.34997307567825708</v>
      </c>
      <c r="IJ58" s="13">
        <v>0.36383912483656322</v>
      </c>
      <c r="IK58" s="13">
        <v>0.37913233527548945</v>
      </c>
      <c r="IL58" s="13">
        <v>0.35173247659346918</v>
      </c>
      <c r="IM58" s="13">
        <v>0.36487391247257006</v>
      </c>
      <c r="IN58" s="13">
        <v>0.3776728859346451</v>
      </c>
      <c r="IO58" s="13">
        <v>0.39136718400410769</v>
      </c>
      <c r="IP58" s="13">
        <v>0.39339374274896222</v>
      </c>
      <c r="IQ58" s="13">
        <v>0.38104547128431299</v>
      </c>
      <c r="IS58" s="9" t="s">
        <v>199</v>
      </c>
      <c r="IT58" s="9" t="s">
        <v>229</v>
      </c>
      <c r="IU58" s="9" t="s">
        <v>230</v>
      </c>
      <c r="IV58" s="13">
        <v>0.68045189912991888</v>
      </c>
    </row>
    <row r="59" spans="2:256" x14ac:dyDescent="0.45">
      <c r="B59" s="8" t="s">
        <v>220</v>
      </c>
      <c r="C59" s="8" t="s">
        <v>31</v>
      </c>
      <c r="D59" s="12">
        <v>0.38843778835974285</v>
      </c>
      <c r="E59" s="12">
        <v>0.41617205487000891</v>
      </c>
      <c r="F59" s="12">
        <v>0.42335914821748483</v>
      </c>
      <c r="G59" s="12">
        <v>0.44251378422331072</v>
      </c>
      <c r="H59" s="12">
        <v>0.45479354804156896</v>
      </c>
      <c r="I59" s="12">
        <v>0.44635224428766845</v>
      </c>
      <c r="J59" s="12">
        <v>0.41360731246890553</v>
      </c>
      <c r="K59" s="12">
        <v>0.38967265740371648</v>
      </c>
      <c r="L59" s="12">
        <v>0.37970637309524941</v>
      </c>
      <c r="M59" s="12">
        <v>0.37236521845778536</v>
      </c>
      <c r="N59" s="12">
        <v>0.33508290887503434</v>
      </c>
      <c r="O59" s="12">
        <v>0.3511995024647766</v>
      </c>
      <c r="P59" s="12">
        <v>0.41232205055063237</v>
      </c>
      <c r="Q59" s="12">
        <v>0.44390144173887236</v>
      </c>
      <c r="R59" s="12">
        <v>0.4467862135777691</v>
      </c>
      <c r="S59" s="12">
        <v>0.39762347941040432</v>
      </c>
      <c r="T59" s="12">
        <v>0.36134549210967826</v>
      </c>
      <c r="U59" s="12">
        <v>0.33633987454122544</v>
      </c>
      <c r="V59" s="12">
        <v>0.31717107047551385</v>
      </c>
      <c r="W59" s="12">
        <v>0.33235134196971372</v>
      </c>
      <c r="X59" s="12">
        <v>0.35532704878680088</v>
      </c>
      <c r="Y59" s="12">
        <v>0.38614042534653975</v>
      </c>
      <c r="Z59" s="12">
        <v>0.44687823679862126</v>
      </c>
      <c r="AA59" s="12">
        <v>0.43569720995941968</v>
      </c>
      <c r="AB59" s="12">
        <v>0.45654796666628406</v>
      </c>
      <c r="AC59" s="12">
        <v>0.42421749325547953</v>
      </c>
      <c r="AD59" s="12">
        <v>0.41049997629235663</v>
      </c>
      <c r="AE59" s="12">
        <v>0.41455904101752289</v>
      </c>
      <c r="AF59" s="12">
        <v>0.39075926777284609</v>
      </c>
      <c r="AG59" s="12">
        <v>0.36597234019512015</v>
      </c>
      <c r="AH59" s="12">
        <v>0.33049394941750143</v>
      </c>
      <c r="AI59" s="12">
        <v>0.40991176230880527</v>
      </c>
      <c r="AJ59" s="12">
        <v>0.55567925960446729</v>
      </c>
      <c r="AK59" s="12">
        <v>0.52113045211779108</v>
      </c>
      <c r="AL59" s="12">
        <v>0.52740378321460202</v>
      </c>
      <c r="AM59" s="12">
        <v>0.48617291599847706</v>
      </c>
      <c r="AN59" s="12">
        <v>0.45886702566337861</v>
      </c>
      <c r="AO59" s="12">
        <v>0.43732162939581959</v>
      </c>
      <c r="AP59" s="12">
        <v>0.37786952788903755</v>
      </c>
      <c r="AQ59" s="12">
        <v>0.32523278852093312</v>
      </c>
      <c r="AR59" s="12">
        <v>0.36471803274582759</v>
      </c>
      <c r="AS59" s="12">
        <v>0.39030278363505366</v>
      </c>
      <c r="AT59" s="12">
        <v>0.43223682299638638</v>
      </c>
      <c r="AU59" s="12">
        <v>0.46821088819943762</v>
      </c>
      <c r="AV59" s="12">
        <v>0.46587726537921659</v>
      </c>
      <c r="AW59" s="12">
        <v>0.44757888400887491</v>
      </c>
      <c r="AX59" s="12">
        <v>0.41780078346221222</v>
      </c>
      <c r="AY59" s="12">
        <v>0.35442085109099414</v>
      </c>
      <c r="AZ59" s="12">
        <v>0.32068086665127982</v>
      </c>
      <c r="BA59" s="12">
        <v>0.33406423990695083</v>
      </c>
      <c r="BB59" s="12">
        <v>0.33638436182415105</v>
      </c>
      <c r="BC59" s="12">
        <v>0.32907079555916263</v>
      </c>
      <c r="BD59" s="12">
        <v>0.32717264395790618</v>
      </c>
      <c r="BE59" s="12">
        <v>0.36025859958003387</v>
      </c>
      <c r="BF59" s="12">
        <v>0.39955267222707852</v>
      </c>
      <c r="BG59" s="12">
        <v>0.38108175911186065</v>
      </c>
      <c r="BH59" s="12">
        <v>0.32702159765664279</v>
      </c>
      <c r="BI59" s="12">
        <v>0.30417334042099864</v>
      </c>
      <c r="BJ59" s="12">
        <v>0.32460179633287911</v>
      </c>
      <c r="BK59" s="12">
        <v>0.33965924328687824</v>
      </c>
      <c r="GI59" s="8" t="s">
        <v>220</v>
      </c>
      <c r="GJ59" s="12">
        <v>0.28966212887586335</v>
      </c>
      <c r="GK59" s="12">
        <v>0.31381473889767536</v>
      </c>
      <c r="GL59" s="12">
        <v>0.31571027975229371</v>
      </c>
      <c r="GM59" s="12">
        <v>0.31286501981601933</v>
      </c>
      <c r="GN59" s="12">
        <v>0.29692538899318238</v>
      </c>
      <c r="GO59" s="12">
        <v>0.31108427289678114</v>
      </c>
      <c r="GP59" s="12">
        <v>0.32723351386687149</v>
      </c>
      <c r="GQ59" s="12">
        <v>0.34003327518762422</v>
      </c>
      <c r="GR59" s="12">
        <v>0.33066464560477471</v>
      </c>
      <c r="GS59" s="12">
        <v>0.30653220651933644</v>
      </c>
      <c r="GT59" s="12">
        <v>0.2930947401805622</v>
      </c>
      <c r="GU59" s="12">
        <v>0.27964103922266076</v>
      </c>
      <c r="GV59" s="12">
        <v>0.23818124965262982</v>
      </c>
      <c r="GW59" s="12">
        <v>0.22676252996129931</v>
      </c>
      <c r="GX59" s="12">
        <v>0.21737550354545201</v>
      </c>
      <c r="GY59" s="12">
        <v>0.24985297697326714</v>
      </c>
      <c r="GZ59" s="12">
        <v>0.27457046526379064</v>
      </c>
      <c r="HA59" s="12">
        <v>0.28631605332955917</v>
      </c>
      <c r="HB59" s="10">
        <v>0.3180505809253597</v>
      </c>
      <c r="HC59" s="12">
        <v>0.3113129475752684</v>
      </c>
      <c r="HD59" s="10">
        <v>0.16831107062795744</v>
      </c>
      <c r="HE59" s="12">
        <v>0.15311314745568491</v>
      </c>
      <c r="HF59" s="12">
        <v>0.12745617716672314</v>
      </c>
      <c r="HG59" s="12">
        <v>0.13534878713708223</v>
      </c>
      <c r="HH59" s="12">
        <v>0.11457397338041067</v>
      </c>
      <c r="HI59" s="12">
        <v>0.13668414292818326</v>
      </c>
      <c r="HJ59" s="12">
        <v>0.15236420694354907</v>
      </c>
      <c r="HK59" s="12">
        <v>0.14294820902260974</v>
      </c>
      <c r="HL59" s="12">
        <v>0.16397176381912712</v>
      </c>
      <c r="HM59" s="12">
        <v>0.17494377473592984</v>
      </c>
      <c r="HN59" s="10">
        <v>0.1419349998839205</v>
      </c>
      <c r="HO59" s="12">
        <v>0.12640513044260848</v>
      </c>
      <c r="HP59" s="12">
        <v>0.1046387717836976</v>
      </c>
      <c r="HQ59" s="12">
        <v>0.12251476595606767</v>
      </c>
      <c r="HR59" s="12">
        <v>0.10166561541960434</v>
      </c>
      <c r="HS59" s="12">
        <v>0.11279412335627946</v>
      </c>
      <c r="HT59" s="12">
        <v>0.11976833903573968</v>
      </c>
      <c r="HU59" s="12">
        <v>0.10813260625490226</v>
      </c>
      <c r="HV59" s="12">
        <v>0.12547811034235862</v>
      </c>
      <c r="HW59" s="12">
        <v>0.14526618823222126</v>
      </c>
      <c r="HX59" s="12">
        <v>0.2338552319395128</v>
      </c>
      <c r="HY59" s="12">
        <v>0.21752294773158096</v>
      </c>
      <c r="HZ59" s="12">
        <v>0.2138083304191159</v>
      </c>
      <c r="IA59" s="12">
        <v>0.22044566821962369</v>
      </c>
      <c r="IB59" s="12">
        <v>0.20694785261194426</v>
      </c>
      <c r="IC59" s="12">
        <v>0.25026582244580703</v>
      </c>
      <c r="ID59" s="12">
        <v>0.26284161864600514</v>
      </c>
      <c r="IE59" s="12">
        <v>0.28888374395358785</v>
      </c>
      <c r="IF59" s="10">
        <v>0.30162199377204901</v>
      </c>
      <c r="IG59" s="12">
        <v>0.2845014698216739</v>
      </c>
      <c r="IH59" s="12">
        <v>0.39923969833875977</v>
      </c>
      <c r="II59" s="12">
        <v>0.38075556021594459</v>
      </c>
      <c r="IJ59" s="12">
        <v>0.37937783676896852</v>
      </c>
      <c r="IK59" s="12">
        <v>0.366041065207102</v>
      </c>
      <c r="IL59" s="12">
        <v>0.34484383491908965</v>
      </c>
      <c r="IM59" s="12">
        <v>0.35867023448851088</v>
      </c>
      <c r="IN59" s="12">
        <v>0.39761502072085997</v>
      </c>
      <c r="IO59" s="12">
        <v>0.435350272738246</v>
      </c>
      <c r="IP59" s="12">
        <v>0.43476454632157546</v>
      </c>
      <c r="IQ59" s="12">
        <v>0.40893157267316527</v>
      </c>
      <c r="IS59" s="8" t="s">
        <v>200</v>
      </c>
      <c r="IT59" s="8" t="s">
        <v>229</v>
      </c>
      <c r="IU59" s="8" t="s">
        <v>230</v>
      </c>
      <c r="IV59" s="12">
        <v>0.68852062987474871</v>
      </c>
    </row>
    <row r="60" spans="2:256" x14ac:dyDescent="0.45">
      <c r="B60" s="9" t="s">
        <v>221</v>
      </c>
      <c r="C60" s="9" t="s">
        <v>31</v>
      </c>
      <c r="D60" s="13">
        <v>0.37787744745539986</v>
      </c>
      <c r="E60" s="13">
        <v>0.4085800054668669</v>
      </c>
      <c r="F60" s="13">
        <v>0.42061325881713008</v>
      </c>
      <c r="G60" s="13">
        <v>0.42530559226984471</v>
      </c>
      <c r="H60" s="13">
        <v>0.44649042352761087</v>
      </c>
      <c r="I60" s="13">
        <v>0.4444630396747607</v>
      </c>
      <c r="J60" s="13">
        <v>0.4235712221822282</v>
      </c>
      <c r="K60" s="13">
        <v>0.4079414813802778</v>
      </c>
      <c r="L60" s="13">
        <v>0.39561753836347907</v>
      </c>
      <c r="M60" s="13">
        <v>0.38523954911058178</v>
      </c>
      <c r="N60" s="13">
        <v>0.34359365888776339</v>
      </c>
      <c r="O60" s="13">
        <v>0.38193994446088675</v>
      </c>
      <c r="P60" s="13">
        <v>0.41507559092615931</v>
      </c>
      <c r="Q60" s="13">
        <v>0.4249401429497755</v>
      </c>
      <c r="R60" s="13">
        <v>0.4426847781030584</v>
      </c>
      <c r="S60" s="13">
        <v>0.41113019615107993</v>
      </c>
      <c r="T60" s="13">
        <v>0.39268428504989372</v>
      </c>
      <c r="U60" s="13">
        <v>0.38787483084932761</v>
      </c>
      <c r="V60" s="13">
        <v>0.35583371040639844</v>
      </c>
      <c r="W60" s="13">
        <v>0.32754872154453185</v>
      </c>
      <c r="X60" s="13">
        <v>0.36498620477568283</v>
      </c>
      <c r="Y60" s="13">
        <v>0.38709137322971832</v>
      </c>
      <c r="Z60" s="13">
        <v>0.44464644169027279</v>
      </c>
      <c r="AA60" s="13">
        <v>0.42809905954582123</v>
      </c>
      <c r="AB60" s="13">
        <v>0.38639905904660554</v>
      </c>
      <c r="AC60" s="13">
        <v>0.36002456912455999</v>
      </c>
      <c r="AD60" s="13">
        <v>0.36733539445072599</v>
      </c>
      <c r="AE60" s="13">
        <v>0.37398481122410621</v>
      </c>
      <c r="AF60" s="13">
        <v>0.39852331954392833</v>
      </c>
      <c r="AG60" s="13">
        <v>0.37037414310807959</v>
      </c>
      <c r="AH60" s="13">
        <v>0.37980205074689383</v>
      </c>
      <c r="AI60" s="13">
        <v>0.46142572396093123</v>
      </c>
      <c r="AJ60" s="13">
        <v>0.54470845896206477</v>
      </c>
      <c r="AK60" s="13">
        <v>0.51401542660159627</v>
      </c>
      <c r="AL60" s="13">
        <v>0.50485585574120895</v>
      </c>
      <c r="AM60" s="13">
        <v>0.44027151917292395</v>
      </c>
      <c r="AN60" s="13">
        <v>0.40743203495259106</v>
      </c>
      <c r="AO60" s="13">
        <v>0.42374223245546883</v>
      </c>
      <c r="AP60" s="13">
        <v>0.38039601434605119</v>
      </c>
      <c r="AQ60" s="13">
        <v>0.33569449566261123</v>
      </c>
      <c r="AR60" s="13">
        <v>0.39424358443246621</v>
      </c>
      <c r="AS60" s="13">
        <v>0.42696299873795046</v>
      </c>
      <c r="AT60" s="13">
        <v>0.46827114210346404</v>
      </c>
      <c r="AU60" s="13">
        <v>0.48375511152514067</v>
      </c>
      <c r="AV60" s="13">
        <v>0.46743309183627563</v>
      </c>
      <c r="AW60" s="13">
        <v>0.42030968609347968</v>
      </c>
      <c r="AX60" s="13">
        <v>0.39424877192664554</v>
      </c>
      <c r="AY60" s="13">
        <v>0.34947102935429741</v>
      </c>
      <c r="AZ60" s="13">
        <v>0.32987309767623002</v>
      </c>
      <c r="BA60" s="13">
        <v>0.33775733811584396</v>
      </c>
      <c r="BB60" s="13">
        <v>0.31895806534490811</v>
      </c>
      <c r="BC60" s="13">
        <v>0.32769180332252534</v>
      </c>
      <c r="BD60" s="13">
        <v>0.32438495711241405</v>
      </c>
      <c r="BE60" s="13">
        <v>0.33466618813347837</v>
      </c>
      <c r="BF60" s="13">
        <v>0.35782720140070506</v>
      </c>
      <c r="BG60" s="13">
        <v>0.35184555520506761</v>
      </c>
      <c r="BH60" s="13">
        <v>0.33977645931382011</v>
      </c>
      <c r="BI60" s="13">
        <v>0.31329191937779599</v>
      </c>
      <c r="BJ60" s="13">
        <v>0.3145229082804884</v>
      </c>
      <c r="BK60" s="13">
        <v>0.31871508727150893</v>
      </c>
      <c r="GI60" s="9" t="s">
        <v>221</v>
      </c>
      <c r="GJ60" s="13">
        <v>0.30295532632486205</v>
      </c>
      <c r="GK60" s="13">
        <v>0.32224643759230026</v>
      </c>
      <c r="GL60" s="13">
        <v>0.32164466056147478</v>
      </c>
      <c r="GM60" s="13">
        <v>0.31352255023234021</v>
      </c>
      <c r="GN60" s="13">
        <v>0.29046516508221237</v>
      </c>
      <c r="GO60" s="13">
        <v>0.2957902523305897</v>
      </c>
      <c r="GP60" s="13">
        <v>0.31273296936433892</v>
      </c>
      <c r="GQ60" s="13">
        <v>0.31747467376135963</v>
      </c>
      <c r="GR60" s="13">
        <v>0.31691549036314004</v>
      </c>
      <c r="GS60" s="13">
        <v>0.29998963296641251</v>
      </c>
      <c r="GT60" s="13">
        <v>0.30109926358403488</v>
      </c>
      <c r="GU60" s="13">
        <v>0.2793158132042291</v>
      </c>
      <c r="GV60" s="13">
        <v>0.25301551253232141</v>
      </c>
      <c r="GW60" s="13">
        <v>0.2452157470287811</v>
      </c>
      <c r="GX60" s="13">
        <v>0.25280492157275286</v>
      </c>
      <c r="GY60" s="13">
        <v>0.28500768318735958</v>
      </c>
      <c r="GZ60" s="13">
        <v>0.30242565721426823</v>
      </c>
      <c r="HA60" s="13">
        <v>0.29980649041374702</v>
      </c>
      <c r="HB60" s="11">
        <v>0.32774407064049565</v>
      </c>
      <c r="HC60" s="13">
        <v>0.32026016458400802</v>
      </c>
      <c r="HD60" s="11">
        <v>0.17762053612002277</v>
      </c>
      <c r="HE60" s="13">
        <v>0.16386153124121297</v>
      </c>
      <c r="HF60" s="13">
        <v>0.15692288911402849</v>
      </c>
      <c r="HG60" s="13">
        <v>0.18147329622596475</v>
      </c>
      <c r="HH60" s="13">
        <v>0.14263423834384711</v>
      </c>
      <c r="HI60" s="13">
        <v>0.15823144259822225</v>
      </c>
      <c r="HJ60" s="13">
        <v>0.15801793665146971</v>
      </c>
      <c r="HK60" s="13">
        <v>0.14748440093801193</v>
      </c>
      <c r="HL60" s="13">
        <v>0.16485747966539591</v>
      </c>
      <c r="HM60" s="13">
        <v>0.1798644444093945</v>
      </c>
      <c r="HN60" s="11">
        <v>0.12678644234292413</v>
      </c>
      <c r="HO60" s="13">
        <v>0.12864791907609219</v>
      </c>
      <c r="HP60" s="13">
        <v>0.10355906992422105</v>
      </c>
      <c r="HQ60" s="13">
        <v>0.12527193875321138</v>
      </c>
      <c r="HR60" s="13">
        <v>9.9654905257103549E-2</v>
      </c>
      <c r="HS60" s="13">
        <v>0.10589583562486327</v>
      </c>
      <c r="HT60" s="13">
        <v>0.109531144659581</v>
      </c>
      <c r="HU60" s="13">
        <v>9.6469185487170123E-2</v>
      </c>
      <c r="HV60" s="13">
        <v>0.11830499035569167</v>
      </c>
      <c r="HW60" s="13">
        <v>0.14299843046556115</v>
      </c>
      <c r="HX60" s="13">
        <v>0.23300227860109696</v>
      </c>
      <c r="HY60" s="13">
        <v>0.22521792498821228</v>
      </c>
      <c r="HZ60" s="13">
        <v>0.21798094853487626</v>
      </c>
      <c r="IA60" s="13">
        <v>0.23550221858330214</v>
      </c>
      <c r="IB60" s="13">
        <v>0.23055052844586163</v>
      </c>
      <c r="IC60" s="13">
        <v>0.2700626380765575</v>
      </c>
      <c r="ID60" s="13">
        <v>0.25833354568829997</v>
      </c>
      <c r="IE60" s="13">
        <v>0.26832209113344468</v>
      </c>
      <c r="IF60" s="11">
        <v>0.28221222209757052</v>
      </c>
      <c r="IG60" s="13">
        <v>0.27323327433743089</v>
      </c>
      <c r="IH60" s="13">
        <v>0.45497090198794127</v>
      </c>
      <c r="II60" s="13">
        <v>0.45095010057527157</v>
      </c>
      <c r="IJ60" s="13">
        <v>0.45358850268978468</v>
      </c>
      <c r="IK60" s="13">
        <v>0.43208829362866574</v>
      </c>
      <c r="IL60" s="13">
        <v>0.39751309242601651</v>
      </c>
      <c r="IM60" s="13">
        <v>0.4126737496284818</v>
      </c>
      <c r="IN60" s="13">
        <v>0.45436044825002025</v>
      </c>
      <c r="IO60" s="13">
        <v>0.48646094892395586</v>
      </c>
      <c r="IP60" s="13">
        <v>0.46825266772131441</v>
      </c>
      <c r="IQ60" s="13">
        <v>0.45092469541375912</v>
      </c>
      <c r="IS60" s="9" t="s">
        <v>201</v>
      </c>
      <c r="IT60" s="9" t="s">
        <v>229</v>
      </c>
      <c r="IU60" s="9" t="s">
        <v>230</v>
      </c>
      <c r="IV60" s="13">
        <v>0.66355978378658709</v>
      </c>
    </row>
  </sheetData>
  <mergeCells count="1">
    <mergeCell ref="A1:BH1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E02E4F0-311F-42DF-A8E0-69949255461B}">
  <dimension ref="A1:H70"/>
  <sheetViews>
    <sheetView workbookViewId="0">
      <selection sqref="A1:H1"/>
    </sheetView>
  </sheetViews>
  <sheetFormatPr defaultRowHeight="14.25" x14ac:dyDescent="0.45"/>
  <cols>
    <col min="2" max="4" width="10.59765625" customWidth="1"/>
    <col min="5" max="5" width="13.06640625" bestFit="1" customWidth="1"/>
  </cols>
  <sheetData>
    <row r="1" spans="1:8" ht="22.05" customHeight="1" x14ac:dyDescent="0.45">
      <c r="A1" s="17" t="s">
        <v>55</v>
      </c>
      <c r="B1" s="17"/>
      <c r="C1" s="17"/>
      <c r="D1" s="17"/>
      <c r="E1" s="17"/>
      <c r="F1" s="17"/>
      <c r="G1" s="17"/>
      <c r="H1" s="17"/>
    </row>
    <row r="9" spans="1:8" ht="14.65" thickBot="1" x14ac:dyDescent="0.5">
      <c r="B9" s="6" t="str">
        <f>IF(A11="x","DeActivated","~TFM_DINS-AT")</f>
        <v>~TFM_DINS-AT</v>
      </c>
    </row>
    <row r="10" spans="1:8" ht="15.75" thickBot="1" x14ac:dyDescent="0.6">
      <c r="B10" s="7" t="s">
        <v>231</v>
      </c>
      <c r="C10" s="7" t="s">
        <v>59</v>
      </c>
      <c r="D10" s="7" t="s">
        <v>58</v>
      </c>
      <c r="E10" s="7" t="s">
        <v>57</v>
      </c>
    </row>
    <row r="11" spans="1:8" x14ac:dyDescent="0.45">
      <c r="B11" s="12">
        <v>3.3675799086757989E-2</v>
      </c>
      <c r="C11" s="12">
        <v>5.2414456074053829E-3</v>
      </c>
      <c r="D11" s="8" t="s">
        <v>62</v>
      </c>
      <c r="E11" s="8" t="s">
        <v>232</v>
      </c>
    </row>
    <row r="12" spans="1:8" x14ac:dyDescent="0.45">
      <c r="B12" s="13">
        <v>1.3470319634703196E-2</v>
      </c>
      <c r="C12" s="13">
        <v>1.3377420878601798E-2</v>
      </c>
      <c r="D12" s="9" t="s">
        <v>64</v>
      </c>
      <c r="E12" s="9" t="s">
        <v>232</v>
      </c>
    </row>
    <row r="13" spans="1:8" x14ac:dyDescent="0.45">
      <c r="B13" s="12">
        <v>1.3470319634703196E-2</v>
      </c>
      <c r="C13" s="12">
        <v>1.985099735640471E-2</v>
      </c>
      <c r="D13" s="8" t="s">
        <v>65</v>
      </c>
      <c r="E13" s="8" t="s">
        <v>232</v>
      </c>
    </row>
    <row r="14" spans="1:8" x14ac:dyDescent="0.45">
      <c r="B14" s="13">
        <v>1.3470319634703196E-2</v>
      </c>
      <c r="C14" s="13">
        <v>1.6839121895432966E-2</v>
      </c>
      <c r="D14" s="9" t="s">
        <v>66</v>
      </c>
      <c r="E14" s="9" t="s">
        <v>232</v>
      </c>
    </row>
    <row r="15" spans="1:8" x14ac:dyDescent="0.45">
      <c r="B15" s="12">
        <v>1.3470319634703196E-2</v>
      </c>
      <c r="C15" s="12">
        <v>1.6702218465388795E-2</v>
      </c>
      <c r="D15" s="8" t="s">
        <v>67</v>
      </c>
      <c r="E15" s="8" t="s">
        <v>232</v>
      </c>
    </row>
    <row r="16" spans="1:8" x14ac:dyDescent="0.45">
      <c r="B16" s="13">
        <v>1.3470319634703196E-2</v>
      </c>
      <c r="C16" s="13">
        <v>1.7660542475697986E-2</v>
      </c>
      <c r="D16" s="9" t="s">
        <v>68</v>
      </c>
      <c r="E16" s="9" t="s">
        <v>232</v>
      </c>
    </row>
    <row r="17" spans="2:5" x14ac:dyDescent="0.45">
      <c r="B17" s="12">
        <v>1.3470319634703196E-2</v>
      </c>
      <c r="C17" s="12">
        <v>2.3273583107508974E-2</v>
      </c>
      <c r="D17" s="8" t="s">
        <v>69</v>
      </c>
      <c r="E17" s="8" t="s">
        <v>232</v>
      </c>
    </row>
    <row r="18" spans="2:5" x14ac:dyDescent="0.45">
      <c r="B18" s="13">
        <v>1.3470319634703196E-2</v>
      </c>
      <c r="C18" s="13">
        <v>2.3273583107508974E-2</v>
      </c>
      <c r="D18" s="9" t="s">
        <v>70</v>
      </c>
      <c r="E18" s="9" t="s">
        <v>232</v>
      </c>
    </row>
    <row r="19" spans="2:5" x14ac:dyDescent="0.45">
      <c r="B19" s="12">
        <v>1.3470319634703196E-2</v>
      </c>
      <c r="C19" s="12">
        <v>1.5646106290762338E-2</v>
      </c>
      <c r="D19" s="8" t="s">
        <v>71</v>
      </c>
      <c r="E19" s="8" t="s">
        <v>232</v>
      </c>
    </row>
    <row r="20" spans="2:5" x14ac:dyDescent="0.45">
      <c r="B20" s="13">
        <v>2.0205479452054795E-2</v>
      </c>
      <c r="C20" s="13">
        <v>9.7788164317264611E-3</v>
      </c>
      <c r="D20" s="9" t="s">
        <v>72</v>
      </c>
      <c r="E20" s="9" t="s">
        <v>232</v>
      </c>
    </row>
    <row r="21" spans="2:5" x14ac:dyDescent="0.45">
      <c r="B21" s="12">
        <v>3.4817351598173514E-2</v>
      </c>
      <c r="C21" s="12">
        <v>5.4191217296903106E-3</v>
      </c>
      <c r="D21" s="8" t="s">
        <v>73</v>
      </c>
      <c r="E21" s="8" t="s">
        <v>232</v>
      </c>
    </row>
    <row r="22" spans="2:5" x14ac:dyDescent="0.45">
      <c r="B22" s="13">
        <v>1.3926940639269407E-2</v>
      </c>
      <c r="C22" s="13">
        <v>1.3830892772791687E-2</v>
      </c>
      <c r="D22" s="9" t="s">
        <v>74</v>
      </c>
      <c r="E22" s="9" t="s">
        <v>232</v>
      </c>
    </row>
    <row r="23" spans="2:5" x14ac:dyDescent="0.45">
      <c r="B23" s="12">
        <v>1.3926940639269407E-2</v>
      </c>
      <c r="C23" s="12">
        <v>2.0523912521028597E-2</v>
      </c>
      <c r="D23" s="8" t="s">
        <v>75</v>
      </c>
      <c r="E23" s="8" t="s">
        <v>232</v>
      </c>
    </row>
    <row r="24" spans="2:5" x14ac:dyDescent="0.45">
      <c r="B24" s="13">
        <v>1.3926940639269407E-2</v>
      </c>
      <c r="C24" s="13">
        <v>1.7409939586803577E-2</v>
      </c>
      <c r="D24" s="9" t="s">
        <v>76</v>
      </c>
      <c r="E24" s="9" t="s">
        <v>232</v>
      </c>
    </row>
    <row r="25" spans="2:5" x14ac:dyDescent="0.45">
      <c r="B25" s="12">
        <v>1.3926940639269407E-2</v>
      </c>
      <c r="C25" s="12">
        <v>1.7268395362520613E-2</v>
      </c>
      <c r="D25" s="8" t="s">
        <v>77</v>
      </c>
      <c r="E25" s="8" t="s">
        <v>232</v>
      </c>
    </row>
    <row r="26" spans="2:5" x14ac:dyDescent="0.45">
      <c r="B26" s="13">
        <v>1.3926940639269407E-2</v>
      </c>
      <c r="C26" s="13">
        <v>1.8259204932501306E-2</v>
      </c>
      <c r="D26" s="9" t="s">
        <v>78</v>
      </c>
      <c r="E26" s="9" t="s">
        <v>232</v>
      </c>
    </row>
    <row r="27" spans="2:5" x14ac:dyDescent="0.45">
      <c r="B27" s="12">
        <v>1.3926940639269407E-2</v>
      </c>
      <c r="C27" s="12">
        <v>2.4062518128102495E-2</v>
      </c>
      <c r="D27" s="8" t="s">
        <v>79</v>
      </c>
      <c r="E27" s="8" t="s">
        <v>232</v>
      </c>
    </row>
    <row r="28" spans="2:5" x14ac:dyDescent="0.45">
      <c r="B28" s="13">
        <v>1.3926940639269407E-2</v>
      </c>
      <c r="C28" s="13">
        <v>2.4062518128102495E-2</v>
      </c>
      <c r="D28" s="9" t="s">
        <v>80</v>
      </c>
      <c r="E28" s="9" t="s">
        <v>232</v>
      </c>
    </row>
    <row r="29" spans="2:5" x14ac:dyDescent="0.45">
      <c r="B29" s="12">
        <v>1.3926940639269407E-2</v>
      </c>
      <c r="C29" s="12">
        <v>1.6176482775194956E-2</v>
      </c>
      <c r="D29" s="8" t="s">
        <v>81</v>
      </c>
      <c r="E29" s="8" t="s">
        <v>232</v>
      </c>
    </row>
    <row r="30" spans="2:5" x14ac:dyDescent="0.45">
      <c r="B30" s="13">
        <v>2.0890410958904111E-2</v>
      </c>
      <c r="C30" s="13">
        <v>1.0110301734496849E-2</v>
      </c>
      <c r="D30" s="9" t="s">
        <v>82</v>
      </c>
      <c r="E30" s="9" t="s">
        <v>232</v>
      </c>
    </row>
    <row r="31" spans="2:5" x14ac:dyDescent="0.45">
      <c r="B31" s="12">
        <v>3.4817351598173514E-2</v>
      </c>
      <c r="C31" s="12">
        <v>5.4191217296903106E-3</v>
      </c>
      <c r="D31" s="8" t="s">
        <v>83</v>
      </c>
      <c r="E31" s="8" t="s">
        <v>232</v>
      </c>
    </row>
    <row r="32" spans="2:5" x14ac:dyDescent="0.45">
      <c r="B32" s="13">
        <v>1.3926940639269407E-2</v>
      </c>
      <c r="C32" s="13">
        <v>1.3830892772791687E-2</v>
      </c>
      <c r="D32" s="9" t="s">
        <v>84</v>
      </c>
      <c r="E32" s="9" t="s">
        <v>232</v>
      </c>
    </row>
    <row r="33" spans="2:5" x14ac:dyDescent="0.45">
      <c r="B33" s="12">
        <v>1.3926940639269407E-2</v>
      </c>
      <c r="C33" s="12">
        <v>2.0523912521028597E-2</v>
      </c>
      <c r="D33" s="8" t="s">
        <v>85</v>
      </c>
      <c r="E33" s="8" t="s">
        <v>232</v>
      </c>
    </row>
    <row r="34" spans="2:5" x14ac:dyDescent="0.45">
      <c r="B34" s="13">
        <v>1.3926940639269407E-2</v>
      </c>
      <c r="C34" s="13">
        <v>1.7409939586803577E-2</v>
      </c>
      <c r="D34" s="9" t="s">
        <v>86</v>
      </c>
      <c r="E34" s="9" t="s">
        <v>232</v>
      </c>
    </row>
    <row r="35" spans="2:5" x14ac:dyDescent="0.45">
      <c r="B35" s="12">
        <v>1.3926940639269407E-2</v>
      </c>
      <c r="C35" s="12">
        <v>1.7268395362520613E-2</v>
      </c>
      <c r="D35" s="8" t="s">
        <v>87</v>
      </c>
      <c r="E35" s="8" t="s">
        <v>232</v>
      </c>
    </row>
    <row r="36" spans="2:5" x14ac:dyDescent="0.45">
      <c r="B36" s="13">
        <v>1.3926940639269407E-2</v>
      </c>
      <c r="C36" s="13">
        <v>1.8259204932501306E-2</v>
      </c>
      <c r="D36" s="9" t="s">
        <v>88</v>
      </c>
      <c r="E36" s="9" t="s">
        <v>232</v>
      </c>
    </row>
    <row r="37" spans="2:5" x14ac:dyDescent="0.45">
      <c r="B37" s="12">
        <v>1.3926940639269407E-2</v>
      </c>
      <c r="C37" s="12">
        <v>2.4062518128102495E-2</v>
      </c>
      <c r="D37" s="8" t="s">
        <v>89</v>
      </c>
      <c r="E37" s="8" t="s">
        <v>232</v>
      </c>
    </row>
    <row r="38" spans="2:5" x14ac:dyDescent="0.45">
      <c r="B38" s="13">
        <v>1.3926940639269407E-2</v>
      </c>
      <c r="C38" s="13">
        <v>2.4062518128102495E-2</v>
      </c>
      <c r="D38" s="9" t="s">
        <v>90</v>
      </c>
      <c r="E38" s="9" t="s">
        <v>232</v>
      </c>
    </row>
    <row r="39" spans="2:5" x14ac:dyDescent="0.45">
      <c r="B39" s="12">
        <v>1.3926940639269407E-2</v>
      </c>
      <c r="C39" s="12">
        <v>1.6176482775194956E-2</v>
      </c>
      <c r="D39" s="8" t="s">
        <v>91</v>
      </c>
      <c r="E39" s="8" t="s">
        <v>232</v>
      </c>
    </row>
    <row r="40" spans="2:5" x14ac:dyDescent="0.45">
      <c r="B40" s="13">
        <v>2.0890410958904111E-2</v>
      </c>
      <c r="C40" s="13">
        <v>1.0110301734496849E-2</v>
      </c>
      <c r="D40" s="9" t="s">
        <v>92</v>
      </c>
      <c r="E40" s="9" t="s">
        <v>232</v>
      </c>
    </row>
    <row r="41" spans="2:5" x14ac:dyDescent="0.45">
      <c r="B41" s="12">
        <v>3.5388127853881277E-2</v>
      </c>
      <c r="C41" s="12">
        <v>5.5079597908327749E-3</v>
      </c>
      <c r="D41" s="8" t="s">
        <v>93</v>
      </c>
      <c r="E41" s="8" t="s">
        <v>232</v>
      </c>
    </row>
    <row r="42" spans="2:5" x14ac:dyDescent="0.45">
      <c r="B42" s="13">
        <v>1.4155251141552512E-2</v>
      </c>
      <c r="C42" s="13">
        <v>1.4057628719886634E-2</v>
      </c>
      <c r="D42" s="9" t="s">
        <v>94</v>
      </c>
      <c r="E42" s="9" t="s">
        <v>232</v>
      </c>
    </row>
    <row r="43" spans="2:5" x14ac:dyDescent="0.45">
      <c r="B43" s="12">
        <v>1.4155251141552512E-2</v>
      </c>
      <c r="C43" s="12">
        <v>2.0860370103340541E-2</v>
      </c>
      <c r="D43" s="8" t="s">
        <v>95</v>
      </c>
      <c r="E43" s="8" t="s">
        <v>232</v>
      </c>
    </row>
    <row r="44" spans="2:5" x14ac:dyDescent="0.45">
      <c r="B44" s="13">
        <v>1.4155251141552512E-2</v>
      </c>
      <c r="C44" s="13">
        <v>1.7695348432488881E-2</v>
      </c>
      <c r="D44" s="9" t="s">
        <v>96</v>
      </c>
      <c r="E44" s="9" t="s">
        <v>232</v>
      </c>
    </row>
    <row r="45" spans="2:5" x14ac:dyDescent="0.45">
      <c r="B45" s="12">
        <v>1.4155251141552512E-2</v>
      </c>
      <c r="C45" s="12">
        <v>1.7551483811086524E-2</v>
      </c>
      <c r="D45" s="8" t="s">
        <v>97</v>
      </c>
      <c r="E45" s="8" t="s">
        <v>232</v>
      </c>
    </row>
    <row r="46" spans="2:5" x14ac:dyDescent="0.45">
      <c r="B46" s="13">
        <v>1.4155251141552512E-2</v>
      </c>
      <c r="C46" s="13">
        <v>1.8558536160902969E-2</v>
      </c>
      <c r="D46" s="9" t="s">
        <v>98</v>
      </c>
      <c r="E46" s="9" t="s">
        <v>232</v>
      </c>
    </row>
    <row r="47" spans="2:5" x14ac:dyDescent="0.45">
      <c r="B47" s="12">
        <v>1.4155251141552512E-2</v>
      </c>
      <c r="C47" s="12">
        <v>2.4456985638399258E-2</v>
      </c>
      <c r="D47" s="8" t="s">
        <v>99</v>
      </c>
      <c r="E47" s="8" t="s">
        <v>232</v>
      </c>
    </row>
    <row r="48" spans="2:5" x14ac:dyDescent="0.45">
      <c r="B48" s="13">
        <v>1.4155251141552512E-2</v>
      </c>
      <c r="C48" s="13">
        <v>2.4456985638399258E-2</v>
      </c>
      <c r="D48" s="9" t="s">
        <v>100</v>
      </c>
      <c r="E48" s="9" t="s">
        <v>232</v>
      </c>
    </row>
    <row r="49" spans="2:5" x14ac:dyDescent="0.45">
      <c r="B49" s="12">
        <v>1.4155251141552512E-2</v>
      </c>
      <c r="C49" s="12">
        <v>1.6441671017411268E-2</v>
      </c>
      <c r="D49" s="8" t="s">
        <v>101</v>
      </c>
      <c r="E49" s="8" t="s">
        <v>232</v>
      </c>
    </row>
    <row r="50" spans="2:5" x14ac:dyDescent="0.45">
      <c r="B50" s="13">
        <v>2.1232876712328767E-2</v>
      </c>
      <c r="C50" s="13">
        <v>1.0276044385882045E-2</v>
      </c>
      <c r="D50" s="9" t="s">
        <v>102</v>
      </c>
      <c r="E50" s="9" t="s">
        <v>232</v>
      </c>
    </row>
    <row r="51" spans="2:5" x14ac:dyDescent="0.45">
      <c r="B51" s="12">
        <v>3.4817351598173514E-2</v>
      </c>
      <c r="C51" s="12">
        <v>5.4191217296903106E-3</v>
      </c>
      <c r="D51" s="8" t="s">
        <v>103</v>
      </c>
      <c r="E51" s="8" t="s">
        <v>232</v>
      </c>
    </row>
    <row r="52" spans="2:5" x14ac:dyDescent="0.45">
      <c r="B52" s="13">
        <v>1.3926940639269407E-2</v>
      </c>
      <c r="C52" s="13">
        <v>1.3830892772791687E-2</v>
      </c>
      <c r="D52" s="9" t="s">
        <v>104</v>
      </c>
      <c r="E52" s="9" t="s">
        <v>232</v>
      </c>
    </row>
    <row r="53" spans="2:5" x14ac:dyDescent="0.45">
      <c r="B53" s="12">
        <v>1.3926940639269407E-2</v>
      </c>
      <c r="C53" s="12">
        <v>2.0523912521028597E-2</v>
      </c>
      <c r="D53" s="8" t="s">
        <v>105</v>
      </c>
      <c r="E53" s="8" t="s">
        <v>232</v>
      </c>
    </row>
    <row r="54" spans="2:5" x14ac:dyDescent="0.45">
      <c r="B54" s="13">
        <v>1.3926940639269407E-2</v>
      </c>
      <c r="C54" s="13">
        <v>1.7409939586803577E-2</v>
      </c>
      <c r="D54" s="9" t="s">
        <v>106</v>
      </c>
      <c r="E54" s="9" t="s">
        <v>232</v>
      </c>
    </row>
    <row r="55" spans="2:5" x14ac:dyDescent="0.45">
      <c r="B55" s="12">
        <v>1.3926940639269407E-2</v>
      </c>
      <c r="C55" s="12">
        <v>1.7268395362520613E-2</v>
      </c>
      <c r="D55" s="8" t="s">
        <v>107</v>
      </c>
      <c r="E55" s="8" t="s">
        <v>232</v>
      </c>
    </row>
    <row r="56" spans="2:5" x14ac:dyDescent="0.45">
      <c r="B56" s="13">
        <v>1.3926940639269407E-2</v>
      </c>
      <c r="C56" s="13">
        <v>1.8259204932501306E-2</v>
      </c>
      <c r="D56" s="9" t="s">
        <v>108</v>
      </c>
      <c r="E56" s="9" t="s">
        <v>232</v>
      </c>
    </row>
    <row r="57" spans="2:5" x14ac:dyDescent="0.45">
      <c r="B57" s="12">
        <v>1.3926940639269407E-2</v>
      </c>
      <c r="C57" s="12">
        <v>2.4062518128102495E-2</v>
      </c>
      <c r="D57" s="8" t="s">
        <v>109</v>
      </c>
      <c r="E57" s="8" t="s">
        <v>232</v>
      </c>
    </row>
    <row r="58" spans="2:5" x14ac:dyDescent="0.45">
      <c r="B58" s="13">
        <v>1.3926940639269407E-2</v>
      </c>
      <c r="C58" s="13">
        <v>2.4062518128102495E-2</v>
      </c>
      <c r="D58" s="9" t="s">
        <v>110</v>
      </c>
      <c r="E58" s="9" t="s">
        <v>232</v>
      </c>
    </row>
    <row r="59" spans="2:5" x14ac:dyDescent="0.45">
      <c r="B59" s="12">
        <v>1.3926940639269407E-2</v>
      </c>
      <c r="C59" s="12">
        <v>1.6176482775194956E-2</v>
      </c>
      <c r="D59" s="8" t="s">
        <v>111</v>
      </c>
      <c r="E59" s="8" t="s">
        <v>232</v>
      </c>
    </row>
    <row r="60" spans="2:5" x14ac:dyDescent="0.45">
      <c r="B60" s="13">
        <v>2.0890410958904111E-2</v>
      </c>
      <c r="C60" s="13">
        <v>1.0110301734496849E-2</v>
      </c>
      <c r="D60" s="9" t="s">
        <v>112</v>
      </c>
      <c r="E60" s="9" t="s">
        <v>232</v>
      </c>
    </row>
    <row r="61" spans="2:5" x14ac:dyDescent="0.45">
      <c r="B61" s="12">
        <v>3.4817351598173514E-2</v>
      </c>
      <c r="C61" s="12">
        <v>5.4191217296903106E-3</v>
      </c>
      <c r="D61" s="8" t="s">
        <v>113</v>
      </c>
      <c r="E61" s="8" t="s">
        <v>232</v>
      </c>
    </row>
    <row r="62" spans="2:5" x14ac:dyDescent="0.45">
      <c r="B62" s="13">
        <v>1.3926940639269407E-2</v>
      </c>
      <c r="C62" s="13">
        <v>1.3830892772791687E-2</v>
      </c>
      <c r="D62" s="9" t="s">
        <v>114</v>
      </c>
      <c r="E62" s="9" t="s">
        <v>232</v>
      </c>
    </row>
    <row r="63" spans="2:5" x14ac:dyDescent="0.45">
      <c r="B63" s="12">
        <v>1.3926940639269407E-2</v>
      </c>
      <c r="C63" s="12">
        <v>2.0523912521028597E-2</v>
      </c>
      <c r="D63" s="8" t="s">
        <v>115</v>
      </c>
      <c r="E63" s="8" t="s">
        <v>232</v>
      </c>
    </row>
    <row r="64" spans="2:5" x14ac:dyDescent="0.45">
      <c r="B64" s="13">
        <v>1.3926940639269407E-2</v>
      </c>
      <c r="C64" s="13">
        <v>1.7409939586803577E-2</v>
      </c>
      <c r="D64" s="9" t="s">
        <v>116</v>
      </c>
      <c r="E64" s="9" t="s">
        <v>232</v>
      </c>
    </row>
    <row r="65" spans="2:5" x14ac:dyDescent="0.45">
      <c r="B65" s="12">
        <v>1.3926940639269407E-2</v>
      </c>
      <c r="C65" s="12">
        <v>1.7268395362520613E-2</v>
      </c>
      <c r="D65" s="8" t="s">
        <v>117</v>
      </c>
      <c r="E65" s="8" t="s">
        <v>232</v>
      </c>
    </row>
    <row r="66" spans="2:5" x14ac:dyDescent="0.45">
      <c r="B66" s="13">
        <v>1.3926940639269407E-2</v>
      </c>
      <c r="C66" s="13">
        <v>1.8259204932501306E-2</v>
      </c>
      <c r="D66" s="9" t="s">
        <v>118</v>
      </c>
      <c r="E66" s="9" t="s">
        <v>232</v>
      </c>
    </row>
    <row r="67" spans="2:5" x14ac:dyDescent="0.45">
      <c r="B67" s="12">
        <v>1.3926940639269407E-2</v>
      </c>
      <c r="C67" s="12">
        <v>2.4062518128102495E-2</v>
      </c>
      <c r="D67" s="8" t="s">
        <v>119</v>
      </c>
      <c r="E67" s="8" t="s">
        <v>232</v>
      </c>
    </row>
    <row r="68" spans="2:5" x14ac:dyDescent="0.45">
      <c r="B68" s="13">
        <v>1.3926940639269407E-2</v>
      </c>
      <c r="C68" s="13">
        <v>2.4062518128102495E-2</v>
      </c>
      <c r="D68" s="9" t="s">
        <v>120</v>
      </c>
      <c r="E68" s="9" t="s">
        <v>232</v>
      </c>
    </row>
    <row r="69" spans="2:5" x14ac:dyDescent="0.45">
      <c r="B69" s="12">
        <v>1.3926940639269407E-2</v>
      </c>
      <c r="C69" s="12">
        <v>1.6176482775194956E-2</v>
      </c>
      <c r="D69" s="8" t="s">
        <v>121</v>
      </c>
      <c r="E69" s="8" t="s">
        <v>232</v>
      </c>
    </row>
    <row r="70" spans="2:5" x14ac:dyDescent="0.45">
      <c r="B70" s="13">
        <v>2.0890410958904111E-2</v>
      </c>
      <c r="C70" s="13">
        <v>1.0110301734496849E-2</v>
      </c>
      <c r="D70" s="9" t="s">
        <v>122</v>
      </c>
      <c r="E70" s="9" t="s">
        <v>232</v>
      </c>
    </row>
  </sheetData>
  <mergeCells count="1">
    <mergeCell ref="A1:H1"/>
  </mergeCells>
  <pageMargins left="0.7" right="0.7" top="0.75" bottom="0.75" header="0.3" footer="0.3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F08D9E-BE7C-4B6B-8BDD-D19193276BC7}">
  <dimension ref="A1:H130"/>
  <sheetViews>
    <sheetView workbookViewId="0">
      <selection sqref="A1:H1"/>
    </sheetView>
  </sheetViews>
  <sheetFormatPr defaultRowHeight="14.25" x14ac:dyDescent="0.45"/>
  <cols>
    <col min="2" max="2" width="10.59765625" bestFit="1" customWidth="1"/>
    <col min="3" max="4" width="10.59765625" customWidth="1"/>
  </cols>
  <sheetData>
    <row r="1" spans="1:8" ht="22.05" customHeight="1" x14ac:dyDescent="0.45">
      <c r="A1" s="17" t="s">
        <v>55</v>
      </c>
      <c r="B1" s="17"/>
      <c r="C1" s="17"/>
      <c r="D1" s="17"/>
      <c r="E1" s="17"/>
      <c r="F1" s="17"/>
      <c r="G1" s="17"/>
      <c r="H1" s="17"/>
    </row>
    <row r="9" spans="1:8" ht="14.65" thickBot="1" x14ac:dyDescent="0.5">
      <c r="B9" s="6" t="str">
        <f>IF(A11="x","DeActivated","~TFM_DINS-AT")</f>
        <v>~TFM_DINS-AT</v>
      </c>
    </row>
    <row r="10" spans="1:8" ht="15.75" thickBot="1" x14ac:dyDescent="0.6">
      <c r="B10" s="7" t="s">
        <v>57</v>
      </c>
      <c r="C10" s="7" t="s">
        <v>58</v>
      </c>
      <c r="D10" s="7" t="s">
        <v>59</v>
      </c>
    </row>
    <row r="11" spans="1:8" x14ac:dyDescent="0.45">
      <c r="B11" s="8" t="s">
        <v>238</v>
      </c>
      <c r="C11" s="8" t="s">
        <v>62</v>
      </c>
      <c r="D11" s="12">
        <v>2.965963496781886E-2</v>
      </c>
    </row>
    <row r="12" spans="1:8" x14ac:dyDescent="0.45">
      <c r="B12" s="9" t="s">
        <v>238</v>
      </c>
      <c r="C12" s="9" t="s">
        <v>64</v>
      </c>
      <c r="D12" s="13">
        <v>1.3692446483260529E-2</v>
      </c>
    </row>
    <row r="13" spans="1:8" x14ac:dyDescent="0.45">
      <c r="B13" s="8" t="s">
        <v>238</v>
      </c>
      <c r="C13" s="8" t="s">
        <v>65</v>
      </c>
      <c r="D13" s="12">
        <v>1.5512499426613906E-2</v>
      </c>
    </row>
    <row r="14" spans="1:8" x14ac:dyDescent="0.45">
      <c r="B14" s="9" t="s">
        <v>238</v>
      </c>
      <c r="C14" s="9" t="s">
        <v>66</v>
      </c>
      <c r="D14" s="13">
        <v>1.5591480363296864E-2</v>
      </c>
    </row>
    <row r="15" spans="1:8" x14ac:dyDescent="0.45">
      <c r="B15" s="8" t="s">
        <v>238</v>
      </c>
      <c r="C15" s="8" t="s">
        <v>67</v>
      </c>
      <c r="D15" s="12">
        <v>1.5582676559485279E-2</v>
      </c>
    </row>
    <row r="16" spans="1:8" x14ac:dyDescent="0.45">
      <c r="B16" s="9" t="s">
        <v>238</v>
      </c>
      <c r="C16" s="9" t="s">
        <v>68</v>
      </c>
      <c r="D16" s="13">
        <v>1.5580301038550116E-2</v>
      </c>
    </row>
    <row r="17" spans="2:4" x14ac:dyDescent="0.45">
      <c r="B17" s="8" t="s">
        <v>238</v>
      </c>
      <c r="C17" s="8" t="s">
        <v>69</v>
      </c>
      <c r="D17" s="12">
        <v>1.5624696581099214E-2</v>
      </c>
    </row>
    <row r="18" spans="2:4" x14ac:dyDescent="0.45">
      <c r="B18" s="9" t="s">
        <v>238</v>
      </c>
      <c r="C18" s="9" t="s">
        <v>70</v>
      </c>
      <c r="D18" s="13">
        <v>1.5744889725360523E-2</v>
      </c>
    </row>
    <row r="19" spans="2:4" x14ac:dyDescent="0.45">
      <c r="B19" s="8" t="s">
        <v>238</v>
      </c>
      <c r="C19" s="8" t="s">
        <v>71</v>
      </c>
      <c r="D19" s="12">
        <v>1.570932537014964E-2</v>
      </c>
    </row>
    <row r="20" spans="2:4" x14ac:dyDescent="0.45">
      <c r="B20" s="9" t="s">
        <v>238</v>
      </c>
      <c r="C20" s="9" t="s">
        <v>72</v>
      </c>
      <c r="D20" s="13">
        <v>2.2451381676478883E-2</v>
      </c>
    </row>
    <row r="21" spans="2:4" x14ac:dyDescent="0.45">
      <c r="B21" s="8" t="s">
        <v>238</v>
      </c>
      <c r="C21" s="8" t="s">
        <v>73</v>
      </c>
      <c r="D21" s="12">
        <v>2.9355091367806355E-2</v>
      </c>
    </row>
    <row r="22" spans="2:4" x14ac:dyDescent="0.45">
      <c r="B22" s="9" t="s">
        <v>238</v>
      </c>
      <c r="C22" s="9" t="s">
        <v>74</v>
      </c>
      <c r="D22" s="13">
        <v>1.3533868027930909E-2</v>
      </c>
    </row>
    <row r="23" spans="2:4" x14ac:dyDescent="0.45">
      <c r="B23" s="8" t="s">
        <v>238</v>
      </c>
      <c r="C23" s="8" t="s">
        <v>75</v>
      </c>
      <c r="D23" s="12">
        <v>1.5110145971341195E-2</v>
      </c>
    </row>
    <row r="24" spans="2:4" x14ac:dyDescent="0.45">
      <c r="B24" s="9" t="s">
        <v>238</v>
      </c>
      <c r="C24" s="9" t="s">
        <v>76</v>
      </c>
      <c r="D24" s="13">
        <v>1.5478762469191059E-2</v>
      </c>
    </row>
    <row r="25" spans="2:4" x14ac:dyDescent="0.45">
      <c r="B25" s="8" t="s">
        <v>238</v>
      </c>
      <c r="C25" s="8" t="s">
        <v>77</v>
      </c>
      <c r="D25" s="12">
        <v>1.5494870828731232E-2</v>
      </c>
    </row>
    <row r="26" spans="2:4" x14ac:dyDescent="0.45">
      <c r="B26" s="9" t="s">
        <v>238</v>
      </c>
      <c r="C26" s="9" t="s">
        <v>78</v>
      </c>
      <c r="D26" s="13">
        <v>1.5474791857829689E-2</v>
      </c>
    </row>
    <row r="27" spans="2:4" x14ac:dyDescent="0.45">
      <c r="B27" s="8" t="s">
        <v>238</v>
      </c>
      <c r="C27" s="8" t="s">
        <v>79</v>
      </c>
      <c r="D27" s="12">
        <v>1.5485567275558648E-2</v>
      </c>
    </row>
    <row r="28" spans="2:4" x14ac:dyDescent="0.45">
      <c r="B28" s="9" t="s">
        <v>238</v>
      </c>
      <c r="C28" s="9" t="s">
        <v>80</v>
      </c>
      <c r="D28" s="13">
        <v>1.5624456522626675E-2</v>
      </c>
    </row>
    <row r="29" spans="2:4" x14ac:dyDescent="0.45">
      <c r="B29" s="8" t="s">
        <v>238</v>
      </c>
      <c r="C29" s="8" t="s">
        <v>81</v>
      </c>
      <c r="D29" s="12">
        <v>1.565721406635797E-2</v>
      </c>
    </row>
    <row r="30" spans="2:4" x14ac:dyDescent="0.45">
      <c r="B30" s="9" t="s">
        <v>238</v>
      </c>
      <c r="C30" s="9" t="s">
        <v>82</v>
      </c>
      <c r="D30" s="13">
        <v>2.1797274119883955E-2</v>
      </c>
    </row>
    <row r="31" spans="2:4" x14ac:dyDescent="0.45">
      <c r="B31" s="8" t="s">
        <v>238</v>
      </c>
      <c r="C31" s="8" t="s">
        <v>83</v>
      </c>
      <c r="D31" s="12">
        <v>2.6047451427906296E-2</v>
      </c>
    </row>
    <row r="32" spans="2:4" x14ac:dyDescent="0.45">
      <c r="B32" s="9" t="s">
        <v>238</v>
      </c>
      <c r="C32" s="9" t="s">
        <v>84</v>
      </c>
      <c r="D32" s="13">
        <v>1.1176655369491639E-2</v>
      </c>
    </row>
    <row r="33" spans="2:4" x14ac:dyDescent="0.45">
      <c r="B33" s="8" t="s">
        <v>238</v>
      </c>
      <c r="C33" s="8" t="s">
        <v>85</v>
      </c>
      <c r="D33" s="12">
        <v>1.3322770810311657E-2</v>
      </c>
    </row>
    <row r="34" spans="2:4" x14ac:dyDescent="0.45">
      <c r="B34" s="9" t="s">
        <v>238</v>
      </c>
      <c r="C34" s="9" t="s">
        <v>86</v>
      </c>
      <c r="D34" s="13">
        <v>1.4553728791152666E-2</v>
      </c>
    </row>
    <row r="35" spans="2:4" x14ac:dyDescent="0.45">
      <c r="B35" s="8" t="s">
        <v>238</v>
      </c>
      <c r="C35" s="8" t="s">
        <v>87</v>
      </c>
      <c r="D35" s="12">
        <v>1.4617943161100327E-2</v>
      </c>
    </row>
    <row r="36" spans="2:4" x14ac:dyDescent="0.45">
      <c r="B36" s="9" t="s">
        <v>238</v>
      </c>
      <c r="C36" s="9" t="s">
        <v>88</v>
      </c>
      <c r="D36" s="13">
        <v>1.4624302985160173E-2</v>
      </c>
    </row>
    <row r="37" spans="2:4" x14ac:dyDescent="0.45">
      <c r="B37" s="8" t="s">
        <v>238</v>
      </c>
      <c r="C37" s="8" t="s">
        <v>89</v>
      </c>
      <c r="D37" s="12">
        <v>1.4508053068733606E-2</v>
      </c>
    </row>
    <row r="38" spans="2:4" x14ac:dyDescent="0.45">
      <c r="B38" s="9" t="s">
        <v>238</v>
      </c>
      <c r="C38" s="9" t="s">
        <v>90</v>
      </c>
      <c r="D38" s="13">
        <v>1.4488631302471184E-2</v>
      </c>
    </row>
    <row r="39" spans="2:4" x14ac:dyDescent="0.45">
      <c r="B39" s="8" t="s">
        <v>238</v>
      </c>
      <c r="C39" s="8" t="s">
        <v>91</v>
      </c>
      <c r="D39" s="12">
        <v>1.4453217556656765E-2</v>
      </c>
    </row>
    <row r="40" spans="2:4" x14ac:dyDescent="0.45">
      <c r="B40" s="9" t="s">
        <v>238</v>
      </c>
      <c r="C40" s="9" t="s">
        <v>92</v>
      </c>
      <c r="D40" s="13">
        <v>1.9382526443640174E-2</v>
      </c>
    </row>
    <row r="41" spans="2:4" x14ac:dyDescent="0.45">
      <c r="B41" s="8" t="s">
        <v>238</v>
      </c>
      <c r="C41" s="8" t="s">
        <v>93</v>
      </c>
      <c r="D41" s="12">
        <v>2.6968083779759924E-2</v>
      </c>
    </row>
    <row r="42" spans="2:4" x14ac:dyDescent="0.45">
      <c r="B42" s="9" t="s">
        <v>238</v>
      </c>
      <c r="C42" s="9" t="s">
        <v>94</v>
      </c>
      <c r="D42" s="13">
        <v>1.1523818887198896E-2</v>
      </c>
    </row>
    <row r="43" spans="2:4" x14ac:dyDescent="0.45">
      <c r="B43" s="8" t="s">
        <v>238</v>
      </c>
      <c r="C43" s="8" t="s">
        <v>95</v>
      </c>
      <c r="D43" s="12">
        <v>1.3775511514941387E-2</v>
      </c>
    </row>
    <row r="44" spans="2:4" x14ac:dyDescent="0.45">
      <c r="B44" s="9" t="s">
        <v>238</v>
      </c>
      <c r="C44" s="9" t="s">
        <v>96</v>
      </c>
      <c r="D44" s="13">
        <v>1.4966996142145059E-2</v>
      </c>
    </row>
    <row r="45" spans="2:4" x14ac:dyDescent="0.45">
      <c r="B45" s="8" t="s">
        <v>238</v>
      </c>
      <c r="C45" s="8" t="s">
        <v>97</v>
      </c>
      <c r="D45" s="12">
        <v>1.5127894898742058E-2</v>
      </c>
    </row>
    <row r="46" spans="2:4" x14ac:dyDescent="0.45">
      <c r="B46" s="9" t="s">
        <v>238</v>
      </c>
      <c r="C46" s="9" t="s">
        <v>98</v>
      </c>
      <c r="D46" s="13">
        <v>1.516502011497086E-2</v>
      </c>
    </row>
    <row r="47" spans="2:4" x14ac:dyDescent="0.45">
      <c r="B47" s="8" t="s">
        <v>238</v>
      </c>
      <c r="C47" s="8" t="s">
        <v>99</v>
      </c>
      <c r="D47" s="12">
        <v>1.5065700063883372E-2</v>
      </c>
    </row>
    <row r="48" spans="2:4" x14ac:dyDescent="0.45">
      <c r="B48" s="9" t="s">
        <v>238</v>
      </c>
      <c r="C48" s="9" t="s">
        <v>100</v>
      </c>
      <c r="D48" s="13">
        <v>1.5022386170636158E-2</v>
      </c>
    </row>
    <row r="49" spans="2:4" x14ac:dyDescent="0.45">
      <c r="B49" s="8" t="s">
        <v>238</v>
      </c>
      <c r="C49" s="8" t="s">
        <v>101</v>
      </c>
      <c r="D49" s="12">
        <v>1.4923360492459943E-2</v>
      </c>
    </row>
    <row r="50" spans="2:4" x14ac:dyDescent="0.45">
      <c r="B50" s="9" t="s">
        <v>238</v>
      </c>
      <c r="C50" s="9" t="s">
        <v>102</v>
      </c>
      <c r="D50" s="13">
        <v>2.0140683473143472E-2</v>
      </c>
    </row>
    <row r="51" spans="2:4" x14ac:dyDescent="0.45">
      <c r="B51" s="8" t="s">
        <v>238</v>
      </c>
      <c r="C51" s="8" t="s">
        <v>103</v>
      </c>
      <c r="D51" s="12">
        <v>2.6927238736894357E-2</v>
      </c>
    </row>
    <row r="52" spans="2:4" x14ac:dyDescent="0.45">
      <c r="B52" s="9" t="s">
        <v>238</v>
      </c>
      <c r="C52" s="9" t="s">
        <v>104</v>
      </c>
      <c r="D52" s="13">
        <v>1.1876546457739267E-2</v>
      </c>
    </row>
    <row r="53" spans="2:4" x14ac:dyDescent="0.45">
      <c r="B53" s="8" t="s">
        <v>238</v>
      </c>
      <c r="C53" s="8" t="s">
        <v>105</v>
      </c>
      <c r="D53" s="12">
        <v>1.382298806825402E-2</v>
      </c>
    </row>
    <row r="54" spans="2:4" x14ac:dyDescent="0.45">
      <c r="B54" s="9" t="s">
        <v>238</v>
      </c>
      <c r="C54" s="9" t="s">
        <v>106</v>
      </c>
      <c r="D54" s="13">
        <v>1.4779083900545076E-2</v>
      </c>
    </row>
    <row r="55" spans="2:4" x14ac:dyDescent="0.45">
      <c r="B55" s="8" t="s">
        <v>238</v>
      </c>
      <c r="C55" s="8" t="s">
        <v>107</v>
      </c>
      <c r="D55" s="12">
        <v>1.4756896398093012E-2</v>
      </c>
    </row>
    <row r="56" spans="2:4" x14ac:dyDescent="0.45">
      <c r="B56" s="9" t="s">
        <v>238</v>
      </c>
      <c r="C56" s="9" t="s">
        <v>108</v>
      </c>
      <c r="D56" s="13">
        <v>1.4718484156112596E-2</v>
      </c>
    </row>
    <row r="57" spans="2:4" x14ac:dyDescent="0.45">
      <c r="B57" s="8" t="s">
        <v>238</v>
      </c>
      <c r="C57" s="8" t="s">
        <v>109</v>
      </c>
      <c r="D57" s="12">
        <v>1.4619568012042901E-2</v>
      </c>
    </row>
    <row r="58" spans="2:4" x14ac:dyDescent="0.45">
      <c r="B58" s="9" t="s">
        <v>238</v>
      </c>
      <c r="C58" s="9" t="s">
        <v>110</v>
      </c>
      <c r="D58" s="13">
        <v>1.4741801229038152E-2</v>
      </c>
    </row>
    <row r="59" spans="2:4" x14ac:dyDescent="0.45">
      <c r="B59" s="8" t="s">
        <v>238</v>
      </c>
      <c r="C59" s="8" t="s">
        <v>111</v>
      </c>
      <c r="D59" s="12">
        <v>1.477235439887572E-2</v>
      </c>
    </row>
    <row r="60" spans="2:4" x14ac:dyDescent="0.45">
      <c r="B60" s="9" t="s">
        <v>238</v>
      </c>
      <c r="C60" s="9" t="s">
        <v>112</v>
      </c>
      <c r="D60" s="13">
        <v>1.9934585328929073E-2</v>
      </c>
    </row>
    <row r="61" spans="2:4" x14ac:dyDescent="0.45">
      <c r="B61" s="8" t="s">
        <v>238</v>
      </c>
      <c r="C61" s="8" t="s">
        <v>113</v>
      </c>
      <c r="D61" s="12">
        <v>2.914976531447927E-2</v>
      </c>
    </row>
    <row r="62" spans="2:4" x14ac:dyDescent="0.45">
      <c r="B62" s="9" t="s">
        <v>238</v>
      </c>
      <c r="C62" s="9" t="s">
        <v>114</v>
      </c>
      <c r="D62" s="13">
        <v>1.3021157664691545E-2</v>
      </c>
    </row>
    <row r="63" spans="2:4" x14ac:dyDescent="0.45">
      <c r="B63" s="8" t="s">
        <v>238</v>
      </c>
      <c r="C63" s="8" t="s">
        <v>115</v>
      </c>
      <c r="D63" s="12">
        <v>1.4874200911752577E-2</v>
      </c>
    </row>
    <row r="64" spans="2:4" x14ac:dyDescent="0.45">
      <c r="B64" s="9" t="s">
        <v>238</v>
      </c>
      <c r="C64" s="9" t="s">
        <v>116</v>
      </c>
      <c r="D64" s="13">
        <v>1.5221341878842758E-2</v>
      </c>
    </row>
    <row r="65" spans="2:4" x14ac:dyDescent="0.45">
      <c r="B65" s="8" t="s">
        <v>238</v>
      </c>
      <c r="C65" s="8" t="s">
        <v>117</v>
      </c>
      <c r="D65" s="12">
        <v>1.5355021409969407E-2</v>
      </c>
    </row>
    <row r="66" spans="2:4" x14ac:dyDescent="0.45">
      <c r="B66" s="9" t="s">
        <v>238</v>
      </c>
      <c r="C66" s="9" t="s">
        <v>118</v>
      </c>
      <c r="D66" s="13">
        <v>1.5366460878219143E-2</v>
      </c>
    </row>
    <row r="67" spans="2:4" x14ac:dyDescent="0.45">
      <c r="B67" s="8" t="s">
        <v>238</v>
      </c>
      <c r="C67" s="8" t="s">
        <v>119</v>
      </c>
      <c r="D67" s="12">
        <v>1.5394686448293152E-2</v>
      </c>
    </row>
    <row r="68" spans="2:4" x14ac:dyDescent="0.45">
      <c r="B68" s="9" t="s">
        <v>238</v>
      </c>
      <c r="C68" s="9" t="s">
        <v>120</v>
      </c>
      <c r="D68" s="13">
        <v>1.5518076619288527E-2</v>
      </c>
    </row>
    <row r="69" spans="2:4" x14ac:dyDescent="0.45">
      <c r="B69" s="8" t="s">
        <v>238</v>
      </c>
      <c r="C69" s="8" t="s">
        <v>121</v>
      </c>
      <c r="D69" s="12">
        <v>1.546229637554295E-2</v>
      </c>
    </row>
    <row r="70" spans="2:4" x14ac:dyDescent="0.45">
      <c r="B70" s="9" t="s">
        <v>238</v>
      </c>
      <c r="C70" s="9" t="s">
        <v>122</v>
      </c>
      <c r="D70" s="13">
        <v>2.1671334658519368E-2</v>
      </c>
    </row>
    <row r="71" spans="2:4" x14ac:dyDescent="0.45">
      <c r="B71" s="8" t="s">
        <v>239</v>
      </c>
      <c r="C71" s="8" t="s">
        <v>62</v>
      </c>
      <c r="D71" s="12">
        <v>3.3114494427454802E-2</v>
      </c>
    </row>
    <row r="72" spans="2:4" x14ac:dyDescent="0.45">
      <c r="B72" s="9" t="s">
        <v>239</v>
      </c>
      <c r="C72" s="9" t="s">
        <v>64</v>
      </c>
      <c r="D72" s="13">
        <v>1.3402441768497347E-2</v>
      </c>
    </row>
    <row r="73" spans="2:4" x14ac:dyDescent="0.45">
      <c r="B73" s="8" t="s">
        <v>239</v>
      </c>
      <c r="C73" s="8" t="s">
        <v>65</v>
      </c>
      <c r="D73" s="12">
        <v>1.355835423633231E-2</v>
      </c>
    </row>
    <row r="74" spans="2:4" x14ac:dyDescent="0.45">
      <c r="B74" s="9" t="s">
        <v>239</v>
      </c>
      <c r="C74" s="9" t="s">
        <v>66</v>
      </c>
      <c r="D74" s="13">
        <v>1.3565120035533442E-2</v>
      </c>
    </row>
    <row r="75" spans="2:4" x14ac:dyDescent="0.45">
      <c r="B75" s="8" t="s">
        <v>239</v>
      </c>
      <c r="C75" s="8" t="s">
        <v>67</v>
      </c>
      <c r="D75" s="12">
        <v>1.3564365869132069E-2</v>
      </c>
    </row>
    <row r="76" spans="2:4" x14ac:dyDescent="0.45">
      <c r="B76" s="9" t="s">
        <v>239</v>
      </c>
      <c r="C76" s="9" t="s">
        <v>68</v>
      </c>
      <c r="D76" s="13">
        <v>1.3564162373221278E-2</v>
      </c>
    </row>
    <row r="77" spans="2:4" x14ac:dyDescent="0.45">
      <c r="B77" s="8" t="s">
        <v>239</v>
      </c>
      <c r="C77" s="8" t="s">
        <v>69</v>
      </c>
      <c r="D77" s="12">
        <v>1.3567965459623231E-2</v>
      </c>
    </row>
    <row r="78" spans="2:4" x14ac:dyDescent="0.45">
      <c r="B78" s="9" t="s">
        <v>239</v>
      </c>
      <c r="C78" s="9" t="s">
        <v>70</v>
      </c>
      <c r="D78" s="13">
        <v>1.3578261648976984E-2</v>
      </c>
    </row>
    <row r="79" spans="2:4" x14ac:dyDescent="0.45">
      <c r="B79" s="8" t="s">
        <v>239</v>
      </c>
      <c r="C79" s="8" t="s">
        <v>71</v>
      </c>
      <c r="D79" s="12">
        <v>1.3575215074750593E-2</v>
      </c>
    </row>
    <row r="80" spans="2:4" x14ac:dyDescent="0.45">
      <c r="B80" s="9" t="s">
        <v>239</v>
      </c>
      <c r="C80" s="9" t="s">
        <v>72</v>
      </c>
      <c r="D80" s="13">
        <v>2.0267512633988915E-2</v>
      </c>
    </row>
    <row r="81" spans="2:4" x14ac:dyDescent="0.45">
      <c r="B81" s="8" t="s">
        <v>239</v>
      </c>
      <c r="C81" s="8" t="s">
        <v>73</v>
      </c>
      <c r="D81" s="12">
        <v>3.4254700796068141E-2</v>
      </c>
    </row>
    <row r="82" spans="2:4" x14ac:dyDescent="0.45">
      <c r="B82" s="9" t="s">
        <v>239</v>
      </c>
      <c r="C82" s="9" t="s">
        <v>74</v>
      </c>
      <c r="D82" s="13">
        <v>1.3855375231384285E-2</v>
      </c>
    </row>
    <row r="83" spans="2:4" x14ac:dyDescent="0.45">
      <c r="B83" s="8" t="s">
        <v>239</v>
      </c>
      <c r="C83" s="8" t="s">
        <v>75</v>
      </c>
      <c r="D83" s="12">
        <v>1.3990405030956001E-2</v>
      </c>
    </row>
    <row r="84" spans="2:4" x14ac:dyDescent="0.45">
      <c r="B84" s="9" t="s">
        <v>239</v>
      </c>
      <c r="C84" s="9" t="s">
        <v>76</v>
      </c>
      <c r="D84" s="13">
        <v>1.4021982083741381E-2</v>
      </c>
    </row>
    <row r="85" spans="2:4" x14ac:dyDescent="0.45">
      <c r="B85" s="8" t="s">
        <v>239</v>
      </c>
      <c r="C85" s="8" t="s">
        <v>77</v>
      </c>
      <c r="D85" s="12">
        <v>1.4023361985407348E-2</v>
      </c>
    </row>
    <row r="86" spans="2:4" x14ac:dyDescent="0.45">
      <c r="B86" s="9" t="s">
        <v>239</v>
      </c>
      <c r="C86" s="9" t="s">
        <v>78</v>
      </c>
      <c r="D86" s="13">
        <v>1.4021641946484151E-2</v>
      </c>
    </row>
    <row r="87" spans="2:4" x14ac:dyDescent="0.45">
      <c r="B87" s="8" t="s">
        <v>239</v>
      </c>
      <c r="C87" s="8" t="s">
        <v>79</v>
      </c>
      <c r="D87" s="12">
        <v>1.4022565008627046E-2</v>
      </c>
    </row>
    <row r="88" spans="2:4" x14ac:dyDescent="0.45">
      <c r="B88" s="9" t="s">
        <v>239</v>
      </c>
      <c r="C88" s="9" t="s">
        <v>80</v>
      </c>
      <c r="D88" s="13">
        <v>1.4034462775307514E-2</v>
      </c>
    </row>
    <row r="89" spans="2:4" x14ac:dyDescent="0.45">
      <c r="B89" s="8" t="s">
        <v>239</v>
      </c>
      <c r="C89" s="8" t="s">
        <v>81</v>
      </c>
      <c r="D89" s="12">
        <v>1.4037268907679656E-2</v>
      </c>
    </row>
    <row r="90" spans="2:4" x14ac:dyDescent="0.45">
      <c r="B90" s="9" t="s">
        <v>239</v>
      </c>
      <c r="C90" s="9" t="s">
        <v>82</v>
      </c>
      <c r="D90" s="13">
        <v>2.0911256180999607E-2</v>
      </c>
    </row>
    <row r="91" spans="2:4" x14ac:dyDescent="0.45">
      <c r="B91" s="8" t="s">
        <v>239</v>
      </c>
      <c r="C91" s="8" t="s">
        <v>83</v>
      </c>
      <c r="D91" s="12">
        <v>3.4226124758176095E-2</v>
      </c>
    </row>
    <row r="92" spans="2:4" x14ac:dyDescent="0.45">
      <c r="B92" s="9" t="s">
        <v>239</v>
      </c>
      <c r="C92" s="9" t="s">
        <v>84</v>
      </c>
      <c r="D92" s="13">
        <v>1.3755355129272381E-2</v>
      </c>
    </row>
    <row r="93" spans="2:4" x14ac:dyDescent="0.45">
      <c r="B93" s="8" t="s">
        <v>239</v>
      </c>
      <c r="C93" s="8" t="s">
        <v>85</v>
      </c>
      <c r="D93" s="12">
        <v>1.3939199316804899E-2</v>
      </c>
    </row>
    <row r="94" spans="2:4" x14ac:dyDescent="0.45">
      <c r="B94" s="9" t="s">
        <v>239</v>
      </c>
      <c r="C94" s="9" t="s">
        <v>86</v>
      </c>
      <c r="D94" s="13">
        <v>1.40446477309815E-2</v>
      </c>
    </row>
    <row r="95" spans="2:4" x14ac:dyDescent="0.45">
      <c r="B95" s="8" t="s">
        <v>239</v>
      </c>
      <c r="C95" s="8" t="s">
        <v>87</v>
      </c>
      <c r="D95" s="12">
        <v>1.4050148571451867E-2</v>
      </c>
    </row>
    <row r="96" spans="2:4" x14ac:dyDescent="0.45">
      <c r="B96" s="9" t="s">
        <v>239</v>
      </c>
      <c r="C96" s="9" t="s">
        <v>88</v>
      </c>
      <c r="D96" s="13">
        <v>1.405069337750698E-2</v>
      </c>
    </row>
    <row r="97" spans="2:4" x14ac:dyDescent="0.45">
      <c r="B97" s="8" t="s">
        <v>239</v>
      </c>
      <c r="C97" s="8" t="s">
        <v>89</v>
      </c>
      <c r="D97" s="12">
        <v>1.4040734979636267E-2</v>
      </c>
    </row>
    <row r="98" spans="2:4" x14ac:dyDescent="0.45">
      <c r="B98" s="9" t="s">
        <v>239</v>
      </c>
      <c r="C98" s="9" t="s">
        <v>90</v>
      </c>
      <c r="D98" s="13">
        <v>1.4039071239293578E-2</v>
      </c>
    </row>
    <row r="99" spans="2:4" x14ac:dyDescent="0.45">
      <c r="B99" s="8" t="s">
        <v>239</v>
      </c>
      <c r="C99" s="8" t="s">
        <v>91</v>
      </c>
      <c r="D99" s="12">
        <v>1.4036037566825218E-2</v>
      </c>
    </row>
    <row r="100" spans="2:4" x14ac:dyDescent="0.45">
      <c r="B100" s="9" t="s">
        <v>239</v>
      </c>
      <c r="C100" s="9" t="s">
        <v>92</v>
      </c>
      <c r="D100" s="13">
        <v>2.0857261143414525E-2</v>
      </c>
    </row>
    <row r="101" spans="2:4" x14ac:dyDescent="0.45">
      <c r="B101" s="8" t="s">
        <v>239</v>
      </c>
      <c r="C101" s="8" t="s">
        <v>93</v>
      </c>
      <c r="D101" s="12">
        <v>3.4782398833938598E-2</v>
      </c>
    </row>
    <row r="102" spans="2:4" x14ac:dyDescent="0.45">
      <c r="B102" s="9" t="s">
        <v>239</v>
      </c>
      <c r="C102" s="9" t="s">
        <v>94</v>
      </c>
      <c r="D102" s="13">
        <v>1.3976058161586655E-2</v>
      </c>
    </row>
    <row r="103" spans="2:4" x14ac:dyDescent="0.45">
      <c r="B103" s="8" t="s">
        <v>239</v>
      </c>
      <c r="C103" s="8" t="s">
        <v>95</v>
      </c>
      <c r="D103" s="12">
        <v>1.4168946481500197E-2</v>
      </c>
    </row>
    <row r="104" spans="2:4" x14ac:dyDescent="0.45">
      <c r="B104" s="9" t="s">
        <v>239</v>
      </c>
      <c r="C104" s="9" t="s">
        <v>96</v>
      </c>
      <c r="D104" s="13">
        <v>1.4271013462185097E-2</v>
      </c>
    </row>
    <row r="105" spans="2:4" x14ac:dyDescent="0.45">
      <c r="B105" s="8" t="s">
        <v>239</v>
      </c>
      <c r="C105" s="8" t="s">
        <v>97</v>
      </c>
      <c r="D105" s="12">
        <v>1.4284796644869001E-2</v>
      </c>
    </row>
    <row r="106" spans="2:4" x14ac:dyDescent="0.45">
      <c r="B106" s="9" t="s">
        <v>239</v>
      </c>
      <c r="C106" s="9" t="s">
        <v>98</v>
      </c>
      <c r="D106" s="13">
        <v>1.4287976928224094E-2</v>
      </c>
    </row>
    <row r="107" spans="2:4" x14ac:dyDescent="0.45">
      <c r="B107" s="8" t="s">
        <v>239</v>
      </c>
      <c r="C107" s="8" t="s">
        <v>99</v>
      </c>
      <c r="D107" s="12">
        <v>1.4279468805244984E-2</v>
      </c>
    </row>
    <row r="108" spans="2:4" x14ac:dyDescent="0.45">
      <c r="B108" s="9" t="s">
        <v>239</v>
      </c>
      <c r="C108" s="9" t="s">
        <v>100</v>
      </c>
      <c r="D108" s="13">
        <v>1.4275758376923449E-2</v>
      </c>
    </row>
    <row r="109" spans="2:4" x14ac:dyDescent="0.45">
      <c r="B109" s="8" t="s">
        <v>239</v>
      </c>
      <c r="C109" s="8" t="s">
        <v>101</v>
      </c>
      <c r="D109" s="12">
        <v>1.4267275471016853E-2</v>
      </c>
    </row>
    <row r="110" spans="2:4" x14ac:dyDescent="0.45">
      <c r="B110" s="9" t="s">
        <v>239</v>
      </c>
      <c r="C110" s="9" t="s">
        <v>102</v>
      </c>
      <c r="D110" s="13">
        <v>2.1208653260872293E-2</v>
      </c>
    </row>
    <row r="111" spans="2:4" x14ac:dyDescent="0.45">
      <c r="B111" s="8" t="s">
        <v>239</v>
      </c>
      <c r="C111" s="8" t="s">
        <v>103</v>
      </c>
      <c r="D111" s="12">
        <v>3.4240773348271691E-2</v>
      </c>
    </row>
    <row r="112" spans="2:4" x14ac:dyDescent="0.45">
      <c r="B112" s="9" t="s">
        <v>239</v>
      </c>
      <c r="C112" s="9" t="s">
        <v>104</v>
      </c>
      <c r="D112" s="13">
        <v>1.3791023490801951E-2</v>
      </c>
    </row>
    <row r="113" spans="2:4" x14ac:dyDescent="0.45">
      <c r="B113" s="8" t="s">
        <v>239</v>
      </c>
      <c r="C113" s="8" t="s">
        <v>105</v>
      </c>
      <c r="D113" s="12">
        <v>1.3957762879400655E-2</v>
      </c>
    </row>
    <row r="114" spans="2:4" x14ac:dyDescent="0.45">
      <c r="B114" s="9" t="s">
        <v>239</v>
      </c>
      <c r="C114" s="9" t="s">
        <v>106</v>
      </c>
      <c r="D114" s="13">
        <v>1.4039665585167321E-2</v>
      </c>
    </row>
    <row r="115" spans="2:4" x14ac:dyDescent="0.45">
      <c r="B115" s="8" t="s">
        <v>239</v>
      </c>
      <c r="C115" s="8" t="s">
        <v>107</v>
      </c>
      <c r="D115" s="12">
        <v>1.4037764921631665E-2</v>
      </c>
    </row>
    <row r="116" spans="2:4" x14ac:dyDescent="0.45">
      <c r="B116" s="9" t="s">
        <v>239</v>
      </c>
      <c r="C116" s="9" t="s">
        <v>108</v>
      </c>
      <c r="D116" s="13">
        <v>1.4034474386889742E-2</v>
      </c>
    </row>
    <row r="117" spans="2:4" x14ac:dyDescent="0.45">
      <c r="B117" s="8" t="s">
        <v>239</v>
      </c>
      <c r="C117" s="8" t="s">
        <v>109</v>
      </c>
      <c r="D117" s="12">
        <v>1.40260008640799E-2</v>
      </c>
    </row>
    <row r="118" spans="2:4" x14ac:dyDescent="0.45">
      <c r="B118" s="9" t="s">
        <v>239</v>
      </c>
      <c r="C118" s="9" t="s">
        <v>110</v>
      </c>
      <c r="D118" s="13">
        <v>1.4036471813610644E-2</v>
      </c>
    </row>
    <row r="119" spans="2:4" x14ac:dyDescent="0.45">
      <c r="B119" s="8" t="s">
        <v>239</v>
      </c>
      <c r="C119" s="8" t="s">
        <v>111</v>
      </c>
      <c r="D119" s="12">
        <v>1.4039089111160672E-2</v>
      </c>
    </row>
    <row r="120" spans="2:4" x14ac:dyDescent="0.45">
      <c r="B120" s="9" t="s">
        <v>239</v>
      </c>
      <c r="C120" s="9" t="s">
        <v>112</v>
      </c>
      <c r="D120" s="13">
        <v>2.0868122202523244E-2</v>
      </c>
    </row>
    <row r="121" spans="2:4" x14ac:dyDescent="0.45">
      <c r="B121" s="8" t="s">
        <v>239</v>
      </c>
      <c r="C121" s="8" t="s">
        <v>113</v>
      </c>
      <c r="D121" s="12">
        <v>3.4268927403378981E-2</v>
      </c>
    </row>
    <row r="122" spans="2:4" x14ac:dyDescent="0.45">
      <c r="B122" s="9" t="s">
        <v>239</v>
      </c>
      <c r="C122" s="9" t="s">
        <v>114</v>
      </c>
      <c r="D122" s="13">
        <v>1.382418080369111E-2</v>
      </c>
    </row>
    <row r="123" spans="2:4" x14ac:dyDescent="0.45">
      <c r="B123" s="8" t="s">
        <v>239</v>
      </c>
      <c r="C123" s="8" t="s">
        <v>115</v>
      </c>
      <c r="D123" s="12">
        <v>1.3982919342978815E-2</v>
      </c>
    </row>
    <row r="124" spans="2:4" x14ac:dyDescent="0.45">
      <c r="B124" s="9" t="s">
        <v>239</v>
      </c>
      <c r="C124" s="9" t="s">
        <v>116</v>
      </c>
      <c r="D124" s="13">
        <v>1.401265672235742E-2</v>
      </c>
    </row>
    <row r="125" spans="2:4" x14ac:dyDescent="0.45">
      <c r="B125" s="8" t="s">
        <v>239</v>
      </c>
      <c r="C125" s="8" t="s">
        <v>117</v>
      </c>
      <c r="D125" s="12">
        <v>1.402410820549866E-2</v>
      </c>
    </row>
    <row r="126" spans="2:4" x14ac:dyDescent="0.45">
      <c r="B126" s="9" t="s">
        <v>239</v>
      </c>
      <c r="C126" s="9" t="s">
        <v>118</v>
      </c>
      <c r="D126" s="13">
        <v>1.4025088152665611E-2</v>
      </c>
    </row>
    <row r="127" spans="2:4" x14ac:dyDescent="0.45">
      <c r="B127" s="8" t="s">
        <v>239</v>
      </c>
      <c r="C127" s="8" t="s">
        <v>119</v>
      </c>
      <c r="D127" s="12">
        <v>1.4027506059409674E-2</v>
      </c>
    </row>
    <row r="128" spans="2:4" x14ac:dyDescent="0.45">
      <c r="B128" s="9" t="s">
        <v>239</v>
      </c>
      <c r="C128" s="9" t="s">
        <v>120</v>
      </c>
      <c r="D128" s="13">
        <v>1.4038076117899851E-2</v>
      </c>
    </row>
    <row r="129" spans="2:4" x14ac:dyDescent="0.45">
      <c r="B129" s="8" t="s">
        <v>239</v>
      </c>
      <c r="C129" s="8" t="s">
        <v>121</v>
      </c>
      <c r="D129" s="12">
        <v>1.4033297775879326E-2</v>
      </c>
    </row>
    <row r="130" spans="2:4" x14ac:dyDescent="0.45">
      <c r="B130" s="9" t="s">
        <v>239</v>
      </c>
      <c r="C130" s="9" t="s">
        <v>122</v>
      </c>
      <c r="D130" s="13">
        <v>2.0919557098812495E-2</v>
      </c>
    </row>
  </sheetData>
  <mergeCells count="1">
    <mergeCell ref="A1:H1"/>
  </mergeCells>
  <pageMargins left="0.7" right="0.7" top="0.75" bottom="0.75" header="0.3" footer="0.3"/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16D504F-7E22-4A93-BD9C-A90C3E49A0A4}">
  <dimension ref="A1:H70"/>
  <sheetViews>
    <sheetView workbookViewId="0">
      <selection sqref="A1:H1"/>
    </sheetView>
  </sheetViews>
  <sheetFormatPr defaultRowHeight="14.25" x14ac:dyDescent="0.45"/>
  <cols>
    <col min="2" max="2" width="10.59765625" bestFit="1" customWidth="1"/>
    <col min="3" max="4" width="10.59765625" customWidth="1"/>
  </cols>
  <sheetData>
    <row r="1" spans="1:8" ht="22.05" customHeight="1" x14ac:dyDescent="0.45">
      <c r="A1" s="17" t="s">
        <v>55</v>
      </c>
      <c r="B1" s="17"/>
      <c r="C1" s="17"/>
      <c r="D1" s="17"/>
      <c r="E1" s="17"/>
      <c r="F1" s="17"/>
      <c r="G1" s="17"/>
      <c r="H1" s="17"/>
    </row>
    <row r="9" spans="1:8" ht="14.65" thickBot="1" x14ac:dyDescent="0.5">
      <c r="B9" s="6" t="str">
        <f>IF(A11="x","DeActivated","~TFM_DINS-AT")</f>
        <v>~TFM_DINS-AT</v>
      </c>
    </row>
    <row r="10" spans="1:8" ht="15.75" thickBot="1" x14ac:dyDescent="0.6">
      <c r="B10" s="7" t="s">
        <v>57</v>
      </c>
      <c r="C10" s="7" t="s">
        <v>58</v>
      </c>
      <c r="D10" s="7" t="s">
        <v>240</v>
      </c>
    </row>
    <row r="11" spans="1:8" x14ac:dyDescent="0.45">
      <c r="B11" s="8" t="s">
        <v>12</v>
      </c>
      <c r="C11" s="8" t="s">
        <v>62</v>
      </c>
      <c r="D11" s="12">
        <v>8.7222039047642363E-2</v>
      </c>
    </row>
    <row r="12" spans="1:8" x14ac:dyDescent="0.45">
      <c r="B12" s="9" t="s">
        <v>12</v>
      </c>
      <c r="C12" s="9" t="s">
        <v>64</v>
      </c>
      <c r="D12" s="13">
        <v>0.14867597678458022</v>
      </c>
    </row>
    <row r="13" spans="1:8" x14ac:dyDescent="0.45">
      <c r="B13" s="8" t="s">
        <v>12</v>
      </c>
      <c r="C13" s="8" t="s">
        <v>65</v>
      </c>
      <c r="D13" s="12">
        <v>8.6737615867732876E-2</v>
      </c>
    </row>
    <row r="14" spans="1:8" x14ac:dyDescent="0.45">
      <c r="B14" s="9" t="s">
        <v>12</v>
      </c>
      <c r="C14" s="9" t="s">
        <v>66</v>
      </c>
      <c r="D14" s="13">
        <v>6.8603540372098371E-2</v>
      </c>
    </row>
    <row r="15" spans="1:8" x14ac:dyDescent="0.45">
      <c r="B15" s="8" t="s">
        <v>12</v>
      </c>
      <c r="C15" s="8" t="s">
        <v>67</v>
      </c>
      <c r="D15" s="12">
        <v>5.5124758661117657E-2</v>
      </c>
    </row>
    <row r="16" spans="1:8" x14ac:dyDescent="0.45">
      <c r="B16" s="9" t="s">
        <v>12</v>
      </c>
      <c r="C16" s="9" t="s">
        <v>68</v>
      </c>
      <c r="D16" s="13">
        <v>5.3406684009268179E-2</v>
      </c>
    </row>
    <row r="17" spans="2:4" x14ac:dyDescent="0.45">
      <c r="B17" s="8" t="s">
        <v>12</v>
      </c>
      <c r="C17" s="8" t="s">
        <v>69</v>
      </c>
      <c r="D17" s="12">
        <v>5.3230645178597991E-2</v>
      </c>
    </row>
    <row r="18" spans="2:4" x14ac:dyDescent="0.45">
      <c r="B18" s="9" t="s">
        <v>12</v>
      </c>
      <c r="C18" s="9" t="s">
        <v>70</v>
      </c>
      <c r="D18" s="13">
        <v>4.8437291221033574E-2</v>
      </c>
    </row>
    <row r="19" spans="2:4" x14ac:dyDescent="0.45">
      <c r="B19" s="8" t="s">
        <v>12</v>
      </c>
      <c r="C19" s="8" t="s">
        <v>71</v>
      </c>
      <c r="D19" s="12">
        <v>4.9299572870282748E-2</v>
      </c>
    </row>
    <row r="20" spans="2:4" x14ac:dyDescent="0.45">
      <c r="B20" s="9" t="s">
        <v>12</v>
      </c>
      <c r="C20" s="9" t="s">
        <v>72</v>
      </c>
      <c r="D20" s="13">
        <v>9.2515212836474792E-2</v>
      </c>
    </row>
    <row r="21" spans="2:4" x14ac:dyDescent="0.45">
      <c r="B21" s="8" t="s">
        <v>12</v>
      </c>
      <c r="C21" s="8" t="s">
        <v>73</v>
      </c>
      <c r="D21" s="12">
        <v>8.8689604877612904E-2</v>
      </c>
    </row>
    <row r="22" spans="2:4" x14ac:dyDescent="0.45">
      <c r="B22" s="9" t="s">
        <v>12</v>
      </c>
      <c r="C22" s="9" t="s">
        <v>74</v>
      </c>
      <c r="D22" s="13">
        <v>0.15064477679209354</v>
      </c>
    </row>
    <row r="23" spans="2:4" x14ac:dyDescent="0.45">
      <c r="B23" s="8" t="s">
        <v>12</v>
      </c>
      <c r="C23" s="8" t="s">
        <v>75</v>
      </c>
      <c r="D23" s="12">
        <v>0.11257718518751214</v>
      </c>
    </row>
    <row r="24" spans="2:4" x14ac:dyDescent="0.45">
      <c r="B24" s="9" t="s">
        <v>12</v>
      </c>
      <c r="C24" s="9" t="s">
        <v>76</v>
      </c>
      <c r="D24" s="13">
        <v>7.9031563403679339E-2</v>
      </c>
    </row>
    <row r="25" spans="2:4" x14ac:dyDescent="0.45">
      <c r="B25" s="8" t="s">
        <v>12</v>
      </c>
      <c r="C25" s="8" t="s">
        <v>77</v>
      </c>
      <c r="D25" s="12">
        <v>7.8243590733635182E-2</v>
      </c>
    </row>
    <row r="26" spans="2:4" x14ac:dyDescent="0.45">
      <c r="B26" s="9" t="s">
        <v>12</v>
      </c>
      <c r="C26" s="9" t="s">
        <v>78</v>
      </c>
      <c r="D26" s="13">
        <v>7.9131505057886908E-2</v>
      </c>
    </row>
    <row r="27" spans="2:4" x14ac:dyDescent="0.45">
      <c r="B27" s="8" t="s">
        <v>12</v>
      </c>
      <c r="C27" s="8" t="s">
        <v>79</v>
      </c>
      <c r="D27" s="12">
        <v>7.9979273288912411E-2</v>
      </c>
    </row>
    <row r="28" spans="2:4" x14ac:dyDescent="0.45">
      <c r="B28" s="9" t="s">
        <v>12</v>
      </c>
      <c r="C28" s="9" t="s">
        <v>80</v>
      </c>
      <c r="D28" s="13">
        <v>7.4134875705727632E-2</v>
      </c>
    </row>
    <row r="29" spans="2:4" x14ac:dyDescent="0.45">
      <c r="B29" s="8" t="s">
        <v>12</v>
      </c>
      <c r="C29" s="8" t="s">
        <v>81</v>
      </c>
      <c r="D29" s="12">
        <v>7.1341955807377566E-2</v>
      </c>
    </row>
    <row r="30" spans="2:4" x14ac:dyDescent="0.45">
      <c r="B30" s="9" t="s">
        <v>12</v>
      </c>
      <c r="C30" s="9" t="s">
        <v>82</v>
      </c>
      <c r="D30" s="13">
        <v>0.14076176855161515</v>
      </c>
    </row>
    <row r="31" spans="2:4" x14ac:dyDescent="0.45">
      <c r="B31" s="8" t="s">
        <v>12</v>
      </c>
      <c r="C31" s="8" t="s">
        <v>83</v>
      </c>
      <c r="D31" s="12">
        <v>0.21181520793345432</v>
      </c>
    </row>
    <row r="32" spans="2:4" x14ac:dyDescent="0.45">
      <c r="B32" s="9" t="s">
        <v>12</v>
      </c>
      <c r="C32" s="9" t="s">
        <v>84</v>
      </c>
      <c r="D32" s="13">
        <v>0.1622477822868551</v>
      </c>
    </row>
    <row r="33" spans="2:4" x14ac:dyDescent="0.45">
      <c r="B33" s="8" t="s">
        <v>12</v>
      </c>
      <c r="C33" s="8" t="s">
        <v>85</v>
      </c>
      <c r="D33" s="12">
        <v>0.13732283574679927</v>
      </c>
    </row>
    <row r="34" spans="2:4" x14ac:dyDescent="0.45">
      <c r="B34" s="9" t="s">
        <v>12</v>
      </c>
      <c r="C34" s="9" t="s">
        <v>86</v>
      </c>
      <c r="D34" s="13">
        <v>9.074657973276401E-2</v>
      </c>
    </row>
    <row r="35" spans="2:4" x14ac:dyDescent="0.45">
      <c r="B35" s="8" t="s">
        <v>12</v>
      </c>
      <c r="C35" s="8" t="s">
        <v>87</v>
      </c>
      <c r="D35" s="12">
        <v>9.3117069000453023E-2</v>
      </c>
    </row>
    <row r="36" spans="2:4" x14ac:dyDescent="0.45">
      <c r="B36" s="9" t="s">
        <v>12</v>
      </c>
      <c r="C36" s="9" t="s">
        <v>88</v>
      </c>
      <c r="D36" s="13">
        <v>9.8319030370914051E-2</v>
      </c>
    </row>
    <row r="37" spans="2:4" x14ac:dyDescent="0.45">
      <c r="B37" s="8" t="s">
        <v>12</v>
      </c>
      <c r="C37" s="8" t="s">
        <v>89</v>
      </c>
      <c r="D37" s="12">
        <v>9.2711900902328281E-2</v>
      </c>
    </row>
    <row r="38" spans="2:4" x14ac:dyDescent="0.45">
      <c r="B38" s="9" t="s">
        <v>12</v>
      </c>
      <c r="C38" s="9" t="s">
        <v>90</v>
      </c>
      <c r="D38" s="13">
        <v>8.3849859247620451E-2</v>
      </c>
    </row>
    <row r="39" spans="2:4" x14ac:dyDescent="0.45">
      <c r="B39" s="8" t="s">
        <v>12</v>
      </c>
      <c r="C39" s="8" t="s">
        <v>91</v>
      </c>
      <c r="D39" s="12">
        <v>8.7577239748919844E-2</v>
      </c>
    </row>
    <row r="40" spans="2:4" x14ac:dyDescent="0.45">
      <c r="B40" s="9" t="s">
        <v>12</v>
      </c>
      <c r="C40" s="9" t="s">
        <v>92</v>
      </c>
      <c r="D40" s="13">
        <v>0.1615717742962679</v>
      </c>
    </row>
    <row r="41" spans="2:4" x14ac:dyDescent="0.45">
      <c r="B41" s="8" t="s">
        <v>12</v>
      </c>
      <c r="C41" s="8" t="s">
        <v>93</v>
      </c>
      <c r="D41" s="12">
        <v>0.24154525763758317</v>
      </c>
    </row>
    <row r="42" spans="2:4" x14ac:dyDescent="0.45">
      <c r="B42" s="9" t="s">
        <v>12</v>
      </c>
      <c r="C42" s="9" t="s">
        <v>94</v>
      </c>
      <c r="D42" s="13">
        <v>0.16421804600514434</v>
      </c>
    </row>
    <row r="43" spans="2:4" x14ac:dyDescent="0.45">
      <c r="B43" s="8" t="s">
        <v>12</v>
      </c>
      <c r="C43" s="8" t="s">
        <v>95</v>
      </c>
      <c r="D43" s="12">
        <v>0.14650196587343722</v>
      </c>
    </row>
    <row r="44" spans="2:4" x14ac:dyDescent="0.45">
      <c r="B44" s="9" t="s">
        <v>12</v>
      </c>
      <c r="C44" s="9" t="s">
        <v>96</v>
      </c>
      <c r="D44" s="13">
        <v>9.6961384299926401E-2</v>
      </c>
    </row>
    <row r="45" spans="2:4" x14ac:dyDescent="0.45">
      <c r="B45" s="8" t="s">
        <v>12</v>
      </c>
      <c r="C45" s="8" t="s">
        <v>97</v>
      </c>
      <c r="D45" s="12">
        <v>9.0467247907556336E-2</v>
      </c>
    </row>
    <row r="46" spans="2:4" x14ac:dyDescent="0.45">
      <c r="B46" s="9" t="s">
        <v>12</v>
      </c>
      <c r="C46" s="9" t="s">
        <v>98</v>
      </c>
      <c r="D46" s="13">
        <v>8.8159482938605205E-2</v>
      </c>
    </row>
    <row r="47" spans="2:4" x14ac:dyDescent="0.45">
      <c r="B47" s="8" t="s">
        <v>12</v>
      </c>
      <c r="C47" s="8" t="s">
        <v>99</v>
      </c>
      <c r="D47" s="12">
        <v>7.6592255883402238E-2</v>
      </c>
    </row>
    <row r="48" spans="2:4" x14ac:dyDescent="0.45">
      <c r="B48" s="9" t="s">
        <v>12</v>
      </c>
      <c r="C48" s="9" t="s">
        <v>100</v>
      </c>
      <c r="D48" s="13">
        <v>6.9758731152961495E-2</v>
      </c>
    </row>
    <row r="49" spans="2:4" x14ac:dyDescent="0.45">
      <c r="B49" s="8" t="s">
        <v>12</v>
      </c>
      <c r="C49" s="8" t="s">
        <v>101</v>
      </c>
      <c r="D49" s="12">
        <v>7.5783649845420742E-2</v>
      </c>
    </row>
    <row r="50" spans="2:4" x14ac:dyDescent="0.45">
      <c r="B50" s="9" t="s">
        <v>12</v>
      </c>
      <c r="C50" s="9" t="s">
        <v>102</v>
      </c>
      <c r="D50" s="13">
        <v>0.15421127362918852</v>
      </c>
    </row>
    <row r="51" spans="2:4" x14ac:dyDescent="0.45">
      <c r="B51" s="8" t="s">
        <v>12</v>
      </c>
      <c r="C51" s="8" t="s">
        <v>103</v>
      </c>
      <c r="D51" s="12">
        <v>0.1206969483962812</v>
      </c>
    </row>
    <row r="52" spans="2:4" x14ac:dyDescent="0.45">
      <c r="B52" s="9" t="s">
        <v>12</v>
      </c>
      <c r="C52" s="9" t="s">
        <v>104</v>
      </c>
      <c r="D52" s="13">
        <v>0.14011003829764279</v>
      </c>
    </row>
    <row r="53" spans="2:4" x14ac:dyDescent="0.45">
      <c r="B53" s="8" t="s">
        <v>12</v>
      </c>
      <c r="C53" s="8" t="s">
        <v>105</v>
      </c>
      <c r="D53" s="12">
        <v>8.8944719999356048E-2</v>
      </c>
    </row>
    <row r="54" spans="2:4" x14ac:dyDescent="0.45">
      <c r="B54" s="9" t="s">
        <v>12</v>
      </c>
      <c r="C54" s="9" t="s">
        <v>106</v>
      </c>
      <c r="D54" s="13">
        <v>5.1443577321744094E-2</v>
      </c>
    </row>
    <row r="55" spans="2:4" x14ac:dyDescent="0.45">
      <c r="B55" s="8" t="s">
        <v>12</v>
      </c>
      <c r="C55" s="8" t="s">
        <v>107</v>
      </c>
      <c r="D55" s="12">
        <v>5.3101385201292706E-2</v>
      </c>
    </row>
    <row r="56" spans="2:4" x14ac:dyDescent="0.45">
      <c r="B56" s="9" t="s">
        <v>12</v>
      </c>
      <c r="C56" s="9" t="s">
        <v>108</v>
      </c>
      <c r="D56" s="13">
        <v>5.5473030492887876E-2</v>
      </c>
    </row>
    <row r="57" spans="2:4" x14ac:dyDescent="0.45">
      <c r="B57" s="8" t="s">
        <v>12</v>
      </c>
      <c r="C57" s="8" t="s">
        <v>109</v>
      </c>
      <c r="D57" s="12">
        <v>5.5325487979653198E-2</v>
      </c>
    </row>
    <row r="58" spans="2:4" x14ac:dyDescent="0.45">
      <c r="B58" s="9" t="s">
        <v>12</v>
      </c>
      <c r="C58" s="9" t="s">
        <v>110</v>
      </c>
      <c r="D58" s="13">
        <v>4.87509544451592E-2</v>
      </c>
    </row>
    <row r="59" spans="2:4" x14ac:dyDescent="0.45">
      <c r="B59" s="8" t="s">
        <v>12</v>
      </c>
      <c r="C59" s="8" t="s">
        <v>111</v>
      </c>
      <c r="D59" s="12">
        <v>4.214345386513707E-2</v>
      </c>
    </row>
    <row r="60" spans="2:4" x14ac:dyDescent="0.45">
      <c r="B60" s="9" t="s">
        <v>12</v>
      </c>
      <c r="C60" s="9" t="s">
        <v>112</v>
      </c>
      <c r="D60" s="13">
        <v>0.13700512792357222</v>
      </c>
    </row>
    <row r="61" spans="2:4" x14ac:dyDescent="0.45">
      <c r="B61" s="8" t="s">
        <v>12</v>
      </c>
      <c r="C61" s="8" t="s">
        <v>113</v>
      </c>
      <c r="D61" s="12">
        <v>6.5341757336167872E-2</v>
      </c>
    </row>
    <row r="62" spans="2:4" x14ac:dyDescent="0.45">
      <c r="B62" s="9" t="s">
        <v>12</v>
      </c>
      <c r="C62" s="9" t="s">
        <v>114</v>
      </c>
      <c r="D62" s="13">
        <v>0.17535941619123663</v>
      </c>
    </row>
    <row r="63" spans="2:4" x14ac:dyDescent="0.45">
      <c r="B63" s="8" t="s">
        <v>12</v>
      </c>
      <c r="C63" s="8" t="s">
        <v>115</v>
      </c>
      <c r="D63" s="12">
        <v>7.7771630759678523E-2</v>
      </c>
    </row>
    <row r="64" spans="2:4" x14ac:dyDescent="0.45">
      <c r="B64" s="9" t="s">
        <v>12</v>
      </c>
      <c r="C64" s="9" t="s">
        <v>116</v>
      </c>
      <c r="D64" s="13">
        <v>4.8406339218903804E-2</v>
      </c>
    </row>
    <row r="65" spans="2:4" x14ac:dyDescent="0.45">
      <c r="B65" s="8" t="s">
        <v>12</v>
      </c>
      <c r="C65" s="8" t="s">
        <v>117</v>
      </c>
      <c r="D65" s="12">
        <v>4.0952165235050186E-2</v>
      </c>
    </row>
    <row r="66" spans="2:4" x14ac:dyDescent="0.45">
      <c r="B66" s="9" t="s">
        <v>12</v>
      </c>
      <c r="C66" s="9" t="s">
        <v>118</v>
      </c>
      <c r="D66" s="13">
        <v>4.103441551205389E-2</v>
      </c>
    </row>
    <row r="67" spans="2:4" x14ac:dyDescent="0.45">
      <c r="B67" s="8" t="s">
        <v>12</v>
      </c>
      <c r="C67" s="8" t="s">
        <v>119</v>
      </c>
      <c r="D67" s="12">
        <v>3.8339387585043072E-2</v>
      </c>
    </row>
    <row r="68" spans="2:4" x14ac:dyDescent="0.45">
      <c r="B68" s="9" t="s">
        <v>12</v>
      </c>
      <c r="C68" s="9" t="s">
        <v>120</v>
      </c>
      <c r="D68" s="13">
        <v>2.9380835989768928E-2</v>
      </c>
    </row>
    <row r="69" spans="2:4" x14ac:dyDescent="0.45">
      <c r="B69" s="8" t="s">
        <v>12</v>
      </c>
      <c r="C69" s="8" t="s">
        <v>121</v>
      </c>
      <c r="D69" s="12">
        <v>3.2608724934238831E-2</v>
      </c>
    </row>
    <row r="70" spans="2:4" x14ac:dyDescent="0.45">
      <c r="B70" s="9" t="s">
        <v>12</v>
      </c>
      <c r="C70" s="9" t="s">
        <v>122</v>
      </c>
      <c r="D70" s="13">
        <v>6.828916303860133E-2</v>
      </c>
    </row>
  </sheetData>
  <mergeCells count="1">
    <mergeCell ref="A1:H1"/>
  </mergeCells>
  <pageMargins left="0.7" right="0.7" top="0.75" bottom="0.75" header="0.3" footer="0.3"/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4BD2666-37A8-4B23-AB52-1CCEC53BD216}">
  <dimension ref="A1:H184"/>
  <sheetViews>
    <sheetView tabSelected="1" workbookViewId="0"/>
  </sheetViews>
  <sheetFormatPr defaultRowHeight="14.25" x14ac:dyDescent="0.45"/>
  <cols>
    <col min="2" max="5" width="10.59765625" customWidth="1"/>
  </cols>
  <sheetData>
    <row r="1" spans="1:8" ht="22.05" customHeight="1" x14ac:dyDescent="0.45">
      <c r="A1" s="17" t="s">
        <v>55</v>
      </c>
      <c r="B1" s="17"/>
      <c r="C1" s="17"/>
      <c r="D1" s="17"/>
      <c r="E1" s="17"/>
      <c r="F1" s="17"/>
      <c r="G1" s="17"/>
      <c r="H1" s="17"/>
    </row>
    <row r="9" spans="1:8" ht="14.65" thickBot="1" x14ac:dyDescent="0.5">
      <c r="B9" s="6" t="str">
        <f>IF(A11="x","DeActivated","~TFM_INS-AT")</f>
        <v>~TFM_INS-AT</v>
      </c>
    </row>
    <row r="10" spans="1:8" ht="15.75" thickBot="1" x14ac:dyDescent="0.6">
      <c r="B10" s="18" t="s">
        <v>241</v>
      </c>
      <c r="C10" s="18" t="s">
        <v>58</v>
      </c>
      <c r="D10" s="18" t="s">
        <v>242</v>
      </c>
      <c r="E10" s="18" t="s">
        <v>243</v>
      </c>
    </row>
    <row r="11" spans="1:8" x14ac:dyDescent="0.45">
      <c r="B11" s="19">
        <v>2020</v>
      </c>
      <c r="C11" s="20" t="s">
        <v>37</v>
      </c>
      <c r="D11" s="21">
        <v>0.2069</v>
      </c>
      <c r="E11" s="20" t="s">
        <v>244</v>
      </c>
    </row>
    <row r="12" spans="1:8" x14ac:dyDescent="0.45">
      <c r="B12" s="22">
        <v>2020</v>
      </c>
      <c r="C12" s="23" t="s">
        <v>41</v>
      </c>
      <c r="D12" s="24">
        <v>0.18745000000000001</v>
      </c>
      <c r="E12" s="23" t="s">
        <v>244</v>
      </c>
    </row>
    <row r="13" spans="1:8" x14ac:dyDescent="0.45">
      <c r="B13" s="19">
        <v>2020</v>
      </c>
      <c r="C13" s="20" t="s">
        <v>43</v>
      </c>
      <c r="D13" s="21">
        <v>0.19590000000000002</v>
      </c>
      <c r="E13" s="20" t="s">
        <v>244</v>
      </c>
    </row>
    <row r="14" spans="1:8" x14ac:dyDescent="0.45">
      <c r="B14" s="22">
        <v>2020</v>
      </c>
      <c r="C14" s="23" t="s">
        <v>45</v>
      </c>
      <c r="D14" s="24">
        <v>0.1714</v>
      </c>
      <c r="E14" s="23" t="s">
        <v>244</v>
      </c>
    </row>
    <row r="15" spans="1:8" x14ac:dyDescent="0.45">
      <c r="B15" s="19">
        <v>2020</v>
      </c>
      <c r="C15" s="20" t="s">
        <v>47</v>
      </c>
      <c r="D15" s="21">
        <v>0.18745000000000001</v>
      </c>
      <c r="E15" s="20" t="s">
        <v>244</v>
      </c>
    </row>
    <row r="16" spans="1:8" x14ac:dyDescent="0.45">
      <c r="B16" s="22">
        <v>2020</v>
      </c>
      <c r="C16" s="23" t="s">
        <v>49</v>
      </c>
      <c r="D16" s="24">
        <v>0.18149999999999999</v>
      </c>
      <c r="E16" s="23" t="s">
        <v>244</v>
      </c>
    </row>
    <row r="17" spans="2:5" x14ac:dyDescent="0.45">
      <c r="B17" s="19">
        <v>2021</v>
      </c>
      <c r="C17" s="20" t="s">
        <v>37</v>
      </c>
      <c r="D17" s="21">
        <v>0.22665000000000002</v>
      </c>
      <c r="E17" s="20" t="s">
        <v>244</v>
      </c>
    </row>
    <row r="18" spans="2:5" x14ac:dyDescent="0.45">
      <c r="B18" s="22">
        <v>2021</v>
      </c>
      <c r="C18" s="23" t="s">
        <v>41</v>
      </c>
      <c r="D18" s="24">
        <v>0.29585</v>
      </c>
      <c r="E18" s="23" t="s">
        <v>244</v>
      </c>
    </row>
    <row r="19" spans="2:5" x14ac:dyDescent="0.45">
      <c r="B19" s="19">
        <v>2021</v>
      </c>
      <c r="C19" s="20" t="s">
        <v>43</v>
      </c>
      <c r="D19" s="21">
        <v>0.22445000000000001</v>
      </c>
      <c r="E19" s="20" t="s">
        <v>244</v>
      </c>
    </row>
    <row r="20" spans="2:5" x14ac:dyDescent="0.45">
      <c r="B20" s="22">
        <v>2021</v>
      </c>
      <c r="C20" s="23" t="s">
        <v>45</v>
      </c>
      <c r="D20" s="24">
        <v>0.18015</v>
      </c>
      <c r="E20" s="23" t="s">
        <v>244</v>
      </c>
    </row>
    <row r="21" spans="2:5" x14ac:dyDescent="0.45">
      <c r="B21" s="19">
        <v>2021</v>
      </c>
      <c r="C21" s="20" t="s">
        <v>47</v>
      </c>
      <c r="D21" s="21">
        <v>0.21174999999999999</v>
      </c>
      <c r="E21" s="20" t="s">
        <v>244</v>
      </c>
    </row>
    <row r="22" spans="2:5" x14ac:dyDescent="0.45">
      <c r="B22" s="22">
        <v>2021</v>
      </c>
      <c r="C22" s="23" t="s">
        <v>49</v>
      </c>
      <c r="D22" s="24">
        <v>0.15475</v>
      </c>
      <c r="E22" s="23" t="s">
        <v>244</v>
      </c>
    </row>
    <row r="23" spans="2:5" x14ac:dyDescent="0.45">
      <c r="B23" s="19">
        <v>2022</v>
      </c>
      <c r="C23" s="20" t="s">
        <v>37</v>
      </c>
      <c r="D23" s="21">
        <v>0.27529999999999999</v>
      </c>
      <c r="E23" s="20" t="s">
        <v>244</v>
      </c>
    </row>
    <row r="24" spans="2:5" x14ac:dyDescent="0.45">
      <c r="B24" s="22">
        <v>2022</v>
      </c>
      <c r="C24" s="23" t="s">
        <v>41</v>
      </c>
      <c r="D24" s="24">
        <v>0.25124999999999997</v>
      </c>
      <c r="E24" s="23" t="s">
        <v>244</v>
      </c>
    </row>
    <row r="25" spans="2:5" x14ac:dyDescent="0.45">
      <c r="B25" s="19">
        <v>2022</v>
      </c>
      <c r="C25" s="20" t="s">
        <v>43</v>
      </c>
      <c r="D25" s="21">
        <v>0.16685</v>
      </c>
      <c r="E25" s="20" t="s">
        <v>244</v>
      </c>
    </row>
    <row r="26" spans="2:5" x14ac:dyDescent="0.45">
      <c r="B26" s="22">
        <v>2022</v>
      </c>
      <c r="C26" s="23" t="s">
        <v>45</v>
      </c>
      <c r="D26" s="24">
        <v>0.10970000000000001</v>
      </c>
      <c r="E26" s="23" t="s">
        <v>244</v>
      </c>
    </row>
    <row r="27" spans="2:5" x14ac:dyDescent="0.45">
      <c r="B27" s="19">
        <v>2022</v>
      </c>
      <c r="C27" s="20" t="s">
        <v>47</v>
      </c>
      <c r="D27" s="21">
        <v>0.13924999999999998</v>
      </c>
      <c r="E27" s="20" t="s">
        <v>244</v>
      </c>
    </row>
    <row r="28" spans="2:5" x14ac:dyDescent="0.45">
      <c r="B28" s="22">
        <v>2022</v>
      </c>
      <c r="C28" s="23" t="s">
        <v>49</v>
      </c>
      <c r="D28" s="24">
        <v>0.14610000000000001</v>
      </c>
      <c r="E28" s="23" t="s">
        <v>244</v>
      </c>
    </row>
    <row r="29" spans="2:5" x14ac:dyDescent="0.45">
      <c r="B29" s="19">
        <v>2025</v>
      </c>
      <c r="C29" s="20" t="s">
        <v>37</v>
      </c>
      <c r="D29" s="21">
        <v>0.32545000000000002</v>
      </c>
      <c r="E29" s="20" t="s">
        <v>244</v>
      </c>
    </row>
    <row r="30" spans="2:5" x14ac:dyDescent="0.45">
      <c r="B30" s="22">
        <v>2025</v>
      </c>
      <c r="C30" s="23" t="s">
        <v>41</v>
      </c>
      <c r="D30" s="24">
        <v>0.35635</v>
      </c>
      <c r="E30" s="23" t="s">
        <v>244</v>
      </c>
    </row>
    <row r="31" spans="2:5" x14ac:dyDescent="0.45">
      <c r="B31" s="19">
        <v>2025</v>
      </c>
      <c r="C31" s="20" t="s">
        <v>43</v>
      </c>
      <c r="D31" s="21">
        <v>0.27155000000000001</v>
      </c>
      <c r="E31" s="20" t="s">
        <v>244</v>
      </c>
    </row>
    <row r="32" spans="2:5" x14ac:dyDescent="0.45">
      <c r="B32" s="22">
        <v>2025</v>
      </c>
      <c r="C32" s="23" t="s">
        <v>45</v>
      </c>
      <c r="D32" s="24">
        <v>0.22999999999999998</v>
      </c>
      <c r="E32" s="23" t="s">
        <v>244</v>
      </c>
    </row>
    <row r="33" spans="2:5" x14ac:dyDescent="0.45">
      <c r="B33" s="19">
        <v>2025</v>
      </c>
      <c r="C33" s="20" t="s">
        <v>47</v>
      </c>
      <c r="D33" s="21">
        <v>0.24814999999999998</v>
      </c>
      <c r="E33" s="20" t="s">
        <v>244</v>
      </c>
    </row>
    <row r="34" spans="2:5" x14ac:dyDescent="0.45">
      <c r="B34" s="22">
        <v>2025</v>
      </c>
      <c r="C34" s="23" t="s">
        <v>49</v>
      </c>
      <c r="D34" s="24">
        <v>0.26519999999999999</v>
      </c>
      <c r="E34" s="23" t="s">
        <v>244</v>
      </c>
    </row>
    <row r="35" spans="2:5" x14ac:dyDescent="0.45">
      <c r="B35" s="19">
        <v>2026</v>
      </c>
      <c r="C35" s="20" t="s">
        <v>37</v>
      </c>
      <c r="D35" s="21">
        <v>0.38100000000000001</v>
      </c>
      <c r="E35" s="20" t="s">
        <v>244</v>
      </c>
    </row>
    <row r="36" spans="2:5" x14ac:dyDescent="0.45">
      <c r="B36" s="22">
        <v>2026</v>
      </c>
      <c r="C36" s="23" t="s">
        <v>41</v>
      </c>
      <c r="D36" s="24">
        <v>0.4123</v>
      </c>
      <c r="E36" s="23" t="s">
        <v>244</v>
      </c>
    </row>
    <row r="37" spans="2:5" x14ac:dyDescent="0.45">
      <c r="B37" s="19">
        <v>2026</v>
      </c>
      <c r="C37" s="20" t="s">
        <v>43</v>
      </c>
      <c r="D37" s="21">
        <v>0.30204999999999999</v>
      </c>
      <c r="E37" s="20" t="s">
        <v>244</v>
      </c>
    </row>
    <row r="38" spans="2:5" x14ac:dyDescent="0.45">
      <c r="B38" s="22">
        <v>2026</v>
      </c>
      <c r="C38" s="23" t="s">
        <v>45</v>
      </c>
      <c r="D38" s="24">
        <v>0.21905000000000002</v>
      </c>
      <c r="E38" s="23" t="s">
        <v>244</v>
      </c>
    </row>
    <row r="39" spans="2:5" x14ac:dyDescent="0.45">
      <c r="B39" s="19">
        <v>2026</v>
      </c>
      <c r="C39" s="20" t="s">
        <v>47</v>
      </c>
      <c r="D39" s="21">
        <v>0.21704999999999999</v>
      </c>
      <c r="E39" s="20" t="s">
        <v>244</v>
      </c>
    </row>
    <row r="40" spans="2:5" x14ac:dyDescent="0.45">
      <c r="B40" s="22">
        <v>2026</v>
      </c>
      <c r="C40" s="23" t="s">
        <v>49</v>
      </c>
      <c r="D40" s="24">
        <v>0.2954</v>
      </c>
      <c r="E40" s="23" t="s">
        <v>244</v>
      </c>
    </row>
    <row r="41" spans="2:5" x14ac:dyDescent="0.45">
      <c r="B41" s="19">
        <v>2027</v>
      </c>
      <c r="C41" s="20" t="s">
        <v>37</v>
      </c>
      <c r="D41" s="21">
        <v>0.30185000000000001</v>
      </c>
      <c r="E41" s="20" t="s">
        <v>244</v>
      </c>
    </row>
    <row r="42" spans="2:5" x14ac:dyDescent="0.45">
      <c r="B42" s="22">
        <v>2027</v>
      </c>
      <c r="C42" s="23" t="s">
        <v>41</v>
      </c>
      <c r="D42" s="24">
        <v>0.32524999999999998</v>
      </c>
      <c r="E42" s="23" t="s">
        <v>244</v>
      </c>
    </row>
    <row r="43" spans="2:5" x14ac:dyDescent="0.45">
      <c r="B43" s="19">
        <v>2027</v>
      </c>
      <c r="C43" s="20" t="s">
        <v>43</v>
      </c>
      <c r="D43" s="21">
        <v>0.21689999999999998</v>
      </c>
      <c r="E43" s="20" t="s">
        <v>244</v>
      </c>
    </row>
    <row r="44" spans="2:5" x14ac:dyDescent="0.45">
      <c r="B44" s="22">
        <v>2027</v>
      </c>
      <c r="C44" s="23" t="s">
        <v>45</v>
      </c>
      <c r="D44" s="24">
        <v>0.18675</v>
      </c>
      <c r="E44" s="23" t="s">
        <v>244</v>
      </c>
    </row>
    <row r="45" spans="2:5" x14ac:dyDescent="0.45">
      <c r="B45" s="19">
        <v>2027</v>
      </c>
      <c r="C45" s="20" t="s">
        <v>47</v>
      </c>
      <c r="D45" s="21">
        <v>0.2298</v>
      </c>
      <c r="E45" s="20" t="s">
        <v>244</v>
      </c>
    </row>
    <row r="46" spans="2:5" x14ac:dyDescent="0.45">
      <c r="B46" s="22">
        <v>2027</v>
      </c>
      <c r="C46" s="23" t="s">
        <v>49</v>
      </c>
      <c r="D46" s="24">
        <v>0.25600000000000001</v>
      </c>
      <c r="E46" s="23" t="s">
        <v>244</v>
      </c>
    </row>
    <row r="47" spans="2:5" x14ac:dyDescent="0.45">
      <c r="B47" s="19">
        <v>2028</v>
      </c>
      <c r="C47" s="20" t="s">
        <v>37</v>
      </c>
      <c r="D47" s="21">
        <v>0.29615000000000002</v>
      </c>
      <c r="E47" s="20" t="s">
        <v>244</v>
      </c>
    </row>
    <row r="48" spans="2:5" x14ac:dyDescent="0.45">
      <c r="B48" s="22">
        <v>2028</v>
      </c>
      <c r="C48" s="23" t="s">
        <v>41</v>
      </c>
      <c r="D48" s="24">
        <v>0.36104999999999998</v>
      </c>
      <c r="E48" s="23" t="s">
        <v>244</v>
      </c>
    </row>
    <row r="49" spans="2:5" x14ac:dyDescent="0.45">
      <c r="B49" s="19">
        <v>2028</v>
      </c>
      <c r="C49" s="20" t="s">
        <v>43</v>
      </c>
      <c r="D49" s="21">
        <v>0.24080000000000001</v>
      </c>
      <c r="E49" s="20" t="s">
        <v>244</v>
      </c>
    </row>
    <row r="50" spans="2:5" x14ac:dyDescent="0.45">
      <c r="B50" s="22">
        <v>2028</v>
      </c>
      <c r="C50" s="23" t="s">
        <v>45</v>
      </c>
      <c r="D50" s="24">
        <v>0.17235</v>
      </c>
      <c r="E50" s="23" t="s">
        <v>244</v>
      </c>
    </row>
    <row r="51" spans="2:5" x14ac:dyDescent="0.45">
      <c r="B51" s="19">
        <v>2028</v>
      </c>
      <c r="C51" s="20" t="s">
        <v>47</v>
      </c>
      <c r="D51" s="21">
        <v>0.2019</v>
      </c>
      <c r="E51" s="20" t="s">
        <v>244</v>
      </c>
    </row>
    <row r="52" spans="2:5" x14ac:dyDescent="0.45">
      <c r="B52" s="22">
        <v>2028</v>
      </c>
      <c r="C52" s="23" t="s">
        <v>49</v>
      </c>
      <c r="D52" s="24">
        <v>0.24404999999999999</v>
      </c>
      <c r="E52" s="23" t="s">
        <v>244</v>
      </c>
    </row>
    <row r="53" spans="2:5" x14ac:dyDescent="0.45">
      <c r="B53" s="19">
        <v>2029</v>
      </c>
      <c r="C53" s="20" t="s">
        <v>37</v>
      </c>
      <c r="D53" s="21">
        <v>0.31925000000000003</v>
      </c>
      <c r="E53" s="20" t="s">
        <v>244</v>
      </c>
    </row>
    <row r="54" spans="2:5" x14ac:dyDescent="0.45">
      <c r="B54" s="22">
        <v>2029</v>
      </c>
      <c r="C54" s="23" t="s">
        <v>41</v>
      </c>
      <c r="D54" s="24">
        <v>0.33484999999999998</v>
      </c>
      <c r="E54" s="23" t="s">
        <v>244</v>
      </c>
    </row>
    <row r="55" spans="2:5" x14ac:dyDescent="0.45">
      <c r="B55" s="19">
        <v>2029</v>
      </c>
      <c r="C55" s="20" t="s">
        <v>43</v>
      </c>
      <c r="D55" s="21">
        <v>0.28320000000000001</v>
      </c>
      <c r="E55" s="20" t="s">
        <v>244</v>
      </c>
    </row>
    <row r="56" spans="2:5" x14ac:dyDescent="0.45">
      <c r="B56" s="22">
        <v>2029</v>
      </c>
      <c r="C56" s="23" t="s">
        <v>45</v>
      </c>
      <c r="D56" s="24">
        <v>0.17630000000000001</v>
      </c>
      <c r="E56" s="23" t="s">
        <v>244</v>
      </c>
    </row>
    <row r="57" spans="2:5" x14ac:dyDescent="0.45">
      <c r="B57" s="19">
        <v>2029</v>
      </c>
      <c r="C57" s="20" t="s">
        <v>47</v>
      </c>
      <c r="D57" s="21">
        <v>0.28129999999999999</v>
      </c>
      <c r="E57" s="20" t="s">
        <v>244</v>
      </c>
    </row>
    <row r="58" spans="2:5" x14ac:dyDescent="0.45">
      <c r="B58" s="22">
        <v>2029</v>
      </c>
      <c r="C58" s="23" t="s">
        <v>49</v>
      </c>
      <c r="D58" s="24">
        <v>0.30580000000000002</v>
      </c>
      <c r="E58" s="23" t="s">
        <v>244</v>
      </c>
    </row>
    <row r="59" spans="2:5" x14ac:dyDescent="0.45">
      <c r="B59" s="19">
        <v>2030</v>
      </c>
      <c r="C59" s="20" t="s">
        <v>37</v>
      </c>
      <c r="D59" s="21">
        <v>0.32540000000000002</v>
      </c>
      <c r="E59" s="20" t="s">
        <v>244</v>
      </c>
    </row>
    <row r="60" spans="2:5" x14ac:dyDescent="0.45">
      <c r="B60" s="22">
        <v>2030</v>
      </c>
      <c r="C60" s="23" t="s">
        <v>41</v>
      </c>
      <c r="D60" s="24">
        <v>0.38129999999999997</v>
      </c>
      <c r="E60" s="23" t="s">
        <v>244</v>
      </c>
    </row>
    <row r="61" spans="2:5" x14ac:dyDescent="0.45">
      <c r="B61" s="19">
        <v>2030</v>
      </c>
      <c r="C61" s="20" t="s">
        <v>43</v>
      </c>
      <c r="D61" s="21">
        <v>0.26229999999999998</v>
      </c>
      <c r="E61" s="20" t="s">
        <v>244</v>
      </c>
    </row>
    <row r="62" spans="2:5" x14ac:dyDescent="0.45">
      <c r="B62" s="22">
        <v>2030</v>
      </c>
      <c r="C62" s="23" t="s">
        <v>45</v>
      </c>
      <c r="D62" s="24">
        <v>0.17319999999999999</v>
      </c>
      <c r="E62" s="23" t="s">
        <v>244</v>
      </c>
    </row>
    <row r="63" spans="2:5" x14ac:dyDescent="0.45">
      <c r="B63" s="19">
        <v>2030</v>
      </c>
      <c r="C63" s="20" t="s">
        <v>47</v>
      </c>
      <c r="D63" s="21">
        <v>0.23164999999999999</v>
      </c>
      <c r="E63" s="20" t="s">
        <v>244</v>
      </c>
    </row>
    <row r="64" spans="2:5" x14ac:dyDescent="0.45">
      <c r="B64" s="22">
        <v>2030</v>
      </c>
      <c r="C64" s="23" t="s">
        <v>49</v>
      </c>
      <c r="D64" s="24">
        <v>0.26589999999999997</v>
      </c>
      <c r="E64" s="23" t="s">
        <v>244</v>
      </c>
    </row>
    <row r="65" spans="2:5" x14ac:dyDescent="0.45">
      <c r="B65" s="19">
        <v>2031</v>
      </c>
      <c r="C65" s="20" t="s">
        <v>37</v>
      </c>
      <c r="D65" s="21">
        <v>0.33089999999999997</v>
      </c>
      <c r="E65" s="20" t="s">
        <v>244</v>
      </c>
    </row>
    <row r="66" spans="2:5" x14ac:dyDescent="0.45">
      <c r="B66" s="22">
        <v>2031</v>
      </c>
      <c r="C66" s="23" t="s">
        <v>41</v>
      </c>
      <c r="D66" s="24">
        <v>0.29744999999999999</v>
      </c>
      <c r="E66" s="23" t="s">
        <v>244</v>
      </c>
    </row>
    <row r="67" spans="2:5" x14ac:dyDescent="0.45">
      <c r="B67" s="19">
        <v>2031</v>
      </c>
      <c r="C67" s="20" t="s">
        <v>43</v>
      </c>
      <c r="D67" s="21">
        <v>0.25445000000000001</v>
      </c>
      <c r="E67" s="20" t="s">
        <v>244</v>
      </c>
    </row>
    <row r="68" spans="2:5" x14ac:dyDescent="0.45">
      <c r="B68" s="22">
        <v>2031</v>
      </c>
      <c r="C68" s="23" t="s">
        <v>45</v>
      </c>
      <c r="D68" s="24">
        <v>0.20644999999999999</v>
      </c>
      <c r="E68" s="23" t="s">
        <v>244</v>
      </c>
    </row>
    <row r="69" spans="2:5" x14ac:dyDescent="0.45">
      <c r="B69" s="19">
        <v>2031</v>
      </c>
      <c r="C69" s="20" t="s">
        <v>47</v>
      </c>
      <c r="D69" s="21">
        <v>0.25509999999999999</v>
      </c>
      <c r="E69" s="20" t="s">
        <v>244</v>
      </c>
    </row>
    <row r="70" spans="2:5" x14ac:dyDescent="0.45">
      <c r="B70" s="22">
        <v>2031</v>
      </c>
      <c r="C70" s="23" t="s">
        <v>49</v>
      </c>
      <c r="D70" s="24">
        <v>0.23959999999999998</v>
      </c>
      <c r="E70" s="23" t="s">
        <v>244</v>
      </c>
    </row>
    <row r="71" spans="2:5" x14ac:dyDescent="0.45">
      <c r="B71" s="19">
        <v>2032</v>
      </c>
      <c r="C71" s="20" t="s">
        <v>37</v>
      </c>
      <c r="D71" s="21">
        <v>0.30825000000000002</v>
      </c>
      <c r="E71" s="20" t="s">
        <v>244</v>
      </c>
    </row>
    <row r="72" spans="2:5" x14ac:dyDescent="0.45">
      <c r="B72" s="22">
        <v>2032</v>
      </c>
      <c r="C72" s="23" t="s">
        <v>41</v>
      </c>
      <c r="D72" s="24">
        <v>0.34150000000000003</v>
      </c>
      <c r="E72" s="23" t="s">
        <v>244</v>
      </c>
    </row>
    <row r="73" spans="2:5" x14ac:dyDescent="0.45">
      <c r="B73" s="19">
        <v>2032</v>
      </c>
      <c r="C73" s="20" t="s">
        <v>43</v>
      </c>
      <c r="D73" s="21">
        <v>0.25850000000000001</v>
      </c>
      <c r="E73" s="20" t="s">
        <v>244</v>
      </c>
    </row>
    <row r="74" spans="2:5" x14ac:dyDescent="0.45">
      <c r="B74" s="22">
        <v>2032</v>
      </c>
      <c r="C74" s="23" t="s">
        <v>45</v>
      </c>
      <c r="D74" s="24">
        <v>0.22425</v>
      </c>
      <c r="E74" s="23" t="s">
        <v>244</v>
      </c>
    </row>
    <row r="75" spans="2:5" x14ac:dyDescent="0.45">
      <c r="B75" s="19">
        <v>2032</v>
      </c>
      <c r="C75" s="20" t="s">
        <v>47</v>
      </c>
      <c r="D75" s="21">
        <v>0.2046</v>
      </c>
      <c r="E75" s="20" t="s">
        <v>244</v>
      </c>
    </row>
    <row r="76" spans="2:5" x14ac:dyDescent="0.45">
      <c r="B76" s="22">
        <v>2032</v>
      </c>
      <c r="C76" s="23" t="s">
        <v>49</v>
      </c>
      <c r="D76" s="24">
        <v>0.30379999999999996</v>
      </c>
      <c r="E76" s="23" t="s">
        <v>244</v>
      </c>
    </row>
    <row r="77" spans="2:5" x14ac:dyDescent="0.45">
      <c r="B77" s="19">
        <v>2033</v>
      </c>
      <c r="C77" s="20" t="s">
        <v>37</v>
      </c>
      <c r="D77" s="21">
        <v>0.31764999999999999</v>
      </c>
      <c r="E77" s="20" t="s">
        <v>244</v>
      </c>
    </row>
    <row r="78" spans="2:5" x14ac:dyDescent="0.45">
      <c r="B78" s="22">
        <v>2033</v>
      </c>
      <c r="C78" s="23" t="s">
        <v>41</v>
      </c>
      <c r="D78" s="24">
        <v>0.36114999999999997</v>
      </c>
      <c r="E78" s="23" t="s">
        <v>244</v>
      </c>
    </row>
    <row r="79" spans="2:5" x14ac:dyDescent="0.45">
      <c r="B79" s="19">
        <v>2033</v>
      </c>
      <c r="C79" s="20" t="s">
        <v>43</v>
      </c>
      <c r="D79" s="21">
        <v>0.26424999999999998</v>
      </c>
      <c r="E79" s="20" t="s">
        <v>244</v>
      </c>
    </row>
    <row r="80" spans="2:5" x14ac:dyDescent="0.45">
      <c r="B80" s="22">
        <v>2033</v>
      </c>
      <c r="C80" s="23" t="s">
        <v>45</v>
      </c>
      <c r="D80" s="24">
        <v>0.18059999999999998</v>
      </c>
      <c r="E80" s="23" t="s">
        <v>244</v>
      </c>
    </row>
    <row r="81" spans="2:5" x14ac:dyDescent="0.45">
      <c r="B81" s="19">
        <v>2033</v>
      </c>
      <c r="C81" s="20" t="s">
        <v>47</v>
      </c>
      <c r="D81" s="21">
        <v>0.1888</v>
      </c>
      <c r="E81" s="20" t="s">
        <v>244</v>
      </c>
    </row>
    <row r="82" spans="2:5" x14ac:dyDescent="0.45">
      <c r="B82" s="22">
        <v>2033</v>
      </c>
      <c r="C82" s="23" t="s">
        <v>49</v>
      </c>
      <c r="D82" s="24">
        <v>0.24859999999999999</v>
      </c>
      <c r="E82" s="23" t="s">
        <v>244</v>
      </c>
    </row>
    <row r="83" spans="2:5" x14ac:dyDescent="0.45">
      <c r="B83" s="19">
        <v>2034</v>
      </c>
      <c r="C83" s="20" t="s">
        <v>37</v>
      </c>
      <c r="D83" s="21">
        <v>0.33140000000000003</v>
      </c>
      <c r="E83" s="20" t="s">
        <v>244</v>
      </c>
    </row>
    <row r="84" spans="2:5" x14ac:dyDescent="0.45">
      <c r="B84" s="22">
        <v>2034</v>
      </c>
      <c r="C84" s="23" t="s">
        <v>41</v>
      </c>
      <c r="D84" s="24">
        <v>0.35644999999999999</v>
      </c>
      <c r="E84" s="23" t="s">
        <v>244</v>
      </c>
    </row>
    <row r="85" spans="2:5" x14ac:dyDescent="0.45">
      <c r="B85" s="19">
        <v>2034</v>
      </c>
      <c r="C85" s="20" t="s">
        <v>43</v>
      </c>
      <c r="D85" s="21">
        <v>0.27255000000000001</v>
      </c>
      <c r="E85" s="20" t="s">
        <v>244</v>
      </c>
    </row>
    <row r="86" spans="2:5" x14ac:dyDescent="0.45">
      <c r="B86" s="22">
        <v>2034</v>
      </c>
      <c r="C86" s="23" t="s">
        <v>45</v>
      </c>
      <c r="D86" s="24">
        <v>0.18659999999999999</v>
      </c>
      <c r="E86" s="23" t="s">
        <v>244</v>
      </c>
    </row>
    <row r="87" spans="2:5" x14ac:dyDescent="0.45">
      <c r="B87" s="19">
        <v>2034</v>
      </c>
      <c r="C87" s="20" t="s">
        <v>47</v>
      </c>
      <c r="D87" s="21">
        <v>0.1885</v>
      </c>
      <c r="E87" s="20" t="s">
        <v>244</v>
      </c>
    </row>
    <row r="88" spans="2:5" x14ac:dyDescent="0.45">
      <c r="B88" s="22">
        <v>2034</v>
      </c>
      <c r="C88" s="23" t="s">
        <v>49</v>
      </c>
      <c r="D88" s="24">
        <v>0.25409999999999999</v>
      </c>
      <c r="E88" s="23" t="s">
        <v>244</v>
      </c>
    </row>
    <row r="89" spans="2:5" x14ac:dyDescent="0.45">
      <c r="B89" s="19">
        <v>2035</v>
      </c>
      <c r="C89" s="20" t="s">
        <v>37</v>
      </c>
      <c r="D89" s="21">
        <v>0.3397</v>
      </c>
      <c r="E89" s="20" t="s">
        <v>244</v>
      </c>
    </row>
    <row r="90" spans="2:5" x14ac:dyDescent="0.45">
      <c r="B90" s="22">
        <v>2035</v>
      </c>
      <c r="C90" s="23" t="s">
        <v>41</v>
      </c>
      <c r="D90" s="24">
        <v>0.35119999999999996</v>
      </c>
      <c r="E90" s="23" t="s">
        <v>244</v>
      </c>
    </row>
    <row r="91" spans="2:5" x14ac:dyDescent="0.45">
      <c r="B91" s="19">
        <v>2035</v>
      </c>
      <c r="C91" s="20" t="s">
        <v>43</v>
      </c>
      <c r="D91" s="21">
        <v>0.26865</v>
      </c>
      <c r="E91" s="20" t="s">
        <v>244</v>
      </c>
    </row>
    <row r="92" spans="2:5" x14ac:dyDescent="0.45">
      <c r="B92" s="22">
        <v>2035</v>
      </c>
      <c r="C92" s="23" t="s">
        <v>45</v>
      </c>
      <c r="D92" s="24">
        <v>0.17595</v>
      </c>
      <c r="E92" s="23" t="s">
        <v>244</v>
      </c>
    </row>
    <row r="93" spans="2:5" x14ac:dyDescent="0.45">
      <c r="B93" s="19">
        <v>2035</v>
      </c>
      <c r="C93" s="20" t="s">
        <v>47</v>
      </c>
      <c r="D93" s="21">
        <v>0.17730000000000001</v>
      </c>
      <c r="E93" s="20" t="s">
        <v>244</v>
      </c>
    </row>
    <row r="94" spans="2:5" x14ac:dyDescent="0.45">
      <c r="B94" s="22">
        <v>2035</v>
      </c>
      <c r="C94" s="23" t="s">
        <v>49</v>
      </c>
      <c r="D94" s="24">
        <v>0.23075000000000001</v>
      </c>
      <c r="E94" s="23" t="s">
        <v>244</v>
      </c>
    </row>
    <row r="95" spans="2:5" x14ac:dyDescent="0.45">
      <c r="B95" s="19">
        <v>2036</v>
      </c>
      <c r="C95" s="20" t="s">
        <v>37</v>
      </c>
      <c r="D95" s="21">
        <v>0.40475</v>
      </c>
      <c r="E95" s="20" t="s">
        <v>244</v>
      </c>
    </row>
    <row r="96" spans="2:5" x14ac:dyDescent="0.45">
      <c r="B96" s="22">
        <v>2036</v>
      </c>
      <c r="C96" s="23" t="s">
        <v>41</v>
      </c>
      <c r="D96" s="24">
        <v>0.40410000000000001</v>
      </c>
      <c r="E96" s="23" t="s">
        <v>244</v>
      </c>
    </row>
    <row r="97" spans="2:5" x14ac:dyDescent="0.45">
      <c r="B97" s="19">
        <v>2036</v>
      </c>
      <c r="C97" s="20" t="s">
        <v>43</v>
      </c>
      <c r="D97" s="21">
        <v>0.2913</v>
      </c>
      <c r="E97" s="20" t="s">
        <v>244</v>
      </c>
    </row>
    <row r="98" spans="2:5" x14ac:dyDescent="0.45">
      <c r="B98" s="22">
        <v>2036</v>
      </c>
      <c r="C98" s="23" t="s">
        <v>45</v>
      </c>
      <c r="D98" s="24">
        <v>0.1668</v>
      </c>
      <c r="E98" s="23" t="s">
        <v>244</v>
      </c>
    </row>
    <row r="99" spans="2:5" x14ac:dyDescent="0.45">
      <c r="B99" s="19">
        <v>2036</v>
      </c>
      <c r="C99" s="20" t="s">
        <v>47</v>
      </c>
      <c r="D99" s="21">
        <v>0.24719999999999998</v>
      </c>
      <c r="E99" s="20" t="s">
        <v>244</v>
      </c>
    </row>
    <row r="100" spans="2:5" x14ac:dyDescent="0.45">
      <c r="B100" s="22">
        <v>2036</v>
      </c>
      <c r="C100" s="23" t="s">
        <v>49</v>
      </c>
      <c r="D100" s="24">
        <v>0.31574999999999998</v>
      </c>
      <c r="E100" s="23" t="s">
        <v>244</v>
      </c>
    </row>
    <row r="101" spans="2:5" x14ac:dyDescent="0.45">
      <c r="B101" s="19">
        <v>2037</v>
      </c>
      <c r="C101" s="20" t="s">
        <v>37</v>
      </c>
      <c r="D101" s="21">
        <v>0.32279999999999998</v>
      </c>
      <c r="E101" s="20" t="s">
        <v>244</v>
      </c>
    </row>
    <row r="102" spans="2:5" x14ac:dyDescent="0.45">
      <c r="B102" s="22">
        <v>2037</v>
      </c>
      <c r="C102" s="23" t="s">
        <v>41</v>
      </c>
      <c r="D102" s="24">
        <v>0.36854999999999999</v>
      </c>
      <c r="E102" s="23" t="s">
        <v>244</v>
      </c>
    </row>
    <row r="103" spans="2:5" x14ac:dyDescent="0.45">
      <c r="B103" s="19">
        <v>2037</v>
      </c>
      <c r="C103" s="20" t="s">
        <v>43</v>
      </c>
      <c r="D103" s="21">
        <v>0.24015</v>
      </c>
      <c r="E103" s="20" t="s">
        <v>244</v>
      </c>
    </row>
    <row r="104" spans="2:5" x14ac:dyDescent="0.45">
      <c r="B104" s="22">
        <v>2037</v>
      </c>
      <c r="C104" s="23" t="s">
        <v>45</v>
      </c>
      <c r="D104" s="24">
        <v>0.19574999999999998</v>
      </c>
      <c r="E104" s="23" t="s">
        <v>244</v>
      </c>
    </row>
    <row r="105" spans="2:5" x14ac:dyDescent="0.45">
      <c r="B105" s="19">
        <v>2037</v>
      </c>
      <c r="C105" s="20" t="s">
        <v>47</v>
      </c>
      <c r="D105" s="21">
        <v>0.19230000000000003</v>
      </c>
      <c r="E105" s="20" t="s">
        <v>244</v>
      </c>
    </row>
    <row r="106" spans="2:5" x14ac:dyDescent="0.45">
      <c r="B106" s="22">
        <v>2037</v>
      </c>
      <c r="C106" s="23" t="s">
        <v>49</v>
      </c>
      <c r="D106" s="24">
        <v>0.26900000000000002</v>
      </c>
      <c r="E106" s="23" t="s">
        <v>244</v>
      </c>
    </row>
    <row r="107" spans="2:5" x14ac:dyDescent="0.45">
      <c r="B107" s="19">
        <v>2038</v>
      </c>
      <c r="C107" s="20" t="s">
        <v>37</v>
      </c>
      <c r="D107" s="21">
        <v>0.35235</v>
      </c>
      <c r="E107" s="20" t="s">
        <v>244</v>
      </c>
    </row>
    <row r="108" spans="2:5" x14ac:dyDescent="0.45">
      <c r="B108" s="22">
        <v>2038</v>
      </c>
      <c r="C108" s="23" t="s">
        <v>41</v>
      </c>
      <c r="D108" s="24">
        <v>0.37759999999999999</v>
      </c>
      <c r="E108" s="23" t="s">
        <v>244</v>
      </c>
    </row>
    <row r="109" spans="2:5" x14ac:dyDescent="0.45">
      <c r="B109" s="19">
        <v>2038</v>
      </c>
      <c r="C109" s="20" t="s">
        <v>43</v>
      </c>
      <c r="D109" s="21">
        <v>0.26585000000000003</v>
      </c>
      <c r="E109" s="20" t="s">
        <v>244</v>
      </c>
    </row>
    <row r="110" spans="2:5" x14ac:dyDescent="0.45">
      <c r="B110" s="22">
        <v>2038</v>
      </c>
      <c r="C110" s="23" t="s">
        <v>45</v>
      </c>
      <c r="D110" s="24">
        <v>0.20100000000000001</v>
      </c>
      <c r="E110" s="23" t="s">
        <v>244</v>
      </c>
    </row>
    <row r="111" spans="2:5" x14ac:dyDescent="0.45">
      <c r="B111" s="19">
        <v>2038</v>
      </c>
      <c r="C111" s="20" t="s">
        <v>47</v>
      </c>
      <c r="D111" s="21">
        <v>0.23665000000000003</v>
      </c>
      <c r="E111" s="20" t="s">
        <v>244</v>
      </c>
    </row>
    <row r="112" spans="2:5" x14ac:dyDescent="0.45">
      <c r="B112" s="22">
        <v>2038</v>
      </c>
      <c r="C112" s="23" t="s">
        <v>49</v>
      </c>
      <c r="D112" s="24">
        <v>0.28425</v>
      </c>
      <c r="E112" s="23" t="s">
        <v>244</v>
      </c>
    </row>
    <row r="113" spans="2:5" x14ac:dyDescent="0.45">
      <c r="B113" s="19">
        <v>2039</v>
      </c>
      <c r="C113" s="20" t="s">
        <v>37</v>
      </c>
      <c r="D113" s="21">
        <v>0.34694999999999998</v>
      </c>
      <c r="E113" s="20" t="s">
        <v>244</v>
      </c>
    </row>
    <row r="114" spans="2:5" x14ac:dyDescent="0.45">
      <c r="B114" s="22">
        <v>2039</v>
      </c>
      <c r="C114" s="23" t="s">
        <v>41</v>
      </c>
      <c r="D114" s="24">
        <v>0.39795000000000003</v>
      </c>
      <c r="E114" s="23" t="s">
        <v>244</v>
      </c>
    </row>
    <row r="115" spans="2:5" x14ac:dyDescent="0.45">
      <c r="B115" s="19">
        <v>2039</v>
      </c>
      <c r="C115" s="20" t="s">
        <v>43</v>
      </c>
      <c r="D115" s="21">
        <v>0.32</v>
      </c>
      <c r="E115" s="20" t="s">
        <v>244</v>
      </c>
    </row>
    <row r="116" spans="2:5" x14ac:dyDescent="0.45">
      <c r="B116" s="22">
        <v>2039</v>
      </c>
      <c r="C116" s="23" t="s">
        <v>45</v>
      </c>
      <c r="D116" s="24">
        <v>0.1918</v>
      </c>
      <c r="E116" s="23" t="s">
        <v>244</v>
      </c>
    </row>
    <row r="117" spans="2:5" x14ac:dyDescent="0.45">
      <c r="B117" s="19">
        <v>2039</v>
      </c>
      <c r="C117" s="20" t="s">
        <v>47</v>
      </c>
      <c r="D117" s="21">
        <v>0.1757</v>
      </c>
      <c r="E117" s="20" t="s">
        <v>244</v>
      </c>
    </row>
    <row r="118" spans="2:5" x14ac:dyDescent="0.45">
      <c r="B118" s="22">
        <v>2039</v>
      </c>
      <c r="C118" s="23" t="s">
        <v>49</v>
      </c>
      <c r="D118" s="24">
        <v>0.25224999999999997</v>
      </c>
      <c r="E118" s="23" t="s">
        <v>244</v>
      </c>
    </row>
    <row r="119" spans="2:5" x14ac:dyDescent="0.45">
      <c r="B119" s="19">
        <v>2040</v>
      </c>
      <c r="C119" s="20" t="s">
        <v>37</v>
      </c>
      <c r="D119" s="21">
        <v>0.35119999999999996</v>
      </c>
      <c r="E119" s="20" t="s">
        <v>244</v>
      </c>
    </row>
    <row r="120" spans="2:5" x14ac:dyDescent="0.45">
      <c r="B120" s="22">
        <v>2040</v>
      </c>
      <c r="C120" s="23" t="s">
        <v>41</v>
      </c>
      <c r="D120" s="24">
        <v>0.36549999999999999</v>
      </c>
      <c r="E120" s="23" t="s">
        <v>244</v>
      </c>
    </row>
    <row r="121" spans="2:5" x14ac:dyDescent="0.45">
      <c r="B121" s="19">
        <v>2040</v>
      </c>
      <c r="C121" s="20" t="s">
        <v>43</v>
      </c>
      <c r="D121" s="21">
        <v>0.2442</v>
      </c>
      <c r="E121" s="20" t="s">
        <v>244</v>
      </c>
    </row>
    <row r="122" spans="2:5" x14ac:dyDescent="0.45">
      <c r="B122" s="22">
        <v>2040</v>
      </c>
      <c r="C122" s="23" t="s">
        <v>45</v>
      </c>
      <c r="D122" s="24">
        <v>0.23845</v>
      </c>
      <c r="E122" s="23" t="s">
        <v>244</v>
      </c>
    </row>
    <row r="123" spans="2:5" x14ac:dyDescent="0.45">
      <c r="B123" s="19">
        <v>2040</v>
      </c>
      <c r="C123" s="20" t="s">
        <v>47</v>
      </c>
      <c r="D123" s="21">
        <v>0.26219999999999999</v>
      </c>
      <c r="E123" s="20" t="s">
        <v>244</v>
      </c>
    </row>
    <row r="124" spans="2:5" x14ac:dyDescent="0.45">
      <c r="B124" s="22">
        <v>2040</v>
      </c>
      <c r="C124" s="23" t="s">
        <v>49</v>
      </c>
      <c r="D124" s="24">
        <v>0.2036</v>
      </c>
      <c r="E124" s="23" t="s">
        <v>244</v>
      </c>
    </row>
    <row r="125" spans="2:5" x14ac:dyDescent="0.45">
      <c r="B125" s="19">
        <v>2041</v>
      </c>
      <c r="C125" s="20" t="s">
        <v>37</v>
      </c>
      <c r="D125" s="21">
        <v>0.34189999999999998</v>
      </c>
      <c r="E125" s="20" t="s">
        <v>244</v>
      </c>
    </row>
    <row r="126" spans="2:5" x14ac:dyDescent="0.45">
      <c r="B126" s="22">
        <v>2041</v>
      </c>
      <c r="C126" s="23" t="s">
        <v>41</v>
      </c>
      <c r="D126" s="24">
        <v>0.36849999999999999</v>
      </c>
      <c r="E126" s="23" t="s">
        <v>244</v>
      </c>
    </row>
    <row r="127" spans="2:5" x14ac:dyDescent="0.45">
      <c r="B127" s="19">
        <v>2041</v>
      </c>
      <c r="C127" s="20" t="s">
        <v>43</v>
      </c>
      <c r="D127" s="21">
        <v>0.29520000000000002</v>
      </c>
      <c r="E127" s="20" t="s">
        <v>244</v>
      </c>
    </row>
    <row r="128" spans="2:5" x14ac:dyDescent="0.45">
      <c r="B128" s="22">
        <v>2041</v>
      </c>
      <c r="C128" s="23" t="s">
        <v>45</v>
      </c>
      <c r="D128" s="24">
        <v>0.18975</v>
      </c>
      <c r="E128" s="23" t="s">
        <v>244</v>
      </c>
    </row>
    <row r="129" spans="2:5" x14ac:dyDescent="0.45">
      <c r="B129" s="19">
        <v>2041</v>
      </c>
      <c r="C129" s="20" t="s">
        <v>47</v>
      </c>
      <c r="D129" s="21">
        <v>0.2258</v>
      </c>
      <c r="E129" s="20" t="s">
        <v>244</v>
      </c>
    </row>
    <row r="130" spans="2:5" x14ac:dyDescent="0.45">
      <c r="B130" s="22">
        <v>2041</v>
      </c>
      <c r="C130" s="23" t="s">
        <v>49</v>
      </c>
      <c r="D130" s="24">
        <v>0.27075000000000005</v>
      </c>
      <c r="E130" s="23" t="s">
        <v>244</v>
      </c>
    </row>
    <row r="131" spans="2:5" x14ac:dyDescent="0.45">
      <c r="B131" s="19">
        <v>2042</v>
      </c>
      <c r="C131" s="20" t="s">
        <v>37</v>
      </c>
      <c r="D131" s="21">
        <v>0.33510000000000001</v>
      </c>
      <c r="E131" s="20" t="s">
        <v>244</v>
      </c>
    </row>
    <row r="132" spans="2:5" x14ac:dyDescent="0.45">
      <c r="B132" s="22">
        <v>2042</v>
      </c>
      <c r="C132" s="23" t="s">
        <v>41</v>
      </c>
      <c r="D132" s="24">
        <v>0.35750000000000004</v>
      </c>
      <c r="E132" s="23" t="s">
        <v>244</v>
      </c>
    </row>
    <row r="133" spans="2:5" x14ac:dyDescent="0.45">
      <c r="B133" s="19">
        <v>2042</v>
      </c>
      <c r="C133" s="20" t="s">
        <v>43</v>
      </c>
      <c r="D133" s="21">
        <v>0.22635</v>
      </c>
      <c r="E133" s="20" t="s">
        <v>244</v>
      </c>
    </row>
    <row r="134" spans="2:5" x14ac:dyDescent="0.45">
      <c r="B134" s="22">
        <v>2042</v>
      </c>
      <c r="C134" s="23" t="s">
        <v>45</v>
      </c>
      <c r="D134" s="24">
        <v>0.19575000000000001</v>
      </c>
      <c r="E134" s="23" t="s">
        <v>244</v>
      </c>
    </row>
    <row r="135" spans="2:5" x14ac:dyDescent="0.45">
      <c r="B135" s="19">
        <v>2042</v>
      </c>
      <c r="C135" s="20" t="s">
        <v>47</v>
      </c>
      <c r="D135" s="21">
        <v>0.19</v>
      </c>
      <c r="E135" s="20" t="s">
        <v>244</v>
      </c>
    </row>
    <row r="136" spans="2:5" x14ac:dyDescent="0.45">
      <c r="B136" s="22">
        <v>2042</v>
      </c>
      <c r="C136" s="23" t="s">
        <v>49</v>
      </c>
      <c r="D136" s="24">
        <v>0.27534999999999998</v>
      </c>
      <c r="E136" s="23" t="s">
        <v>244</v>
      </c>
    </row>
    <row r="137" spans="2:5" x14ac:dyDescent="0.45">
      <c r="B137" s="19">
        <v>2043</v>
      </c>
      <c r="C137" s="20" t="s">
        <v>37</v>
      </c>
      <c r="D137" s="21">
        <v>0.30049999999999999</v>
      </c>
      <c r="E137" s="20" t="s">
        <v>244</v>
      </c>
    </row>
    <row r="138" spans="2:5" x14ac:dyDescent="0.45">
      <c r="B138" s="22">
        <v>2043</v>
      </c>
      <c r="C138" s="23" t="s">
        <v>41</v>
      </c>
      <c r="D138" s="24">
        <v>0.35885</v>
      </c>
      <c r="E138" s="23" t="s">
        <v>244</v>
      </c>
    </row>
    <row r="139" spans="2:5" x14ac:dyDescent="0.45">
      <c r="B139" s="19">
        <v>2043</v>
      </c>
      <c r="C139" s="20" t="s">
        <v>43</v>
      </c>
      <c r="D139" s="21">
        <v>0.3251</v>
      </c>
      <c r="E139" s="20" t="s">
        <v>244</v>
      </c>
    </row>
    <row r="140" spans="2:5" x14ac:dyDescent="0.45">
      <c r="B140" s="22">
        <v>2043</v>
      </c>
      <c r="C140" s="23" t="s">
        <v>45</v>
      </c>
      <c r="D140" s="24">
        <v>0.15925</v>
      </c>
      <c r="E140" s="23" t="s">
        <v>244</v>
      </c>
    </row>
    <row r="141" spans="2:5" x14ac:dyDescent="0.45">
      <c r="B141" s="19">
        <v>2043</v>
      </c>
      <c r="C141" s="20" t="s">
        <v>47</v>
      </c>
      <c r="D141" s="21">
        <v>0.21215000000000001</v>
      </c>
      <c r="E141" s="20" t="s">
        <v>244</v>
      </c>
    </row>
    <row r="142" spans="2:5" x14ac:dyDescent="0.45">
      <c r="B142" s="22">
        <v>2043</v>
      </c>
      <c r="C142" s="23" t="s">
        <v>49</v>
      </c>
      <c r="D142" s="24">
        <v>0.25440000000000002</v>
      </c>
      <c r="E142" s="23" t="s">
        <v>244</v>
      </c>
    </row>
    <row r="143" spans="2:5" x14ac:dyDescent="0.45">
      <c r="B143" s="19">
        <v>2044</v>
      </c>
      <c r="C143" s="20" t="s">
        <v>37</v>
      </c>
      <c r="D143" s="21">
        <v>0.30220000000000002</v>
      </c>
      <c r="E143" s="20" t="s">
        <v>244</v>
      </c>
    </row>
    <row r="144" spans="2:5" x14ac:dyDescent="0.45">
      <c r="B144" s="22">
        <v>2044</v>
      </c>
      <c r="C144" s="23" t="s">
        <v>41</v>
      </c>
      <c r="D144" s="24">
        <v>0.33150000000000002</v>
      </c>
      <c r="E144" s="23" t="s">
        <v>244</v>
      </c>
    </row>
    <row r="145" spans="2:5" x14ac:dyDescent="0.45">
      <c r="B145" s="19">
        <v>2044</v>
      </c>
      <c r="C145" s="20" t="s">
        <v>43</v>
      </c>
      <c r="D145" s="21">
        <v>0.2175</v>
      </c>
      <c r="E145" s="20" t="s">
        <v>244</v>
      </c>
    </row>
    <row r="146" spans="2:5" x14ac:dyDescent="0.45">
      <c r="B146" s="22">
        <v>2044</v>
      </c>
      <c r="C146" s="23" t="s">
        <v>45</v>
      </c>
      <c r="D146" s="24">
        <v>0.11384999999999999</v>
      </c>
      <c r="E146" s="23" t="s">
        <v>244</v>
      </c>
    </row>
    <row r="147" spans="2:5" x14ac:dyDescent="0.45">
      <c r="B147" s="19">
        <v>2044</v>
      </c>
      <c r="C147" s="20" t="s">
        <v>47</v>
      </c>
      <c r="D147" s="21">
        <v>0.22565000000000002</v>
      </c>
      <c r="E147" s="20" t="s">
        <v>244</v>
      </c>
    </row>
    <row r="148" spans="2:5" x14ac:dyDescent="0.45">
      <c r="B148" s="22">
        <v>2044</v>
      </c>
      <c r="C148" s="23" t="s">
        <v>49</v>
      </c>
      <c r="D148" s="24">
        <v>0.26784999999999998</v>
      </c>
      <c r="E148" s="23" t="s">
        <v>244</v>
      </c>
    </row>
    <row r="149" spans="2:5" x14ac:dyDescent="0.45">
      <c r="B149" s="19">
        <v>2045</v>
      </c>
      <c r="C149" s="20" t="s">
        <v>37</v>
      </c>
      <c r="D149" s="21">
        <v>0.30604999999999999</v>
      </c>
      <c r="E149" s="20" t="s">
        <v>244</v>
      </c>
    </row>
    <row r="150" spans="2:5" x14ac:dyDescent="0.45">
      <c r="B150" s="22">
        <v>2045</v>
      </c>
      <c r="C150" s="23" t="s">
        <v>41</v>
      </c>
      <c r="D150" s="24">
        <v>0.3357</v>
      </c>
      <c r="E150" s="23" t="s">
        <v>244</v>
      </c>
    </row>
    <row r="151" spans="2:5" x14ac:dyDescent="0.45">
      <c r="B151" s="19">
        <v>2045</v>
      </c>
      <c r="C151" s="20" t="s">
        <v>43</v>
      </c>
      <c r="D151" s="21">
        <v>0.28234999999999999</v>
      </c>
      <c r="E151" s="20" t="s">
        <v>244</v>
      </c>
    </row>
    <row r="152" spans="2:5" x14ac:dyDescent="0.45">
      <c r="B152" s="22">
        <v>2045</v>
      </c>
      <c r="C152" s="23" t="s">
        <v>45</v>
      </c>
      <c r="D152" s="24">
        <v>0.16465000000000002</v>
      </c>
      <c r="E152" s="23" t="s">
        <v>244</v>
      </c>
    </row>
    <row r="153" spans="2:5" x14ac:dyDescent="0.45">
      <c r="B153" s="19">
        <v>2045</v>
      </c>
      <c r="C153" s="20" t="s">
        <v>47</v>
      </c>
      <c r="D153" s="21">
        <v>0.14960000000000001</v>
      </c>
      <c r="E153" s="20" t="s">
        <v>244</v>
      </c>
    </row>
    <row r="154" spans="2:5" x14ac:dyDescent="0.45">
      <c r="B154" s="22">
        <v>2045</v>
      </c>
      <c r="C154" s="23" t="s">
        <v>49</v>
      </c>
      <c r="D154" s="24">
        <v>0.23985000000000001</v>
      </c>
      <c r="E154" s="23" t="s">
        <v>244</v>
      </c>
    </row>
    <row r="155" spans="2:5" x14ac:dyDescent="0.45">
      <c r="B155" s="19">
        <v>2046</v>
      </c>
      <c r="C155" s="20" t="s">
        <v>37</v>
      </c>
      <c r="D155" s="21">
        <v>0.35375000000000001</v>
      </c>
      <c r="E155" s="20" t="s">
        <v>244</v>
      </c>
    </row>
    <row r="156" spans="2:5" x14ac:dyDescent="0.45">
      <c r="B156" s="22">
        <v>2046</v>
      </c>
      <c r="C156" s="23" t="s">
        <v>41</v>
      </c>
      <c r="D156" s="24">
        <v>0.32184999999999997</v>
      </c>
      <c r="E156" s="23" t="s">
        <v>244</v>
      </c>
    </row>
    <row r="157" spans="2:5" x14ac:dyDescent="0.45">
      <c r="B157" s="19">
        <v>2046</v>
      </c>
      <c r="C157" s="20" t="s">
        <v>43</v>
      </c>
      <c r="D157" s="21">
        <v>0.29204999999999998</v>
      </c>
      <c r="E157" s="20" t="s">
        <v>244</v>
      </c>
    </row>
    <row r="158" spans="2:5" x14ac:dyDescent="0.45">
      <c r="B158" s="22">
        <v>2046</v>
      </c>
      <c r="C158" s="23" t="s">
        <v>45</v>
      </c>
      <c r="D158" s="24">
        <v>0.153</v>
      </c>
      <c r="E158" s="23" t="s">
        <v>244</v>
      </c>
    </row>
    <row r="159" spans="2:5" x14ac:dyDescent="0.45">
      <c r="B159" s="19">
        <v>2046</v>
      </c>
      <c r="C159" s="20" t="s">
        <v>47</v>
      </c>
      <c r="D159" s="21">
        <v>0.23910000000000001</v>
      </c>
      <c r="E159" s="20" t="s">
        <v>244</v>
      </c>
    </row>
    <row r="160" spans="2:5" x14ac:dyDescent="0.45">
      <c r="B160" s="22">
        <v>2046</v>
      </c>
      <c r="C160" s="23" t="s">
        <v>49</v>
      </c>
      <c r="D160" s="24">
        <v>0.28469999999999995</v>
      </c>
      <c r="E160" s="23" t="s">
        <v>244</v>
      </c>
    </row>
    <row r="161" spans="2:5" x14ac:dyDescent="0.45">
      <c r="B161" s="19">
        <v>2047</v>
      </c>
      <c r="C161" s="20" t="s">
        <v>37</v>
      </c>
      <c r="D161" s="21">
        <v>0.32295000000000001</v>
      </c>
      <c r="E161" s="20" t="s">
        <v>244</v>
      </c>
    </row>
    <row r="162" spans="2:5" x14ac:dyDescent="0.45">
      <c r="B162" s="22">
        <v>2047</v>
      </c>
      <c r="C162" s="23" t="s">
        <v>41</v>
      </c>
      <c r="D162" s="24">
        <v>0.33540000000000003</v>
      </c>
      <c r="E162" s="23" t="s">
        <v>244</v>
      </c>
    </row>
    <row r="163" spans="2:5" x14ac:dyDescent="0.45">
      <c r="B163" s="19">
        <v>2047</v>
      </c>
      <c r="C163" s="20" t="s">
        <v>43</v>
      </c>
      <c r="D163" s="21">
        <v>0.22889999999999999</v>
      </c>
      <c r="E163" s="20" t="s">
        <v>244</v>
      </c>
    </row>
    <row r="164" spans="2:5" x14ac:dyDescent="0.45">
      <c r="B164" s="22">
        <v>2047</v>
      </c>
      <c r="C164" s="23" t="s">
        <v>45</v>
      </c>
      <c r="D164" s="24">
        <v>0.15865000000000001</v>
      </c>
      <c r="E164" s="23" t="s">
        <v>244</v>
      </c>
    </row>
    <row r="165" spans="2:5" x14ac:dyDescent="0.45">
      <c r="B165" s="19">
        <v>2047</v>
      </c>
      <c r="C165" s="20" t="s">
        <v>47</v>
      </c>
      <c r="D165" s="21">
        <v>0.19535</v>
      </c>
      <c r="E165" s="20" t="s">
        <v>244</v>
      </c>
    </row>
    <row r="166" spans="2:5" x14ac:dyDescent="0.45">
      <c r="B166" s="22">
        <v>2047</v>
      </c>
      <c r="C166" s="23" t="s">
        <v>49</v>
      </c>
      <c r="D166" s="24">
        <v>0.2797</v>
      </c>
      <c r="E166" s="23" t="s">
        <v>244</v>
      </c>
    </row>
    <row r="167" spans="2:5" x14ac:dyDescent="0.45">
      <c r="B167" s="19">
        <v>2048</v>
      </c>
      <c r="C167" s="20" t="s">
        <v>37</v>
      </c>
      <c r="D167" s="21">
        <v>0.30254999999999999</v>
      </c>
      <c r="E167" s="20" t="s">
        <v>244</v>
      </c>
    </row>
    <row r="168" spans="2:5" x14ac:dyDescent="0.45">
      <c r="B168" s="22">
        <v>2048</v>
      </c>
      <c r="C168" s="23" t="s">
        <v>41</v>
      </c>
      <c r="D168" s="24">
        <v>0.31079999999999997</v>
      </c>
      <c r="E168" s="23" t="s">
        <v>244</v>
      </c>
    </row>
    <row r="169" spans="2:5" x14ac:dyDescent="0.45">
      <c r="B169" s="19">
        <v>2048</v>
      </c>
      <c r="C169" s="20" t="s">
        <v>43</v>
      </c>
      <c r="D169" s="21">
        <v>0.2427</v>
      </c>
      <c r="E169" s="20" t="s">
        <v>244</v>
      </c>
    </row>
    <row r="170" spans="2:5" x14ac:dyDescent="0.45">
      <c r="B170" s="22">
        <v>2048</v>
      </c>
      <c r="C170" s="23" t="s">
        <v>45</v>
      </c>
      <c r="D170" s="24">
        <v>0.23635</v>
      </c>
      <c r="E170" s="23" t="s">
        <v>244</v>
      </c>
    </row>
    <row r="171" spans="2:5" x14ac:dyDescent="0.45">
      <c r="B171" s="19">
        <v>2048</v>
      </c>
      <c r="C171" s="20" t="s">
        <v>47</v>
      </c>
      <c r="D171" s="21">
        <v>0.21205000000000002</v>
      </c>
      <c r="E171" s="20" t="s">
        <v>244</v>
      </c>
    </row>
    <row r="172" spans="2:5" x14ac:dyDescent="0.45">
      <c r="B172" s="22">
        <v>2048</v>
      </c>
      <c r="C172" s="23" t="s">
        <v>49</v>
      </c>
      <c r="D172" s="24">
        <v>0.2666</v>
      </c>
      <c r="E172" s="23" t="s">
        <v>244</v>
      </c>
    </row>
    <row r="173" spans="2:5" x14ac:dyDescent="0.45">
      <c r="B173" s="19">
        <v>2049</v>
      </c>
      <c r="C173" s="20" t="s">
        <v>37</v>
      </c>
      <c r="D173" s="21">
        <v>0.34410000000000002</v>
      </c>
      <c r="E173" s="20" t="s">
        <v>244</v>
      </c>
    </row>
    <row r="174" spans="2:5" x14ac:dyDescent="0.45">
      <c r="B174" s="22">
        <v>2049</v>
      </c>
      <c r="C174" s="23" t="s">
        <v>41</v>
      </c>
      <c r="D174" s="24">
        <v>0.3674</v>
      </c>
      <c r="E174" s="23" t="s">
        <v>244</v>
      </c>
    </row>
    <row r="175" spans="2:5" x14ac:dyDescent="0.45">
      <c r="B175" s="19">
        <v>2049</v>
      </c>
      <c r="C175" s="20" t="s">
        <v>43</v>
      </c>
      <c r="D175" s="21">
        <v>0.253</v>
      </c>
      <c r="E175" s="20" t="s">
        <v>244</v>
      </c>
    </row>
    <row r="176" spans="2:5" x14ac:dyDescent="0.45">
      <c r="B176" s="22">
        <v>2049</v>
      </c>
      <c r="C176" s="23" t="s">
        <v>45</v>
      </c>
      <c r="D176" s="24">
        <v>0.1895</v>
      </c>
      <c r="E176" s="23" t="s">
        <v>244</v>
      </c>
    </row>
    <row r="177" spans="2:5" x14ac:dyDescent="0.45">
      <c r="B177" s="19">
        <v>2049</v>
      </c>
      <c r="C177" s="20" t="s">
        <v>47</v>
      </c>
      <c r="D177" s="21">
        <v>0.22270000000000001</v>
      </c>
      <c r="E177" s="20" t="s">
        <v>244</v>
      </c>
    </row>
    <row r="178" spans="2:5" x14ac:dyDescent="0.45">
      <c r="B178" s="22">
        <v>2049</v>
      </c>
      <c r="C178" s="23" t="s">
        <v>49</v>
      </c>
      <c r="D178" s="24">
        <v>0.25755</v>
      </c>
      <c r="E178" s="23" t="s">
        <v>244</v>
      </c>
    </row>
    <row r="179" spans="2:5" x14ac:dyDescent="0.45">
      <c r="B179" s="19">
        <v>2050</v>
      </c>
      <c r="C179" s="20" t="s">
        <v>37</v>
      </c>
      <c r="D179" s="21">
        <v>0.33494999999999997</v>
      </c>
      <c r="E179" s="20" t="s">
        <v>244</v>
      </c>
    </row>
    <row r="180" spans="2:5" x14ac:dyDescent="0.45">
      <c r="B180" s="22">
        <v>2050</v>
      </c>
      <c r="C180" s="23" t="s">
        <v>41</v>
      </c>
      <c r="D180" s="24">
        <v>0.38770000000000004</v>
      </c>
      <c r="E180" s="23" t="s">
        <v>244</v>
      </c>
    </row>
    <row r="181" spans="2:5" x14ac:dyDescent="0.45">
      <c r="B181" s="19">
        <v>2050</v>
      </c>
      <c r="C181" s="20" t="s">
        <v>43</v>
      </c>
      <c r="D181" s="21">
        <v>0.24330000000000002</v>
      </c>
      <c r="E181" s="20" t="s">
        <v>244</v>
      </c>
    </row>
    <row r="182" spans="2:5" x14ac:dyDescent="0.45">
      <c r="B182" s="22">
        <v>2050</v>
      </c>
      <c r="C182" s="23" t="s">
        <v>45</v>
      </c>
      <c r="D182" s="24">
        <v>0.16289999999999999</v>
      </c>
      <c r="E182" s="23" t="s">
        <v>244</v>
      </c>
    </row>
    <row r="183" spans="2:5" x14ac:dyDescent="0.45">
      <c r="B183" s="19">
        <v>2050</v>
      </c>
      <c r="C183" s="20" t="s">
        <v>47</v>
      </c>
      <c r="D183" s="21">
        <v>0.1976</v>
      </c>
      <c r="E183" s="20" t="s">
        <v>244</v>
      </c>
    </row>
    <row r="184" spans="2:5" x14ac:dyDescent="0.45">
      <c r="B184" s="22">
        <v>2050</v>
      </c>
      <c r="C184" s="23" t="s">
        <v>49</v>
      </c>
      <c r="D184" s="24">
        <v>0.25180000000000002</v>
      </c>
      <c r="E184" s="23" t="s">
        <v>244</v>
      </c>
    </row>
  </sheetData>
  <mergeCells count="1">
    <mergeCell ref="A1:H1"/>
  </mergeCells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ev_charging_uc</vt:lpstr>
      <vt:lpstr>timeslice_def</vt:lpstr>
      <vt:lpstr>resource_profiles</vt:lpstr>
      <vt:lpstr>firmness</vt:lpstr>
      <vt:lpstr>load_shapes</vt:lpstr>
      <vt:lpstr>demand</vt:lpstr>
      <vt:lpstr>peak_factors</vt:lpstr>
      <vt:lpstr>hydro_af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Amit Kanudia</cp:lastModifiedBy>
  <dcterms:created xsi:type="dcterms:W3CDTF">2025-07-17T06:23:24Z</dcterms:created>
  <dcterms:modified xsi:type="dcterms:W3CDTF">2026-06-09T10:19:08Z</dcterms:modified>
</cp:coreProperties>
</file>