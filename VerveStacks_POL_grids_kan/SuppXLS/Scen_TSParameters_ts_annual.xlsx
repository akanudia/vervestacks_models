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F6A888F3-765B-40FE-97A1-F874552A9A6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Q9" i="9"/>
  <c r="N9" i="9"/>
  <c r="J9" i="9"/>
  <c r="F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<sst xmlns="http://schemas.openxmlformats.org/spreadsheetml/2006/main" count="634" uniqueCount="169">
  <si>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</si>
  <si>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</si>
  <si>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</si>
  <si>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</si>
  <si>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</si>
  <si>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</si>
  <si>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</si>
  <si>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</si>
  <si>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</si>
  <si>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</si>
  <si>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</si>
  <si>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</si>
  <si>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</si>
  <si>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</si>
  <si>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</si>
  <si>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</si>
  <si>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</si>
  <si>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</si>
  <si>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</si>
  <si>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</si>
  <si>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</si>
  <si>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</si>
  <si>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</si>
  <si>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</si>
  <si>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</si>
  <si>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</si>
  <si>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</si>
  <si>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</si>
  <si>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</si>
  <si>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</si>
  <si>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</si>
  <si>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</si>
  <si>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</si>
  <si>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</si>
  <si>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</si>
  <si>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</si>
  <si>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</si>
  <si>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</si>
  <si>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</si>
  <si>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</si>
  <si>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VERVESTACKS - the open USE platform · Powered by data · Shaped by vision · Guided by intuition · Fueled by passion</t>
  </si>
  <si>
    <t>ts_annual</t>
  </si>
  <si>
    <t>commodity</t>
  </si>
  <si>
    <t>timeslice</t>
  </si>
  <si>
    <t>com_fr</t>
  </si>
  <si>
    <t>process</t>
  </si>
  <si>
    <t>elc_spv_POL_001</t>
  </si>
  <si>
    <t>AllSaAllH</t>
  </si>
  <si>
    <t>IMPNRGZ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</si>
  <si>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</si>
  <si>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</si>
  <si>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</si>
  <si>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</si>
  <si>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</si>
  <si>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</si>
  <si>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</si>
  <si>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</si>
  <si>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</si>
  <si>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</si>
  <si>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</si>
  <si>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</si>
  <si>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</si>
  <si>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</si>
  <si>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</si>
  <si>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</si>
  <si>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</si>
  <si>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</si>
  <si>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</si>
  <si>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</si>
  <si>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</si>
  <si>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</si>
  <si>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</si>
  <si>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</si>
  <si>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</si>
  <si>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</si>
  <si>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</si>
  <si>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</si>
  <si>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</si>
  <si>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</si>
  <si>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</si>
  <si>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</si>
  <si>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</si>
  <si>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</si>
  <si>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</si>
  <si>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</si>
  <si>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</si>
  <si>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</si>
  <si>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</si>
  <si>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</si>
  <si>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</si>
  <si>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</si>
  <si>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</si>
  <si>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</si>
  <si>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</si>
  <si>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</si>
  <si>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</si>
  <si>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</si>
  <si>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</si>
  <si>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</si>
  <si>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</si>
  <si>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</si>
  <si>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</si>
  <si>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</si>
  <si>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</si>
  <si>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</si>
  <si>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</si>
  <si>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</si>
  <si>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</si>
  <si>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</si>
  <si>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</si>
  <si>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</si>
  <si>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</si>
  <si>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</si>
  <si>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</si>
  <si>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</si>
  <si>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</si>
  <si>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</si>
  <si>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</si>
  <si>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</si>
  <si>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</si>
  <si>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</si>
  <si>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</si>
  <si>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</si>
  <si>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</si>
  <si>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</si>
  <si>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</si>
  <si>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</si>
  <si>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</si>
  <si>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</si>
  <si>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</si>
  <si>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</si>
  <si>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</si>
  <si>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</si>
  <si>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</si>
  <si>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</si>
  <si>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</si>
  <si>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</si>
  <si>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</si>
  <si>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</si>
  <si>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</si>
  <si>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</si>
  <si>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</si>
  <si>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</si>
  <si>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</si>
  <si>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</si>
  <si>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</si>
  <si>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</si>
  <si>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</si>
  <si>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</si>
  <si>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</si>
  <si>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</si>
  <si>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</si>
  <si>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</si>
  <si>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</si>
  <si>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</si>
  <si>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</si>
  <si>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</si>
  <si>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</si>
  <si>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</si>
  <si>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</si>
  <si>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</si>
  <si>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N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</si>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</sst>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3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2" fontId="5" fillId="6" borderId="4" xfId="0" applyNumberFormat="1" applyFont="1" applyFill="1" applyBorder="1"/>
    <xf numFmtId="0" fontId="5" fillId="0" borderId="4" xfId="0" applyFont="1" applyBorder="1"/>
    <xf numFmtId="2" fontId="5" fillId="0" borderId="4" xfId="0" applyNumberFormat="1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5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4" fontId="5" fillId="6" borderId="4" xfId="0" applyNumberFormat="1" applyFont="1" applyFill="1" applyBorder="1" applyAlignment="1"/>
    <xf numFmtId="165" fontId="5" fillId="0" borderId="4" xfId="0" applyNumberFormat="1" applyFont="1" applyBorder="1" applyAlignment="1"/>
    <xf numFmtId="0" fontId="5" fillId="0" borderId="4" xfId="0" applyFont="1" applyBorder="1" applyAlignment="1"/>
    <xf numFmtId="164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BEADF2-44D3-DFB5-640A-FFD69094C1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41256EA-EE3D-14EB-7872-ABF1BA71CDD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1CEB765-1FB7-15CC-9F18-CCB009F6EA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0E0B4D-DD51-DC53-EB20-A62B03CF95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B0B47B3-5F1F-EF03-5808-FF3FF4E3FB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CD9EA1-6B17-687F-DBCF-F533D2560A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A0C7B7-6233-C9E0-D363-0E19A93310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E5357A-1717-6A81-6667-01FF5F83E65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4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/>
    <row r="10" spans="1:8" ht="15.75" thickBot="1" x14ac:dyDescent="0.6">
      <c r="A10" t="str">
        <f>IFERROR([1]Veda!D5,"ts_annual")</f>
        <v>ts_annual</v>
      </c>
      <c r="B10" s="5"/>
      <c r="C10" s="7" t="s">
        <v>159</v>
      </c>
      <c r="D10" s="7" t="s">
        <v>41</v>
      </c>
    </row>
    <row r="11" spans="1:8" x14ac:dyDescent="0.45">
      <c r="B11" s="5"/>
      <c r="C11" s="8" t="s">
        <v>160</v>
      </c>
      <c r="D11" s="8" t="s">
        <v>47</v>
      </c>
    </row>
    <row r="12" spans="1:8" x14ac:dyDescent="0.45">
      <c r="B12" s="5"/>
      <c r="C12" s="14" t="s">
        <v>161</v>
      </c>
      <c r="D12" s="10" t="s">
        <v>47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Not Required!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AllSaAllH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48B36-36FC-4BA9-A784-3A179F483FA4}">
  <dimension ref="A1:H11"/>
  <sheetViews>
    <sheetView workbookViewId="0">
      <selection sqref="A1:H1"/>
    </sheetView>
  </sheetViews>
  <sheetFormatPr defaultRowHeight="14.25" x14ac:dyDescent="0.45"/>
  <cols>
    <col min="3" max="7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41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37</v>
      </c>
      <c r="G11" s="8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C68EE-E0C6-4238-90E4-E00871548AFA}">
  <dimension ref="A1:O3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42</v>
      </c>
      <c r="C10" s="7" t="s">
        <v>43</v>
      </c>
      <c r="D10" s="7" t="s">
        <v>44</v>
      </c>
      <c r="E10" s="7" t="s">
        <v>45</v>
      </c>
      <c r="G10" s="7" t="s">
        <v>42</v>
      </c>
      <c r="H10" s="7" t="s">
        <v>43</v>
      </c>
      <c r="I10" s="7" t="s">
        <v>44</v>
      </c>
      <c r="J10" s="7" t="s">
        <v>45</v>
      </c>
      <c r="L10" s="7" t="s">
        <v>42</v>
      </c>
      <c r="M10" s="7" t="s">
        <v>43</v>
      </c>
      <c r="N10" s="7" t="s">
        <v>44</v>
      </c>
      <c r="O10" s="7" t="s">
        <v>45</v>
      </c>
    </row>
    <row r="11" spans="1:15" x14ac:dyDescent="0.45">
      <c r="B11" s="8" t="s">
        <v>46</v>
      </c>
      <c r="C11" s="8" t="s">
        <v>47</v>
      </c>
      <c r="D11" s="9">
        <v>1.0000000000000007</v>
      </c>
      <c r="E11" s="8" t="s">
        <v>48</v>
      </c>
      <c r="G11" s="8" t="s">
        <v>68</v>
      </c>
      <c r="H11" s="8" t="s">
        <v>47</v>
      </c>
      <c r="I11" s="9">
        <v>1.0000000000000018</v>
      </c>
      <c r="J11" s="8" t="s">
        <v>48</v>
      </c>
      <c r="L11" s="8" t="s">
        <v>88</v>
      </c>
      <c r="M11" s="8" t="s">
        <v>47</v>
      </c>
      <c r="N11" s="9">
        <v>1.000000000000004</v>
      </c>
      <c r="O11" s="8" t="s">
        <v>48</v>
      </c>
    </row>
    <row r="12" spans="1:15" x14ac:dyDescent="0.45">
      <c r="B12" s="10" t="s">
        <v>49</v>
      </c>
      <c r="C12" s="10" t="s">
        <v>47</v>
      </c>
      <c r="D12" s="11">
        <v>0.99999999999999944</v>
      </c>
      <c r="E12" s="10" t="s">
        <v>48</v>
      </c>
      <c r="G12" s="10" t="s">
        <v>69</v>
      </c>
      <c r="H12" s="10" t="s">
        <v>47</v>
      </c>
      <c r="I12" s="11">
        <v>1.0000000000000009</v>
      </c>
      <c r="J12" s="10" t="s">
        <v>48</v>
      </c>
      <c r="L12" s="10" t="s">
        <v>89</v>
      </c>
      <c r="M12" s="10" t="s">
        <v>47</v>
      </c>
      <c r="N12" s="11">
        <v>1.0000000000000024</v>
      </c>
      <c r="O12" s="10" t="s">
        <v>48</v>
      </c>
    </row>
    <row r="13" spans="1:15" x14ac:dyDescent="0.45">
      <c r="B13" s="8" t="s">
        <v>50</v>
      </c>
      <c r="C13" s="8" t="s">
        <v>47</v>
      </c>
      <c r="D13" s="9">
        <v>0.99999999999999978</v>
      </c>
      <c r="E13" s="8" t="s">
        <v>48</v>
      </c>
      <c r="G13" s="8" t="s">
        <v>70</v>
      </c>
      <c r="H13" s="8" t="s">
        <v>47</v>
      </c>
      <c r="I13" s="9">
        <v>0.99999999999999734</v>
      </c>
      <c r="J13" s="8" t="s">
        <v>48</v>
      </c>
      <c r="L13" s="8" t="s">
        <v>90</v>
      </c>
      <c r="M13" s="8" t="s">
        <v>47</v>
      </c>
      <c r="N13" s="9">
        <v>1.0000000000000007</v>
      </c>
      <c r="O13" s="8" t="s">
        <v>48</v>
      </c>
    </row>
    <row r="14" spans="1:15" x14ac:dyDescent="0.45">
      <c r="B14" s="10" t="s">
        <v>51</v>
      </c>
      <c r="C14" s="10" t="s">
        <v>47</v>
      </c>
      <c r="D14" s="11">
        <v>1.0000000000000013</v>
      </c>
      <c r="E14" s="10" t="s">
        <v>48</v>
      </c>
      <c r="G14" s="10" t="s">
        <v>71</v>
      </c>
      <c r="H14" s="10" t="s">
        <v>47</v>
      </c>
      <c r="I14" s="11">
        <v>1</v>
      </c>
      <c r="J14" s="10" t="s">
        <v>48</v>
      </c>
      <c r="L14" s="10" t="s">
        <v>91</v>
      </c>
      <c r="M14" s="10" t="s">
        <v>47</v>
      </c>
      <c r="N14" s="11">
        <v>1.0000000000000007</v>
      </c>
      <c r="O14" s="10" t="s">
        <v>48</v>
      </c>
    </row>
    <row r="15" spans="1:15" x14ac:dyDescent="0.45">
      <c r="B15" s="8" t="s">
        <v>52</v>
      </c>
      <c r="C15" s="8" t="s">
        <v>47</v>
      </c>
      <c r="D15" s="9">
        <v>1.0000000000000007</v>
      </c>
      <c r="E15" s="8" t="s">
        <v>48</v>
      </c>
      <c r="G15" s="8" t="s">
        <v>72</v>
      </c>
      <c r="H15" s="8" t="s">
        <v>47</v>
      </c>
      <c r="I15" s="9">
        <v>1.0000000000000044</v>
      </c>
      <c r="J15" s="8" t="s">
        <v>48</v>
      </c>
      <c r="L15" s="8" t="s">
        <v>92</v>
      </c>
      <c r="M15" s="8" t="s">
        <v>47</v>
      </c>
      <c r="N15" s="9">
        <v>0.99999999999999944</v>
      </c>
      <c r="O15" s="8" t="s">
        <v>48</v>
      </c>
    </row>
    <row r="16" spans="1:15" x14ac:dyDescent="0.45">
      <c r="B16" s="10" t="s">
        <v>53</v>
      </c>
      <c r="C16" s="10" t="s">
        <v>47</v>
      </c>
      <c r="D16" s="11">
        <v>0.99999999999999944</v>
      </c>
      <c r="E16" s="10" t="s">
        <v>48</v>
      </c>
      <c r="G16" s="10" t="s">
        <v>73</v>
      </c>
      <c r="H16" s="10" t="s">
        <v>47</v>
      </c>
      <c r="I16" s="11">
        <v>1.0000000000000002</v>
      </c>
      <c r="J16" s="10" t="s">
        <v>48</v>
      </c>
      <c r="L16" s="10" t="s">
        <v>93</v>
      </c>
      <c r="M16" s="10" t="s">
        <v>47</v>
      </c>
      <c r="N16" s="11">
        <v>0.99999999999999811</v>
      </c>
      <c r="O16" s="10" t="s">
        <v>48</v>
      </c>
    </row>
    <row r="17" spans="2:15" x14ac:dyDescent="0.45">
      <c r="B17" s="8" t="s">
        <v>54</v>
      </c>
      <c r="C17" s="8" t="s">
        <v>47</v>
      </c>
      <c r="D17" s="9">
        <v>0.99999999999999745</v>
      </c>
      <c r="E17" s="8" t="s">
        <v>48</v>
      </c>
      <c r="G17" s="8" t="s">
        <v>74</v>
      </c>
      <c r="H17" s="8" t="s">
        <v>47</v>
      </c>
      <c r="I17" s="9">
        <v>1.0000000000000031</v>
      </c>
      <c r="J17" s="8" t="s">
        <v>48</v>
      </c>
      <c r="L17" s="8" t="s">
        <v>94</v>
      </c>
      <c r="M17" s="8" t="s">
        <v>47</v>
      </c>
      <c r="N17" s="9">
        <v>1.0000000000000016</v>
      </c>
      <c r="O17" s="8" t="s">
        <v>48</v>
      </c>
    </row>
    <row r="18" spans="2:15" x14ac:dyDescent="0.45">
      <c r="B18" s="10" t="s">
        <v>55</v>
      </c>
      <c r="C18" s="10" t="s">
        <v>47</v>
      </c>
      <c r="D18" s="11">
        <v>1.0000000000000009</v>
      </c>
      <c r="E18" s="10" t="s">
        <v>48</v>
      </c>
      <c r="G18" s="10" t="s">
        <v>75</v>
      </c>
      <c r="H18" s="10" t="s">
        <v>47</v>
      </c>
      <c r="I18" s="11">
        <v>0.999999999999999</v>
      </c>
      <c r="J18" s="10" t="s">
        <v>48</v>
      </c>
      <c r="L18" s="10" t="s">
        <v>95</v>
      </c>
      <c r="M18" s="10" t="s">
        <v>47</v>
      </c>
      <c r="N18" s="11">
        <v>1</v>
      </c>
      <c r="O18" s="10" t="s">
        <v>48</v>
      </c>
    </row>
    <row r="19" spans="2:15" x14ac:dyDescent="0.45">
      <c r="B19" s="8" t="s">
        <v>56</v>
      </c>
      <c r="C19" s="8" t="s">
        <v>47</v>
      </c>
      <c r="D19" s="9">
        <v>0.99999999999999734</v>
      </c>
      <c r="E19" s="8" t="s">
        <v>48</v>
      </c>
      <c r="G19" s="8" t="s">
        <v>76</v>
      </c>
      <c r="H19" s="8" t="s">
        <v>47</v>
      </c>
      <c r="I19" s="9">
        <v>1.0000000000000024</v>
      </c>
      <c r="J19" s="8" t="s">
        <v>48</v>
      </c>
      <c r="L19" s="8" t="s">
        <v>96</v>
      </c>
      <c r="M19" s="8" t="s">
        <v>47</v>
      </c>
      <c r="N19" s="9">
        <v>1.0000000000000033</v>
      </c>
      <c r="O19" s="8" t="s">
        <v>48</v>
      </c>
    </row>
    <row r="20" spans="2:15" x14ac:dyDescent="0.45">
      <c r="B20" s="10" t="s">
        <v>57</v>
      </c>
      <c r="C20" s="10" t="s">
        <v>47</v>
      </c>
      <c r="D20" s="11">
        <v>0.99999999999999911</v>
      </c>
      <c r="E20" s="10" t="s">
        <v>48</v>
      </c>
      <c r="G20" s="10" t="s">
        <v>77</v>
      </c>
      <c r="H20" s="10" t="s">
        <v>47</v>
      </c>
      <c r="I20" s="11">
        <v>1.0000000000000016</v>
      </c>
      <c r="J20" s="10" t="s">
        <v>48</v>
      </c>
      <c r="L20" s="10" t="s">
        <v>97</v>
      </c>
      <c r="M20" s="10" t="s">
        <v>47</v>
      </c>
      <c r="N20" s="11">
        <v>1.0000000000000004</v>
      </c>
      <c r="O20" s="10" t="s">
        <v>48</v>
      </c>
    </row>
    <row r="21" spans="2:15" x14ac:dyDescent="0.45">
      <c r="B21" s="8" t="s">
        <v>58</v>
      </c>
      <c r="C21" s="8" t="s">
        <v>47</v>
      </c>
      <c r="D21" s="9">
        <v>0.99999999999999789</v>
      </c>
      <c r="E21" s="8" t="s">
        <v>48</v>
      </c>
      <c r="G21" s="8" t="s">
        <v>78</v>
      </c>
      <c r="H21" s="8" t="s">
        <v>47</v>
      </c>
      <c r="I21" s="9">
        <v>0.99999999999999878</v>
      </c>
      <c r="J21" s="8" t="s">
        <v>48</v>
      </c>
    </row>
    <row r="22" spans="2:15" x14ac:dyDescent="0.45">
      <c r="B22" s="10" t="s">
        <v>59</v>
      </c>
      <c r="C22" s="10" t="s">
        <v>47</v>
      </c>
      <c r="D22" s="11">
        <v>1.0000000000000013</v>
      </c>
      <c r="E22" s="10" t="s">
        <v>48</v>
      </c>
      <c r="G22" s="10" t="s">
        <v>79</v>
      </c>
      <c r="H22" s="10" t="s">
        <v>47</v>
      </c>
      <c r="I22" s="11">
        <v>0.99999999999999944</v>
      </c>
      <c r="J22" s="10" t="s">
        <v>48</v>
      </c>
    </row>
    <row r="23" spans="2:15" x14ac:dyDescent="0.45">
      <c r="B23" s="8" t="s">
        <v>60</v>
      </c>
      <c r="C23" s="8" t="s">
        <v>47</v>
      </c>
      <c r="D23" s="9">
        <v>1.0000000000000007</v>
      </c>
      <c r="E23" s="8" t="s">
        <v>48</v>
      </c>
      <c r="G23" s="8" t="s">
        <v>80</v>
      </c>
      <c r="H23" s="8" t="s">
        <v>47</v>
      </c>
      <c r="I23" s="9">
        <v>0.99999999999999889</v>
      </c>
      <c r="J23" s="8" t="s">
        <v>48</v>
      </c>
    </row>
    <row r="24" spans="2:15" x14ac:dyDescent="0.45">
      <c r="B24" s="10" t="s">
        <v>61</v>
      </c>
      <c r="C24" s="10" t="s">
        <v>47</v>
      </c>
      <c r="D24" s="11">
        <v>0.999999999999997</v>
      </c>
      <c r="E24" s="10" t="s">
        <v>48</v>
      </c>
      <c r="G24" s="10" t="s">
        <v>81</v>
      </c>
      <c r="H24" s="10" t="s">
        <v>47</v>
      </c>
      <c r="I24" s="11">
        <v>1.0000000000000029</v>
      </c>
      <c r="J24" s="10" t="s">
        <v>48</v>
      </c>
    </row>
    <row r="25" spans="2:15" x14ac:dyDescent="0.45">
      <c r="B25" s="8" t="s">
        <v>62</v>
      </c>
      <c r="C25" s="8" t="s">
        <v>47</v>
      </c>
      <c r="D25" s="9">
        <v>1.0000000000000002</v>
      </c>
      <c r="E25" s="8" t="s">
        <v>48</v>
      </c>
      <c r="G25" s="8" t="s">
        <v>82</v>
      </c>
      <c r="H25" s="8" t="s">
        <v>47</v>
      </c>
      <c r="I25" s="9">
        <v>1.0000000000000011</v>
      </c>
      <c r="J25" s="8" t="s">
        <v>48</v>
      </c>
    </row>
    <row r="26" spans="2:15" x14ac:dyDescent="0.45">
      <c r="B26" s="10" t="s">
        <v>63</v>
      </c>
      <c r="C26" s="10" t="s">
        <v>47</v>
      </c>
      <c r="D26" s="11">
        <v>1</v>
      </c>
      <c r="E26" s="10" t="s">
        <v>48</v>
      </c>
      <c r="G26" s="10" t="s">
        <v>83</v>
      </c>
      <c r="H26" s="10" t="s">
        <v>47</v>
      </c>
      <c r="I26" s="11">
        <v>0.99999999999999611</v>
      </c>
      <c r="J26" s="10" t="s">
        <v>48</v>
      </c>
    </row>
    <row r="27" spans="2:15" x14ac:dyDescent="0.45">
      <c r="B27" s="8" t="s">
        <v>64</v>
      </c>
      <c r="C27" s="8" t="s">
        <v>47</v>
      </c>
      <c r="D27" s="9">
        <v>1.0000000000000007</v>
      </c>
      <c r="E27" s="8" t="s">
        <v>48</v>
      </c>
      <c r="G27" s="8" t="s">
        <v>84</v>
      </c>
      <c r="H27" s="8" t="s">
        <v>47</v>
      </c>
      <c r="I27" s="9">
        <v>0.99999999999999789</v>
      </c>
      <c r="J27" s="8" t="s">
        <v>48</v>
      </c>
    </row>
    <row r="28" spans="2:15" x14ac:dyDescent="0.45">
      <c r="B28" s="10" t="s">
        <v>65</v>
      </c>
      <c r="C28" s="10" t="s">
        <v>47</v>
      </c>
      <c r="D28" s="11">
        <v>0.999999999999999</v>
      </c>
      <c r="E28" s="10" t="s">
        <v>48</v>
      </c>
      <c r="G28" s="10" t="s">
        <v>85</v>
      </c>
      <c r="H28" s="10" t="s">
        <v>47</v>
      </c>
      <c r="I28" s="11">
        <v>1.0000000000000002</v>
      </c>
      <c r="J28" s="10" t="s">
        <v>48</v>
      </c>
    </row>
    <row r="29" spans="2:15" x14ac:dyDescent="0.45">
      <c r="B29" s="8" t="s">
        <v>66</v>
      </c>
      <c r="C29" s="8" t="s">
        <v>47</v>
      </c>
      <c r="D29" s="9">
        <v>0.999999999999999</v>
      </c>
      <c r="E29" s="8" t="s">
        <v>48</v>
      </c>
      <c r="G29" s="8" t="s">
        <v>86</v>
      </c>
      <c r="H29" s="8" t="s">
        <v>47</v>
      </c>
      <c r="I29" s="9">
        <v>1.000000000000002</v>
      </c>
      <c r="J29" s="8" t="s">
        <v>48</v>
      </c>
    </row>
    <row r="30" spans="2:15" x14ac:dyDescent="0.45">
      <c r="B30" s="10" t="s">
        <v>67</v>
      </c>
      <c r="C30" s="10" t="s">
        <v>47</v>
      </c>
      <c r="D30" s="11">
        <v>0.99999999999999778</v>
      </c>
      <c r="E30" s="10" t="s">
        <v>48</v>
      </c>
      <c r="G30" s="10" t="s">
        <v>87</v>
      </c>
      <c r="H30" s="10" t="s">
        <v>47</v>
      </c>
      <c r="I30" s="11">
        <v>1.0000000000000016</v>
      </c>
      <c r="J30" s="10" t="s">
        <v>48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95ECF-F70B-4358-BAFF-5D9987BEAC71}">
  <dimension ref="A1:T60"/>
  <sheetViews>
    <sheetView workbookViewId="0">
      <selection sqref="A1:H1"/>
    </sheetView>
  </sheetViews>
  <sheetFormatPr defaultRowHeight="14.25" x14ac:dyDescent="0.45"/>
  <cols>
    <col min="2" max="2" width="20" bestFit="1" customWidth="1"/>
    <col min="3" max="3" width="10.59765625" bestFit="1" customWidth="1"/>
    <col min="4" max="4" width="10.59765625" customWidth="1"/>
    <col min="6" max="6" width="10.59765625" customWidth="1"/>
    <col min="7" max="7" width="10.59765625" bestFit="1" customWidth="1"/>
    <col min="8" max="8" width="10.59765625" customWidth="1"/>
    <col min="10" max="10" width="10.59765625" customWidth="1"/>
    <col min="11" max="11" width="10.59765625" bestFit="1" customWidth="1"/>
    <col min="12" max="12" width="10.59765625" customWidth="1"/>
    <col min="14" max="14" width="20" bestFit="1" customWidth="1"/>
    <col min="15" max="15" width="10.59765625" customWidth="1"/>
    <col min="17" max="17" width="20" bestFit="1" customWidth="1"/>
    <col min="18" max="18" width="10.59765625" bestFit="1" customWidth="1"/>
    <col min="19" max="19" width="12.6640625" bestFit="1" customWidth="1"/>
    <col min="20" max="20" width="10.59765625" customWidth="1"/>
  </cols>
  <sheetData>
    <row r="1" spans="1:20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20" ht="14.65" thickBot="1" x14ac:dyDescent="0.5">
      <c r="B9" s="6" t="str">
        <f>IF(A11="x","DeActivated","~TFM_DINS-TSL: attribute=FLO_EMIS; other_indexes=ACT")</f>
        <v>~TFM_DINS-TSL: attribute=FLO_EMIS; other_indexes=ACT</v>
      </c>
      <c r="F9" s="6" t="str">
        <f>IF(A11="x","DeActivated","~TFM_INS-TSL: attribute=FLO_SHAR; limtype=FX")</f>
        <v>~TFM_INS-TSL: attribute=FLO_SHAR; limtype=FX</v>
      </c>
      <c r="J9" s="6" t="str">
        <f>IF(A11="x","DeActivated","~TFM_INS-TSL: attribute=FLO_SHAR; limtype=FX")</f>
        <v>~TFM_INS-TSL: attribute=FLO_SHAR; limtype=FX</v>
      </c>
      <c r="N9" s="6" t="str">
        <f>IF(A11="x","DeActivated","~TFM_DINS-TSL: attribute=NCAP_PKCNT")</f>
        <v>~TFM_DINS-TSL: attribute=NCAP_PKCNT</v>
      </c>
      <c r="Q9" s="6" t="str">
        <f>IF(A11="x","DeActivated","~TFM_DINS-AT")</f>
        <v>~TFM_DINS-AT</v>
      </c>
    </row>
    <row r="10" spans="1:20" ht="15.75" thickBot="1" x14ac:dyDescent="0.6">
      <c r="B10" s="7" t="s">
        <v>45</v>
      </c>
      <c r="C10" s="7" t="s">
        <v>42</v>
      </c>
      <c r="D10" s="7" t="s">
        <v>47</v>
      </c>
      <c r="F10" s="7" t="s">
        <v>45</v>
      </c>
      <c r="G10" s="7" t="s">
        <v>42</v>
      </c>
      <c r="H10" s="7" t="s">
        <v>47</v>
      </c>
      <c r="J10" s="7" t="s">
        <v>45</v>
      </c>
      <c r="K10" s="7" t="s">
        <v>42</v>
      </c>
      <c r="L10" s="7" t="s">
        <v>47</v>
      </c>
      <c r="N10" s="7" t="s">
        <v>45</v>
      </c>
      <c r="O10" s="7" t="s">
        <v>47</v>
      </c>
      <c r="Q10" s="7" t="s">
        <v>45</v>
      </c>
      <c r="R10" s="7" t="s">
        <v>42</v>
      </c>
      <c r="S10" s="7" t="s">
        <v>153</v>
      </c>
      <c r="T10" s="7" t="s">
        <v>154</v>
      </c>
    </row>
    <row r="11" spans="1:20" x14ac:dyDescent="0.45">
      <c r="B11" s="8" t="s">
        <v>98</v>
      </c>
      <c r="C11" s="8" t="s">
        <v>31</v>
      </c>
      <c r="D11" s="12">
        <v>0.59167811303806361</v>
      </c>
      <c r="F11" s="8" t="s">
        <v>148</v>
      </c>
      <c r="G11" s="8" t="s">
        <v>149</v>
      </c>
      <c r="H11" s="12">
        <v>0.15059754415215146</v>
      </c>
      <c r="J11" s="8" t="s">
        <v>148</v>
      </c>
      <c r="K11" s="8" t="s">
        <v>152</v>
      </c>
      <c r="L11" s="12">
        <v>0.19260001900193646</v>
      </c>
      <c r="N11" s="8" t="s">
        <v>98</v>
      </c>
      <c r="O11" s="12">
        <v>0.13341062870936199</v>
      </c>
      <c r="Q11" s="8" t="s">
        <v>98</v>
      </c>
      <c r="R11" s="8" t="s">
        <v>155</v>
      </c>
      <c r="S11" s="8" t="s">
        <v>156</v>
      </c>
      <c r="T11" s="12">
        <v>0.13341062870936199</v>
      </c>
    </row>
    <row r="12" spans="1:20" x14ac:dyDescent="0.45">
      <c r="B12" s="10" t="s">
        <v>99</v>
      </c>
      <c r="C12" s="10" t="s">
        <v>31</v>
      </c>
      <c r="D12" s="13">
        <v>0.58221216558475308</v>
      </c>
      <c r="F12" s="10" t="s">
        <v>150</v>
      </c>
      <c r="G12" s="10" t="s">
        <v>149</v>
      </c>
      <c r="H12" s="13">
        <v>6.5541277396278406E-3</v>
      </c>
      <c r="J12" s="10" t="s">
        <v>150</v>
      </c>
      <c r="K12" s="10" t="s">
        <v>152</v>
      </c>
      <c r="L12" s="13">
        <v>1.8263654773970857E-2</v>
      </c>
      <c r="N12" s="10" t="s">
        <v>99</v>
      </c>
      <c r="O12" s="13">
        <v>0.1392710295340262</v>
      </c>
      <c r="Q12" s="10" t="s">
        <v>99</v>
      </c>
      <c r="R12" s="10" t="s">
        <v>155</v>
      </c>
      <c r="S12" s="10" t="s">
        <v>156</v>
      </c>
      <c r="T12" s="13">
        <v>0.1392710295340262</v>
      </c>
    </row>
    <row r="13" spans="1:20" x14ac:dyDescent="0.45">
      <c r="B13" s="8" t="s">
        <v>100</v>
      </c>
      <c r="C13" s="8" t="s">
        <v>31</v>
      </c>
      <c r="D13" s="12">
        <v>0.58502178783051673</v>
      </c>
      <c r="F13" s="8" t="s">
        <v>151</v>
      </c>
      <c r="G13" s="8" t="s">
        <v>149</v>
      </c>
      <c r="H13" s="12">
        <v>8.9437099423020899E-3</v>
      </c>
      <c r="J13" s="8" t="s">
        <v>151</v>
      </c>
      <c r="K13" s="8" t="s">
        <v>152</v>
      </c>
      <c r="L13" s="12">
        <v>2.0952925883228626E-2</v>
      </c>
      <c r="N13" s="8" t="s">
        <v>100</v>
      </c>
      <c r="O13" s="12">
        <v>0.13603951840009673</v>
      </c>
      <c r="Q13" s="8" t="s">
        <v>100</v>
      </c>
      <c r="R13" s="8" t="s">
        <v>155</v>
      </c>
      <c r="S13" s="8" t="s">
        <v>156</v>
      </c>
      <c r="T13" s="12">
        <v>0.13603951840009673</v>
      </c>
    </row>
    <row r="14" spans="1:20" x14ac:dyDescent="0.45">
      <c r="B14" s="10" t="s">
        <v>101</v>
      </c>
      <c r="C14" s="10" t="s">
        <v>31</v>
      </c>
      <c r="D14" s="13">
        <v>0.5990269419409523</v>
      </c>
      <c r="N14" s="10" t="s">
        <v>101</v>
      </c>
      <c r="O14" s="13">
        <v>0.13580342572274165</v>
      </c>
      <c r="Q14" s="10" t="s">
        <v>101</v>
      </c>
      <c r="R14" s="10" t="s">
        <v>155</v>
      </c>
      <c r="S14" s="10" t="s">
        <v>156</v>
      </c>
      <c r="T14" s="13">
        <v>0.13580342572274165</v>
      </c>
    </row>
    <row r="15" spans="1:20" x14ac:dyDescent="0.45">
      <c r="B15" s="8" t="s">
        <v>102</v>
      </c>
      <c r="C15" s="8" t="s">
        <v>31</v>
      </c>
      <c r="D15" s="12">
        <v>0.59550894267007881</v>
      </c>
      <c r="N15" s="8" t="s">
        <v>102</v>
      </c>
      <c r="O15" s="12">
        <v>0.137674658766474</v>
      </c>
      <c r="Q15" s="8" t="s">
        <v>102</v>
      </c>
      <c r="R15" s="8" t="s">
        <v>155</v>
      </c>
      <c r="S15" s="8" t="s">
        <v>156</v>
      </c>
      <c r="T15" s="12">
        <v>0.137674658766474</v>
      </c>
    </row>
    <row r="16" spans="1:20" x14ac:dyDescent="0.45">
      <c r="B16" s="10" t="s">
        <v>103</v>
      </c>
      <c r="C16" s="10" t="s">
        <v>31</v>
      </c>
      <c r="D16" s="13">
        <v>0.59541649862501878</v>
      </c>
      <c r="N16" s="10" t="s">
        <v>103</v>
      </c>
      <c r="O16" s="13">
        <v>0.14006273932820212</v>
      </c>
      <c r="Q16" s="10" t="s">
        <v>103</v>
      </c>
      <c r="R16" s="10" t="s">
        <v>155</v>
      </c>
      <c r="S16" s="10" t="s">
        <v>156</v>
      </c>
      <c r="T16" s="13">
        <v>0.14006273932820212</v>
      </c>
    </row>
    <row r="17" spans="2:20" x14ac:dyDescent="0.45">
      <c r="B17" s="8" t="s">
        <v>104</v>
      </c>
      <c r="C17" s="8" t="s">
        <v>31</v>
      </c>
      <c r="D17" s="12">
        <v>0.59476015953947925</v>
      </c>
      <c r="N17" s="8" t="s">
        <v>104</v>
      </c>
      <c r="O17" s="12">
        <v>0.14460447956988601</v>
      </c>
      <c r="Q17" s="8" t="s">
        <v>104</v>
      </c>
      <c r="R17" s="8" t="s">
        <v>155</v>
      </c>
      <c r="S17" s="8" t="s">
        <v>156</v>
      </c>
      <c r="T17" s="12">
        <v>0.14460447956988601</v>
      </c>
    </row>
    <row r="18" spans="2:20" x14ac:dyDescent="0.45">
      <c r="B18" s="10" t="s">
        <v>105</v>
      </c>
      <c r="C18" s="10" t="s">
        <v>31</v>
      </c>
      <c r="D18" s="13">
        <v>0.59517143927935345</v>
      </c>
      <c r="N18" s="10" t="s">
        <v>105</v>
      </c>
      <c r="O18" s="13">
        <v>0.14327432039235977</v>
      </c>
      <c r="Q18" s="10" t="s">
        <v>105</v>
      </c>
      <c r="R18" s="10" t="s">
        <v>155</v>
      </c>
      <c r="S18" s="10" t="s">
        <v>156</v>
      </c>
      <c r="T18" s="13">
        <v>0.14327432039235977</v>
      </c>
    </row>
    <row r="19" spans="2:20" x14ac:dyDescent="0.45">
      <c r="B19" s="8" t="s">
        <v>106</v>
      </c>
      <c r="C19" s="8" t="s">
        <v>31</v>
      </c>
      <c r="D19" s="12">
        <v>0.58950741919023664</v>
      </c>
      <c r="N19" s="8" t="s">
        <v>106</v>
      </c>
      <c r="O19" s="12">
        <v>0.1393929869129297</v>
      </c>
      <c r="Q19" s="8" t="s">
        <v>106</v>
      </c>
      <c r="R19" s="8" t="s">
        <v>155</v>
      </c>
      <c r="S19" s="8" t="s">
        <v>156</v>
      </c>
      <c r="T19" s="12">
        <v>0.1393929869129297</v>
      </c>
    </row>
    <row r="20" spans="2:20" x14ac:dyDescent="0.45">
      <c r="B20" s="10" t="s">
        <v>107</v>
      </c>
      <c r="C20" s="10" t="s">
        <v>31</v>
      </c>
      <c r="D20" s="13">
        <v>0.60286650296690136</v>
      </c>
      <c r="N20" s="10" t="s">
        <v>107</v>
      </c>
      <c r="O20" s="13">
        <v>0.13724239709632496</v>
      </c>
      <c r="Q20" s="10" t="s">
        <v>107</v>
      </c>
      <c r="R20" s="10" t="s">
        <v>155</v>
      </c>
      <c r="S20" s="10" t="s">
        <v>156</v>
      </c>
      <c r="T20" s="13">
        <v>0.13724239709632496</v>
      </c>
    </row>
    <row r="21" spans="2:20" x14ac:dyDescent="0.45">
      <c r="B21" s="8" t="s">
        <v>108</v>
      </c>
      <c r="C21" s="8" t="s">
        <v>31</v>
      </c>
      <c r="D21" s="12">
        <v>0.59518178168571312</v>
      </c>
      <c r="N21" s="8" t="s">
        <v>108</v>
      </c>
      <c r="O21" s="12">
        <v>0.13840372762832218</v>
      </c>
      <c r="Q21" s="8" t="s">
        <v>108</v>
      </c>
      <c r="R21" s="8" t="s">
        <v>155</v>
      </c>
      <c r="S21" s="8" t="s">
        <v>156</v>
      </c>
      <c r="T21" s="12">
        <v>0.13840372762832218</v>
      </c>
    </row>
    <row r="22" spans="2:20" x14ac:dyDescent="0.45">
      <c r="B22" s="10" t="s">
        <v>109</v>
      </c>
      <c r="C22" s="10" t="s">
        <v>31</v>
      </c>
      <c r="D22" s="13">
        <v>0.58532984831145907</v>
      </c>
      <c r="N22" s="10" t="s">
        <v>109</v>
      </c>
      <c r="O22" s="13">
        <v>0.14367039817113522</v>
      </c>
      <c r="Q22" s="10" t="s">
        <v>109</v>
      </c>
      <c r="R22" s="10" t="s">
        <v>155</v>
      </c>
      <c r="S22" s="10" t="s">
        <v>156</v>
      </c>
      <c r="T22" s="13">
        <v>0.14367039817113522</v>
      </c>
    </row>
    <row r="23" spans="2:20" x14ac:dyDescent="0.45">
      <c r="B23" s="8" t="s">
        <v>110</v>
      </c>
      <c r="C23" s="8" t="s">
        <v>31</v>
      </c>
      <c r="D23" s="12">
        <v>0.58441320105978878</v>
      </c>
      <c r="N23" s="8" t="s">
        <v>110</v>
      </c>
      <c r="O23" s="12">
        <v>0.14289351641691994</v>
      </c>
      <c r="Q23" s="8" t="s">
        <v>110</v>
      </c>
      <c r="R23" s="8" t="s">
        <v>155</v>
      </c>
      <c r="S23" s="8" t="s">
        <v>156</v>
      </c>
      <c r="T23" s="12">
        <v>0.14289351641691994</v>
      </c>
    </row>
    <row r="24" spans="2:20" x14ac:dyDescent="0.45">
      <c r="B24" s="10" t="s">
        <v>111</v>
      </c>
      <c r="C24" s="10" t="s">
        <v>31</v>
      </c>
      <c r="D24" s="13">
        <v>0.58124149344961229</v>
      </c>
      <c r="N24" s="10" t="s">
        <v>111</v>
      </c>
      <c r="O24" s="13">
        <v>0.14189458247950956</v>
      </c>
      <c r="Q24" s="10" t="s">
        <v>111</v>
      </c>
      <c r="R24" s="10" t="s">
        <v>155</v>
      </c>
      <c r="S24" s="10" t="s">
        <v>156</v>
      </c>
      <c r="T24" s="13">
        <v>0.14189458247950956</v>
      </c>
    </row>
    <row r="25" spans="2:20" x14ac:dyDescent="0.45">
      <c r="B25" s="8" t="s">
        <v>112</v>
      </c>
      <c r="C25" s="8" t="s">
        <v>31</v>
      </c>
      <c r="D25" s="12">
        <v>0.58193831110913941</v>
      </c>
      <c r="N25" s="8" t="s">
        <v>112</v>
      </c>
      <c r="O25" s="12">
        <v>0.13988924020578719</v>
      </c>
      <c r="Q25" s="8" t="s">
        <v>112</v>
      </c>
      <c r="R25" s="8" t="s">
        <v>155</v>
      </c>
      <c r="S25" s="8" t="s">
        <v>156</v>
      </c>
      <c r="T25" s="12">
        <v>0.13988924020578719</v>
      </c>
    </row>
    <row r="26" spans="2:20" x14ac:dyDescent="0.45">
      <c r="B26" s="10" t="s">
        <v>113</v>
      </c>
      <c r="C26" s="10" t="s">
        <v>31</v>
      </c>
      <c r="D26" s="13">
        <v>0.59000386090828527</v>
      </c>
      <c r="N26" s="10" t="s">
        <v>113</v>
      </c>
      <c r="O26" s="13">
        <v>0.13822148266246437</v>
      </c>
      <c r="Q26" s="10" t="s">
        <v>113</v>
      </c>
      <c r="R26" s="10" t="s">
        <v>155</v>
      </c>
      <c r="S26" s="10" t="s">
        <v>156</v>
      </c>
      <c r="T26" s="13">
        <v>0.13822148266246437</v>
      </c>
    </row>
    <row r="27" spans="2:20" x14ac:dyDescent="0.45">
      <c r="B27" s="8" t="s">
        <v>114</v>
      </c>
      <c r="C27" s="8" t="s">
        <v>31</v>
      </c>
      <c r="D27" s="12">
        <v>0.59598764368884483</v>
      </c>
      <c r="N27" s="8" t="s">
        <v>114</v>
      </c>
      <c r="O27" s="12">
        <v>0.1383250373962768</v>
      </c>
      <c r="Q27" s="8" t="s">
        <v>114</v>
      </c>
      <c r="R27" s="8" t="s">
        <v>155</v>
      </c>
      <c r="S27" s="8" t="s">
        <v>156</v>
      </c>
      <c r="T27" s="12">
        <v>0.1383250373962768</v>
      </c>
    </row>
    <row r="28" spans="2:20" x14ac:dyDescent="0.45">
      <c r="B28" s="10" t="s">
        <v>115</v>
      </c>
      <c r="C28" s="10" t="s">
        <v>31</v>
      </c>
      <c r="D28" s="13">
        <v>0.5936136977366312</v>
      </c>
      <c r="N28" s="10" t="s">
        <v>115</v>
      </c>
      <c r="O28" s="13">
        <v>0.13837151326385566</v>
      </c>
      <c r="Q28" s="10" t="s">
        <v>115</v>
      </c>
      <c r="R28" s="10" t="s">
        <v>155</v>
      </c>
      <c r="S28" s="10" t="s">
        <v>156</v>
      </c>
      <c r="T28" s="13">
        <v>0.13837151326385566</v>
      </c>
    </row>
    <row r="29" spans="2:20" x14ac:dyDescent="0.45">
      <c r="B29" s="8" t="s">
        <v>116</v>
      </c>
      <c r="C29" s="8" t="s">
        <v>31</v>
      </c>
      <c r="D29" s="12">
        <v>0.58819720473150328</v>
      </c>
      <c r="N29" s="8" t="s">
        <v>116</v>
      </c>
      <c r="O29" s="12">
        <v>0.13803689109006143</v>
      </c>
      <c r="Q29" s="8" t="s">
        <v>116</v>
      </c>
      <c r="R29" s="8" t="s">
        <v>155</v>
      </c>
      <c r="S29" s="8" t="s">
        <v>156</v>
      </c>
      <c r="T29" s="12">
        <v>0.13803689109006143</v>
      </c>
    </row>
    <row r="30" spans="2:20" x14ac:dyDescent="0.45">
      <c r="B30" s="10" t="s">
        <v>117</v>
      </c>
      <c r="C30" s="10" t="s">
        <v>31</v>
      </c>
      <c r="D30" s="13">
        <v>0.58897320007095166</v>
      </c>
      <c r="N30" s="10" t="s">
        <v>117</v>
      </c>
      <c r="O30" s="13">
        <v>0.13832247427630007</v>
      </c>
      <c r="Q30" s="10" t="s">
        <v>117</v>
      </c>
      <c r="R30" s="10" t="s">
        <v>155</v>
      </c>
      <c r="S30" s="10" t="s">
        <v>156</v>
      </c>
      <c r="T30" s="13">
        <v>0.13832247427630007</v>
      </c>
    </row>
    <row r="31" spans="2:20" x14ac:dyDescent="0.45">
      <c r="B31" s="8" t="s">
        <v>118</v>
      </c>
      <c r="C31" s="8" t="s">
        <v>31</v>
      </c>
      <c r="D31" s="12">
        <v>0.39858554487574327</v>
      </c>
      <c r="N31" s="8" t="s">
        <v>118</v>
      </c>
      <c r="O31" s="12">
        <v>0.29503941862601885</v>
      </c>
      <c r="Q31" s="8" t="s">
        <v>128</v>
      </c>
      <c r="R31" s="8" t="s">
        <v>155</v>
      </c>
      <c r="S31" s="8" t="s">
        <v>156</v>
      </c>
      <c r="T31" s="12">
        <v>0.29279791653826653</v>
      </c>
    </row>
    <row r="32" spans="2:20" x14ac:dyDescent="0.45">
      <c r="B32" s="10" t="s">
        <v>119</v>
      </c>
      <c r="C32" s="10" t="s">
        <v>31</v>
      </c>
      <c r="D32" s="13">
        <v>0.34905512722776916</v>
      </c>
      <c r="N32" s="10" t="s">
        <v>119</v>
      </c>
      <c r="O32" s="13">
        <v>0.47859411512724059</v>
      </c>
      <c r="Q32" s="10" t="s">
        <v>129</v>
      </c>
      <c r="R32" s="10" t="s">
        <v>155</v>
      </c>
      <c r="S32" s="10" t="s">
        <v>156</v>
      </c>
      <c r="T32" s="13">
        <v>0.27574627529542167</v>
      </c>
    </row>
    <row r="33" spans="2:20" x14ac:dyDescent="0.45">
      <c r="B33" s="8" t="s">
        <v>120</v>
      </c>
      <c r="C33" s="8" t="s">
        <v>31</v>
      </c>
      <c r="D33" s="12">
        <v>0.37060300029858861</v>
      </c>
      <c r="N33" s="8" t="s">
        <v>120</v>
      </c>
      <c r="O33" s="12">
        <v>0.39611973593706284</v>
      </c>
      <c r="Q33" s="8" t="s">
        <v>130</v>
      </c>
      <c r="R33" s="8" t="s">
        <v>155</v>
      </c>
      <c r="S33" s="8" t="s">
        <v>156</v>
      </c>
      <c r="T33" s="12">
        <v>0.29873864190533955</v>
      </c>
    </row>
    <row r="34" spans="2:20" x14ac:dyDescent="0.45">
      <c r="B34" s="10" t="s">
        <v>121</v>
      </c>
      <c r="C34" s="10" t="s">
        <v>31</v>
      </c>
      <c r="D34" s="13">
        <v>0.33599727143201796</v>
      </c>
      <c r="N34" s="10" t="s">
        <v>121</v>
      </c>
      <c r="O34" s="13">
        <v>0.51418941408779373</v>
      </c>
      <c r="Q34" s="10" t="s">
        <v>131</v>
      </c>
      <c r="R34" s="10" t="s">
        <v>155</v>
      </c>
      <c r="S34" s="10" t="s">
        <v>156</v>
      </c>
      <c r="T34" s="13">
        <v>0.31448867451013196</v>
      </c>
    </row>
    <row r="35" spans="2:20" x14ac:dyDescent="0.45">
      <c r="B35" s="8" t="s">
        <v>122</v>
      </c>
      <c r="C35" s="8" t="s">
        <v>31</v>
      </c>
      <c r="D35" s="12">
        <v>0.3434825200075351</v>
      </c>
      <c r="N35" s="8" t="s">
        <v>122</v>
      </c>
      <c r="O35" s="12">
        <v>0.50447045157143255</v>
      </c>
      <c r="Q35" s="8" t="s">
        <v>132</v>
      </c>
      <c r="R35" s="8" t="s">
        <v>155</v>
      </c>
      <c r="S35" s="8" t="s">
        <v>156</v>
      </c>
      <c r="T35" s="12">
        <v>0.31396820033467587</v>
      </c>
    </row>
    <row r="36" spans="2:20" x14ac:dyDescent="0.45">
      <c r="B36" s="10" t="s">
        <v>123</v>
      </c>
      <c r="C36" s="10" t="s">
        <v>31</v>
      </c>
      <c r="D36" s="13">
        <v>0.34586810849689431</v>
      </c>
      <c r="N36" s="10" t="s">
        <v>123</v>
      </c>
      <c r="O36" s="13">
        <v>0.47983498659955082</v>
      </c>
      <c r="Q36" s="10" t="s">
        <v>133</v>
      </c>
      <c r="R36" s="10" t="s">
        <v>155</v>
      </c>
      <c r="S36" s="10" t="s">
        <v>156</v>
      </c>
      <c r="T36" s="13">
        <v>0.31264013215209641</v>
      </c>
    </row>
    <row r="37" spans="2:20" x14ac:dyDescent="0.45">
      <c r="B37" s="8" t="s">
        <v>124</v>
      </c>
      <c r="C37" s="8" t="s">
        <v>31</v>
      </c>
      <c r="D37" s="12">
        <v>0.36638668966330012</v>
      </c>
      <c r="N37" s="8" t="s">
        <v>124</v>
      </c>
      <c r="O37" s="12">
        <v>0.37997411876840614</v>
      </c>
      <c r="Q37" s="8" t="s">
        <v>134</v>
      </c>
      <c r="R37" s="8" t="s">
        <v>155</v>
      </c>
      <c r="S37" s="8" t="s">
        <v>156</v>
      </c>
      <c r="T37" s="12">
        <v>0.31866920721971503</v>
      </c>
    </row>
    <row r="38" spans="2:20" x14ac:dyDescent="0.45">
      <c r="B38" s="10" t="s">
        <v>125</v>
      </c>
      <c r="C38" s="10" t="s">
        <v>31</v>
      </c>
      <c r="D38" s="13">
        <v>0.34258347956984236</v>
      </c>
      <c r="N38" s="10" t="s">
        <v>125</v>
      </c>
      <c r="O38" s="13">
        <v>0.50020958646910152</v>
      </c>
      <c r="Q38" s="10" t="s">
        <v>135</v>
      </c>
      <c r="R38" s="10" t="s">
        <v>155</v>
      </c>
      <c r="S38" s="10" t="s">
        <v>156</v>
      </c>
      <c r="T38" s="13">
        <v>0.31011886605005201</v>
      </c>
    </row>
    <row r="39" spans="2:20" x14ac:dyDescent="0.45">
      <c r="B39" s="8" t="s">
        <v>126</v>
      </c>
      <c r="C39" s="8" t="s">
        <v>31</v>
      </c>
      <c r="D39" s="12">
        <v>0.33598156964071324</v>
      </c>
      <c r="N39" s="8" t="s">
        <v>126</v>
      </c>
      <c r="O39" s="12">
        <v>0.50992979072123334</v>
      </c>
      <c r="Q39" s="8" t="s">
        <v>136</v>
      </c>
      <c r="R39" s="8" t="s">
        <v>155</v>
      </c>
      <c r="S39" s="8" t="s">
        <v>156</v>
      </c>
      <c r="T39" s="12">
        <v>0.33379271629480389</v>
      </c>
    </row>
    <row r="40" spans="2:20" x14ac:dyDescent="0.45">
      <c r="B40" s="10" t="s">
        <v>127</v>
      </c>
      <c r="C40" s="10" t="s">
        <v>31</v>
      </c>
      <c r="D40" s="13">
        <v>0.3551229626759046</v>
      </c>
      <c r="N40" s="10" t="s">
        <v>127</v>
      </c>
      <c r="O40" s="13">
        <v>0.46231116443987391</v>
      </c>
      <c r="Q40" s="10" t="s">
        <v>137</v>
      </c>
      <c r="R40" s="10" t="s">
        <v>155</v>
      </c>
      <c r="S40" s="10" t="s">
        <v>156</v>
      </c>
      <c r="T40" s="13">
        <v>0.36860947990803439</v>
      </c>
    </row>
    <row r="41" spans="2:20" x14ac:dyDescent="0.45">
      <c r="B41" s="8" t="s">
        <v>128</v>
      </c>
      <c r="C41" s="8" t="s">
        <v>31</v>
      </c>
      <c r="D41" s="12">
        <v>0.3948141777988895</v>
      </c>
      <c r="N41" s="8" t="s">
        <v>128</v>
      </c>
      <c r="O41" s="12">
        <v>0.29279791653826653</v>
      </c>
      <c r="Q41" s="8" t="s">
        <v>138</v>
      </c>
      <c r="R41" s="8" t="s">
        <v>155</v>
      </c>
      <c r="S41" s="8" t="s">
        <v>156</v>
      </c>
      <c r="T41" s="12">
        <v>0.26076395720204948</v>
      </c>
    </row>
    <row r="42" spans="2:20" x14ac:dyDescent="0.45">
      <c r="B42" s="10" t="s">
        <v>129</v>
      </c>
      <c r="C42" s="10" t="s">
        <v>31</v>
      </c>
      <c r="D42" s="13">
        <v>0.40092716338745893</v>
      </c>
      <c r="N42" s="10" t="s">
        <v>129</v>
      </c>
      <c r="O42" s="13">
        <v>0.27574627529542167</v>
      </c>
      <c r="Q42" s="10" t="s">
        <v>139</v>
      </c>
      <c r="R42" s="10" t="s">
        <v>155</v>
      </c>
      <c r="S42" s="10" t="s">
        <v>156</v>
      </c>
      <c r="T42" s="13">
        <v>0.30175559922246664</v>
      </c>
    </row>
    <row r="43" spans="2:20" x14ac:dyDescent="0.45">
      <c r="B43" s="8" t="s">
        <v>130</v>
      </c>
      <c r="C43" s="8" t="s">
        <v>31</v>
      </c>
      <c r="D43" s="12">
        <v>0.40059089170981543</v>
      </c>
      <c r="N43" s="8" t="s">
        <v>130</v>
      </c>
      <c r="O43" s="12">
        <v>0.29873864190533955</v>
      </c>
      <c r="Q43" s="8" t="s">
        <v>140</v>
      </c>
      <c r="R43" s="8" t="s">
        <v>155</v>
      </c>
      <c r="S43" s="8" t="s">
        <v>156</v>
      </c>
      <c r="T43" s="12">
        <v>0.29196521977945294</v>
      </c>
    </row>
    <row r="44" spans="2:20" x14ac:dyDescent="0.45">
      <c r="B44" s="10" t="s">
        <v>131</v>
      </c>
      <c r="C44" s="10" t="s">
        <v>31</v>
      </c>
      <c r="D44" s="13">
        <v>0.38934139779953175</v>
      </c>
      <c r="N44" s="10" t="s">
        <v>131</v>
      </c>
      <c r="O44" s="13">
        <v>0.31448999168423331</v>
      </c>
      <c r="Q44" s="10" t="s">
        <v>141</v>
      </c>
      <c r="R44" s="10" t="s">
        <v>155</v>
      </c>
      <c r="S44" s="10" t="s">
        <v>156</v>
      </c>
      <c r="T44" s="13">
        <v>0.30160239480629109</v>
      </c>
    </row>
    <row r="45" spans="2:20" x14ac:dyDescent="0.45">
      <c r="B45" s="8" t="s">
        <v>132</v>
      </c>
      <c r="C45" s="8" t="s">
        <v>31</v>
      </c>
      <c r="D45" s="12">
        <v>0.38190365420764205</v>
      </c>
      <c r="N45" s="8" t="s">
        <v>132</v>
      </c>
      <c r="O45" s="12">
        <v>0.31396820033467587</v>
      </c>
      <c r="Q45" s="8" t="s">
        <v>142</v>
      </c>
      <c r="R45" s="8" t="s">
        <v>155</v>
      </c>
      <c r="S45" s="8" t="s">
        <v>156</v>
      </c>
      <c r="T45" s="12">
        <v>0.12010847251018618</v>
      </c>
    </row>
    <row r="46" spans="2:20" x14ac:dyDescent="0.45">
      <c r="B46" s="10" t="s">
        <v>133</v>
      </c>
      <c r="C46" s="10" t="s">
        <v>31</v>
      </c>
      <c r="D46" s="13">
        <v>0.38265075210331728</v>
      </c>
      <c r="N46" s="10" t="s">
        <v>133</v>
      </c>
      <c r="O46" s="13">
        <v>0.31264013215209641</v>
      </c>
      <c r="Q46" s="10" t="s">
        <v>143</v>
      </c>
      <c r="R46" s="10" t="s">
        <v>155</v>
      </c>
      <c r="S46" s="10" t="s">
        <v>156</v>
      </c>
      <c r="T46" s="13">
        <v>0.2976931857290252</v>
      </c>
    </row>
    <row r="47" spans="2:20" x14ac:dyDescent="0.45">
      <c r="B47" s="8" t="s">
        <v>134</v>
      </c>
      <c r="C47" s="8" t="s">
        <v>31</v>
      </c>
      <c r="D47" s="12">
        <v>0.38751086736139961</v>
      </c>
      <c r="N47" s="8" t="s">
        <v>134</v>
      </c>
      <c r="O47" s="12">
        <v>0.31866920721971503</v>
      </c>
      <c r="Q47" s="8" t="s">
        <v>144</v>
      </c>
      <c r="R47" s="8" t="s">
        <v>155</v>
      </c>
      <c r="S47" s="8" t="s">
        <v>156</v>
      </c>
      <c r="T47" s="12">
        <v>0.22321530523837257</v>
      </c>
    </row>
    <row r="48" spans="2:20" x14ac:dyDescent="0.45">
      <c r="B48" s="10" t="s">
        <v>135</v>
      </c>
      <c r="C48" s="10" t="s">
        <v>31</v>
      </c>
      <c r="D48" s="13">
        <v>0.39230735260274019</v>
      </c>
      <c r="N48" s="10" t="s">
        <v>135</v>
      </c>
      <c r="O48" s="13">
        <v>0.31011886605005201</v>
      </c>
      <c r="Q48" s="10" t="s">
        <v>145</v>
      </c>
      <c r="R48" s="10" t="s">
        <v>155</v>
      </c>
      <c r="S48" s="10" t="s">
        <v>156</v>
      </c>
      <c r="T48" s="13">
        <v>0.23850800093702712</v>
      </c>
    </row>
    <row r="49" spans="2:20" x14ac:dyDescent="0.45">
      <c r="B49" s="8" t="s">
        <v>136</v>
      </c>
      <c r="C49" s="8" t="s">
        <v>31</v>
      </c>
      <c r="D49" s="12">
        <v>0.38854546719524696</v>
      </c>
      <c r="N49" s="8" t="s">
        <v>136</v>
      </c>
      <c r="O49" s="12">
        <v>0.33379271629480389</v>
      </c>
      <c r="Q49" s="8" t="s">
        <v>146</v>
      </c>
      <c r="R49" s="8" t="s">
        <v>155</v>
      </c>
      <c r="S49" s="8" t="s">
        <v>156</v>
      </c>
      <c r="T49" s="12">
        <v>0.24944956562240891</v>
      </c>
    </row>
    <row r="50" spans="2:20" x14ac:dyDescent="0.45">
      <c r="B50" s="10" t="s">
        <v>137</v>
      </c>
      <c r="C50" s="10" t="s">
        <v>31</v>
      </c>
      <c r="D50" s="13">
        <v>0.36045298220513045</v>
      </c>
      <c r="N50" s="10" t="s">
        <v>137</v>
      </c>
      <c r="O50" s="13">
        <v>0.36860947990803439</v>
      </c>
      <c r="Q50" s="10" t="s">
        <v>147</v>
      </c>
      <c r="R50" s="10" t="s">
        <v>155</v>
      </c>
      <c r="S50" s="10" t="s">
        <v>156</v>
      </c>
      <c r="T50" s="13">
        <v>0.26231416009841102</v>
      </c>
    </row>
    <row r="51" spans="2:20" x14ac:dyDescent="0.45">
      <c r="B51" s="8" t="s">
        <v>138</v>
      </c>
      <c r="C51" s="8" t="s">
        <v>31</v>
      </c>
      <c r="D51" s="12">
        <v>0.4157734344943152</v>
      </c>
      <c r="N51" s="8" t="s">
        <v>138</v>
      </c>
      <c r="O51" s="12">
        <v>0.26076395720204948</v>
      </c>
      <c r="Q51" s="8" t="s">
        <v>118</v>
      </c>
      <c r="R51" s="8" t="s">
        <v>155</v>
      </c>
      <c r="S51" s="8" t="s">
        <v>156</v>
      </c>
      <c r="T51" s="12">
        <v>0.29503941862601885</v>
      </c>
    </row>
    <row r="52" spans="2:20" x14ac:dyDescent="0.45">
      <c r="B52" s="10" t="s">
        <v>139</v>
      </c>
      <c r="C52" s="10" t="s">
        <v>31</v>
      </c>
      <c r="D52" s="13">
        <v>0.38987271677884583</v>
      </c>
      <c r="N52" s="10" t="s">
        <v>139</v>
      </c>
      <c r="O52" s="13">
        <v>0.30175559922246664</v>
      </c>
      <c r="Q52" s="10" t="s">
        <v>119</v>
      </c>
      <c r="R52" s="10" t="s">
        <v>155</v>
      </c>
      <c r="S52" s="10" t="s">
        <v>156</v>
      </c>
      <c r="T52" s="13">
        <v>0.47859411512724059</v>
      </c>
    </row>
    <row r="53" spans="2:20" x14ac:dyDescent="0.45">
      <c r="B53" s="8" t="s">
        <v>140</v>
      </c>
      <c r="C53" s="8" t="s">
        <v>31</v>
      </c>
      <c r="D53" s="12">
        <v>0.39616036078613315</v>
      </c>
      <c r="N53" s="8" t="s">
        <v>140</v>
      </c>
      <c r="O53" s="12">
        <v>0.29196521977945294</v>
      </c>
      <c r="Q53" s="8" t="s">
        <v>120</v>
      </c>
      <c r="R53" s="8" t="s">
        <v>155</v>
      </c>
      <c r="S53" s="8" t="s">
        <v>156</v>
      </c>
      <c r="T53" s="12">
        <v>0.39611973593706284</v>
      </c>
    </row>
    <row r="54" spans="2:20" x14ac:dyDescent="0.45">
      <c r="B54" s="10" t="s">
        <v>141</v>
      </c>
      <c r="C54" s="10" t="s">
        <v>31</v>
      </c>
      <c r="D54" s="13">
        <v>0.38541689644164395</v>
      </c>
      <c r="N54" s="10" t="s">
        <v>141</v>
      </c>
      <c r="O54" s="13">
        <v>0.30160239480629109</v>
      </c>
      <c r="Q54" s="10" t="s">
        <v>121</v>
      </c>
      <c r="R54" s="10" t="s">
        <v>155</v>
      </c>
      <c r="S54" s="10" t="s">
        <v>156</v>
      </c>
      <c r="T54" s="13">
        <v>0.51418941408779373</v>
      </c>
    </row>
    <row r="55" spans="2:20" x14ac:dyDescent="0.45">
      <c r="B55" s="8" t="s">
        <v>142</v>
      </c>
      <c r="C55" s="8" t="s">
        <v>31</v>
      </c>
      <c r="D55" s="12">
        <v>0.50299856151552569</v>
      </c>
      <c r="N55" s="8" t="s">
        <v>142</v>
      </c>
      <c r="O55" s="12">
        <v>0.12010847251018618</v>
      </c>
      <c r="Q55" s="8" t="s">
        <v>122</v>
      </c>
      <c r="R55" s="8" t="s">
        <v>155</v>
      </c>
      <c r="S55" s="8" t="s">
        <v>156</v>
      </c>
      <c r="T55" s="12">
        <v>0.50447045157143255</v>
      </c>
    </row>
    <row r="56" spans="2:20" x14ac:dyDescent="0.45">
      <c r="B56" s="10" t="s">
        <v>143</v>
      </c>
      <c r="C56" s="10" t="s">
        <v>31</v>
      </c>
      <c r="D56" s="13">
        <v>0.42805790695245488</v>
      </c>
      <c r="N56" s="10" t="s">
        <v>143</v>
      </c>
      <c r="O56" s="13">
        <v>0.2976931857290252</v>
      </c>
      <c r="Q56" s="10" t="s">
        <v>123</v>
      </c>
      <c r="R56" s="10" t="s">
        <v>155</v>
      </c>
      <c r="S56" s="10" t="s">
        <v>156</v>
      </c>
      <c r="T56" s="13">
        <v>0.47983498659955082</v>
      </c>
    </row>
    <row r="57" spans="2:20" x14ac:dyDescent="0.45">
      <c r="B57" s="8" t="s">
        <v>144</v>
      </c>
      <c r="C57" s="8" t="s">
        <v>31</v>
      </c>
      <c r="D57" s="12">
        <v>0.42600984501413708</v>
      </c>
      <c r="N57" s="8" t="s">
        <v>144</v>
      </c>
      <c r="O57" s="12">
        <v>0.22321530523837257</v>
      </c>
      <c r="Q57" s="8" t="s">
        <v>124</v>
      </c>
      <c r="R57" s="8" t="s">
        <v>155</v>
      </c>
      <c r="S57" s="8" t="s">
        <v>156</v>
      </c>
      <c r="T57" s="12">
        <v>0.37997411876840614</v>
      </c>
    </row>
    <row r="58" spans="2:20" x14ac:dyDescent="0.45">
      <c r="B58" s="10" t="s">
        <v>145</v>
      </c>
      <c r="C58" s="10" t="s">
        <v>31</v>
      </c>
      <c r="D58" s="13">
        <v>0.41966639271514722</v>
      </c>
      <c r="N58" s="10" t="s">
        <v>145</v>
      </c>
      <c r="O58" s="13">
        <v>0.23850800093702712</v>
      </c>
      <c r="Q58" s="10" t="s">
        <v>125</v>
      </c>
      <c r="R58" s="10" t="s">
        <v>155</v>
      </c>
      <c r="S58" s="10" t="s">
        <v>156</v>
      </c>
      <c r="T58" s="13">
        <v>0.50020958646910152</v>
      </c>
    </row>
    <row r="59" spans="2:20" x14ac:dyDescent="0.45">
      <c r="B59" s="8" t="s">
        <v>146</v>
      </c>
      <c r="C59" s="8" t="s">
        <v>31</v>
      </c>
      <c r="D59" s="12">
        <v>0.41335737007078566</v>
      </c>
      <c r="N59" s="8" t="s">
        <v>146</v>
      </c>
      <c r="O59" s="12">
        <v>0.24944956562240891</v>
      </c>
      <c r="Q59" s="8" t="s">
        <v>126</v>
      </c>
      <c r="R59" s="8" t="s">
        <v>155</v>
      </c>
      <c r="S59" s="8" t="s">
        <v>156</v>
      </c>
      <c r="T59" s="12">
        <v>0.50992979072123334</v>
      </c>
    </row>
    <row r="60" spans="2:20" x14ac:dyDescent="0.45">
      <c r="B60" s="10" t="s">
        <v>147</v>
      </c>
      <c r="C60" s="10" t="s">
        <v>31</v>
      </c>
      <c r="D60" s="13">
        <v>0.41957414598188714</v>
      </c>
      <c r="N60" s="10" t="s">
        <v>147</v>
      </c>
      <c r="O60" s="13">
        <v>0.26231416009841102</v>
      </c>
      <c r="Q60" s="10" t="s">
        <v>127</v>
      </c>
      <c r="R60" s="10" t="s">
        <v>155</v>
      </c>
      <c r="S60" s="10" t="s">
        <v>156</v>
      </c>
      <c r="T60" s="13">
        <v>0.46231116443987391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B6707-544E-4A90-A34D-3E5D378F495C}">
  <dimension ref="A1:H11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157</v>
      </c>
      <c r="C10" s="7" t="s">
        <v>44</v>
      </c>
      <c r="D10" s="7" t="s">
        <v>43</v>
      </c>
      <c r="E10" s="7" t="s">
        <v>42</v>
      </c>
    </row>
    <row r="11" spans="1:8" x14ac:dyDescent="0.45">
      <c r="B11" s="9">
        <v>1</v>
      </c>
      <c r="C11" s="9">
        <v>1.0000000000000002</v>
      </c>
      <c r="D11" s="8" t="s">
        <v>47</v>
      </c>
      <c r="E11" s="8" t="s">
        <v>158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8F73A-4592-4591-B195-9033D370441D}">
  <dimension ref="A1:H12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42</v>
      </c>
      <c r="C10" s="7" t="s">
        <v>43</v>
      </c>
      <c r="D10" s="7" t="s">
        <v>44</v>
      </c>
    </row>
    <row r="11" spans="1:8" x14ac:dyDescent="0.45">
      <c r="B11" s="8" t="s">
        <v>162</v>
      </c>
      <c r="C11" s="8" t="s">
        <v>47</v>
      </c>
      <c r="D11" s="9">
        <v>1</v>
      </c>
    </row>
    <row r="12" spans="1:8" x14ac:dyDescent="0.45">
      <c r="B12" s="10" t="s">
        <v>163</v>
      </c>
      <c r="C12" s="10" t="s">
        <v>47</v>
      </c>
      <c r="D12" s="11">
        <v>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8ED65-5D11-481F-9B7E-B41FB5841401}">
  <dimension ref="A1:H11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42</v>
      </c>
      <c r="C10" s="7" t="s">
        <v>43</v>
      </c>
      <c r="D10" s="7" t="s">
        <v>164</v>
      </c>
    </row>
    <row r="11" spans="1:8" x14ac:dyDescent="0.45">
      <c r="B11" s="8" t="s">
        <v>12</v>
      </c>
      <c r="C11" s="8" t="s">
        <v>47</v>
      </c>
      <c r="D11" s="12">
        <v>0.22677421853655755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8E426-2102-4C33-9E4E-3E64237873B5}">
  <dimension ref="A1:H39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5" t="s">
        <v>40</v>
      </c>
      <c r="B1" s="15"/>
      <c r="C1" s="15"/>
      <c r="D1" s="15"/>
      <c r="E1" s="15"/>
      <c r="F1" s="15"/>
      <c r="G1" s="15"/>
      <c r="H1" s="15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6" t="s">
        <v>165</v>
      </c>
      <c r="C10" s="16" t="s">
        <v>43</v>
      </c>
      <c r="D10" s="16" t="s">
        <v>166</v>
      </c>
      <c r="E10" s="16" t="s">
        <v>167</v>
      </c>
    </row>
    <row r="11" spans="1:8" x14ac:dyDescent="0.45">
      <c r="B11" s="17">
        <v>2020</v>
      </c>
      <c r="C11" s="18" t="s">
        <v>37</v>
      </c>
      <c r="D11" s="19">
        <v>0.18843333333333331</v>
      </c>
      <c r="E11" s="18" t="s">
        <v>168</v>
      </c>
    </row>
    <row r="12" spans="1:8" x14ac:dyDescent="0.45">
      <c r="B12" s="20">
        <v>2021</v>
      </c>
      <c r="C12" s="21" t="s">
        <v>37</v>
      </c>
      <c r="D12" s="22">
        <v>0.21559999999999999</v>
      </c>
      <c r="E12" s="21" t="s">
        <v>168</v>
      </c>
    </row>
    <row r="13" spans="1:8" x14ac:dyDescent="0.45">
      <c r="B13" s="17">
        <v>2022</v>
      </c>
      <c r="C13" s="18" t="s">
        <v>37</v>
      </c>
      <c r="D13" s="19">
        <v>0.18140833333333331</v>
      </c>
      <c r="E13" s="18" t="s">
        <v>168</v>
      </c>
    </row>
    <row r="14" spans="1:8" x14ac:dyDescent="0.45">
      <c r="B14" s="20">
        <v>2025</v>
      </c>
      <c r="C14" s="21" t="s">
        <v>37</v>
      </c>
      <c r="D14" s="22">
        <v>0.28278333333333333</v>
      </c>
      <c r="E14" s="21" t="s">
        <v>168</v>
      </c>
    </row>
    <row r="15" spans="1:8" x14ac:dyDescent="0.45">
      <c r="B15" s="17">
        <v>2026</v>
      </c>
      <c r="C15" s="18" t="s">
        <v>37</v>
      </c>
      <c r="D15" s="19">
        <v>0.304475</v>
      </c>
      <c r="E15" s="18" t="s">
        <v>168</v>
      </c>
    </row>
    <row r="16" spans="1:8" x14ac:dyDescent="0.45">
      <c r="B16" s="20">
        <v>2027</v>
      </c>
      <c r="C16" s="21" t="s">
        <v>37</v>
      </c>
      <c r="D16" s="22">
        <v>0.25275833333333331</v>
      </c>
      <c r="E16" s="21" t="s">
        <v>168</v>
      </c>
    </row>
    <row r="17" spans="2:5" x14ac:dyDescent="0.45">
      <c r="B17" s="17">
        <v>2028</v>
      </c>
      <c r="C17" s="18" t="s">
        <v>37</v>
      </c>
      <c r="D17" s="19">
        <v>0.25271666666666665</v>
      </c>
      <c r="E17" s="18" t="s">
        <v>168</v>
      </c>
    </row>
    <row r="18" spans="2:5" x14ac:dyDescent="0.45">
      <c r="B18" s="20">
        <v>2029</v>
      </c>
      <c r="C18" s="21" t="s">
        <v>37</v>
      </c>
      <c r="D18" s="22">
        <v>0.28345000000000004</v>
      </c>
      <c r="E18" s="21" t="s">
        <v>168</v>
      </c>
    </row>
    <row r="19" spans="2:5" x14ac:dyDescent="0.45">
      <c r="B19" s="17">
        <v>2030</v>
      </c>
      <c r="C19" s="18" t="s">
        <v>37</v>
      </c>
      <c r="D19" s="19">
        <v>0.27329166666666671</v>
      </c>
      <c r="E19" s="18" t="s">
        <v>168</v>
      </c>
    </row>
    <row r="20" spans="2:5" x14ac:dyDescent="0.45">
      <c r="B20" s="20">
        <v>2031</v>
      </c>
      <c r="C20" s="21" t="s">
        <v>37</v>
      </c>
      <c r="D20" s="22">
        <v>0.26399166666666668</v>
      </c>
      <c r="E20" s="21" t="s">
        <v>168</v>
      </c>
    </row>
    <row r="21" spans="2:5" x14ac:dyDescent="0.45">
      <c r="B21" s="17">
        <v>2032</v>
      </c>
      <c r="C21" s="18" t="s">
        <v>37</v>
      </c>
      <c r="D21" s="19">
        <v>0.27348333333333336</v>
      </c>
      <c r="E21" s="18" t="s">
        <v>168</v>
      </c>
    </row>
    <row r="22" spans="2:5" x14ac:dyDescent="0.45">
      <c r="B22" s="20">
        <v>2033</v>
      </c>
      <c r="C22" s="21" t="s">
        <v>37</v>
      </c>
      <c r="D22" s="22">
        <v>0.26017500000000005</v>
      </c>
      <c r="E22" s="21" t="s">
        <v>168</v>
      </c>
    </row>
    <row r="23" spans="2:5" x14ac:dyDescent="0.45">
      <c r="B23" s="17">
        <v>2034</v>
      </c>
      <c r="C23" s="18" t="s">
        <v>37</v>
      </c>
      <c r="D23" s="19">
        <v>0.26493333333333335</v>
      </c>
      <c r="E23" s="18" t="s">
        <v>168</v>
      </c>
    </row>
    <row r="24" spans="2:5" x14ac:dyDescent="0.45">
      <c r="B24" s="20">
        <v>2035</v>
      </c>
      <c r="C24" s="21" t="s">
        <v>37</v>
      </c>
      <c r="D24" s="22">
        <v>0.25725833333333337</v>
      </c>
      <c r="E24" s="21" t="s">
        <v>168</v>
      </c>
    </row>
    <row r="25" spans="2:5" x14ac:dyDescent="0.45">
      <c r="B25" s="17">
        <v>2036</v>
      </c>
      <c r="C25" s="18" t="s">
        <v>37</v>
      </c>
      <c r="D25" s="19">
        <v>0.30498333333333333</v>
      </c>
      <c r="E25" s="18" t="s">
        <v>168</v>
      </c>
    </row>
    <row r="26" spans="2:5" x14ac:dyDescent="0.45">
      <c r="B26" s="20">
        <v>2037</v>
      </c>
      <c r="C26" s="21" t="s">
        <v>37</v>
      </c>
      <c r="D26" s="22">
        <v>0.26475833333333337</v>
      </c>
      <c r="E26" s="21" t="s">
        <v>168</v>
      </c>
    </row>
    <row r="27" spans="2:5" x14ac:dyDescent="0.45">
      <c r="B27" s="17">
        <v>2038</v>
      </c>
      <c r="C27" s="18" t="s">
        <v>37</v>
      </c>
      <c r="D27" s="19">
        <v>0.28628333333333339</v>
      </c>
      <c r="E27" s="18" t="s">
        <v>168</v>
      </c>
    </row>
    <row r="28" spans="2:5" x14ac:dyDescent="0.45">
      <c r="B28" s="20">
        <v>2039</v>
      </c>
      <c r="C28" s="21" t="s">
        <v>37</v>
      </c>
      <c r="D28" s="22">
        <v>0.280775</v>
      </c>
      <c r="E28" s="21" t="s">
        <v>168</v>
      </c>
    </row>
    <row r="29" spans="2:5" x14ac:dyDescent="0.45">
      <c r="B29" s="17">
        <v>2040</v>
      </c>
      <c r="C29" s="18" t="s">
        <v>37</v>
      </c>
      <c r="D29" s="19">
        <v>0.27752500000000002</v>
      </c>
      <c r="E29" s="18" t="s">
        <v>168</v>
      </c>
    </row>
    <row r="30" spans="2:5" x14ac:dyDescent="0.45">
      <c r="B30" s="20">
        <v>2041</v>
      </c>
      <c r="C30" s="21" t="s">
        <v>37</v>
      </c>
      <c r="D30" s="22">
        <v>0.28198333333333331</v>
      </c>
      <c r="E30" s="21" t="s">
        <v>168</v>
      </c>
    </row>
    <row r="31" spans="2:5" x14ac:dyDescent="0.45">
      <c r="B31" s="17">
        <v>2042</v>
      </c>
      <c r="C31" s="18" t="s">
        <v>37</v>
      </c>
      <c r="D31" s="19">
        <v>0.26334166666666664</v>
      </c>
      <c r="E31" s="18" t="s">
        <v>168</v>
      </c>
    </row>
    <row r="32" spans="2:5" x14ac:dyDescent="0.45">
      <c r="B32" s="20">
        <v>2043</v>
      </c>
      <c r="C32" s="21" t="s">
        <v>37</v>
      </c>
      <c r="D32" s="22">
        <v>0.26837500000000003</v>
      </c>
      <c r="E32" s="21" t="s">
        <v>168</v>
      </c>
    </row>
    <row r="33" spans="2:5" x14ac:dyDescent="0.45">
      <c r="B33" s="17">
        <v>2044</v>
      </c>
      <c r="C33" s="18" t="s">
        <v>37</v>
      </c>
      <c r="D33" s="19">
        <v>0.24309166666666671</v>
      </c>
      <c r="E33" s="18" t="s">
        <v>168</v>
      </c>
    </row>
    <row r="34" spans="2:5" x14ac:dyDescent="0.45">
      <c r="B34" s="20">
        <v>2045</v>
      </c>
      <c r="C34" s="21" t="s">
        <v>37</v>
      </c>
      <c r="D34" s="22">
        <v>0.24636666666666665</v>
      </c>
      <c r="E34" s="21" t="s">
        <v>168</v>
      </c>
    </row>
    <row r="35" spans="2:5" x14ac:dyDescent="0.45">
      <c r="B35" s="17">
        <v>2046</v>
      </c>
      <c r="C35" s="18" t="s">
        <v>37</v>
      </c>
      <c r="D35" s="19">
        <v>0.27407500000000001</v>
      </c>
      <c r="E35" s="18" t="s">
        <v>168</v>
      </c>
    </row>
    <row r="36" spans="2:5" x14ac:dyDescent="0.45">
      <c r="B36" s="20">
        <v>2047</v>
      </c>
      <c r="C36" s="21" t="s">
        <v>37</v>
      </c>
      <c r="D36" s="22">
        <v>0.25349166666666667</v>
      </c>
      <c r="E36" s="21" t="s">
        <v>168</v>
      </c>
    </row>
    <row r="37" spans="2:5" x14ac:dyDescent="0.45">
      <c r="B37" s="17">
        <v>2048</v>
      </c>
      <c r="C37" s="18" t="s">
        <v>37</v>
      </c>
      <c r="D37" s="19">
        <v>0.26184166666666669</v>
      </c>
      <c r="E37" s="18" t="s">
        <v>168</v>
      </c>
    </row>
    <row r="38" spans="2:5" x14ac:dyDescent="0.45">
      <c r="B38" s="20">
        <v>2049</v>
      </c>
      <c r="C38" s="21" t="s">
        <v>37</v>
      </c>
      <c r="D38" s="22">
        <v>0.27237499999999998</v>
      </c>
      <c r="E38" s="21" t="s">
        <v>168</v>
      </c>
    </row>
    <row r="39" spans="2:5" x14ac:dyDescent="0.45">
      <c r="B39" s="17">
        <v>2050</v>
      </c>
      <c r="C39" s="18" t="s">
        <v>37</v>
      </c>
      <c r="D39" s="19">
        <v>0.26304166666666667</v>
      </c>
      <c r="E39" s="18" t="s">
        <v>168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2026-06-09T10:14:31Z</dcterms:modified>
</cp:coreProperties>
</file>