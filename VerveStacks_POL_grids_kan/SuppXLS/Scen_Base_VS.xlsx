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Veda\Veda\Veda_models\vervestacks_models\VerveStacks_POL_grids_kan\SuppXLS\"/>
    </mc:Choice>
  </mc:AlternateContent>
  <xr:revisionPtr revIDLastSave="0" documentId="8_{F2EE28B5-B516-4E8F-B579-75D59145DC78}" xr6:coauthVersionLast="47" xr6:coauthVersionMax="47" xr10:uidLastSave="{00000000-0000-0000-0000-000000000000}"/>
  <bookViews>
    <workbookView xWindow="-98" yWindow="-98" windowWidth="28996" windowHeight="17475" firstSheet="5" activeTab="5" xr2:uid="{00000000-000D-0000-FFFF-FFFF00000000}"/>
  </bookViews>
  <sheets>
    <sheet name="grids" sheetId="6" r:id="rId1"/>
    <sheet name="re_targets" sheetId="5" r:id="rId2"/>
    <sheet name="Veda" sheetId="1" r:id="rId3"/>
    <sheet name="buildrates" sheetId="4" r:id="rId4"/>
    <sheet name="historical_data_long" sheetId="3" r:id="rId5"/>
    <sheet name="vre agg cap"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<sst xmlns="http://schemas.openxmlformats.org/spreadsheetml/2006/main" count="7056" uniqueCount="1634">
  <si>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</si>
  <si>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</si>
  <si>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</si>
  <si>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</si>
  <si>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</si>
  <si>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</si>
  <si>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</si>
  <si>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</si>
  <si>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</si>
  <si>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</si>
  <si>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</si>
  <si>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</si>
  <si>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</si>
  <si>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</si>
  <si>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</si>
  <si>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</si>
  <si>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</si>
  <si>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</si>
  <si>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</si>
  <si>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</si>
  <si>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</si>
  <si>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</si>
  <si>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</si>
  <si>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</si>
  <si>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</si>
  <si>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</si>
  <si>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</si>
  <si>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</si>
  <si>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</si>
  <si>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</si>
  <si>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</si>
  <si>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</si>
  <si>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</si>
  <si>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</si>
  <si>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</si>
  <si>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</si>
  <si>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</si>
  <si>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</si>
  <si>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</si>
  <si>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</si>
  <si>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</si>
  <si>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</si>
  <si>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</si>
  <si>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</si>
  <si>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</si>
  <si>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</si>
  <si>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</si>
  <si>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</si>
  <si>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</si>
  <si>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</si>
  <si>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</si>
  <si>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</si>
  <si>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</si>
  <si>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</si>
  <si>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</si>
  <si>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</si>
  <si>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</si>
  <si>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</si>
  <si>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</si>
  <si>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</si>
  <si>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</si>
  <si>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</si>
  <si>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</si>
  <si>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</si>
  <si>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</si>
  <si>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</si>
  <si>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</si>
  <si>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</si>
  <si>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</si>
  <si>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</si>
  <si>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</si>
  <si>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</si>
  <si>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</si>
  <si>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</si>
  <si>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</si>
  <si>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</si>
  <si>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</si>
  <si>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</si>
  <si>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~UC_T: 2050</t>
  </si>
  <si>
    <t>base-year nuclear capacity</t>
  </si>
  <si>
    <t>\I: hydro</t>
  </si>
  <si>
    <t>UCE_min oil fleet utilization</t>
  </si>
  <si>
    <t>g[_]*,distr*</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</si>
  <si>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</si>
  <si>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</si>
  <si>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</si>
  <si>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</si>
  <si>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</si>
  <si>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</si>
  <si>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</si>
  <si>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</si>
  <si>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</si>
  <si>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</si>
  <si>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</si>
  <si>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</si>
  <si>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</si>
  <si>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</si>
  <si>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</si>
  <si>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</si>
  <si>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National Plan in the field of Energy and Climate by 2030</t>
  </si>
  <si>
    <t>Ministry of Climate and Environment</t>
  </si>
  <si>
    <t>https://www.gov.pl/web/climate/national-energy-and-climate-plan</t>
  </si>
  <si>
    <t xml:space="preserve">Poland is currently working on the update of the NECP. Initial version was sent to the European Commision on March 1, 2024. The updated draft of the NECP, including a new ambitious scenario and addtional attachments has been sent for public consultion on October 2024. The new scenario is the "With Additional Measures" or WAM scenario. </t>
  </si>
  <si>
    <t>Annex 1: 
p. 62, Table 3.8 "Gross electricity production (TWh)-WAM scenario"
p. 65, Table 3.9, "Net achievable power of electricity generation sources by technology (WAM scenario) MW"</t>
  </si>
  <si>
    <t>https://commission.europa.eu/document/download/5118b15e-d380-49ae-b8bb-41cc81a28e15_en?filename=PL_NECPupdate_Projekt_EN.pdf</t>
  </si>
  <si>
    <t>In March 2024, Poland updated its NECP document, with a plan to submit an updated draft NECP by 30 June 2024. Explicit 2030 targets for capacity are provided with fuel breakdowns, as well as the share of generation from renewables indicated as 51%. 
Other fossil includes fuel oil, as well as "high-methane and nitrogen-rich natural gas, mine drainage gas, associated petroleum gas." Hydro does not include pumped hydro.</t>
  </si>
  <si>
    <t>p. 20 (WEM Scenario)
Annex 1:
p. 79, Table 2.65 "Gross electricity production (TWh)"
p. 80, Table 2.66. "Net capacity of power generation sources by technology (reference scenario) [MW]"</t>
  </si>
  <si>
    <t>Coal</t>
  </si>
  <si>
    <t>Gas</t>
  </si>
  <si>
    <t>Hydro</t>
  </si>
  <si>
    <t>Nuclear</t>
  </si>
  <si>
    <t>Offshore Wind</t>
  </si>
  <si>
    <t>Onshore Wind</t>
  </si>
  <si>
    <t>Other Fossil</t>
  </si>
  <si>
    <t>Solar</t>
  </si>
  <si>
    <t>generation_twh</t>
  </si>
  <si>
    <t>share_of_generation_pct</t>
  </si>
  <si>
    <t>Official projections</t>
  </si>
  <si>
    <t>SCENARIO 3. FOR PRECONSULATION OF THE KPEIK/PEP2040 UPDATE Analysis for the electricity sector, taking into account the change in the political and economic situation after Russia's invasion of Ukraine</t>
  </si>
  <si>
    <t>The Ministry of Climate and Environment</t>
  </si>
  <si>
    <t>https://www.gov.pl/web/klimat/prekonsultacje-w-zkresie-aktualizacji-dokumentow-strategicznych-kpeikpep2040</t>
  </si>
  <si>
    <t xml:space="preserve">The government of Poland is undergoing the drafting process for the Polish Energy Policy 2040 (PEP2040) and NECP. A scenario analysis was conducted to inform this process, which would form the basis of updating national energy policies. Although the consultation process is not finished yet, we take the data from the scenario analysis as a proxy for its updated target. </t>
  </si>
  <si>
    <t>Installed capacity: p.17, Table 7
Generation: p.20, Table 9</t>
  </si>
  <si>
    <t>VERVESTACKS - the open USE platform · Powered by data · Shaped by vision · Guided by intuition · Fueled by passion</t>
  </si>
  <si>
    <t>BUILD RATE ASSUMPTIONS</t>
  </si>
  <si>
    <t>iso</t>
  </si>
  <si>
    <t>POL</t>
  </si>
  <si>
    <t>pasti</t>
  </si>
  <si>
    <t>ncap_cost</t>
  </si>
  <si>
    <t>efficiency</t>
  </si>
  <si>
    <t>g_PL1-400_POL-w86494356-400_POL</t>
  </si>
  <si>
    <t>g_PL10-400_POL-w32036484-400_POL</t>
  </si>
  <si>
    <t>g_PL10-400_POL-w32943179-400_POL</t>
  </si>
  <si>
    <t>g_PL11-220_POL-w39428977-220_POL</t>
  </si>
  <si>
    <t>g_PL13-400_POL-w46235456-400_POL</t>
  </si>
  <si>
    <t>g_PL14-220_POL-PL22-220_POL</t>
  </si>
  <si>
    <t>g_PL14-400_POL-PL13-400_POL</t>
  </si>
  <si>
    <t>g_PL15-400_POL-PL14-400_POL</t>
  </si>
  <si>
    <t>g_PL17-400_POL-w293489663-400_POL</t>
  </si>
  <si>
    <t>g_PL20-220_POL-w121656686-220_POL</t>
  </si>
  <si>
    <t>g_PL21-220_POL-w171992870-220_POL</t>
  </si>
  <si>
    <t>g_PL21-220_POL-w29115701-220_POL</t>
  </si>
  <si>
    <t>g_PL23-400_POL-PL17-400_POL</t>
  </si>
  <si>
    <t>g_PL24-220_POL-w25898810-220_POL</t>
  </si>
  <si>
    <t>g_PL24-220_POL-w99593626-220_POL</t>
  </si>
  <si>
    <t>g_PL25-220_POL-w254938713-220_POL</t>
  </si>
  <si>
    <t>g_PL25-400_POL-w254938713-400_POL</t>
  </si>
  <si>
    <t>g_PL26-400_POL-PL23-400_POL</t>
  </si>
  <si>
    <t>g_PL26-400_POL-w255973806-400_POL</t>
  </si>
  <si>
    <t>g_PL27-400_POL-PL26-400_POL</t>
  </si>
  <si>
    <t>g_PL28-400_POL-w99593626-400_POL</t>
  </si>
  <si>
    <t>g_PL29-400_POL-PL26-400_POL</t>
  </si>
  <si>
    <t>g_PL29-400_POL-PL27-400_POL</t>
  </si>
  <si>
    <t>g_PL31-400_POL-PL28-400_POL</t>
  </si>
  <si>
    <t>g_PL32-220_POL-PL33-220_POL</t>
  </si>
  <si>
    <t>g_PL33-220_POL-w189851841-220_POL</t>
  </si>
  <si>
    <t>g_PL34-400_POL-w79033485-400_POL</t>
  </si>
  <si>
    <t>g_PL35-220_POL-PL42-220_POL</t>
  </si>
  <si>
    <t>g_PL36-400_POL-PL41-400_POL</t>
  </si>
  <si>
    <t>g_PL38-400_POL-w154510504-400_POL</t>
  </si>
  <si>
    <t>g_PL39-220_POL-PL37-220_POL</t>
  </si>
  <si>
    <t>g_PL4-220_POL-PL8-220_POL</t>
  </si>
  <si>
    <t>g_PL40-220_POL-w111615226-220_POL</t>
  </si>
  <si>
    <t>g_PL40-400_POL-w111615226-400_POL</t>
  </si>
  <si>
    <t>g_PL41-400_POL-w241842600-400_POL</t>
  </si>
  <si>
    <t>g_PL42-220_POL-w241842600-220_POL</t>
  </si>
  <si>
    <t>g_PL43-220_POL-PL44-220_POL</t>
  </si>
  <si>
    <t>g_PL43-220_POL-w241842600-220_POL</t>
  </si>
  <si>
    <t>g_PL44-220_POL-w224727316-220_POL</t>
  </si>
  <si>
    <t>g_PL45-220_POL-PL43-220_POL</t>
  </si>
  <si>
    <t>g_PL45-220_POL-w66161634-220_POL</t>
  </si>
  <si>
    <t>g_PL46-220_POL-w179279860-220_POL</t>
  </si>
  <si>
    <t>g_PL46-220_POL-w336990960-220_POL</t>
  </si>
  <si>
    <t>g_PL47-220_POL-w199098050-220_POL</t>
  </si>
  <si>
    <t>g_PL48-220_POL-w191352746-220_POL</t>
  </si>
  <si>
    <t>g_PL49-220_POL-PL39-220_POL</t>
  </si>
  <si>
    <t>g_PL5-220_POL-PL4-220_POL</t>
  </si>
  <si>
    <t>g_PL5-220_POL-w40062974-220_POL</t>
  </si>
  <si>
    <t>g_PL51-400_POL-w241842600-400_POL</t>
  </si>
  <si>
    <t>g_PL51-400_POL-w40946784-400_POL</t>
  </si>
  <si>
    <t>g_PL52-400_POL-PL51-400_POL</t>
  </si>
  <si>
    <t>g_PL52-400_POL-w66161634-400_POL</t>
  </si>
  <si>
    <t>g_PL53-220_POL-w40946790-220_POL</t>
  </si>
  <si>
    <t>g_PL53-220_POL-w66051759-220_POL</t>
  </si>
  <si>
    <t>g_PL55-220_POL-PL56-220_POL</t>
  </si>
  <si>
    <t>g_PL55-220_POL-PL58-220_POL</t>
  </si>
  <si>
    <t>g_PL56-220_POL-PL57-220_POL</t>
  </si>
  <si>
    <t>g_PL57-220_POL-w133537926-220_POL</t>
  </si>
  <si>
    <t>g_PL58-220_POL-w183259405-220_POL</t>
  </si>
  <si>
    <t>g_PL59-220_POL-w139452056-220_POL</t>
  </si>
  <si>
    <t>g_PL61-220_POL-PL49-220_POL</t>
  </si>
  <si>
    <t>g_PL62-400_POL-w215282393-400_POL</t>
  </si>
  <si>
    <t>g_PL7-400_POL-w46092396-400_POL</t>
  </si>
  <si>
    <t>g_PL8-220_POL-w32943179-220_POL</t>
  </si>
  <si>
    <t>g_r18085709-400_POL-w86494356-400_POL</t>
  </si>
  <si>
    <t>g_r9399771-220_POL-PL50-220_POL</t>
  </si>
  <si>
    <t>g_r9399771-220_POL-w87667718-220_POL</t>
  </si>
  <si>
    <t>g_w101914781-220_POL-w101915790-220_POL</t>
  </si>
  <si>
    <t>g_w101982559-220_POL-w35366436-220_POL</t>
  </si>
  <si>
    <t>g_w102165724-220_POL-w35366436-220_POL</t>
  </si>
  <si>
    <t>g_w1022342082-220_POL-PL20-220_POL</t>
  </si>
  <si>
    <t>g_w1022342082-400_POL-w121656686-400_POL</t>
  </si>
  <si>
    <t>g_w1022342082-400_POL-w255973806-400_POL</t>
  </si>
  <si>
    <t>g_w111615226-220_POL-w158232924-220_POL</t>
  </si>
  <si>
    <t>g_w111615226-220_POL-w178756295-220_POL</t>
  </si>
  <si>
    <t>g_w111615226-220_POL-w180542657-220_POL</t>
  </si>
  <si>
    <t>g_w111615226-220_POL-w276291999-220_POL</t>
  </si>
  <si>
    <t>g_w111615226-400_POL-PL34-400_POL</t>
  </si>
  <si>
    <t>g_w112614319-400_POL-w101914781-400_POL</t>
  </si>
  <si>
    <t>g_w112614319-400_POL-w130644710-400_POL</t>
  </si>
  <si>
    <t>g_w112614319-400_POL-w46092396-400_POL</t>
  </si>
  <si>
    <t>g_w115801644-220_POL-w87667718-220_POL</t>
  </si>
  <si>
    <t>g_w121656686-220_POL-w101915790-220_POL</t>
  </si>
  <si>
    <t>g_w121656686-220_POL-w170259740-220_POL</t>
  </si>
  <si>
    <t>g_w121656686-400_POL-PL16-400_POL</t>
  </si>
  <si>
    <t>g_w121656686-400_POL-w101914781-400_POL</t>
  </si>
  <si>
    <t>g_w121656686-400_POL-w255972326-400_POL</t>
  </si>
  <si>
    <t>g_w130644710-220_POL-PL2-220_POL</t>
  </si>
  <si>
    <t>g_w130644710-220_POL-w534238983-220_POL</t>
  </si>
  <si>
    <t>g_w130644710-400_POL-w86494356-400_POL</t>
  </si>
  <si>
    <t>g_w131120723-220_POL-PL25-220_POL</t>
  </si>
  <si>
    <t>g_w133537926-220_POL-PL53-220_POL</t>
  </si>
  <si>
    <t>g_w133537926-220_POL-PL54-220_POL</t>
  </si>
  <si>
    <t>g_w133537926-220_POL-PL57-220_POL</t>
  </si>
  <si>
    <t>g_w133537926-220_POL-r9399771-220_POL</t>
  </si>
  <si>
    <t>g_w133537926-220_POL-w189501431-220_POL</t>
  </si>
  <si>
    <t>g_w133537926-400_POL-PL54-400_POL</t>
  </si>
  <si>
    <t>g_w133537926-400_POL-w189501431-400_POL</t>
  </si>
  <si>
    <t>g_w133537926-400_POL-w40946784-400_POL</t>
  </si>
  <si>
    <t>g_w135598292-220_POL-w133537926-220_POL</t>
  </si>
  <si>
    <t>g_w139452056-220_POL-PL59-220_POL</t>
  </si>
  <si>
    <t>g_w139452056-220_POL-w183945016-220_POL</t>
  </si>
  <si>
    <t>g_w139452056-220_POL-w184899160-220_POL</t>
  </si>
  <si>
    <t>g_w139452056-400_POL-PL59-400_POL</t>
  </si>
  <si>
    <t>g_w139452056-400_POL-w293489607-400_POL</t>
  </si>
  <si>
    <t>g_w143484238-220_POL-PL6-220_POL</t>
  </si>
  <si>
    <t>g_w143484238-220_POL-w72879943-220_POL</t>
  </si>
  <si>
    <t>g_w144646702-400_POL-w251239544-400_POL</t>
  </si>
  <si>
    <t>g_w144646702-400_POL-w658600169-400_POL</t>
  </si>
  <si>
    <t>g_w145037309-220_POL-w251239544-220_POL</t>
  </si>
  <si>
    <t>g_w148060965-400_POL-w194903381-400_POL</t>
  </si>
  <si>
    <t>g_w148197330-220_POL-w32036484-220_POL</t>
  </si>
  <si>
    <t>g_w153838553-220_POL-PL47-220_POL</t>
  </si>
  <si>
    <t>g_w153838553-220_POL-PL50-220_POL</t>
  </si>
  <si>
    <t>g_w154894455-400_POL-PL34-400_POL</t>
  </si>
  <si>
    <t>g_w154894455-400_POL-w180542657-400_POL</t>
  </si>
  <si>
    <t>g_w158232924-220_POL-PL30-220_POL</t>
  </si>
  <si>
    <t>g_w158232924-220_POL-w180535363-220_POL</t>
  </si>
  <si>
    <t>g_w165763717-220_POL-PL5-220_POL</t>
  </si>
  <si>
    <t>g_w166710856-400_POL-w166838338-400_POL</t>
  </si>
  <si>
    <t>g_w166710856-400_POL-w199098053-400_POL</t>
  </si>
  <si>
    <t>g_w166710856-400_POL-w215282393-400_POL</t>
  </si>
  <si>
    <t>g_w166838338-400_POL-PL62-400_POL</t>
  </si>
  <si>
    <t>g_w170249563-220_POL-w170368942-220_POL</t>
  </si>
  <si>
    <t>g_w170368942-220_POL-w173613665-220_POL</t>
  </si>
  <si>
    <t>g_w170368942-220_POL-w194903381-220_POL</t>
  </si>
  <si>
    <t>g_w171383831-220_POL-w101982559-220_POL</t>
  </si>
  <si>
    <t>g_w171383831-220_POL-w102165724-220_POL</t>
  </si>
  <si>
    <t>g_w171917072-400_POL-PL41-400_POL</t>
  </si>
  <si>
    <t>g_w171917072-400_POL-w293484891-400_POL</t>
  </si>
  <si>
    <t>g_w171917072-400_POL-w681264796-400_POL</t>
  </si>
  <si>
    <t>g_w173582810-220_POL-PL32-220_POL</t>
  </si>
  <si>
    <t>g_w173582810-220_POL-w88544449-220_POL</t>
  </si>
  <si>
    <t>g_w173582810-400_POL-PL29-400_POL</t>
  </si>
  <si>
    <t>g_w173582810-400_POL-PL31-400_POL</t>
  </si>
  <si>
    <t>g_w173582810-400_POL-w148060965-400_POL</t>
  </si>
  <si>
    <t>g_w175406958-220_POL-w178838661-220_POL</t>
  </si>
  <si>
    <t>g_w175406958-400_POL-r18085709-400_POL</t>
  </si>
  <si>
    <t>g_w177749653-220_POL-w276291999-220_POL</t>
  </si>
  <si>
    <t>g_w178756295-220_POL-w177749653-220_POL</t>
  </si>
  <si>
    <t>g_w178838661-220_POL-w534238983-220_POL</t>
  </si>
  <si>
    <t>g_w178838661-400_POL-w534238983-400_POL</t>
  </si>
  <si>
    <t>g_w180535363-220_POL-w180542657-220_POL</t>
  </si>
  <si>
    <t>g_w180542657-220_POL-w148197330-220_POL</t>
  </si>
  <si>
    <t>g_w180542657-220_POL-w32036484-220_POL</t>
  </si>
  <si>
    <t>g_w183945016-220_POL-PL58-220_POL</t>
  </si>
  <si>
    <t>g_w184899160-220_POL-w291375946-220_POL</t>
  </si>
  <si>
    <t>g_w185454704-220_POL-w139452056-220_POL</t>
  </si>
  <si>
    <t>g_w185454704-220_POL-w66161634-220_POL</t>
  </si>
  <si>
    <t>g_w185459155-220_POL-w139452056-220_POL</t>
  </si>
  <si>
    <t>g_w189501431-220_POL-w115801644-220_POL</t>
  </si>
  <si>
    <t>g_w189501431-220_POL-w191035265-220_POL</t>
  </si>
  <si>
    <t>g_w189501431-400_POL-w166710856-400_POL</t>
  </si>
  <si>
    <t>g_w189501431-400_POL-w215282393-400_POL</t>
  </si>
  <si>
    <t>g_w189851841-220_POL-w88544449-220_POL</t>
  </si>
  <si>
    <t>g_w191035265-220_POL-PL60-220_POL</t>
  </si>
  <si>
    <t>g_w191038569-220_POL-w191035265-220_POL</t>
  </si>
  <si>
    <t>g_w191352746-220_POL-w198635989-220_POL</t>
  </si>
  <si>
    <t>g_w191352746-220_POL-w726776987-220_POL</t>
  </si>
  <si>
    <t>g_w199098050-220_POL-w189851841-220_POL</t>
  </si>
  <si>
    <t>g_w199098050-220_POL-w199098055-220_POL</t>
  </si>
  <si>
    <t>g_w199098050-220_POL-w228154083-220_POL</t>
  </si>
  <si>
    <t>g_w199098050-400_POL-w199098053-400_POL</t>
  </si>
  <si>
    <t>g_w199098053-220_POL-PL48-220_POL</t>
  </si>
  <si>
    <t>g_w199098053-220_POL-w191352746-220_POL</t>
  </si>
  <si>
    <t>g_w199098053-400_POL-w254235846-400_POL</t>
  </si>
  <si>
    <t>g_w199098055-220_POL-PL48-220_POL</t>
  </si>
  <si>
    <t>g_w199098055-220_POL-w228154083-220_POL</t>
  </si>
  <si>
    <t>g_w215282393-400_POL-w199098053-400_POL</t>
  </si>
  <si>
    <t>g_w216060722-220_POL-PL42-220_POL</t>
  </si>
  <si>
    <t>g_w216975352-220_POL-w145037309-220_POL</t>
  </si>
  <si>
    <t>g_w216975352-220_POL-w171383831-220_POL</t>
  </si>
  <si>
    <t>g_w217899005-220_POL-PL44-220_POL</t>
  </si>
  <si>
    <t>g_w217899005-220_POL-PL45-220_POL</t>
  </si>
  <si>
    <t>g_w238640596-220_POL-w178838661-220_POL</t>
  </si>
  <si>
    <t>g_w238640596-220_POL-w32036484-220_POL</t>
  </si>
  <si>
    <t>g_w238640596-400_POL-w32036484-400_POL</t>
  </si>
  <si>
    <t>g_w241842600-220_POL-PL35-220_POL</t>
  </si>
  <si>
    <t>g_w241842600-220_POL-PL47-220_POL</t>
  </si>
  <si>
    <t>g_w241842600-220_POL-w199098050-220_POL</t>
  </si>
  <si>
    <t>g_w241842600-400_POL-w293484891-400_POL</t>
  </si>
  <si>
    <t>g_w245964556-220_POL-PL19-220_POL</t>
  </si>
  <si>
    <t>g_w251239544-220_POL-w29115701-220_POL</t>
  </si>
  <si>
    <t>g_w251239544-400_POL-w91384044-400_POL</t>
  </si>
  <si>
    <t>g_w251239544-400_POL-w99593626-400_POL</t>
  </si>
  <si>
    <t>g_w254235846-220_POL-PL39-220_POL</t>
  </si>
  <si>
    <t>g_w254235846-400_POL-w173582810-400_POL</t>
  </si>
  <si>
    <t>g_w254938713-400_POL-w255284259-400_POL</t>
  </si>
  <si>
    <t>g_w254938713-400_POL-w255293403-400_POL</t>
  </si>
  <si>
    <t>g_w255232597-220_POL-w133537926-220_POL</t>
  </si>
  <si>
    <t>g_w255277953-400_POL-PL36-400_POL</t>
  </si>
  <si>
    <t>g_w255277953-400_POL-PL38-400_POL</t>
  </si>
  <si>
    <t>g_w255277953-400_POL-w139452056-400_POL</t>
  </si>
  <si>
    <t>g_w255284259-220_POL-PL21-220_POL</t>
  </si>
  <si>
    <t>g_w255284259-220_POL-PL22-220_POL</t>
  </si>
  <si>
    <t>g_w255284259-220_POL-w216975352-220_POL</t>
  </si>
  <si>
    <t>g_w255284259-220_POL-w72879943-220_POL</t>
  </si>
  <si>
    <t>g_w255284259-400_POL-PL15-400_POL</t>
  </si>
  <si>
    <t>g_w255293400-220_POL-w238640596-220_POL</t>
  </si>
  <si>
    <t>g_w255293400-400_POL-PL15-400_POL</t>
  </si>
  <si>
    <t>g_w255293400-400_POL-w238640596-400_POL</t>
  </si>
  <si>
    <t>g_w255293403-400_POL-w171917072-400_POL</t>
  </si>
  <si>
    <t>g_w255293403-400_POL-w293484891-400_POL</t>
  </si>
  <si>
    <t>g_w255972326-400_POL-PL17-400_POL</t>
  </si>
  <si>
    <t>g_w255972326-400_POL-w303870256-400_POL</t>
  </si>
  <si>
    <t>g_w255972397-400_POL-PL27-400_POL</t>
  </si>
  <si>
    <t>g_w255973806-220_POL-PL20-220_POL</t>
  </si>
  <si>
    <t>g_w255973806-400_POL-PL23-400_POL</t>
  </si>
  <si>
    <t>g_w276291999-220_POL-PL46-220_POL</t>
  </si>
  <si>
    <t>g_w276291999-400_POL-w154510504-400_POL</t>
  </si>
  <si>
    <t>g_w29098336-220_POL-w173582810-220_POL</t>
  </si>
  <si>
    <t>g_w29115701-220_POL-PL24-220_POL</t>
  </si>
  <si>
    <t>g_w29115701-220_POL-w173582810-220_POL</t>
  </si>
  <si>
    <t>g_w29115701-220_POL-w29098336-220_POL</t>
  </si>
  <si>
    <t>g_w29115701-220_POL-w89434732-220_POL</t>
  </si>
  <si>
    <t>g_w291375946-220_POL-w135598292-220_POL</t>
  </si>
  <si>
    <t>g_w29139402-220_POL-PL55-220_POL</t>
  </si>
  <si>
    <t>g_w293484891-220_POL-PL35-220_POL</t>
  </si>
  <si>
    <t>g_w293484891-220_POL-w102165724-220_POL</t>
  </si>
  <si>
    <t>g_w293484891-220_POL-w155971668-220_POL</t>
  </si>
  <si>
    <t>g_w293484891-220_POL-w170316833-220_POL</t>
  </si>
  <si>
    <t>g_w293484891-220_POL-w35366436-220_POL</t>
  </si>
  <si>
    <t>g_w293484891-220_POL-w681264796-220_POL</t>
  </si>
  <si>
    <t>g_w293484891-400_POL-w144646702-400_POL</t>
  </si>
  <si>
    <t>g_w293484891-400_POL-w251239544-400_POL</t>
  </si>
  <si>
    <t>g_w293484891-400_POL-w681264796-400_POL</t>
  </si>
  <si>
    <t>g_w293484894-220_POL-w255284259-220_POL</t>
  </si>
  <si>
    <t>g_w293489607-400_POL-PL52-400_POL</t>
  </si>
  <si>
    <t>g_w32036484-220_POL-PL25-220_POL</t>
  </si>
  <si>
    <t>g_w32036484-220_POL-w293484894-220_POL</t>
  </si>
  <si>
    <t>g_w32036484-400_POL-PL18-400_POL</t>
  </si>
  <si>
    <t>g_w32036484-400_POL-PL25-400_POL</t>
  </si>
  <si>
    <t>g_w32943179-400_POL-w175406958-400_POL</t>
  </si>
  <si>
    <t>g_w336990960-220_POL-w185459155-220_POL</t>
  </si>
  <si>
    <t>g_w35366436-220_POL-w170316833-220_POL</t>
  </si>
  <si>
    <t>g_w35366436-220_POL-w251239544-220_POL</t>
  </si>
  <si>
    <t>g_w385098015-400_POL-w385118244-400_POL</t>
  </si>
  <si>
    <t>g_w385118244-400_POL-w130644710-400_POL</t>
  </si>
  <si>
    <t>g_w385539724-220_POL-w158232924-220_POL</t>
  </si>
  <si>
    <t>g_w39428977-220_POL-PL11-220_POL</t>
  </si>
  <si>
    <t>g_w39428977-220_POL-w32943179-220_POL</t>
  </si>
  <si>
    <t>g_w39428977-220_POL-w385539724-220_POL</t>
  </si>
  <si>
    <t>g_w39428977-220_POL-w40062974-220_POL</t>
  </si>
  <si>
    <t>g_w39428977-400_POL-PL10-400_POL</t>
  </si>
  <si>
    <t>g_w39428977-400_POL-PL11-400_POL</t>
  </si>
  <si>
    <t>g_w39428977-400_POL-PL18-400_POL</t>
  </si>
  <si>
    <t>g_w40946784-400_POL-w189501431-400_POL</t>
  </si>
  <si>
    <t>g_w44389929-220_POL-w133537926-220_POL</t>
  </si>
  <si>
    <t>g_w46092396-400_POL-w144646702-400_POL</t>
  </si>
  <si>
    <t>g_w46092396-400_POL-w385098015-400_POL</t>
  </si>
  <si>
    <t>g_w46235456-220_POL-PL13-220_POL</t>
  </si>
  <si>
    <t>g_w46235456-220_POL-PL22-220_POL</t>
  </si>
  <si>
    <t>g_w46235456-220_POL-PL3-220_POL</t>
  </si>
  <si>
    <t>g_w46235456-220_POL-w46092396-220_POL</t>
  </si>
  <si>
    <t>g_w46235456-400_POL-PL13-400_POL</t>
  </si>
  <si>
    <t>g_w46235456-400_POL-PL7-400_POL</t>
  </si>
  <si>
    <t>g_w534238983-400_POL-r18085709-400_POL</t>
  </si>
  <si>
    <t>g_w534238983-400_POL-w385118244-400_POL</t>
  </si>
  <si>
    <t>g_w66051759-220_POL-PL50-220_POL</t>
  </si>
  <si>
    <t>g_w66161634-220_POL-w29139402-220_POL</t>
  </si>
  <si>
    <t>g_w66161634-220_POL-w40946790-220_POL</t>
  </si>
  <si>
    <t>g_w668348943-220_POL-PL4-220_POL</t>
  </si>
  <si>
    <t>g_w668348943-220_POL-PL8-220_POL</t>
  </si>
  <si>
    <t>g_w681264796-220_POL-w293484891-220_POL</t>
  </si>
  <si>
    <t>g_w681264796-400_POL-w293484891-400_POL</t>
  </si>
  <si>
    <t>g_w726776987-220_POL-w170249563-220_POL</t>
  </si>
  <si>
    <t>g_w72879943-220_POL-w101915790-220_POL</t>
  </si>
  <si>
    <t>g_w72879943-220_POL-w245964556-220_POL</t>
  </si>
  <si>
    <t>g_w79033485-400_POL-PL36-400_POL</t>
  </si>
  <si>
    <t>g_w79033485-400_POL-PL38-400_POL</t>
  </si>
  <si>
    <t>g_w79033485-400_POL-w255293403-400_POL</t>
  </si>
  <si>
    <t>g_w87667718-220_POL-w191035265-220_POL</t>
  </si>
  <si>
    <t>g_w88544449-220_POL-w170249563-220_POL</t>
  </si>
  <si>
    <t>g_w91384044-400_POL-w99593626-400_POL</t>
  </si>
  <si>
    <t>g_w98611253-220_POL-w44389929-220_POL</t>
  </si>
  <si>
    <t>g_w98634956-220_POL-w255232597-220_POL</t>
  </si>
  <si>
    <t>g_w98634956-220_POL-w44389929-220_POL</t>
  </si>
  <si>
    <t>g_w99593626-220_POL-w255973806-220_POL</t>
  </si>
  <si>
    <t>g_w99593626-400_POL-w255973806-400_POL</t>
  </si>
  <si>
    <t>~tfm_ins-at</t>
  </si>
  <si>
    <t>commodity</t>
  </si>
  <si>
    <t>flo_mark</t>
  </si>
  <si>
    <t>lim_type</t>
  </si>
  <si>
    <t>e_demand_PL58-220_POL</t>
  </si>
  <si>
    <t>elc_buildings,elc_transport,elc_industry,elc_roadtransport</t>
  </si>
  <si>
    <t>lo</t>
  </si>
  <si>
    <t>e_demand_w29098336-220_POL</t>
  </si>
  <si>
    <t>e_demand_w112614319-400_POL</t>
  </si>
  <si>
    <t>e_demand_w35366436-220_POL</t>
  </si>
  <si>
    <t>e_demand_w87667718-220_POL</t>
  </si>
  <si>
    <t>e_demand_w154510504-400_POL</t>
  </si>
  <si>
    <t>e_demand_w293484894-220_POL</t>
  </si>
  <si>
    <t>e_demand_PL15-400_POL</t>
  </si>
  <si>
    <t>e_demand_w215282393-400_POL</t>
  </si>
  <si>
    <t>e_demand_w148060965-400_POL</t>
  </si>
  <si>
    <t>e_demand_w32943179-220_POL</t>
  </si>
  <si>
    <t>e_demand_w293489663-400_POL</t>
  </si>
  <si>
    <t>e_demand_PL36-400_POL</t>
  </si>
  <si>
    <t>e_demand_w180535363-220_POL</t>
  </si>
  <si>
    <t>e_demand_w101914781-220_POL</t>
  </si>
  <si>
    <t>e_demand_w178838661-220_POL</t>
  </si>
  <si>
    <t>ev_battery_PL58-220_POL</t>
  </si>
  <si>
    <t>ev_battery_w29098336-220_POL</t>
  </si>
  <si>
    <t>ev_battery_w112614319-400_POL</t>
  </si>
  <si>
    <t>ev_battery_w35366436-220_POL</t>
  </si>
  <si>
    <t>ev_battery_w87667718-220_POL</t>
  </si>
  <si>
    <t>ev_battery_w154510504-400_POL</t>
  </si>
  <si>
    <t>ev_battery_w293484894-220_POL</t>
  </si>
  <si>
    <t>ev_battery_PL15-400_POL</t>
  </si>
  <si>
    <t>ev_battery_w215282393-400_POL</t>
  </si>
  <si>
    <t>ev_battery_w148060965-400_POL</t>
  </si>
  <si>
    <t>ev_battery_w32943179-220_POL</t>
  </si>
  <si>
    <t>ev_battery_w293489663-400_POL</t>
  </si>
  <si>
    <t>ev_battery_PL36-400_POL</t>
  </si>
  <si>
    <t>ev_battery_w180535363-220_POL</t>
  </si>
  <si>
    <t>ev_battery_w101914781-220_POL</t>
  </si>
  <si>
    <t>ev_battery_w178838661-220_POL</t>
  </si>
  <si>
    <t>H2prd_Elc_PEM_PL58-220_POL</t>
  </si>
  <si>
    <t>H2prd_Elc_PEM_w29098336-220_POL</t>
  </si>
  <si>
    <t>H2prd_Elc_PEM_w112614319-400_POL</t>
  </si>
  <si>
    <t>H2prd_Elc_PEM_w35366436-220_POL</t>
  </si>
  <si>
    <t>H2prd_Elc_PEM_w87667718-220_POL</t>
  </si>
  <si>
    <t>H2prd_Elc_PEM_w154510504-400_POL</t>
  </si>
  <si>
    <t>H2prd_Elc_PEM_w293484894-220_POL</t>
  </si>
  <si>
    <t>H2prd_Elc_PEM_PL15-400_POL</t>
  </si>
  <si>
    <t>H2prd_Elc_PEM_w215282393-400_POL</t>
  </si>
  <si>
    <t>H2prd_Elc_PEM_w148060965-400_POL</t>
  </si>
  <si>
    <t>H2prd_Elc_PEM_w32943179-220_POL</t>
  </si>
  <si>
    <t>H2prd_Elc_PEM_w293489663-400_POL</t>
  </si>
  <si>
    <t>H2prd_Elc_PEM_PL36-400_POL</t>
  </si>
  <si>
    <t>H2prd_Elc_PEM_w180535363-220_POL</t>
  </si>
  <si>
    <t>H2prd_Elc_PEM_w101914781-220_POL</t>
  </si>
  <si>
    <t>H2prd_Elc_PEM_w178838661-220_POL</t>
  </si>
  <si>
    <t>H2prd_Elc_ALK_PL58-220_POL</t>
  </si>
  <si>
    <t>H2prd_Elc_ALK_w29098336-220_POL</t>
  </si>
  <si>
    <t>H2prd_Elc_ALK_w112614319-400_POL</t>
  </si>
  <si>
    <t>H2prd_Elc_ALK_w35366436-220_POL</t>
  </si>
  <si>
    <t>H2prd_Elc_ALK_w87667718-220_POL</t>
  </si>
  <si>
    <t>H2prd_Elc_ALK_w154510504-400_POL</t>
  </si>
  <si>
    <t>H2prd_Elc_ALK_w293484894-220_POL</t>
  </si>
  <si>
    <t>H2prd_Elc_ALK_PL15-400_POL</t>
  </si>
  <si>
    <t>H2prd_Elc_ALK_w215282393-400_POL</t>
  </si>
  <si>
    <t>H2prd_Elc_ALK_w148060965-400_POL</t>
  </si>
  <si>
    <t>H2prd_Elc_ALK_w32943179-220_POL</t>
  </si>
  <si>
    <t>H2prd_Elc_ALK_w293489663-400_POL</t>
  </si>
  <si>
    <t>H2prd_Elc_ALK_PL36-400_POL</t>
  </si>
  <si>
    <t>H2prd_Elc_ALK_w180535363-220_POL</t>
  </si>
  <si>
    <t>H2prd_Elc_ALK_w101914781-220_POL</t>
  </si>
  <si>
    <t>H2prd_Elc_ALK_w178838661-220_POL</t>
  </si>
  <si>
    <t>~tfm_topins</t>
  </si>
  <si>
    <t>io</t>
  </si>
  <si>
    <t>e_PL58-220_POL</t>
  </si>
  <si>
    <t>IN</t>
  </si>
  <si>
    <t>e_w29098336-220_POL</t>
  </si>
  <si>
    <t>e_w112614319-400_POL</t>
  </si>
  <si>
    <t>e_w35366436-220_POL</t>
  </si>
  <si>
    <t>e_w87667718-220_POL</t>
  </si>
  <si>
    <t>e_w154510504-400_POL</t>
  </si>
  <si>
    <t>e_w293484894-220_POL</t>
  </si>
  <si>
    <t>e_PL15-400_POL</t>
  </si>
  <si>
    <t>e_w215282393-400_POL</t>
  </si>
  <si>
    <t>e_w148060965-400_POL</t>
  </si>
  <si>
    <t>e_w32943179-220_POL</t>
  </si>
  <si>
    <t>e_w293489663-400_POL</t>
  </si>
  <si>
    <t>e_PL36-400_POL</t>
  </si>
  <si>
    <t>e_w180535363-220_POL</t>
  </si>
  <si>
    <t>e_w101914781-220_POL</t>
  </si>
  <si>
    <t>e_w178838661-220_POL</t>
  </si>
  <si>
    <t>region</t>
  </si>
  <si>
    <t>Bioenergy + CCUS_w66161634-220_POL</t>
  </si>
  <si>
    <t>e_w66161634-220_POL</t>
  </si>
  <si>
    <t>OUT</t>
  </si>
  <si>
    <t>Bioenergy - Large scale unit_w66161634-220_POL</t>
  </si>
  <si>
    <t>CCGT_w66161634-220_POL</t>
  </si>
  <si>
    <t>CCGT + CCS_w66161634-220_POL</t>
  </si>
  <si>
    <t>Coal + CCS_w66161634-220_POL</t>
  </si>
  <si>
    <t>Gas turbine_w66161634-220_POL</t>
  </si>
  <si>
    <t>IGCC_w66161634-220_POL</t>
  </si>
  <si>
    <t>IGCC + CCS_w66161634-220_POL</t>
  </si>
  <si>
    <t>Nuclear large_w66161634-220_POL</t>
  </si>
  <si>
    <t>Oxyfuel + CCS_w66161634-220_POL</t>
  </si>
  <si>
    <t>Steam Coal - SUBCRITICAL_w66161634-220_POL</t>
  </si>
  <si>
    <t>Steam Coal - SUPERCRITICAL_w66161634-220_POL</t>
  </si>
  <si>
    <t>Steam Coal - ULTRASUPERCRITICAL_w66161634-220_POL</t>
  </si>
  <si>
    <t>Bioenergy + CCUS_w681264796-400_POL</t>
  </si>
  <si>
    <t>e_w681264796-400_POL</t>
  </si>
  <si>
    <t>Bioenergy - Large scale unit_w681264796-400_POL</t>
  </si>
  <si>
    <t>CCGT_w681264796-400_POL</t>
  </si>
  <si>
    <t>CCGT + CCS_w681264796-400_POL</t>
  </si>
  <si>
    <t>Coal + CCS_w681264796-400_POL</t>
  </si>
  <si>
    <t>Gas turbine_w681264796-400_POL</t>
  </si>
  <si>
    <t>IGCC_w681264796-400_POL</t>
  </si>
  <si>
    <t>IGCC + CCS_w681264796-400_POL</t>
  </si>
  <si>
    <t>Nuclear large_w681264796-400_POL</t>
  </si>
  <si>
    <t>Oxyfuel + CCS_w681264796-400_POL</t>
  </si>
  <si>
    <t>Steam Coal - SUBCRITICAL_w681264796-400_POL</t>
  </si>
  <si>
    <t>Steam Coal - SUPERCRITICAL_w681264796-400_POL</t>
  </si>
  <si>
    <t>Steam Coal - ULTRASUPERCRITICAL_w681264796-400_POL</t>
  </si>
  <si>
    <t>Bioenergy + CCUS_w293489663-400_POL</t>
  </si>
  <si>
    <t>Bioenergy - Large scale unit_w293489663-400_POL</t>
  </si>
  <si>
    <t>CCGT_w293489663-400_POL</t>
  </si>
  <si>
    <t>CCGT + CCS_w293489663-400_POL</t>
  </si>
  <si>
    <t>Coal + CCS_w293489663-400_POL</t>
  </si>
  <si>
    <t>Gas turbine_w293489663-400_POL</t>
  </si>
  <si>
    <t>IGCC_w293489663-400_POL</t>
  </si>
  <si>
    <t>IGCC + CCS_w293489663-400_POL</t>
  </si>
  <si>
    <t>Nuclear large_w293489663-400_POL</t>
  </si>
  <si>
    <t>Oxyfuel + CCS_w293489663-400_POL</t>
  </si>
  <si>
    <t>Steam Coal - SUBCRITICAL_w293489663-400_POL</t>
  </si>
  <si>
    <t>Steam Coal - SUPERCRITICAL_w293489663-400_POL</t>
  </si>
  <si>
    <t>Steam Coal - ULTRASUPERCRITICAL_w293489663-400_POL</t>
  </si>
  <si>
    <t>Bioenergy + CCUS_w98634956-220_POL</t>
  </si>
  <si>
    <t>e_w98634956-220_POL</t>
  </si>
  <si>
    <t>Bioenergy - Large scale unit_w98634956-220_POL</t>
  </si>
  <si>
    <t>CCGT_w98634956-220_POL</t>
  </si>
  <si>
    <t>CCGT + CCS_w98634956-220_POL</t>
  </si>
  <si>
    <t>Coal + CCS_w98634956-220_POL</t>
  </si>
  <si>
    <t>Gas turbine_w98634956-220_POL</t>
  </si>
  <si>
    <t>IGCC_w98634956-220_POL</t>
  </si>
  <si>
    <t>IGCC + CCS_w98634956-220_POL</t>
  </si>
  <si>
    <t>Nuclear large_w98634956-220_POL</t>
  </si>
  <si>
    <t>Oxyfuel + CCS_w98634956-220_POL</t>
  </si>
  <si>
    <t>Steam Coal - SUBCRITICAL_w98634956-220_POL</t>
  </si>
  <si>
    <t>Steam Coal - SUPERCRITICAL_w98634956-220_POL</t>
  </si>
  <si>
    <t>Steam Coal - ULTRASUPERCRITICAL_w98634956-220_POL</t>
  </si>
  <si>
    <t>Bioenergy + CCUS_PL14-220_POL</t>
  </si>
  <si>
    <t>e_PL14-220_POL</t>
  </si>
  <si>
    <t>Bioenergy - Large scale unit_PL14-220_POL</t>
  </si>
  <si>
    <t>CCGT_PL14-220_POL</t>
  </si>
  <si>
    <t>CCGT + CCS_PL14-220_POL</t>
  </si>
  <si>
    <t>Coal + CCS_PL14-220_POL</t>
  </si>
  <si>
    <t>Gas turbine_PL14-220_POL</t>
  </si>
  <si>
    <t>IGCC_PL14-220_POL</t>
  </si>
  <si>
    <t>IGCC + CCS_PL14-220_POL</t>
  </si>
  <si>
    <t>Nuclear large_PL14-220_POL</t>
  </si>
  <si>
    <t>Oxyfuel + CCS_PL14-220_POL</t>
  </si>
  <si>
    <t>Steam Coal - SUBCRITICAL_PL14-220_POL</t>
  </si>
  <si>
    <t>Steam Coal - SUPERCRITICAL_PL14-220_POL</t>
  </si>
  <si>
    <t>Steam Coal - ULTRASUPERCRITICAL_PL14-220_POL</t>
  </si>
  <si>
    <t>Bioenergy + CCUS_w29139402-220_POL</t>
  </si>
  <si>
    <t>e_w29139402-220_POL</t>
  </si>
  <si>
    <t>Bioenergy - Large scale unit_w29139402-220_POL</t>
  </si>
  <si>
    <t>CCGT_w29139402-220_POL</t>
  </si>
  <si>
    <t>CCGT + CCS_w29139402-220_POL</t>
  </si>
  <si>
    <t>Coal + CCS_w29139402-220_POL</t>
  </si>
  <si>
    <t>Gas turbine_w29139402-220_POL</t>
  </si>
  <si>
    <t>IGCC_w29139402-220_POL</t>
  </si>
  <si>
    <t>IGCC + CCS_w29139402-220_POL</t>
  </si>
  <si>
    <t>Nuclear large_w29139402-220_POL</t>
  </si>
  <si>
    <t>Oxyfuel + CCS_w29139402-220_POL</t>
  </si>
  <si>
    <t>Steam Coal - SUBCRITICAL_w29139402-220_POL</t>
  </si>
  <si>
    <t>Steam Coal - SUPERCRITICAL_w29139402-220_POL</t>
  </si>
  <si>
    <t>Steam Coal - ULTRASUPERCRITICAL_w29139402-220_POL</t>
  </si>
  <si>
    <t>Bioenergy + CCUS_w224727316-220_POL</t>
  </si>
  <si>
    <t>e_w224727316-220_POL</t>
  </si>
  <si>
    <t>Bioenergy - Large scale unit_w224727316-220_POL</t>
  </si>
  <si>
    <t>CCGT_w224727316-220_POL</t>
  </si>
  <si>
    <t>CCGT + CCS_w224727316-220_POL</t>
  </si>
  <si>
    <t>Coal + CCS_w224727316-220_POL</t>
  </si>
  <si>
    <t>Gas turbine_w224727316-220_POL</t>
  </si>
  <si>
    <t>IGCC_w224727316-220_POL</t>
  </si>
  <si>
    <t>IGCC + CCS_w224727316-220_POL</t>
  </si>
  <si>
    <t>Nuclear large_w224727316-220_POL</t>
  </si>
  <si>
    <t>Oxyfuel + CCS_w224727316-220_POL</t>
  </si>
  <si>
    <t>Steam Coal - SUBCRITICAL_w224727316-220_POL</t>
  </si>
  <si>
    <t>Steam Coal - SUPERCRITICAL_w224727316-220_POL</t>
  </si>
  <si>
    <t>Steam Coal - ULTRASUPERCRITICAL_w224727316-220_POL</t>
  </si>
  <si>
    <t>Bioenergy + CCUS_PL11-400_POL</t>
  </si>
  <si>
    <t>e_PL11-400_POL</t>
  </si>
  <si>
    <t>Bioenergy - Large scale unit_PL11-400_POL</t>
  </si>
  <si>
    <t>CCGT_PL11-400_POL</t>
  </si>
  <si>
    <t>CCGT + CCS_PL11-400_POL</t>
  </si>
  <si>
    <t>Coal + CCS_PL11-400_POL</t>
  </si>
  <si>
    <t>Gas turbine_PL11-400_POL</t>
  </si>
  <si>
    <t>IGCC_PL11-400_POL</t>
  </si>
  <si>
    <t>IGCC + CCS_PL11-400_POL</t>
  </si>
  <si>
    <t>Nuclear large_PL11-400_POL</t>
  </si>
  <si>
    <t>Oxyfuel + CCS_PL11-400_POL</t>
  </si>
  <si>
    <t>Steam Coal - SUBCRITICAL_PL11-400_POL</t>
  </si>
  <si>
    <t>Steam Coal - SUPERCRITICAL_PL11-400_POL</t>
  </si>
  <si>
    <t>Steam Coal - ULTRASUPERCRITICAL_PL11-400_POL</t>
  </si>
  <si>
    <t>Bioenergy + CCUS_w112614319-400_POL</t>
  </si>
  <si>
    <t>Bioenergy - Large scale unit_w112614319-400_POL</t>
  </si>
  <si>
    <t>CCGT_w112614319-400_POL</t>
  </si>
  <si>
    <t>CCGT + CCS_w112614319-400_POL</t>
  </si>
  <si>
    <t>Coal + CCS_w112614319-400_POL</t>
  </si>
  <si>
    <t>Gas turbine_w112614319-400_POL</t>
  </si>
  <si>
    <t>IGCC_w112614319-400_POL</t>
  </si>
  <si>
    <t>IGCC + CCS_w112614319-400_POL</t>
  </si>
  <si>
    <t>Nuclear large_w112614319-400_POL</t>
  </si>
  <si>
    <t>Oxyfuel + CCS_w112614319-400_POL</t>
  </si>
  <si>
    <t>Steam Coal - SUBCRITICAL_w112614319-400_POL</t>
  </si>
  <si>
    <t>Steam Coal - SUPERCRITICAL_w112614319-400_POL</t>
  </si>
  <si>
    <t>Steam Coal - ULTRASUPERCRITICAL_w112614319-400_POL</t>
  </si>
  <si>
    <t>Bioenergy + CCUS_w130644710-400_POL</t>
  </si>
  <si>
    <t>e_w130644710-400_POL</t>
  </si>
  <si>
    <t>Bioenergy - Large scale unit_w130644710-400_POL</t>
  </si>
  <si>
    <t>CCGT_w130644710-400_POL</t>
  </si>
  <si>
    <t>CCGT + CCS_w130644710-400_POL</t>
  </si>
  <si>
    <t>Coal + CCS_w130644710-400_POL</t>
  </si>
  <si>
    <t>Gas turbine_w130644710-400_POL</t>
  </si>
  <si>
    <t>IGCC_w130644710-400_POL</t>
  </si>
  <si>
    <t>IGCC + CCS_w130644710-400_POL</t>
  </si>
  <si>
    <t>Nuclear large_w130644710-400_POL</t>
  </si>
  <si>
    <t>Oxyfuel + CCS_w130644710-400_POL</t>
  </si>
  <si>
    <t>Steam Coal - SUBCRITICAL_w130644710-400_POL</t>
  </si>
  <si>
    <t>Steam Coal - SUPERCRITICAL_w130644710-400_POL</t>
  </si>
  <si>
    <t>Steam Coal - ULTRASUPERCRITICAL_w130644710-400_POL</t>
  </si>
  <si>
    <t>Bioenergy + CCUS_w293489607-400_POL</t>
  </si>
  <si>
    <t>e_w293489607-400_POL</t>
  </si>
  <si>
    <t>Bioenergy - Large scale unit_w293489607-400_POL</t>
  </si>
  <si>
    <t>CCGT_w293489607-400_POL</t>
  </si>
  <si>
    <t>CCGT + CCS_w293489607-400_POL</t>
  </si>
  <si>
    <t>Coal + CCS_w293489607-400_POL</t>
  </si>
  <si>
    <t>Gas turbine_w293489607-400_POL</t>
  </si>
  <si>
    <t>IGCC_w293489607-400_POL</t>
  </si>
  <si>
    <t>IGCC + CCS_w293489607-400_POL</t>
  </si>
  <si>
    <t>Nuclear large_w293489607-400_POL</t>
  </si>
  <si>
    <t>Oxyfuel + CCS_w293489607-400_POL</t>
  </si>
  <si>
    <t>Steam Coal - SUBCRITICAL_w293489607-400_POL</t>
  </si>
  <si>
    <t>Steam Coal - SUPERCRITICAL_w293489607-400_POL</t>
  </si>
  <si>
    <t>Steam Coal - ULTRASUPERCRITICAL_w293489607-400_POL</t>
  </si>
  <si>
    <t>Bioenergy + CCUS_w385539724-220_POL</t>
  </si>
  <si>
    <t>e_w385539724-220_POL</t>
  </si>
  <si>
    <t>Bioenergy - Large scale unit_w385539724-220_POL</t>
  </si>
  <si>
    <t>CCGT_w385539724-220_POL</t>
  </si>
  <si>
    <t>CCGT + CCS_w385539724-220_POL</t>
  </si>
  <si>
    <t>Coal + CCS_w385539724-220_POL</t>
  </si>
  <si>
    <t>Gas turbine_w385539724-220_POL</t>
  </si>
  <si>
    <t>IGCC_w385539724-220_POL</t>
  </si>
  <si>
    <t>IGCC + CCS_w385539724-220_POL</t>
  </si>
  <si>
    <t>Nuclear large_w385539724-220_POL</t>
  </si>
  <si>
    <t>Oxyfuel + CCS_w385539724-220_POL</t>
  </si>
  <si>
    <t>Steam Coal - SUBCRITICAL_w385539724-220_POL</t>
  </si>
  <si>
    <t>Steam Coal - SUPERCRITICAL_w385539724-220_POL</t>
  </si>
  <si>
    <t>Steam Coal - ULTRASUPERCRITICAL_w385539724-220_POL</t>
  </si>
  <si>
    <t>Bioenergy + CCUS_PL54-220_POL</t>
  </si>
  <si>
    <t>e_PL54-220_POL</t>
  </si>
  <si>
    <t>Bioenergy - Large scale unit_PL54-220_POL</t>
  </si>
  <si>
    <t>CCGT_PL54-220_POL</t>
  </si>
  <si>
    <t>CCGT + CCS_PL54-220_POL</t>
  </si>
  <si>
    <t>Coal + CCS_PL54-220_POL</t>
  </si>
  <si>
    <t>Gas turbine_PL54-220_POL</t>
  </si>
  <si>
    <t>IGCC_PL54-220_POL</t>
  </si>
  <si>
    <t>IGCC + CCS_PL54-220_POL</t>
  </si>
  <si>
    <t>Nuclear large_PL54-220_POL</t>
  </si>
  <si>
    <t>Oxyfuel + CCS_PL54-220_POL</t>
  </si>
  <si>
    <t>Steam Coal - SUBCRITICAL_PL54-220_POL</t>
  </si>
  <si>
    <t>Steam Coal - SUPERCRITICAL_PL54-220_POL</t>
  </si>
  <si>
    <t>Steam Coal - ULTRASUPERCRITICAL_PL54-220_POL</t>
  </si>
  <si>
    <t>Bioenergy + CCUS_w216975352-220_POL</t>
  </si>
  <si>
    <t>e_w216975352-220_POL</t>
  </si>
  <si>
    <t>Bioenergy - Large scale unit_w216975352-220_POL</t>
  </si>
  <si>
    <t>CCGT_w216975352-220_POL</t>
  </si>
  <si>
    <t>CCGT + CCS_w216975352-220_POL</t>
  </si>
  <si>
    <t>Coal + CCS_w216975352-220_POL</t>
  </si>
  <si>
    <t>Gas turbine_w216975352-220_POL</t>
  </si>
  <si>
    <t>IGCC_w216975352-220_POL</t>
  </si>
  <si>
    <t>IGCC + CCS_w216975352-220_POL</t>
  </si>
  <si>
    <t>Nuclear large_w216975352-220_POL</t>
  </si>
  <si>
    <t>Oxyfuel + CCS_w216975352-220_POL</t>
  </si>
  <si>
    <t>Steam Coal - SUBCRITICAL_w216975352-220_POL</t>
  </si>
  <si>
    <t>Steam Coal - SUPERCRITICAL_w216975352-220_POL</t>
  </si>
  <si>
    <t>Steam Coal - ULTRASUPERCRITICAL_w216975352-220_POL</t>
  </si>
  <si>
    <t>Bioenergy + CCUS_w173582810-220_POL</t>
  </si>
  <si>
    <t>e_w173582810-220_POL</t>
  </si>
  <si>
    <t>Bioenergy - Large scale unit_w173582810-220_POL</t>
  </si>
  <si>
    <t>CCGT_w173582810-220_POL</t>
  </si>
  <si>
    <t>CCGT + CCS_w173582810-220_POL</t>
  </si>
  <si>
    <t>Coal + CCS_w173582810-220_POL</t>
  </si>
  <si>
    <t>Gas turbine_w173582810-220_POL</t>
  </si>
  <si>
    <t>IGCC_w173582810-220_POL</t>
  </si>
  <si>
    <t>IGCC + CCS_w173582810-220_POL</t>
  </si>
  <si>
    <t>Nuclear large_w173582810-220_POL</t>
  </si>
  <si>
    <t>Oxyfuel + CCS_w173582810-220_POL</t>
  </si>
  <si>
    <t>Steam Coal - SUBCRITICAL_w173582810-220_POL</t>
  </si>
  <si>
    <t>Steam Coal - SUPERCRITICAL_w173582810-220_POL</t>
  </si>
  <si>
    <t>Steam Coal - ULTRASUPERCRITICAL_w173582810-220_POL</t>
  </si>
  <si>
    <t>Bioenergy + CCUS_w115801644-220_POL</t>
  </si>
  <si>
    <t>e_w115801644-220_POL</t>
  </si>
  <si>
    <t>Bioenergy - Large scale unit_w115801644-220_POL</t>
  </si>
  <si>
    <t>CCGT_w115801644-220_POL</t>
  </si>
  <si>
    <t>CCGT + CCS_w115801644-220_POL</t>
  </si>
  <si>
    <t>Coal + CCS_w115801644-220_POL</t>
  </si>
  <si>
    <t>Gas turbine_w115801644-220_POL</t>
  </si>
  <si>
    <t>IGCC_w115801644-220_POL</t>
  </si>
  <si>
    <t>IGCC + CCS_w115801644-220_POL</t>
  </si>
  <si>
    <t>Nuclear large_w115801644-220_POL</t>
  </si>
  <si>
    <t>Oxyfuel + CCS_w115801644-220_POL</t>
  </si>
  <si>
    <t>Steam Coal - SUBCRITICAL_w115801644-220_POL</t>
  </si>
  <si>
    <t>Steam Coal - SUPERCRITICAL_w115801644-220_POL</t>
  </si>
  <si>
    <t>Steam Coal - ULTRASUPERCRITICAL_w115801644-220_POL</t>
  </si>
  <si>
    <t>Bioenergy + CCUS_w66161634-400_POL</t>
  </si>
  <si>
    <t>e_w66161634-400_POL</t>
  </si>
  <si>
    <t>Bioenergy - Large scale unit_w66161634-400_POL</t>
  </si>
  <si>
    <t>CCGT_w66161634-400_POL</t>
  </si>
  <si>
    <t>CCGT + CCS_w66161634-400_POL</t>
  </si>
  <si>
    <t>Coal + CCS_w66161634-400_POL</t>
  </si>
  <si>
    <t>Gas turbine_w66161634-400_POL</t>
  </si>
  <si>
    <t>IGCC_w66161634-400_POL</t>
  </si>
  <si>
    <t>IGCC + CCS_w66161634-400_POL</t>
  </si>
  <si>
    <t>Nuclear large_w66161634-400_POL</t>
  </si>
  <si>
    <t>Oxyfuel + CCS_w66161634-400_POL</t>
  </si>
  <si>
    <t>Steam Coal - SUBCRITICAL_w66161634-400_POL</t>
  </si>
  <si>
    <t>Steam Coal - SUPERCRITICAL_w66161634-400_POL</t>
  </si>
  <si>
    <t>Steam Coal - ULTRASUPERCRITICAL_w66161634-400_POL</t>
  </si>
  <si>
    <t>Bioenergy + CCUS_w183945016-220_POL</t>
  </si>
  <si>
    <t>e_w183945016-220_POL</t>
  </si>
  <si>
    <t>Bioenergy - Large scale unit_w183945016-220_POL</t>
  </si>
  <si>
    <t>CCGT_w183945016-220_POL</t>
  </si>
  <si>
    <t>CCGT + CCS_w183945016-220_POL</t>
  </si>
  <si>
    <t>Coal + CCS_w183945016-220_POL</t>
  </si>
  <si>
    <t>Gas turbine_w183945016-220_POL</t>
  </si>
  <si>
    <t>IGCC_w183945016-220_POL</t>
  </si>
  <si>
    <t>IGCC + CCS_w183945016-220_POL</t>
  </si>
  <si>
    <t>Nuclear large_w183945016-220_POL</t>
  </si>
  <si>
    <t>Oxyfuel + CCS_w183945016-220_POL</t>
  </si>
  <si>
    <t>Steam Coal - SUBCRITICAL_w183945016-220_POL</t>
  </si>
  <si>
    <t>Steam Coal - SUPERCRITICAL_w183945016-220_POL</t>
  </si>
  <si>
    <t>Steam Coal - ULTRASUPERCRITICAL_w183945016-220_POL</t>
  </si>
  <si>
    <t>Bioenergy + CCUS_w101982559-220_POL</t>
  </si>
  <si>
    <t>e_w101982559-220_POL</t>
  </si>
  <si>
    <t>Bioenergy - Large scale unit_w101982559-220_POL</t>
  </si>
  <si>
    <t>CCGT_w101982559-220_POL</t>
  </si>
  <si>
    <t>CCGT + CCS_w101982559-220_POL</t>
  </si>
  <si>
    <t>Coal + CCS_w101982559-220_POL</t>
  </si>
  <si>
    <t>Gas turbine_w101982559-220_POL</t>
  </si>
  <si>
    <t>IGCC_w101982559-220_POL</t>
  </si>
  <si>
    <t>IGCC + CCS_w101982559-220_POL</t>
  </si>
  <si>
    <t>Nuclear large_w101982559-220_POL</t>
  </si>
  <si>
    <t>Oxyfuel + CCS_w101982559-220_POL</t>
  </si>
  <si>
    <t>Steam Coal - SUBCRITICAL_w101982559-220_POL</t>
  </si>
  <si>
    <t>Steam Coal - SUPERCRITICAL_w101982559-220_POL</t>
  </si>
  <si>
    <t>Steam Coal - ULTRASUPERCRITICAL_w101982559-220_POL</t>
  </si>
  <si>
    <t>Bioenergy + CCUS_w35366436-220_POL</t>
  </si>
  <si>
    <t>Bioenergy - Large scale unit_w35366436-220_POL</t>
  </si>
  <si>
    <t>CCGT_w35366436-220_POL</t>
  </si>
  <si>
    <t>CCGT + CCS_w35366436-220_POL</t>
  </si>
  <si>
    <t>Coal + CCS_w35366436-220_POL</t>
  </si>
  <si>
    <t>Gas turbine_w35366436-220_POL</t>
  </si>
  <si>
    <t>IGCC_w35366436-220_POL</t>
  </si>
  <si>
    <t>IGCC + CCS_w35366436-220_POL</t>
  </si>
  <si>
    <t>Nuclear large_w35366436-220_POL</t>
  </si>
  <si>
    <t>Oxyfuel + CCS_w35366436-220_POL</t>
  </si>
  <si>
    <t>Steam Coal - SUBCRITICAL_w35366436-220_POL</t>
  </si>
  <si>
    <t>Steam Coal - SUPERCRITICAL_w35366436-220_POL</t>
  </si>
  <si>
    <t>Steam Coal - ULTRASUPERCRITICAL_w35366436-220_POL</t>
  </si>
  <si>
    <t>Bioenergy + CCUS_w255277953-400_POL</t>
  </si>
  <si>
    <t>e_w255277953-400_POL</t>
  </si>
  <si>
    <t>Bioenergy - Large scale unit_w255277953-400_POL</t>
  </si>
  <si>
    <t>CCGT_w255277953-400_POL</t>
  </si>
  <si>
    <t>CCGT + CCS_w255277953-400_POL</t>
  </si>
  <si>
    <t>Coal + CCS_w255277953-400_POL</t>
  </si>
  <si>
    <t>Gas turbine_w255277953-400_POL</t>
  </si>
  <si>
    <t>IGCC_w255277953-400_POL</t>
  </si>
  <si>
    <t>IGCC + CCS_w255277953-400_POL</t>
  </si>
  <si>
    <t>Nuclear large_w255277953-400_POL</t>
  </si>
  <si>
    <t>Oxyfuel + CCS_w255277953-400_POL</t>
  </si>
  <si>
    <t>Steam Coal - SUBCRITICAL_w255277953-400_POL</t>
  </si>
  <si>
    <t>Steam Coal - SUPERCRITICAL_w255277953-400_POL</t>
  </si>
  <si>
    <t>Steam Coal - ULTRASUPERCRITICAL_w255277953-400_POL</t>
  </si>
  <si>
    <t>Bioenergy + CCUS_w121656686-220_POL</t>
  </si>
  <si>
    <t>e_w121656686-220_POL</t>
  </si>
  <si>
    <t>Bioenergy - Large scale unit_w121656686-220_POL</t>
  </si>
  <si>
    <t>CCGT_w121656686-220_POL</t>
  </si>
  <si>
    <t>CCGT + CCS_w121656686-220_POL</t>
  </si>
  <si>
    <t>Coal + CCS_w121656686-220_POL</t>
  </si>
  <si>
    <t>Gas turbine_w121656686-220_POL</t>
  </si>
  <si>
    <t>IGCC_w121656686-220_POL</t>
  </si>
  <si>
    <t>IGCC + CCS_w121656686-220_POL</t>
  </si>
  <si>
    <t>Nuclear large_w121656686-220_POL</t>
  </si>
  <si>
    <t>Oxyfuel + CCS_w121656686-220_POL</t>
  </si>
  <si>
    <t>Steam Coal - SUBCRITICAL_w121656686-220_POL</t>
  </si>
  <si>
    <t>Steam Coal - SUPERCRITICAL_w121656686-220_POL</t>
  </si>
  <si>
    <t>Steam Coal - ULTRASUPERCRITICAL_w121656686-220_POL</t>
  </si>
  <si>
    <t>Bioenergy + CCUS_w255284259-220_POL</t>
  </si>
  <si>
    <t>e_w255284259-220_POL</t>
  </si>
  <si>
    <t>Bioenergy - Large scale unit_w255284259-220_POL</t>
  </si>
  <si>
    <t>CCGT_w255284259-220_POL</t>
  </si>
  <si>
    <t>CCGT + CCS_w255284259-220_POL</t>
  </si>
  <si>
    <t>Coal + CCS_w255284259-220_POL</t>
  </si>
  <si>
    <t>Gas turbine_w255284259-220_POL</t>
  </si>
  <si>
    <t>IGCC_w255284259-220_POL</t>
  </si>
  <si>
    <t>IGCC + CCS_w255284259-220_POL</t>
  </si>
  <si>
    <t>Nuclear large_w255284259-220_POL</t>
  </si>
  <si>
    <t>Oxyfuel + CCS_w255284259-220_POL</t>
  </si>
  <si>
    <t>Steam Coal - SUBCRITICAL_w255284259-220_POL</t>
  </si>
  <si>
    <t>Steam Coal - SUPERCRITICAL_w255284259-220_POL</t>
  </si>
  <si>
    <t>Steam Coal - ULTRASUPERCRITICAL_w255284259-220_POL</t>
  </si>
  <si>
    <t>Bioenergy + CCUS_w199098053-400_POL</t>
  </si>
  <si>
    <t>e_w199098053-400_POL</t>
  </si>
  <si>
    <t>Bioenergy - Large scale unit_w199098053-400_POL</t>
  </si>
  <si>
    <t>CCGT_w199098053-400_POL</t>
  </si>
  <si>
    <t>CCGT + CCS_w199098053-400_POL</t>
  </si>
  <si>
    <t>Coal + CCS_w199098053-400_POL</t>
  </si>
  <si>
    <t>Gas turbine_w199098053-400_POL</t>
  </si>
  <si>
    <t>IGCC_w199098053-400_POL</t>
  </si>
  <si>
    <t>IGCC + CCS_w199098053-400_POL</t>
  </si>
  <si>
    <t>Nuclear large_w199098053-400_POL</t>
  </si>
  <si>
    <t>Oxyfuel + CCS_w199098053-400_POL</t>
  </si>
  <si>
    <t>Steam Coal - SUBCRITICAL_w199098053-400_POL</t>
  </si>
  <si>
    <t>Steam Coal - SUPERCRITICAL_w199098053-400_POL</t>
  </si>
  <si>
    <t>Steam Coal - ULTRASUPERCRITICAL_w199098053-400_POL</t>
  </si>
  <si>
    <t>Bioenergy + CCUS_w40062974-220_POL</t>
  </si>
  <si>
    <t>e_w40062974-220_POL</t>
  </si>
  <si>
    <t>Bioenergy - Large scale unit_w40062974-220_POL</t>
  </si>
  <si>
    <t>CCGT_w40062974-220_POL</t>
  </si>
  <si>
    <t>CCGT + CCS_w40062974-220_POL</t>
  </si>
  <si>
    <t>Coal + CCS_w40062974-220_POL</t>
  </si>
  <si>
    <t>Gas turbine_w40062974-220_POL</t>
  </si>
  <si>
    <t>IGCC_w40062974-220_POL</t>
  </si>
  <si>
    <t>IGCC + CCS_w40062974-220_POL</t>
  </si>
  <si>
    <t>Nuclear large_w40062974-220_POL</t>
  </si>
  <si>
    <t>Oxyfuel + CCS_w40062974-220_POL</t>
  </si>
  <si>
    <t>Steam Coal - SUBCRITICAL_w40062974-220_POL</t>
  </si>
  <si>
    <t>Steam Coal - SUPERCRITICAL_w40062974-220_POL</t>
  </si>
  <si>
    <t>Steam Coal - ULTRASUPERCRITICAL_w40062974-220_POL</t>
  </si>
  <si>
    <t>Bioenergy + CCUS_w293484894-220_POL</t>
  </si>
  <si>
    <t>Bioenergy - Large scale unit_w293484894-220_POL</t>
  </si>
  <si>
    <t>CCGT_w293484894-220_POL</t>
  </si>
  <si>
    <t>CCGT + CCS_w293484894-220_POL</t>
  </si>
  <si>
    <t>Coal + CCS_w293484894-220_POL</t>
  </si>
  <si>
    <t>Gas turbine_w293484894-220_POL</t>
  </si>
  <si>
    <t>IGCC_w293484894-220_POL</t>
  </si>
  <si>
    <t>IGCC + CCS_w293484894-220_POL</t>
  </si>
  <si>
    <t>Nuclear large_w293484894-220_POL</t>
  </si>
  <si>
    <t>Oxyfuel + CCS_w293484894-220_POL</t>
  </si>
  <si>
    <t>Steam Coal - SUBCRITICAL_w293484894-220_POL</t>
  </si>
  <si>
    <t>Steam Coal - SUPERCRITICAL_w293484894-220_POL</t>
  </si>
  <si>
    <t>Steam Coal - ULTRASUPERCRITICAL_w293484894-220_POL</t>
  </si>
  <si>
    <t>Bioenergy + CCUS_w88544449-220_POL</t>
  </si>
  <si>
    <t>e_w88544449-220_POL</t>
  </si>
  <si>
    <t>Bioenergy - Large scale unit_w88544449-220_POL</t>
  </si>
  <si>
    <t>CCGT_w88544449-220_POL</t>
  </si>
  <si>
    <t>CCGT + CCS_w88544449-220_POL</t>
  </si>
  <si>
    <t>Coal + CCS_w88544449-220_POL</t>
  </si>
  <si>
    <t>Gas turbine_w88544449-220_POL</t>
  </si>
  <si>
    <t>IGCC_w88544449-220_POL</t>
  </si>
  <si>
    <t>IGCC + CCS_w88544449-220_POL</t>
  </si>
  <si>
    <t>Nuclear large_w88544449-220_POL</t>
  </si>
  <si>
    <t>Oxyfuel + CCS_w88544449-220_POL</t>
  </si>
  <si>
    <t>Steam Coal - SUBCRITICAL_w88544449-220_POL</t>
  </si>
  <si>
    <t>Steam Coal - SUPERCRITICAL_w88544449-220_POL</t>
  </si>
  <si>
    <t>Steam Coal - ULTRASUPERCRITICAL_w88544449-220_POL</t>
  </si>
  <si>
    <t>Bioenergy + CCUS_PL59-220_POL</t>
  </si>
  <si>
    <t>e_PL59-220_POL</t>
  </si>
  <si>
    <t>Bioenergy - Large scale unit_PL59-220_POL</t>
  </si>
  <si>
    <t>CCGT_PL59-220_POL</t>
  </si>
  <si>
    <t>CCGT + CCS_PL59-220_POL</t>
  </si>
  <si>
    <t>Coal + CCS_PL59-220_POL</t>
  </si>
  <si>
    <t>Gas turbine_PL59-220_POL</t>
  </si>
  <si>
    <t>IGCC_PL59-220_POL</t>
  </si>
  <si>
    <t>IGCC + CCS_PL59-220_POL</t>
  </si>
  <si>
    <t>Nuclear large_PL59-220_POL</t>
  </si>
  <si>
    <t>Oxyfuel + CCS_PL59-220_POL</t>
  </si>
  <si>
    <t>Steam Coal - SUBCRITICAL_PL59-220_POL</t>
  </si>
  <si>
    <t>Steam Coal - SUPERCRITICAL_PL59-220_POL</t>
  </si>
  <si>
    <t>Steam Coal - ULTRASUPERCRITICAL_PL59-220_POL</t>
  </si>
  <si>
    <t>Bioenergy + CCUS_PL38-400_POL</t>
  </si>
  <si>
    <t>e_PL38-400_POL</t>
  </si>
  <si>
    <t>Bioenergy - Large scale unit_PL38-400_POL</t>
  </si>
  <si>
    <t>CCGT_PL38-400_POL</t>
  </si>
  <si>
    <t>CCGT + CCS_PL38-400_POL</t>
  </si>
  <si>
    <t>Coal + CCS_PL38-400_POL</t>
  </si>
  <si>
    <t>Gas turbine_PL38-400_POL</t>
  </si>
  <si>
    <t>IGCC_PL38-400_POL</t>
  </si>
  <si>
    <t>IGCC + CCS_PL38-400_POL</t>
  </si>
  <si>
    <t>Nuclear large_PL38-400_POL</t>
  </si>
  <si>
    <t>Oxyfuel + CCS_PL38-400_POL</t>
  </si>
  <si>
    <t>Steam Coal - SUBCRITICAL_PL38-400_POL</t>
  </si>
  <si>
    <t>Steam Coal - SUPERCRITICAL_PL38-400_POL</t>
  </si>
  <si>
    <t>Steam Coal - ULTRASUPERCRITICAL_PL38-400_POL</t>
  </si>
  <si>
    <t>Bioenergy + CCUS_w89434732-220_POL</t>
  </si>
  <si>
    <t>e_w89434732-220_POL</t>
  </si>
  <si>
    <t>Bioenergy - Large scale unit_w89434732-220_POL</t>
  </si>
  <si>
    <t>CCGT_w89434732-220_POL</t>
  </si>
  <si>
    <t>CCGT + CCS_w89434732-220_POL</t>
  </si>
  <si>
    <t>Coal + CCS_w89434732-220_POL</t>
  </si>
  <si>
    <t>Gas turbine_w89434732-220_POL</t>
  </si>
  <si>
    <t>IGCC_w89434732-220_POL</t>
  </si>
  <si>
    <t>IGCC + CCS_w89434732-220_POL</t>
  </si>
  <si>
    <t>Nuclear large_w89434732-220_POL</t>
  </si>
  <si>
    <t>Oxyfuel + CCS_w89434732-220_POL</t>
  </si>
  <si>
    <t>Steam Coal - SUBCRITICAL_w89434732-220_POL</t>
  </si>
  <si>
    <t>Steam Coal - SUPERCRITICAL_w89434732-220_POL</t>
  </si>
  <si>
    <t>Steam Coal - ULTRASUPERCRITICAL_w89434732-220_POL</t>
  </si>
  <si>
    <t>Bioenergy + CCUS_r9399771-220_POL</t>
  </si>
  <si>
    <t>e_r9399771-220_POL</t>
  </si>
  <si>
    <t>Bioenergy - Large scale unit_r9399771-220_POL</t>
  </si>
  <si>
    <t>CCGT_r9399771-220_POL</t>
  </si>
  <si>
    <t>CCGT + CCS_r9399771-220_POL</t>
  </si>
  <si>
    <t>Coal + CCS_r9399771-220_POL</t>
  </si>
  <si>
    <t>Gas turbine_r9399771-220_POL</t>
  </si>
  <si>
    <t>IGCC_r9399771-220_POL</t>
  </si>
  <si>
    <t>IGCC + CCS_r9399771-220_POL</t>
  </si>
  <si>
    <t>Nuclear large_r9399771-220_POL</t>
  </si>
  <si>
    <t>Oxyfuel + CCS_r9399771-220_POL</t>
  </si>
  <si>
    <t>Steam Coal - SUBCRITICAL_r9399771-220_POL</t>
  </si>
  <si>
    <t>Steam Coal - SUPERCRITICAL_r9399771-220_POL</t>
  </si>
  <si>
    <t>Steam Coal - ULTRASUPERCRITICAL_r9399771-220_POL</t>
  </si>
  <si>
    <t>Bioenergy + CCUS_w189501431-400_POL</t>
  </si>
  <si>
    <t>e_w189501431-400_POL</t>
  </si>
  <si>
    <t>Bioenergy - Large scale unit_w189501431-400_POL</t>
  </si>
  <si>
    <t>CCGT_w189501431-400_POL</t>
  </si>
  <si>
    <t>CCGT + CCS_w189501431-400_POL</t>
  </si>
  <si>
    <t>Coal + CCS_w189501431-400_POL</t>
  </si>
  <si>
    <t>Gas turbine_w189501431-400_POL</t>
  </si>
  <si>
    <t>IGCC_w189501431-400_POL</t>
  </si>
  <si>
    <t>IGCC + CCS_w189501431-400_POL</t>
  </si>
  <si>
    <t>Nuclear large_w189501431-400_POL</t>
  </si>
  <si>
    <t>Oxyfuel + CCS_w189501431-400_POL</t>
  </si>
  <si>
    <t>Steam Coal - SUBCRITICAL_w189501431-400_POL</t>
  </si>
  <si>
    <t>Steam Coal - SUPERCRITICAL_w189501431-400_POL</t>
  </si>
  <si>
    <t>Steam Coal - ULTRASUPERCRITICAL_w189501431-400_POL</t>
  </si>
  <si>
    <t>Bioenergy + CCUS_PL7-400_POL</t>
  </si>
  <si>
    <t>e_PL7-400_POL</t>
  </si>
  <si>
    <t>Bioenergy - Large scale unit_PL7-400_POL</t>
  </si>
  <si>
    <t>CCGT_PL7-400_POL</t>
  </si>
  <si>
    <t>CCGT + CCS_PL7-400_POL</t>
  </si>
  <si>
    <t>Coal + CCS_PL7-400_POL</t>
  </si>
  <si>
    <t>Gas turbine_PL7-400_POL</t>
  </si>
  <si>
    <t>IGCC_PL7-400_POL</t>
  </si>
  <si>
    <t>IGCC + CCS_PL7-400_POL</t>
  </si>
  <si>
    <t>Nuclear large_PL7-400_POL</t>
  </si>
  <si>
    <t>Oxyfuel + CCS_PL7-400_POL</t>
  </si>
  <si>
    <t>Steam Coal - SUBCRITICAL_PL7-400_POL</t>
  </si>
  <si>
    <t>Steam Coal - SUPERCRITICAL_PL7-400_POL</t>
  </si>
  <si>
    <t>Steam Coal - ULTRASUPERCRITICAL_PL7-400_POL</t>
  </si>
  <si>
    <t>Bioenergy + CCUS_PL40-220_POL</t>
  </si>
  <si>
    <t>e_PL40-220_POL</t>
  </si>
  <si>
    <t>Bioenergy - Large scale unit_PL40-220_POL</t>
  </si>
  <si>
    <t>CCGT_PL40-220_POL</t>
  </si>
  <si>
    <t>CCGT + CCS_PL40-220_POL</t>
  </si>
  <si>
    <t>Coal + CCS_PL40-220_POL</t>
  </si>
  <si>
    <t>Gas turbine_PL40-220_POL</t>
  </si>
  <si>
    <t>IGCC_PL40-220_POL</t>
  </si>
  <si>
    <t>IGCC + CCS_PL40-220_POL</t>
  </si>
  <si>
    <t>Nuclear large_PL40-220_POL</t>
  </si>
  <si>
    <t>Oxyfuel + CCS_PL40-220_POL</t>
  </si>
  <si>
    <t>Steam Coal - SUBCRITICAL_PL40-220_POL</t>
  </si>
  <si>
    <t>Steam Coal - SUPERCRITICAL_PL40-220_POL</t>
  </si>
  <si>
    <t>Steam Coal - ULTRASUPERCRITICAL_PL40-220_POL</t>
  </si>
  <si>
    <t>Bioenergy + CCUS_w255232597-220_POL</t>
  </si>
  <si>
    <t>e_w255232597-220_POL</t>
  </si>
  <si>
    <t>Bioenergy - Large scale unit_w255232597-220_POL</t>
  </si>
  <si>
    <t>CCGT_w255232597-220_POL</t>
  </si>
  <si>
    <t>CCGT + CCS_w255232597-220_POL</t>
  </si>
  <si>
    <t>Coal + CCS_w255232597-220_POL</t>
  </si>
  <si>
    <t>Gas turbine_w255232597-220_POL</t>
  </si>
  <si>
    <t>IGCC_w255232597-220_POL</t>
  </si>
  <si>
    <t>IGCC + CCS_w255232597-220_POL</t>
  </si>
  <si>
    <t>Nuclear large_w255232597-220_POL</t>
  </si>
  <si>
    <t>Oxyfuel + CCS_w255232597-220_POL</t>
  </si>
  <si>
    <t>Steam Coal - SUBCRITICAL_w255232597-220_POL</t>
  </si>
  <si>
    <t>Steam Coal - SUPERCRITICAL_w255232597-220_POL</t>
  </si>
  <si>
    <t>Steam Coal - ULTRASUPERCRITICAL_w255232597-220_POL</t>
  </si>
  <si>
    <t>Bioenergy + CCUS_w79033485-400_POL</t>
  </si>
  <si>
    <t>e_w79033485-400_POL</t>
  </si>
  <si>
    <t>Bioenergy - Large scale unit_w79033485-400_POL</t>
  </si>
  <si>
    <t>CCGT_w79033485-400_POL</t>
  </si>
  <si>
    <t>CCGT + CCS_w79033485-400_POL</t>
  </si>
  <si>
    <t>Coal + CCS_w79033485-400_POL</t>
  </si>
  <si>
    <t>Gas turbine_w79033485-400_POL</t>
  </si>
  <si>
    <t>IGCC_w79033485-400_POL</t>
  </si>
  <si>
    <t>IGCC + CCS_w79033485-400_POL</t>
  </si>
  <si>
    <t>Nuclear large_w79033485-400_POL</t>
  </si>
  <si>
    <t>Oxyfuel + CCS_w79033485-400_POL</t>
  </si>
  <si>
    <t>Steam Coal - SUBCRITICAL_w79033485-400_POL</t>
  </si>
  <si>
    <t>Steam Coal - SUPERCRITICAL_w79033485-400_POL</t>
  </si>
  <si>
    <t>Steam Coal - ULTRASUPERCRITICAL_w79033485-400_POL</t>
  </si>
  <si>
    <t>Bioenergy + CCUS_w25898810-220_POL</t>
  </si>
  <si>
    <t>e_w25898810-220_POL</t>
  </si>
  <si>
    <t>Bioenergy - Large scale unit_w25898810-220_POL</t>
  </si>
  <si>
    <t>CCGT_w25898810-220_POL</t>
  </si>
  <si>
    <t>CCGT + CCS_w25898810-220_POL</t>
  </si>
  <si>
    <t>Coal + CCS_w25898810-220_POL</t>
  </si>
  <si>
    <t>Gas turbine_w25898810-220_POL</t>
  </si>
  <si>
    <t>IGCC_w25898810-220_POL</t>
  </si>
  <si>
    <t>IGCC + CCS_w25898810-220_POL</t>
  </si>
  <si>
    <t>Nuclear large_w25898810-220_POL</t>
  </si>
  <si>
    <t>Oxyfuel + CCS_w25898810-220_POL</t>
  </si>
  <si>
    <t>Steam Coal - SUBCRITICAL_w25898810-220_POL</t>
  </si>
  <si>
    <t>Steam Coal - SUPERCRITICAL_w25898810-220_POL</t>
  </si>
  <si>
    <t>Steam Coal - ULTRASUPERCRITICAL_w25898810-220_POL</t>
  </si>
  <si>
    <t>Bioenergy + CCUS_w40946790-220_POL</t>
  </si>
  <si>
    <t>e_w40946790-220_POL</t>
  </si>
  <si>
    <t>Bioenergy - Large scale unit_w40946790-220_POL</t>
  </si>
  <si>
    <t>CCGT_w40946790-220_POL</t>
  </si>
  <si>
    <t>CCGT + CCS_w40946790-220_POL</t>
  </si>
  <si>
    <t>Coal + CCS_w40946790-220_POL</t>
  </si>
  <si>
    <t>Gas turbine_w40946790-220_POL</t>
  </si>
  <si>
    <t>IGCC_w40946790-220_POL</t>
  </si>
  <si>
    <t>IGCC + CCS_w40946790-220_POL</t>
  </si>
  <si>
    <t>Nuclear large_w40946790-220_POL</t>
  </si>
  <si>
    <t>Oxyfuel + CCS_w40946790-220_POL</t>
  </si>
  <si>
    <t>Steam Coal - SUBCRITICAL_w40946790-220_POL</t>
  </si>
  <si>
    <t>Steam Coal - SUPERCRITICAL_w40946790-220_POL</t>
  </si>
  <si>
    <t>Steam Coal - ULTRASUPERCRITICAL_w40946790-220_POL</t>
  </si>
  <si>
    <t>Bioenergy + CCUS_w180535363-220_POL</t>
  </si>
  <si>
    <t>Bioenergy - Large scale unit_w180535363-220_POL</t>
  </si>
  <si>
    <t>CCGT_w180535363-220_POL</t>
  </si>
  <si>
    <t>CCGT + CCS_w180535363-220_POL</t>
  </si>
  <si>
    <t>Coal + CCS_w180535363-220_POL</t>
  </si>
  <si>
    <t>Gas turbine_w180535363-220_POL</t>
  </si>
  <si>
    <t>IGCC_w180535363-220_POL</t>
  </si>
  <si>
    <t>IGCC + CCS_w180535363-220_POL</t>
  </si>
  <si>
    <t>Nuclear large_w180535363-220_POL</t>
  </si>
  <si>
    <t>Oxyfuel + CCS_w180535363-220_POL</t>
  </si>
  <si>
    <t>Steam Coal - SUBCRITICAL_w180535363-220_POL</t>
  </si>
  <si>
    <t>Steam Coal - SUPERCRITICAL_w180535363-220_POL</t>
  </si>
  <si>
    <t>Steam Coal - ULTRASUPERCRITICAL_w180535363-220_POL</t>
  </si>
  <si>
    <t>Bioenergy + CCUS_w198635989-220_POL</t>
  </si>
  <si>
    <t>e_w198635989-220_POL</t>
  </si>
  <si>
    <t>Bioenergy - Large scale unit_w198635989-220_POL</t>
  </si>
  <si>
    <t>CCGT_w198635989-220_POL</t>
  </si>
  <si>
    <t>CCGT + CCS_w198635989-220_POL</t>
  </si>
  <si>
    <t>Coal + CCS_w198635989-220_POL</t>
  </si>
  <si>
    <t>Gas turbine_w198635989-220_POL</t>
  </si>
  <si>
    <t>IGCC_w198635989-220_POL</t>
  </si>
  <si>
    <t>IGCC + CCS_w198635989-220_POL</t>
  </si>
  <si>
    <t>Nuclear large_w198635989-220_POL</t>
  </si>
  <si>
    <t>Oxyfuel + CCS_w198635989-220_POL</t>
  </si>
  <si>
    <t>Steam Coal - SUBCRITICAL_w198635989-220_POL</t>
  </si>
  <si>
    <t>Steam Coal - SUPERCRITICAL_w198635989-220_POL</t>
  </si>
  <si>
    <t>Steam Coal - ULTRASUPERCRITICAL_w198635989-220_POL</t>
  </si>
  <si>
    <t>Bioenergy + CCUS_w255972397-400_POL</t>
  </si>
  <si>
    <t>e_w255972397-400_POL</t>
  </si>
  <si>
    <t>Bioenergy - Large scale unit_w255972397-400_POL</t>
  </si>
  <si>
    <t>CCGT_w255972397-400_POL</t>
  </si>
  <si>
    <t>CCGT + CCS_w255972397-400_POL</t>
  </si>
  <si>
    <t>Coal + CCS_w255972397-400_POL</t>
  </si>
  <si>
    <t>Gas turbine_w255972397-400_POL</t>
  </si>
  <si>
    <t>IGCC_w255972397-400_POL</t>
  </si>
  <si>
    <t>IGCC + CCS_w255972397-400_POL</t>
  </si>
  <si>
    <t>Nuclear large_w255972397-400_POL</t>
  </si>
  <si>
    <t>Oxyfuel + CCS_w255972397-400_POL</t>
  </si>
  <si>
    <t>Steam Coal - SUBCRITICAL_w255972397-400_POL</t>
  </si>
  <si>
    <t>Steam Coal - SUPERCRITICAL_w255972397-400_POL</t>
  </si>
  <si>
    <t>Steam Coal - ULTRASUPERCRITICAL_w255972397-400_POL</t>
  </si>
  <si>
    <t>Bioenergy + CCUS_w143484238-220_POL</t>
  </si>
  <si>
    <t>e_w143484238-220_POL</t>
  </si>
  <si>
    <t>Bioenergy - Large scale unit_w143484238-220_POL</t>
  </si>
  <si>
    <t>CCGT_w143484238-220_POL</t>
  </si>
  <si>
    <t>CCGT + CCS_w143484238-220_POL</t>
  </si>
  <si>
    <t>Coal + CCS_w143484238-220_POL</t>
  </si>
  <si>
    <t>Gas turbine_w143484238-220_POL</t>
  </si>
  <si>
    <t>IGCC_w143484238-220_POL</t>
  </si>
  <si>
    <t>IGCC + CCS_w143484238-220_POL</t>
  </si>
  <si>
    <t>Nuclear large_w143484238-220_POL</t>
  </si>
  <si>
    <t>Oxyfuel + CCS_w143484238-220_POL</t>
  </si>
  <si>
    <t>Steam Coal - SUBCRITICAL_w143484238-220_POL</t>
  </si>
  <si>
    <t>Steam Coal - SUPERCRITICAL_w143484238-220_POL</t>
  </si>
  <si>
    <t>Steam Coal - ULTRASUPERCRITICAL_w143484238-220_POL</t>
  </si>
  <si>
    <t>Bioenergy + CCUS_PL30-220_POL</t>
  </si>
  <si>
    <t>e_PL30-220_POL</t>
  </si>
  <si>
    <t>Bioenergy - Large scale unit_PL30-220_POL</t>
  </si>
  <si>
    <t>CCGT_PL30-220_POL</t>
  </si>
  <si>
    <t>CCGT + CCS_PL30-220_POL</t>
  </si>
  <si>
    <t>Coal + CCS_PL30-220_POL</t>
  </si>
  <si>
    <t>Gas turbine_PL30-220_POL</t>
  </si>
  <si>
    <t>IGCC_PL30-220_POL</t>
  </si>
  <si>
    <t>IGCC + CCS_PL30-220_POL</t>
  </si>
  <si>
    <t>Nuclear large_PL30-220_POL</t>
  </si>
  <si>
    <t>Oxyfuel + CCS_PL30-220_POL</t>
  </si>
  <si>
    <t>Steam Coal - SUBCRITICAL_PL30-220_POL</t>
  </si>
  <si>
    <t>Steam Coal - SUPERCRITICAL_PL30-220_POL</t>
  </si>
  <si>
    <t>Steam Coal - ULTRASUPERCRITICAL_PL30-220_POL</t>
  </si>
  <si>
    <t>Bioenergy + CCUS_w726776987-220_POL</t>
  </si>
  <si>
    <t>e_w726776987-220_POL</t>
  </si>
  <si>
    <t>Bioenergy - Large scale unit_w726776987-220_POL</t>
  </si>
  <si>
    <t>CCGT_w726776987-220_POL</t>
  </si>
  <si>
    <t>CCGT + CCS_w726776987-220_POL</t>
  </si>
  <si>
    <t>Coal + CCS_w726776987-220_POL</t>
  </si>
  <si>
    <t>Gas turbine_w726776987-220_POL</t>
  </si>
  <si>
    <t>IGCC_w726776987-220_POL</t>
  </si>
  <si>
    <t>IGCC + CCS_w726776987-220_POL</t>
  </si>
  <si>
    <t>Nuclear large_w726776987-220_POL</t>
  </si>
  <si>
    <t>Oxyfuel + CCS_w726776987-220_POL</t>
  </si>
  <si>
    <t>Steam Coal - SUBCRITICAL_w726776987-220_POL</t>
  </si>
  <si>
    <t>Steam Coal - SUPERCRITICAL_w726776987-220_POL</t>
  </si>
  <si>
    <t>Steam Coal - ULTRASUPERCRITICAL_w726776987-220_POL</t>
  </si>
  <si>
    <t>Bioenergy + CCUS_w72879943-220_POL</t>
  </si>
  <si>
    <t>e_w72879943-220_POL</t>
  </si>
  <si>
    <t>Bioenergy - Large scale unit_w72879943-220_POL</t>
  </si>
  <si>
    <t>CCGT_w72879943-220_POL</t>
  </si>
  <si>
    <t>CCGT + CCS_w72879943-220_POL</t>
  </si>
  <si>
    <t>Coal + CCS_w72879943-220_POL</t>
  </si>
  <si>
    <t>Gas turbine_w72879943-220_POL</t>
  </si>
  <si>
    <t>IGCC_w72879943-220_POL</t>
  </si>
  <si>
    <t>IGCC + CCS_w72879943-220_POL</t>
  </si>
  <si>
    <t>Nuclear large_w72879943-220_POL</t>
  </si>
  <si>
    <t>Oxyfuel + CCS_w72879943-220_POL</t>
  </si>
  <si>
    <t>Steam Coal - SUBCRITICAL_w72879943-220_POL</t>
  </si>
  <si>
    <t>Steam Coal - SUPERCRITICAL_w72879943-220_POL</t>
  </si>
  <si>
    <t>Steam Coal - ULTRASUPERCRITICAL_w72879943-220_POL</t>
  </si>
  <si>
    <t>Bioenergy + CCUS_w170249563-220_POL</t>
  </si>
  <si>
    <t>e_w170249563-220_POL</t>
  </si>
  <si>
    <t>Bioenergy - Large scale unit_w170249563-220_POL</t>
  </si>
  <si>
    <t>CCGT_w170249563-220_POL</t>
  </si>
  <si>
    <t>CCGT + CCS_w170249563-220_POL</t>
  </si>
  <si>
    <t>Coal + CCS_w170249563-220_POL</t>
  </si>
  <si>
    <t>Gas turbine_w170249563-220_POL</t>
  </si>
  <si>
    <t>IGCC_w170249563-220_POL</t>
  </si>
  <si>
    <t>IGCC + CCS_w170249563-220_POL</t>
  </si>
  <si>
    <t>Nuclear large_w170249563-220_POL</t>
  </si>
  <si>
    <t>Oxyfuel + CCS_w170249563-220_POL</t>
  </si>
  <si>
    <t>Steam Coal - SUBCRITICAL_w170249563-220_POL</t>
  </si>
  <si>
    <t>Steam Coal - SUPERCRITICAL_w170249563-220_POL</t>
  </si>
  <si>
    <t>Steam Coal - ULTRASUPERCRITICAL_w170249563-220_POL</t>
  </si>
  <si>
    <t>Bioenergy + CCUS_w46092396-220_POL</t>
  </si>
  <si>
    <t>e_w46092396-220_POL</t>
  </si>
  <si>
    <t>Bioenergy - Large scale unit_w46092396-220_POL</t>
  </si>
  <si>
    <t>CCGT_w46092396-220_POL</t>
  </si>
  <si>
    <t>CCGT + CCS_w46092396-220_POL</t>
  </si>
  <si>
    <t>Coal + CCS_w46092396-220_POL</t>
  </si>
  <si>
    <t>Gas turbine_w46092396-220_POL</t>
  </si>
  <si>
    <t>IGCC_w46092396-220_POL</t>
  </si>
  <si>
    <t>IGCC + CCS_w46092396-220_POL</t>
  </si>
  <si>
    <t>Nuclear large_w46092396-220_POL</t>
  </si>
  <si>
    <t>Oxyfuel + CCS_w46092396-220_POL</t>
  </si>
  <si>
    <t>Steam Coal - SUBCRITICAL_w46092396-220_POL</t>
  </si>
  <si>
    <t>Steam Coal - SUPERCRITICAL_w46092396-220_POL</t>
  </si>
  <si>
    <t>Steam Coal - ULTRASUPERCRITICAL_w46092396-220_POL</t>
  </si>
  <si>
    <t>Bioenergy + CCUS_w658600169-400_POL</t>
  </si>
  <si>
    <t>e_w658600169-400_POL</t>
  </si>
  <si>
    <t>Bioenergy - Large scale unit_w658600169-400_POL</t>
  </si>
  <si>
    <t>CCGT_w658600169-400_POL</t>
  </si>
  <si>
    <t>CCGT + CCS_w658600169-400_POL</t>
  </si>
  <si>
    <t>Coal + CCS_w658600169-400_POL</t>
  </si>
  <si>
    <t>Gas turbine_w658600169-400_POL</t>
  </si>
  <si>
    <t>IGCC_w658600169-400_POL</t>
  </si>
  <si>
    <t>IGCC + CCS_w658600169-400_POL</t>
  </si>
  <si>
    <t>Nuclear large_w658600169-400_POL</t>
  </si>
  <si>
    <t>Oxyfuel + CCS_w658600169-400_POL</t>
  </si>
  <si>
    <t>Steam Coal - SUBCRITICAL_w658600169-400_POL</t>
  </si>
  <si>
    <t>Steam Coal - SUPERCRITICAL_w658600169-400_POL</t>
  </si>
  <si>
    <t>Steam Coal - ULTRASUPERCRITICAL_w658600169-400_POL</t>
  </si>
  <si>
    <t>Bioenergy + CCUS_w135598292-220_POL</t>
  </si>
  <si>
    <t>e_w135598292-220_POL</t>
  </si>
  <si>
    <t>Bioenergy - Large scale unit_w135598292-220_POL</t>
  </si>
  <si>
    <t>CCGT_w135598292-220_POL</t>
  </si>
  <si>
    <t>CCGT + CCS_w135598292-220_POL</t>
  </si>
  <si>
    <t>Coal + CCS_w135598292-220_POL</t>
  </si>
  <si>
    <t>Gas turbine_w135598292-220_POL</t>
  </si>
  <si>
    <t>IGCC_w135598292-220_POL</t>
  </si>
  <si>
    <t>IGCC + CCS_w135598292-220_POL</t>
  </si>
  <si>
    <t>Nuclear large_w135598292-220_POL</t>
  </si>
  <si>
    <t>Oxyfuel + CCS_w135598292-220_POL</t>
  </si>
  <si>
    <t>Steam Coal - SUBCRITICAL_w135598292-220_POL</t>
  </si>
  <si>
    <t>Steam Coal - SUPERCRITICAL_w135598292-220_POL</t>
  </si>
  <si>
    <t>Steam Coal - ULTRASUPERCRITICAL_w135598292-220_POL</t>
  </si>
  <si>
    <t>Bioenergy + CCUS_PL18-400_POL</t>
  </si>
  <si>
    <t>e_PL18-400_POL</t>
  </si>
  <si>
    <t>Bioenergy - Large scale unit_PL18-400_POL</t>
  </si>
  <si>
    <t>CCGT_PL18-400_POL</t>
  </si>
  <si>
    <t>CCGT + CCS_PL18-400_POL</t>
  </si>
  <si>
    <t>Coal + CCS_PL18-400_POL</t>
  </si>
  <si>
    <t>Gas turbine_PL18-400_POL</t>
  </si>
  <si>
    <t>IGCC_PL18-400_POL</t>
  </si>
  <si>
    <t>IGCC + CCS_PL18-400_POL</t>
  </si>
  <si>
    <t>Nuclear large_PL18-400_POL</t>
  </si>
  <si>
    <t>Oxyfuel + CCS_PL18-400_POL</t>
  </si>
  <si>
    <t>Steam Coal - SUBCRITICAL_PL18-400_POL</t>
  </si>
  <si>
    <t>Steam Coal - SUPERCRITICAL_PL18-400_POL</t>
  </si>
  <si>
    <t>Steam Coal - ULTRASUPERCRITICAL_PL18-400_POL</t>
  </si>
  <si>
    <t>Bioenergy + CCUS_w171383831-220_POL</t>
  </si>
  <si>
    <t>e_w171383831-220_POL</t>
  </si>
  <si>
    <t>Bioenergy - Large scale unit_w171383831-220_POL</t>
  </si>
  <si>
    <t>CCGT_w171383831-220_POL</t>
  </si>
  <si>
    <t>CCGT + CCS_w171383831-220_POL</t>
  </si>
  <si>
    <t>Coal + CCS_w171383831-220_POL</t>
  </si>
  <si>
    <t>Gas turbine_w171383831-220_POL</t>
  </si>
  <si>
    <t>IGCC_w171383831-220_POL</t>
  </si>
  <si>
    <t>IGCC + CCS_w171383831-220_POL</t>
  </si>
  <si>
    <t>Nuclear large_w171383831-220_POL</t>
  </si>
  <si>
    <t>Oxyfuel + CCS_w171383831-220_POL</t>
  </si>
  <si>
    <t>Steam Coal - SUBCRITICAL_w171383831-220_POL</t>
  </si>
  <si>
    <t>Steam Coal - SUPERCRITICAL_w171383831-220_POL</t>
  </si>
  <si>
    <t>Steam Coal - ULTRASUPERCRITICAL_w171383831-220_POL</t>
  </si>
  <si>
    <t>Bioenergy + CCUS_PL1-400_POL</t>
  </si>
  <si>
    <t>e_PL1-400_POL</t>
  </si>
  <si>
    <t>Bioenergy - Large scale unit_PL1-400_POL</t>
  </si>
  <si>
    <t>CCGT_PL1-400_POL</t>
  </si>
  <si>
    <t>CCGT + CCS_PL1-400_POL</t>
  </si>
  <si>
    <t>Coal + CCS_PL1-400_POL</t>
  </si>
  <si>
    <t>Gas turbine_PL1-400_POL</t>
  </si>
  <si>
    <t>IGCC_PL1-400_POL</t>
  </si>
  <si>
    <t>IGCC + CCS_PL1-400_POL</t>
  </si>
  <si>
    <t>Nuclear large_PL1-400_POL</t>
  </si>
  <si>
    <t>Oxyfuel + CCS_PL1-400_POL</t>
  </si>
  <si>
    <t>Steam Coal - SUBCRITICAL_PL1-400_POL</t>
  </si>
  <si>
    <t>Steam Coal - SUPERCRITICAL_PL1-400_POL</t>
  </si>
  <si>
    <t>Steam Coal - ULTRASUPERCRITICAL_PL1-400_POL</t>
  </si>
  <si>
    <t>Bioenergy + CCUS_w171917072-400_POL</t>
  </si>
  <si>
    <t>e_w171917072-400_POL</t>
  </si>
  <si>
    <t>Bioenergy - Large scale unit_w171917072-400_POL</t>
  </si>
  <si>
    <t>CCGT_w171917072-400_POL</t>
  </si>
  <si>
    <t>CCGT + CCS_w171917072-400_POL</t>
  </si>
  <si>
    <t>Coal + CCS_w171917072-400_POL</t>
  </si>
  <si>
    <t>Gas turbine_w171917072-400_POL</t>
  </si>
  <si>
    <t>IGCC_w171917072-400_POL</t>
  </si>
  <si>
    <t>IGCC + CCS_w171917072-400_POL</t>
  </si>
  <si>
    <t>Nuclear large_w171917072-400_POL</t>
  </si>
  <si>
    <t>Oxyfuel + CCS_w171917072-400_POL</t>
  </si>
  <si>
    <t>Steam Coal - SUBCRITICAL_w171917072-400_POL</t>
  </si>
  <si>
    <t>Steam Coal - SUPERCRITICAL_w171917072-400_POL</t>
  </si>
  <si>
    <t>Steam Coal - ULTRASUPERCRITICAL_w171917072-400_POL</t>
  </si>
  <si>
    <t>Bioenergy + CCUS_w185454704-220_POL</t>
  </si>
  <si>
    <t>e_w185454704-220_POL</t>
  </si>
  <si>
    <t>Bioenergy - Large scale unit_w185454704-220_POL</t>
  </si>
  <si>
    <t>CCGT_w185454704-220_POL</t>
  </si>
  <si>
    <t>CCGT + CCS_w185454704-220_POL</t>
  </si>
  <si>
    <t>Coal + CCS_w185454704-220_POL</t>
  </si>
  <si>
    <t>Gas turbine_w185454704-220_POL</t>
  </si>
  <si>
    <t>IGCC_w185454704-220_POL</t>
  </si>
  <si>
    <t>IGCC + CCS_w185454704-220_POL</t>
  </si>
  <si>
    <t>Nuclear large_w185454704-220_POL</t>
  </si>
  <si>
    <t>Oxyfuel + CCS_w185454704-220_POL</t>
  </si>
  <si>
    <t>Steam Coal - SUBCRITICAL_w185454704-220_POL</t>
  </si>
  <si>
    <t>Steam Coal - SUPERCRITICAL_w185454704-220_POL</t>
  </si>
  <si>
    <t>Steam Coal - ULTRASUPERCRITICAL_w185454704-220_POL</t>
  </si>
  <si>
    <t>Bioenergy + CCUS_w254938713-400_POL</t>
  </si>
  <si>
    <t>e_w254938713-400_POL</t>
  </si>
  <si>
    <t>Bioenergy - Large scale unit_w254938713-400_POL</t>
  </si>
  <si>
    <t>CCGT_w254938713-400_POL</t>
  </si>
  <si>
    <t>CCGT + CCS_w254938713-400_POL</t>
  </si>
  <si>
    <t>Coal + CCS_w254938713-400_POL</t>
  </si>
  <si>
    <t>Gas turbine_w254938713-400_POL</t>
  </si>
  <si>
    <t>IGCC_w254938713-400_POL</t>
  </si>
  <si>
    <t>IGCC + CCS_w254938713-400_POL</t>
  </si>
  <si>
    <t>Nuclear large_w254938713-400_POL</t>
  </si>
  <si>
    <t>Oxyfuel + CCS_w254938713-400_POL</t>
  </si>
  <si>
    <t>Steam Coal - SUBCRITICAL_w254938713-400_POL</t>
  </si>
  <si>
    <t>Steam Coal - SUPERCRITICAL_w254938713-400_POL</t>
  </si>
  <si>
    <t>Steam Coal - ULTRASUPERCRITICAL_w254938713-400_POL</t>
  </si>
  <si>
    <t>Bioenergy + CCUS_w40946784-400_POL</t>
  </si>
  <si>
    <t>e_w40946784-400_POL</t>
  </si>
  <si>
    <t>Bioenergy - Large scale unit_w40946784-400_POL</t>
  </si>
  <si>
    <t>CCGT_w40946784-400_POL</t>
  </si>
  <si>
    <t>CCGT + CCS_w40946784-400_POL</t>
  </si>
  <si>
    <t>Coal + CCS_w40946784-400_POL</t>
  </si>
  <si>
    <t>Gas turbine_w40946784-400_POL</t>
  </si>
  <si>
    <t>IGCC_w40946784-400_POL</t>
  </si>
  <si>
    <t>IGCC + CCS_w40946784-400_POL</t>
  </si>
  <si>
    <t>Nuclear large_w40946784-400_POL</t>
  </si>
  <si>
    <t>Oxyfuel + CCS_w40946784-400_POL</t>
  </si>
  <si>
    <t>Steam Coal - SUBCRITICAL_w40946784-400_POL</t>
  </si>
  <si>
    <t>Steam Coal - SUPERCRITICAL_w40946784-400_POL</t>
  </si>
  <si>
    <t>Steam Coal - ULTRASUPERCRITICAL_w40946784-400_POL</t>
  </si>
  <si>
    <t>Bioenergy + CCUS_w191352746-220_POL</t>
  </si>
  <si>
    <t>e_w191352746-220_POL</t>
  </si>
  <si>
    <t>Bioenergy - Large scale unit_w191352746-220_POL</t>
  </si>
  <si>
    <t>CCGT_w191352746-220_POL</t>
  </si>
  <si>
    <t>CCGT + CCS_w191352746-220_POL</t>
  </si>
  <si>
    <t>Coal + CCS_w191352746-220_POL</t>
  </si>
  <si>
    <t>Gas turbine_w191352746-220_POL</t>
  </si>
  <si>
    <t>IGCC_w191352746-220_POL</t>
  </si>
  <si>
    <t>IGCC + CCS_w191352746-220_POL</t>
  </si>
  <si>
    <t>Nuclear large_w191352746-220_POL</t>
  </si>
  <si>
    <t>Oxyfuel + CCS_w191352746-220_POL</t>
  </si>
  <si>
    <t>Steam Coal - SUBCRITICAL_w191352746-220_POL</t>
  </si>
  <si>
    <t>Steam Coal - SUPERCRITICAL_w191352746-220_POL</t>
  </si>
  <si>
    <t>Steam Coal - ULTRASUPERCRITICAL_w191352746-220_POL</t>
  </si>
  <si>
    <t>Bioenergy + CCUS_PL16-400_POL</t>
  </si>
  <si>
    <t>e_PL16-400_POL</t>
  </si>
  <si>
    <t>Bioenergy - Large scale unit_PL16-400_POL</t>
  </si>
  <si>
    <t>CCGT_PL16-400_POL</t>
  </si>
  <si>
    <t>CCGT + CCS_PL16-400_POL</t>
  </si>
  <si>
    <t>Coal + CCS_PL16-400_POL</t>
  </si>
  <si>
    <t>Gas turbine_PL16-400_POL</t>
  </si>
  <si>
    <t>IGCC_PL16-400_POL</t>
  </si>
  <si>
    <t>IGCC + CCS_PL16-400_POL</t>
  </si>
  <si>
    <t>Nuclear large_PL16-400_POL</t>
  </si>
  <si>
    <t>Oxyfuel + CCS_PL16-400_POL</t>
  </si>
  <si>
    <t>Steam Coal - SUBCRITICAL_PL16-400_POL</t>
  </si>
  <si>
    <t>Steam Coal - SUPERCRITICAL_PL16-400_POL</t>
  </si>
  <si>
    <t>Steam Coal - ULTRASUPERCRITICAL_PL16-400_POL</t>
  </si>
  <si>
    <t>Bioenergy + CCUS_w184899160-220_POL</t>
  </si>
  <si>
    <t>e_w184899160-220_POL</t>
  </si>
  <si>
    <t>Bioenergy - Large scale unit_w184899160-220_POL</t>
  </si>
  <si>
    <t>CCGT_w184899160-220_POL</t>
  </si>
  <si>
    <t>CCGT + CCS_w184899160-220_POL</t>
  </si>
  <si>
    <t>Coal + CCS_w184899160-220_POL</t>
  </si>
  <si>
    <t>Gas turbine_w184899160-220_POL</t>
  </si>
  <si>
    <t>IGCC_w184899160-220_POL</t>
  </si>
  <si>
    <t>IGCC + CCS_w184899160-220_POL</t>
  </si>
  <si>
    <t>Nuclear large_w184899160-220_POL</t>
  </si>
  <si>
    <t>Oxyfuel + CCS_w184899160-220_POL</t>
  </si>
  <si>
    <t>Steam Coal - SUBCRITICAL_w184899160-220_POL</t>
  </si>
  <si>
    <t>Steam Coal - SUPERCRITICAL_w184899160-220_POL</t>
  </si>
  <si>
    <t>Steam Coal - ULTRASUPERCRITICAL_w184899160-220_POL</t>
  </si>
  <si>
    <t>Bioenergy + CCUS_w255284259-400_POL</t>
  </si>
  <si>
    <t>e_w255284259-400_POL</t>
  </si>
  <si>
    <t>Bioenergy - Large scale unit_w255284259-400_POL</t>
  </si>
  <si>
    <t>CCGT_w255284259-400_POL</t>
  </si>
  <si>
    <t>CCGT + CCS_w255284259-400_POL</t>
  </si>
  <si>
    <t>Coal + CCS_w255284259-400_POL</t>
  </si>
  <si>
    <t>Gas turbine_w255284259-400_POL</t>
  </si>
  <si>
    <t>IGCC_w255284259-400_POL</t>
  </si>
  <si>
    <t>IGCC + CCS_w255284259-400_POL</t>
  </si>
  <si>
    <t>Nuclear large_w255284259-400_POL</t>
  </si>
  <si>
    <t>Oxyfuel + CCS_w255284259-400_POL</t>
  </si>
  <si>
    <t>Steam Coal - SUBCRITICAL_w255284259-400_POL</t>
  </si>
  <si>
    <t>Steam Coal - SUPERCRITICAL_w255284259-400_POL</t>
  </si>
  <si>
    <t>Steam Coal - ULTRASUPERCRITICAL_w255284259-400_POL</t>
  </si>
  <si>
    <t>EN_Hydro_POL-1_w158232924-220_POL</t>
  </si>
  <si>
    <t>e_w158232924-220_POL</t>
  </si>
  <si>
    <t>EN_Hydro_POL-2_w158232924-220_POL</t>
  </si>
  <si>
    <t>EN_Hydro_POL-3_w158232924-220_POL</t>
  </si>
  <si>
    <t>EN_Hydro_POL-1_w179279860-220_POL</t>
  </si>
  <si>
    <t>e_w179279860-220_POL</t>
  </si>
  <si>
    <t>EN_Hydro_POL-2_w179279860-220_POL</t>
  </si>
  <si>
    <t>EN_Hydro_POL-3_w179279860-220_POL</t>
  </si>
  <si>
    <t>EN_Hydro_POL-1_w189501431-220_POL</t>
  </si>
  <si>
    <t>e_w189501431-220_POL</t>
  </si>
  <si>
    <t>EN_Hydro_POL-2_w189501431-220_POL</t>
  </si>
  <si>
    <t>EN_Hydro_POL-3_w189501431-220_POL</t>
  </si>
  <si>
    <t>EN_Hydro_POL-1_w98611253-220_POL</t>
  </si>
  <si>
    <t>e_w98611253-220_POL</t>
  </si>
  <si>
    <t>EN_Hydro_POL-2_w98611253-220_POL</t>
  </si>
  <si>
    <t>EN_Hydro_POL-3_w98611253-220_POL</t>
  </si>
  <si>
    <t>EN_Hydro_POL-1_PL19-220_POL</t>
  </si>
  <si>
    <t>e_PL19-220_POL</t>
  </si>
  <si>
    <t>EN_Hydro_POL-2_PL19-220_POL</t>
  </si>
  <si>
    <t>EN_Hydro_POL-3_PL19-220_POL</t>
  </si>
  <si>
    <t>EN_Hydro_POL-1_w166838338-400_POL</t>
  </si>
  <si>
    <t>e_w166838338-400_POL</t>
  </si>
  <si>
    <t>EN_Hydro_POL-2_w166838338-400_POL</t>
  </si>
  <si>
    <t>EN_Hydro_POL-3_w166838338-400_POL</t>
  </si>
  <si>
    <t>EN_Hydro_POL-1_w72879943-220_POL</t>
  </si>
  <si>
    <t>EN_Hydro_POL-2_w72879943-220_POL</t>
  </si>
  <si>
    <t>EN_Hydro_POL-3_w72879943-220_POL</t>
  </si>
  <si>
    <t>EN_Hydro_POL-1_PL1-400_POL</t>
  </si>
  <si>
    <t>EN_Hydro_POL-2_PL1-400_POL</t>
  </si>
  <si>
    <t>EN_Hydro_POL-3_PL1-400_POL</t>
  </si>
  <si>
    <t>EN_Hydro_POL-1_w178838661-220_POL</t>
  </si>
  <si>
    <t>EN_Hydro_POL-2_w178838661-220_POL</t>
  </si>
  <si>
    <t>EN_Hydro_POL-3_w178838661-220_POL</t>
  </si>
  <si>
    <t>EN_Hydro_POL-1_w166710856-400_POL</t>
  </si>
  <si>
    <t>e_w166710856-400_POL</t>
  </si>
  <si>
    <t>EN_Hydro_POL-2_w166710856-400_POL</t>
  </si>
  <si>
    <t>EN_Hydro_POL-3_w166710856-400_POL</t>
  </si>
  <si>
    <t>EN_STG8hbNREL_w66161634-220_POL</t>
  </si>
  <si>
    <t>EN_STG4hbNREL_w66161634-220_POL</t>
  </si>
  <si>
    <t>EN_STG8hbNREL_w681264796-400_POL</t>
  </si>
  <si>
    <t>EN_STG4hbNREL_w681264796-400_POL</t>
  </si>
  <si>
    <t>EN_STG8hbNREL_w293489663-400_POL</t>
  </si>
  <si>
    <t>EN_STG4hbNREL_w293489663-400_POL</t>
  </si>
  <si>
    <t>EN_STG8hbNREL_w98634956-220_POL</t>
  </si>
  <si>
    <t>EN_STG4hbNREL_w98634956-220_POL</t>
  </si>
  <si>
    <t>EN_STG8hbNREL_PL14-220_POL</t>
  </si>
  <si>
    <t>EN_STG4hbNREL_PL14-220_POL</t>
  </si>
  <si>
    <t>EN_STG8hbNREL_w29139402-220_POL</t>
  </si>
  <si>
    <t>EN_STG4hbNREL_w29139402-220_POL</t>
  </si>
  <si>
    <t>EN_STG8hbNREL_w224727316-220_POL</t>
  </si>
  <si>
    <t>EN_STG4hbNREL_w224727316-220_POL</t>
  </si>
  <si>
    <t>EN_STG8hbNREL_PL11-400_POL</t>
  </si>
  <si>
    <t>EN_STG4hbNREL_PL11-400_POL</t>
  </si>
  <si>
    <t>EN_STG8hbNREL_w112614319-400_POL</t>
  </si>
  <si>
    <t>EN_STG4hbNREL_w112614319-400_POL</t>
  </si>
  <si>
    <t>EN_STG8hbNREL_w130644710-400_POL</t>
  </si>
  <si>
    <t>EN_STG4hbNREL_w130644710-400_POL</t>
  </si>
  <si>
    <t>EN_STG8hbNREL_w293489607-400_POL</t>
  </si>
  <si>
    <t>EN_STG4hbNREL_w293489607-400_POL</t>
  </si>
  <si>
    <t>EN_STG8hbNREL_w385539724-220_POL</t>
  </si>
  <si>
    <t>EN_STG4hbNREL_w385539724-220_POL</t>
  </si>
  <si>
    <t>EN_STG8hbNREL_PL54-220_POL</t>
  </si>
  <si>
    <t>EN_STG4hbNREL_PL54-220_POL</t>
  </si>
  <si>
    <t>EN_STG8hbNREL_w216975352-220_POL</t>
  </si>
  <si>
    <t>EN_STG4hbNREL_w216975352-220_POL</t>
  </si>
  <si>
    <t>EN_STG8hbNREL_w173582810-220_POL</t>
  </si>
  <si>
    <t>EN_STG4hbNREL_w173582810-220_POL</t>
  </si>
  <si>
    <t>EN_STG8hbNREL_w115801644-220_POL</t>
  </si>
  <si>
    <t>EN_STG4hbNREL_w115801644-220_POL</t>
  </si>
  <si>
    <t>EN_STG8hbNREL_w66161634-400_POL</t>
  </si>
  <si>
    <t>EN_STG4hbNREL_w66161634-400_POL</t>
  </si>
  <si>
    <t>EN_STG8hbNREL_w183945016-220_POL</t>
  </si>
  <si>
    <t>EN_STG4hbNREL_w183945016-220_POL</t>
  </si>
  <si>
    <t>EN_STG8hbNREL_w101982559-220_POL</t>
  </si>
  <si>
    <t>EN_STG4hbNREL_w101982559-220_POL</t>
  </si>
  <si>
    <t>EN_STG8hbNREL_w35366436-220_POL</t>
  </si>
  <si>
    <t>EN_STG4hbNREL_w35366436-220_POL</t>
  </si>
  <si>
    <t>EN_STG8hbNREL_w255277953-400_POL</t>
  </si>
  <si>
    <t>EN_STG4hbNREL_w255277953-400_POL</t>
  </si>
  <si>
    <t>EN_STG8hbNREL_w121656686-220_POL</t>
  </si>
  <si>
    <t>EN_STG4hbNREL_w121656686-220_POL</t>
  </si>
  <si>
    <t>EN_STG8hbNREL_w255284259-220_POL</t>
  </si>
  <si>
    <t>EN_STG4hbNREL_w255284259-220_POL</t>
  </si>
  <si>
    <t>EN_STG8hbNREL_w199098053-400_POL</t>
  </si>
  <si>
    <t>EN_STG4hbNREL_w199098053-400_POL</t>
  </si>
  <si>
    <t>EN_STG8hbNREL_w40062974-220_POL</t>
  </si>
  <si>
    <t>EN_STG4hbNREL_w40062974-220_POL</t>
  </si>
  <si>
    <t>EN_STG8hbNREL_w293484894-220_POL</t>
  </si>
  <si>
    <t>EN_STG4hbNREL_w293484894-220_POL</t>
  </si>
  <si>
    <t>EN_STG8hbNREL_w88544449-220_POL</t>
  </si>
  <si>
    <t>EN_STG4hbNREL_w88544449-220_POL</t>
  </si>
  <si>
    <t>EN_STG8hbNREL_PL59-220_POL</t>
  </si>
  <si>
    <t>EN_STG4hbNREL_PL59-220_POL</t>
  </si>
  <si>
    <t>EN_STG8hbNREL_PL38-400_POL</t>
  </si>
  <si>
    <t>EN_STG4hbNREL_PL38-400_POL</t>
  </si>
  <si>
    <t>EN_STG8hbNREL_w89434732-220_POL</t>
  </si>
  <si>
    <t>EN_STG4hbNREL_w89434732-220_POL</t>
  </si>
  <si>
    <t>EN_STG8hbNREL_r9399771-220_POL</t>
  </si>
  <si>
    <t>EN_STG4hbNREL_r9399771-220_POL</t>
  </si>
  <si>
    <t>EN_STG8hbNREL_w189501431-400_POL</t>
  </si>
  <si>
    <t>EN_STG4hbNREL_w189501431-400_POL</t>
  </si>
  <si>
    <t>EN_STG8hbNREL_PL7-400_POL</t>
  </si>
  <si>
    <t>EN_STG4hbNREL_PL7-400_POL</t>
  </si>
  <si>
    <t>EN_STG8hbNREL_PL40-220_POL</t>
  </si>
  <si>
    <t>EN_STG4hbNREL_PL40-220_POL</t>
  </si>
  <si>
    <t>EN_STG8hbNREL_w255232597-220_POL</t>
  </si>
  <si>
    <t>EN_STG4hbNREL_w255232597-220_POL</t>
  </si>
  <si>
    <t>EN_STG8hbNREL_w79033485-400_POL</t>
  </si>
  <si>
    <t>EN_STG4hbNREL_w79033485-400_POL</t>
  </si>
  <si>
    <t>EN_STG8hbNREL_w25898810-220_POL</t>
  </si>
  <si>
    <t>EN_STG4hbNREL_w25898810-220_POL</t>
  </si>
  <si>
    <t>EN_STG8hbNREL_w40946790-220_POL</t>
  </si>
  <si>
    <t>EN_STG4hbNREL_w40946790-220_POL</t>
  </si>
  <si>
    <t>EN_STG8hbNREL_w180535363-220_POL</t>
  </si>
  <si>
    <t>EN_STG4hbNREL_w180535363-220_POL</t>
  </si>
  <si>
    <t>EN_STG8hbNREL_w198635989-220_POL</t>
  </si>
  <si>
    <t>EN_STG4hbNREL_w198635989-220_POL</t>
  </si>
  <si>
    <t>EN_STG8hbNREL_w255972397-400_POL</t>
  </si>
  <si>
    <t>EN_STG4hbNREL_w255972397-400_POL</t>
  </si>
  <si>
    <t>EN_STG8hbNREL_w143484238-220_POL</t>
  </si>
  <si>
    <t>EN_STG4hbNREL_w143484238-220_POL</t>
  </si>
  <si>
    <t>EN_STG8hbNREL_PL30-220_POL</t>
  </si>
  <si>
    <t>EN_STG4hbNREL_PL30-220_POL</t>
  </si>
  <si>
    <t>EN_STG8hbNREL_w726776987-220_POL</t>
  </si>
  <si>
    <t>EN_STG4hbNREL_w726776987-220_POL</t>
  </si>
  <si>
    <t>EN_STG8hbNREL_w72879943-220_POL</t>
  </si>
  <si>
    <t>EN_STG4hbNREL_w72879943-220_POL</t>
  </si>
  <si>
    <t>EN_STG8hbNREL_w170249563-220_POL</t>
  </si>
  <si>
    <t>EN_STG4hbNREL_w170249563-220_POL</t>
  </si>
  <si>
    <t>EN_STG8hbNREL_w46092396-220_POL</t>
  </si>
  <si>
    <t>EN_STG4hbNREL_w46092396-220_POL</t>
  </si>
  <si>
    <t>EN_STG8hbNREL_w658600169-400_POL</t>
  </si>
  <si>
    <t>EN_STG4hbNREL_w658600169-400_POL</t>
  </si>
  <si>
    <t>EN_STG8hbNREL_w135598292-220_POL</t>
  </si>
  <si>
    <t>EN_STG4hbNREL_w135598292-220_POL</t>
  </si>
  <si>
    <t>EN_STG8hbNREL_PL18-400_POL</t>
  </si>
  <si>
    <t>EN_STG4hbNREL_PL18-400_POL</t>
  </si>
  <si>
    <t>EN_STG8hbNREL_w171383831-220_POL</t>
  </si>
  <si>
    <t>EN_STG4hbNREL_w171383831-220_POL</t>
  </si>
  <si>
    <t>EN_STG8hbNREL_PL1-400_POL</t>
  </si>
  <si>
    <t>EN_STG4hbNREL_PL1-400_POL</t>
  </si>
  <si>
    <t>EN_STG8hbNREL_w171917072-400_POL</t>
  </si>
  <si>
    <t>EN_STG4hbNREL_w171917072-400_POL</t>
  </si>
  <si>
    <t>EN_STG8hbNREL_w158232924-220_POL</t>
  </si>
  <si>
    <t>EN_STG4hbNREL_w158232924-220_POL</t>
  </si>
  <si>
    <t>EN_STG8hbNREL_w179279860-220_POL</t>
  </si>
  <si>
    <t>EN_STG4hbNREL_w179279860-220_POL</t>
  </si>
  <si>
    <t>EN_STG8hbNREL_w189501431-220_POL</t>
  </si>
  <si>
    <t>EN_STG4hbNREL_w189501431-220_POL</t>
  </si>
  <si>
    <t>EN_STG8hbNREL_w98611253-220_POL</t>
  </si>
  <si>
    <t>EN_STG4hbNREL_w98611253-220_POL</t>
  </si>
  <si>
    <t>EN_STG8hbNREL_PL19-220_POL</t>
  </si>
  <si>
    <t>EN_STG4hbNREL_PL19-220_POL</t>
  </si>
  <si>
    <t>EN_STG8hbNREL_w166838338-400_POL</t>
  </si>
  <si>
    <t>EN_STG4hbNREL_w166838338-400_POL</t>
  </si>
  <si>
    <t>EN_STG8hbNREL_w178838661-220_POL</t>
  </si>
  <si>
    <t>EN_STG4hbNREL_w178838661-220_POL</t>
  </si>
  <si>
    <t>EN_STG8hbNREL_w255314292_POL</t>
  </si>
  <si>
    <t>e_w255314292_POL</t>
  </si>
  <si>
    <t>EN_STG4hbNREL_w255314292_POL</t>
  </si>
  <si>
    <t>EN_STG8hbNREL_w185459155-220_POL</t>
  </si>
  <si>
    <t>e_w185459155-220_POL</t>
  </si>
  <si>
    <t>EN_STG4hbNREL_w185459155-220_POL</t>
  </si>
  <si>
    <t>EN_STG8hbNREL_w336990960-220_POL</t>
  </si>
  <si>
    <t>e_w336990960-220_POL</t>
  </si>
  <si>
    <t>EN_STG4hbNREL_w336990960-220_POL</t>
  </si>
  <si>
    <t>EN_STG8hbNREL_w185454704-220_POL</t>
  </si>
  <si>
    <t>EN_STG4hbNREL_w185454704-220_POL</t>
  </si>
  <si>
    <t>EN_STG8hbNREL_w175406958-220_POL</t>
  </si>
  <si>
    <t>e_w175406958-220_POL</t>
  </si>
  <si>
    <t>EN_STG4hbNREL_w175406958-220_POL</t>
  </si>
  <si>
    <t>EN_STG8hbNREL_w254938713-400_POL</t>
  </si>
  <si>
    <t>EN_STG4hbNREL_w254938713-400_POL</t>
  </si>
  <si>
    <t>EN_STG8hbNREL_w40946784-400_POL</t>
  </si>
  <si>
    <t>EN_STG4hbNREL_w40946784-400_POL</t>
  </si>
  <si>
    <t>EN_STG8hbNREL_w191352746-220_POL</t>
  </si>
  <si>
    <t>EN_STG4hbNREL_w191352746-220_POL</t>
  </si>
  <si>
    <t>EN_STG8hbNREL_PL16-400_POL</t>
  </si>
  <si>
    <t>EN_STG4hbNREL_PL16-400_POL</t>
  </si>
  <si>
    <t>EN_STG8hbNREL_w166710856-400_POL</t>
  </si>
  <si>
    <t>EN_STG4hbNREL_w166710856-400_POL</t>
  </si>
  <si>
    <t>EN_STG8hbNREL_w184899160-220_POL</t>
  </si>
  <si>
    <t>EN_STG4hbNREL_w184899160-220_POL</t>
  </si>
  <si>
    <t>EN_STG8hbNREL_w255284259-400_POL</t>
  </si>
  <si>
    <t>EN_STG4hbNREL_w255284259-400_POL</t>
  </si>
  <si>
    <t>ELC</t>
  </si>
  <si>
    <t>limtype</t>
  </si>
  <si>
    <t>UP</t>
  </si>
  <si>
    <t>flo_bnd</t>
  </si>
  <si>
    <t>stgout_bnd</t>
  </si>
  <si>
    <t>year</t>
  </si>
  <si>
    <t>pset_set</t>
  </si>
  <si>
    <t>ELE,DMD,PRE</t>
  </si>
  <si>
    <t>STG</t>
  </si>
  <si>
    <t>~UC_Sets: R_S: Allregions</t>
  </si>
  <si>
    <t>~UC_T</t>
  </si>
  <si>
    <t>uc_cap</t>
  </si>
  <si>
    <t>uc_rhst~0</t>
  </si>
  <si>
    <t>ELE</t>
  </si>
  <si>
    <t>UCE_elcagg_spv_POL_001</t>
  </si>
  <si>
    <t>elc_spv_POL_001</t>
  </si>
  <si>
    <t>UCE_elcagg_spv_POL_002</t>
  </si>
  <si>
    <t>elc_spv_POL_002</t>
  </si>
  <si>
    <t>UCE_elcagg_spv_POL_003</t>
  </si>
  <si>
    <t>elc_spv_POL_003</t>
  </si>
  <si>
    <t>UCE_elcagg_spv_POL_004</t>
  </si>
  <si>
    <t>elc_spv_POL_004</t>
  </si>
  <si>
    <t>UCE_elcagg_spv_POL_005</t>
  </si>
  <si>
    <t>elc_spv_POL_005</t>
  </si>
  <si>
    <t>UCE_elcagg_spv_POL_006</t>
  </si>
  <si>
    <t>elc_spv_POL_006</t>
  </si>
  <si>
    <t>UCE_elcagg_spv_POL_007</t>
  </si>
  <si>
    <t>elc_spv_POL_007</t>
  </si>
  <si>
    <t>UCE_elcagg_spv_POL_008</t>
  </si>
  <si>
    <t>elc_spv_POL_008</t>
  </si>
  <si>
    <t>UCE_elcagg_spv_POL_009</t>
  </si>
  <si>
    <t>elc_spv_POL_009</t>
  </si>
  <si>
    <t>UCE_elcagg_spv_POL_010</t>
  </si>
  <si>
    <t>elc_spv_POL_010</t>
  </si>
  <si>
    <t>UCE_elcagg_spv_POL_011</t>
  </si>
  <si>
    <t>elc_spv_POL_011</t>
  </si>
  <si>
    <t>UCE_elcagg_spv_POL_012</t>
  </si>
  <si>
    <t>elc_spv_POL_012</t>
  </si>
  <si>
    <t>UCE_elcagg_spv_POL_013</t>
  </si>
  <si>
    <t>elc_spv_POL_013</t>
  </si>
  <si>
    <t>UCE_elcagg_spv_POL_014</t>
  </si>
  <si>
    <t>elc_spv_POL_014</t>
  </si>
  <si>
    <t>UCE_elcagg_spv_POL_015</t>
  </si>
  <si>
    <t>elc_spv_POL_015</t>
  </si>
  <si>
    <t>UCE_elcagg_spv_POL_016</t>
  </si>
  <si>
    <t>elc_spv_POL_016</t>
  </si>
  <si>
    <t>UCE_elcagg_spv_POL_017</t>
  </si>
  <si>
    <t>elc_spv_POL_017</t>
  </si>
  <si>
    <t>UCE_elcagg_spv_POL_018</t>
  </si>
  <si>
    <t>elc_spv_POL_018</t>
  </si>
  <si>
    <t>UCE_elcagg_spv_POL_019</t>
  </si>
  <si>
    <t>elc_spv_POL_019</t>
  </si>
  <si>
    <t>UCE_elcagg_spv_POL_020</t>
  </si>
  <si>
    <t>elc_spv_POL_020</t>
  </si>
  <si>
    <t>UCE_elcagg_wof_POL_001</t>
  </si>
  <si>
    <t>elc_wof_POL_001</t>
  </si>
  <si>
    <t>UCE_elcagg_wof_POL_002</t>
  </si>
  <si>
    <t>elc_wof_POL_002</t>
  </si>
  <si>
    <t>UCE_elcagg_wof_POL_003</t>
  </si>
  <si>
    <t>elc_wof_POL_003</t>
  </si>
  <si>
    <t>UCE_elcagg_wof_POL_004</t>
  </si>
  <si>
    <t>elc_wof_POL_004</t>
  </si>
  <si>
    <t>UCE_elcagg_wof_POL_005</t>
  </si>
  <si>
    <t>elc_wof_POL_005</t>
  </si>
  <si>
    <t>UCE_elcagg_wof_POL_006</t>
  </si>
  <si>
    <t>elc_wof_POL_006</t>
  </si>
  <si>
    <t>UCE_elcagg_wof_POL_007</t>
  </si>
  <si>
    <t>elc_wof_POL_007</t>
  </si>
  <si>
    <t>UCE_elcagg_wof_POL_008</t>
  </si>
  <si>
    <t>elc_wof_POL_008</t>
  </si>
  <si>
    <t>UCE_elcagg_wof_POL_009</t>
  </si>
  <si>
    <t>elc_wof_POL_009</t>
  </si>
  <si>
    <t>UCE_elcagg_wof_POL_010</t>
  </si>
  <si>
    <t>elc_wof_POL_010</t>
  </si>
  <si>
    <t>UCE_elcagg_won_POL_001</t>
  </si>
  <si>
    <t>elc_won_POL_001</t>
  </si>
  <si>
    <t>UCE_elcagg_won_POL_002</t>
  </si>
  <si>
    <t>elc_won_POL_002</t>
  </si>
  <si>
    <t>UCE_elcagg_won_POL_003</t>
  </si>
  <si>
    <t>elc_won_POL_003</t>
  </si>
  <si>
    <t>UCE_elcagg_won_POL_004</t>
  </si>
  <si>
    <t>elc_won_POL_004</t>
  </si>
  <si>
    <t>UCE_elcagg_won_POL_005</t>
  </si>
  <si>
    <t>elc_won_POL_005</t>
  </si>
  <si>
    <t>UCE_elcagg_won_POL_006</t>
  </si>
  <si>
    <t>elc_won_POL_006</t>
  </si>
  <si>
    <t>UCE_elcagg_won_POL_007</t>
  </si>
  <si>
    <t>elc_won_POL_007</t>
  </si>
  <si>
    <t>UCE_elcagg_won_POL_008</t>
  </si>
  <si>
    <t>elc_won_POL_008</t>
  </si>
  <si>
    <t>UCE_elcagg_won_POL_009</t>
  </si>
  <si>
    <t>elc_won_POL_009</t>
  </si>
  <si>
    <t>UCE_elcagg_won_POL_010</t>
  </si>
  <si>
    <t>elc_won_POL_010</t>
  </si>
  <si>
    <t>UCE_elcagg_won_POL_011</t>
  </si>
  <si>
    <t>elc_won_POL_011</t>
  </si>
  <si>
    <t>UCE_elcagg_won_POL_012</t>
  </si>
  <si>
    <t>elc_won_POL_012</t>
  </si>
  <si>
    <t>UCE_elcagg_won_POL_013</t>
  </si>
  <si>
    <t>elc_won_POL_013</t>
  </si>
  <si>
    <t>UCE_elcagg_won_POL_014</t>
  </si>
  <si>
    <t>elc_won_POL_014</t>
  </si>
  <si>
    <t>UCE_elcagg_won_POL_015</t>
  </si>
  <si>
    <t>elc_won_POL_015</t>
  </si>
  <si>
    <t>UCE_elcagg_won_POL_016</t>
  </si>
  <si>
    <t>elc_won_POL_016</t>
  </si>
  <si>
    <t>UCE_elcagg_won_POL_017</t>
  </si>
  <si>
    <t>elc_won_POL_017</t>
  </si>
  <si>
    <t>UCE_elcagg_won_POL_018</t>
  </si>
  <si>
    <t>elc_won_POL_018</t>
  </si>
  <si>
    <t>UCE_elcagg_won_POL_019</t>
  </si>
  <si>
    <t>elc_won_POL_019</t>
  </si>
  <si>
    <t>UCE_elcagg_won_POL_020</t>
  </si>
  <si>
    <t>elc_won_POL_020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</si>
</sst>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
    <numFmt numFmtId="166" formatCode="0.000"/>
    <numFmt numFmtId="167" formatCode="0."/>
  </numFmts>
  <fonts count="13"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
      <b/>
      <sz val="10"/>
      <color rgb="FFFFFFFF"/>
      <name val="Segoe UI"/>
      <family val="2"/>
    </font>
    <font>
      <sz val="9"/>
      <color theme="1"/>
      <name val="Segoe UI"/>
      <family val="2"/>
    </font>
    <font>
      <b/>
      <sz val="9"/>
      <color rgb="FFFFFFFF"/>
      <name val="Segoe UI"/>
      <family val="2"/>
    </font>
    <font>
      <i/>
      <sz val="7"/>
      <color rgb="FF969696"/>
      <name val="Consolas"/>
      <family val="3"/>
    </font>
  </fonts>
  <fills count="8">
    <fill>
      <patternFill patternType="none"/>
    </fill>
    <fill>
      <patternFill patternType="gray125"/>
    </fill>
    <fill>
      <patternFill patternType="solid">
        <fgColor rgb="FFDCE6F1"/>
        <bgColor rgb="FFDCE6F1"/>
      </patternFill>
    </fill>
    <fill>
      <patternFill patternType="solid">
        <fgColor rgb="FF4F81BD"/>
        <bgColor indexed="64"/>
      </patternFill>
    </fill>
    <fill>
      <patternFill patternType="solid">
        <fgColor rgb="FFF7F9FC"/>
        <bgColor indexed="64"/>
      </patternFill>
    </fill>
    <fill>
      <patternFill patternType="solid">
        <fgColor rgb="FFFFFF00"/>
        <bgColor indexed="64"/>
      </patternFill>
    </fill>
    <fill>
      <patternFill patternType="solid">
        <fgColor rgb="FFFFEB9C"/>
      </patternFill>
    </fill>
    <fill>
      <patternFill patternType="solid">
        <fgColor rgb="FF19375F"/>
        <bgColor indexed="64"/>
      </patternFill>
    </fill>
  </fills>
  <borders count="5">
    <border>
      <left/>
      <right/>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4" applyNumberFormat="0" applyFill="0" applyAlignment="0" applyProtection="0"/>
    <xf numFmtId="0" fontId="5" fillId="0" borderId="0" applyNumberFormat="0" applyFill="0" applyBorder="0" applyAlignment="0" applyProtection="0"/>
    <xf numFmtId="0" fontId="7" fillId="6" borderId="0" applyNumberFormat="0" applyBorder="0" applyAlignment="0" applyProtection="0"/>
  </cellStyleXfs>
  <cellXfs count="28">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5" borderId="0" xfId="0" applyFill="1"/>
    <xf numFmtId="0" fontId="5" fillId="0" borderId="4" xfId="2"/>
    <xf numFmtId="0" fontId="6" fillId="0" borderId="3" xfId="3" applyFont="1" applyBorder="1"/>
    <xf numFmtId="0" fontId="8" fillId="0" borderId="0" xfId="0" applyFont="1"/>
    <xf numFmtId="0" fontId="7" fillId="6" borderId="0" xfId="4"/>
    <xf numFmtId="166" fontId="0" fillId="0" borderId="0" xfId="0" applyNumberFormat="1"/>
    <xf numFmtId="0" fontId="9" fillId="3" borderId="1" xfId="0" applyFont="1" applyFill="1" applyBorder="1"/>
    <xf numFmtId="0" fontId="10" fillId="4" borderId="2" xfId="0" applyFont="1" applyFill="1" applyBorder="1"/>
    <xf numFmtId="165" fontId="10" fillId="4" borderId="2" xfId="0" applyNumberFormat="1" applyFont="1" applyFill="1" applyBorder="1"/>
    <xf numFmtId="0" fontId="10" fillId="0" borderId="2" xfId="0" applyFont="1" applyBorder="1"/>
    <xf numFmtId="165" fontId="10" fillId="0" borderId="2" xfId="0" applyNumberFormat="1" applyFont="1" applyBorder="1"/>
    <xf numFmtId="167" fontId="10" fillId="4" borderId="2" xfId="0" applyNumberFormat="1" applyFont="1" applyFill="1" applyBorder="1"/>
    <xf numFmtId="2" fontId="10" fillId="4" borderId="2" xfId="0" applyNumberFormat="1" applyFont="1" applyFill="1" applyBorder="1"/>
    <xf numFmtId="14" fontId="10" fillId="4" borderId="2" xfId="0" applyNumberFormat="1" applyFont="1" applyFill="1" applyBorder="1"/>
    <xf numFmtId="167" fontId="10" fillId="0" borderId="2" xfId="0" applyNumberFormat="1" applyFont="1" applyBorder="1"/>
    <xf numFmtId="2" fontId="10" fillId="0" borderId="2" xfId="0" applyNumberFormat="1" applyFont="1" applyBorder="1"/>
    <xf numFmtId="14" fontId="10" fillId="0" borderId="2" xfId="0" applyNumberFormat="1" applyFont="1" applyBorder="1"/>
    <xf numFmtId="166" fontId="10" fillId="4" borderId="2" xfId="0" applyNumberFormat="1" applyFont="1" applyFill="1" applyBorder="1"/>
    <xf numFmtId="0" fontId="12" fillId="0" borderId="0" xfId="0" applyFont="1"/>
    <xf numFmtId="166" fontId="10" fillId="0" borderId="2" xfId="0" applyNumberFormat="1" applyFont="1" applyBorder="1"/>
    <xf numFmtId="0" fontId="11" fillId="7" borderId="2" xfId="0" applyFont="1" applyFill="1" applyBorder="1" applyAlignment="1">
      <alignment horizontal="left" vertical="center"/>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8</xdr:col>
      <xdr:colOff>63500</xdr:colOff>
      <xdr:row>0</xdr:row>
      <xdr:rowOff>12700</xdr:rowOff>
    </xdr:from>
    <xdr:to>
      <xdr:col>8</xdr:col>
      <xdr:colOff>1054100</xdr:colOff>
      <xdr:row>0</xdr:row>
      <xdr:rowOff>266700</xdr:rowOff>
    </xdr:to>
    <xdr:pic>
      <xdr:nvPicPr>
        <xdr:cNvPr id="3" name="Picture 2">
          <a:extLst>
            <a:ext uri="{FF2B5EF4-FFF2-40B4-BE49-F238E27FC236}">
              <a16:creationId xmlns:a16="http://schemas.microsoft.com/office/drawing/2014/main" id="{20728741-C909-CA16-EAD3-CD1ED82D13A9}"/>
            </a:ext>
          </a:extLst>
        </xdr:cNvPr>
        <xdr:cNvPicPr>
          <a:picLocks/>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45100" y="12700"/>
          <a:ext cx="990600" cy="254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9</xdr:col>
      <xdr:colOff>63500</xdr:colOff>
      <xdr:row>0</xdr:row>
      <xdr:rowOff>12700</xdr:rowOff>
    </xdr:from>
    <xdr:to>
      <xdr:col>9</xdr:col>
      <xdr:colOff>1054100</xdr:colOff>
      <xdr:row>0</xdr:row>
      <xdr:rowOff>266700</xdr:rowOff>
    </xdr:to>
    <xdr:pic>
      <xdr:nvPicPr>
        <xdr:cNvPr id="3" name="Picture 2">
          <a:extLst>
            <a:ext uri="{FF2B5EF4-FFF2-40B4-BE49-F238E27FC236}">
              <a16:creationId xmlns:a16="http://schemas.microsoft.com/office/drawing/2014/main" id="{A085F38F-C891-2518-CCC1-2CB441510F1A}"/>
            </a:ext>
          </a:extLst>
        </xdr:cNvPr>
        <xdr:cNvPicPr>
          <a:picLocks/>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892800" y="12700"/>
          <a:ext cx="990600" cy="2540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8</xdr:col>
      <xdr:colOff>63500</xdr:colOff>
      <xdr:row>0</xdr:row>
      <xdr:rowOff>12700</xdr:rowOff>
    </xdr:from>
    <xdr:to>
      <xdr:col>9</xdr:col>
      <xdr:colOff>244475</xdr:colOff>
      <xdr:row>0</xdr:row>
      <xdr:rowOff>266700</xdr:rowOff>
    </xdr:to>
    <xdr:pic>
      <xdr:nvPicPr>
        <xdr:cNvPr id="3" name="Picture 2">
          <a:extLst>
            <a:ext uri="{FF2B5EF4-FFF2-40B4-BE49-F238E27FC236}">
              <a16:creationId xmlns:a16="http://schemas.microsoft.com/office/drawing/2014/main" id="{34E492A2-B2F9-1988-1306-E53E1E02D44E}"/>
            </a:ext>
          </a:extLst>
        </xdr:cNvPr>
        <xdr:cNvPicPr>
          <a:picLocks/>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849938" y="12700"/>
          <a:ext cx="990600" cy="25400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AB26E6-47CF-4E06-9E62-B2D472D12580}">
  <dimension ref="A1:AF957"/>
  <sheetViews>
    <sheetView workbookViewId="0">
      <selection sqref="A1:H1"/>
    </sheetView>
  </sheetViews>
  <sheetFormatPr defaultRowHeight="14.25" x14ac:dyDescent="0.45"/>
  <cols>
    <col min="2" max="2" width="30.59765625" customWidth="1"/>
    <col min="3" max="5" width="10.59765625" customWidth="1"/>
    <col min="8" max="8" width="28.1328125" bestFit="1" customWidth="1"/>
    <col min="9" max="9" width="30.59765625" customWidth="1"/>
    <col min="10" max="11" width="10.59765625" customWidth="1"/>
    <col min="12" max="12" width="30.59765625" customWidth="1"/>
    <col min="16" max="16" width="28.1328125" bestFit="1" customWidth="1"/>
    <col min="17" max="17" width="18.06640625" bestFit="1" customWidth="1"/>
    <col min="18" max="18" width="10.59765625" customWidth="1"/>
    <col min="21" max="21" width="10.59765625" customWidth="1"/>
    <col min="22" max="22" width="30.59765625" customWidth="1"/>
    <col min="23" max="23" width="18.06640625" bestFit="1" customWidth="1"/>
    <col min="24" max="24" width="10.59765625" customWidth="1"/>
  </cols>
  <sheetData>
    <row r="1" spans="1:32" ht="22.05" customHeight="1" x14ac:dyDescent="0.45">
      <c r="A1" s="27" t="s">
        <v>123</v>
      </c>
      <c r="B1" s="27"/>
      <c r="C1" s="27"/>
      <c r="D1" s="27"/>
      <c r="E1" s="27"/>
      <c r="F1" s="27"/>
      <c r="G1" s="27"/>
      <c r="H1" s="27"/>
    </row>
    <row r="2" spans="1:32" ht="14.65" thickBot="1" x14ac:dyDescent="0.5">
      <c r="B2" s="25" t="s">
        <v>0</v>
      </c>
      <c r="H2" s="25" t="s">
        <v>409</v>
      </c>
      <c r="P2" s="25" t="s">
        <v>479</v>
      </c>
      <c r="U2" s="25" t="s">
        <v>479</v>
      </c>
    </row>
    <row r="3" spans="1:32" ht="15.75" thickBot="1" x14ac:dyDescent="0.6">
      <c r="B3" s="13" t="s">
        <v>3</v>
      </c>
      <c r="C3" s="13" t="s">
        <v>127</v>
      </c>
      <c r="D3" s="13" t="s">
        <v>128</v>
      </c>
      <c r="E3" s="13" t="s">
        <v>129</v>
      </c>
      <c r="H3" s="13" t="s">
        <v>3</v>
      </c>
      <c r="I3" s="13" t="s">
        <v>410</v>
      </c>
      <c r="J3" s="13" t="s">
        <v>411</v>
      </c>
      <c r="K3" s="13" t="s">
        <v>412</v>
      </c>
      <c r="L3" s="13" t="s">
        <v>14</v>
      </c>
      <c r="P3" s="13" t="s">
        <v>3</v>
      </c>
      <c r="Q3" s="13" t="s">
        <v>410</v>
      </c>
      <c r="R3" s="13" t="s">
        <v>480</v>
      </c>
      <c r="U3" s="13" t="s">
        <v>498</v>
      </c>
      <c r="V3" s="13" t="s">
        <v>3</v>
      </c>
      <c r="W3" s="13" t="s">
        <v>410</v>
      </c>
      <c r="X3" s="13" t="s">
        <v>480</v>
      </c>
      <c r="AA3" t="s">
        <v>409</v>
      </c>
    </row>
    <row r="4" spans="1:32" x14ac:dyDescent="0.45">
      <c r="B4" s="14" t="s">
        <v>130</v>
      </c>
      <c r="C4" s="19">
        <v>7.1499040000000003</v>
      </c>
      <c r="D4" s="15">
        <v>2.2000000000000002</v>
      </c>
      <c r="E4" s="24">
        <v>0.99987999999999999</v>
      </c>
      <c r="H4" s="14" t="s">
        <v>413</v>
      </c>
      <c r="I4" s="14" t="s">
        <v>414</v>
      </c>
      <c r="J4" s="24">
        <v>0.16334725636680425</v>
      </c>
      <c r="K4" s="14" t="s">
        <v>415</v>
      </c>
      <c r="L4" s="14" t="s">
        <v>414</v>
      </c>
      <c r="P4" s="14" t="s">
        <v>413</v>
      </c>
      <c r="Q4" s="14" t="s">
        <v>481</v>
      </c>
      <c r="R4" s="14" t="s">
        <v>482</v>
      </c>
      <c r="U4" s="14" t="s">
        <v>126</v>
      </c>
      <c r="V4" s="14" t="s">
        <v>499</v>
      </c>
      <c r="W4" s="14" t="s">
        <v>500</v>
      </c>
      <c r="X4" s="14" t="s">
        <v>501</v>
      </c>
      <c r="AA4" t="s">
        <v>410</v>
      </c>
      <c r="AB4" t="s">
        <v>1521</v>
      </c>
      <c r="AC4" t="s">
        <v>1523</v>
      </c>
      <c r="AD4" t="s">
        <v>1524</v>
      </c>
      <c r="AE4" t="s">
        <v>1525</v>
      </c>
      <c r="AF4" t="s">
        <v>1526</v>
      </c>
    </row>
    <row r="5" spans="1:32" x14ac:dyDescent="0.45">
      <c r="B5" s="16" t="s">
        <v>131</v>
      </c>
      <c r="C5" s="22">
        <v>1.7874760000000001</v>
      </c>
      <c r="D5" s="17">
        <v>228.8</v>
      </c>
      <c r="E5" s="26">
        <v>0.98751999999999995</v>
      </c>
      <c r="H5" s="16" t="s">
        <v>416</v>
      </c>
      <c r="I5" s="16" t="s">
        <v>414</v>
      </c>
      <c r="J5" s="26">
        <v>0.15606059038965928</v>
      </c>
      <c r="K5" s="16" t="s">
        <v>415</v>
      </c>
      <c r="L5" s="16" t="s">
        <v>414</v>
      </c>
      <c r="P5" s="16" t="s">
        <v>416</v>
      </c>
      <c r="Q5" s="16" t="s">
        <v>483</v>
      </c>
      <c r="R5" s="16" t="s">
        <v>482</v>
      </c>
      <c r="U5" s="16" t="s">
        <v>126</v>
      </c>
      <c r="V5" s="16" t="s">
        <v>502</v>
      </c>
      <c r="W5" s="16" t="s">
        <v>500</v>
      </c>
      <c r="X5" s="16" t="s">
        <v>501</v>
      </c>
      <c r="AA5" t="s">
        <v>1520</v>
      </c>
      <c r="AB5" t="s">
        <v>1522</v>
      </c>
      <c r="AC5">
        <v>2</v>
      </c>
      <c r="AE5">
        <v>0</v>
      </c>
      <c r="AF5" t="s">
        <v>1527</v>
      </c>
    </row>
    <row r="6" spans="1:32" x14ac:dyDescent="0.45">
      <c r="B6" s="14" t="s">
        <v>132</v>
      </c>
      <c r="C6" s="19">
        <v>1.7874760000000001</v>
      </c>
      <c r="D6" s="15">
        <v>41.800000000000004</v>
      </c>
      <c r="E6" s="24">
        <v>0.99772000000000005</v>
      </c>
      <c r="H6" s="14" t="s">
        <v>417</v>
      </c>
      <c r="I6" s="14" t="s">
        <v>414</v>
      </c>
      <c r="J6" s="24">
        <v>7.6139547249471487E-2</v>
      </c>
      <c r="K6" s="14" t="s">
        <v>415</v>
      </c>
      <c r="L6" s="14" t="s">
        <v>414</v>
      </c>
      <c r="P6" s="14" t="s">
        <v>417</v>
      </c>
      <c r="Q6" s="14" t="s">
        <v>484</v>
      </c>
      <c r="R6" s="14" t="s">
        <v>482</v>
      </c>
      <c r="U6" s="14" t="s">
        <v>126</v>
      </c>
      <c r="V6" s="14" t="s">
        <v>503</v>
      </c>
      <c r="W6" s="14" t="s">
        <v>500</v>
      </c>
      <c r="X6" s="14" t="s">
        <v>501</v>
      </c>
      <c r="AA6" t="s">
        <v>1520</v>
      </c>
      <c r="AB6" t="s">
        <v>1522</v>
      </c>
      <c r="AD6">
        <v>2</v>
      </c>
      <c r="AE6">
        <v>0</v>
      </c>
      <c r="AF6" t="s">
        <v>1528</v>
      </c>
    </row>
    <row r="7" spans="1:32" x14ac:dyDescent="0.45">
      <c r="B7" s="16" t="s">
        <v>133</v>
      </c>
      <c r="C7" s="22">
        <v>1.966224</v>
      </c>
      <c r="D7" s="17">
        <v>2.2000000000000002</v>
      </c>
      <c r="E7" s="26">
        <v>0.99987999999999999</v>
      </c>
      <c r="H7" s="16" t="s">
        <v>418</v>
      </c>
      <c r="I7" s="16" t="s">
        <v>414</v>
      </c>
      <c r="J7" s="26">
        <v>7.142530093642345E-2</v>
      </c>
      <c r="K7" s="16" t="s">
        <v>415</v>
      </c>
      <c r="L7" s="16" t="s">
        <v>414</v>
      </c>
      <c r="P7" s="16" t="s">
        <v>418</v>
      </c>
      <c r="Q7" s="16" t="s">
        <v>485</v>
      </c>
      <c r="R7" s="16" t="s">
        <v>482</v>
      </c>
      <c r="U7" s="16" t="s">
        <v>126</v>
      </c>
      <c r="V7" s="16" t="s">
        <v>504</v>
      </c>
      <c r="W7" s="16" t="s">
        <v>500</v>
      </c>
      <c r="X7" s="16" t="s">
        <v>501</v>
      </c>
    </row>
    <row r="8" spans="1:32" x14ac:dyDescent="0.45">
      <c r="B8" s="14" t="s">
        <v>134</v>
      </c>
      <c r="C8" s="19">
        <v>1.7874760000000001</v>
      </c>
      <c r="D8" s="15">
        <v>2.2000000000000002</v>
      </c>
      <c r="E8" s="24">
        <v>0.99987999999999999</v>
      </c>
      <c r="H8" s="14" t="s">
        <v>419</v>
      </c>
      <c r="I8" s="14" t="s">
        <v>414</v>
      </c>
      <c r="J8" s="24">
        <v>7.0295400360142452E-2</v>
      </c>
      <c r="K8" s="14" t="s">
        <v>415</v>
      </c>
      <c r="L8" s="14" t="s">
        <v>414</v>
      </c>
      <c r="P8" s="14" t="s">
        <v>419</v>
      </c>
      <c r="Q8" s="14" t="s">
        <v>486</v>
      </c>
      <c r="R8" s="14" t="s">
        <v>482</v>
      </c>
      <c r="U8" s="14" t="s">
        <v>126</v>
      </c>
      <c r="V8" s="14" t="s">
        <v>505</v>
      </c>
      <c r="W8" s="14" t="s">
        <v>500</v>
      </c>
      <c r="X8" s="14" t="s">
        <v>501</v>
      </c>
    </row>
    <row r="9" spans="1:32" x14ac:dyDescent="0.45">
      <c r="B9" s="16" t="s">
        <v>135</v>
      </c>
      <c r="C9" s="22">
        <v>0.49155599999999999</v>
      </c>
      <c r="D9" s="17">
        <v>94.600000000000009</v>
      </c>
      <c r="E9" s="26">
        <v>0.99483999999999995</v>
      </c>
      <c r="H9" s="16" t="s">
        <v>420</v>
      </c>
      <c r="I9" s="16" t="s">
        <v>414</v>
      </c>
      <c r="J9" s="26">
        <v>6.1651841951027971E-2</v>
      </c>
      <c r="K9" s="16" t="s">
        <v>415</v>
      </c>
      <c r="L9" s="16" t="s">
        <v>414</v>
      </c>
      <c r="P9" s="16" t="s">
        <v>420</v>
      </c>
      <c r="Q9" s="16" t="s">
        <v>487</v>
      </c>
      <c r="R9" s="16" t="s">
        <v>482</v>
      </c>
      <c r="U9" s="16" t="s">
        <v>126</v>
      </c>
      <c r="V9" s="16" t="s">
        <v>506</v>
      </c>
      <c r="W9" s="16" t="s">
        <v>500</v>
      </c>
      <c r="X9" s="16" t="s">
        <v>501</v>
      </c>
    </row>
    <row r="10" spans="1:32" x14ac:dyDescent="0.45">
      <c r="B10" s="14" t="s">
        <v>136</v>
      </c>
      <c r="C10" s="19">
        <v>5.3624289999999997</v>
      </c>
      <c r="D10" s="15">
        <v>2.2000000000000002</v>
      </c>
      <c r="E10" s="24">
        <v>0.99987999999999999</v>
      </c>
      <c r="H10" s="14" t="s">
        <v>421</v>
      </c>
      <c r="I10" s="14" t="s">
        <v>414</v>
      </c>
      <c r="J10" s="24">
        <v>5.6061651192209447E-2</v>
      </c>
      <c r="K10" s="14" t="s">
        <v>415</v>
      </c>
      <c r="L10" s="14" t="s">
        <v>414</v>
      </c>
      <c r="P10" s="14" t="s">
        <v>421</v>
      </c>
      <c r="Q10" s="14" t="s">
        <v>488</v>
      </c>
      <c r="R10" s="14" t="s">
        <v>482</v>
      </c>
      <c r="U10" s="14" t="s">
        <v>126</v>
      </c>
      <c r="V10" s="14" t="s">
        <v>507</v>
      </c>
      <c r="W10" s="14" t="s">
        <v>500</v>
      </c>
      <c r="X10" s="14" t="s">
        <v>501</v>
      </c>
    </row>
    <row r="11" spans="1:32" x14ac:dyDescent="0.45">
      <c r="B11" s="16" t="s">
        <v>137</v>
      </c>
      <c r="C11" s="22">
        <v>3.5749520000000001</v>
      </c>
      <c r="D11" s="17">
        <v>2.2000000000000002</v>
      </c>
      <c r="E11" s="26">
        <v>0.99987999999999999</v>
      </c>
      <c r="H11" s="16" t="s">
        <v>422</v>
      </c>
      <c r="I11" s="16" t="s">
        <v>414</v>
      </c>
      <c r="J11" s="26">
        <v>5.4278853166362988E-2</v>
      </c>
      <c r="K11" s="16" t="s">
        <v>415</v>
      </c>
      <c r="L11" s="16" t="s">
        <v>414</v>
      </c>
      <c r="P11" s="16" t="s">
        <v>422</v>
      </c>
      <c r="Q11" s="16" t="s">
        <v>489</v>
      </c>
      <c r="R11" s="16" t="s">
        <v>482</v>
      </c>
      <c r="U11" s="16" t="s">
        <v>126</v>
      </c>
      <c r="V11" s="16" t="s">
        <v>508</v>
      </c>
      <c r="W11" s="16" t="s">
        <v>500</v>
      </c>
      <c r="X11" s="16" t="s">
        <v>501</v>
      </c>
    </row>
    <row r="12" spans="1:32" x14ac:dyDescent="0.45">
      <c r="B12" s="14" t="s">
        <v>138</v>
      </c>
      <c r="C12" s="19">
        <v>3.5749520000000001</v>
      </c>
      <c r="D12" s="15">
        <v>14.3</v>
      </c>
      <c r="E12" s="24">
        <v>0.99922</v>
      </c>
      <c r="H12" s="14" t="s">
        <v>423</v>
      </c>
      <c r="I12" s="14" t="s">
        <v>414</v>
      </c>
      <c r="J12" s="24">
        <v>4.1843913512768081E-2</v>
      </c>
      <c r="K12" s="14" t="s">
        <v>415</v>
      </c>
      <c r="L12" s="14" t="s">
        <v>414</v>
      </c>
      <c r="P12" s="14" t="s">
        <v>423</v>
      </c>
      <c r="Q12" s="14" t="s">
        <v>490</v>
      </c>
      <c r="R12" s="14" t="s">
        <v>482</v>
      </c>
      <c r="U12" s="14" t="s">
        <v>126</v>
      </c>
      <c r="V12" s="14" t="s">
        <v>509</v>
      </c>
      <c r="W12" s="14" t="s">
        <v>500</v>
      </c>
      <c r="X12" s="14" t="s">
        <v>501</v>
      </c>
    </row>
    <row r="13" spans="1:32" x14ac:dyDescent="0.45">
      <c r="B13" s="16" t="s">
        <v>139</v>
      </c>
      <c r="C13" s="22">
        <v>0.49155599999999999</v>
      </c>
      <c r="D13" s="17">
        <v>63.800000000000004</v>
      </c>
      <c r="E13" s="26">
        <v>0.99651999999999996</v>
      </c>
      <c r="H13" s="16" t="s">
        <v>424</v>
      </c>
      <c r="I13" s="16" t="s">
        <v>414</v>
      </c>
      <c r="J13" s="26">
        <v>4.1165536911950719E-2</v>
      </c>
      <c r="K13" s="16" t="s">
        <v>415</v>
      </c>
      <c r="L13" s="16" t="s">
        <v>414</v>
      </c>
      <c r="P13" s="16" t="s">
        <v>424</v>
      </c>
      <c r="Q13" s="16" t="s">
        <v>491</v>
      </c>
      <c r="R13" s="16" t="s">
        <v>482</v>
      </c>
      <c r="U13" s="16" t="s">
        <v>126</v>
      </c>
      <c r="V13" s="16" t="s">
        <v>510</v>
      </c>
      <c r="W13" s="16" t="s">
        <v>500</v>
      </c>
      <c r="X13" s="16" t="s">
        <v>501</v>
      </c>
    </row>
    <row r="14" spans="1:32" x14ac:dyDescent="0.45">
      <c r="B14" s="14" t="s">
        <v>140</v>
      </c>
      <c r="C14" s="19">
        <v>0.49155599999999999</v>
      </c>
      <c r="D14" s="15">
        <v>17.600000000000001</v>
      </c>
      <c r="E14" s="24">
        <v>0.99904000000000004</v>
      </c>
      <c r="H14" s="14" t="s">
        <v>425</v>
      </c>
      <c r="I14" s="14" t="s">
        <v>414</v>
      </c>
      <c r="J14" s="24">
        <v>3.8316791443566603E-2</v>
      </c>
      <c r="K14" s="14" t="s">
        <v>415</v>
      </c>
      <c r="L14" s="14" t="s">
        <v>414</v>
      </c>
      <c r="P14" s="14" t="s">
        <v>425</v>
      </c>
      <c r="Q14" s="14" t="s">
        <v>492</v>
      </c>
      <c r="R14" s="14" t="s">
        <v>482</v>
      </c>
      <c r="U14" s="14" t="s">
        <v>126</v>
      </c>
      <c r="V14" s="14" t="s">
        <v>511</v>
      </c>
      <c r="W14" s="14" t="s">
        <v>500</v>
      </c>
      <c r="X14" s="14" t="s">
        <v>501</v>
      </c>
    </row>
    <row r="15" spans="1:32" x14ac:dyDescent="0.45">
      <c r="B15" s="16" t="s">
        <v>141</v>
      </c>
      <c r="C15" s="22">
        <v>0.49155599999999999</v>
      </c>
      <c r="D15" s="17">
        <v>102.30000000000001</v>
      </c>
      <c r="E15" s="26">
        <v>0.99441999999999997</v>
      </c>
      <c r="H15" s="16" t="s">
        <v>426</v>
      </c>
      <c r="I15" s="16" t="s">
        <v>414</v>
      </c>
      <c r="J15" s="26">
        <v>3.6499557114935237E-2</v>
      </c>
      <c r="K15" s="16" t="s">
        <v>415</v>
      </c>
      <c r="L15" s="16" t="s">
        <v>414</v>
      </c>
      <c r="P15" s="16" t="s">
        <v>426</v>
      </c>
      <c r="Q15" s="16" t="s">
        <v>493</v>
      </c>
      <c r="R15" s="16" t="s">
        <v>482</v>
      </c>
      <c r="U15" s="16" t="s">
        <v>126</v>
      </c>
      <c r="V15" s="16" t="s">
        <v>512</v>
      </c>
      <c r="W15" s="16" t="s">
        <v>500</v>
      </c>
      <c r="X15" s="16" t="s">
        <v>501</v>
      </c>
    </row>
    <row r="16" spans="1:32" x14ac:dyDescent="0.45">
      <c r="B16" s="14" t="s">
        <v>142</v>
      </c>
      <c r="C16" s="19">
        <v>1.7874760000000001</v>
      </c>
      <c r="D16" s="15">
        <v>124.30000000000001</v>
      </c>
      <c r="E16" s="24">
        <v>0.99321999999999999</v>
      </c>
      <c r="H16" s="14" t="s">
        <v>427</v>
      </c>
      <c r="I16" s="14" t="s">
        <v>414</v>
      </c>
      <c r="J16" s="24">
        <v>3.5092402532135629E-2</v>
      </c>
      <c r="K16" s="14" t="s">
        <v>415</v>
      </c>
      <c r="L16" s="14" t="s">
        <v>414</v>
      </c>
      <c r="P16" s="14" t="s">
        <v>427</v>
      </c>
      <c r="Q16" s="14" t="s">
        <v>494</v>
      </c>
      <c r="R16" s="14" t="s">
        <v>482</v>
      </c>
      <c r="U16" s="14" t="s">
        <v>126</v>
      </c>
      <c r="V16" s="14" t="s">
        <v>513</v>
      </c>
      <c r="W16" s="14" t="s">
        <v>500</v>
      </c>
      <c r="X16" s="14" t="s">
        <v>501</v>
      </c>
    </row>
    <row r="17" spans="2:24" x14ac:dyDescent="0.45">
      <c r="B17" s="16" t="s">
        <v>143</v>
      </c>
      <c r="C17" s="22">
        <v>0.49155599999999999</v>
      </c>
      <c r="D17" s="17">
        <v>4.4000000000000004</v>
      </c>
      <c r="E17" s="26">
        <v>0.99975999999999998</v>
      </c>
      <c r="H17" s="16" t="s">
        <v>428</v>
      </c>
      <c r="I17" s="16" t="s">
        <v>414</v>
      </c>
      <c r="J17" s="26">
        <v>3.3196503064393326E-2</v>
      </c>
      <c r="K17" s="16" t="s">
        <v>415</v>
      </c>
      <c r="L17" s="16" t="s">
        <v>414</v>
      </c>
      <c r="P17" s="16" t="s">
        <v>428</v>
      </c>
      <c r="Q17" s="16" t="s">
        <v>495</v>
      </c>
      <c r="R17" s="16" t="s">
        <v>482</v>
      </c>
      <c r="U17" s="16" t="s">
        <v>126</v>
      </c>
      <c r="V17" s="16" t="s">
        <v>514</v>
      </c>
      <c r="W17" s="16" t="s">
        <v>515</v>
      </c>
      <c r="X17" s="16" t="s">
        <v>501</v>
      </c>
    </row>
    <row r="18" spans="2:24" x14ac:dyDescent="0.45">
      <c r="B18" s="14" t="s">
        <v>144</v>
      </c>
      <c r="C18" s="19">
        <v>0.49155599999999999</v>
      </c>
      <c r="D18" s="15">
        <v>27.500000000000004</v>
      </c>
      <c r="E18" s="24">
        <v>0.99850000000000005</v>
      </c>
      <c r="H18" s="14" t="s">
        <v>429</v>
      </c>
      <c r="I18" s="14" t="s">
        <v>414</v>
      </c>
      <c r="J18" s="24">
        <v>2.4482679746362038E-2</v>
      </c>
      <c r="K18" s="14" t="s">
        <v>415</v>
      </c>
      <c r="L18" s="14" t="s">
        <v>414</v>
      </c>
      <c r="P18" s="14" t="s">
        <v>429</v>
      </c>
      <c r="Q18" s="14" t="s">
        <v>496</v>
      </c>
      <c r="R18" s="14" t="s">
        <v>482</v>
      </c>
      <c r="U18" s="14" t="s">
        <v>126</v>
      </c>
      <c r="V18" s="14" t="s">
        <v>516</v>
      </c>
      <c r="W18" s="14" t="s">
        <v>515</v>
      </c>
      <c r="X18" s="14" t="s">
        <v>501</v>
      </c>
    </row>
    <row r="19" spans="2:24" x14ac:dyDescent="0.45">
      <c r="B19" s="16" t="s">
        <v>145</v>
      </c>
      <c r="C19" s="22">
        <v>0.49155599999999999</v>
      </c>
      <c r="D19" s="17">
        <v>19.8</v>
      </c>
      <c r="E19" s="26">
        <v>0.99892000000000003</v>
      </c>
      <c r="H19" s="16" t="s">
        <v>430</v>
      </c>
      <c r="I19" s="16" t="s">
        <v>414</v>
      </c>
      <c r="J19" s="26">
        <v>2.0142174061786446E-2</v>
      </c>
      <c r="K19" s="16" t="s">
        <v>415</v>
      </c>
      <c r="L19" s="16" t="s">
        <v>414</v>
      </c>
      <c r="P19" s="16" t="s">
        <v>430</v>
      </c>
      <c r="Q19" s="16" t="s">
        <v>497</v>
      </c>
      <c r="R19" s="16" t="s">
        <v>482</v>
      </c>
      <c r="U19" s="16" t="s">
        <v>126</v>
      </c>
      <c r="V19" s="16" t="s">
        <v>517</v>
      </c>
      <c r="W19" s="16" t="s">
        <v>515</v>
      </c>
      <c r="X19" s="16" t="s">
        <v>501</v>
      </c>
    </row>
    <row r="20" spans="2:24" x14ac:dyDescent="0.45">
      <c r="B20" s="14" t="s">
        <v>146</v>
      </c>
      <c r="C20" s="19">
        <v>1.7874760000000001</v>
      </c>
      <c r="D20" s="15">
        <v>19.8</v>
      </c>
      <c r="E20" s="24">
        <v>0.99892000000000003</v>
      </c>
      <c r="H20" s="14" t="s">
        <v>431</v>
      </c>
      <c r="I20" s="14" t="s">
        <v>414</v>
      </c>
      <c r="J20" s="24">
        <v>0.16334725636680425</v>
      </c>
      <c r="K20" s="14" t="s">
        <v>415</v>
      </c>
      <c r="L20" s="14" t="s">
        <v>414</v>
      </c>
      <c r="P20" s="14" t="s">
        <v>431</v>
      </c>
      <c r="Q20" s="14" t="s">
        <v>481</v>
      </c>
      <c r="R20" s="14" t="s">
        <v>482</v>
      </c>
      <c r="U20" s="14" t="s">
        <v>126</v>
      </c>
      <c r="V20" s="14" t="s">
        <v>518</v>
      </c>
      <c r="W20" s="14" t="s">
        <v>515</v>
      </c>
      <c r="X20" s="14" t="s">
        <v>501</v>
      </c>
    </row>
    <row r="21" spans="2:24" x14ac:dyDescent="0.45">
      <c r="B21" s="16" t="s">
        <v>147</v>
      </c>
      <c r="C21" s="22">
        <v>3.5749529999999998</v>
      </c>
      <c r="D21" s="17">
        <v>14.3</v>
      </c>
      <c r="E21" s="26">
        <v>0.99922</v>
      </c>
      <c r="H21" s="16" t="s">
        <v>432</v>
      </c>
      <c r="I21" s="16" t="s">
        <v>414</v>
      </c>
      <c r="J21" s="26">
        <v>0.15606059038965928</v>
      </c>
      <c r="K21" s="16" t="s">
        <v>415</v>
      </c>
      <c r="L21" s="16" t="s">
        <v>414</v>
      </c>
      <c r="P21" s="16" t="s">
        <v>432</v>
      </c>
      <c r="Q21" s="16" t="s">
        <v>483</v>
      </c>
      <c r="R21" s="16" t="s">
        <v>482</v>
      </c>
      <c r="U21" s="16" t="s">
        <v>126</v>
      </c>
      <c r="V21" s="16" t="s">
        <v>519</v>
      </c>
      <c r="W21" s="16" t="s">
        <v>515</v>
      </c>
      <c r="X21" s="16" t="s">
        <v>501</v>
      </c>
    </row>
    <row r="22" spans="2:24" x14ac:dyDescent="0.45">
      <c r="B22" s="14" t="s">
        <v>148</v>
      </c>
      <c r="C22" s="19">
        <v>1.7874760000000001</v>
      </c>
      <c r="D22" s="15">
        <v>18.700000000000003</v>
      </c>
      <c r="E22" s="24">
        <v>0.99897999999999998</v>
      </c>
      <c r="H22" s="14" t="s">
        <v>433</v>
      </c>
      <c r="I22" s="14" t="s">
        <v>414</v>
      </c>
      <c r="J22" s="24">
        <v>7.6139547249471487E-2</v>
      </c>
      <c r="K22" s="14" t="s">
        <v>415</v>
      </c>
      <c r="L22" s="14" t="s">
        <v>414</v>
      </c>
      <c r="P22" s="14" t="s">
        <v>433</v>
      </c>
      <c r="Q22" s="14" t="s">
        <v>484</v>
      </c>
      <c r="R22" s="14" t="s">
        <v>482</v>
      </c>
      <c r="U22" s="14" t="s">
        <v>126</v>
      </c>
      <c r="V22" s="14" t="s">
        <v>520</v>
      </c>
      <c r="W22" s="14" t="s">
        <v>515</v>
      </c>
      <c r="X22" s="14" t="s">
        <v>501</v>
      </c>
    </row>
    <row r="23" spans="2:24" x14ac:dyDescent="0.45">
      <c r="B23" s="16" t="s">
        <v>149</v>
      </c>
      <c r="C23" s="22">
        <v>1.7874760000000001</v>
      </c>
      <c r="D23" s="17">
        <v>56.1</v>
      </c>
      <c r="E23" s="26">
        <v>0.99694000000000005</v>
      </c>
      <c r="H23" s="16" t="s">
        <v>434</v>
      </c>
      <c r="I23" s="16" t="s">
        <v>414</v>
      </c>
      <c r="J23" s="26">
        <v>7.142530093642345E-2</v>
      </c>
      <c r="K23" s="16" t="s">
        <v>415</v>
      </c>
      <c r="L23" s="16" t="s">
        <v>414</v>
      </c>
      <c r="P23" s="16" t="s">
        <v>434</v>
      </c>
      <c r="Q23" s="16" t="s">
        <v>485</v>
      </c>
      <c r="R23" s="16" t="s">
        <v>482</v>
      </c>
      <c r="U23" s="16" t="s">
        <v>126</v>
      </c>
      <c r="V23" s="16" t="s">
        <v>521</v>
      </c>
      <c r="W23" s="16" t="s">
        <v>515</v>
      </c>
      <c r="X23" s="16" t="s">
        <v>501</v>
      </c>
    </row>
    <row r="24" spans="2:24" x14ac:dyDescent="0.45">
      <c r="B24" s="14" t="s">
        <v>150</v>
      </c>
      <c r="C24" s="19">
        <v>3.5749529999999998</v>
      </c>
      <c r="D24" s="15">
        <v>36.300000000000004</v>
      </c>
      <c r="E24" s="24">
        <v>0.99802000000000002</v>
      </c>
      <c r="H24" s="14" t="s">
        <v>435</v>
      </c>
      <c r="I24" s="14" t="s">
        <v>414</v>
      </c>
      <c r="J24" s="24">
        <v>7.0295400360142452E-2</v>
      </c>
      <c r="K24" s="14" t="s">
        <v>415</v>
      </c>
      <c r="L24" s="14" t="s">
        <v>414</v>
      </c>
      <c r="P24" s="14" t="s">
        <v>435</v>
      </c>
      <c r="Q24" s="14" t="s">
        <v>486</v>
      </c>
      <c r="R24" s="14" t="s">
        <v>482</v>
      </c>
      <c r="U24" s="14" t="s">
        <v>126</v>
      </c>
      <c r="V24" s="14" t="s">
        <v>522</v>
      </c>
      <c r="W24" s="14" t="s">
        <v>515</v>
      </c>
      <c r="X24" s="14" t="s">
        <v>501</v>
      </c>
    </row>
    <row r="25" spans="2:24" x14ac:dyDescent="0.45">
      <c r="B25" s="16" t="s">
        <v>151</v>
      </c>
      <c r="C25" s="22">
        <v>3.5749529999999998</v>
      </c>
      <c r="D25" s="17">
        <v>40.700000000000003</v>
      </c>
      <c r="E25" s="26">
        <v>0.99778</v>
      </c>
      <c r="H25" s="16" t="s">
        <v>436</v>
      </c>
      <c r="I25" s="16" t="s">
        <v>414</v>
      </c>
      <c r="J25" s="26">
        <v>6.1651841951027971E-2</v>
      </c>
      <c r="K25" s="16" t="s">
        <v>415</v>
      </c>
      <c r="L25" s="16" t="s">
        <v>414</v>
      </c>
      <c r="P25" s="16" t="s">
        <v>436</v>
      </c>
      <c r="Q25" s="16" t="s">
        <v>487</v>
      </c>
      <c r="R25" s="16" t="s">
        <v>482</v>
      </c>
      <c r="U25" s="16" t="s">
        <v>126</v>
      </c>
      <c r="V25" s="16" t="s">
        <v>523</v>
      </c>
      <c r="W25" s="16" t="s">
        <v>515</v>
      </c>
      <c r="X25" s="16" t="s">
        <v>501</v>
      </c>
    </row>
    <row r="26" spans="2:24" x14ac:dyDescent="0.45">
      <c r="B26" s="14" t="s">
        <v>152</v>
      </c>
      <c r="C26" s="19">
        <v>3.5749529999999998</v>
      </c>
      <c r="D26" s="15">
        <v>42.900000000000006</v>
      </c>
      <c r="E26" s="24">
        <v>0.99765999999999999</v>
      </c>
      <c r="H26" s="14" t="s">
        <v>437</v>
      </c>
      <c r="I26" s="14" t="s">
        <v>414</v>
      </c>
      <c r="J26" s="24">
        <v>5.6061651192209447E-2</v>
      </c>
      <c r="K26" s="14" t="s">
        <v>415</v>
      </c>
      <c r="L26" s="14" t="s">
        <v>414</v>
      </c>
      <c r="P26" s="14" t="s">
        <v>437</v>
      </c>
      <c r="Q26" s="14" t="s">
        <v>488</v>
      </c>
      <c r="R26" s="14" t="s">
        <v>482</v>
      </c>
      <c r="U26" s="14" t="s">
        <v>126</v>
      </c>
      <c r="V26" s="14" t="s">
        <v>524</v>
      </c>
      <c r="W26" s="14" t="s">
        <v>515</v>
      </c>
      <c r="X26" s="14" t="s">
        <v>501</v>
      </c>
    </row>
    <row r="27" spans="2:24" x14ac:dyDescent="0.45">
      <c r="B27" s="16" t="s">
        <v>153</v>
      </c>
      <c r="C27" s="22">
        <v>3.5749520000000001</v>
      </c>
      <c r="D27" s="17">
        <v>5.5</v>
      </c>
      <c r="E27" s="26">
        <v>0.99970000000000003</v>
      </c>
      <c r="H27" s="16" t="s">
        <v>438</v>
      </c>
      <c r="I27" s="16" t="s">
        <v>414</v>
      </c>
      <c r="J27" s="26">
        <v>5.4278853166362988E-2</v>
      </c>
      <c r="K27" s="16" t="s">
        <v>415</v>
      </c>
      <c r="L27" s="16" t="s">
        <v>414</v>
      </c>
      <c r="P27" s="16" t="s">
        <v>438</v>
      </c>
      <c r="Q27" s="16" t="s">
        <v>489</v>
      </c>
      <c r="R27" s="16" t="s">
        <v>482</v>
      </c>
      <c r="U27" s="16" t="s">
        <v>126</v>
      </c>
      <c r="V27" s="16" t="s">
        <v>525</v>
      </c>
      <c r="W27" s="16" t="s">
        <v>515</v>
      </c>
      <c r="X27" s="16" t="s">
        <v>501</v>
      </c>
    </row>
    <row r="28" spans="2:24" x14ac:dyDescent="0.45">
      <c r="B28" s="14" t="s">
        <v>154</v>
      </c>
      <c r="C28" s="19">
        <v>0.98311199999999999</v>
      </c>
      <c r="D28" s="15">
        <v>17.600000000000001</v>
      </c>
      <c r="E28" s="24">
        <v>0.99904000000000004</v>
      </c>
      <c r="H28" s="14" t="s">
        <v>439</v>
      </c>
      <c r="I28" s="14" t="s">
        <v>414</v>
      </c>
      <c r="J28" s="24">
        <v>4.1843913512768081E-2</v>
      </c>
      <c r="K28" s="14" t="s">
        <v>415</v>
      </c>
      <c r="L28" s="14" t="s">
        <v>414</v>
      </c>
      <c r="P28" s="14" t="s">
        <v>439</v>
      </c>
      <c r="Q28" s="14" t="s">
        <v>490</v>
      </c>
      <c r="R28" s="14" t="s">
        <v>482</v>
      </c>
      <c r="U28" s="14" t="s">
        <v>126</v>
      </c>
      <c r="V28" s="14" t="s">
        <v>526</v>
      </c>
      <c r="W28" s="14" t="s">
        <v>515</v>
      </c>
      <c r="X28" s="14" t="s">
        <v>501</v>
      </c>
    </row>
    <row r="29" spans="2:24" x14ac:dyDescent="0.45">
      <c r="B29" s="16" t="s">
        <v>155</v>
      </c>
      <c r="C29" s="22">
        <v>0.98311199999999999</v>
      </c>
      <c r="D29" s="17">
        <v>2.2000000000000002</v>
      </c>
      <c r="E29" s="26">
        <v>0.99987999999999999</v>
      </c>
      <c r="H29" s="16" t="s">
        <v>440</v>
      </c>
      <c r="I29" s="16" t="s">
        <v>414</v>
      </c>
      <c r="J29" s="26">
        <v>4.1165536911950719E-2</v>
      </c>
      <c r="K29" s="16" t="s">
        <v>415</v>
      </c>
      <c r="L29" s="16" t="s">
        <v>414</v>
      </c>
      <c r="P29" s="16" t="s">
        <v>440</v>
      </c>
      <c r="Q29" s="16" t="s">
        <v>491</v>
      </c>
      <c r="R29" s="16" t="s">
        <v>482</v>
      </c>
      <c r="U29" s="16" t="s">
        <v>126</v>
      </c>
      <c r="V29" s="16" t="s">
        <v>527</v>
      </c>
      <c r="W29" s="16" t="s">
        <v>515</v>
      </c>
      <c r="X29" s="16" t="s">
        <v>501</v>
      </c>
    </row>
    <row r="30" spans="2:24" x14ac:dyDescent="0.45">
      <c r="B30" s="14" t="s">
        <v>156</v>
      </c>
      <c r="C30" s="19">
        <v>3.5749529999999998</v>
      </c>
      <c r="D30" s="15">
        <v>57.2</v>
      </c>
      <c r="E30" s="24">
        <v>0.99687999999999999</v>
      </c>
      <c r="H30" s="14" t="s">
        <v>441</v>
      </c>
      <c r="I30" s="14" t="s">
        <v>414</v>
      </c>
      <c r="J30" s="24">
        <v>3.8316791443566603E-2</v>
      </c>
      <c r="K30" s="14" t="s">
        <v>415</v>
      </c>
      <c r="L30" s="14" t="s">
        <v>414</v>
      </c>
      <c r="P30" s="14" t="s">
        <v>441</v>
      </c>
      <c r="Q30" s="14" t="s">
        <v>492</v>
      </c>
      <c r="R30" s="14" t="s">
        <v>482</v>
      </c>
      <c r="U30" s="14" t="s">
        <v>126</v>
      </c>
      <c r="V30" s="14" t="s">
        <v>528</v>
      </c>
      <c r="W30" s="14" t="s">
        <v>493</v>
      </c>
      <c r="X30" s="14" t="s">
        <v>501</v>
      </c>
    </row>
    <row r="31" spans="2:24" x14ac:dyDescent="0.45">
      <c r="B31" s="16" t="s">
        <v>157</v>
      </c>
      <c r="C31" s="22">
        <v>0.49155599999999999</v>
      </c>
      <c r="D31" s="17">
        <v>52.800000000000004</v>
      </c>
      <c r="E31" s="26">
        <v>0.99712000000000001</v>
      </c>
      <c r="H31" s="16" t="s">
        <v>442</v>
      </c>
      <c r="I31" s="16" t="s">
        <v>414</v>
      </c>
      <c r="J31" s="26">
        <v>3.6499557114935237E-2</v>
      </c>
      <c r="K31" s="16" t="s">
        <v>415</v>
      </c>
      <c r="L31" s="16" t="s">
        <v>414</v>
      </c>
      <c r="P31" s="16" t="s">
        <v>442</v>
      </c>
      <c r="Q31" s="16" t="s">
        <v>493</v>
      </c>
      <c r="R31" s="16" t="s">
        <v>482</v>
      </c>
      <c r="U31" s="16" t="s">
        <v>126</v>
      </c>
      <c r="V31" s="16" t="s">
        <v>529</v>
      </c>
      <c r="W31" s="16" t="s">
        <v>493</v>
      </c>
      <c r="X31" s="16" t="s">
        <v>501</v>
      </c>
    </row>
    <row r="32" spans="2:24" x14ac:dyDescent="0.45">
      <c r="B32" s="14" t="s">
        <v>158</v>
      </c>
      <c r="C32" s="19">
        <v>1.7874760000000001</v>
      </c>
      <c r="D32" s="15">
        <v>103.4</v>
      </c>
      <c r="E32" s="24">
        <v>0.99436000000000002</v>
      </c>
      <c r="H32" s="14" t="s">
        <v>443</v>
      </c>
      <c r="I32" s="14" t="s">
        <v>414</v>
      </c>
      <c r="J32" s="24">
        <v>3.5092402532135629E-2</v>
      </c>
      <c r="K32" s="14" t="s">
        <v>415</v>
      </c>
      <c r="L32" s="14" t="s">
        <v>414</v>
      </c>
      <c r="P32" s="14" t="s">
        <v>443</v>
      </c>
      <c r="Q32" s="14" t="s">
        <v>494</v>
      </c>
      <c r="R32" s="14" t="s">
        <v>482</v>
      </c>
      <c r="U32" s="14" t="s">
        <v>126</v>
      </c>
      <c r="V32" s="14" t="s">
        <v>530</v>
      </c>
      <c r="W32" s="14" t="s">
        <v>493</v>
      </c>
      <c r="X32" s="14" t="s">
        <v>501</v>
      </c>
    </row>
    <row r="33" spans="2:24" x14ac:dyDescent="0.45">
      <c r="B33" s="16" t="s">
        <v>159</v>
      </c>
      <c r="C33" s="22">
        <v>1.7874760000000001</v>
      </c>
      <c r="D33" s="17">
        <v>15.400000000000002</v>
      </c>
      <c r="E33" s="26">
        <v>0.99916000000000005</v>
      </c>
      <c r="H33" s="16" t="s">
        <v>444</v>
      </c>
      <c r="I33" s="16" t="s">
        <v>414</v>
      </c>
      <c r="J33" s="26">
        <v>3.3196503064393326E-2</v>
      </c>
      <c r="K33" s="16" t="s">
        <v>415</v>
      </c>
      <c r="L33" s="16" t="s">
        <v>414</v>
      </c>
      <c r="P33" s="16" t="s">
        <v>444</v>
      </c>
      <c r="Q33" s="16" t="s">
        <v>495</v>
      </c>
      <c r="R33" s="16" t="s">
        <v>482</v>
      </c>
      <c r="U33" s="16" t="s">
        <v>126</v>
      </c>
      <c r="V33" s="16" t="s">
        <v>531</v>
      </c>
      <c r="W33" s="16" t="s">
        <v>493</v>
      </c>
      <c r="X33" s="16" t="s">
        <v>501</v>
      </c>
    </row>
    <row r="34" spans="2:24" x14ac:dyDescent="0.45">
      <c r="B34" s="14" t="s">
        <v>160</v>
      </c>
      <c r="C34" s="19">
        <v>0.49155599999999999</v>
      </c>
      <c r="D34" s="15">
        <v>5.5</v>
      </c>
      <c r="E34" s="24">
        <v>0.99970000000000003</v>
      </c>
      <c r="H34" s="14" t="s">
        <v>445</v>
      </c>
      <c r="I34" s="14" t="s">
        <v>414</v>
      </c>
      <c r="J34" s="24">
        <v>2.4482679746362038E-2</v>
      </c>
      <c r="K34" s="14" t="s">
        <v>415</v>
      </c>
      <c r="L34" s="14" t="s">
        <v>414</v>
      </c>
      <c r="P34" s="14" t="s">
        <v>445</v>
      </c>
      <c r="Q34" s="14" t="s">
        <v>496</v>
      </c>
      <c r="R34" s="14" t="s">
        <v>482</v>
      </c>
      <c r="U34" s="14" t="s">
        <v>126</v>
      </c>
      <c r="V34" s="14" t="s">
        <v>532</v>
      </c>
      <c r="W34" s="14" t="s">
        <v>493</v>
      </c>
      <c r="X34" s="14" t="s">
        <v>501</v>
      </c>
    </row>
    <row r="35" spans="2:24" x14ac:dyDescent="0.45">
      <c r="B35" s="16" t="s">
        <v>161</v>
      </c>
      <c r="C35" s="22">
        <v>0.49155599999999999</v>
      </c>
      <c r="D35" s="17">
        <v>38.5</v>
      </c>
      <c r="E35" s="26">
        <v>0.99790000000000001</v>
      </c>
      <c r="H35" s="16" t="s">
        <v>446</v>
      </c>
      <c r="I35" s="16" t="s">
        <v>414</v>
      </c>
      <c r="J35" s="26">
        <v>2.0142174061786446E-2</v>
      </c>
      <c r="K35" s="16" t="s">
        <v>415</v>
      </c>
      <c r="L35" s="16" t="s">
        <v>414</v>
      </c>
      <c r="P35" s="16" t="s">
        <v>446</v>
      </c>
      <c r="Q35" s="16" t="s">
        <v>497</v>
      </c>
      <c r="R35" s="16" t="s">
        <v>482</v>
      </c>
      <c r="U35" s="16" t="s">
        <v>126</v>
      </c>
      <c r="V35" s="16" t="s">
        <v>533</v>
      </c>
      <c r="W35" s="16" t="s">
        <v>493</v>
      </c>
      <c r="X35" s="16" t="s">
        <v>501</v>
      </c>
    </row>
    <row r="36" spans="2:24" x14ac:dyDescent="0.45">
      <c r="B36" s="14" t="s">
        <v>162</v>
      </c>
      <c r="C36" s="19">
        <v>4.9155599999999993</v>
      </c>
      <c r="D36" s="15">
        <v>25.3</v>
      </c>
      <c r="E36" s="24">
        <v>0.99861999999999995</v>
      </c>
      <c r="H36" s="14" t="s">
        <v>447</v>
      </c>
      <c r="I36" s="14" t="s">
        <v>414</v>
      </c>
      <c r="J36" s="24">
        <v>0.16334725636680425</v>
      </c>
      <c r="K36" s="14" t="s">
        <v>415</v>
      </c>
      <c r="L36" s="14" t="s">
        <v>414</v>
      </c>
      <c r="P36" s="14" t="s">
        <v>447</v>
      </c>
      <c r="Q36" s="14" t="s">
        <v>481</v>
      </c>
      <c r="R36" s="14" t="s">
        <v>482</v>
      </c>
      <c r="U36" s="14" t="s">
        <v>126</v>
      </c>
      <c r="V36" s="14" t="s">
        <v>534</v>
      </c>
      <c r="W36" s="14" t="s">
        <v>493</v>
      </c>
      <c r="X36" s="14" t="s">
        <v>501</v>
      </c>
    </row>
    <row r="37" spans="2:24" x14ac:dyDescent="0.45">
      <c r="B37" s="16" t="s">
        <v>163</v>
      </c>
      <c r="C37" s="22">
        <v>1.7874760000000001</v>
      </c>
      <c r="D37" s="17">
        <v>26.400000000000002</v>
      </c>
      <c r="E37" s="26">
        <v>0.99856</v>
      </c>
      <c r="H37" s="16" t="s">
        <v>448</v>
      </c>
      <c r="I37" s="16" t="s">
        <v>414</v>
      </c>
      <c r="J37" s="26">
        <v>0.15606059038965928</v>
      </c>
      <c r="K37" s="16" t="s">
        <v>415</v>
      </c>
      <c r="L37" s="16" t="s">
        <v>414</v>
      </c>
      <c r="P37" s="16" t="s">
        <v>448</v>
      </c>
      <c r="Q37" s="16" t="s">
        <v>483</v>
      </c>
      <c r="R37" s="16" t="s">
        <v>482</v>
      </c>
      <c r="U37" s="16" t="s">
        <v>126</v>
      </c>
      <c r="V37" s="16" t="s">
        <v>535</v>
      </c>
      <c r="W37" s="16" t="s">
        <v>493</v>
      </c>
      <c r="X37" s="16" t="s">
        <v>501</v>
      </c>
    </row>
    <row r="38" spans="2:24" x14ac:dyDescent="0.45">
      <c r="B38" s="14" t="s">
        <v>164</v>
      </c>
      <c r="C38" s="19">
        <v>1.7874760000000001</v>
      </c>
      <c r="D38" s="15">
        <v>36.300000000000004</v>
      </c>
      <c r="E38" s="24">
        <v>0.99802000000000002</v>
      </c>
      <c r="H38" s="14" t="s">
        <v>449</v>
      </c>
      <c r="I38" s="14" t="s">
        <v>414</v>
      </c>
      <c r="J38" s="24">
        <v>7.6139547249471487E-2</v>
      </c>
      <c r="K38" s="14" t="s">
        <v>415</v>
      </c>
      <c r="L38" s="14" t="s">
        <v>414</v>
      </c>
      <c r="P38" s="14" t="s">
        <v>449</v>
      </c>
      <c r="Q38" s="14" t="s">
        <v>484</v>
      </c>
      <c r="R38" s="14" t="s">
        <v>482</v>
      </c>
      <c r="U38" s="14" t="s">
        <v>126</v>
      </c>
      <c r="V38" s="14" t="s">
        <v>536</v>
      </c>
      <c r="W38" s="14" t="s">
        <v>493</v>
      </c>
      <c r="X38" s="14" t="s">
        <v>501</v>
      </c>
    </row>
    <row r="39" spans="2:24" x14ac:dyDescent="0.45">
      <c r="B39" s="16" t="s">
        <v>165</v>
      </c>
      <c r="C39" s="22">
        <v>0.98311199999999999</v>
      </c>
      <c r="D39" s="17">
        <v>6.6000000000000005</v>
      </c>
      <c r="E39" s="26">
        <v>0.99963999999999997</v>
      </c>
      <c r="H39" s="16" t="s">
        <v>450</v>
      </c>
      <c r="I39" s="16" t="s">
        <v>414</v>
      </c>
      <c r="J39" s="26">
        <v>7.142530093642345E-2</v>
      </c>
      <c r="K39" s="16" t="s">
        <v>415</v>
      </c>
      <c r="L39" s="16" t="s">
        <v>414</v>
      </c>
      <c r="P39" s="16" t="s">
        <v>450</v>
      </c>
      <c r="Q39" s="16" t="s">
        <v>485</v>
      </c>
      <c r="R39" s="16" t="s">
        <v>482</v>
      </c>
      <c r="U39" s="16" t="s">
        <v>126</v>
      </c>
      <c r="V39" s="16" t="s">
        <v>537</v>
      </c>
      <c r="W39" s="16" t="s">
        <v>493</v>
      </c>
      <c r="X39" s="16" t="s">
        <v>501</v>
      </c>
    </row>
    <row r="40" spans="2:24" x14ac:dyDescent="0.45">
      <c r="B40" s="14" t="s">
        <v>166</v>
      </c>
      <c r="C40" s="19">
        <v>0.49155599999999999</v>
      </c>
      <c r="D40" s="15">
        <v>4.4000000000000004</v>
      </c>
      <c r="E40" s="24">
        <v>0.99975999999999998</v>
      </c>
      <c r="H40" s="14" t="s">
        <v>451</v>
      </c>
      <c r="I40" s="14" t="s">
        <v>414</v>
      </c>
      <c r="J40" s="24">
        <v>7.0295400360142452E-2</v>
      </c>
      <c r="K40" s="14" t="s">
        <v>415</v>
      </c>
      <c r="L40" s="14" t="s">
        <v>414</v>
      </c>
      <c r="P40" s="14" t="s">
        <v>451</v>
      </c>
      <c r="Q40" s="14" t="s">
        <v>486</v>
      </c>
      <c r="R40" s="14" t="s">
        <v>482</v>
      </c>
      <c r="U40" s="14" t="s">
        <v>126</v>
      </c>
      <c r="V40" s="14" t="s">
        <v>538</v>
      </c>
      <c r="W40" s="14" t="s">
        <v>493</v>
      </c>
      <c r="X40" s="14" t="s">
        <v>501</v>
      </c>
    </row>
    <row r="41" spans="2:24" x14ac:dyDescent="0.45">
      <c r="B41" s="16" t="s">
        <v>167</v>
      </c>
      <c r="C41" s="22">
        <v>0.98311199999999999</v>
      </c>
      <c r="D41" s="17">
        <v>5.5</v>
      </c>
      <c r="E41" s="26">
        <v>0.99970000000000003</v>
      </c>
      <c r="H41" s="16" t="s">
        <v>452</v>
      </c>
      <c r="I41" s="16" t="s">
        <v>414</v>
      </c>
      <c r="J41" s="26">
        <v>6.1651841951027971E-2</v>
      </c>
      <c r="K41" s="16" t="s">
        <v>415</v>
      </c>
      <c r="L41" s="16" t="s">
        <v>414</v>
      </c>
      <c r="P41" s="16" t="s">
        <v>452</v>
      </c>
      <c r="Q41" s="16" t="s">
        <v>487</v>
      </c>
      <c r="R41" s="16" t="s">
        <v>482</v>
      </c>
      <c r="U41" s="16" t="s">
        <v>126</v>
      </c>
      <c r="V41" s="16" t="s">
        <v>539</v>
      </c>
      <c r="W41" s="16" t="s">
        <v>493</v>
      </c>
      <c r="X41" s="16" t="s">
        <v>501</v>
      </c>
    </row>
    <row r="42" spans="2:24" x14ac:dyDescent="0.45">
      <c r="B42" s="14" t="s">
        <v>168</v>
      </c>
      <c r="C42" s="19">
        <v>0.49155599999999999</v>
      </c>
      <c r="D42" s="15">
        <v>3.3000000000000003</v>
      </c>
      <c r="E42" s="24">
        <v>0.99982000000000004</v>
      </c>
      <c r="H42" s="14" t="s">
        <v>453</v>
      </c>
      <c r="I42" s="14" t="s">
        <v>414</v>
      </c>
      <c r="J42" s="24">
        <v>5.6061651192209447E-2</v>
      </c>
      <c r="K42" s="14" t="s">
        <v>415</v>
      </c>
      <c r="L42" s="14" t="s">
        <v>414</v>
      </c>
      <c r="P42" s="14" t="s">
        <v>453</v>
      </c>
      <c r="Q42" s="14" t="s">
        <v>488</v>
      </c>
      <c r="R42" s="14" t="s">
        <v>482</v>
      </c>
      <c r="U42" s="14" t="s">
        <v>126</v>
      </c>
      <c r="V42" s="14" t="s">
        <v>540</v>
      </c>
      <c r="W42" s="14" t="s">
        <v>493</v>
      </c>
      <c r="X42" s="14" t="s">
        <v>501</v>
      </c>
    </row>
    <row r="43" spans="2:24" x14ac:dyDescent="0.45">
      <c r="B43" s="16" t="s">
        <v>169</v>
      </c>
      <c r="C43" s="22">
        <v>0.49155599999999999</v>
      </c>
      <c r="D43" s="17">
        <v>2.2000000000000002</v>
      </c>
      <c r="E43" s="26">
        <v>0.99987999999999999</v>
      </c>
      <c r="H43" s="16" t="s">
        <v>454</v>
      </c>
      <c r="I43" s="16" t="s">
        <v>414</v>
      </c>
      <c r="J43" s="26">
        <v>5.4278853166362988E-2</v>
      </c>
      <c r="K43" s="16" t="s">
        <v>415</v>
      </c>
      <c r="L43" s="16" t="s">
        <v>414</v>
      </c>
      <c r="P43" s="16" t="s">
        <v>454</v>
      </c>
      <c r="Q43" s="16" t="s">
        <v>489</v>
      </c>
      <c r="R43" s="16" t="s">
        <v>482</v>
      </c>
      <c r="U43" s="16" t="s">
        <v>126</v>
      </c>
      <c r="V43" s="16" t="s">
        <v>541</v>
      </c>
      <c r="W43" s="16" t="s">
        <v>542</v>
      </c>
      <c r="X43" s="16" t="s">
        <v>501</v>
      </c>
    </row>
    <row r="44" spans="2:24" x14ac:dyDescent="0.45">
      <c r="B44" s="14" t="s">
        <v>170</v>
      </c>
      <c r="C44" s="19">
        <v>0.49155599999999999</v>
      </c>
      <c r="D44" s="15">
        <v>50.6</v>
      </c>
      <c r="E44" s="24">
        <v>0.99724000000000002</v>
      </c>
      <c r="H44" s="14" t="s">
        <v>455</v>
      </c>
      <c r="I44" s="14" t="s">
        <v>414</v>
      </c>
      <c r="J44" s="24">
        <v>4.1843913512768081E-2</v>
      </c>
      <c r="K44" s="14" t="s">
        <v>415</v>
      </c>
      <c r="L44" s="14" t="s">
        <v>414</v>
      </c>
      <c r="P44" s="14" t="s">
        <v>455</v>
      </c>
      <c r="Q44" s="14" t="s">
        <v>490</v>
      </c>
      <c r="R44" s="14" t="s">
        <v>482</v>
      </c>
      <c r="U44" s="14" t="s">
        <v>126</v>
      </c>
      <c r="V44" s="14" t="s">
        <v>543</v>
      </c>
      <c r="W44" s="14" t="s">
        <v>542</v>
      </c>
      <c r="X44" s="14" t="s">
        <v>501</v>
      </c>
    </row>
    <row r="45" spans="2:24" x14ac:dyDescent="0.45">
      <c r="B45" s="16" t="s">
        <v>171</v>
      </c>
      <c r="C45" s="22">
        <v>0.49155599999999999</v>
      </c>
      <c r="D45" s="17">
        <v>2.2000000000000002</v>
      </c>
      <c r="E45" s="26">
        <v>0.99987999999999999</v>
      </c>
      <c r="H45" s="16" t="s">
        <v>456</v>
      </c>
      <c r="I45" s="16" t="s">
        <v>414</v>
      </c>
      <c r="J45" s="26">
        <v>4.1165536911950719E-2</v>
      </c>
      <c r="K45" s="16" t="s">
        <v>415</v>
      </c>
      <c r="L45" s="16" t="s">
        <v>414</v>
      </c>
      <c r="P45" s="16" t="s">
        <v>456</v>
      </c>
      <c r="Q45" s="16" t="s">
        <v>491</v>
      </c>
      <c r="R45" s="16" t="s">
        <v>482</v>
      </c>
      <c r="U45" s="16" t="s">
        <v>126</v>
      </c>
      <c r="V45" s="16" t="s">
        <v>544</v>
      </c>
      <c r="W45" s="16" t="s">
        <v>542</v>
      </c>
      <c r="X45" s="16" t="s">
        <v>501</v>
      </c>
    </row>
    <row r="46" spans="2:24" x14ac:dyDescent="0.45">
      <c r="B46" s="14" t="s">
        <v>172</v>
      </c>
      <c r="C46" s="19">
        <v>0.49155599999999999</v>
      </c>
      <c r="D46" s="15">
        <v>102.30000000000001</v>
      </c>
      <c r="E46" s="24">
        <v>0.99441999999999997</v>
      </c>
      <c r="H46" s="14" t="s">
        <v>457</v>
      </c>
      <c r="I46" s="14" t="s">
        <v>414</v>
      </c>
      <c r="J46" s="24">
        <v>3.8316791443566603E-2</v>
      </c>
      <c r="K46" s="14" t="s">
        <v>415</v>
      </c>
      <c r="L46" s="14" t="s">
        <v>414</v>
      </c>
      <c r="P46" s="14" t="s">
        <v>457</v>
      </c>
      <c r="Q46" s="14" t="s">
        <v>492</v>
      </c>
      <c r="R46" s="14" t="s">
        <v>482</v>
      </c>
      <c r="U46" s="14" t="s">
        <v>126</v>
      </c>
      <c r="V46" s="14" t="s">
        <v>545</v>
      </c>
      <c r="W46" s="14" t="s">
        <v>542</v>
      </c>
      <c r="X46" s="14" t="s">
        <v>501</v>
      </c>
    </row>
    <row r="47" spans="2:24" x14ac:dyDescent="0.45">
      <c r="B47" s="16" t="s">
        <v>173</v>
      </c>
      <c r="C47" s="22">
        <v>0.49155599999999999</v>
      </c>
      <c r="D47" s="17">
        <v>101.2</v>
      </c>
      <c r="E47" s="26">
        <v>0.99448000000000003</v>
      </c>
      <c r="H47" s="16" t="s">
        <v>458</v>
      </c>
      <c r="I47" s="16" t="s">
        <v>414</v>
      </c>
      <c r="J47" s="26">
        <v>3.6499557114935237E-2</v>
      </c>
      <c r="K47" s="16" t="s">
        <v>415</v>
      </c>
      <c r="L47" s="16" t="s">
        <v>414</v>
      </c>
      <c r="P47" s="16" t="s">
        <v>458</v>
      </c>
      <c r="Q47" s="16" t="s">
        <v>493</v>
      </c>
      <c r="R47" s="16" t="s">
        <v>482</v>
      </c>
      <c r="U47" s="16" t="s">
        <v>126</v>
      </c>
      <c r="V47" s="16" t="s">
        <v>546</v>
      </c>
      <c r="W47" s="16" t="s">
        <v>542</v>
      </c>
      <c r="X47" s="16" t="s">
        <v>501</v>
      </c>
    </row>
    <row r="48" spans="2:24" x14ac:dyDescent="0.45">
      <c r="B48" s="14" t="s">
        <v>174</v>
      </c>
      <c r="C48" s="19">
        <v>0.49155599999999999</v>
      </c>
      <c r="D48" s="15">
        <v>39.6</v>
      </c>
      <c r="E48" s="24">
        <v>0.99783999999999995</v>
      </c>
      <c r="H48" s="14" t="s">
        <v>459</v>
      </c>
      <c r="I48" s="14" t="s">
        <v>414</v>
      </c>
      <c r="J48" s="24">
        <v>3.5092402532135629E-2</v>
      </c>
      <c r="K48" s="14" t="s">
        <v>415</v>
      </c>
      <c r="L48" s="14" t="s">
        <v>414</v>
      </c>
      <c r="P48" s="14" t="s">
        <v>459</v>
      </c>
      <c r="Q48" s="14" t="s">
        <v>494</v>
      </c>
      <c r="R48" s="14" t="s">
        <v>482</v>
      </c>
      <c r="U48" s="14" t="s">
        <v>126</v>
      </c>
      <c r="V48" s="14" t="s">
        <v>547</v>
      </c>
      <c r="W48" s="14" t="s">
        <v>542</v>
      </c>
      <c r="X48" s="14" t="s">
        <v>501</v>
      </c>
    </row>
    <row r="49" spans="2:24" x14ac:dyDescent="0.45">
      <c r="B49" s="16" t="s">
        <v>175</v>
      </c>
      <c r="C49" s="22">
        <v>0.49155599999999999</v>
      </c>
      <c r="D49" s="17">
        <v>59.400000000000006</v>
      </c>
      <c r="E49" s="26">
        <v>0.99675999999999998</v>
      </c>
      <c r="H49" s="16" t="s">
        <v>460</v>
      </c>
      <c r="I49" s="16" t="s">
        <v>414</v>
      </c>
      <c r="J49" s="26">
        <v>3.3196503064393326E-2</v>
      </c>
      <c r="K49" s="16" t="s">
        <v>415</v>
      </c>
      <c r="L49" s="16" t="s">
        <v>414</v>
      </c>
      <c r="P49" s="16" t="s">
        <v>460</v>
      </c>
      <c r="Q49" s="16" t="s">
        <v>495</v>
      </c>
      <c r="R49" s="16" t="s">
        <v>482</v>
      </c>
      <c r="U49" s="16" t="s">
        <v>126</v>
      </c>
      <c r="V49" s="16" t="s">
        <v>548</v>
      </c>
      <c r="W49" s="16" t="s">
        <v>542</v>
      </c>
      <c r="X49" s="16" t="s">
        <v>501</v>
      </c>
    </row>
    <row r="50" spans="2:24" x14ac:dyDescent="0.45">
      <c r="B50" s="14" t="s">
        <v>176</v>
      </c>
      <c r="C50" s="19">
        <v>0.49155599999999999</v>
      </c>
      <c r="D50" s="15">
        <v>14.3</v>
      </c>
      <c r="E50" s="24">
        <v>0.99922</v>
      </c>
      <c r="H50" s="14" t="s">
        <v>461</v>
      </c>
      <c r="I50" s="14" t="s">
        <v>414</v>
      </c>
      <c r="J50" s="24">
        <v>2.4482679746362038E-2</v>
      </c>
      <c r="K50" s="14" t="s">
        <v>415</v>
      </c>
      <c r="L50" s="14" t="s">
        <v>414</v>
      </c>
      <c r="P50" s="14" t="s">
        <v>461</v>
      </c>
      <c r="Q50" s="14" t="s">
        <v>496</v>
      </c>
      <c r="R50" s="14" t="s">
        <v>482</v>
      </c>
      <c r="U50" s="14" t="s">
        <v>126</v>
      </c>
      <c r="V50" s="14" t="s">
        <v>549</v>
      </c>
      <c r="W50" s="14" t="s">
        <v>542</v>
      </c>
      <c r="X50" s="14" t="s">
        <v>501</v>
      </c>
    </row>
    <row r="51" spans="2:24" x14ac:dyDescent="0.45">
      <c r="B51" s="16" t="s">
        <v>177</v>
      </c>
      <c r="C51" s="22">
        <v>0.49155599999999999</v>
      </c>
      <c r="D51" s="17">
        <v>2.2000000000000002</v>
      </c>
      <c r="E51" s="26">
        <v>0.99987999999999999</v>
      </c>
      <c r="H51" s="16" t="s">
        <v>462</v>
      </c>
      <c r="I51" s="16" t="s">
        <v>414</v>
      </c>
      <c r="J51" s="26">
        <v>2.0142174061786446E-2</v>
      </c>
      <c r="K51" s="16" t="s">
        <v>415</v>
      </c>
      <c r="L51" s="16" t="s">
        <v>414</v>
      </c>
      <c r="P51" s="16" t="s">
        <v>462</v>
      </c>
      <c r="Q51" s="16" t="s">
        <v>497</v>
      </c>
      <c r="R51" s="16" t="s">
        <v>482</v>
      </c>
      <c r="U51" s="16" t="s">
        <v>126</v>
      </c>
      <c r="V51" s="16" t="s">
        <v>550</v>
      </c>
      <c r="W51" s="16" t="s">
        <v>542</v>
      </c>
      <c r="X51" s="16" t="s">
        <v>501</v>
      </c>
    </row>
    <row r="52" spans="2:24" x14ac:dyDescent="0.45">
      <c r="B52" s="14" t="s">
        <v>178</v>
      </c>
      <c r="C52" s="19">
        <v>3.5749529999999998</v>
      </c>
      <c r="D52" s="15">
        <v>49.500000000000007</v>
      </c>
      <c r="E52" s="24">
        <v>0.99729999999999996</v>
      </c>
      <c r="H52" s="14" t="s">
        <v>463</v>
      </c>
      <c r="I52" s="14" t="s">
        <v>414</v>
      </c>
      <c r="J52" s="24">
        <v>0.16334725636680425</v>
      </c>
      <c r="K52" s="14" t="s">
        <v>415</v>
      </c>
      <c r="L52" s="14" t="s">
        <v>414</v>
      </c>
      <c r="P52" s="14" t="s">
        <v>463</v>
      </c>
      <c r="Q52" s="14" t="s">
        <v>481</v>
      </c>
      <c r="R52" s="14" t="s">
        <v>482</v>
      </c>
      <c r="U52" s="14" t="s">
        <v>126</v>
      </c>
      <c r="V52" s="14" t="s">
        <v>551</v>
      </c>
      <c r="W52" s="14" t="s">
        <v>542</v>
      </c>
      <c r="X52" s="14" t="s">
        <v>501</v>
      </c>
    </row>
    <row r="53" spans="2:24" x14ac:dyDescent="0.45">
      <c r="B53" s="16" t="s">
        <v>179</v>
      </c>
      <c r="C53" s="22">
        <v>3.5749529999999998</v>
      </c>
      <c r="D53" s="17">
        <v>12.100000000000001</v>
      </c>
      <c r="E53" s="26">
        <v>0.99934000000000001</v>
      </c>
      <c r="H53" s="16" t="s">
        <v>464</v>
      </c>
      <c r="I53" s="16" t="s">
        <v>414</v>
      </c>
      <c r="J53" s="26">
        <v>0.15606059038965928</v>
      </c>
      <c r="K53" s="16" t="s">
        <v>415</v>
      </c>
      <c r="L53" s="16" t="s">
        <v>414</v>
      </c>
      <c r="P53" s="16" t="s">
        <v>464</v>
      </c>
      <c r="Q53" s="16" t="s">
        <v>483</v>
      </c>
      <c r="R53" s="16" t="s">
        <v>482</v>
      </c>
      <c r="U53" s="16" t="s">
        <v>126</v>
      </c>
      <c r="V53" s="16" t="s">
        <v>552</v>
      </c>
      <c r="W53" s="16" t="s">
        <v>542</v>
      </c>
      <c r="X53" s="16" t="s">
        <v>501</v>
      </c>
    </row>
    <row r="54" spans="2:24" x14ac:dyDescent="0.45">
      <c r="B54" s="14" t="s">
        <v>180</v>
      </c>
      <c r="C54" s="19">
        <v>3.5749529999999998</v>
      </c>
      <c r="D54" s="15">
        <v>7.7000000000000011</v>
      </c>
      <c r="E54" s="24">
        <v>0.99958000000000002</v>
      </c>
      <c r="H54" s="14" t="s">
        <v>465</v>
      </c>
      <c r="I54" s="14" t="s">
        <v>414</v>
      </c>
      <c r="J54" s="24">
        <v>7.6139547249471487E-2</v>
      </c>
      <c r="K54" s="14" t="s">
        <v>415</v>
      </c>
      <c r="L54" s="14" t="s">
        <v>414</v>
      </c>
      <c r="P54" s="14" t="s">
        <v>465</v>
      </c>
      <c r="Q54" s="14" t="s">
        <v>484</v>
      </c>
      <c r="R54" s="14" t="s">
        <v>482</v>
      </c>
      <c r="U54" s="14" t="s">
        <v>126</v>
      </c>
      <c r="V54" s="14" t="s">
        <v>553</v>
      </c>
      <c r="W54" s="14" t="s">
        <v>542</v>
      </c>
      <c r="X54" s="14" t="s">
        <v>501</v>
      </c>
    </row>
    <row r="55" spans="2:24" x14ac:dyDescent="0.45">
      <c r="B55" s="16" t="s">
        <v>181</v>
      </c>
      <c r="C55" s="22">
        <v>3.5749529999999998</v>
      </c>
      <c r="D55" s="17">
        <v>8.8000000000000007</v>
      </c>
      <c r="E55" s="26">
        <v>0.99951999999999996</v>
      </c>
      <c r="H55" s="16" t="s">
        <v>466</v>
      </c>
      <c r="I55" s="16" t="s">
        <v>414</v>
      </c>
      <c r="J55" s="26">
        <v>7.142530093642345E-2</v>
      </c>
      <c r="K55" s="16" t="s">
        <v>415</v>
      </c>
      <c r="L55" s="16" t="s">
        <v>414</v>
      </c>
      <c r="P55" s="16" t="s">
        <v>466</v>
      </c>
      <c r="Q55" s="16" t="s">
        <v>485</v>
      </c>
      <c r="R55" s="16" t="s">
        <v>482</v>
      </c>
      <c r="U55" s="16" t="s">
        <v>126</v>
      </c>
      <c r="V55" s="16" t="s">
        <v>554</v>
      </c>
      <c r="W55" s="16" t="s">
        <v>542</v>
      </c>
      <c r="X55" s="16" t="s">
        <v>501</v>
      </c>
    </row>
    <row r="56" spans="2:24" x14ac:dyDescent="0.45">
      <c r="B56" s="14" t="s">
        <v>182</v>
      </c>
      <c r="C56" s="19">
        <v>0.49155599999999999</v>
      </c>
      <c r="D56" s="15">
        <v>14.3</v>
      </c>
      <c r="E56" s="24">
        <v>0.99922</v>
      </c>
      <c r="H56" s="14" t="s">
        <v>467</v>
      </c>
      <c r="I56" s="14" t="s">
        <v>414</v>
      </c>
      <c r="J56" s="24">
        <v>7.0295400360142452E-2</v>
      </c>
      <c r="K56" s="14" t="s">
        <v>415</v>
      </c>
      <c r="L56" s="14" t="s">
        <v>414</v>
      </c>
      <c r="P56" s="14" t="s">
        <v>467</v>
      </c>
      <c r="Q56" s="14" t="s">
        <v>486</v>
      </c>
      <c r="R56" s="14" t="s">
        <v>482</v>
      </c>
      <c r="U56" s="14" t="s">
        <v>126</v>
      </c>
      <c r="V56" s="14" t="s">
        <v>555</v>
      </c>
      <c r="W56" s="14" t="s">
        <v>556</v>
      </c>
      <c r="X56" s="14" t="s">
        <v>501</v>
      </c>
    </row>
    <row r="57" spans="2:24" x14ac:dyDescent="0.45">
      <c r="B57" s="16" t="s">
        <v>183</v>
      </c>
      <c r="C57" s="22">
        <v>0.49155599999999999</v>
      </c>
      <c r="D57" s="17">
        <v>16.5</v>
      </c>
      <c r="E57" s="26">
        <v>0.99909999999999999</v>
      </c>
      <c r="H57" s="16" t="s">
        <v>468</v>
      </c>
      <c r="I57" s="16" t="s">
        <v>414</v>
      </c>
      <c r="J57" s="26">
        <v>6.1651841951027971E-2</v>
      </c>
      <c r="K57" s="16" t="s">
        <v>415</v>
      </c>
      <c r="L57" s="16" t="s">
        <v>414</v>
      </c>
      <c r="P57" s="16" t="s">
        <v>468</v>
      </c>
      <c r="Q57" s="16" t="s">
        <v>487</v>
      </c>
      <c r="R57" s="16" t="s">
        <v>482</v>
      </c>
      <c r="U57" s="16" t="s">
        <v>126</v>
      </c>
      <c r="V57" s="16" t="s">
        <v>557</v>
      </c>
      <c r="W57" s="16" t="s">
        <v>556</v>
      </c>
      <c r="X57" s="16" t="s">
        <v>501</v>
      </c>
    </row>
    <row r="58" spans="2:24" x14ac:dyDescent="0.45">
      <c r="B58" s="14" t="s">
        <v>184</v>
      </c>
      <c r="C58" s="19">
        <v>0.98311199999999999</v>
      </c>
      <c r="D58" s="15">
        <v>8.8000000000000007</v>
      </c>
      <c r="E58" s="24">
        <v>0.99951999999999996</v>
      </c>
      <c r="H58" s="14" t="s">
        <v>469</v>
      </c>
      <c r="I58" s="14" t="s">
        <v>414</v>
      </c>
      <c r="J58" s="24">
        <v>5.6061651192209447E-2</v>
      </c>
      <c r="K58" s="14" t="s">
        <v>415</v>
      </c>
      <c r="L58" s="14" t="s">
        <v>414</v>
      </c>
      <c r="P58" s="14" t="s">
        <v>469</v>
      </c>
      <c r="Q58" s="14" t="s">
        <v>488</v>
      </c>
      <c r="R58" s="14" t="s">
        <v>482</v>
      </c>
      <c r="U58" s="14" t="s">
        <v>126</v>
      </c>
      <c r="V58" s="14" t="s">
        <v>558</v>
      </c>
      <c r="W58" s="14" t="s">
        <v>556</v>
      </c>
      <c r="X58" s="14" t="s">
        <v>501</v>
      </c>
    </row>
    <row r="59" spans="2:24" x14ac:dyDescent="0.45">
      <c r="B59" s="16" t="s">
        <v>185</v>
      </c>
      <c r="C59" s="22">
        <v>0.98311199999999999</v>
      </c>
      <c r="D59" s="17">
        <v>16.5</v>
      </c>
      <c r="E59" s="26">
        <v>0.99909999999999999</v>
      </c>
      <c r="H59" s="16" t="s">
        <v>470</v>
      </c>
      <c r="I59" s="16" t="s">
        <v>414</v>
      </c>
      <c r="J59" s="26">
        <v>5.4278853166362988E-2</v>
      </c>
      <c r="K59" s="16" t="s">
        <v>415</v>
      </c>
      <c r="L59" s="16" t="s">
        <v>414</v>
      </c>
      <c r="P59" s="16" t="s">
        <v>470</v>
      </c>
      <c r="Q59" s="16" t="s">
        <v>489</v>
      </c>
      <c r="R59" s="16" t="s">
        <v>482</v>
      </c>
      <c r="U59" s="16" t="s">
        <v>126</v>
      </c>
      <c r="V59" s="16" t="s">
        <v>559</v>
      </c>
      <c r="W59" s="16" t="s">
        <v>556</v>
      </c>
      <c r="X59" s="16" t="s">
        <v>501</v>
      </c>
    </row>
    <row r="60" spans="2:24" x14ac:dyDescent="0.45">
      <c r="B60" s="14" t="s">
        <v>186</v>
      </c>
      <c r="C60" s="19">
        <v>0.49155599999999999</v>
      </c>
      <c r="D60" s="15">
        <v>1.1000000000000001</v>
      </c>
      <c r="E60" s="24">
        <v>0.99994000000000005</v>
      </c>
      <c r="H60" s="14" t="s">
        <v>471</v>
      </c>
      <c r="I60" s="14" t="s">
        <v>414</v>
      </c>
      <c r="J60" s="24">
        <v>4.1843913512768081E-2</v>
      </c>
      <c r="K60" s="14" t="s">
        <v>415</v>
      </c>
      <c r="L60" s="14" t="s">
        <v>414</v>
      </c>
      <c r="P60" s="14" t="s">
        <v>471</v>
      </c>
      <c r="Q60" s="14" t="s">
        <v>490</v>
      </c>
      <c r="R60" s="14" t="s">
        <v>482</v>
      </c>
      <c r="U60" s="14" t="s">
        <v>126</v>
      </c>
      <c r="V60" s="14" t="s">
        <v>560</v>
      </c>
      <c r="W60" s="14" t="s">
        <v>556</v>
      </c>
      <c r="X60" s="14" t="s">
        <v>501</v>
      </c>
    </row>
    <row r="61" spans="2:24" x14ac:dyDescent="0.45">
      <c r="B61" s="16" t="s">
        <v>187</v>
      </c>
      <c r="C61" s="22">
        <v>1.966224</v>
      </c>
      <c r="D61" s="17">
        <v>13.200000000000001</v>
      </c>
      <c r="E61" s="26">
        <v>0.99927999999999995</v>
      </c>
      <c r="H61" s="16" t="s">
        <v>472</v>
      </c>
      <c r="I61" s="16" t="s">
        <v>414</v>
      </c>
      <c r="J61" s="26">
        <v>4.1165536911950719E-2</v>
      </c>
      <c r="K61" s="16" t="s">
        <v>415</v>
      </c>
      <c r="L61" s="16" t="s">
        <v>414</v>
      </c>
      <c r="P61" s="16" t="s">
        <v>472</v>
      </c>
      <c r="Q61" s="16" t="s">
        <v>491</v>
      </c>
      <c r="R61" s="16" t="s">
        <v>482</v>
      </c>
      <c r="U61" s="16" t="s">
        <v>126</v>
      </c>
      <c r="V61" s="16" t="s">
        <v>561</v>
      </c>
      <c r="W61" s="16" t="s">
        <v>556</v>
      </c>
      <c r="X61" s="16" t="s">
        <v>501</v>
      </c>
    </row>
    <row r="62" spans="2:24" x14ac:dyDescent="0.45">
      <c r="B62" s="14" t="s">
        <v>188</v>
      </c>
      <c r="C62" s="19">
        <v>0.98311199999999999</v>
      </c>
      <c r="D62" s="15">
        <v>5.5</v>
      </c>
      <c r="E62" s="24">
        <v>0.99970000000000003</v>
      </c>
      <c r="H62" s="14" t="s">
        <v>473</v>
      </c>
      <c r="I62" s="14" t="s">
        <v>414</v>
      </c>
      <c r="J62" s="24">
        <v>3.8316791443566603E-2</v>
      </c>
      <c r="K62" s="14" t="s">
        <v>415</v>
      </c>
      <c r="L62" s="14" t="s">
        <v>414</v>
      </c>
      <c r="P62" s="14" t="s">
        <v>473</v>
      </c>
      <c r="Q62" s="14" t="s">
        <v>492</v>
      </c>
      <c r="R62" s="14" t="s">
        <v>482</v>
      </c>
      <c r="U62" s="14" t="s">
        <v>126</v>
      </c>
      <c r="V62" s="14" t="s">
        <v>562</v>
      </c>
      <c r="W62" s="14" t="s">
        <v>556</v>
      </c>
      <c r="X62" s="14" t="s">
        <v>501</v>
      </c>
    </row>
    <row r="63" spans="2:24" x14ac:dyDescent="0.45">
      <c r="B63" s="16" t="s">
        <v>189</v>
      </c>
      <c r="C63" s="22">
        <v>1.4746679999999999</v>
      </c>
      <c r="D63" s="17">
        <v>2.2000000000000002</v>
      </c>
      <c r="E63" s="26">
        <v>0.99987999999999999</v>
      </c>
      <c r="H63" s="16" t="s">
        <v>474</v>
      </c>
      <c r="I63" s="16" t="s">
        <v>414</v>
      </c>
      <c r="J63" s="26">
        <v>3.6499557114935237E-2</v>
      </c>
      <c r="K63" s="16" t="s">
        <v>415</v>
      </c>
      <c r="L63" s="16" t="s">
        <v>414</v>
      </c>
      <c r="P63" s="16" t="s">
        <v>474</v>
      </c>
      <c r="Q63" s="16" t="s">
        <v>493</v>
      </c>
      <c r="R63" s="16" t="s">
        <v>482</v>
      </c>
      <c r="U63" s="16" t="s">
        <v>126</v>
      </c>
      <c r="V63" s="16" t="s">
        <v>563</v>
      </c>
      <c r="W63" s="16" t="s">
        <v>556</v>
      </c>
      <c r="X63" s="16" t="s">
        <v>501</v>
      </c>
    </row>
    <row r="64" spans="2:24" x14ac:dyDescent="0.45">
      <c r="B64" s="14" t="s">
        <v>190</v>
      </c>
      <c r="C64" s="19">
        <v>0.49155599999999999</v>
      </c>
      <c r="D64" s="15">
        <v>50.6</v>
      </c>
      <c r="E64" s="24">
        <v>0.99724000000000002</v>
      </c>
      <c r="H64" s="14" t="s">
        <v>475</v>
      </c>
      <c r="I64" s="14" t="s">
        <v>414</v>
      </c>
      <c r="J64" s="24">
        <v>3.5092402532135629E-2</v>
      </c>
      <c r="K64" s="14" t="s">
        <v>415</v>
      </c>
      <c r="L64" s="14" t="s">
        <v>414</v>
      </c>
      <c r="P64" s="14" t="s">
        <v>475</v>
      </c>
      <c r="Q64" s="14" t="s">
        <v>494</v>
      </c>
      <c r="R64" s="14" t="s">
        <v>482</v>
      </c>
      <c r="U64" s="14" t="s">
        <v>126</v>
      </c>
      <c r="V64" s="14" t="s">
        <v>564</v>
      </c>
      <c r="W64" s="14" t="s">
        <v>556</v>
      </c>
      <c r="X64" s="14" t="s">
        <v>501</v>
      </c>
    </row>
    <row r="65" spans="2:24" x14ac:dyDescent="0.45">
      <c r="B65" s="16" t="s">
        <v>191</v>
      </c>
      <c r="C65" s="22">
        <v>1.7874760000000001</v>
      </c>
      <c r="D65" s="17">
        <v>64.900000000000006</v>
      </c>
      <c r="E65" s="26">
        <v>0.99646000000000001</v>
      </c>
      <c r="H65" s="16" t="s">
        <v>476</v>
      </c>
      <c r="I65" s="16" t="s">
        <v>414</v>
      </c>
      <c r="J65" s="26">
        <v>3.3196503064393326E-2</v>
      </c>
      <c r="K65" s="16" t="s">
        <v>415</v>
      </c>
      <c r="L65" s="16" t="s">
        <v>414</v>
      </c>
      <c r="P65" s="16" t="s">
        <v>476</v>
      </c>
      <c r="Q65" s="16" t="s">
        <v>495</v>
      </c>
      <c r="R65" s="16" t="s">
        <v>482</v>
      </c>
      <c r="U65" s="16" t="s">
        <v>126</v>
      </c>
      <c r="V65" s="16" t="s">
        <v>565</v>
      </c>
      <c r="W65" s="16" t="s">
        <v>556</v>
      </c>
      <c r="X65" s="16" t="s">
        <v>501</v>
      </c>
    </row>
    <row r="66" spans="2:24" x14ac:dyDescent="0.45">
      <c r="B66" s="14" t="s">
        <v>192</v>
      </c>
      <c r="C66" s="19">
        <v>3.5749529999999998</v>
      </c>
      <c r="D66" s="15">
        <v>4.4000000000000004</v>
      </c>
      <c r="E66" s="24">
        <v>0.99975999999999998</v>
      </c>
      <c r="H66" s="14" t="s">
        <v>477</v>
      </c>
      <c r="I66" s="14" t="s">
        <v>414</v>
      </c>
      <c r="J66" s="24">
        <v>2.4482679746362038E-2</v>
      </c>
      <c r="K66" s="14" t="s">
        <v>415</v>
      </c>
      <c r="L66" s="14" t="s">
        <v>414</v>
      </c>
      <c r="P66" s="14" t="s">
        <v>477</v>
      </c>
      <c r="Q66" s="14" t="s">
        <v>496</v>
      </c>
      <c r="R66" s="14" t="s">
        <v>482</v>
      </c>
      <c r="U66" s="14" t="s">
        <v>126</v>
      </c>
      <c r="V66" s="14" t="s">
        <v>566</v>
      </c>
      <c r="W66" s="14" t="s">
        <v>556</v>
      </c>
      <c r="X66" s="14" t="s">
        <v>501</v>
      </c>
    </row>
    <row r="67" spans="2:24" x14ac:dyDescent="0.45">
      <c r="B67" s="16" t="s">
        <v>193</v>
      </c>
      <c r="C67" s="22">
        <v>0.49155599999999999</v>
      </c>
      <c r="D67" s="17">
        <v>8.8000000000000007</v>
      </c>
      <c r="E67" s="26">
        <v>0.99951999999999996</v>
      </c>
      <c r="H67" s="16" t="s">
        <v>478</v>
      </c>
      <c r="I67" s="16" t="s">
        <v>414</v>
      </c>
      <c r="J67" s="26">
        <v>2.0142174061786446E-2</v>
      </c>
      <c r="K67" s="16" t="s">
        <v>415</v>
      </c>
      <c r="L67" s="16" t="s">
        <v>414</v>
      </c>
      <c r="P67" s="16" t="s">
        <v>478</v>
      </c>
      <c r="Q67" s="16" t="s">
        <v>497</v>
      </c>
      <c r="R67" s="16" t="s">
        <v>482</v>
      </c>
      <c r="U67" s="16" t="s">
        <v>126</v>
      </c>
      <c r="V67" s="16" t="s">
        <v>567</v>
      </c>
      <c r="W67" s="16" t="s">
        <v>556</v>
      </c>
      <c r="X67" s="16" t="s">
        <v>501</v>
      </c>
    </row>
    <row r="68" spans="2:24" x14ac:dyDescent="0.45">
      <c r="B68" s="14" t="s">
        <v>194</v>
      </c>
      <c r="C68" s="19">
        <v>1.7874760000000001</v>
      </c>
      <c r="D68" s="15">
        <v>96.800000000000011</v>
      </c>
      <c r="E68" s="24">
        <v>0.99472000000000005</v>
      </c>
      <c r="U68" s="14" t="s">
        <v>126</v>
      </c>
      <c r="V68" s="14" t="s">
        <v>568</v>
      </c>
      <c r="W68" s="14" t="s">
        <v>556</v>
      </c>
      <c r="X68" s="14" t="s">
        <v>501</v>
      </c>
    </row>
    <row r="69" spans="2:24" x14ac:dyDescent="0.45">
      <c r="B69" s="16" t="s">
        <v>195</v>
      </c>
      <c r="C69" s="22">
        <v>0.49155599999999999</v>
      </c>
      <c r="D69" s="17">
        <v>42.900000000000006</v>
      </c>
      <c r="E69" s="26">
        <v>0.99765999999999999</v>
      </c>
      <c r="U69" s="16" t="s">
        <v>126</v>
      </c>
      <c r="V69" s="16" t="s">
        <v>569</v>
      </c>
      <c r="W69" s="16" t="s">
        <v>570</v>
      </c>
      <c r="X69" s="16" t="s">
        <v>501</v>
      </c>
    </row>
    <row r="70" spans="2:24" x14ac:dyDescent="0.45">
      <c r="B70" s="14" t="s">
        <v>196</v>
      </c>
      <c r="C70" s="19">
        <v>0.98311199999999999</v>
      </c>
      <c r="D70" s="15">
        <v>57.2</v>
      </c>
      <c r="E70" s="24">
        <v>0.99687999999999999</v>
      </c>
      <c r="U70" s="14" t="s">
        <v>126</v>
      </c>
      <c r="V70" s="14" t="s">
        <v>571</v>
      </c>
      <c r="W70" s="14" t="s">
        <v>570</v>
      </c>
      <c r="X70" s="14" t="s">
        <v>501</v>
      </c>
    </row>
    <row r="71" spans="2:24" x14ac:dyDescent="0.45">
      <c r="B71" s="16" t="s">
        <v>197</v>
      </c>
      <c r="C71" s="22">
        <v>0.49155599999999999</v>
      </c>
      <c r="D71" s="17">
        <v>15.400000000000002</v>
      </c>
      <c r="E71" s="26">
        <v>0.99916000000000005</v>
      </c>
      <c r="U71" s="16" t="s">
        <v>126</v>
      </c>
      <c r="V71" s="16" t="s">
        <v>572</v>
      </c>
      <c r="W71" s="16" t="s">
        <v>570</v>
      </c>
      <c r="X71" s="16" t="s">
        <v>501</v>
      </c>
    </row>
    <row r="72" spans="2:24" x14ac:dyDescent="0.45">
      <c r="B72" s="14" t="s">
        <v>198</v>
      </c>
      <c r="C72" s="19">
        <v>0.49155599999999999</v>
      </c>
      <c r="D72" s="15">
        <v>33</v>
      </c>
      <c r="E72" s="24">
        <v>0.99819999999999998</v>
      </c>
      <c r="U72" s="14" t="s">
        <v>126</v>
      </c>
      <c r="V72" s="14" t="s">
        <v>573</v>
      </c>
      <c r="W72" s="14" t="s">
        <v>570</v>
      </c>
      <c r="X72" s="14" t="s">
        <v>501</v>
      </c>
    </row>
    <row r="73" spans="2:24" x14ac:dyDescent="0.45">
      <c r="B73" s="16" t="s">
        <v>199</v>
      </c>
      <c r="C73" s="22">
        <v>0.49155599999999999</v>
      </c>
      <c r="D73" s="17">
        <v>20.900000000000002</v>
      </c>
      <c r="E73" s="26">
        <v>0.99885999999999997</v>
      </c>
      <c r="U73" s="16" t="s">
        <v>126</v>
      </c>
      <c r="V73" s="16" t="s">
        <v>574</v>
      </c>
      <c r="W73" s="16" t="s">
        <v>570</v>
      </c>
      <c r="X73" s="16" t="s">
        <v>501</v>
      </c>
    </row>
    <row r="74" spans="2:24" x14ac:dyDescent="0.45">
      <c r="B74" s="14" t="s">
        <v>200</v>
      </c>
      <c r="C74" s="19">
        <v>0.98311199999999999</v>
      </c>
      <c r="D74" s="15">
        <v>5.5</v>
      </c>
      <c r="E74" s="24">
        <v>0.99970000000000003</v>
      </c>
      <c r="U74" s="14" t="s">
        <v>126</v>
      </c>
      <c r="V74" s="14" t="s">
        <v>575</v>
      </c>
      <c r="W74" s="14" t="s">
        <v>570</v>
      </c>
      <c r="X74" s="14" t="s">
        <v>501</v>
      </c>
    </row>
    <row r="75" spans="2:24" x14ac:dyDescent="0.45">
      <c r="B75" s="16" t="s">
        <v>201</v>
      </c>
      <c r="C75" s="22">
        <v>3.5749529999999998</v>
      </c>
      <c r="D75" s="17">
        <v>68.2</v>
      </c>
      <c r="E75" s="26">
        <v>0.99628000000000005</v>
      </c>
      <c r="U75" s="16" t="s">
        <v>126</v>
      </c>
      <c r="V75" s="16" t="s">
        <v>576</v>
      </c>
      <c r="W75" s="16" t="s">
        <v>570</v>
      </c>
      <c r="X75" s="16" t="s">
        <v>501</v>
      </c>
    </row>
    <row r="76" spans="2:24" x14ac:dyDescent="0.45">
      <c r="B76" s="14" t="s">
        <v>202</v>
      </c>
      <c r="C76" s="19">
        <v>3.5749529999999998</v>
      </c>
      <c r="D76" s="15">
        <v>46.2</v>
      </c>
      <c r="E76" s="24">
        <v>0.99748000000000003</v>
      </c>
      <c r="U76" s="14" t="s">
        <v>126</v>
      </c>
      <c r="V76" s="14" t="s">
        <v>577</v>
      </c>
      <c r="W76" s="14" t="s">
        <v>570</v>
      </c>
      <c r="X76" s="14" t="s">
        <v>501</v>
      </c>
    </row>
    <row r="77" spans="2:24" x14ac:dyDescent="0.45">
      <c r="B77" s="16" t="s">
        <v>203</v>
      </c>
      <c r="C77" s="22">
        <v>0.49155599999999999</v>
      </c>
      <c r="D77" s="17">
        <v>117.7</v>
      </c>
      <c r="E77" s="26">
        <v>0.99358000000000002</v>
      </c>
      <c r="U77" s="16" t="s">
        <v>126</v>
      </c>
      <c r="V77" s="16" t="s">
        <v>578</v>
      </c>
      <c r="W77" s="16" t="s">
        <v>570</v>
      </c>
      <c r="X77" s="16" t="s">
        <v>501</v>
      </c>
    </row>
    <row r="78" spans="2:24" x14ac:dyDescent="0.45">
      <c r="B78" s="14" t="s">
        <v>204</v>
      </c>
      <c r="C78" s="19">
        <v>0.49155599999999999</v>
      </c>
      <c r="D78" s="15">
        <v>57.2</v>
      </c>
      <c r="E78" s="24">
        <v>0.99687999999999999</v>
      </c>
      <c r="U78" s="14" t="s">
        <v>126</v>
      </c>
      <c r="V78" s="14" t="s">
        <v>579</v>
      </c>
      <c r="W78" s="14" t="s">
        <v>570</v>
      </c>
      <c r="X78" s="14" t="s">
        <v>501</v>
      </c>
    </row>
    <row r="79" spans="2:24" x14ac:dyDescent="0.45">
      <c r="B79" s="16" t="s">
        <v>205</v>
      </c>
      <c r="C79" s="22">
        <v>0.98311199999999999</v>
      </c>
      <c r="D79" s="17">
        <v>97.9</v>
      </c>
      <c r="E79" s="26">
        <v>0.99465999999999999</v>
      </c>
      <c r="U79" s="16" t="s">
        <v>126</v>
      </c>
      <c r="V79" s="16" t="s">
        <v>580</v>
      </c>
      <c r="W79" s="16" t="s">
        <v>570</v>
      </c>
      <c r="X79" s="16" t="s">
        <v>501</v>
      </c>
    </row>
    <row r="80" spans="2:24" x14ac:dyDescent="0.45">
      <c r="B80" s="14" t="s">
        <v>206</v>
      </c>
      <c r="C80" s="19">
        <v>0.98311199999999999</v>
      </c>
      <c r="D80" s="15">
        <v>107.80000000000001</v>
      </c>
      <c r="E80" s="24">
        <v>0.99412</v>
      </c>
      <c r="U80" s="14" t="s">
        <v>126</v>
      </c>
      <c r="V80" s="14" t="s">
        <v>581</v>
      </c>
      <c r="W80" s="14" t="s">
        <v>570</v>
      </c>
      <c r="X80" s="14" t="s">
        <v>501</v>
      </c>
    </row>
    <row r="81" spans="2:24" x14ac:dyDescent="0.45">
      <c r="B81" s="16" t="s">
        <v>207</v>
      </c>
      <c r="C81" s="22">
        <v>3.5749529999999998</v>
      </c>
      <c r="D81" s="17">
        <v>108.9</v>
      </c>
      <c r="E81" s="26">
        <v>0.99406000000000005</v>
      </c>
      <c r="U81" s="16" t="s">
        <v>126</v>
      </c>
      <c r="V81" s="16" t="s">
        <v>582</v>
      </c>
      <c r="W81" s="16" t="s">
        <v>570</v>
      </c>
      <c r="X81" s="16" t="s">
        <v>501</v>
      </c>
    </row>
    <row r="82" spans="2:24" x14ac:dyDescent="0.45">
      <c r="B82" s="14" t="s">
        <v>208</v>
      </c>
      <c r="C82" s="19">
        <v>1.7874760000000001</v>
      </c>
      <c r="D82" s="15">
        <v>150.70000000000002</v>
      </c>
      <c r="E82" s="24">
        <v>0.99177999999999999</v>
      </c>
      <c r="U82" s="14" t="s">
        <v>126</v>
      </c>
      <c r="V82" s="14" t="s">
        <v>583</v>
      </c>
      <c r="W82" s="14" t="s">
        <v>584</v>
      </c>
      <c r="X82" s="14" t="s">
        <v>501</v>
      </c>
    </row>
    <row r="83" spans="2:24" x14ac:dyDescent="0.45">
      <c r="B83" s="16" t="s">
        <v>209</v>
      </c>
      <c r="C83" s="22">
        <v>3.5749529999999998</v>
      </c>
      <c r="D83" s="17">
        <v>26.400000000000002</v>
      </c>
      <c r="E83" s="26">
        <v>0.99856</v>
      </c>
      <c r="U83" s="16" t="s">
        <v>126</v>
      </c>
      <c r="V83" s="16" t="s">
        <v>585</v>
      </c>
      <c r="W83" s="16" t="s">
        <v>584</v>
      </c>
      <c r="X83" s="16" t="s">
        <v>501</v>
      </c>
    </row>
    <row r="84" spans="2:24" x14ac:dyDescent="0.45">
      <c r="B84" s="14" t="s">
        <v>210</v>
      </c>
      <c r="C84" s="19">
        <v>1.7874760000000001</v>
      </c>
      <c r="D84" s="15">
        <v>139.70000000000002</v>
      </c>
      <c r="E84" s="24">
        <v>0.99238000000000004</v>
      </c>
      <c r="U84" s="14" t="s">
        <v>126</v>
      </c>
      <c r="V84" s="14" t="s">
        <v>586</v>
      </c>
      <c r="W84" s="14" t="s">
        <v>584</v>
      </c>
      <c r="X84" s="14" t="s">
        <v>501</v>
      </c>
    </row>
    <row r="85" spans="2:24" x14ac:dyDescent="0.45">
      <c r="B85" s="16" t="s">
        <v>211</v>
      </c>
      <c r="C85" s="22">
        <v>0.49155599999999999</v>
      </c>
      <c r="D85" s="17">
        <v>17.600000000000001</v>
      </c>
      <c r="E85" s="26">
        <v>0.99904000000000004</v>
      </c>
      <c r="U85" s="16" t="s">
        <v>126</v>
      </c>
      <c r="V85" s="16" t="s">
        <v>587</v>
      </c>
      <c r="W85" s="16" t="s">
        <v>584</v>
      </c>
      <c r="X85" s="16" t="s">
        <v>501</v>
      </c>
    </row>
    <row r="86" spans="2:24" x14ac:dyDescent="0.45">
      <c r="B86" s="14" t="s">
        <v>212</v>
      </c>
      <c r="C86" s="19">
        <v>0.49155599999999999</v>
      </c>
      <c r="D86" s="15">
        <v>135.30000000000001</v>
      </c>
      <c r="E86" s="24">
        <v>0.99261999999999995</v>
      </c>
      <c r="U86" s="14" t="s">
        <v>126</v>
      </c>
      <c r="V86" s="14" t="s">
        <v>588</v>
      </c>
      <c r="W86" s="14" t="s">
        <v>584</v>
      </c>
      <c r="X86" s="14" t="s">
        <v>501</v>
      </c>
    </row>
    <row r="87" spans="2:24" x14ac:dyDescent="0.45">
      <c r="B87" s="16" t="s">
        <v>213</v>
      </c>
      <c r="C87" s="22">
        <v>0.49155599999999999</v>
      </c>
      <c r="D87" s="17">
        <v>101.2</v>
      </c>
      <c r="E87" s="26">
        <v>0.99448000000000003</v>
      </c>
      <c r="U87" s="16" t="s">
        <v>126</v>
      </c>
      <c r="V87" s="16" t="s">
        <v>589</v>
      </c>
      <c r="W87" s="16" t="s">
        <v>584</v>
      </c>
      <c r="X87" s="16" t="s">
        <v>501</v>
      </c>
    </row>
    <row r="88" spans="2:24" x14ac:dyDescent="0.45">
      <c r="B88" s="14" t="s">
        <v>214</v>
      </c>
      <c r="C88" s="19">
        <v>1.7874760000000001</v>
      </c>
      <c r="D88" s="15">
        <v>4.4000000000000004</v>
      </c>
      <c r="E88" s="24">
        <v>0.99975999999999998</v>
      </c>
      <c r="U88" s="14" t="s">
        <v>126</v>
      </c>
      <c r="V88" s="14" t="s">
        <v>590</v>
      </c>
      <c r="W88" s="14" t="s">
        <v>584</v>
      </c>
      <c r="X88" s="14" t="s">
        <v>501</v>
      </c>
    </row>
    <row r="89" spans="2:24" x14ac:dyDescent="0.45">
      <c r="B89" s="16" t="s">
        <v>215</v>
      </c>
      <c r="C89" s="22">
        <v>1.7874760000000001</v>
      </c>
      <c r="D89" s="17">
        <v>149.60000000000002</v>
      </c>
      <c r="E89" s="26">
        <v>0.99184000000000005</v>
      </c>
      <c r="U89" s="16" t="s">
        <v>126</v>
      </c>
      <c r="V89" s="16" t="s">
        <v>591</v>
      </c>
      <c r="W89" s="16" t="s">
        <v>584</v>
      </c>
      <c r="X89" s="16" t="s">
        <v>501</v>
      </c>
    </row>
    <row r="90" spans="2:24" x14ac:dyDescent="0.45">
      <c r="B90" s="14" t="s">
        <v>216</v>
      </c>
      <c r="C90" s="19">
        <v>3.5749529999999998</v>
      </c>
      <c r="D90" s="15">
        <v>41.800000000000004</v>
      </c>
      <c r="E90" s="24">
        <v>0.99772000000000005</v>
      </c>
      <c r="U90" s="14" t="s">
        <v>126</v>
      </c>
      <c r="V90" s="14" t="s">
        <v>592</v>
      </c>
      <c r="W90" s="14" t="s">
        <v>584</v>
      </c>
      <c r="X90" s="14" t="s">
        <v>501</v>
      </c>
    </row>
    <row r="91" spans="2:24" x14ac:dyDescent="0.45">
      <c r="B91" s="16" t="s">
        <v>217</v>
      </c>
      <c r="C91" s="22">
        <v>0.49155599999999999</v>
      </c>
      <c r="D91" s="17">
        <v>53.900000000000006</v>
      </c>
      <c r="E91" s="26">
        <v>0.99705999999999995</v>
      </c>
      <c r="U91" s="16" t="s">
        <v>126</v>
      </c>
      <c r="V91" s="16" t="s">
        <v>593</v>
      </c>
      <c r="W91" s="16" t="s">
        <v>584</v>
      </c>
      <c r="X91" s="16" t="s">
        <v>501</v>
      </c>
    </row>
    <row r="92" spans="2:24" x14ac:dyDescent="0.45">
      <c r="B92" s="14" t="s">
        <v>218</v>
      </c>
      <c r="C92" s="19">
        <v>0.49155599999999999</v>
      </c>
      <c r="D92" s="15">
        <v>140.80000000000001</v>
      </c>
      <c r="E92" s="24">
        <v>0.99231999999999998</v>
      </c>
      <c r="U92" s="14" t="s">
        <v>126</v>
      </c>
      <c r="V92" s="14" t="s">
        <v>594</v>
      </c>
      <c r="W92" s="14" t="s">
        <v>584</v>
      </c>
      <c r="X92" s="14" t="s">
        <v>501</v>
      </c>
    </row>
    <row r="93" spans="2:24" x14ac:dyDescent="0.45">
      <c r="B93" s="16" t="s">
        <v>219</v>
      </c>
      <c r="C93" s="22">
        <v>3.5749529999999998</v>
      </c>
      <c r="D93" s="17">
        <v>58.300000000000004</v>
      </c>
      <c r="E93" s="26">
        <v>0.99682000000000004</v>
      </c>
      <c r="U93" s="16" t="s">
        <v>126</v>
      </c>
      <c r="V93" s="16" t="s">
        <v>595</v>
      </c>
      <c r="W93" s="16" t="s">
        <v>584</v>
      </c>
      <c r="X93" s="16" t="s">
        <v>501</v>
      </c>
    </row>
    <row r="94" spans="2:24" x14ac:dyDescent="0.45">
      <c r="B94" s="14" t="s">
        <v>220</v>
      </c>
      <c r="C94" s="19">
        <v>0.49155599999999999</v>
      </c>
      <c r="D94" s="15">
        <v>5.5</v>
      </c>
      <c r="E94" s="24">
        <v>0.99970000000000003</v>
      </c>
      <c r="U94" s="14" t="s">
        <v>126</v>
      </c>
      <c r="V94" s="14" t="s">
        <v>596</v>
      </c>
      <c r="W94" s="14" t="s">
        <v>584</v>
      </c>
      <c r="X94" s="14" t="s">
        <v>501</v>
      </c>
    </row>
    <row r="95" spans="2:24" x14ac:dyDescent="0.45">
      <c r="B95" s="16" t="s">
        <v>221</v>
      </c>
      <c r="C95" s="22">
        <v>0.98311199999999999</v>
      </c>
      <c r="D95" s="17">
        <v>16.5</v>
      </c>
      <c r="E95" s="26">
        <v>0.99909999999999999</v>
      </c>
      <c r="U95" s="16" t="s">
        <v>126</v>
      </c>
      <c r="V95" s="16" t="s">
        <v>597</v>
      </c>
      <c r="W95" s="16" t="s">
        <v>598</v>
      </c>
      <c r="X95" s="16" t="s">
        <v>501</v>
      </c>
    </row>
    <row r="96" spans="2:24" x14ac:dyDescent="0.45">
      <c r="B96" s="14" t="s">
        <v>222</v>
      </c>
      <c r="C96" s="19">
        <v>0.49155599999999999</v>
      </c>
      <c r="D96" s="15">
        <v>8.8000000000000007</v>
      </c>
      <c r="E96" s="24">
        <v>0.99951999999999996</v>
      </c>
      <c r="U96" s="14" t="s">
        <v>126</v>
      </c>
      <c r="V96" s="14" t="s">
        <v>599</v>
      </c>
      <c r="W96" s="14" t="s">
        <v>598</v>
      </c>
      <c r="X96" s="14" t="s">
        <v>501</v>
      </c>
    </row>
    <row r="97" spans="2:24" x14ac:dyDescent="0.45">
      <c r="B97" s="16" t="s">
        <v>223</v>
      </c>
      <c r="C97" s="22">
        <v>0.98311199999999999</v>
      </c>
      <c r="D97" s="17">
        <v>9.9</v>
      </c>
      <c r="E97" s="26">
        <v>0.99946000000000002</v>
      </c>
      <c r="U97" s="16" t="s">
        <v>126</v>
      </c>
      <c r="V97" s="16" t="s">
        <v>600</v>
      </c>
      <c r="W97" s="16" t="s">
        <v>598</v>
      </c>
      <c r="X97" s="16" t="s">
        <v>501</v>
      </c>
    </row>
    <row r="98" spans="2:24" x14ac:dyDescent="0.45">
      <c r="B98" s="14" t="s">
        <v>224</v>
      </c>
      <c r="C98" s="19">
        <v>0.98311199999999999</v>
      </c>
      <c r="D98" s="15">
        <v>17.600000000000001</v>
      </c>
      <c r="E98" s="24">
        <v>0.99904000000000004</v>
      </c>
      <c r="U98" s="14" t="s">
        <v>126</v>
      </c>
      <c r="V98" s="14" t="s">
        <v>601</v>
      </c>
      <c r="W98" s="14" t="s">
        <v>598</v>
      </c>
      <c r="X98" s="14" t="s">
        <v>501</v>
      </c>
    </row>
    <row r="99" spans="2:24" x14ac:dyDescent="0.45">
      <c r="B99" s="16" t="s">
        <v>225</v>
      </c>
      <c r="C99" s="22">
        <v>0.98311199999999999</v>
      </c>
      <c r="D99" s="17">
        <v>52.800000000000004</v>
      </c>
      <c r="E99" s="26">
        <v>0.99712000000000001</v>
      </c>
      <c r="U99" s="16" t="s">
        <v>126</v>
      </c>
      <c r="V99" s="16" t="s">
        <v>602</v>
      </c>
      <c r="W99" s="16" t="s">
        <v>598</v>
      </c>
      <c r="X99" s="16" t="s">
        <v>501</v>
      </c>
    </row>
    <row r="100" spans="2:24" x14ac:dyDescent="0.45">
      <c r="B100" s="14" t="s">
        <v>226</v>
      </c>
      <c r="C100" s="19">
        <v>1.7874760000000001</v>
      </c>
      <c r="D100" s="15">
        <v>8.8000000000000007</v>
      </c>
      <c r="E100" s="24">
        <v>0.99951999999999996</v>
      </c>
      <c r="U100" s="14" t="s">
        <v>126</v>
      </c>
      <c r="V100" s="14" t="s">
        <v>603</v>
      </c>
      <c r="W100" s="14" t="s">
        <v>598</v>
      </c>
      <c r="X100" s="14" t="s">
        <v>501</v>
      </c>
    </row>
    <row r="101" spans="2:24" x14ac:dyDescent="0.45">
      <c r="B101" s="16" t="s">
        <v>227</v>
      </c>
      <c r="C101" s="22">
        <v>1.7874760000000001</v>
      </c>
      <c r="D101" s="17">
        <v>61.600000000000009</v>
      </c>
      <c r="E101" s="26">
        <v>0.99663999999999997</v>
      </c>
      <c r="U101" s="16" t="s">
        <v>126</v>
      </c>
      <c r="V101" s="16" t="s">
        <v>604</v>
      </c>
      <c r="W101" s="16" t="s">
        <v>598</v>
      </c>
      <c r="X101" s="16" t="s">
        <v>501</v>
      </c>
    </row>
    <row r="102" spans="2:24" x14ac:dyDescent="0.45">
      <c r="B102" s="14" t="s">
        <v>228</v>
      </c>
      <c r="C102" s="19">
        <v>1.7874760000000001</v>
      </c>
      <c r="D102" s="15">
        <v>31.900000000000002</v>
      </c>
      <c r="E102" s="24">
        <v>0.99826000000000004</v>
      </c>
      <c r="U102" s="14" t="s">
        <v>126</v>
      </c>
      <c r="V102" s="14" t="s">
        <v>605</v>
      </c>
      <c r="W102" s="14" t="s">
        <v>598</v>
      </c>
      <c r="X102" s="14" t="s">
        <v>501</v>
      </c>
    </row>
    <row r="103" spans="2:24" x14ac:dyDescent="0.45">
      <c r="B103" s="16" t="s">
        <v>229</v>
      </c>
      <c r="C103" s="22">
        <v>0.49155599999999999</v>
      </c>
      <c r="D103" s="17">
        <v>37.400000000000006</v>
      </c>
      <c r="E103" s="26">
        <v>0.99795999999999996</v>
      </c>
      <c r="U103" s="16" t="s">
        <v>126</v>
      </c>
      <c r="V103" s="16" t="s">
        <v>606</v>
      </c>
      <c r="W103" s="16" t="s">
        <v>598</v>
      </c>
      <c r="X103" s="16" t="s">
        <v>501</v>
      </c>
    </row>
    <row r="104" spans="2:24" x14ac:dyDescent="0.45">
      <c r="B104" s="14" t="s">
        <v>230</v>
      </c>
      <c r="C104" s="19">
        <v>0.49155599999999999</v>
      </c>
      <c r="D104" s="15">
        <v>2.2000000000000002</v>
      </c>
      <c r="E104" s="24">
        <v>0.99987999999999999</v>
      </c>
      <c r="U104" s="14" t="s">
        <v>126</v>
      </c>
      <c r="V104" s="14" t="s">
        <v>607</v>
      </c>
      <c r="W104" s="14" t="s">
        <v>598</v>
      </c>
      <c r="X104" s="14" t="s">
        <v>501</v>
      </c>
    </row>
    <row r="105" spans="2:24" x14ac:dyDescent="0.45">
      <c r="B105" s="16" t="s">
        <v>231</v>
      </c>
      <c r="C105" s="22">
        <v>0.49155599999999999</v>
      </c>
      <c r="D105" s="17">
        <v>29.700000000000003</v>
      </c>
      <c r="E105" s="26">
        <v>0.99838000000000005</v>
      </c>
      <c r="U105" s="16" t="s">
        <v>126</v>
      </c>
      <c r="V105" s="16" t="s">
        <v>608</v>
      </c>
      <c r="W105" s="16" t="s">
        <v>598</v>
      </c>
      <c r="X105" s="16" t="s">
        <v>501</v>
      </c>
    </row>
    <row r="106" spans="2:24" x14ac:dyDescent="0.45">
      <c r="B106" s="14" t="s">
        <v>232</v>
      </c>
      <c r="C106" s="19">
        <v>0.49155599999999999</v>
      </c>
      <c r="D106" s="15">
        <v>42.900000000000006</v>
      </c>
      <c r="E106" s="24">
        <v>0.99765999999999999</v>
      </c>
      <c r="U106" s="14" t="s">
        <v>126</v>
      </c>
      <c r="V106" s="14" t="s">
        <v>609</v>
      </c>
      <c r="W106" s="14" t="s">
        <v>598</v>
      </c>
      <c r="X106" s="14" t="s">
        <v>501</v>
      </c>
    </row>
    <row r="107" spans="2:24" x14ac:dyDescent="0.45">
      <c r="B107" s="16" t="s">
        <v>233</v>
      </c>
      <c r="C107" s="22">
        <v>1.7874760000000001</v>
      </c>
      <c r="D107" s="17">
        <v>2.2000000000000002</v>
      </c>
      <c r="E107" s="26">
        <v>0.99987999999999999</v>
      </c>
      <c r="U107" s="16" t="s">
        <v>126</v>
      </c>
      <c r="V107" s="16" t="s">
        <v>610</v>
      </c>
      <c r="W107" s="16" t="s">
        <v>598</v>
      </c>
      <c r="X107" s="16" t="s">
        <v>501</v>
      </c>
    </row>
    <row r="108" spans="2:24" x14ac:dyDescent="0.45">
      <c r="B108" s="14" t="s">
        <v>234</v>
      </c>
      <c r="C108" s="19">
        <v>1.7874760000000001</v>
      </c>
      <c r="D108" s="15">
        <v>57.2</v>
      </c>
      <c r="E108" s="24">
        <v>0.99687999999999999</v>
      </c>
      <c r="U108" s="14" t="s">
        <v>126</v>
      </c>
      <c r="V108" s="14" t="s">
        <v>611</v>
      </c>
      <c r="W108" s="14" t="s">
        <v>484</v>
      </c>
      <c r="X108" s="14" t="s">
        <v>501</v>
      </c>
    </row>
    <row r="109" spans="2:24" x14ac:dyDescent="0.45">
      <c r="B109" s="16" t="s">
        <v>235</v>
      </c>
      <c r="C109" s="22">
        <v>0.49155599999999999</v>
      </c>
      <c r="D109" s="17">
        <v>50.6</v>
      </c>
      <c r="E109" s="26">
        <v>0.99724000000000002</v>
      </c>
      <c r="U109" s="16" t="s">
        <v>126</v>
      </c>
      <c r="V109" s="16" t="s">
        <v>612</v>
      </c>
      <c r="W109" s="16" t="s">
        <v>484</v>
      </c>
      <c r="X109" s="16" t="s">
        <v>501</v>
      </c>
    </row>
    <row r="110" spans="2:24" x14ac:dyDescent="0.45">
      <c r="B110" s="14" t="s">
        <v>236</v>
      </c>
      <c r="C110" s="19">
        <v>0.49155599999999999</v>
      </c>
      <c r="D110" s="15">
        <v>70.400000000000006</v>
      </c>
      <c r="E110" s="24">
        <v>0.99616000000000005</v>
      </c>
      <c r="U110" s="14" t="s">
        <v>126</v>
      </c>
      <c r="V110" s="14" t="s">
        <v>613</v>
      </c>
      <c r="W110" s="14" t="s">
        <v>484</v>
      </c>
      <c r="X110" s="14" t="s">
        <v>501</v>
      </c>
    </row>
    <row r="111" spans="2:24" x14ac:dyDescent="0.45">
      <c r="B111" s="16" t="s">
        <v>237</v>
      </c>
      <c r="C111" s="22">
        <v>1.7874760000000001</v>
      </c>
      <c r="D111" s="17">
        <v>103.4</v>
      </c>
      <c r="E111" s="26">
        <v>0.99436000000000002</v>
      </c>
      <c r="U111" s="16" t="s">
        <v>126</v>
      </c>
      <c r="V111" s="16" t="s">
        <v>614</v>
      </c>
      <c r="W111" s="16" t="s">
        <v>484</v>
      </c>
      <c r="X111" s="16" t="s">
        <v>501</v>
      </c>
    </row>
    <row r="112" spans="2:24" x14ac:dyDescent="0.45">
      <c r="B112" s="14" t="s">
        <v>238</v>
      </c>
      <c r="C112" s="19">
        <v>1.7874760000000001</v>
      </c>
      <c r="D112" s="15">
        <v>7.7000000000000011</v>
      </c>
      <c r="E112" s="24">
        <v>0.99958000000000002</v>
      </c>
      <c r="U112" s="14" t="s">
        <v>126</v>
      </c>
      <c r="V112" s="14" t="s">
        <v>615</v>
      </c>
      <c r="W112" s="14" t="s">
        <v>484</v>
      </c>
      <c r="X112" s="14" t="s">
        <v>501</v>
      </c>
    </row>
    <row r="113" spans="2:24" x14ac:dyDescent="0.45">
      <c r="B113" s="16" t="s">
        <v>239</v>
      </c>
      <c r="C113" s="22">
        <v>0.49155599999999999</v>
      </c>
      <c r="D113" s="17">
        <v>38.5</v>
      </c>
      <c r="E113" s="26">
        <v>0.99790000000000001</v>
      </c>
      <c r="U113" s="16" t="s">
        <v>126</v>
      </c>
      <c r="V113" s="16" t="s">
        <v>616</v>
      </c>
      <c r="W113" s="16" t="s">
        <v>484</v>
      </c>
      <c r="X113" s="16" t="s">
        <v>501</v>
      </c>
    </row>
    <row r="114" spans="2:24" x14ac:dyDescent="0.45">
      <c r="B114" s="14" t="s">
        <v>240</v>
      </c>
      <c r="C114" s="19">
        <v>1.7874760000000001</v>
      </c>
      <c r="D114" s="15">
        <v>72.600000000000009</v>
      </c>
      <c r="E114" s="24">
        <v>0.99604000000000004</v>
      </c>
      <c r="U114" s="14" t="s">
        <v>126</v>
      </c>
      <c r="V114" s="14" t="s">
        <v>617</v>
      </c>
      <c r="W114" s="14" t="s">
        <v>484</v>
      </c>
      <c r="X114" s="14" t="s">
        <v>501</v>
      </c>
    </row>
    <row r="115" spans="2:24" x14ac:dyDescent="0.45">
      <c r="B115" s="16" t="s">
        <v>241</v>
      </c>
      <c r="C115" s="22">
        <v>0.49155599999999999</v>
      </c>
      <c r="D115" s="17">
        <v>70.400000000000006</v>
      </c>
      <c r="E115" s="26">
        <v>0.99616000000000005</v>
      </c>
      <c r="U115" s="16" t="s">
        <v>126</v>
      </c>
      <c r="V115" s="16" t="s">
        <v>618</v>
      </c>
      <c r="W115" s="16" t="s">
        <v>484</v>
      </c>
      <c r="X115" s="16" t="s">
        <v>501</v>
      </c>
    </row>
    <row r="116" spans="2:24" x14ac:dyDescent="0.45">
      <c r="B116" s="14" t="s">
        <v>242</v>
      </c>
      <c r="C116" s="19">
        <v>0.98311199999999999</v>
      </c>
      <c r="D116" s="15">
        <v>1.1000000000000001</v>
      </c>
      <c r="E116" s="24">
        <v>0.99994000000000005</v>
      </c>
      <c r="U116" s="14" t="s">
        <v>126</v>
      </c>
      <c r="V116" s="14" t="s">
        <v>619</v>
      </c>
      <c r="W116" s="14" t="s">
        <v>484</v>
      </c>
      <c r="X116" s="14" t="s">
        <v>501</v>
      </c>
    </row>
    <row r="117" spans="2:24" x14ac:dyDescent="0.45">
      <c r="B117" s="16" t="s">
        <v>243</v>
      </c>
      <c r="C117" s="22">
        <v>0.98311199999999999</v>
      </c>
      <c r="D117" s="17">
        <v>2.2000000000000002</v>
      </c>
      <c r="E117" s="26">
        <v>0.99987999999999999</v>
      </c>
      <c r="U117" s="16" t="s">
        <v>126</v>
      </c>
      <c r="V117" s="16" t="s">
        <v>620</v>
      </c>
      <c r="W117" s="16" t="s">
        <v>484</v>
      </c>
      <c r="X117" s="16" t="s">
        <v>501</v>
      </c>
    </row>
    <row r="118" spans="2:24" x14ac:dyDescent="0.45">
      <c r="B118" s="14" t="s">
        <v>244</v>
      </c>
      <c r="C118" s="19">
        <v>3.5749520000000001</v>
      </c>
      <c r="D118" s="15">
        <v>36.300000000000004</v>
      </c>
      <c r="E118" s="24">
        <v>0.99802000000000002</v>
      </c>
      <c r="U118" s="14" t="s">
        <v>126</v>
      </c>
      <c r="V118" s="14" t="s">
        <v>621</v>
      </c>
      <c r="W118" s="14" t="s">
        <v>484</v>
      </c>
      <c r="X118" s="14" t="s">
        <v>501</v>
      </c>
    </row>
    <row r="119" spans="2:24" x14ac:dyDescent="0.45">
      <c r="B119" s="16" t="s">
        <v>245</v>
      </c>
      <c r="C119" s="22">
        <v>3.5749529999999998</v>
      </c>
      <c r="D119" s="17">
        <v>25.3</v>
      </c>
      <c r="E119" s="26">
        <v>0.99861999999999995</v>
      </c>
      <c r="U119" s="16" t="s">
        <v>126</v>
      </c>
      <c r="V119" s="16" t="s">
        <v>622</v>
      </c>
      <c r="W119" s="16" t="s">
        <v>484</v>
      </c>
      <c r="X119" s="16" t="s">
        <v>501</v>
      </c>
    </row>
    <row r="120" spans="2:24" x14ac:dyDescent="0.45">
      <c r="B120" s="14" t="s">
        <v>246</v>
      </c>
      <c r="C120" s="19">
        <v>0.49155599999999999</v>
      </c>
      <c r="D120" s="15">
        <v>20.900000000000002</v>
      </c>
      <c r="E120" s="24">
        <v>0.99885999999999997</v>
      </c>
      <c r="U120" s="14" t="s">
        <v>126</v>
      </c>
      <c r="V120" s="14" t="s">
        <v>623</v>
      </c>
      <c r="W120" s="14" t="s">
        <v>484</v>
      </c>
      <c r="X120" s="14" t="s">
        <v>501</v>
      </c>
    </row>
    <row r="121" spans="2:24" x14ac:dyDescent="0.45">
      <c r="B121" s="16" t="s">
        <v>247</v>
      </c>
      <c r="C121" s="22">
        <v>0.49155599999999999</v>
      </c>
      <c r="D121" s="17">
        <v>72.600000000000009</v>
      </c>
      <c r="E121" s="26">
        <v>0.99604000000000004</v>
      </c>
      <c r="U121" s="16" t="s">
        <v>126</v>
      </c>
      <c r="V121" s="16" t="s">
        <v>624</v>
      </c>
      <c r="W121" s="16" t="s">
        <v>625</v>
      </c>
      <c r="X121" s="16" t="s">
        <v>501</v>
      </c>
    </row>
    <row r="122" spans="2:24" x14ac:dyDescent="0.45">
      <c r="B122" s="14" t="s">
        <v>248</v>
      </c>
      <c r="C122" s="19">
        <v>0.98311199999999999</v>
      </c>
      <c r="D122" s="15">
        <v>7.7000000000000011</v>
      </c>
      <c r="E122" s="24">
        <v>0.99958000000000002</v>
      </c>
      <c r="U122" s="14" t="s">
        <v>126</v>
      </c>
      <c r="V122" s="14" t="s">
        <v>626</v>
      </c>
      <c r="W122" s="14" t="s">
        <v>625</v>
      </c>
      <c r="X122" s="14" t="s">
        <v>501</v>
      </c>
    </row>
    <row r="123" spans="2:24" x14ac:dyDescent="0.45">
      <c r="B123" s="16" t="s">
        <v>249</v>
      </c>
      <c r="C123" s="22">
        <v>1.7874760000000001</v>
      </c>
      <c r="D123" s="17">
        <v>90.2</v>
      </c>
      <c r="E123" s="26">
        <v>0.99507999999999996</v>
      </c>
      <c r="U123" s="16" t="s">
        <v>126</v>
      </c>
      <c r="V123" s="16" t="s">
        <v>627</v>
      </c>
      <c r="W123" s="16" t="s">
        <v>625</v>
      </c>
      <c r="X123" s="16" t="s">
        <v>501</v>
      </c>
    </row>
    <row r="124" spans="2:24" x14ac:dyDescent="0.45">
      <c r="B124" s="14" t="s">
        <v>250</v>
      </c>
      <c r="C124" s="19">
        <v>1.7874760000000001</v>
      </c>
      <c r="D124" s="15">
        <v>105.60000000000001</v>
      </c>
      <c r="E124" s="24">
        <v>0.99424000000000001</v>
      </c>
      <c r="U124" s="14" t="s">
        <v>126</v>
      </c>
      <c r="V124" s="14" t="s">
        <v>628</v>
      </c>
      <c r="W124" s="14" t="s">
        <v>625</v>
      </c>
      <c r="X124" s="14" t="s">
        <v>501</v>
      </c>
    </row>
    <row r="125" spans="2:24" x14ac:dyDescent="0.45">
      <c r="B125" s="16" t="s">
        <v>251</v>
      </c>
      <c r="C125" s="22">
        <v>1.7874760000000001</v>
      </c>
      <c r="D125" s="17">
        <v>94.600000000000009</v>
      </c>
      <c r="E125" s="26">
        <v>0.99483999999999995</v>
      </c>
      <c r="U125" s="16" t="s">
        <v>126</v>
      </c>
      <c r="V125" s="16" t="s">
        <v>629</v>
      </c>
      <c r="W125" s="16" t="s">
        <v>625</v>
      </c>
      <c r="X125" s="16" t="s">
        <v>501</v>
      </c>
    </row>
    <row r="126" spans="2:24" x14ac:dyDescent="0.45">
      <c r="B126" s="14" t="s">
        <v>252</v>
      </c>
      <c r="C126" s="19">
        <v>1.7874760000000001</v>
      </c>
      <c r="D126" s="15">
        <v>9.9</v>
      </c>
      <c r="E126" s="24">
        <v>0.99946000000000002</v>
      </c>
      <c r="U126" s="14" t="s">
        <v>126</v>
      </c>
      <c r="V126" s="14" t="s">
        <v>630</v>
      </c>
      <c r="W126" s="14" t="s">
        <v>625</v>
      </c>
      <c r="X126" s="14" t="s">
        <v>501</v>
      </c>
    </row>
    <row r="127" spans="2:24" x14ac:dyDescent="0.45">
      <c r="B127" s="16" t="s">
        <v>253</v>
      </c>
      <c r="C127" s="22">
        <v>0.49155599999999999</v>
      </c>
      <c r="D127" s="17">
        <v>86.9</v>
      </c>
      <c r="E127" s="26">
        <v>0.99526000000000003</v>
      </c>
      <c r="U127" s="16" t="s">
        <v>126</v>
      </c>
      <c r="V127" s="16" t="s">
        <v>631</v>
      </c>
      <c r="W127" s="16" t="s">
        <v>625</v>
      </c>
      <c r="X127" s="16" t="s">
        <v>501</v>
      </c>
    </row>
    <row r="128" spans="2:24" x14ac:dyDescent="0.45">
      <c r="B128" s="14" t="s">
        <v>254</v>
      </c>
      <c r="C128" s="19">
        <v>0.49155599999999999</v>
      </c>
      <c r="D128" s="15">
        <v>26.400000000000002</v>
      </c>
      <c r="E128" s="24">
        <v>0.99856</v>
      </c>
      <c r="U128" s="14" t="s">
        <v>126</v>
      </c>
      <c r="V128" s="14" t="s">
        <v>632</v>
      </c>
      <c r="W128" s="14" t="s">
        <v>625</v>
      </c>
      <c r="X128" s="14" t="s">
        <v>501</v>
      </c>
    </row>
    <row r="129" spans="2:24" x14ac:dyDescent="0.45">
      <c r="B129" s="16" t="s">
        <v>255</v>
      </c>
      <c r="C129" s="22">
        <v>0.49155599999999999</v>
      </c>
      <c r="D129" s="17">
        <v>66</v>
      </c>
      <c r="E129" s="26">
        <v>0.99639999999999995</v>
      </c>
      <c r="U129" s="16" t="s">
        <v>126</v>
      </c>
      <c r="V129" s="16" t="s">
        <v>633</v>
      </c>
      <c r="W129" s="16" t="s">
        <v>625</v>
      </c>
      <c r="X129" s="16" t="s">
        <v>501</v>
      </c>
    </row>
    <row r="130" spans="2:24" x14ac:dyDescent="0.45">
      <c r="B130" s="14" t="s">
        <v>256</v>
      </c>
      <c r="C130" s="19">
        <v>0.49155599999999999</v>
      </c>
      <c r="D130" s="15">
        <v>85.800000000000011</v>
      </c>
      <c r="E130" s="24">
        <v>0.99531999999999998</v>
      </c>
      <c r="U130" s="14" t="s">
        <v>126</v>
      </c>
      <c r="V130" s="14" t="s">
        <v>634</v>
      </c>
      <c r="W130" s="14" t="s">
        <v>625</v>
      </c>
      <c r="X130" s="14" t="s">
        <v>501</v>
      </c>
    </row>
    <row r="131" spans="2:24" x14ac:dyDescent="0.45">
      <c r="B131" s="16" t="s">
        <v>257</v>
      </c>
      <c r="C131" s="22">
        <v>0.49155599999999999</v>
      </c>
      <c r="D131" s="17">
        <v>78.100000000000009</v>
      </c>
      <c r="E131" s="26">
        <v>0.99573999999999996</v>
      </c>
      <c r="U131" s="16" t="s">
        <v>126</v>
      </c>
      <c r="V131" s="16" t="s">
        <v>635</v>
      </c>
      <c r="W131" s="16" t="s">
        <v>625</v>
      </c>
      <c r="X131" s="16" t="s">
        <v>501</v>
      </c>
    </row>
    <row r="132" spans="2:24" x14ac:dyDescent="0.45">
      <c r="B132" s="14" t="s">
        <v>258</v>
      </c>
      <c r="C132" s="19">
        <v>1.7874760000000001</v>
      </c>
      <c r="D132" s="15">
        <v>29.700000000000003</v>
      </c>
      <c r="E132" s="24">
        <v>0.99838000000000005</v>
      </c>
      <c r="U132" s="14" t="s">
        <v>126</v>
      </c>
      <c r="V132" s="14" t="s">
        <v>636</v>
      </c>
      <c r="W132" s="14" t="s">
        <v>625</v>
      </c>
      <c r="X132" s="14" t="s">
        <v>501</v>
      </c>
    </row>
    <row r="133" spans="2:24" x14ac:dyDescent="0.45">
      <c r="B133" s="16" t="s">
        <v>259</v>
      </c>
      <c r="C133" s="22">
        <v>1.7874760000000001</v>
      </c>
      <c r="D133" s="17">
        <v>48.400000000000006</v>
      </c>
      <c r="E133" s="26">
        <v>0.99736000000000002</v>
      </c>
      <c r="U133" s="16" t="s">
        <v>126</v>
      </c>
      <c r="V133" s="16" t="s">
        <v>637</v>
      </c>
      <c r="W133" s="16" t="s">
        <v>625</v>
      </c>
      <c r="X133" s="16" t="s">
        <v>501</v>
      </c>
    </row>
    <row r="134" spans="2:24" x14ac:dyDescent="0.45">
      <c r="B134" s="14" t="s">
        <v>260</v>
      </c>
      <c r="C134" s="19">
        <v>1.7874760000000001</v>
      </c>
      <c r="D134" s="15">
        <v>47.300000000000004</v>
      </c>
      <c r="E134" s="24">
        <v>0.99741999999999997</v>
      </c>
      <c r="U134" s="14" t="s">
        <v>126</v>
      </c>
      <c r="V134" s="14" t="s">
        <v>638</v>
      </c>
      <c r="W134" s="14" t="s">
        <v>639</v>
      </c>
      <c r="X134" s="14" t="s">
        <v>501</v>
      </c>
    </row>
    <row r="135" spans="2:24" x14ac:dyDescent="0.45">
      <c r="B135" s="16" t="s">
        <v>261</v>
      </c>
      <c r="C135" s="22">
        <v>0.98311199999999999</v>
      </c>
      <c r="D135" s="17">
        <v>37.400000000000006</v>
      </c>
      <c r="E135" s="26">
        <v>0.99795999999999996</v>
      </c>
      <c r="U135" s="16" t="s">
        <v>126</v>
      </c>
      <c r="V135" s="16" t="s">
        <v>640</v>
      </c>
      <c r="W135" s="16" t="s">
        <v>639</v>
      </c>
      <c r="X135" s="16" t="s">
        <v>501</v>
      </c>
    </row>
    <row r="136" spans="2:24" x14ac:dyDescent="0.45">
      <c r="B136" s="14" t="s">
        <v>262</v>
      </c>
      <c r="C136" s="19">
        <v>0.98311199999999999</v>
      </c>
      <c r="D136" s="15">
        <v>51.7</v>
      </c>
      <c r="E136" s="24">
        <v>0.99717999999999996</v>
      </c>
      <c r="U136" s="14" t="s">
        <v>126</v>
      </c>
      <c r="V136" s="14" t="s">
        <v>641</v>
      </c>
      <c r="W136" s="14" t="s">
        <v>639</v>
      </c>
      <c r="X136" s="14" t="s">
        <v>501</v>
      </c>
    </row>
    <row r="137" spans="2:24" x14ac:dyDescent="0.45">
      <c r="B137" s="16" t="s">
        <v>263</v>
      </c>
      <c r="C137" s="22">
        <v>3.5749529999999998</v>
      </c>
      <c r="D137" s="17">
        <v>58.300000000000004</v>
      </c>
      <c r="E137" s="26">
        <v>0.99682000000000004</v>
      </c>
      <c r="U137" s="16" t="s">
        <v>126</v>
      </c>
      <c r="V137" s="16" t="s">
        <v>642</v>
      </c>
      <c r="W137" s="16" t="s">
        <v>639</v>
      </c>
      <c r="X137" s="16" t="s">
        <v>501</v>
      </c>
    </row>
    <row r="138" spans="2:24" x14ac:dyDescent="0.45">
      <c r="B138" s="14" t="s">
        <v>264</v>
      </c>
      <c r="C138" s="19">
        <v>3.5749529999999998</v>
      </c>
      <c r="D138" s="15">
        <v>38.5</v>
      </c>
      <c r="E138" s="24">
        <v>0.99790000000000001</v>
      </c>
      <c r="U138" s="14" t="s">
        <v>126</v>
      </c>
      <c r="V138" s="14" t="s">
        <v>643</v>
      </c>
      <c r="W138" s="14" t="s">
        <v>639</v>
      </c>
      <c r="X138" s="14" t="s">
        <v>501</v>
      </c>
    </row>
    <row r="139" spans="2:24" x14ac:dyDescent="0.45">
      <c r="B139" s="16" t="s">
        <v>265</v>
      </c>
      <c r="C139" s="22">
        <v>1.7874760000000001</v>
      </c>
      <c r="D139" s="17">
        <v>105.60000000000001</v>
      </c>
      <c r="E139" s="26">
        <v>0.99424000000000001</v>
      </c>
      <c r="U139" s="16" t="s">
        <v>126</v>
      </c>
      <c r="V139" s="16" t="s">
        <v>644</v>
      </c>
      <c r="W139" s="16" t="s">
        <v>639</v>
      </c>
      <c r="X139" s="16" t="s">
        <v>501</v>
      </c>
    </row>
    <row r="140" spans="2:24" x14ac:dyDescent="0.45">
      <c r="B140" s="14" t="s">
        <v>266</v>
      </c>
      <c r="C140" s="19">
        <v>0.49155599999999999</v>
      </c>
      <c r="D140" s="15">
        <v>53.900000000000006</v>
      </c>
      <c r="E140" s="24">
        <v>0.99705999999999995</v>
      </c>
      <c r="U140" s="14" t="s">
        <v>126</v>
      </c>
      <c r="V140" s="14" t="s">
        <v>645</v>
      </c>
      <c r="W140" s="14" t="s">
        <v>639</v>
      </c>
      <c r="X140" s="14" t="s">
        <v>501</v>
      </c>
    </row>
    <row r="141" spans="2:24" x14ac:dyDescent="0.45">
      <c r="B141" s="16" t="s">
        <v>267</v>
      </c>
      <c r="C141" s="22">
        <v>1.7874760000000001</v>
      </c>
      <c r="D141" s="17">
        <v>80.300000000000011</v>
      </c>
      <c r="E141" s="26">
        <v>0.99561999999999995</v>
      </c>
      <c r="U141" s="16" t="s">
        <v>126</v>
      </c>
      <c r="V141" s="16" t="s">
        <v>646</v>
      </c>
      <c r="W141" s="16" t="s">
        <v>639</v>
      </c>
      <c r="X141" s="16" t="s">
        <v>501</v>
      </c>
    </row>
    <row r="142" spans="2:24" x14ac:dyDescent="0.45">
      <c r="B142" s="14" t="s">
        <v>268</v>
      </c>
      <c r="C142" s="19">
        <v>0.49155599999999999</v>
      </c>
      <c r="D142" s="15">
        <v>20.900000000000002</v>
      </c>
      <c r="E142" s="24">
        <v>0.99885999999999997</v>
      </c>
      <c r="U142" s="14" t="s">
        <v>126</v>
      </c>
      <c r="V142" s="14" t="s">
        <v>647</v>
      </c>
      <c r="W142" s="14" t="s">
        <v>639</v>
      </c>
      <c r="X142" s="14" t="s">
        <v>501</v>
      </c>
    </row>
    <row r="143" spans="2:24" x14ac:dyDescent="0.45">
      <c r="B143" s="16" t="s">
        <v>269</v>
      </c>
      <c r="C143" s="22">
        <v>0.49155599999999999</v>
      </c>
      <c r="D143" s="17">
        <v>48.400000000000006</v>
      </c>
      <c r="E143" s="26">
        <v>0.99736000000000002</v>
      </c>
      <c r="U143" s="16" t="s">
        <v>126</v>
      </c>
      <c r="V143" s="16" t="s">
        <v>648</v>
      </c>
      <c r="W143" s="16" t="s">
        <v>639</v>
      </c>
      <c r="X143" s="16" t="s">
        <v>501</v>
      </c>
    </row>
    <row r="144" spans="2:24" x14ac:dyDescent="0.45">
      <c r="B144" s="14" t="s">
        <v>270</v>
      </c>
      <c r="C144" s="19">
        <v>0.49155599999999999</v>
      </c>
      <c r="D144" s="15">
        <v>2.2000000000000002</v>
      </c>
      <c r="E144" s="24">
        <v>0.99987999999999999</v>
      </c>
      <c r="U144" s="14" t="s">
        <v>126</v>
      </c>
      <c r="V144" s="14" t="s">
        <v>649</v>
      </c>
      <c r="W144" s="14" t="s">
        <v>639</v>
      </c>
      <c r="X144" s="14" t="s">
        <v>501</v>
      </c>
    </row>
    <row r="145" spans="2:24" x14ac:dyDescent="0.45">
      <c r="B145" s="16" t="s">
        <v>271</v>
      </c>
      <c r="C145" s="22">
        <v>1.7874760000000001</v>
      </c>
      <c r="D145" s="17">
        <v>2.2000000000000002</v>
      </c>
      <c r="E145" s="26">
        <v>0.99987999999999999</v>
      </c>
      <c r="U145" s="16" t="s">
        <v>126</v>
      </c>
      <c r="V145" s="16" t="s">
        <v>650</v>
      </c>
      <c r="W145" s="16" t="s">
        <v>639</v>
      </c>
      <c r="X145" s="16" t="s">
        <v>501</v>
      </c>
    </row>
    <row r="146" spans="2:24" x14ac:dyDescent="0.45">
      <c r="B146" s="14" t="s">
        <v>272</v>
      </c>
      <c r="C146" s="19">
        <v>0.49155599999999999</v>
      </c>
      <c r="D146" s="15">
        <v>22</v>
      </c>
      <c r="E146" s="24">
        <v>0.99880000000000002</v>
      </c>
      <c r="U146" s="14" t="s">
        <v>126</v>
      </c>
      <c r="V146" s="14" t="s">
        <v>651</v>
      </c>
      <c r="W146" s="14" t="s">
        <v>639</v>
      </c>
      <c r="X146" s="14" t="s">
        <v>501</v>
      </c>
    </row>
    <row r="147" spans="2:24" x14ac:dyDescent="0.45">
      <c r="B147" s="16" t="s">
        <v>273</v>
      </c>
      <c r="C147" s="22">
        <v>0.49155599999999999</v>
      </c>
      <c r="D147" s="17">
        <v>70.400000000000006</v>
      </c>
      <c r="E147" s="26">
        <v>0.99616000000000005</v>
      </c>
      <c r="U147" s="16" t="s">
        <v>126</v>
      </c>
      <c r="V147" s="16" t="s">
        <v>652</v>
      </c>
      <c r="W147" s="16" t="s">
        <v>653</v>
      </c>
      <c r="X147" s="16" t="s">
        <v>501</v>
      </c>
    </row>
    <row r="148" spans="2:24" x14ac:dyDescent="0.45">
      <c r="B148" s="14" t="s">
        <v>274</v>
      </c>
      <c r="C148" s="19">
        <v>0.49155599999999999</v>
      </c>
      <c r="D148" s="15">
        <v>127.60000000000001</v>
      </c>
      <c r="E148" s="24">
        <v>0.99304000000000003</v>
      </c>
      <c r="U148" s="14" t="s">
        <v>126</v>
      </c>
      <c r="V148" s="14" t="s">
        <v>654</v>
      </c>
      <c r="W148" s="14" t="s">
        <v>653</v>
      </c>
      <c r="X148" s="14" t="s">
        <v>501</v>
      </c>
    </row>
    <row r="149" spans="2:24" x14ac:dyDescent="0.45">
      <c r="B149" s="16" t="s">
        <v>275</v>
      </c>
      <c r="C149" s="22">
        <v>0.98311199999999999</v>
      </c>
      <c r="D149" s="17">
        <v>8.8000000000000007</v>
      </c>
      <c r="E149" s="26">
        <v>0.99951999999999996</v>
      </c>
      <c r="U149" s="16" t="s">
        <v>126</v>
      </c>
      <c r="V149" s="16" t="s">
        <v>655</v>
      </c>
      <c r="W149" s="16" t="s">
        <v>653</v>
      </c>
      <c r="X149" s="16" t="s">
        <v>501</v>
      </c>
    </row>
    <row r="150" spans="2:24" x14ac:dyDescent="0.45">
      <c r="B150" s="14" t="s">
        <v>276</v>
      </c>
      <c r="C150" s="19">
        <v>0.49155599999999999</v>
      </c>
      <c r="D150" s="15">
        <v>52.800000000000004</v>
      </c>
      <c r="E150" s="24">
        <v>0.99712000000000001</v>
      </c>
      <c r="U150" s="14" t="s">
        <v>126</v>
      </c>
      <c r="V150" s="14" t="s">
        <v>656</v>
      </c>
      <c r="W150" s="14" t="s">
        <v>653</v>
      </c>
      <c r="X150" s="14" t="s">
        <v>501</v>
      </c>
    </row>
    <row r="151" spans="2:24" x14ac:dyDescent="0.45">
      <c r="B151" s="16" t="s">
        <v>277</v>
      </c>
      <c r="C151" s="22">
        <v>0.49155599999999999</v>
      </c>
      <c r="D151" s="17">
        <v>56.1</v>
      </c>
      <c r="E151" s="26">
        <v>0.99694000000000005</v>
      </c>
      <c r="U151" s="16" t="s">
        <v>126</v>
      </c>
      <c r="V151" s="16" t="s">
        <v>657</v>
      </c>
      <c r="W151" s="16" t="s">
        <v>653</v>
      </c>
      <c r="X151" s="16" t="s">
        <v>501</v>
      </c>
    </row>
    <row r="152" spans="2:24" x14ac:dyDescent="0.45">
      <c r="B152" s="14" t="s">
        <v>278</v>
      </c>
      <c r="C152" s="19">
        <v>0.49155599999999999</v>
      </c>
      <c r="D152" s="15">
        <v>72.600000000000009</v>
      </c>
      <c r="E152" s="24">
        <v>0.99604000000000004</v>
      </c>
      <c r="U152" s="14" t="s">
        <v>126</v>
      </c>
      <c r="V152" s="14" t="s">
        <v>658</v>
      </c>
      <c r="W152" s="14" t="s">
        <v>653</v>
      </c>
      <c r="X152" s="14" t="s">
        <v>501</v>
      </c>
    </row>
    <row r="153" spans="2:24" x14ac:dyDescent="0.45">
      <c r="B153" s="16" t="s">
        <v>279</v>
      </c>
      <c r="C153" s="22">
        <v>0.49155599999999999</v>
      </c>
      <c r="D153" s="17">
        <v>46.2</v>
      </c>
      <c r="E153" s="26">
        <v>0.99748000000000003</v>
      </c>
      <c r="U153" s="16" t="s">
        <v>126</v>
      </c>
      <c r="V153" s="16" t="s">
        <v>659</v>
      </c>
      <c r="W153" s="16" t="s">
        <v>653</v>
      </c>
      <c r="X153" s="16" t="s">
        <v>501</v>
      </c>
    </row>
    <row r="154" spans="2:24" x14ac:dyDescent="0.45">
      <c r="B154" s="14" t="s">
        <v>280</v>
      </c>
      <c r="C154" s="19">
        <v>0.49155599999999999</v>
      </c>
      <c r="D154" s="15">
        <v>31.900000000000002</v>
      </c>
      <c r="E154" s="24">
        <v>0.99826000000000004</v>
      </c>
      <c r="U154" s="14" t="s">
        <v>126</v>
      </c>
      <c r="V154" s="14" t="s">
        <v>660</v>
      </c>
      <c r="W154" s="14" t="s">
        <v>653</v>
      </c>
      <c r="X154" s="14" t="s">
        <v>501</v>
      </c>
    </row>
    <row r="155" spans="2:24" x14ac:dyDescent="0.45">
      <c r="B155" s="16" t="s">
        <v>281</v>
      </c>
      <c r="C155" s="22">
        <v>0.49155599999999999</v>
      </c>
      <c r="D155" s="17">
        <v>101.2</v>
      </c>
      <c r="E155" s="26">
        <v>0.99448000000000003</v>
      </c>
      <c r="U155" s="16" t="s">
        <v>126</v>
      </c>
      <c r="V155" s="16" t="s">
        <v>661</v>
      </c>
      <c r="W155" s="16" t="s">
        <v>653</v>
      </c>
      <c r="X155" s="16" t="s">
        <v>501</v>
      </c>
    </row>
    <row r="156" spans="2:24" x14ac:dyDescent="0.45">
      <c r="B156" s="14" t="s">
        <v>282</v>
      </c>
      <c r="C156" s="19">
        <v>1.7874760000000001</v>
      </c>
      <c r="D156" s="15">
        <v>108.9</v>
      </c>
      <c r="E156" s="24">
        <v>0.99406000000000005</v>
      </c>
      <c r="U156" s="14" t="s">
        <v>126</v>
      </c>
      <c r="V156" s="14" t="s">
        <v>662</v>
      </c>
      <c r="W156" s="14" t="s">
        <v>653</v>
      </c>
      <c r="X156" s="14" t="s">
        <v>501</v>
      </c>
    </row>
    <row r="157" spans="2:24" x14ac:dyDescent="0.45">
      <c r="B157" s="16" t="s">
        <v>283</v>
      </c>
      <c r="C157" s="22">
        <v>1.7874760000000001</v>
      </c>
      <c r="D157" s="17">
        <v>206.8</v>
      </c>
      <c r="E157" s="26">
        <v>0.98872000000000004</v>
      </c>
      <c r="U157" s="16" t="s">
        <v>126</v>
      </c>
      <c r="V157" s="16" t="s">
        <v>663</v>
      </c>
      <c r="W157" s="16" t="s">
        <v>653</v>
      </c>
      <c r="X157" s="16" t="s">
        <v>501</v>
      </c>
    </row>
    <row r="158" spans="2:24" x14ac:dyDescent="0.45">
      <c r="B158" s="14" t="s">
        <v>284</v>
      </c>
      <c r="C158" s="19">
        <v>0.49155599999999999</v>
      </c>
      <c r="D158" s="15">
        <v>78.100000000000009</v>
      </c>
      <c r="E158" s="24">
        <v>0.99573999999999996</v>
      </c>
      <c r="U158" s="14" t="s">
        <v>126</v>
      </c>
      <c r="V158" s="14" t="s">
        <v>664</v>
      </c>
      <c r="W158" s="14" t="s">
        <v>653</v>
      </c>
      <c r="X158" s="14" t="s">
        <v>501</v>
      </c>
    </row>
    <row r="159" spans="2:24" x14ac:dyDescent="0.45">
      <c r="B159" s="16" t="s">
        <v>285</v>
      </c>
      <c r="C159" s="22">
        <v>0.49155599999999999</v>
      </c>
      <c r="D159" s="17">
        <v>18.700000000000003</v>
      </c>
      <c r="E159" s="26">
        <v>0.99897999999999998</v>
      </c>
      <c r="U159" s="16" t="s">
        <v>126</v>
      </c>
      <c r="V159" s="16" t="s">
        <v>665</v>
      </c>
      <c r="W159" s="16" t="s">
        <v>653</v>
      </c>
      <c r="X159" s="16" t="s">
        <v>501</v>
      </c>
    </row>
    <row r="160" spans="2:24" x14ac:dyDescent="0.45">
      <c r="B160" s="14" t="s">
        <v>286</v>
      </c>
      <c r="C160" s="19">
        <v>0.98311199999999999</v>
      </c>
      <c r="D160" s="15">
        <v>6.6000000000000005</v>
      </c>
      <c r="E160" s="24">
        <v>0.99963999999999997</v>
      </c>
      <c r="U160" s="14" t="s">
        <v>126</v>
      </c>
      <c r="V160" s="14" t="s">
        <v>666</v>
      </c>
      <c r="W160" s="14" t="s">
        <v>667</v>
      </c>
      <c r="X160" s="14" t="s">
        <v>501</v>
      </c>
    </row>
    <row r="161" spans="2:24" x14ac:dyDescent="0.45">
      <c r="B161" s="16" t="s">
        <v>287</v>
      </c>
      <c r="C161" s="22">
        <v>0.49155599999999999</v>
      </c>
      <c r="D161" s="17">
        <v>74.800000000000011</v>
      </c>
      <c r="E161" s="26">
        <v>0.99592000000000003</v>
      </c>
      <c r="U161" s="16" t="s">
        <v>126</v>
      </c>
      <c r="V161" s="16" t="s">
        <v>668</v>
      </c>
      <c r="W161" s="16" t="s">
        <v>667</v>
      </c>
      <c r="X161" s="16" t="s">
        <v>501</v>
      </c>
    </row>
    <row r="162" spans="2:24" x14ac:dyDescent="0.45">
      <c r="B162" s="14" t="s">
        <v>288</v>
      </c>
      <c r="C162" s="19">
        <v>0.49155599999999999</v>
      </c>
      <c r="D162" s="15">
        <v>53.900000000000006</v>
      </c>
      <c r="E162" s="24">
        <v>0.99705999999999995</v>
      </c>
      <c r="U162" s="14" t="s">
        <v>126</v>
      </c>
      <c r="V162" s="14" t="s">
        <v>669</v>
      </c>
      <c r="W162" s="14" t="s">
        <v>667</v>
      </c>
      <c r="X162" s="14" t="s">
        <v>501</v>
      </c>
    </row>
    <row r="163" spans="2:24" x14ac:dyDescent="0.45">
      <c r="B163" s="16" t="s">
        <v>289</v>
      </c>
      <c r="C163" s="22">
        <v>0.49155599999999999</v>
      </c>
      <c r="D163" s="17">
        <v>79.2</v>
      </c>
      <c r="E163" s="26">
        <v>0.99568000000000001</v>
      </c>
      <c r="U163" s="16" t="s">
        <v>126</v>
      </c>
      <c r="V163" s="16" t="s">
        <v>670</v>
      </c>
      <c r="W163" s="16" t="s">
        <v>667</v>
      </c>
      <c r="X163" s="16" t="s">
        <v>501</v>
      </c>
    </row>
    <row r="164" spans="2:24" x14ac:dyDescent="0.45">
      <c r="B164" s="14" t="s">
        <v>290</v>
      </c>
      <c r="C164" s="19">
        <v>0.49155599999999999</v>
      </c>
      <c r="D164" s="15">
        <v>23.1</v>
      </c>
      <c r="E164" s="24">
        <v>0.99873999999999996</v>
      </c>
      <c r="U164" s="14" t="s">
        <v>126</v>
      </c>
      <c r="V164" s="14" t="s">
        <v>671</v>
      </c>
      <c r="W164" s="14" t="s">
        <v>667</v>
      </c>
      <c r="X164" s="14" t="s">
        <v>501</v>
      </c>
    </row>
    <row r="165" spans="2:24" x14ac:dyDescent="0.45">
      <c r="B165" s="16" t="s">
        <v>291</v>
      </c>
      <c r="C165" s="22">
        <v>0.49155599999999999</v>
      </c>
      <c r="D165" s="17">
        <v>18.700000000000003</v>
      </c>
      <c r="E165" s="26">
        <v>0.99897999999999998</v>
      </c>
      <c r="U165" s="16" t="s">
        <v>126</v>
      </c>
      <c r="V165" s="16" t="s">
        <v>672</v>
      </c>
      <c r="W165" s="16" t="s">
        <v>667</v>
      </c>
      <c r="X165" s="16" t="s">
        <v>501</v>
      </c>
    </row>
    <row r="166" spans="2:24" x14ac:dyDescent="0.45">
      <c r="B166" s="14" t="s">
        <v>292</v>
      </c>
      <c r="C166" s="19">
        <v>1.7874760000000001</v>
      </c>
      <c r="D166" s="15">
        <v>135.30000000000001</v>
      </c>
      <c r="E166" s="24">
        <v>0.99261999999999995</v>
      </c>
      <c r="U166" s="14" t="s">
        <v>126</v>
      </c>
      <c r="V166" s="14" t="s">
        <v>673</v>
      </c>
      <c r="W166" s="14" t="s">
        <v>667</v>
      </c>
      <c r="X166" s="14" t="s">
        <v>501</v>
      </c>
    </row>
    <row r="167" spans="2:24" x14ac:dyDescent="0.45">
      <c r="B167" s="16" t="s">
        <v>293</v>
      </c>
      <c r="C167" s="22">
        <v>0.98311199999999999</v>
      </c>
      <c r="D167" s="17">
        <v>13.200000000000001</v>
      </c>
      <c r="E167" s="26">
        <v>0.99927999999999995</v>
      </c>
      <c r="U167" s="16" t="s">
        <v>126</v>
      </c>
      <c r="V167" s="16" t="s">
        <v>674</v>
      </c>
      <c r="W167" s="16" t="s">
        <v>667</v>
      </c>
      <c r="X167" s="16" t="s">
        <v>501</v>
      </c>
    </row>
    <row r="168" spans="2:24" x14ac:dyDescent="0.45">
      <c r="B168" s="14" t="s">
        <v>294</v>
      </c>
      <c r="C168" s="19">
        <v>0.49155599999999999</v>
      </c>
      <c r="D168" s="15">
        <v>35.200000000000003</v>
      </c>
      <c r="E168" s="24">
        <v>0.99807999999999997</v>
      </c>
      <c r="U168" s="14" t="s">
        <v>126</v>
      </c>
      <c r="V168" s="14" t="s">
        <v>675</v>
      </c>
      <c r="W168" s="14" t="s">
        <v>667</v>
      </c>
      <c r="X168" s="14" t="s">
        <v>501</v>
      </c>
    </row>
    <row r="169" spans="2:24" x14ac:dyDescent="0.45">
      <c r="B169" s="16" t="s">
        <v>295</v>
      </c>
      <c r="C169" s="22">
        <v>1.7874760000000001</v>
      </c>
      <c r="D169" s="17">
        <v>68.2</v>
      </c>
      <c r="E169" s="26">
        <v>0.99628000000000005</v>
      </c>
      <c r="U169" s="16" t="s">
        <v>126</v>
      </c>
      <c r="V169" s="16" t="s">
        <v>676</v>
      </c>
      <c r="W169" s="16" t="s">
        <v>667</v>
      </c>
      <c r="X169" s="16" t="s">
        <v>501</v>
      </c>
    </row>
    <row r="170" spans="2:24" x14ac:dyDescent="0.45">
      <c r="B170" s="14" t="s">
        <v>296</v>
      </c>
      <c r="C170" s="19">
        <v>0.49155599999999999</v>
      </c>
      <c r="D170" s="15">
        <v>70.400000000000006</v>
      </c>
      <c r="E170" s="24">
        <v>0.99616000000000005</v>
      </c>
      <c r="U170" s="14" t="s">
        <v>126</v>
      </c>
      <c r="V170" s="14" t="s">
        <v>677</v>
      </c>
      <c r="W170" s="14" t="s">
        <v>667</v>
      </c>
      <c r="X170" s="14" t="s">
        <v>501</v>
      </c>
    </row>
    <row r="171" spans="2:24" x14ac:dyDescent="0.45">
      <c r="B171" s="16" t="s">
        <v>297</v>
      </c>
      <c r="C171" s="22">
        <v>0.49155599999999999</v>
      </c>
      <c r="D171" s="17">
        <v>27.500000000000004</v>
      </c>
      <c r="E171" s="26">
        <v>0.99850000000000005</v>
      </c>
      <c r="U171" s="16" t="s">
        <v>126</v>
      </c>
      <c r="V171" s="16" t="s">
        <v>678</v>
      </c>
      <c r="W171" s="16" t="s">
        <v>667</v>
      </c>
      <c r="X171" s="16" t="s">
        <v>501</v>
      </c>
    </row>
    <row r="172" spans="2:24" x14ac:dyDescent="0.45">
      <c r="B172" s="14" t="s">
        <v>298</v>
      </c>
      <c r="C172" s="19">
        <v>1.7874760000000001</v>
      </c>
      <c r="D172" s="15">
        <v>58.300000000000004</v>
      </c>
      <c r="E172" s="24">
        <v>0.99682000000000004</v>
      </c>
      <c r="U172" s="14" t="s">
        <v>126</v>
      </c>
      <c r="V172" s="14" t="s">
        <v>679</v>
      </c>
      <c r="W172" s="14" t="s">
        <v>667</v>
      </c>
      <c r="X172" s="14" t="s">
        <v>501</v>
      </c>
    </row>
    <row r="173" spans="2:24" x14ac:dyDescent="0.45">
      <c r="B173" s="16" t="s">
        <v>299</v>
      </c>
      <c r="C173" s="22">
        <v>0.49155599999999999</v>
      </c>
      <c r="D173" s="17">
        <v>9.9</v>
      </c>
      <c r="E173" s="26">
        <v>0.99946000000000002</v>
      </c>
      <c r="U173" s="16" t="s">
        <v>126</v>
      </c>
      <c r="V173" s="16" t="s">
        <v>680</v>
      </c>
      <c r="W173" s="16" t="s">
        <v>681</v>
      </c>
      <c r="X173" s="16" t="s">
        <v>501</v>
      </c>
    </row>
    <row r="174" spans="2:24" x14ac:dyDescent="0.45">
      <c r="B174" s="14" t="s">
        <v>300</v>
      </c>
      <c r="C174" s="19">
        <v>0.49155599999999999</v>
      </c>
      <c r="D174" s="15">
        <v>160.60000000000002</v>
      </c>
      <c r="E174" s="24">
        <v>0.99124000000000001</v>
      </c>
      <c r="U174" s="14" t="s">
        <v>126</v>
      </c>
      <c r="V174" s="14" t="s">
        <v>682</v>
      </c>
      <c r="W174" s="14" t="s">
        <v>681</v>
      </c>
      <c r="X174" s="14" t="s">
        <v>501</v>
      </c>
    </row>
    <row r="175" spans="2:24" x14ac:dyDescent="0.45">
      <c r="B175" s="16" t="s">
        <v>301</v>
      </c>
      <c r="C175" s="22">
        <v>0.98311199999999999</v>
      </c>
      <c r="D175" s="17">
        <v>45.1</v>
      </c>
      <c r="E175" s="26">
        <v>0.99753999999999998</v>
      </c>
      <c r="U175" s="16" t="s">
        <v>126</v>
      </c>
      <c r="V175" s="16" t="s">
        <v>683</v>
      </c>
      <c r="W175" s="16" t="s">
        <v>681</v>
      </c>
      <c r="X175" s="16" t="s">
        <v>501</v>
      </c>
    </row>
    <row r="176" spans="2:24" x14ac:dyDescent="0.45">
      <c r="B176" s="14" t="s">
        <v>302</v>
      </c>
      <c r="C176" s="19">
        <v>0.49155599999999999</v>
      </c>
      <c r="D176" s="15">
        <v>2.2000000000000002</v>
      </c>
      <c r="E176" s="24">
        <v>0.99987999999999999</v>
      </c>
      <c r="U176" s="14" t="s">
        <v>126</v>
      </c>
      <c r="V176" s="14" t="s">
        <v>684</v>
      </c>
      <c r="W176" s="14" t="s">
        <v>681</v>
      </c>
      <c r="X176" s="14" t="s">
        <v>501</v>
      </c>
    </row>
    <row r="177" spans="2:24" x14ac:dyDescent="0.45">
      <c r="B177" s="16" t="s">
        <v>303</v>
      </c>
      <c r="C177" s="22">
        <v>0.49155599999999999</v>
      </c>
      <c r="D177" s="17">
        <v>6.6000000000000005</v>
      </c>
      <c r="E177" s="26">
        <v>0.99963999999999997</v>
      </c>
      <c r="U177" s="16" t="s">
        <v>126</v>
      </c>
      <c r="V177" s="16" t="s">
        <v>685</v>
      </c>
      <c r="W177" s="16" t="s">
        <v>681</v>
      </c>
      <c r="X177" s="16" t="s">
        <v>501</v>
      </c>
    </row>
    <row r="178" spans="2:24" x14ac:dyDescent="0.45">
      <c r="B178" s="14" t="s">
        <v>304</v>
      </c>
      <c r="C178" s="19">
        <v>0.49155599999999999</v>
      </c>
      <c r="D178" s="15">
        <v>124.30000000000001</v>
      </c>
      <c r="E178" s="24">
        <v>0.99321999999999999</v>
      </c>
      <c r="U178" s="14" t="s">
        <v>126</v>
      </c>
      <c r="V178" s="14" t="s">
        <v>686</v>
      </c>
      <c r="W178" s="14" t="s">
        <v>681</v>
      </c>
      <c r="X178" s="14" t="s">
        <v>501</v>
      </c>
    </row>
    <row r="179" spans="2:24" x14ac:dyDescent="0.45">
      <c r="B179" s="16" t="s">
        <v>305</v>
      </c>
      <c r="C179" s="22">
        <v>0.49155599999999999</v>
      </c>
      <c r="D179" s="17">
        <v>101.2</v>
      </c>
      <c r="E179" s="26">
        <v>0.99448000000000003</v>
      </c>
      <c r="U179" s="16" t="s">
        <v>126</v>
      </c>
      <c r="V179" s="16" t="s">
        <v>687</v>
      </c>
      <c r="W179" s="16" t="s">
        <v>681</v>
      </c>
      <c r="X179" s="16" t="s">
        <v>501</v>
      </c>
    </row>
    <row r="180" spans="2:24" x14ac:dyDescent="0.45">
      <c r="B180" s="14" t="s">
        <v>306</v>
      </c>
      <c r="C180" s="19">
        <v>1.7874760000000001</v>
      </c>
      <c r="D180" s="15">
        <v>102.30000000000001</v>
      </c>
      <c r="E180" s="24">
        <v>0.99441999999999997</v>
      </c>
      <c r="U180" s="14" t="s">
        <v>126</v>
      </c>
      <c r="V180" s="14" t="s">
        <v>688</v>
      </c>
      <c r="W180" s="14" t="s">
        <v>681</v>
      </c>
      <c r="X180" s="14" t="s">
        <v>501</v>
      </c>
    </row>
    <row r="181" spans="2:24" x14ac:dyDescent="0.45">
      <c r="B181" s="16" t="s">
        <v>307</v>
      </c>
      <c r="C181" s="22">
        <v>0.49155599999999999</v>
      </c>
      <c r="D181" s="17">
        <v>56.1</v>
      </c>
      <c r="E181" s="26">
        <v>0.99694000000000005</v>
      </c>
      <c r="U181" s="16" t="s">
        <v>126</v>
      </c>
      <c r="V181" s="16" t="s">
        <v>689</v>
      </c>
      <c r="W181" s="16" t="s">
        <v>681</v>
      </c>
      <c r="X181" s="16" t="s">
        <v>501</v>
      </c>
    </row>
    <row r="182" spans="2:24" x14ac:dyDescent="0.45">
      <c r="B182" s="14" t="s">
        <v>308</v>
      </c>
      <c r="C182" s="19">
        <v>0.49155599999999999</v>
      </c>
      <c r="D182" s="15">
        <v>35.200000000000003</v>
      </c>
      <c r="E182" s="24">
        <v>0.99807999999999997</v>
      </c>
      <c r="U182" s="14" t="s">
        <v>126</v>
      </c>
      <c r="V182" s="14" t="s">
        <v>690</v>
      </c>
      <c r="W182" s="14" t="s">
        <v>681</v>
      </c>
      <c r="X182" s="14" t="s">
        <v>501</v>
      </c>
    </row>
    <row r="183" spans="2:24" x14ac:dyDescent="0.45">
      <c r="B183" s="16" t="s">
        <v>309</v>
      </c>
      <c r="C183" s="22">
        <v>0.49155599999999999</v>
      </c>
      <c r="D183" s="17">
        <v>90.2</v>
      </c>
      <c r="E183" s="26">
        <v>0.99507999999999996</v>
      </c>
      <c r="U183" s="16" t="s">
        <v>126</v>
      </c>
      <c r="V183" s="16" t="s">
        <v>691</v>
      </c>
      <c r="W183" s="16" t="s">
        <v>681</v>
      </c>
      <c r="X183" s="16" t="s">
        <v>501</v>
      </c>
    </row>
    <row r="184" spans="2:24" x14ac:dyDescent="0.45">
      <c r="B184" s="14" t="s">
        <v>310</v>
      </c>
      <c r="C184" s="19">
        <v>1.7874760000000001</v>
      </c>
      <c r="D184" s="15">
        <v>85.800000000000011</v>
      </c>
      <c r="E184" s="24">
        <v>0.99531999999999998</v>
      </c>
      <c r="U184" s="14" t="s">
        <v>126</v>
      </c>
      <c r="V184" s="14" t="s">
        <v>692</v>
      </c>
      <c r="W184" s="14" t="s">
        <v>681</v>
      </c>
      <c r="X184" s="14" t="s">
        <v>501</v>
      </c>
    </row>
    <row r="185" spans="2:24" x14ac:dyDescent="0.45">
      <c r="B185" s="16" t="s">
        <v>311</v>
      </c>
      <c r="C185" s="22">
        <v>0.49155599999999999</v>
      </c>
      <c r="D185" s="17">
        <v>1.1000000000000001</v>
      </c>
      <c r="E185" s="26">
        <v>0.99994000000000005</v>
      </c>
      <c r="U185" s="16" t="s">
        <v>126</v>
      </c>
      <c r="V185" s="16" t="s">
        <v>693</v>
      </c>
      <c r="W185" s="16" t="s">
        <v>681</v>
      </c>
      <c r="X185" s="16" t="s">
        <v>501</v>
      </c>
    </row>
    <row r="186" spans="2:24" x14ac:dyDescent="0.45">
      <c r="B186" s="14" t="s">
        <v>312</v>
      </c>
      <c r="C186" s="19">
        <v>0.98311199999999999</v>
      </c>
      <c r="D186" s="15">
        <v>12.100000000000001</v>
      </c>
      <c r="E186" s="24">
        <v>0.99934000000000001</v>
      </c>
      <c r="U186" s="14" t="s">
        <v>126</v>
      </c>
      <c r="V186" s="14" t="s">
        <v>694</v>
      </c>
      <c r="W186" s="14" t="s">
        <v>695</v>
      </c>
      <c r="X186" s="14" t="s">
        <v>501</v>
      </c>
    </row>
    <row r="187" spans="2:24" x14ac:dyDescent="0.45">
      <c r="B187" s="16" t="s">
        <v>313</v>
      </c>
      <c r="C187" s="22">
        <v>1.7874760000000001</v>
      </c>
      <c r="D187" s="17">
        <v>15.400000000000002</v>
      </c>
      <c r="E187" s="26">
        <v>0.99916000000000005</v>
      </c>
      <c r="U187" s="16" t="s">
        <v>126</v>
      </c>
      <c r="V187" s="16" t="s">
        <v>696</v>
      </c>
      <c r="W187" s="16" t="s">
        <v>695</v>
      </c>
      <c r="X187" s="16" t="s">
        <v>501</v>
      </c>
    </row>
    <row r="188" spans="2:24" x14ac:dyDescent="0.45">
      <c r="B188" s="14" t="s">
        <v>314</v>
      </c>
      <c r="C188" s="19">
        <v>1.7874760000000001</v>
      </c>
      <c r="D188" s="15">
        <v>82.5</v>
      </c>
      <c r="E188" s="24">
        <v>0.99550000000000005</v>
      </c>
      <c r="U188" s="14" t="s">
        <v>126</v>
      </c>
      <c r="V188" s="14" t="s">
        <v>697</v>
      </c>
      <c r="W188" s="14" t="s">
        <v>695</v>
      </c>
      <c r="X188" s="14" t="s">
        <v>501</v>
      </c>
    </row>
    <row r="189" spans="2:24" x14ac:dyDescent="0.45">
      <c r="B189" s="16" t="s">
        <v>315</v>
      </c>
      <c r="C189" s="22">
        <v>0.49155599999999999</v>
      </c>
      <c r="D189" s="17">
        <v>34.1</v>
      </c>
      <c r="E189" s="26">
        <v>0.99814000000000003</v>
      </c>
      <c r="U189" s="16" t="s">
        <v>126</v>
      </c>
      <c r="V189" s="16" t="s">
        <v>698</v>
      </c>
      <c r="W189" s="16" t="s">
        <v>695</v>
      </c>
      <c r="X189" s="16" t="s">
        <v>501</v>
      </c>
    </row>
    <row r="190" spans="2:24" x14ac:dyDescent="0.45">
      <c r="B190" s="14" t="s">
        <v>316</v>
      </c>
      <c r="C190" s="19">
        <v>1.7874760000000001</v>
      </c>
      <c r="D190" s="15">
        <v>114.4</v>
      </c>
      <c r="E190" s="24">
        <v>0.99375999999999998</v>
      </c>
      <c r="U190" s="14" t="s">
        <v>126</v>
      </c>
      <c r="V190" s="14" t="s">
        <v>699</v>
      </c>
      <c r="W190" s="14" t="s">
        <v>695</v>
      </c>
      <c r="X190" s="14" t="s">
        <v>501</v>
      </c>
    </row>
    <row r="191" spans="2:24" x14ac:dyDescent="0.45">
      <c r="B191" s="16" t="s">
        <v>317</v>
      </c>
      <c r="C191" s="22">
        <v>3.5749529999999998</v>
      </c>
      <c r="D191" s="17">
        <v>86.9</v>
      </c>
      <c r="E191" s="26">
        <v>0.99526000000000003</v>
      </c>
      <c r="U191" s="16" t="s">
        <v>126</v>
      </c>
      <c r="V191" s="16" t="s">
        <v>700</v>
      </c>
      <c r="W191" s="16" t="s">
        <v>695</v>
      </c>
      <c r="X191" s="16" t="s">
        <v>501</v>
      </c>
    </row>
    <row r="192" spans="2:24" x14ac:dyDescent="0.45">
      <c r="B192" s="14" t="s">
        <v>318</v>
      </c>
      <c r="C192" s="19">
        <v>3.5749529999999998</v>
      </c>
      <c r="D192" s="15">
        <v>124.30000000000001</v>
      </c>
      <c r="E192" s="24">
        <v>0.99321999999999999</v>
      </c>
      <c r="U192" s="14" t="s">
        <v>126</v>
      </c>
      <c r="V192" s="14" t="s">
        <v>701</v>
      </c>
      <c r="W192" s="14" t="s">
        <v>695</v>
      </c>
      <c r="X192" s="14" t="s">
        <v>501</v>
      </c>
    </row>
    <row r="193" spans="2:24" x14ac:dyDescent="0.45">
      <c r="B193" s="16" t="s">
        <v>319</v>
      </c>
      <c r="C193" s="22">
        <v>0.49155599999999999</v>
      </c>
      <c r="D193" s="17">
        <v>18.700000000000003</v>
      </c>
      <c r="E193" s="26">
        <v>0.99897999999999998</v>
      </c>
      <c r="U193" s="16" t="s">
        <v>126</v>
      </c>
      <c r="V193" s="16" t="s">
        <v>702</v>
      </c>
      <c r="W193" s="16" t="s">
        <v>695</v>
      </c>
      <c r="X193" s="16" t="s">
        <v>501</v>
      </c>
    </row>
    <row r="194" spans="2:24" x14ac:dyDescent="0.45">
      <c r="B194" s="14" t="s">
        <v>320</v>
      </c>
      <c r="C194" s="19">
        <v>3.5749529999999998</v>
      </c>
      <c r="D194" s="15">
        <v>59.400000000000006</v>
      </c>
      <c r="E194" s="24">
        <v>0.99675999999999998</v>
      </c>
      <c r="U194" s="14" t="s">
        <v>126</v>
      </c>
      <c r="V194" s="14" t="s">
        <v>703</v>
      </c>
      <c r="W194" s="14" t="s">
        <v>695</v>
      </c>
      <c r="X194" s="14" t="s">
        <v>501</v>
      </c>
    </row>
    <row r="195" spans="2:24" x14ac:dyDescent="0.45">
      <c r="B195" s="16" t="s">
        <v>321</v>
      </c>
      <c r="C195" s="22">
        <v>3.5749529999999998</v>
      </c>
      <c r="D195" s="17">
        <v>85.800000000000011</v>
      </c>
      <c r="E195" s="26">
        <v>0.99531999999999998</v>
      </c>
      <c r="U195" s="16" t="s">
        <v>126</v>
      </c>
      <c r="V195" s="16" t="s">
        <v>704</v>
      </c>
      <c r="W195" s="16" t="s">
        <v>695</v>
      </c>
      <c r="X195" s="16" t="s">
        <v>501</v>
      </c>
    </row>
    <row r="196" spans="2:24" x14ac:dyDescent="0.45">
      <c r="B196" s="14" t="s">
        <v>322</v>
      </c>
      <c r="C196" s="19">
        <v>1.7874760000000001</v>
      </c>
      <c r="D196" s="15">
        <v>133.10000000000002</v>
      </c>
      <c r="E196" s="24">
        <v>0.99273999999999996</v>
      </c>
      <c r="U196" s="14" t="s">
        <v>126</v>
      </c>
      <c r="V196" s="14" t="s">
        <v>705</v>
      </c>
      <c r="W196" s="14" t="s">
        <v>695</v>
      </c>
      <c r="X196" s="14" t="s">
        <v>501</v>
      </c>
    </row>
    <row r="197" spans="2:24" x14ac:dyDescent="0.45">
      <c r="B197" s="16" t="s">
        <v>323</v>
      </c>
      <c r="C197" s="22">
        <v>0.49155599999999999</v>
      </c>
      <c r="D197" s="17">
        <v>118.80000000000001</v>
      </c>
      <c r="E197" s="26">
        <v>0.99351999999999996</v>
      </c>
      <c r="U197" s="16" t="s">
        <v>126</v>
      </c>
      <c r="V197" s="16" t="s">
        <v>706</v>
      </c>
      <c r="W197" s="16" t="s">
        <v>695</v>
      </c>
      <c r="X197" s="16" t="s">
        <v>501</v>
      </c>
    </row>
    <row r="198" spans="2:24" x14ac:dyDescent="0.45">
      <c r="B198" s="14" t="s">
        <v>324</v>
      </c>
      <c r="C198" s="19">
        <v>0.98311199999999999</v>
      </c>
      <c r="D198" s="15">
        <v>12.100000000000001</v>
      </c>
      <c r="E198" s="24">
        <v>0.99934000000000001</v>
      </c>
      <c r="U198" s="14" t="s">
        <v>126</v>
      </c>
      <c r="V198" s="14" t="s">
        <v>707</v>
      </c>
      <c r="W198" s="14" t="s">
        <v>695</v>
      </c>
      <c r="X198" s="14" t="s">
        <v>501</v>
      </c>
    </row>
    <row r="199" spans="2:24" x14ac:dyDescent="0.45">
      <c r="B199" s="16" t="s">
        <v>325</v>
      </c>
      <c r="C199" s="22">
        <v>0.98311199999999999</v>
      </c>
      <c r="D199" s="17">
        <v>4.4000000000000004</v>
      </c>
      <c r="E199" s="26">
        <v>0.99975999999999998</v>
      </c>
      <c r="U199" s="16" t="s">
        <v>126</v>
      </c>
      <c r="V199" s="16" t="s">
        <v>708</v>
      </c>
      <c r="W199" s="16" t="s">
        <v>709</v>
      </c>
      <c r="X199" s="16" t="s">
        <v>501</v>
      </c>
    </row>
    <row r="200" spans="2:24" x14ac:dyDescent="0.45">
      <c r="B200" s="14" t="s">
        <v>326</v>
      </c>
      <c r="C200" s="19">
        <v>0.49155599999999999</v>
      </c>
      <c r="D200" s="15">
        <v>89.100000000000009</v>
      </c>
      <c r="E200" s="24">
        <v>0.99514000000000002</v>
      </c>
      <c r="U200" s="14" t="s">
        <v>126</v>
      </c>
      <c r="V200" s="14" t="s">
        <v>710</v>
      </c>
      <c r="W200" s="14" t="s">
        <v>709</v>
      </c>
      <c r="X200" s="14" t="s">
        <v>501</v>
      </c>
    </row>
    <row r="201" spans="2:24" x14ac:dyDescent="0.45">
      <c r="B201" s="16" t="s">
        <v>327</v>
      </c>
      <c r="C201" s="22">
        <v>3.5749529999999998</v>
      </c>
      <c r="D201" s="17">
        <v>105.60000000000001</v>
      </c>
      <c r="E201" s="26">
        <v>0.99424000000000001</v>
      </c>
      <c r="U201" s="16" t="s">
        <v>126</v>
      </c>
      <c r="V201" s="16" t="s">
        <v>711</v>
      </c>
      <c r="W201" s="16" t="s">
        <v>709</v>
      </c>
      <c r="X201" s="16" t="s">
        <v>501</v>
      </c>
    </row>
    <row r="202" spans="2:24" x14ac:dyDescent="0.45">
      <c r="B202" s="14" t="s">
        <v>328</v>
      </c>
      <c r="C202" s="19">
        <v>0.49155599999999999</v>
      </c>
      <c r="D202" s="15">
        <v>91.300000000000011</v>
      </c>
      <c r="E202" s="24">
        <v>0.99502000000000002</v>
      </c>
      <c r="U202" s="14" t="s">
        <v>126</v>
      </c>
      <c r="V202" s="14" t="s">
        <v>712</v>
      </c>
      <c r="W202" s="14" t="s">
        <v>709</v>
      </c>
      <c r="X202" s="14" t="s">
        <v>501</v>
      </c>
    </row>
    <row r="203" spans="2:24" x14ac:dyDescent="0.45">
      <c r="B203" s="16" t="s">
        <v>329</v>
      </c>
      <c r="C203" s="22">
        <v>1.7874760000000001</v>
      </c>
      <c r="D203" s="17">
        <v>28.6</v>
      </c>
      <c r="E203" s="26">
        <v>0.99843999999999999</v>
      </c>
      <c r="U203" s="16" t="s">
        <v>126</v>
      </c>
      <c r="V203" s="16" t="s">
        <v>713</v>
      </c>
      <c r="W203" s="16" t="s">
        <v>709</v>
      </c>
      <c r="X203" s="16" t="s">
        <v>501</v>
      </c>
    </row>
    <row r="204" spans="2:24" x14ac:dyDescent="0.45">
      <c r="B204" s="14" t="s">
        <v>330</v>
      </c>
      <c r="C204" s="19">
        <v>1.7874760000000001</v>
      </c>
      <c r="D204" s="15">
        <v>91.300000000000011</v>
      </c>
      <c r="E204" s="24">
        <v>0.99502000000000002</v>
      </c>
      <c r="U204" s="14" t="s">
        <v>126</v>
      </c>
      <c r="V204" s="14" t="s">
        <v>714</v>
      </c>
      <c r="W204" s="14" t="s">
        <v>709</v>
      </c>
      <c r="X204" s="14" t="s">
        <v>501</v>
      </c>
    </row>
    <row r="205" spans="2:24" x14ac:dyDescent="0.45">
      <c r="B205" s="16" t="s">
        <v>331</v>
      </c>
      <c r="C205" s="22">
        <v>1.7874760000000001</v>
      </c>
      <c r="D205" s="17">
        <v>143</v>
      </c>
      <c r="E205" s="26">
        <v>0.99219999999999997</v>
      </c>
      <c r="U205" s="16" t="s">
        <v>126</v>
      </c>
      <c r="V205" s="16" t="s">
        <v>715</v>
      </c>
      <c r="W205" s="16" t="s">
        <v>709</v>
      </c>
      <c r="X205" s="16" t="s">
        <v>501</v>
      </c>
    </row>
    <row r="206" spans="2:24" x14ac:dyDescent="0.45">
      <c r="B206" s="14" t="s">
        <v>332</v>
      </c>
      <c r="C206" s="19">
        <v>1.7874760000000001</v>
      </c>
      <c r="D206" s="15">
        <v>137.5</v>
      </c>
      <c r="E206" s="24">
        <v>0.99250000000000005</v>
      </c>
      <c r="U206" s="14" t="s">
        <v>126</v>
      </c>
      <c r="V206" s="14" t="s">
        <v>716</v>
      </c>
      <c r="W206" s="14" t="s">
        <v>709</v>
      </c>
      <c r="X206" s="14" t="s">
        <v>501</v>
      </c>
    </row>
    <row r="207" spans="2:24" x14ac:dyDescent="0.45">
      <c r="B207" s="16" t="s">
        <v>333</v>
      </c>
      <c r="C207" s="22">
        <v>1.7874760000000001</v>
      </c>
      <c r="D207" s="17">
        <v>73.7</v>
      </c>
      <c r="E207" s="26">
        <v>0.99597999999999998</v>
      </c>
      <c r="U207" s="16" t="s">
        <v>126</v>
      </c>
      <c r="V207" s="16" t="s">
        <v>717</v>
      </c>
      <c r="W207" s="16" t="s">
        <v>709</v>
      </c>
      <c r="X207" s="16" t="s">
        <v>501</v>
      </c>
    </row>
    <row r="208" spans="2:24" x14ac:dyDescent="0.45">
      <c r="B208" s="14" t="s">
        <v>334</v>
      </c>
      <c r="C208" s="19">
        <v>3.5749529999999998</v>
      </c>
      <c r="D208" s="15">
        <v>91.300000000000011</v>
      </c>
      <c r="E208" s="24">
        <v>0.99502000000000002</v>
      </c>
      <c r="U208" s="14" t="s">
        <v>126</v>
      </c>
      <c r="V208" s="14" t="s">
        <v>718</v>
      </c>
      <c r="W208" s="14" t="s">
        <v>709</v>
      </c>
      <c r="X208" s="14" t="s">
        <v>501</v>
      </c>
    </row>
    <row r="209" spans="2:24" x14ac:dyDescent="0.45">
      <c r="B209" s="16" t="s">
        <v>335</v>
      </c>
      <c r="C209" s="22">
        <v>5.3624289999999997</v>
      </c>
      <c r="D209" s="17">
        <v>2.2000000000000002</v>
      </c>
      <c r="E209" s="26">
        <v>0.99987999999999999</v>
      </c>
      <c r="U209" s="16" t="s">
        <v>126</v>
      </c>
      <c r="V209" s="16" t="s">
        <v>719</v>
      </c>
      <c r="W209" s="16" t="s">
        <v>709</v>
      </c>
      <c r="X209" s="16" t="s">
        <v>501</v>
      </c>
    </row>
    <row r="210" spans="2:24" x14ac:dyDescent="0.45">
      <c r="B210" s="14" t="s">
        <v>336</v>
      </c>
      <c r="C210" s="19">
        <v>0.49155599999999999</v>
      </c>
      <c r="D210" s="15">
        <v>52.800000000000004</v>
      </c>
      <c r="E210" s="24">
        <v>0.99712000000000001</v>
      </c>
      <c r="U210" s="14" t="s">
        <v>126</v>
      </c>
      <c r="V210" s="14" t="s">
        <v>720</v>
      </c>
      <c r="W210" s="14" t="s">
        <v>709</v>
      </c>
      <c r="X210" s="14" t="s">
        <v>501</v>
      </c>
    </row>
    <row r="211" spans="2:24" x14ac:dyDescent="0.45">
      <c r="B211" s="16" t="s">
        <v>337</v>
      </c>
      <c r="C211" s="22">
        <v>1.7874760000000001</v>
      </c>
      <c r="D211" s="17">
        <v>18.700000000000003</v>
      </c>
      <c r="E211" s="26">
        <v>0.99897999999999998</v>
      </c>
      <c r="U211" s="16" t="s">
        <v>126</v>
      </c>
      <c r="V211" s="16" t="s">
        <v>721</v>
      </c>
      <c r="W211" s="16" t="s">
        <v>709</v>
      </c>
      <c r="X211" s="16" t="s">
        <v>501</v>
      </c>
    </row>
    <row r="212" spans="2:24" x14ac:dyDescent="0.45">
      <c r="B212" s="14" t="s">
        <v>338</v>
      </c>
      <c r="C212" s="19">
        <v>0.49155599999999999</v>
      </c>
      <c r="D212" s="15">
        <v>47.300000000000004</v>
      </c>
      <c r="E212" s="24">
        <v>0.99741999999999997</v>
      </c>
      <c r="U212" s="14" t="s">
        <v>126</v>
      </c>
      <c r="V212" s="14" t="s">
        <v>722</v>
      </c>
      <c r="W212" s="14" t="s">
        <v>723</v>
      </c>
      <c r="X212" s="14" t="s">
        <v>501</v>
      </c>
    </row>
    <row r="213" spans="2:24" x14ac:dyDescent="0.45">
      <c r="B213" s="16" t="s">
        <v>339</v>
      </c>
      <c r="C213" s="22">
        <v>1.7874760000000001</v>
      </c>
      <c r="D213" s="17">
        <v>47.300000000000004</v>
      </c>
      <c r="E213" s="26">
        <v>0.99741999999999997</v>
      </c>
      <c r="U213" s="16" t="s">
        <v>126</v>
      </c>
      <c r="V213" s="16" t="s">
        <v>724</v>
      </c>
      <c r="W213" s="16" t="s">
        <v>723</v>
      </c>
      <c r="X213" s="16" t="s">
        <v>501</v>
      </c>
    </row>
    <row r="214" spans="2:24" x14ac:dyDescent="0.45">
      <c r="B214" s="14" t="s">
        <v>340</v>
      </c>
      <c r="C214" s="19">
        <v>0.49155599999999999</v>
      </c>
      <c r="D214" s="15">
        <v>96.800000000000011</v>
      </c>
      <c r="E214" s="24">
        <v>0.99472000000000005</v>
      </c>
      <c r="U214" s="14" t="s">
        <v>126</v>
      </c>
      <c r="V214" s="14" t="s">
        <v>725</v>
      </c>
      <c r="W214" s="14" t="s">
        <v>723</v>
      </c>
      <c r="X214" s="14" t="s">
        <v>501</v>
      </c>
    </row>
    <row r="215" spans="2:24" x14ac:dyDescent="0.45">
      <c r="B215" s="16" t="s">
        <v>341</v>
      </c>
      <c r="C215" s="22">
        <v>0.49155599999999999</v>
      </c>
      <c r="D215" s="17">
        <v>25.3</v>
      </c>
      <c r="E215" s="26">
        <v>0.99861999999999995</v>
      </c>
      <c r="U215" s="16" t="s">
        <v>126</v>
      </c>
      <c r="V215" s="16" t="s">
        <v>726</v>
      </c>
      <c r="W215" s="16" t="s">
        <v>723</v>
      </c>
      <c r="X215" s="16" t="s">
        <v>501</v>
      </c>
    </row>
    <row r="216" spans="2:24" x14ac:dyDescent="0.45">
      <c r="B216" s="14" t="s">
        <v>342</v>
      </c>
      <c r="C216" s="19">
        <v>0.49155599999999999</v>
      </c>
      <c r="D216" s="15">
        <v>102.30000000000001</v>
      </c>
      <c r="E216" s="24">
        <v>0.99441999999999997</v>
      </c>
      <c r="U216" s="14" t="s">
        <v>126</v>
      </c>
      <c r="V216" s="14" t="s">
        <v>727</v>
      </c>
      <c r="W216" s="14" t="s">
        <v>723</v>
      </c>
      <c r="X216" s="14" t="s">
        <v>501</v>
      </c>
    </row>
    <row r="217" spans="2:24" x14ac:dyDescent="0.45">
      <c r="B217" s="16" t="s">
        <v>343</v>
      </c>
      <c r="C217" s="22">
        <v>0.49155599999999999</v>
      </c>
      <c r="D217" s="17">
        <v>33</v>
      </c>
      <c r="E217" s="26">
        <v>0.99819999999999998</v>
      </c>
      <c r="U217" s="16" t="s">
        <v>126</v>
      </c>
      <c r="V217" s="16" t="s">
        <v>728</v>
      </c>
      <c r="W217" s="16" t="s">
        <v>723</v>
      </c>
      <c r="X217" s="16" t="s">
        <v>501</v>
      </c>
    </row>
    <row r="218" spans="2:24" x14ac:dyDescent="0.45">
      <c r="B218" s="14" t="s">
        <v>344</v>
      </c>
      <c r="C218" s="19">
        <v>0.49155599999999999</v>
      </c>
      <c r="D218" s="15">
        <v>8.8000000000000007</v>
      </c>
      <c r="E218" s="24">
        <v>0.99951999999999996</v>
      </c>
      <c r="U218" s="14" t="s">
        <v>126</v>
      </c>
      <c r="V218" s="14" t="s">
        <v>729</v>
      </c>
      <c r="W218" s="14" t="s">
        <v>723</v>
      </c>
      <c r="X218" s="14" t="s">
        <v>501</v>
      </c>
    </row>
    <row r="219" spans="2:24" x14ac:dyDescent="0.45">
      <c r="B219" s="16" t="s">
        <v>345</v>
      </c>
      <c r="C219" s="22">
        <v>0.49155599999999999</v>
      </c>
      <c r="D219" s="17">
        <v>19.8</v>
      </c>
      <c r="E219" s="26">
        <v>0.99892000000000003</v>
      </c>
      <c r="U219" s="16" t="s">
        <v>126</v>
      </c>
      <c r="V219" s="16" t="s">
        <v>730</v>
      </c>
      <c r="W219" s="16" t="s">
        <v>723</v>
      </c>
      <c r="X219" s="16" t="s">
        <v>501</v>
      </c>
    </row>
    <row r="220" spans="2:24" x14ac:dyDescent="0.45">
      <c r="B220" s="14" t="s">
        <v>346</v>
      </c>
      <c r="C220" s="19">
        <v>0.98311199999999999</v>
      </c>
      <c r="D220" s="15">
        <v>9.9</v>
      </c>
      <c r="E220" s="24">
        <v>0.99946000000000002</v>
      </c>
      <c r="U220" s="14" t="s">
        <v>126</v>
      </c>
      <c r="V220" s="14" t="s">
        <v>731</v>
      </c>
      <c r="W220" s="14" t="s">
        <v>723</v>
      </c>
      <c r="X220" s="14" t="s">
        <v>501</v>
      </c>
    </row>
    <row r="221" spans="2:24" x14ac:dyDescent="0.45">
      <c r="B221" s="16" t="s">
        <v>347</v>
      </c>
      <c r="C221" s="22">
        <v>0.98311199999999999</v>
      </c>
      <c r="D221" s="17">
        <v>27.500000000000004</v>
      </c>
      <c r="E221" s="26">
        <v>0.99850000000000005</v>
      </c>
      <c r="U221" s="16" t="s">
        <v>126</v>
      </c>
      <c r="V221" s="16" t="s">
        <v>732</v>
      </c>
      <c r="W221" s="16" t="s">
        <v>723</v>
      </c>
      <c r="X221" s="16" t="s">
        <v>501</v>
      </c>
    </row>
    <row r="222" spans="2:24" x14ac:dyDescent="0.45">
      <c r="B222" s="14" t="s">
        <v>348</v>
      </c>
      <c r="C222" s="19">
        <v>0.98311199999999999</v>
      </c>
      <c r="D222" s="15">
        <v>55.000000000000007</v>
      </c>
      <c r="E222" s="24">
        <v>0.997</v>
      </c>
      <c r="U222" s="14" t="s">
        <v>126</v>
      </c>
      <c r="V222" s="14" t="s">
        <v>733</v>
      </c>
      <c r="W222" s="14" t="s">
        <v>723</v>
      </c>
      <c r="X222" s="14" t="s">
        <v>501</v>
      </c>
    </row>
    <row r="223" spans="2:24" x14ac:dyDescent="0.45">
      <c r="B223" s="16" t="s">
        <v>349</v>
      </c>
      <c r="C223" s="22">
        <v>0.98311199999999999</v>
      </c>
      <c r="D223" s="17">
        <v>12.100000000000001</v>
      </c>
      <c r="E223" s="26">
        <v>0.99934000000000001</v>
      </c>
      <c r="U223" s="16" t="s">
        <v>126</v>
      </c>
      <c r="V223" s="16" t="s">
        <v>734</v>
      </c>
      <c r="W223" s="16" t="s">
        <v>723</v>
      </c>
      <c r="X223" s="16" t="s">
        <v>501</v>
      </c>
    </row>
    <row r="224" spans="2:24" x14ac:dyDescent="0.45">
      <c r="B224" s="14" t="s">
        <v>350</v>
      </c>
      <c r="C224" s="19">
        <v>0.49155599999999999</v>
      </c>
      <c r="D224" s="15">
        <v>37.400000000000006</v>
      </c>
      <c r="E224" s="24">
        <v>0.99795999999999996</v>
      </c>
      <c r="U224" s="14" t="s">
        <v>126</v>
      </c>
      <c r="V224" s="14" t="s">
        <v>735</v>
      </c>
      <c r="W224" s="14" t="s">
        <v>723</v>
      </c>
      <c r="X224" s="14" t="s">
        <v>501</v>
      </c>
    </row>
    <row r="225" spans="2:24" x14ac:dyDescent="0.45">
      <c r="B225" s="16" t="s">
        <v>351</v>
      </c>
      <c r="C225" s="22">
        <v>0.49155599999999999</v>
      </c>
      <c r="D225" s="17">
        <v>63.800000000000004</v>
      </c>
      <c r="E225" s="26">
        <v>0.99651999999999996</v>
      </c>
      <c r="U225" s="16" t="s">
        <v>126</v>
      </c>
      <c r="V225" s="16" t="s">
        <v>736</v>
      </c>
      <c r="W225" s="16" t="s">
        <v>737</v>
      </c>
      <c r="X225" s="16" t="s">
        <v>501</v>
      </c>
    </row>
    <row r="226" spans="2:24" x14ac:dyDescent="0.45">
      <c r="B226" s="14" t="s">
        <v>352</v>
      </c>
      <c r="C226" s="19">
        <v>2.4577799999999996</v>
      </c>
      <c r="D226" s="15">
        <v>6.6000000000000005</v>
      </c>
      <c r="E226" s="24">
        <v>0.99963999999999997</v>
      </c>
      <c r="U226" s="14" t="s">
        <v>126</v>
      </c>
      <c r="V226" s="14" t="s">
        <v>738</v>
      </c>
      <c r="W226" s="14" t="s">
        <v>737</v>
      </c>
      <c r="X226" s="14" t="s">
        <v>501</v>
      </c>
    </row>
    <row r="227" spans="2:24" x14ac:dyDescent="0.45">
      <c r="B227" s="16" t="s">
        <v>353</v>
      </c>
      <c r="C227" s="22">
        <v>1.7874760000000001</v>
      </c>
      <c r="D227" s="17">
        <v>224.4</v>
      </c>
      <c r="E227" s="26">
        <v>0.98775999999999997</v>
      </c>
      <c r="U227" s="16" t="s">
        <v>126</v>
      </c>
      <c r="V227" s="16" t="s">
        <v>739</v>
      </c>
      <c r="W227" s="16" t="s">
        <v>737</v>
      </c>
      <c r="X227" s="16" t="s">
        <v>501</v>
      </c>
    </row>
    <row r="228" spans="2:24" x14ac:dyDescent="0.45">
      <c r="B228" s="14" t="s">
        <v>354</v>
      </c>
      <c r="C228" s="19">
        <v>1.7874760000000001</v>
      </c>
      <c r="D228" s="15">
        <v>198.00000000000003</v>
      </c>
      <c r="E228" s="24">
        <v>0.98919999999999997</v>
      </c>
      <c r="U228" s="14" t="s">
        <v>126</v>
      </c>
      <c r="V228" s="14" t="s">
        <v>740</v>
      </c>
      <c r="W228" s="14" t="s">
        <v>737</v>
      </c>
      <c r="X228" s="14" t="s">
        <v>501</v>
      </c>
    </row>
    <row r="229" spans="2:24" x14ac:dyDescent="0.45">
      <c r="B229" s="16" t="s">
        <v>355</v>
      </c>
      <c r="C229" s="22">
        <v>8.9373819999999995</v>
      </c>
      <c r="D229" s="17">
        <v>6.6000000000000005</v>
      </c>
      <c r="E229" s="26">
        <v>0.99963999999999997</v>
      </c>
      <c r="U229" s="16" t="s">
        <v>126</v>
      </c>
      <c r="V229" s="16" t="s">
        <v>741</v>
      </c>
      <c r="W229" s="16" t="s">
        <v>737</v>
      </c>
      <c r="X229" s="16" t="s">
        <v>501</v>
      </c>
    </row>
    <row r="230" spans="2:24" x14ac:dyDescent="0.45">
      <c r="B230" s="14" t="s">
        <v>356</v>
      </c>
      <c r="C230" s="19">
        <v>0.49155599999999999</v>
      </c>
      <c r="D230" s="15">
        <v>104.50000000000001</v>
      </c>
      <c r="E230" s="24">
        <v>0.99429999999999996</v>
      </c>
      <c r="U230" s="14" t="s">
        <v>126</v>
      </c>
      <c r="V230" s="14" t="s">
        <v>742</v>
      </c>
      <c r="W230" s="14" t="s">
        <v>737</v>
      </c>
      <c r="X230" s="14" t="s">
        <v>501</v>
      </c>
    </row>
    <row r="231" spans="2:24" x14ac:dyDescent="0.45">
      <c r="B231" s="16" t="s">
        <v>357</v>
      </c>
      <c r="C231" s="22">
        <v>3.5749529999999998</v>
      </c>
      <c r="D231" s="17">
        <v>37.400000000000006</v>
      </c>
      <c r="E231" s="26">
        <v>0.99795999999999996</v>
      </c>
      <c r="U231" s="16" t="s">
        <v>126</v>
      </c>
      <c r="V231" s="16" t="s">
        <v>743</v>
      </c>
      <c r="W231" s="16" t="s">
        <v>737</v>
      </c>
      <c r="X231" s="16" t="s">
        <v>501</v>
      </c>
    </row>
    <row r="232" spans="2:24" x14ac:dyDescent="0.45">
      <c r="B232" s="14" t="s">
        <v>358</v>
      </c>
      <c r="C232" s="19">
        <v>0.49155599999999999</v>
      </c>
      <c r="D232" s="15">
        <v>15.400000000000002</v>
      </c>
      <c r="E232" s="24">
        <v>0.99916000000000005</v>
      </c>
      <c r="U232" s="14" t="s">
        <v>126</v>
      </c>
      <c r="V232" s="14" t="s">
        <v>744</v>
      </c>
      <c r="W232" s="14" t="s">
        <v>737</v>
      </c>
      <c r="X232" s="14" t="s">
        <v>501</v>
      </c>
    </row>
    <row r="233" spans="2:24" x14ac:dyDescent="0.45">
      <c r="B233" s="16" t="s">
        <v>359</v>
      </c>
      <c r="C233" s="22">
        <v>0.49155599999999999</v>
      </c>
      <c r="D233" s="17">
        <v>34.1</v>
      </c>
      <c r="E233" s="26">
        <v>0.99814000000000003</v>
      </c>
      <c r="U233" s="16" t="s">
        <v>126</v>
      </c>
      <c r="V233" s="16" t="s">
        <v>745</v>
      </c>
      <c r="W233" s="16" t="s">
        <v>737</v>
      </c>
      <c r="X233" s="16" t="s">
        <v>501</v>
      </c>
    </row>
    <row r="234" spans="2:24" x14ac:dyDescent="0.45">
      <c r="B234" s="14" t="s">
        <v>360</v>
      </c>
      <c r="C234" s="19">
        <v>3.5749529999999998</v>
      </c>
      <c r="D234" s="15">
        <v>154</v>
      </c>
      <c r="E234" s="24">
        <v>0.99160000000000004</v>
      </c>
      <c r="U234" s="14" t="s">
        <v>126</v>
      </c>
      <c r="V234" s="14" t="s">
        <v>746</v>
      </c>
      <c r="W234" s="14" t="s">
        <v>737</v>
      </c>
      <c r="X234" s="14" t="s">
        <v>501</v>
      </c>
    </row>
    <row r="235" spans="2:24" x14ac:dyDescent="0.45">
      <c r="B235" s="16" t="s">
        <v>361</v>
      </c>
      <c r="C235" s="22">
        <v>3.5749529999999998</v>
      </c>
      <c r="D235" s="17">
        <v>15.400000000000002</v>
      </c>
      <c r="E235" s="26">
        <v>0.99916000000000005</v>
      </c>
      <c r="U235" s="16" t="s">
        <v>126</v>
      </c>
      <c r="V235" s="16" t="s">
        <v>747</v>
      </c>
      <c r="W235" s="16" t="s">
        <v>737</v>
      </c>
      <c r="X235" s="16" t="s">
        <v>501</v>
      </c>
    </row>
    <row r="236" spans="2:24" x14ac:dyDescent="0.45">
      <c r="B236" s="14" t="s">
        <v>362</v>
      </c>
      <c r="C236" s="19">
        <v>1.7874760000000001</v>
      </c>
      <c r="D236" s="15">
        <v>140.80000000000001</v>
      </c>
      <c r="E236" s="24">
        <v>0.99231999999999998</v>
      </c>
      <c r="U236" s="14" t="s">
        <v>126</v>
      </c>
      <c r="V236" s="14" t="s">
        <v>748</v>
      </c>
      <c r="W236" s="14" t="s">
        <v>737</v>
      </c>
      <c r="X236" s="14" t="s">
        <v>501</v>
      </c>
    </row>
    <row r="237" spans="2:24" x14ac:dyDescent="0.45">
      <c r="B237" s="16" t="s">
        <v>363</v>
      </c>
      <c r="C237" s="22">
        <v>0.49155599999999999</v>
      </c>
      <c r="D237" s="17">
        <v>53.900000000000006</v>
      </c>
      <c r="E237" s="26">
        <v>0.99705999999999995</v>
      </c>
      <c r="U237" s="16" t="s">
        <v>126</v>
      </c>
      <c r="V237" s="16" t="s">
        <v>749</v>
      </c>
      <c r="W237" s="16" t="s">
        <v>737</v>
      </c>
      <c r="X237" s="16" t="s">
        <v>501</v>
      </c>
    </row>
    <row r="238" spans="2:24" x14ac:dyDescent="0.45">
      <c r="B238" s="14" t="s">
        <v>364</v>
      </c>
      <c r="C238" s="19">
        <v>0.49155599999999999</v>
      </c>
      <c r="D238" s="15">
        <v>42.900000000000006</v>
      </c>
      <c r="E238" s="24">
        <v>0.99765999999999999</v>
      </c>
      <c r="U238" s="14" t="s">
        <v>126</v>
      </c>
      <c r="V238" s="14" t="s">
        <v>750</v>
      </c>
      <c r="W238" s="14" t="s">
        <v>751</v>
      </c>
      <c r="X238" s="14" t="s">
        <v>501</v>
      </c>
    </row>
    <row r="239" spans="2:24" x14ac:dyDescent="0.45">
      <c r="B239" s="16" t="s">
        <v>365</v>
      </c>
      <c r="C239" s="22">
        <v>0.49155599999999999</v>
      </c>
      <c r="D239" s="17">
        <v>110.00000000000001</v>
      </c>
      <c r="E239" s="26">
        <v>0.99399999999999999</v>
      </c>
      <c r="U239" s="16" t="s">
        <v>126</v>
      </c>
      <c r="V239" s="16" t="s">
        <v>752</v>
      </c>
      <c r="W239" s="16" t="s">
        <v>751</v>
      </c>
      <c r="X239" s="16" t="s">
        <v>501</v>
      </c>
    </row>
    <row r="240" spans="2:24" x14ac:dyDescent="0.45">
      <c r="B240" s="14" t="s">
        <v>366</v>
      </c>
      <c r="C240" s="19">
        <v>3.5749529999999998</v>
      </c>
      <c r="D240" s="15">
        <v>51.7</v>
      </c>
      <c r="E240" s="24">
        <v>0.99717999999999996</v>
      </c>
      <c r="U240" s="14" t="s">
        <v>126</v>
      </c>
      <c r="V240" s="14" t="s">
        <v>753</v>
      </c>
      <c r="W240" s="14" t="s">
        <v>751</v>
      </c>
      <c r="X240" s="14" t="s">
        <v>501</v>
      </c>
    </row>
    <row r="241" spans="2:24" x14ac:dyDescent="0.45">
      <c r="B241" s="16" t="s">
        <v>367</v>
      </c>
      <c r="C241" s="22">
        <v>1.7874760000000001</v>
      </c>
      <c r="D241" s="17">
        <v>7.7000000000000011</v>
      </c>
      <c r="E241" s="26">
        <v>0.99958000000000002</v>
      </c>
      <c r="U241" s="16" t="s">
        <v>126</v>
      </c>
      <c r="V241" s="16" t="s">
        <v>754</v>
      </c>
      <c r="W241" s="16" t="s">
        <v>751</v>
      </c>
      <c r="X241" s="16" t="s">
        <v>501</v>
      </c>
    </row>
    <row r="242" spans="2:24" x14ac:dyDescent="0.45">
      <c r="B242" s="14" t="s">
        <v>368</v>
      </c>
      <c r="C242" s="19">
        <v>0.49155599999999999</v>
      </c>
      <c r="D242" s="15">
        <v>100.10000000000001</v>
      </c>
      <c r="E242" s="24">
        <v>0.99453999999999998</v>
      </c>
      <c r="U242" s="14" t="s">
        <v>126</v>
      </c>
      <c r="V242" s="14" t="s">
        <v>755</v>
      </c>
      <c r="W242" s="14" t="s">
        <v>751</v>
      </c>
      <c r="X242" s="14" t="s">
        <v>501</v>
      </c>
    </row>
    <row r="243" spans="2:24" x14ac:dyDescent="0.45">
      <c r="B243" s="16" t="s">
        <v>369</v>
      </c>
      <c r="C243" s="22">
        <v>0.98311199999999999</v>
      </c>
      <c r="D243" s="17">
        <v>2.2000000000000002</v>
      </c>
      <c r="E243" s="26">
        <v>0.99987999999999999</v>
      </c>
      <c r="U243" s="16" t="s">
        <v>126</v>
      </c>
      <c r="V243" s="16" t="s">
        <v>756</v>
      </c>
      <c r="W243" s="16" t="s">
        <v>751</v>
      </c>
      <c r="X243" s="16" t="s">
        <v>501</v>
      </c>
    </row>
    <row r="244" spans="2:24" x14ac:dyDescent="0.45">
      <c r="B244" s="14" t="s">
        <v>370</v>
      </c>
      <c r="C244" s="19">
        <v>0.49155599999999999</v>
      </c>
      <c r="D244" s="15">
        <v>45.1</v>
      </c>
      <c r="E244" s="24">
        <v>0.99753999999999998</v>
      </c>
      <c r="U244" s="14" t="s">
        <v>126</v>
      </c>
      <c r="V244" s="14" t="s">
        <v>757</v>
      </c>
      <c r="W244" s="14" t="s">
        <v>751</v>
      </c>
      <c r="X244" s="14" t="s">
        <v>501</v>
      </c>
    </row>
    <row r="245" spans="2:24" x14ac:dyDescent="0.45">
      <c r="B245" s="16" t="s">
        <v>371</v>
      </c>
      <c r="C245" s="22">
        <v>0.49155599999999999</v>
      </c>
      <c r="D245" s="17">
        <v>101.2</v>
      </c>
      <c r="E245" s="26">
        <v>0.99448000000000003</v>
      </c>
      <c r="U245" s="16" t="s">
        <v>126</v>
      </c>
      <c r="V245" s="16" t="s">
        <v>758</v>
      </c>
      <c r="W245" s="16" t="s">
        <v>751</v>
      </c>
      <c r="X245" s="16" t="s">
        <v>501</v>
      </c>
    </row>
    <row r="246" spans="2:24" x14ac:dyDescent="0.45">
      <c r="B246" s="14" t="s">
        <v>372</v>
      </c>
      <c r="C246" s="19">
        <v>0.49155599999999999</v>
      </c>
      <c r="D246" s="15">
        <v>55.000000000000007</v>
      </c>
      <c r="E246" s="24">
        <v>0.997</v>
      </c>
      <c r="U246" s="14" t="s">
        <v>126</v>
      </c>
      <c r="V246" s="14" t="s">
        <v>759</v>
      </c>
      <c r="W246" s="14" t="s">
        <v>751</v>
      </c>
      <c r="X246" s="14" t="s">
        <v>501</v>
      </c>
    </row>
    <row r="247" spans="2:24" x14ac:dyDescent="0.45">
      <c r="B247" s="16" t="s">
        <v>373</v>
      </c>
      <c r="C247" s="22">
        <v>3.5749529999999998</v>
      </c>
      <c r="D247" s="17">
        <v>3.3000000000000003</v>
      </c>
      <c r="E247" s="26">
        <v>0.99982000000000004</v>
      </c>
      <c r="U247" s="16" t="s">
        <v>126</v>
      </c>
      <c r="V247" s="16" t="s">
        <v>760</v>
      </c>
      <c r="W247" s="16" t="s">
        <v>751</v>
      </c>
      <c r="X247" s="16" t="s">
        <v>501</v>
      </c>
    </row>
    <row r="248" spans="2:24" x14ac:dyDescent="0.45">
      <c r="B248" s="14" t="s">
        <v>374</v>
      </c>
      <c r="C248" s="19">
        <v>7.1499050000000004</v>
      </c>
      <c r="D248" s="15">
        <v>2.2000000000000002</v>
      </c>
      <c r="E248" s="24">
        <v>0.99987999999999999</v>
      </c>
      <c r="U248" s="14" t="s">
        <v>126</v>
      </c>
      <c r="V248" s="14" t="s">
        <v>761</v>
      </c>
      <c r="W248" s="14" t="s">
        <v>751</v>
      </c>
      <c r="X248" s="14" t="s">
        <v>501</v>
      </c>
    </row>
    <row r="249" spans="2:24" x14ac:dyDescent="0.45">
      <c r="B249" s="16" t="s">
        <v>375</v>
      </c>
      <c r="C249" s="22">
        <v>1.7874760000000001</v>
      </c>
      <c r="D249" s="17">
        <v>77</v>
      </c>
      <c r="E249" s="26">
        <v>0.99580000000000002</v>
      </c>
      <c r="U249" s="16" t="s">
        <v>126</v>
      </c>
      <c r="V249" s="16" t="s">
        <v>762</v>
      </c>
      <c r="W249" s="16" t="s">
        <v>751</v>
      </c>
      <c r="X249" s="16" t="s">
        <v>501</v>
      </c>
    </row>
    <row r="250" spans="2:24" x14ac:dyDescent="0.45">
      <c r="B250" s="14" t="s">
        <v>376</v>
      </c>
      <c r="C250" s="19">
        <v>1.7874760000000001</v>
      </c>
      <c r="D250" s="15">
        <v>93.500000000000014</v>
      </c>
      <c r="E250" s="24">
        <v>0.99490000000000001</v>
      </c>
      <c r="U250" s="14" t="s">
        <v>126</v>
      </c>
      <c r="V250" s="14" t="s">
        <v>763</v>
      </c>
      <c r="W250" s="14" t="s">
        <v>751</v>
      </c>
      <c r="X250" s="14" t="s">
        <v>501</v>
      </c>
    </row>
    <row r="251" spans="2:24" x14ac:dyDescent="0.45">
      <c r="B251" s="16" t="s">
        <v>377</v>
      </c>
      <c r="C251" s="22">
        <v>0.49155599999999999</v>
      </c>
      <c r="D251" s="17">
        <v>48.400000000000006</v>
      </c>
      <c r="E251" s="26">
        <v>0.99736000000000002</v>
      </c>
      <c r="U251" s="16" t="s">
        <v>126</v>
      </c>
      <c r="V251" s="16" t="s">
        <v>764</v>
      </c>
      <c r="W251" s="16" t="s">
        <v>485</v>
      </c>
      <c r="X251" s="16" t="s">
        <v>501</v>
      </c>
    </row>
    <row r="252" spans="2:24" x14ac:dyDescent="0.45">
      <c r="B252" s="14" t="s">
        <v>378</v>
      </c>
      <c r="C252" s="19">
        <v>1.7874760000000001</v>
      </c>
      <c r="D252" s="15">
        <v>132</v>
      </c>
      <c r="E252" s="24">
        <v>0.99280000000000002</v>
      </c>
      <c r="U252" s="14" t="s">
        <v>126</v>
      </c>
      <c r="V252" s="14" t="s">
        <v>765</v>
      </c>
      <c r="W252" s="14" t="s">
        <v>485</v>
      </c>
      <c r="X252" s="14" t="s">
        <v>501</v>
      </c>
    </row>
    <row r="253" spans="2:24" x14ac:dyDescent="0.45">
      <c r="B253" s="16" t="s">
        <v>379</v>
      </c>
      <c r="C253" s="22">
        <v>3.5749529999999998</v>
      </c>
      <c r="D253" s="17">
        <v>78.100000000000009</v>
      </c>
      <c r="E253" s="26">
        <v>0.99573999999999996</v>
      </c>
      <c r="U253" s="16" t="s">
        <v>126</v>
      </c>
      <c r="V253" s="16" t="s">
        <v>766</v>
      </c>
      <c r="W253" s="16" t="s">
        <v>485</v>
      </c>
      <c r="X253" s="16" t="s">
        <v>501</v>
      </c>
    </row>
    <row r="254" spans="2:24" x14ac:dyDescent="0.45">
      <c r="B254" s="14" t="s">
        <v>380</v>
      </c>
      <c r="C254" s="19">
        <v>0.49155599999999999</v>
      </c>
      <c r="D254" s="15">
        <v>1.1000000000000001</v>
      </c>
      <c r="E254" s="24">
        <v>0.99994000000000005</v>
      </c>
      <c r="U254" s="14" t="s">
        <v>126</v>
      </c>
      <c r="V254" s="14" t="s">
        <v>767</v>
      </c>
      <c r="W254" s="14" t="s">
        <v>485</v>
      </c>
      <c r="X254" s="14" t="s">
        <v>501</v>
      </c>
    </row>
    <row r="255" spans="2:24" x14ac:dyDescent="0.45">
      <c r="B255" s="16" t="s">
        <v>381</v>
      </c>
      <c r="C255" s="22">
        <v>0.49155599999999999</v>
      </c>
      <c r="D255" s="17">
        <v>97.9</v>
      </c>
      <c r="E255" s="26">
        <v>0.99465999999999999</v>
      </c>
      <c r="U255" s="16" t="s">
        <v>126</v>
      </c>
      <c r="V255" s="16" t="s">
        <v>768</v>
      </c>
      <c r="W255" s="16" t="s">
        <v>485</v>
      </c>
      <c r="X255" s="16" t="s">
        <v>501</v>
      </c>
    </row>
    <row r="256" spans="2:24" x14ac:dyDescent="0.45">
      <c r="B256" s="14" t="s">
        <v>382</v>
      </c>
      <c r="C256" s="19">
        <v>0.49155599999999999</v>
      </c>
      <c r="D256" s="15">
        <v>116.60000000000001</v>
      </c>
      <c r="E256" s="24">
        <v>0.99363999999999997</v>
      </c>
      <c r="U256" s="14" t="s">
        <v>126</v>
      </c>
      <c r="V256" s="14" t="s">
        <v>769</v>
      </c>
      <c r="W256" s="14" t="s">
        <v>485</v>
      </c>
      <c r="X256" s="14" t="s">
        <v>501</v>
      </c>
    </row>
    <row r="257" spans="2:24" x14ac:dyDescent="0.45">
      <c r="B257" s="16" t="s">
        <v>383</v>
      </c>
      <c r="C257" s="22">
        <v>0.49155599999999999</v>
      </c>
      <c r="D257" s="17">
        <v>81.400000000000006</v>
      </c>
      <c r="E257" s="26">
        <v>0.99556</v>
      </c>
      <c r="U257" s="16" t="s">
        <v>126</v>
      </c>
      <c r="V257" s="16" t="s">
        <v>770</v>
      </c>
      <c r="W257" s="16" t="s">
        <v>485</v>
      </c>
      <c r="X257" s="16" t="s">
        <v>501</v>
      </c>
    </row>
    <row r="258" spans="2:24" x14ac:dyDescent="0.45">
      <c r="B258" s="14" t="s">
        <v>384</v>
      </c>
      <c r="C258" s="19">
        <v>1.7874760000000001</v>
      </c>
      <c r="D258" s="15">
        <v>1.1000000000000001</v>
      </c>
      <c r="E258" s="24">
        <v>0.99994000000000005</v>
      </c>
      <c r="U258" s="14" t="s">
        <v>126</v>
      </c>
      <c r="V258" s="14" t="s">
        <v>771</v>
      </c>
      <c r="W258" s="14" t="s">
        <v>485</v>
      </c>
      <c r="X258" s="14" t="s">
        <v>501</v>
      </c>
    </row>
    <row r="259" spans="2:24" x14ac:dyDescent="0.45">
      <c r="B259" s="16" t="s">
        <v>385</v>
      </c>
      <c r="C259" s="22">
        <v>1.7874760000000001</v>
      </c>
      <c r="D259" s="17">
        <v>77</v>
      </c>
      <c r="E259" s="26">
        <v>0.99580000000000002</v>
      </c>
      <c r="U259" s="16" t="s">
        <v>126</v>
      </c>
      <c r="V259" s="16" t="s">
        <v>772</v>
      </c>
      <c r="W259" s="16" t="s">
        <v>485</v>
      </c>
      <c r="X259" s="16" t="s">
        <v>501</v>
      </c>
    </row>
    <row r="260" spans="2:24" x14ac:dyDescent="0.45">
      <c r="B260" s="14" t="s">
        <v>386</v>
      </c>
      <c r="C260" s="19">
        <v>3.5749529999999998</v>
      </c>
      <c r="D260" s="15">
        <v>67.100000000000009</v>
      </c>
      <c r="E260" s="24">
        <v>0.99634</v>
      </c>
      <c r="U260" s="14" t="s">
        <v>126</v>
      </c>
      <c r="V260" s="14" t="s">
        <v>773</v>
      </c>
      <c r="W260" s="14" t="s">
        <v>485</v>
      </c>
      <c r="X260" s="14" t="s">
        <v>501</v>
      </c>
    </row>
    <row r="261" spans="2:24" x14ac:dyDescent="0.45">
      <c r="B261" s="16" t="s">
        <v>387</v>
      </c>
      <c r="C261" s="22">
        <v>1.7874760000000001</v>
      </c>
      <c r="D261" s="17">
        <v>133.10000000000002</v>
      </c>
      <c r="E261" s="26">
        <v>0.99273999999999996</v>
      </c>
      <c r="U261" s="16" t="s">
        <v>126</v>
      </c>
      <c r="V261" s="16" t="s">
        <v>774</v>
      </c>
      <c r="W261" s="16" t="s">
        <v>485</v>
      </c>
      <c r="X261" s="16" t="s">
        <v>501</v>
      </c>
    </row>
    <row r="262" spans="2:24" x14ac:dyDescent="0.45">
      <c r="B262" s="14" t="s">
        <v>388</v>
      </c>
      <c r="C262" s="19">
        <v>0.49155599999999999</v>
      </c>
      <c r="D262" s="15">
        <v>28.6</v>
      </c>
      <c r="E262" s="24">
        <v>0.99843999999999999</v>
      </c>
      <c r="U262" s="14" t="s">
        <v>126</v>
      </c>
      <c r="V262" s="14" t="s">
        <v>775</v>
      </c>
      <c r="W262" s="14" t="s">
        <v>485</v>
      </c>
      <c r="X262" s="14" t="s">
        <v>501</v>
      </c>
    </row>
    <row r="263" spans="2:24" x14ac:dyDescent="0.45">
      <c r="B263" s="16" t="s">
        <v>389</v>
      </c>
      <c r="C263" s="22">
        <v>0.98311199999999999</v>
      </c>
      <c r="D263" s="17">
        <v>17.600000000000001</v>
      </c>
      <c r="E263" s="26">
        <v>0.99904000000000004</v>
      </c>
      <c r="U263" s="16" t="s">
        <v>126</v>
      </c>
      <c r="V263" s="16" t="s">
        <v>776</v>
      </c>
      <c r="W263" s="16" t="s">
        <v>485</v>
      </c>
      <c r="X263" s="16" t="s">
        <v>501</v>
      </c>
    </row>
    <row r="264" spans="2:24" x14ac:dyDescent="0.45">
      <c r="B264" s="14" t="s">
        <v>390</v>
      </c>
      <c r="C264" s="19">
        <v>0.49155599999999999</v>
      </c>
      <c r="D264" s="15">
        <v>12.100000000000001</v>
      </c>
      <c r="E264" s="24">
        <v>0.99934000000000001</v>
      </c>
      <c r="U264" s="14" t="s">
        <v>126</v>
      </c>
      <c r="V264" s="14" t="s">
        <v>777</v>
      </c>
      <c r="W264" s="14" t="s">
        <v>778</v>
      </c>
      <c r="X264" s="14" t="s">
        <v>501</v>
      </c>
    </row>
    <row r="265" spans="2:24" x14ac:dyDescent="0.45">
      <c r="B265" s="16" t="s">
        <v>391</v>
      </c>
      <c r="C265" s="22">
        <v>0.49155599999999999</v>
      </c>
      <c r="D265" s="17">
        <v>35.200000000000003</v>
      </c>
      <c r="E265" s="26">
        <v>0.99807999999999997</v>
      </c>
      <c r="U265" s="16" t="s">
        <v>126</v>
      </c>
      <c r="V265" s="16" t="s">
        <v>779</v>
      </c>
      <c r="W265" s="16" t="s">
        <v>778</v>
      </c>
      <c r="X265" s="16" t="s">
        <v>501</v>
      </c>
    </row>
    <row r="266" spans="2:24" x14ac:dyDescent="0.45">
      <c r="B266" s="14" t="s">
        <v>392</v>
      </c>
      <c r="C266" s="19">
        <v>0.49155599999999999</v>
      </c>
      <c r="D266" s="15">
        <v>69.300000000000011</v>
      </c>
      <c r="E266" s="24">
        <v>0.99621999999999999</v>
      </c>
      <c r="U266" s="14" t="s">
        <v>126</v>
      </c>
      <c r="V266" s="14" t="s">
        <v>780</v>
      </c>
      <c r="W266" s="14" t="s">
        <v>778</v>
      </c>
      <c r="X266" s="14" t="s">
        <v>501</v>
      </c>
    </row>
    <row r="267" spans="2:24" x14ac:dyDescent="0.45">
      <c r="B267" s="16" t="s">
        <v>393</v>
      </c>
      <c r="C267" s="22">
        <v>0.98311199999999999</v>
      </c>
      <c r="D267" s="17">
        <v>6.6000000000000005</v>
      </c>
      <c r="E267" s="26">
        <v>0.99963999999999997</v>
      </c>
      <c r="U267" s="16" t="s">
        <v>126</v>
      </c>
      <c r="V267" s="16" t="s">
        <v>781</v>
      </c>
      <c r="W267" s="16" t="s">
        <v>778</v>
      </c>
      <c r="X267" s="16" t="s">
        <v>501</v>
      </c>
    </row>
    <row r="268" spans="2:24" x14ac:dyDescent="0.45">
      <c r="B268" s="14" t="s">
        <v>394</v>
      </c>
      <c r="C268" s="19">
        <v>3.5749529999999998</v>
      </c>
      <c r="D268" s="15">
        <v>6.6000000000000005</v>
      </c>
      <c r="E268" s="24">
        <v>0.99963999999999997</v>
      </c>
      <c r="U268" s="14" t="s">
        <v>126</v>
      </c>
      <c r="V268" s="14" t="s">
        <v>782</v>
      </c>
      <c r="W268" s="14" t="s">
        <v>778</v>
      </c>
      <c r="X268" s="14" t="s">
        <v>501</v>
      </c>
    </row>
    <row r="269" spans="2:24" x14ac:dyDescent="0.45">
      <c r="B269" s="16" t="s">
        <v>395</v>
      </c>
      <c r="C269" s="22">
        <v>0.49155599999999999</v>
      </c>
      <c r="D269" s="17">
        <v>94.600000000000009</v>
      </c>
      <c r="E269" s="26">
        <v>0.99483999999999995</v>
      </c>
      <c r="U269" s="16" t="s">
        <v>126</v>
      </c>
      <c r="V269" s="16" t="s">
        <v>783</v>
      </c>
      <c r="W269" s="16" t="s">
        <v>778</v>
      </c>
      <c r="X269" s="16" t="s">
        <v>501</v>
      </c>
    </row>
    <row r="270" spans="2:24" x14ac:dyDescent="0.45">
      <c r="B270" s="14" t="s">
        <v>396</v>
      </c>
      <c r="C270" s="19">
        <v>0.49155599999999999</v>
      </c>
      <c r="D270" s="15">
        <v>200.20000000000002</v>
      </c>
      <c r="E270" s="24">
        <v>0.98907999999999996</v>
      </c>
      <c r="U270" s="14" t="s">
        <v>126</v>
      </c>
      <c r="V270" s="14" t="s">
        <v>784</v>
      </c>
      <c r="W270" s="14" t="s">
        <v>778</v>
      </c>
      <c r="X270" s="14" t="s">
        <v>501</v>
      </c>
    </row>
    <row r="271" spans="2:24" x14ac:dyDescent="0.45">
      <c r="B271" s="16" t="s">
        <v>397</v>
      </c>
      <c r="C271" s="22">
        <v>0.98311199999999999</v>
      </c>
      <c r="D271" s="17">
        <v>2.2000000000000002</v>
      </c>
      <c r="E271" s="26">
        <v>0.99987999999999999</v>
      </c>
      <c r="U271" s="16" t="s">
        <v>126</v>
      </c>
      <c r="V271" s="16" t="s">
        <v>785</v>
      </c>
      <c r="W271" s="16" t="s">
        <v>778</v>
      </c>
      <c r="X271" s="16" t="s">
        <v>501</v>
      </c>
    </row>
    <row r="272" spans="2:24" x14ac:dyDescent="0.45">
      <c r="B272" s="14" t="s">
        <v>398</v>
      </c>
      <c r="C272" s="19">
        <v>1.7874760000000001</v>
      </c>
      <c r="D272" s="15">
        <v>49.500000000000007</v>
      </c>
      <c r="E272" s="24">
        <v>0.99729999999999996</v>
      </c>
      <c r="U272" s="14" t="s">
        <v>126</v>
      </c>
      <c r="V272" s="14" t="s">
        <v>786</v>
      </c>
      <c r="W272" s="14" t="s">
        <v>778</v>
      </c>
      <c r="X272" s="14" t="s">
        <v>501</v>
      </c>
    </row>
    <row r="273" spans="2:24" x14ac:dyDescent="0.45">
      <c r="B273" s="16" t="s">
        <v>399</v>
      </c>
      <c r="C273" s="22">
        <v>1.7874760000000001</v>
      </c>
      <c r="D273" s="17">
        <v>37.400000000000006</v>
      </c>
      <c r="E273" s="26">
        <v>0.99795999999999996</v>
      </c>
      <c r="U273" s="16" t="s">
        <v>126</v>
      </c>
      <c r="V273" s="16" t="s">
        <v>787</v>
      </c>
      <c r="W273" s="16" t="s">
        <v>778</v>
      </c>
      <c r="X273" s="16" t="s">
        <v>501</v>
      </c>
    </row>
    <row r="274" spans="2:24" x14ac:dyDescent="0.45">
      <c r="B274" s="14" t="s">
        <v>400</v>
      </c>
      <c r="C274" s="19">
        <v>1.7874760000000001</v>
      </c>
      <c r="D274" s="15">
        <v>84.7</v>
      </c>
      <c r="E274" s="24">
        <v>0.99538000000000004</v>
      </c>
      <c r="U274" s="14" t="s">
        <v>126</v>
      </c>
      <c r="V274" s="14" t="s">
        <v>788</v>
      </c>
      <c r="W274" s="14" t="s">
        <v>778</v>
      </c>
      <c r="X274" s="14" t="s">
        <v>501</v>
      </c>
    </row>
    <row r="275" spans="2:24" x14ac:dyDescent="0.45">
      <c r="B275" s="16" t="s">
        <v>401</v>
      </c>
      <c r="C275" s="22">
        <v>0.98311199999999999</v>
      </c>
      <c r="D275" s="17">
        <v>77</v>
      </c>
      <c r="E275" s="26">
        <v>0.99580000000000002</v>
      </c>
      <c r="U275" s="16" t="s">
        <v>126</v>
      </c>
      <c r="V275" s="16" t="s">
        <v>789</v>
      </c>
      <c r="W275" s="16" t="s">
        <v>778</v>
      </c>
      <c r="X275" s="16" t="s">
        <v>501</v>
      </c>
    </row>
    <row r="276" spans="2:24" x14ac:dyDescent="0.45">
      <c r="B276" s="14" t="s">
        <v>402</v>
      </c>
      <c r="C276" s="19">
        <v>0.49155599999999999</v>
      </c>
      <c r="D276" s="15">
        <v>60.500000000000007</v>
      </c>
      <c r="E276" s="24">
        <v>0.99670000000000003</v>
      </c>
      <c r="U276" s="14" t="s">
        <v>126</v>
      </c>
      <c r="V276" s="14" t="s">
        <v>790</v>
      </c>
      <c r="W276" s="14" t="s">
        <v>778</v>
      </c>
      <c r="X276" s="14" t="s">
        <v>501</v>
      </c>
    </row>
    <row r="277" spans="2:24" x14ac:dyDescent="0.45">
      <c r="B277" s="16" t="s">
        <v>403</v>
      </c>
      <c r="C277" s="22">
        <v>1.7874760000000001</v>
      </c>
      <c r="D277" s="17">
        <v>69.300000000000011</v>
      </c>
      <c r="E277" s="26">
        <v>0.99621999999999999</v>
      </c>
      <c r="U277" s="16" t="s">
        <v>126</v>
      </c>
      <c r="V277" s="16" t="s">
        <v>791</v>
      </c>
      <c r="W277" s="16" t="s">
        <v>792</v>
      </c>
      <c r="X277" s="16" t="s">
        <v>501</v>
      </c>
    </row>
    <row r="278" spans="2:24" x14ac:dyDescent="0.45">
      <c r="B278" s="14" t="s">
        <v>404</v>
      </c>
      <c r="C278" s="19">
        <v>0.98311199999999999</v>
      </c>
      <c r="D278" s="15">
        <v>7.7000000000000011</v>
      </c>
      <c r="E278" s="24">
        <v>0.99958000000000002</v>
      </c>
      <c r="U278" s="14" t="s">
        <v>126</v>
      </c>
      <c r="V278" s="14" t="s">
        <v>793</v>
      </c>
      <c r="W278" s="14" t="s">
        <v>792</v>
      </c>
      <c r="X278" s="14" t="s">
        <v>501</v>
      </c>
    </row>
    <row r="279" spans="2:24" x14ac:dyDescent="0.45">
      <c r="B279" s="16" t="s">
        <v>405</v>
      </c>
      <c r="C279" s="22">
        <v>0.49155599999999999</v>
      </c>
      <c r="D279" s="17">
        <v>93.500000000000014</v>
      </c>
      <c r="E279" s="26">
        <v>0.99490000000000001</v>
      </c>
      <c r="U279" s="16" t="s">
        <v>126</v>
      </c>
      <c r="V279" s="16" t="s">
        <v>794</v>
      </c>
      <c r="W279" s="16" t="s">
        <v>792</v>
      </c>
      <c r="X279" s="16" t="s">
        <v>501</v>
      </c>
    </row>
    <row r="280" spans="2:24" x14ac:dyDescent="0.45">
      <c r="B280" s="14" t="s">
        <v>406</v>
      </c>
      <c r="C280" s="19">
        <v>0.49155599999999999</v>
      </c>
      <c r="D280" s="15">
        <v>15.400000000000002</v>
      </c>
      <c r="E280" s="24">
        <v>0.99916000000000005</v>
      </c>
      <c r="U280" s="14" t="s">
        <v>126</v>
      </c>
      <c r="V280" s="14" t="s">
        <v>795</v>
      </c>
      <c r="W280" s="14" t="s">
        <v>792</v>
      </c>
      <c r="X280" s="14" t="s">
        <v>501</v>
      </c>
    </row>
    <row r="281" spans="2:24" x14ac:dyDescent="0.45">
      <c r="B281" s="16" t="s">
        <v>407</v>
      </c>
      <c r="C281" s="22">
        <v>0.49155599999999999</v>
      </c>
      <c r="D281" s="17">
        <v>22</v>
      </c>
      <c r="E281" s="26">
        <v>0.99880000000000002</v>
      </c>
      <c r="U281" s="16" t="s">
        <v>126</v>
      </c>
      <c r="V281" s="16" t="s">
        <v>796</v>
      </c>
      <c r="W281" s="16" t="s">
        <v>792</v>
      </c>
      <c r="X281" s="16" t="s">
        <v>501</v>
      </c>
    </row>
    <row r="282" spans="2:24" x14ac:dyDescent="0.45">
      <c r="B282" s="14" t="s">
        <v>408</v>
      </c>
      <c r="C282" s="19">
        <v>3.5749529999999998</v>
      </c>
      <c r="D282" s="15">
        <v>22</v>
      </c>
      <c r="E282" s="24">
        <v>0.99880000000000002</v>
      </c>
      <c r="U282" s="14" t="s">
        <v>126</v>
      </c>
      <c r="V282" s="14" t="s">
        <v>797</v>
      </c>
      <c r="W282" s="14" t="s">
        <v>792</v>
      </c>
      <c r="X282" s="14" t="s">
        <v>501</v>
      </c>
    </row>
    <row r="283" spans="2:24" x14ac:dyDescent="0.45">
      <c r="U283" s="16" t="s">
        <v>126</v>
      </c>
      <c r="V283" s="16" t="s">
        <v>798</v>
      </c>
      <c r="W283" s="16" t="s">
        <v>792</v>
      </c>
      <c r="X283" s="16" t="s">
        <v>501</v>
      </c>
    </row>
    <row r="284" spans="2:24" x14ac:dyDescent="0.45">
      <c r="U284" s="14" t="s">
        <v>126</v>
      </c>
      <c r="V284" s="14" t="s">
        <v>799</v>
      </c>
      <c r="W284" s="14" t="s">
        <v>792</v>
      </c>
      <c r="X284" s="14" t="s">
        <v>501</v>
      </c>
    </row>
    <row r="285" spans="2:24" x14ac:dyDescent="0.45">
      <c r="U285" s="16" t="s">
        <v>126</v>
      </c>
      <c r="V285" s="16" t="s">
        <v>800</v>
      </c>
      <c r="W285" s="16" t="s">
        <v>792</v>
      </c>
      <c r="X285" s="16" t="s">
        <v>501</v>
      </c>
    </row>
    <row r="286" spans="2:24" x14ac:dyDescent="0.45">
      <c r="U286" s="14" t="s">
        <v>126</v>
      </c>
      <c r="V286" s="14" t="s">
        <v>801</v>
      </c>
      <c r="W286" s="14" t="s">
        <v>792</v>
      </c>
      <c r="X286" s="14" t="s">
        <v>501</v>
      </c>
    </row>
    <row r="287" spans="2:24" x14ac:dyDescent="0.45">
      <c r="U287" s="16" t="s">
        <v>126</v>
      </c>
      <c r="V287" s="16" t="s">
        <v>802</v>
      </c>
      <c r="W287" s="16" t="s">
        <v>792</v>
      </c>
      <c r="X287" s="16" t="s">
        <v>501</v>
      </c>
    </row>
    <row r="288" spans="2:24" x14ac:dyDescent="0.45">
      <c r="U288" s="14" t="s">
        <v>126</v>
      </c>
      <c r="V288" s="14" t="s">
        <v>803</v>
      </c>
      <c r="W288" s="14" t="s">
        <v>792</v>
      </c>
      <c r="X288" s="14" t="s">
        <v>501</v>
      </c>
    </row>
    <row r="289" spans="21:24" x14ac:dyDescent="0.45">
      <c r="U289" s="16" t="s">
        <v>126</v>
      </c>
      <c r="V289" s="16" t="s">
        <v>804</v>
      </c>
      <c r="W289" s="16" t="s">
        <v>792</v>
      </c>
      <c r="X289" s="16" t="s">
        <v>501</v>
      </c>
    </row>
    <row r="290" spans="21:24" x14ac:dyDescent="0.45">
      <c r="U290" s="14" t="s">
        <v>126</v>
      </c>
      <c r="V290" s="14" t="s">
        <v>805</v>
      </c>
      <c r="W290" s="14" t="s">
        <v>806</v>
      </c>
      <c r="X290" s="14" t="s">
        <v>501</v>
      </c>
    </row>
    <row r="291" spans="21:24" x14ac:dyDescent="0.45">
      <c r="U291" s="16" t="s">
        <v>126</v>
      </c>
      <c r="V291" s="16" t="s">
        <v>807</v>
      </c>
      <c r="W291" s="16" t="s">
        <v>806</v>
      </c>
      <c r="X291" s="16" t="s">
        <v>501</v>
      </c>
    </row>
    <row r="292" spans="21:24" x14ac:dyDescent="0.45">
      <c r="U292" s="14" t="s">
        <v>126</v>
      </c>
      <c r="V292" s="14" t="s">
        <v>808</v>
      </c>
      <c r="W292" s="14" t="s">
        <v>806</v>
      </c>
      <c r="X292" s="14" t="s">
        <v>501</v>
      </c>
    </row>
    <row r="293" spans="21:24" x14ac:dyDescent="0.45">
      <c r="U293" s="16" t="s">
        <v>126</v>
      </c>
      <c r="V293" s="16" t="s">
        <v>809</v>
      </c>
      <c r="W293" s="16" t="s">
        <v>806</v>
      </c>
      <c r="X293" s="16" t="s">
        <v>501</v>
      </c>
    </row>
    <row r="294" spans="21:24" x14ac:dyDescent="0.45">
      <c r="U294" s="14" t="s">
        <v>126</v>
      </c>
      <c r="V294" s="14" t="s">
        <v>810</v>
      </c>
      <c r="W294" s="14" t="s">
        <v>806</v>
      </c>
      <c r="X294" s="14" t="s">
        <v>501</v>
      </c>
    </row>
    <row r="295" spans="21:24" x14ac:dyDescent="0.45">
      <c r="U295" s="16" t="s">
        <v>126</v>
      </c>
      <c r="V295" s="16" t="s">
        <v>811</v>
      </c>
      <c r="W295" s="16" t="s">
        <v>806</v>
      </c>
      <c r="X295" s="16" t="s">
        <v>501</v>
      </c>
    </row>
    <row r="296" spans="21:24" x14ac:dyDescent="0.45">
      <c r="U296" s="14" t="s">
        <v>126</v>
      </c>
      <c r="V296" s="14" t="s">
        <v>812</v>
      </c>
      <c r="W296" s="14" t="s">
        <v>806</v>
      </c>
      <c r="X296" s="14" t="s">
        <v>501</v>
      </c>
    </row>
    <row r="297" spans="21:24" x14ac:dyDescent="0.45">
      <c r="U297" s="16" t="s">
        <v>126</v>
      </c>
      <c r="V297" s="16" t="s">
        <v>813</v>
      </c>
      <c r="W297" s="16" t="s">
        <v>806</v>
      </c>
      <c r="X297" s="16" t="s">
        <v>501</v>
      </c>
    </row>
    <row r="298" spans="21:24" x14ac:dyDescent="0.45">
      <c r="U298" s="14" t="s">
        <v>126</v>
      </c>
      <c r="V298" s="14" t="s">
        <v>814</v>
      </c>
      <c r="W298" s="14" t="s">
        <v>806</v>
      </c>
      <c r="X298" s="14" t="s">
        <v>501</v>
      </c>
    </row>
    <row r="299" spans="21:24" x14ac:dyDescent="0.45">
      <c r="U299" s="16" t="s">
        <v>126</v>
      </c>
      <c r="V299" s="16" t="s">
        <v>815</v>
      </c>
      <c r="W299" s="16" t="s">
        <v>806</v>
      </c>
      <c r="X299" s="16" t="s">
        <v>501</v>
      </c>
    </row>
    <row r="300" spans="21:24" x14ac:dyDescent="0.45">
      <c r="U300" s="14" t="s">
        <v>126</v>
      </c>
      <c r="V300" s="14" t="s">
        <v>816</v>
      </c>
      <c r="W300" s="14" t="s">
        <v>806</v>
      </c>
      <c r="X300" s="14" t="s">
        <v>501</v>
      </c>
    </row>
    <row r="301" spans="21:24" x14ac:dyDescent="0.45">
      <c r="U301" s="16" t="s">
        <v>126</v>
      </c>
      <c r="V301" s="16" t="s">
        <v>817</v>
      </c>
      <c r="W301" s="16" t="s">
        <v>806</v>
      </c>
      <c r="X301" s="16" t="s">
        <v>501</v>
      </c>
    </row>
    <row r="302" spans="21:24" x14ac:dyDescent="0.45">
      <c r="U302" s="14" t="s">
        <v>126</v>
      </c>
      <c r="V302" s="14" t="s">
        <v>818</v>
      </c>
      <c r="W302" s="14" t="s">
        <v>806</v>
      </c>
      <c r="X302" s="14" t="s">
        <v>501</v>
      </c>
    </row>
    <row r="303" spans="21:24" x14ac:dyDescent="0.45">
      <c r="U303" s="16" t="s">
        <v>126</v>
      </c>
      <c r="V303" s="16" t="s">
        <v>819</v>
      </c>
      <c r="W303" s="16" t="s">
        <v>820</v>
      </c>
      <c r="X303" s="16" t="s">
        <v>501</v>
      </c>
    </row>
    <row r="304" spans="21:24" x14ac:dyDescent="0.45">
      <c r="U304" s="14" t="s">
        <v>126</v>
      </c>
      <c r="V304" s="14" t="s">
        <v>821</v>
      </c>
      <c r="W304" s="14" t="s">
        <v>820</v>
      </c>
      <c r="X304" s="14" t="s">
        <v>501</v>
      </c>
    </row>
    <row r="305" spans="21:24" x14ac:dyDescent="0.45">
      <c r="U305" s="16" t="s">
        <v>126</v>
      </c>
      <c r="V305" s="16" t="s">
        <v>822</v>
      </c>
      <c r="W305" s="16" t="s">
        <v>820</v>
      </c>
      <c r="X305" s="16" t="s">
        <v>501</v>
      </c>
    </row>
    <row r="306" spans="21:24" x14ac:dyDescent="0.45">
      <c r="U306" s="14" t="s">
        <v>126</v>
      </c>
      <c r="V306" s="14" t="s">
        <v>823</v>
      </c>
      <c r="W306" s="14" t="s">
        <v>820</v>
      </c>
      <c r="X306" s="14" t="s">
        <v>501</v>
      </c>
    </row>
    <row r="307" spans="21:24" x14ac:dyDescent="0.45">
      <c r="U307" s="16" t="s">
        <v>126</v>
      </c>
      <c r="V307" s="16" t="s">
        <v>824</v>
      </c>
      <c r="W307" s="16" t="s">
        <v>820</v>
      </c>
      <c r="X307" s="16" t="s">
        <v>501</v>
      </c>
    </row>
    <row r="308" spans="21:24" x14ac:dyDescent="0.45">
      <c r="U308" s="14" t="s">
        <v>126</v>
      </c>
      <c r="V308" s="14" t="s">
        <v>825</v>
      </c>
      <c r="W308" s="14" t="s">
        <v>820</v>
      </c>
      <c r="X308" s="14" t="s">
        <v>501</v>
      </c>
    </row>
    <row r="309" spans="21:24" x14ac:dyDescent="0.45">
      <c r="U309" s="16" t="s">
        <v>126</v>
      </c>
      <c r="V309" s="16" t="s">
        <v>826</v>
      </c>
      <c r="W309" s="16" t="s">
        <v>820</v>
      </c>
      <c r="X309" s="16" t="s">
        <v>501</v>
      </c>
    </row>
    <row r="310" spans="21:24" x14ac:dyDescent="0.45">
      <c r="U310" s="14" t="s">
        <v>126</v>
      </c>
      <c r="V310" s="14" t="s">
        <v>827</v>
      </c>
      <c r="W310" s="14" t="s">
        <v>820</v>
      </c>
      <c r="X310" s="14" t="s">
        <v>501</v>
      </c>
    </row>
    <row r="311" spans="21:24" x14ac:dyDescent="0.45">
      <c r="U311" s="16" t="s">
        <v>126</v>
      </c>
      <c r="V311" s="16" t="s">
        <v>828</v>
      </c>
      <c r="W311" s="16" t="s">
        <v>820</v>
      </c>
      <c r="X311" s="16" t="s">
        <v>501</v>
      </c>
    </row>
    <row r="312" spans="21:24" x14ac:dyDescent="0.45">
      <c r="U312" s="14" t="s">
        <v>126</v>
      </c>
      <c r="V312" s="14" t="s">
        <v>829</v>
      </c>
      <c r="W312" s="14" t="s">
        <v>820</v>
      </c>
      <c r="X312" s="14" t="s">
        <v>501</v>
      </c>
    </row>
    <row r="313" spans="21:24" x14ac:dyDescent="0.45">
      <c r="U313" s="16" t="s">
        <v>126</v>
      </c>
      <c r="V313" s="16" t="s">
        <v>830</v>
      </c>
      <c r="W313" s="16" t="s">
        <v>820</v>
      </c>
      <c r="X313" s="16" t="s">
        <v>501</v>
      </c>
    </row>
    <row r="314" spans="21:24" x14ac:dyDescent="0.45">
      <c r="U314" s="14" t="s">
        <v>126</v>
      </c>
      <c r="V314" s="14" t="s">
        <v>831</v>
      </c>
      <c r="W314" s="14" t="s">
        <v>820</v>
      </c>
      <c r="X314" s="14" t="s">
        <v>501</v>
      </c>
    </row>
    <row r="315" spans="21:24" x14ac:dyDescent="0.45">
      <c r="U315" s="16" t="s">
        <v>126</v>
      </c>
      <c r="V315" s="16" t="s">
        <v>832</v>
      </c>
      <c r="W315" s="16" t="s">
        <v>820</v>
      </c>
      <c r="X315" s="16" t="s">
        <v>501</v>
      </c>
    </row>
    <row r="316" spans="21:24" x14ac:dyDescent="0.45">
      <c r="U316" s="14" t="s">
        <v>126</v>
      </c>
      <c r="V316" s="14" t="s">
        <v>833</v>
      </c>
      <c r="W316" s="14" t="s">
        <v>834</v>
      </c>
      <c r="X316" s="14" t="s">
        <v>501</v>
      </c>
    </row>
    <row r="317" spans="21:24" x14ac:dyDescent="0.45">
      <c r="U317" s="16" t="s">
        <v>126</v>
      </c>
      <c r="V317" s="16" t="s">
        <v>835</v>
      </c>
      <c r="W317" s="16" t="s">
        <v>834</v>
      </c>
      <c r="X317" s="16" t="s">
        <v>501</v>
      </c>
    </row>
    <row r="318" spans="21:24" x14ac:dyDescent="0.45">
      <c r="U318" s="14" t="s">
        <v>126</v>
      </c>
      <c r="V318" s="14" t="s">
        <v>836</v>
      </c>
      <c r="W318" s="14" t="s">
        <v>834</v>
      </c>
      <c r="X318" s="14" t="s">
        <v>501</v>
      </c>
    </row>
    <row r="319" spans="21:24" x14ac:dyDescent="0.45">
      <c r="U319" s="16" t="s">
        <v>126</v>
      </c>
      <c r="V319" s="16" t="s">
        <v>837</v>
      </c>
      <c r="W319" s="16" t="s">
        <v>834</v>
      </c>
      <c r="X319" s="16" t="s">
        <v>501</v>
      </c>
    </row>
    <row r="320" spans="21:24" x14ac:dyDescent="0.45">
      <c r="U320" s="14" t="s">
        <v>126</v>
      </c>
      <c r="V320" s="14" t="s">
        <v>838</v>
      </c>
      <c r="W320" s="14" t="s">
        <v>834</v>
      </c>
      <c r="X320" s="14" t="s">
        <v>501</v>
      </c>
    </row>
    <row r="321" spans="21:24" x14ac:dyDescent="0.45">
      <c r="U321" s="16" t="s">
        <v>126</v>
      </c>
      <c r="V321" s="16" t="s">
        <v>839</v>
      </c>
      <c r="W321" s="16" t="s">
        <v>834</v>
      </c>
      <c r="X321" s="16" t="s">
        <v>501</v>
      </c>
    </row>
    <row r="322" spans="21:24" x14ac:dyDescent="0.45">
      <c r="U322" s="14" t="s">
        <v>126</v>
      </c>
      <c r="V322" s="14" t="s">
        <v>840</v>
      </c>
      <c r="W322" s="14" t="s">
        <v>834</v>
      </c>
      <c r="X322" s="14" t="s">
        <v>501</v>
      </c>
    </row>
    <row r="323" spans="21:24" x14ac:dyDescent="0.45">
      <c r="U323" s="16" t="s">
        <v>126</v>
      </c>
      <c r="V323" s="16" t="s">
        <v>841</v>
      </c>
      <c r="W323" s="16" t="s">
        <v>834</v>
      </c>
      <c r="X323" s="16" t="s">
        <v>501</v>
      </c>
    </row>
    <row r="324" spans="21:24" x14ac:dyDescent="0.45">
      <c r="U324" s="14" t="s">
        <v>126</v>
      </c>
      <c r="V324" s="14" t="s">
        <v>842</v>
      </c>
      <c r="W324" s="14" t="s">
        <v>834</v>
      </c>
      <c r="X324" s="14" t="s">
        <v>501</v>
      </c>
    </row>
    <row r="325" spans="21:24" x14ac:dyDescent="0.45">
      <c r="U325" s="16" t="s">
        <v>126</v>
      </c>
      <c r="V325" s="16" t="s">
        <v>843</v>
      </c>
      <c r="W325" s="16" t="s">
        <v>834</v>
      </c>
      <c r="X325" s="16" t="s">
        <v>501</v>
      </c>
    </row>
    <row r="326" spans="21:24" x14ac:dyDescent="0.45">
      <c r="U326" s="14" t="s">
        <v>126</v>
      </c>
      <c r="V326" s="14" t="s">
        <v>844</v>
      </c>
      <c r="W326" s="14" t="s">
        <v>834</v>
      </c>
      <c r="X326" s="14" t="s">
        <v>501</v>
      </c>
    </row>
    <row r="327" spans="21:24" x14ac:dyDescent="0.45">
      <c r="U327" s="16" t="s">
        <v>126</v>
      </c>
      <c r="V327" s="16" t="s">
        <v>845</v>
      </c>
      <c r="W327" s="16" t="s">
        <v>834</v>
      </c>
      <c r="X327" s="16" t="s">
        <v>501</v>
      </c>
    </row>
    <row r="328" spans="21:24" x14ac:dyDescent="0.45">
      <c r="U328" s="14" t="s">
        <v>126</v>
      </c>
      <c r="V328" s="14" t="s">
        <v>846</v>
      </c>
      <c r="W328" s="14" t="s">
        <v>834</v>
      </c>
      <c r="X328" s="14" t="s">
        <v>501</v>
      </c>
    </row>
    <row r="329" spans="21:24" x14ac:dyDescent="0.45">
      <c r="U329" s="16" t="s">
        <v>126</v>
      </c>
      <c r="V329" s="16" t="s">
        <v>847</v>
      </c>
      <c r="W329" s="16" t="s">
        <v>488</v>
      </c>
      <c r="X329" s="16" t="s">
        <v>501</v>
      </c>
    </row>
    <row r="330" spans="21:24" x14ac:dyDescent="0.45">
      <c r="U330" s="14" t="s">
        <v>126</v>
      </c>
      <c r="V330" s="14" t="s">
        <v>848</v>
      </c>
      <c r="W330" s="14" t="s">
        <v>488</v>
      </c>
      <c r="X330" s="14" t="s">
        <v>501</v>
      </c>
    </row>
    <row r="331" spans="21:24" x14ac:dyDescent="0.45">
      <c r="U331" s="16" t="s">
        <v>126</v>
      </c>
      <c r="V331" s="16" t="s">
        <v>849</v>
      </c>
      <c r="W331" s="16" t="s">
        <v>488</v>
      </c>
      <c r="X331" s="16" t="s">
        <v>501</v>
      </c>
    </row>
    <row r="332" spans="21:24" x14ac:dyDescent="0.45">
      <c r="U332" s="14" t="s">
        <v>126</v>
      </c>
      <c r="V332" s="14" t="s">
        <v>850</v>
      </c>
      <c r="W332" s="14" t="s">
        <v>488</v>
      </c>
      <c r="X332" s="14" t="s">
        <v>501</v>
      </c>
    </row>
    <row r="333" spans="21:24" x14ac:dyDescent="0.45">
      <c r="U333" s="16" t="s">
        <v>126</v>
      </c>
      <c r="V333" s="16" t="s">
        <v>851</v>
      </c>
      <c r="W333" s="16" t="s">
        <v>488</v>
      </c>
      <c r="X333" s="16" t="s">
        <v>501</v>
      </c>
    </row>
    <row r="334" spans="21:24" x14ac:dyDescent="0.45">
      <c r="U334" s="14" t="s">
        <v>126</v>
      </c>
      <c r="V334" s="14" t="s">
        <v>852</v>
      </c>
      <c r="W334" s="14" t="s">
        <v>488</v>
      </c>
      <c r="X334" s="14" t="s">
        <v>501</v>
      </c>
    </row>
    <row r="335" spans="21:24" x14ac:dyDescent="0.45">
      <c r="U335" s="16" t="s">
        <v>126</v>
      </c>
      <c r="V335" s="16" t="s">
        <v>853</v>
      </c>
      <c r="W335" s="16" t="s">
        <v>488</v>
      </c>
      <c r="X335" s="16" t="s">
        <v>501</v>
      </c>
    </row>
    <row r="336" spans="21:24" x14ac:dyDescent="0.45">
      <c r="U336" s="14" t="s">
        <v>126</v>
      </c>
      <c r="V336" s="14" t="s">
        <v>854</v>
      </c>
      <c r="W336" s="14" t="s">
        <v>488</v>
      </c>
      <c r="X336" s="14" t="s">
        <v>501</v>
      </c>
    </row>
    <row r="337" spans="21:24" x14ac:dyDescent="0.45">
      <c r="U337" s="16" t="s">
        <v>126</v>
      </c>
      <c r="V337" s="16" t="s">
        <v>855</v>
      </c>
      <c r="W337" s="16" t="s">
        <v>488</v>
      </c>
      <c r="X337" s="16" t="s">
        <v>501</v>
      </c>
    </row>
    <row r="338" spans="21:24" x14ac:dyDescent="0.45">
      <c r="U338" s="14" t="s">
        <v>126</v>
      </c>
      <c r="V338" s="14" t="s">
        <v>856</v>
      </c>
      <c r="W338" s="14" t="s">
        <v>488</v>
      </c>
      <c r="X338" s="14" t="s">
        <v>501</v>
      </c>
    </row>
    <row r="339" spans="21:24" x14ac:dyDescent="0.45">
      <c r="U339" s="16" t="s">
        <v>126</v>
      </c>
      <c r="V339" s="16" t="s">
        <v>857</v>
      </c>
      <c r="W339" s="16" t="s">
        <v>488</v>
      </c>
      <c r="X339" s="16" t="s">
        <v>501</v>
      </c>
    </row>
    <row r="340" spans="21:24" x14ac:dyDescent="0.45">
      <c r="U340" s="14" t="s">
        <v>126</v>
      </c>
      <c r="V340" s="14" t="s">
        <v>858</v>
      </c>
      <c r="W340" s="14" t="s">
        <v>488</v>
      </c>
      <c r="X340" s="14" t="s">
        <v>501</v>
      </c>
    </row>
    <row r="341" spans="21:24" x14ac:dyDescent="0.45">
      <c r="U341" s="16" t="s">
        <v>126</v>
      </c>
      <c r="V341" s="16" t="s">
        <v>859</v>
      </c>
      <c r="W341" s="16" t="s">
        <v>488</v>
      </c>
      <c r="X341" s="16" t="s">
        <v>501</v>
      </c>
    </row>
    <row r="342" spans="21:24" x14ac:dyDescent="0.45">
      <c r="U342" s="14" t="s">
        <v>126</v>
      </c>
      <c r="V342" s="14" t="s">
        <v>860</v>
      </c>
      <c r="W342" s="14" t="s">
        <v>861</v>
      </c>
      <c r="X342" s="14" t="s">
        <v>501</v>
      </c>
    </row>
    <row r="343" spans="21:24" x14ac:dyDescent="0.45">
      <c r="U343" s="16" t="s">
        <v>126</v>
      </c>
      <c r="V343" s="16" t="s">
        <v>862</v>
      </c>
      <c r="W343" s="16" t="s">
        <v>861</v>
      </c>
      <c r="X343" s="16" t="s">
        <v>501</v>
      </c>
    </row>
    <row r="344" spans="21:24" x14ac:dyDescent="0.45">
      <c r="U344" s="14" t="s">
        <v>126</v>
      </c>
      <c r="V344" s="14" t="s">
        <v>863</v>
      </c>
      <c r="W344" s="14" t="s">
        <v>861</v>
      </c>
      <c r="X344" s="14" t="s">
        <v>501</v>
      </c>
    </row>
    <row r="345" spans="21:24" x14ac:dyDescent="0.45">
      <c r="U345" s="16" t="s">
        <v>126</v>
      </c>
      <c r="V345" s="16" t="s">
        <v>864</v>
      </c>
      <c r="W345" s="16" t="s">
        <v>861</v>
      </c>
      <c r="X345" s="16" t="s">
        <v>501</v>
      </c>
    </row>
    <row r="346" spans="21:24" x14ac:dyDescent="0.45">
      <c r="U346" s="14" t="s">
        <v>126</v>
      </c>
      <c r="V346" s="14" t="s">
        <v>865</v>
      </c>
      <c r="W346" s="14" t="s">
        <v>861</v>
      </c>
      <c r="X346" s="14" t="s">
        <v>501</v>
      </c>
    </row>
    <row r="347" spans="21:24" x14ac:dyDescent="0.45">
      <c r="U347" s="16" t="s">
        <v>126</v>
      </c>
      <c r="V347" s="16" t="s">
        <v>866</v>
      </c>
      <c r="W347" s="16" t="s">
        <v>861</v>
      </c>
      <c r="X347" s="16" t="s">
        <v>501</v>
      </c>
    </row>
    <row r="348" spans="21:24" x14ac:dyDescent="0.45">
      <c r="U348" s="14" t="s">
        <v>126</v>
      </c>
      <c r="V348" s="14" t="s">
        <v>867</v>
      </c>
      <c r="W348" s="14" t="s">
        <v>861</v>
      </c>
      <c r="X348" s="14" t="s">
        <v>501</v>
      </c>
    </row>
    <row r="349" spans="21:24" x14ac:dyDescent="0.45">
      <c r="U349" s="16" t="s">
        <v>126</v>
      </c>
      <c r="V349" s="16" t="s">
        <v>868</v>
      </c>
      <c r="W349" s="16" t="s">
        <v>861</v>
      </c>
      <c r="X349" s="16" t="s">
        <v>501</v>
      </c>
    </row>
    <row r="350" spans="21:24" x14ac:dyDescent="0.45">
      <c r="U350" s="14" t="s">
        <v>126</v>
      </c>
      <c r="V350" s="14" t="s">
        <v>869</v>
      </c>
      <c r="W350" s="14" t="s">
        <v>861</v>
      </c>
      <c r="X350" s="14" t="s">
        <v>501</v>
      </c>
    </row>
    <row r="351" spans="21:24" x14ac:dyDescent="0.45">
      <c r="U351" s="16" t="s">
        <v>126</v>
      </c>
      <c r="V351" s="16" t="s">
        <v>870</v>
      </c>
      <c r="W351" s="16" t="s">
        <v>861</v>
      </c>
      <c r="X351" s="16" t="s">
        <v>501</v>
      </c>
    </row>
    <row r="352" spans="21:24" x14ac:dyDescent="0.45">
      <c r="U352" s="14" t="s">
        <v>126</v>
      </c>
      <c r="V352" s="14" t="s">
        <v>871</v>
      </c>
      <c r="W352" s="14" t="s">
        <v>861</v>
      </c>
      <c r="X352" s="14" t="s">
        <v>501</v>
      </c>
    </row>
    <row r="353" spans="21:24" x14ac:dyDescent="0.45">
      <c r="U353" s="16" t="s">
        <v>126</v>
      </c>
      <c r="V353" s="16" t="s">
        <v>872</v>
      </c>
      <c r="W353" s="16" t="s">
        <v>861</v>
      </c>
      <c r="X353" s="16" t="s">
        <v>501</v>
      </c>
    </row>
    <row r="354" spans="21:24" x14ac:dyDescent="0.45">
      <c r="U354" s="14" t="s">
        <v>126</v>
      </c>
      <c r="V354" s="14" t="s">
        <v>873</v>
      </c>
      <c r="W354" s="14" t="s">
        <v>861</v>
      </c>
      <c r="X354" s="14" t="s">
        <v>501</v>
      </c>
    </row>
    <row r="355" spans="21:24" x14ac:dyDescent="0.45">
      <c r="U355" s="16" t="s">
        <v>126</v>
      </c>
      <c r="V355" s="16" t="s">
        <v>874</v>
      </c>
      <c r="W355" s="16" t="s">
        <v>875</v>
      </c>
      <c r="X355" s="16" t="s">
        <v>501</v>
      </c>
    </row>
    <row r="356" spans="21:24" x14ac:dyDescent="0.45">
      <c r="U356" s="14" t="s">
        <v>126</v>
      </c>
      <c r="V356" s="14" t="s">
        <v>876</v>
      </c>
      <c r="W356" s="14" t="s">
        <v>875</v>
      </c>
      <c r="X356" s="14" t="s">
        <v>501</v>
      </c>
    </row>
    <row r="357" spans="21:24" x14ac:dyDescent="0.45">
      <c r="U357" s="16" t="s">
        <v>126</v>
      </c>
      <c r="V357" s="16" t="s">
        <v>877</v>
      </c>
      <c r="W357" s="16" t="s">
        <v>875</v>
      </c>
      <c r="X357" s="16" t="s">
        <v>501</v>
      </c>
    </row>
    <row r="358" spans="21:24" x14ac:dyDescent="0.45">
      <c r="U358" s="14" t="s">
        <v>126</v>
      </c>
      <c r="V358" s="14" t="s">
        <v>878</v>
      </c>
      <c r="W358" s="14" t="s">
        <v>875</v>
      </c>
      <c r="X358" s="14" t="s">
        <v>501</v>
      </c>
    </row>
    <row r="359" spans="21:24" x14ac:dyDescent="0.45">
      <c r="U359" s="16" t="s">
        <v>126</v>
      </c>
      <c r="V359" s="16" t="s">
        <v>879</v>
      </c>
      <c r="W359" s="16" t="s">
        <v>875</v>
      </c>
      <c r="X359" s="16" t="s">
        <v>501</v>
      </c>
    </row>
    <row r="360" spans="21:24" x14ac:dyDescent="0.45">
      <c r="U360" s="14" t="s">
        <v>126</v>
      </c>
      <c r="V360" s="14" t="s">
        <v>880</v>
      </c>
      <c r="W360" s="14" t="s">
        <v>875</v>
      </c>
      <c r="X360" s="14" t="s">
        <v>501</v>
      </c>
    </row>
    <row r="361" spans="21:24" x14ac:dyDescent="0.45">
      <c r="U361" s="16" t="s">
        <v>126</v>
      </c>
      <c r="V361" s="16" t="s">
        <v>881</v>
      </c>
      <c r="W361" s="16" t="s">
        <v>875</v>
      </c>
      <c r="X361" s="16" t="s">
        <v>501</v>
      </c>
    </row>
    <row r="362" spans="21:24" x14ac:dyDescent="0.45">
      <c r="U362" s="14" t="s">
        <v>126</v>
      </c>
      <c r="V362" s="14" t="s">
        <v>882</v>
      </c>
      <c r="W362" s="14" t="s">
        <v>875</v>
      </c>
      <c r="X362" s="14" t="s">
        <v>501</v>
      </c>
    </row>
    <row r="363" spans="21:24" x14ac:dyDescent="0.45">
      <c r="U363" s="16" t="s">
        <v>126</v>
      </c>
      <c r="V363" s="16" t="s">
        <v>883</v>
      </c>
      <c r="W363" s="16" t="s">
        <v>875</v>
      </c>
      <c r="X363" s="16" t="s">
        <v>501</v>
      </c>
    </row>
    <row r="364" spans="21:24" x14ac:dyDescent="0.45">
      <c r="U364" s="14" t="s">
        <v>126</v>
      </c>
      <c r="V364" s="14" t="s">
        <v>884</v>
      </c>
      <c r="W364" s="14" t="s">
        <v>875</v>
      </c>
      <c r="X364" s="14" t="s">
        <v>501</v>
      </c>
    </row>
    <row r="365" spans="21:24" x14ac:dyDescent="0.45">
      <c r="U365" s="16" t="s">
        <v>126</v>
      </c>
      <c r="V365" s="16" t="s">
        <v>885</v>
      </c>
      <c r="W365" s="16" t="s">
        <v>875</v>
      </c>
      <c r="X365" s="16" t="s">
        <v>501</v>
      </c>
    </row>
    <row r="366" spans="21:24" x14ac:dyDescent="0.45">
      <c r="U366" s="14" t="s">
        <v>126</v>
      </c>
      <c r="V366" s="14" t="s">
        <v>886</v>
      </c>
      <c r="W366" s="14" t="s">
        <v>875</v>
      </c>
      <c r="X366" s="14" t="s">
        <v>501</v>
      </c>
    </row>
    <row r="367" spans="21:24" x14ac:dyDescent="0.45">
      <c r="U367" s="16" t="s">
        <v>126</v>
      </c>
      <c r="V367" s="16" t="s">
        <v>887</v>
      </c>
      <c r="W367" s="16" t="s">
        <v>875</v>
      </c>
      <c r="X367" s="16" t="s">
        <v>501</v>
      </c>
    </row>
    <row r="368" spans="21:24" x14ac:dyDescent="0.45">
      <c r="U368" s="14" t="s">
        <v>126</v>
      </c>
      <c r="V368" s="14" t="s">
        <v>888</v>
      </c>
      <c r="W368" s="14" t="s">
        <v>889</v>
      </c>
      <c r="X368" s="14" t="s">
        <v>501</v>
      </c>
    </row>
    <row r="369" spans="21:24" x14ac:dyDescent="0.45">
      <c r="U369" s="16" t="s">
        <v>126</v>
      </c>
      <c r="V369" s="16" t="s">
        <v>890</v>
      </c>
      <c r="W369" s="16" t="s">
        <v>889</v>
      </c>
      <c r="X369" s="16" t="s">
        <v>501</v>
      </c>
    </row>
    <row r="370" spans="21:24" x14ac:dyDescent="0.45">
      <c r="U370" s="14" t="s">
        <v>126</v>
      </c>
      <c r="V370" s="14" t="s">
        <v>891</v>
      </c>
      <c r="W370" s="14" t="s">
        <v>889</v>
      </c>
      <c r="X370" s="14" t="s">
        <v>501</v>
      </c>
    </row>
    <row r="371" spans="21:24" x14ac:dyDescent="0.45">
      <c r="U371" s="16" t="s">
        <v>126</v>
      </c>
      <c r="V371" s="16" t="s">
        <v>892</v>
      </c>
      <c r="W371" s="16" t="s">
        <v>889</v>
      </c>
      <c r="X371" s="16" t="s">
        <v>501</v>
      </c>
    </row>
    <row r="372" spans="21:24" x14ac:dyDescent="0.45">
      <c r="U372" s="14" t="s">
        <v>126</v>
      </c>
      <c r="V372" s="14" t="s">
        <v>893</v>
      </c>
      <c r="W372" s="14" t="s">
        <v>889</v>
      </c>
      <c r="X372" s="14" t="s">
        <v>501</v>
      </c>
    </row>
    <row r="373" spans="21:24" x14ac:dyDescent="0.45">
      <c r="U373" s="16" t="s">
        <v>126</v>
      </c>
      <c r="V373" s="16" t="s">
        <v>894</v>
      </c>
      <c r="W373" s="16" t="s">
        <v>889</v>
      </c>
      <c r="X373" s="16" t="s">
        <v>501</v>
      </c>
    </row>
    <row r="374" spans="21:24" x14ac:dyDescent="0.45">
      <c r="U374" s="14" t="s">
        <v>126</v>
      </c>
      <c r="V374" s="14" t="s">
        <v>895</v>
      </c>
      <c r="W374" s="14" t="s">
        <v>889</v>
      </c>
      <c r="X374" s="14" t="s">
        <v>501</v>
      </c>
    </row>
    <row r="375" spans="21:24" x14ac:dyDescent="0.45">
      <c r="U375" s="16" t="s">
        <v>126</v>
      </c>
      <c r="V375" s="16" t="s">
        <v>896</v>
      </c>
      <c r="W375" s="16" t="s">
        <v>889</v>
      </c>
      <c r="X375" s="16" t="s">
        <v>501</v>
      </c>
    </row>
    <row r="376" spans="21:24" x14ac:dyDescent="0.45">
      <c r="U376" s="14" t="s">
        <v>126</v>
      </c>
      <c r="V376" s="14" t="s">
        <v>897</v>
      </c>
      <c r="W376" s="14" t="s">
        <v>889</v>
      </c>
      <c r="X376" s="14" t="s">
        <v>501</v>
      </c>
    </row>
    <row r="377" spans="21:24" x14ac:dyDescent="0.45">
      <c r="U377" s="16" t="s">
        <v>126</v>
      </c>
      <c r="V377" s="16" t="s">
        <v>898</v>
      </c>
      <c r="W377" s="16" t="s">
        <v>889</v>
      </c>
      <c r="X377" s="16" t="s">
        <v>501</v>
      </c>
    </row>
    <row r="378" spans="21:24" x14ac:dyDescent="0.45">
      <c r="U378" s="14" t="s">
        <v>126</v>
      </c>
      <c r="V378" s="14" t="s">
        <v>899</v>
      </c>
      <c r="W378" s="14" t="s">
        <v>889</v>
      </c>
      <c r="X378" s="14" t="s">
        <v>501</v>
      </c>
    </row>
    <row r="379" spans="21:24" x14ac:dyDescent="0.45">
      <c r="U379" s="16" t="s">
        <v>126</v>
      </c>
      <c r="V379" s="16" t="s">
        <v>900</v>
      </c>
      <c r="W379" s="16" t="s">
        <v>889</v>
      </c>
      <c r="X379" s="16" t="s">
        <v>501</v>
      </c>
    </row>
    <row r="380" spans="21:24" x14ac:dyDescent="0.45">
      <c r="U380" s="14" t="s">
        <v>126</v>
      </c>
      <c r="V380" s="14" t="s">
        <v>901</v>
      </c>
      <c r="W380" s="14" t="s">
        <v>889</v>
      </c>
      <c r="X380" s="14" t="s">
        <v>501</v>
      </c>
    </row>
    <row r="381" spans="21:24" x14ac:dyDescent="0.45">
      <c r="U381" s="16" t="s">
        <v>126</v>
      </c>
      <c r="V381" s="16" t="s">
        <v>902</v>
      </c>
      <c r="W381" s="16" t="s">
        <v>903</v>
      </c>
      <c r="X381" s="16" t="s">
        <v>501</v>
      </c>
    </row>
    <row r="382" spans="21:24" x14ac:dyDescent="0.45">
      <c r="U382" s="14" t="s">
        <v>126</v>
      </c>
      <c r="V382" s="14" t="s">
        <v>904</v>
      </c>
      <c r="W382" s="14" t="s">
        <v>903</v>
      </c>
      <c r="X382" s="14" t="s">
        <v>501</v>
      </c>
    </row>
    <row r="383" spans="21:24" x14ac:dyDescent="0.45">
      <c r="U383" s="16" t="s">
        <v>126</v>
      </c>
      <c r="V383" s="16" t="s">
        <v>905</v>
      </c>
      <c r="W383" s="16" t="s">
        <v>903</v>
      </c>
      <c r="X383" s="16" t="s">
        <v>501</v>
      </c>
    </row>
    <row r="384" spans="21:24" x14ac:dyDescent="0.45">
      <c r="U384" s="14" t="s">
        <v>126</v>
      </c>
      <c r="V384" s="14" t="s">
        <v>906</v>
      </c>
      <c r="W384" s="14" t="s">
        <v>903</v>
      </c>
      <c r="X384" s="14" t="s">
        <v>501</v>
      </c>
    </row>
    <row r="385" spans="21:24" x14ac:dyDescent="0.45">
      <c r="U385" s="16" t="s">
        <v>126</v>
      </c>
      <c r="V385" s="16" t="s">
        <v>907</v>
      </c>
      <c r="W385" s="16" t="s">
        <v>903</v>
      </c>
      <c r="X385" s="16" t="s">
        <v>501</v>
      </c>
    </row>
    <row r="386" spans="21:24" x14ac:dyDescent="0.45">
      <c r="U386" s="14" t="s">
        <v>126</v>
      </c>
      <c r="V386" s="14" t="s">
        <v>908</v>
      </c>
      <c r="W386" s="14" t="s">
        <v>903</v>
      </c>
      <c r="X386" s="14" t="s">
        <v>501</v>
      </c>
    </row>
    <row r="387" spans="21:24" x14ac:dyDescent="0.45">
      <c r="U387" s="16" t="s">
        <v>126</v>
      </c>
      <c r="V387" s="16" t="s">
        <v>909</v>
      </c>
      <c r="W387" s="16" t="s">
        <v>903</v>
      </c>
      <c r="X387" s="16" t="s">
        <v>501</v>
      </c>
    </row>
    <row r="388" spans="21:24" x14ac:dyDescent="0.45">
      <c r="U388" s="14" t="s">
        <v>126</v>
      </c>
      <c r="V388" s="14" t="s">
        <v>910</v>
      </c>
      <c r="W388" s="14" t="s">
        <v>903</v>
      </c>
      <c r="X388" s="14" t="s">
        <v>501</v>
      </c>
    </row>
    <row r="389" spans="21:24" x14ac:dyDescent="0.45">
      <c r="U389" s="16" t="s">
        <v>126</v>
      </c>
      <c r="V389" s="16" t="s">
        <v>911</v>
      </c>
      <c r="W389" s="16" t="s">
        <v>903</v>
      </c>
      <c r="X389" s="16" t="s">
        <v>501</v>
      </c>
    </row>
    <row r="390" spans="21:24" x14ac:dyDescent="0.45">
      <c r="U390" s="14" t="s">
        <v>126</v>
      </c>
      <c r="V390" s="14" t="s">
        <v>912</v>
      </c>
      <c r="W390" s="14" t="s">
        <v>903</v>
      </c>
      <c r="X390" s="14" t="s">
        <v>501</v>
      </c>
    </row>
    <row r="391" spans="21:24" x14ac:dyDescent="0.45">
      <c r="U391" s="16" t="s">
        <v>126</v>
      </c>
      <c r="V391" s="16" t="s">
        <v>913</v>
      </c>
      <c r="W391" s="16" t="s">
        <v>903</v>
      </c>
      <c r="X391" s="16" t="s">
        <v>501</v>
      </c>
    </row>
    <row r="392" spans="21:24" x14ac:dyDescent="0.45">
      <c r="U392" s="14" t="s">
        <v>126</v>
      </c>
      <c r="V392" s="14" t="s">
        <v>914</v>
      </c>
      <c r="W392" s="14" t="s">
        <v>903</v>
      </c>
      <c r="X392" s="14" t="s">
        <v>501</v>
      </c>
    </row>
    <row r="393" spans="21:24" x14ac:dyDescent="0.45">
      <c r="U393" s="16" t="s">
        <v>126</v>
      </c>
      <c r="V393" s="16" t="s">
        <v>915</v>
      </c>
      <c r="W393" s="16" t="s">
        <v>903</v>
      </c>
      <c r="X393" s="16" t="s">
        <v>501</v>
      </c>
    </row>
    <row r="394" spans="21:24" x14ac:dyDescent="0.45">
      <c r="U394" s="14" t="s">
        <v>126</v>
      </c>
      <c r="V394" s="14" t="s">
        <v>916</v>
      </c>
      <c r="W394" s="14" t="s">
        <v>917</v>
      </c>
      <c r="X394" s="14" t="s">
        <v>501</v>
      </c>
    </row>
    <row r="395" spans="21:24" x14ac:dyDescent="0.45">
      <c r="U395" s="16" t="s">
        <v>126</v>
      </c>
      <c r="V395" s="16" t="s">
        <v>918</v>
      </c>
      <c r="W395" s="16" t="s">
        <v>917</v>
      </c>
      <c r="X395" s="16" t="s">
        <v>501</v>
      </c>
    </row>
    <row r="396" spans="21:24" x14ac:dyDescent="0.45">
      <c r="U396" s="14" t="s">
        <v>126</v>
      </c>
      <c r="V396" s="14" t="s">
        <v>919</v>
      </c>
      <c r="W396" s="14" t="s">
        <v>917</v>
      </c>
      <c r="X396" s="14" t="s">
        <v>501</v>
      </c>
    </row>
    <row r="397" spans="21:24" x14ac:dyDescent="0.45">
      <c r="U397" s="16" t="s">
        <v>126</v>
      </c>
      <c r="V397" s="16" t="s">
        <v>920</v>
      </c>
      <c r="W397" s="16" t="s">
        <v>917</v>
      </c>
      <c r="X397" s="16" t="s">
        <v>501</v>
      </c>
    </row>
    <row r="398" spans="21:24" x14ac:dyDescent="0.45">
      <c r="U398" s="14" t="s">
        <v>126</v>
      </c>
      <c r="V398" s="14" t="s">
        <v>921</v>
      </c>
      <c r="W398" s="14" t="s">
        <v>917</v>
      </c>
      <c r="X398" s="14" t="s">
        <v>501</v>
      </c>
    </row>
    <row r="399" spans="21:24" x14ac:dyDescent="0.45">
      <c r="U399" s="16" t="s">
        <v>126</v>
      </c>
      <c r="V399" s="16" t="s">
        <v>922</v>
      </c>
      <c r="W399" s="16" t="s">
        <v>917</v>
      </c>
      <c r="X399" s="16" t="s">
        <v>501</v>
      </c>
    </row>
    <row r="400" spans="21:24" x14ac:dyDescent="0.45">
      <c r="U400" s="14" t="s">
        <v>126</v>
      </c>
      <c r="V400" s="14" t="s">
        <v>923</v>
      </c>
      <c r="W400" s="14" t="s">
        <v>917</v>
      </c>
      <c r="X400" s="14" t="s">
        <v>501</v>
      </c>
    </row>
    <row r="401" spans="21:24" x14ac:dyDescent="0.45">
      <c r="U401" s="16" t="s">
        <v>126</v>
      </c>
      <c r="V401" s="16" t="s">
        <v>924</v>
      </c>
      <c r="W401" s="16" t="s">
        <v>917</v>
      </c>
      <c r="X401" s="16" t="s">
        <v>501</v>
      </c>
    </row>
    <row r="402" spans="21:24" x14ac:dyDescent="0.45">
      <c r="U402" s="14" t="s">
        <v>126</v>
      </c>
      <c r="V402" s="14" t="s">
        <v>925</v>
      </c>
      <c r="W402" s="14" t="s">
        <v>917</v>
      </c>
      <c r="X402" s="14" t="s">
        <v>501</v>
      </c>
    </row>
    <row r="403" spans="21:24" x14ac:dyDescent="0.45">
      <c r="U403" s="16" t="s">
        <v>126</v>
      </c>
      <c r="V403" s="16" t="s">
        <v>926</v>
      </c>
      <c r="W403" s="16" t="s">
        <v>917</v>
      </c>
      <c r="X403" s="16" t="s">
        <v>501</v>
      </c>
    </row>
    <row r="404" spans="21:24" x14ac:dyDescent="0.45">
      <c r="U404" s="14" t="s">
        <v>126</v>
      </c>
      <c r="V404" s="14" t="s">
        <v>927</v>
      </c>
      <c r="W404" s="14" t="s">
        <v>917</v>
      </c>
      <c r="X404" s="14" t="s">
        <v>501</v>
      </c>
    </row>
    <row r="405" spans="21:24" x14ac:dyDescent="0.45">
      <c r="U405" s="16" t="s">
        <v>126</v>
      </c>
      <c r="V405" s="16" t="s">
        <v>928</v>
      </c>
      <c r="W405" s="16" t="s">
        <v>917</v>
      </c>
      <c r="X405" s="16" t="s">
        <v>501</v>
      </c>
    </row>
    <row r="406" spans="21:24" x14ac:dyDescent="0.45">
      <c r="U406" s="14" t="s">
        <v>126</v>
      </c>
      <c r="V406" s="14" t="s">
        <v>929</v>
      </c>
      <c r="W406" s="14" t="s">
        <v>917</v>
      </c>
      <c r="X406" s="14" t="s">
        <v>501</v>
      </c>
    </row>
    <row r="407" spans="21:24" x14ac:dyDescent="0.45">
      <c r="U407" s="16" t="s">
        <v>126</v>
      </c>
      <c r="V407" s="16" t="s">
        <v>930</v>
      </c>
      <c r="W407" s="16" t="s">
        <v>931</v>
      </c>
      <c r="X407" s="16" t="s">
        <v>501</v>
      </c>
    </row>
    <row r="408" spans="21:24" x14ac:dyDescent="0.45">
      <c r="U408" s="14" t="s">
        <v>126</v>
      </c>
      <c r="V408" s="14" t="s">
        <v>932</v>
      </c>
      <c r="W408" s="14" t="s">
        <v>931</v>
      </c>
      <c r="X408" s="14" t="s">
        <v>501</v>
      </c>
    </row>
    <row r="409" spans="21:24" x14ac:dyDescent="0.45">
      <c r="U409" s="16" t="s">
        <v>126</v>
      </c>
      <c r="V409" s="16" t="s">
        <v>933</v>
      </c>
      <c r="W409" s="16" t="s">
        <v>931</v>
      </c>
      <c r="X409" s="16" t="s">
        <v>501</v>
      </c>
    </row>
    <row r="410" spans="21:24" x14ac:dyDescent="0.45">
      <c r="U410" s="14" t="s">
        <v>126</v>
      </c>
      <c r="V410" s="14" t="s">
        <v>934</v>
      </c>
      <c r="W410" s="14" t="s">
        <v>931</v>
      </c>
      <c r="X410" s="14" t="s">
        <v>501</v>
      </c>
    </row>
    <row r="411" spans="21:24" x14ac:dyDescent="0.45">
      <c r="U411" s="16" t="s">
        <v>126</v>
      </c>
      <c r="V411" s="16" t="s">
        <v>935</v>
      </c>
      <c r="W411" s="16" t="s">
        <v>931</v>
      </c>
      <c r="X411" s="16" t="s">
        <v>501</v>
      </c>
    </row>
    <row r="412" spans="21:24" x14ac:dyDescent="0.45">
      <c r="U412" s="14" t="s">
        <v>126</v>
      </c>
      <c r="V412" s="14" t="s">
        <v>936</v>
      </c>
      <c r="W412" s="14" t="s">
        <v>931</v>
      </c>
      <c r="X412" s="14" t="s">
        <v>501</v>
      </c>
    </row>
    <row r="413" spans="21:24" x14ac:dyDescent="0.45">
      <c r="U413" s="16" t="s">
        <v>126</v>
      </c>
      <c r="V413" s="16" t="s">
        <v>937</v>
      </c>
      <c r="W413" s="16" t="s">
        <v>931</v>
      </c>
      <c r="X413" s="16" t="s">
        <v>501</v>
      </c>
    </row>
    <row r="414" spans="21:24" x14ac:dyDescent="0.45">
      <c r="U414" s="14" t="s">
        <v>126</v>
      </c>
      <c r="V414" s="14" t="s">
        <v>938</v>
      </c>
      <c r="W414" s="14" t="s">
        <v>931</v>
      </c>
      <c r="X414" s="14" t="s">
        <v>501</v>
      </c>
    </row>
    <row r="415" spans="21:24" x14ac:dyDescent="0.45">
      <c r="U415" s="16" t="s">
        <v>126</v>
      </c>
      <c r="V415" s="16" t="s">
        <v>939</v>
      </c>
      <c r="W415" s="16" t="s">
        <v>931</v>
      </c>
      <c r="X415" s="16" t="s">
        <v>501</v>
      </c>
    </row>
    <row r="416" spans="21:24" x14ac:dyDescent="0.45">
      <c r="U416" s="14" t="s">
        <v>126</v>
      </c>
      <c r="V416" s="14" t="s">
        <v>940</v>
      </c>
      <c r="W416" s="14" t="s">
        <v>931</v>
      </c>
      <c r="X416" s="14" t="s">
        <v>501</v>
      </c>
    </row>
    <row r="417" spans="21:24" x14ac:dyDescent="0.45">
      <c r="U417" s="16" t="s">
        <v>126</v>
      </c>
      <c r="V417" s="16" t="s">
        <v>941</v>
      </c>
      <c r="W417" s="16" t="s">
        <v>931</v>
      </c>
      <c r="X417" s="16" t="s">
        <v>501</v>
      </c>
    </row>
    <row r="418" spans="21:24" x14ac:dyDescent="0.45">
      <c r="U418" s="14" t="s">
        <v>126</v>
      </c>
      <c r="V418" s="14" t="s">
        <v>942</v>
      </c>
      <c r="W418" s="14" t="s">
        <v>931</v>
      </c>
      <c r="X418" s="14" t="s">
        <v>501</v>
      </c>
    </row>
    <row r="419" spans="21:24" x14ac:dyDescent="0.45">
      <c r="U419" s="16" t="s">
        <v>126</v>
      </c>
      <c r="V419" s="16" t="s">
        <v>943</v>
      </c>
      <c r="W419" s="16" t="s">
        <v>931</v>
      </c>
      <c r="X419" s="16" t="s">
        <v>501</v>
      </c>
    </row>
    <row r="420" spans="21:24" x14ac:dyDescent="0.45">
      <c r="U420" s="14" t="s">
        <v>126</v>
      </c>
      <c r="V420" s="14" t="s">
        <v>944</v>
      </c>
      <c r="W420" s="14" t="s">
        <v>945</v>
      </c>
      <c r="X420" s="14" t="s">
        <v>501</v>
      </c>
    </row>
    <row r="421" spans="21:24" x14ac:dyDescent="0.45">
      <c r="U421" s="16" t="s">
        <v>126</v>
      </c>
      <c r="V421" s="16" t="s">
        <v>946</v>
      </c>
      <c r="W421" s="16" t="s">
        <v>945</v>
      </c>
      <c r="X421" s="16" t="s">
        <v>501</v>
      </c>
    </row>
    <row r="422" spans="21:24" x14ac:dyDescent="0.45">
      <c r="U422" s="14" t="s">
        <v>126</v>
      </c>
      <c r="V422" s="14" t="s">
        <v>947</v>
      </c>
      <c r="W422" s="14" t="s">
        <v>945</v>
      </c>
      <c r="X422" s="14" t="s">
        <v>501</v>
      </c>
    </row>
    <row r="423" spans="21:24" x14ac:dyDescent="0.45">
      <c r="U423" s="16" t="s">
        <v>126</v>
      </c>
      <c r="V423" s="16" t="s">
        <v>948</v>
      </c>
      <c r="W423" s="16" t="s">
        <v>945</v>
      </c>
      <c r="X423" s="16" t="s">
        <v>501</v>
      </c>
    </row>
    <row r="424" spans="21:24" x14ac:dyDescent="0.45">
      <c r="U424" s="14" t="s">
        <v>126</v>
      </c>
      <c r="V424" s="14" t="s">
        <v>949</v>
      </c>
      <c r="W424" s="14" t="s">
        <v>945</v>
      </c>
      <c r="X424" s="14" t="s">
        <v>501</v>
      </c>
    </row>
    <row r="425" spans="21:24" x14ac:dyDescent="0.45">
      <c r="U425" s="16" t="s">
        <v>126</v>
      </c>
      <c r="V425" s="16" t="s">
        <v>950</v>
      </c>
      <c r="W425" s="16" t="s">
        <v>945</v>
      </c>
      <c r="X425" s="16" t="s">
        <v>501</v>
      </c>
    </row>
    <row r="426" spans="21:24" x14ac:dyDescent="0.45">
      <c r="U426" s="14" t="s">
        <v>126</v>
      </c>
      <c r="V426" s="14" t="s">
        <v>951</v>
      </c>
      <c r="W426" s="14" t="s">
        <v>945</v>
      </c>
      <c r="X426" s="14" t="s">
        <v>501</v>
      </c>
    </row>
    <row r="427" spans="21:24" x14ac:dyDescent="0.45">
      <c r="U427" s="16" t="s">
        <v>126</v>
      </c>
      <c r="V427" s="16" t="s">
        <v>952</v>
      </c>
      <c r="W427" s="16" t="s">
        <v>945</v>
      </c>
      <c r="X427" s="16" t="s">
        <v>501</v>
      </c>
    </row>
    <row r="428" spans="21:24" x14ac:dyDescent="0.45">
      <c r="U428" s="14" t="s">
        <v>126</v>
      </c>
      <c r="V428" s="14" t="s">
        <v>953</v>
      </c>
      <c r="W428" s="14" t="s">
        <v>945</v>
      </c>
      <c r="X428" s="14" t="s">
        <v>501</v>
      </c>
    </row>
    <row r="429" spans="21:24" x14ac:dyDescent="0.45">
      <c r="U429" s="16" t="s">
        <v>126</v>
      </c>
      <c r="V429" s="16" t="s">
        <v>954</v>
      </c>
      <c r="W429" s="16" t="s">
        <v>945</v>
      </c>
      <c r="X429" s="16" t="s">
        <v>501</v>
      </c>
    </row>
    <row r="430" spans="21:24" x14ac:dyDescent="0.45">
      <c r="U430" s="14" t="s">
        <v>126</v>
      </c>
      <c r="V430" s="14" t="s">
        <v>955</v>
      </c>
      <c r="W430" s="14" t="s">
        <v>945</v>
      </c>
      <c r="X430" s="14" t="s">
        <v>501</v>
      </c>
    </row>
    <row r="431" spans="21:24" x14ac:dyDescent="0.45">
      <c r="U431" s="16" t="s">
        <v>126</v>
      </c>
      <c r="V431" s="16" t="s">
        <v>956</v>
      </c>
      <c r="W431" s="16" t="s">
        <v>945</v>
      </c>
      <c r="X431" s="16" t="s">
        <v>501</v>
      </c>
    </row>
    <row r="432" spans="21:24" x14ac:dyDescent="0.45">
      <c r="U432" s="14" t="s">
        <v>126</v>
      </c>
      <c r="V432" s="14" t="s">
        <v>957</v>
      </c>
      <c r="W432" s="14" t="s">
        <v>945</v>
      </c>
      <c r="X432" s="14" t="s">
        <v>501</v>
      </c>
    </row>
    <row r="433" spans="21:24" x14ac:dyDescent="0.45">
      <c r="U433" s="16" t="s">
        <v>126</v>
      </c>
      <c r="V433" s="16" t="s">
        <v>958</v>
      </c>
      <c r="W433" s="16" t="s">
        <v>959</v>
      </c>
      <c r="X433" s="16" t="s">
        <v>501</v>
      </c>
    </row>
    <row r="434" spans="21:24" x14ac:dyDescent="0.45">
      <c r="U434" s="14" t="s">
        <v>126</v>
      </c>
      <c r="V434" s="14" t="s">
        <v>960</v>
      </c>
      <c r="W434" s="14" t="s">
        <v>959</v>
      </c>
      <c r="X434" s="14" t="s">
        <v>501</v>
      </c>
    </row>
    <row r="435" spans="21:24" x14ac:dyDescent="0.45">
      <c r="U435" s="16" t="s">
        <v>126</v>
      </c>
      <c r="V435" s="16" t="s">
        <v>961</v>
      </c>
      <c r="W435" s="16" t="s">
        <v>959</v>
      </c>
      <c r="X435" s="16" t="s">
        <v>501</v>
      </c>
    </row>
    <row r="436" spans="21:24" x14ac:dyDescent="0.45">
      <c r="U436" s="14" t="s">
        <v>126</v>
      </c>
      <c r="V436" s="14" t="s">
        <v>962</v>
      </c>
      <c r="W436" s="14" t="s">
        <v>959</v>
      </c>
      <c r="X436" s="14" t="s">
        <v>501</v>
      </c>
    </row>
    <row r="437" spans="21:24" x14ac:dyDescent="0.45">
      <c r="U437" s="16" t="s">
        <v>126</v>
      </c>
      <c r="V437" s="16" t="s">
        <v>963</v>
      </c>
      <c r="W437" s="16" t="s">
        <v>959</v>
      </c>
      <c r="X437" s="16" t="s">
        <v>501</v>
      </c>
    </row>
    <row r="438" spans="21:24" x14ac:dyDescent="0.45">
      <c r="U438" s="14" t="s">
        <v>126</v>
      </c>
      <c r="V438" s="14" t="s">
        <v>964</v>
      </c>
      <c r="W438" s="14" t="s">
        <v>959</v>
      </c>
      <c r="X438" s="14" t="s">
        <v>501</v>
      </c>
    </row>
    <row r="439" spans="21:24" x14ac:dyDescent="0.45">
      <c r="U439" s="16" t="s">
        <v>126</v>
      </c>
      <c r="V439" s="16" t="s">
        <v>965</v>
      </c>
      <c r="W439" s="16" t="s">
        <v>959</v>
      </c>
      <c r="X439" s="16" t="s">
        <v>501</v>
      </c>
    </row>
    <row r="440" spans="21:24" x14ac:dyDescent="0.45">
      <c r="U440" s="14" t="s">
        <v>126</v>
      </c>
      <c r="V440" s="14" t="s">
        <v>966</v>
      </c>
      <c r="W440" s="14" t="s">
        <v>959</v>
      </c>
      <c r="X440" s="14" t="s">
        <v>501</v>
      </c>
    </row>
    <row r="441" spans="21:24" x14ac:dyDescent="0.45">
      <c r="U441" s="16" t="s">
        <v>126</v>
      </c>
      <c r="V441" s="16" t="s">
        <v>967</v>
      </c>
      <c r="W441" s="16" t="s">
        <v>959</v>
      </c>
      <c r="X441" s="16" t="s">
        <v>501</v>
      </c>
    </row>
    <row r="442" spans="21:24" x14ac:dyDescent="0.45">
      <c r="U442" s="14" t="s">
        <v>126</v>
      </c>
      <c r="V442" s="14" t="s">
        <v>968</v>
      </c>
      <c r="W442" s="14" t="s">
        <v>959</v>
      </c>
      <c r="X442" s="14" t="s">
        <v>501</v>
      </c>
    </row>
    <row r="443" spans="21:24" x14ac:dyDescent="0.45">
      <c r="U443" s="16" t="s">
        <v>126</v>
      </c>
      <c r="V443" s="16" t="s">
        <v>969</v>
      </c>
      <c r="W443" s="16" t="s">
        <v>959</v>
      </c>
      <c r="X443" s="16" t="s">
        <v>501</v>
      </c>
    </row>
    <row r="444" spans="21:24" x14ac:dyDescent="0.45">
      <c r="U444" s="14" t="s">
        <v>126</v>
      </c>
      <c r="V444" s="14" t="s">
        <v>970</v>
      </c>
      <c r="W444" s="14" t="s">
        <v>959</v>
      </c>
      <c r="X444" s="14" t="s">
        <v>501</v>
      </c>
    </row>
    <row r="445" spans="21:24" x14ac:dyDescent="0.45">
      <c r="U445" s="16" t="s">
        <v>126</v>
      </c>
      <c r="V445" s="16" t="s">
        <v>971</v>
      </c>
      <c r="W445" s="16" t="s">
        <v>959</v>
      </c>
      <c r="X445" s="16" t="s">
        <v>501</v>
      </c>
    </row>
    <row r="446" spans="21:24" x14ac:dyDescent="0.45">
      <c r="U446" s="14" t="s">
        <v>126</v>
      </c>
      <c r="V446" s="14" t="s">
        <v>972</v>
      </c>
      <c r="W446" s="14" t="s">
        <v>973</v>
      </c>
      <c r="X446" s="14" t="s">
        <v>501</v>
      </c>
    </row>
    <row r="447" spans="21:24" x14ac:dyDescent="0.45">
      <c r="U447" s="16" t="s">
        <v>126</v>
      </c>
      <c r="V447" s="16" t="s">
        <v>974</v>
      </c>
      <c r="W447" s="16" t="s">
        <v>973</v>
      </c>
      <c r="X447" s="16" t="s">
        <v>501</v>
      </c>
    </row>
    <row r="448" spans="21:24" x14ac:dyDescent="0.45">
      <c r="U448" s="14" t="s">
        <v>126</v>
      </c>
      <c r="V448" s="14" t="s">
        <v>975</v>
      </c>
      <c r="W448" s="14" t="s">
        <v>973</v>
      </c>
      <c r="X448" s="14" t="s">
        <v>501</v>
      </c>
    </row>
    <row r="449" spans="21:24" x14ac:dyDescent="0.45">
      <c r="U449" s="16" t="s">
        <v>126</v>
      </c>
      <c r="V449" s="16" t="s">
        <v>976</v>
      </c>
      <c r="W449" s="16" t="s">
        <v>973</v>
      </c>
      <c r="X449" s="16" t="s">
        <v>501</v>
      </c>
    </row>
    <row r="450" spans="21:24" x14ac:dyDescent="0.45">
      <c r="U450" s="14" t="s">
        <v>126</v>
      </c>
      <c r="V450" s="14" t="s">
        <v>977</v>
      </c>
      <c r="W450" s="14" t="s">
        <v>973</v>
      </c>
      <c r="X450" s="14" t="s">
        <v>501</v>
      </c>
    </row>
    <row r="451" spans="21:24" x14ac:dyDescent="0.45">
      <c r="U451" s="16" t="s">
        <v>126</v>
      </c>
      <c r="V451" s="16" t="s">
        <v>978</v>
      </c>
      <c r="W451" s="16" t="s">
        <v>973</v>
      </c>
      <c r="X451" s="16" t="s">
        <v>501</v>
      </c>
    </row>
    <row r="452" spans="21:24" x14ac:dyDescent="0.45">
      <c r="U452" s="14" t="s">
        <v>126</v>
      </c>
      <c r="V452" s="14" t="s">
        <v>979</v>
      </c>
      <c r="W452" s="14" t="s">
        <v>973</v>
      </c>
      <c r="X452" s="14" t="s">
        <v>501</v>
      </c>
    </row>
    <row r="453" spans="21:24" x14ac:dyDescent="0.45">
      <c r="U453" s="16" t="s">
        <v>126</v>
      </c>
      <c r="V453" s="16" t="s">
        <v>980</v>
      </c>
      <c r="W453" s="16" t="s">
        <v>973</v>
      </c>
      <c r="X453" s="16" t="s">
        <v>501</v>
      </c>
    </row>
    <row r="454" spans="21:24" x14ac:dyDescent="0.45">
      <c r="U454" s="14" t="s">
        <v>126</v>
      </c>
      <c r="V454" s="14" t="s">
        <v>981</v>
      </c>
      <c r="W454" s="14" t="s">
        <v>973</v>
      </c>
      <c r="X454" s="14" t="s">
        <v>501</v>
      </c>
    </row>
    <row r="455" spans="21:24" x14ac:dyDescent="0.45">
      <c r="U455" s="16" t="s">
        <v>126</v>
      </c>
      <c r="V455" s="16" t="s">
        <v>982</v>
      </c>
      <c r="W455" s="16" t="s">
        <v>973</v>
      </c>
      <c r="X455" s="16" t="s">
        <v>501</v>
      </c>
    </row>
    <row r="456" spans="21:24" x14ac:dyDescent="0.45">
      <c r="U456" s="14" t="s">
        <v>126</v>
      </c>
      <c r="V456" s="14" t="s">
        <v>983</v>
      </c>
      <c r="W456" s="14" t="s">
        <v>973</v>
      </c>
      <c r="X456" s="14" t="s">
        <v>501</v>
      </c>
    </row>
    <row r="457" spans="21:24" x14ac:dyDescent="0.45">
      <c r="U457" s="16" t="s">
        <v>126</v>
      </c>
      <c r="V457" s="16" t="s">
        <v>984</v>
      </c>
      <c r="W457" s="16" t="s">
        <v>973</v>
      </c>
      <c r="X457" s="16" t="s">
        <v>501</v>
      </c>
    </row>
    <row r="458" spans="21:24" x14ac:dyDescent="0.45">
      <c r="U458" s="14" t="s">
        <v>126</v>
      </c>
      <c r="V458" s="14" t="s">
        <v>985</v>
      </c>
      <c r="W458" s="14" t="s">
        <v>973</v>
      </c>
      <c r="X458" s="14" t="s">
        <v>501</v>
      </c>
    </row>
    <row r="459" spans="21:24" x14ac:dyDescent="0.45">
      <c r="U459" s="16" t="s">
        <v>126</v>
      </c>
      <c r="V459" s="16" t="s">
        <v>986</v>
      </c>
      <c r="W459" s="16" t="s">
        <v>987</v>
      </c>
      <c r="X459" s="16" t="s">
        <v>501</v>
      </c>
    </row>
    <row r="460" spans="21:24" x14ac:dyDescent="0.45">
      <c r="U460" s="14" t="s">
        <v>126</v>
      </c>
      <c r="V460" s="14" t="s">
        <v>988</v>
      </c>
      <c r="W460" s="14" t="s">
        <v>987</v>
      </c>
      <c r="X460" s="14" t="s">
        <v>501</v>
      </c>
    </row>
    <row r="461" spans="21:24" x14ac:dyDescent="0.45">
      <c r="U461" s="16" t="s">
        <v>126</v>
      </c>
      <c r="V461" s="16" t="s">
        <v>989</v>
      </c>
      <c r="W461" s="16" t="s">
        <v>987</v>
      </c>
      <c r="X461" s="16" t="s">
        <v>501</v>
      </c>
    </row>
    <row r="462" spans="21:24" x14ac:dyDescent="0.45">
      <c r="U462" s="14" t="s">
        <v>126</v>
      </c>
      <c r="V462" s="14" t="s">
        <v>990</v>
      </c>
      <c r="W462" s="14" t="s">
        <v>987</v>
      </c>
      <c r="X462" s="14" t="s">
        <v>501</v>
      </c>
    </row>
    <row r="463" spans="21:24" x14ac:dyDescent="0.45">
      <c r="U463" s="16" t="s">
        <v>126</v>
      </c>
      <c r="V463" s="16" t="s">
        <v>991</v>
      </c>
      <c r="W463" s="16" t="s">
        <v>987</v>
      </c>
      <c r="X463" s="16" t="s">
        <v>501</v>
      </c>
    </row>
    <row r="464" spans="21:24" x14ac:dyDescent="0.45">
      <c r="U464" s="14" t="s">
        <v>126</v>
      </c>
      <c r="V464" s="14" t="s">
        <v>992</v>
      </c>
      <c r="W464" s="14" t="s">
        <v>987</v>
      </c>
      <c r="X464" s="14" t="s">
        <v>501</v>
      </c>
    </row>
    <row r="465" spans="21:24" x14ac:dyDescent="0.45">
      <c r="U465" s="16" t="s">
        <v>126</v>
      </c>
      <c r="V465" s="16" t="s">
        <v>993</v>
      </c>
      <c r="W465" s="16" t="s">
        <v>987</v>
      </c>
      <c r="X465" s="16" t="s">
        <v>501</v>
      </c>
    </row>
    <row r="466" spans="21:24" x14ac:dyDescent="0.45">
      <c r="U466" s="14" t="s">
        <v>126</v>
      </c>
      <c r="V466" s="14" t="s">
        <v>994</v>
      </c>
      <c r="W466" s="14" t="s">
        <v>987</v>
      </c>
      <c r="X466" s="14" t="s">
        <v>501</v>
      </c>
    </row>
    <row r="467" spans="21:24" x14ac:dyDescent="0.45">
      <c r="U467" s="16" t="s">
        <v>126</v>
      </c>
      <c r="V467" s="16" t="s">
        <v>995</v>
      </c>
      <c r="W467" s="16" t="s">
        <v>987</v>
      </c>
      <c r="X467" s="16" t="s">
        <v>501</v>
      </c>
    </row>
    <row r="468" spans="21:24" x14ac:dyDescent="0.45">
      <c r="U468" s="14" t="s">
        <v>126</v>
      </c>
      <c r="V468" s="14" t="s">
        <v>996</v>
      </c>
      <c r="W468" s="14" t="s">
        <v>987</v>
      </c>
      <c r="X468" s="14" t="s">
        <v>501</v>
      </c>
    </row>
    <row r="469" spans="21:24" x14ac:dyDescent="0.45">
      <c r="U469" s="16" t="s">
        <v>126</v>
      </c>
      <c r="V469" s="16" t="s">
        <v>997</v>
      </c>
      <c r="W469" s="16" t="s">
        <v>987</v>
      </c>
      <c r="X469" s="16" t="s">
        <v>501</v>
      </c>
    </row>
    <row r="470" spans="21:24" x14ac:dyDescent="0.45">
      <c r="U470" s="14" t="s">
        <v>126</v>
      </c>
      <c r="V470" s="14" t="s">
        <v>998</v>
      </c>
      <c r="W470" s="14" t="s">
        <v>987</v>
      </c>
      <c r="X470" s="14" t="s">
        <v>501</v>
      </c>
    </row>
    <row r="471" spans="21:24" x14ac:dyDescent="0.45">
      <c r="U471" s="16" t="s">
        <v>126</v>
      </c>
      <c r="V471" s="16" t="s">
        <v>999</v>
      </c>
      <c r="W471" s="16" t="s">
        <v>987</v>
      </c>
      <c r="X471" s="16" t="s">
        <v>501</v>
      </c>
    </row>
    <row r="472" spans="21:24" x14ac:dyDescent="0.45">
      <c r="U472" s="14" t="s">
        <v>126</v>
      </c>
      <c r="V472" s="14" t="s">
        <v>1000</v>
      </c>
      <c r="W472" s="14" t="s">
        <v>1001</v>
      </c>
      <c r="X472" s="14" t="s">
        <v>501</v>
      </c>
    </row>
    <row r="473" spans="21:24" x14ac:dyDescent="0.45">
      <c r="U473" s="16" t="s">
        <v>126</v>
      </c>
      <c r="V473" s="16" t="s">
        <v>1002</v>
      </c>
      <c r="W473" s="16" t="s">
        <v>1001</v>
      </c>
      <c r="X473" s="16" t="s">
        <v>501</v>
      </c>
    </row>
    <row r="474" spans="21:24" x14ac:dyDescent="0.45">
      <c r="U474" s="14" t="s">
        <v>126</v>
      </c>
      <c r="V474" s="14" t="s">
        <v>1003</v>
      </c>
      <c r="W474" s="14" t="s">
        <v>1001</v>
      </c>
      <c r="X474" s="14" t="s">
        <v>501</v>
      </c>
    </row>
    <row r="475" spans="21:24" x14ac:dyDescent="0.45">
      <c r="U475" s="16" t="s">
        <v>126</v>
      </c>
      <c r="V475" s="16" t="s">
        <v>1004</v>
      </c>
      <c r="W475" s="16" t="s">
        <v>1001</v>
      </c>
      <c r="X475" s="16" t="s">
        <v>501</v>
      </c>
    </row>
    <row r="476" spans="21:24" x14ac:dyDescent="0.45">
      <c r="U476" s="14" t="s">
        <v>126</v>
      </c>
      <c r="V476" s="14" t="s">
        <v>1005</v>
      </c>
      <c r="W476" s="14" t="s">
        <v>1001</v>
      </c>
      <c r="X476" s="14" t="s">
        <v>501</v>
      </c>
    </row>
    <row r="477" spans="21:24" x14ac:dyDescent="0.45">
      <c r="U477" s="16" t="s">
        <v>126</v>
      </c>
      <c r="V477" s="16" t="s">
        <v>1006</v>
      </c>
      <c r="W477" s="16" t="s">
        <v>1001</v>
      </c>
      <c r="X477" s="16" t="s">
        <v>501</v>
      </c>
    </row>
    <row r="478" spans="21:24" x14ac:dyDescent="0.45">
      <c r="U478" s="14" t="s">
        <v>126</v>
      </c>
      <c r="V478" s="14" t="s">
        <v>1007</v>
      </c>
      <c r="W478" s="14" t="s">
        <v>1001</v>
      </c>
      <c r="X478" s="14" t="s">
        <v>501</v>
      </c>
    </row>
    <row r="479" spans="21:24" x14ac:dyDescent="0.45">
      <c r="U479" s="16" t="s">
        <v>126</v>
      </c>
      <c r="V479" s="16" t="s">
        <v>1008</v>
      </c>
      <c r="W479" s="16" t="s">
        <v>1001</v>
      </c>
      <c r="X479" s="16" t="s">
        <v>501</v>
      </c>
    </row>
    <row r="480" spans="21:24" x14ac:dyDescent="0.45">
      <c r="U480" s="14" t="s">
        <v>126</v>
      </c>
      <c r="V480" s="14" t="s">
        <v>1009</v>
      </c>
      <c r="W480" s="14" t="s">
        <v>1001</v>
      </c>
      <c r="X480" s="14" t="s">
        <v>501</v>
      </c>
    </row>
    <row r="481" spans="21:24" x14ac:dyDescent="0.45">
      <c r="U481" s="16" t="s">
        <v>126</v>
      </c>
      <c r="V481" s="16" t="s">
        <v>1010</v>
      </c>
      <c r="W481" s="16" t="s">
        <v>1001</v>
      </c>
      <c r="X481" s="16" t="s">
        <v>501</v>
      </c>
    </row>
    <row r="482" spans="21:24" x14ac:dyDescent="0.45">
      <c r="U482" s="14" t="s">
        <v>126</v>
      </c>
      <c r="V482" s="14" t="s">
        <v>1011</v>
      </c>
      <c r="W482" s="14" t="s">
        <v>1001</v>
      </c>
      <c r="X482" s="14" t="s">
        <v>501</v>
      </c>
    </row>
    <row r="483" spans="21:24" x14ac:dyDescent="0.45">
      <c r="U483" s="16" t="s">
        <v>126</v>
      </c>
      <c r="V483" s="16" t="s">
        <v>1012</v>
      </c>
      <c r="W483" s="16" t="s">
        <v>1001</v>
      </c>
      <c r="X483" s="16" t="s">
        <v>501</v>
      </c>
    </row>
    <row r="484" spans="21:24" x14ac:dyDescent="0.45">
      <c r="U484" s="14" t="s">
        <v>126</v>
      </c>
      <c r="V484" s="14" t="s">
        <v>1013</v>
      </c>
      <c r="W484" s="14" t="s">
        <v>1001</v>
      </c>
      <c r="X484" s="14" t="s">
        <v>501</v>
      </c>
    </row>
    <row r="485" spans="21:24" x14ac:dyDescent="0.45">
      <c r="U485" s="16" t="s">
        <v>126</v>
      </c>
      <c r="V485" s="16" t="s">
        <v>1014</v>
      </c>
      <c r="W485" s="16" t="s">
        <v>1015</v>
      </c>
      <c r="X485" s="16" t="s">
        <v>501</v>
      </c>
    </row>
    <row r="486" spans="21:24" x14ac:dyDescent="0.45">
      <c r="U486" s="14" t="s">
        <v>126</v>
      </c>
      <c r="V486" s="14" t="s">
        <v>1016</v>
      </c>
      <c r="W486" s="14" t="s">
        <v>1015</v>
      </c>
      <c r="X486" s="14" t="s">
        <v>501</v>
      </c>
    </row>
    <row r="487" spans="21:24" x14ac:dyDescent="0.45">
      <c r="U487" s="16" t="s">
        <v>126</v>
      </c>
      <c r="V487" s="16" t="s">
        <v>1017</v>
      </c>
      <c r="W487" s="16" t="s">
        <v>1015</v>
      </c>
      <c r="X487" s="16" t="s">
        <v>501</v>
      </c>
    </row>
    <row r="488" spans="21:24" x14ac:dyDescent="0.45">
      <c r="U488" s="14" t="s">
        <v>126</v>
      </c>
      <c r="V488" s="14" t="s">
        <v>1018</v>
      </c>
      <c r="W488" s="14" t="s">
        <v>1015</v>
      </c>
      <c r="X488" s="14" t="s">
        <v>501</v>
      </c>
    </row>
    <row r="489" spans="21:24" x14ac:dyDescent="0.45">
      <c r="U489" s="16" t="s">
        <v>126</v>
      </c>
      <c r="V489" s="16" t="s">
        <v>1019</v>
      </c>
      <c r="W489" s="16" t="s">
        <v>1015</v>
      </c>
      <c r="X489" s="16" t="s">
        <v>501</v>
      </c>
    </row>
    <row r="490" spans="21:24" x14ac:dyDescent="0.45">
      <c r="U490" s="14" t="s">
        <v>126</v>
      </c>
      <c r="V490" s="14" t="s">
        <v>1020</v>
      </c>
      <c r="W490" s="14" t="s">
        <v>1015</v>
      </c>
      <c r="X490" s="14" t="s">
        <v>501</v>
      </c>
    </row>
    <row r="491" spans="21:24" x14ac:dyDescent="0.45">
      <c r="U491" s="16" t="s">
        <v>126</v>
      </c>
      <c r="V491" s="16" t="s">
        <v>1021</v>
      </c>
      <c r="W491" s="16" t="s">
        <v>1015</v>
      </c>
      <c r="X491" s="16" t="s">
        <v>501</v>
      </c>
    </row>
    <row r="492" spans="21:24" x14ac:dyDescent="0.45">
      <c r="U492" s="14" t="s">
        <v>126</v>
      </c>
      <c r="V492" s="14" t="s">
        <v>1022</v>
      </c>
      <c r="W492" s="14" t="s">
        <v>1015</v>
      </c>
      <c r="X492" s="14" t="s">
        <v>501</v>
      </c>
    </row>
    <row r="493" spans="21:24" x14ac:dyDescent="0.45">
      <c r="U493" s="16" t="s">
        <v>126</v>
      </c>
      <c r="V493" s="16" t="s">
        <v>1023</v>
      </c>
      <c r="W493" s="16" t="s">
        <v>1015</v>
      </c>
      <c r="X493" s="16" t="s">
        <v>501</v>
      </c>
    </row>
    <row r="494" spans="21:24" x14ac:dyDescent="0.45">
      <c r="U494" s="14" t="s">
        <v>126</v>
      </c>
      <c r="V494" s="14" t="s">
        <v>1024</v>
      </c>
      <c r="W494" s="14" t="s">
        <v>1015</v>
      </c>
      <c r="X494" s="14" t="s">
        <v>501</v>
      </c>
    </row>
    <row r="495" spans="21:24" x14ac:dyDescent="0.45">
      <c r="U495" s="16" t="s">
        <v>126</v>
      </c>
      <c r="V495" s="16" t="s">
        <v>1025</v>
      </c>
      <c r="W495" s="16" t="s">
        <v>1015</v>
      </c>
      <c r="X495" s="16" t="s">
        <v>501</v>
      </c>
    </row>
    <row r="496" spans="21:24" x14ac:dyDescent="0.45">
      <c r="U496" s="14" t="s">
        <v>126</v>
      </c>
      <c r="V496" s="14" t="s">
        <v>1026</v>
      </c>
      <c r="W496" s="14" t="s">
        <v>1015</v>
      </c>
      <c r="X496" s="14" t="s">
        <v>501</v>
      </c>
    </row>
    <row r="497" spans="21:24" x14ac:dyDescent="0.45">
      <c r="U497" s="16" t="s">
        <v>126</v>
      </c>
      <c r="V497" s="16" t="s">
        <v>1027</v>
      </c>
      <c r="W497" s="16" t="s">
        <v>1015</v>
      </c>
      <c r="X497" s="16" t="s">
        <v>501</v>
      </c>
    </row>
    <row r="498" spans="21:24" x14ac:dyDescent="0.45">
      <c r="U498" s="14" t="s">
        <v>126</v>
      </c>
      <c r="V498" s="14" t="s">
        <v>1028</v>
      </c>
      <c r="W498" s="14" t="s">
        <v>495</v>
      </c>
      <c r="X498" s="14" t="s">
        <v>501</v>
      </c>
    </row>
    <row r="499" spans="21:24" x14ac:dyDescent="0.45">
      <c r="U499" s="16" t="s">
        <v>126</v>
      </c>
      <c r="V499" s="16" t="s">
        <v>1029</v>
      </c>
      <c r="W499" s="16" t="s">
        <v>495</v>
      </c>
      <c r="X499" s="16" t="s">
        <v>501</v>
      </c>
    </row>
    <row r="500" spans="21:24" x14ac:dyDescent="0.45">
      <c r="U500" s="14" t="s">
        <v>126</v>
      </c>
      <c r="V500" s="14" t="s">
        <v>1030</v>
      </c>
      <c r="W500" s="14" t="s">
        <v>495</v>
      </c>
      <c r="X500" s="14" t="s">
        <v>501</v>
      </c>
    </row>
    <row r="501" spans="21:24" x14ac:dyDescent="0.45">
      <c r="U501" s="16" t="s">
        <v>126</v>
      </c>
      <c r="V501" s="16" t="s">
        <v>1031</v>
      </c>
      <c r="W501" s="16" t="s">
        <v>495</v>
      </c>
      <c r="X501" s="16" t="s">
        <v>501</v>
      </c>
    </row>
    <row r="502" spans="21:24" x14ac:dyDescent="0.45">
      <c r="U502" s="14" t="s">
        <v>126</v>
      </c>
      <c r="V502" s="14" t="s">
        <v>1032</v>
      </c>
      <c r="W502" s="14" t="s">
        <v>495</v>
      </c>
      <c r="X502" s="14" t="s">
        <v>501</v>
      </c>
    </row>
    <row r="503" spans="21:24" x14ac:dyDescent="0.45">
      <c r="U503" s="16" t="s">
        <v>126</v>
      </c>
      <c r="V503" s="16" t="s">
        <v>1033</v>
      </c>
      <c r="W503" s="16" t="s">
        <v>495</v>
      </c>
      <c r="X503" s="16" t="s">
        <v>501</v>
      </c>
    </row>
    <row r="504" spans="21:24" x14ac:dyDescent="0.45">
      <c r="U504" s="14" t="s">
        <v>126</v>
      </c>
      <c r="V504" s="14" t="s">
        <v>1034</v>
      </c>
      <c r="W504" s="14" t="s">
        <v>495</v>
      </c>
      <c r="X504" s="14" t="s">
        <v>501</v>
      </c>
    </row>
    <row r="505" spans="21:24" x14ac:dyDescent="0.45">
      <c r="U505" s="16" t="s">
        <v>126</v>
      </c>
      <c r="V505" s="16" t="s">
        <v>1035</v>
      </c>
      <c r="W505" s="16" t="s">
        <v>495</v>
      </c>
      <c r="X505" s="16" t="s">
        <v>501</v>
      </c>
    </row>
    <row r="506" spans="21:24" x14ac:dyDescent="0.45">
      <c r="U506" s="14" t="s">
        <v>126</v>
      </c>
      <c r="V506" s="14" t="s">
        <v>1036</v>
      </c>
      <c r="W506" s="14" t="s">
        <v>495</v>
      </c>
      <c r="X506" s="14" t="s">
        <v>501</v>
      </c>
    </row>
    <row r="507" spans="21:24" x14ac:dyDescent="0.45">
      <c r="U507" s="16" t="s">
        <v>126</v>
      </c>
      <c r="V507" s="16" t="s">
        <v>1037</v>
      </c>
      <c r="W507" s="16" t="s">
        <v>495</v>
      </c>
      <c r="X507" s="16" t="s">
        <v>501</v>
      </c>
    </row>
    <row r="508" spans="21:24" x14ac:dyDescent="0.45">
      <c r="U508" s="14" t="s">
        <v>126</v>
      </c>
      <c r="V508" s="14" t="s">
        <v>1038</v>
      </c>
      <c r="W508" s="14" t="s">
        <v>495</v>
      </c>
      <c r="X508" s="14" t="s">
        <v>501</v>
      </c>
    </row>
    <row r="509" spans="21:24" x14ac:dyDescent="0.45">
      <c r="U509" s="16" t="s">
        <v>126</v>
      </c>
      <c r="V509" s="16" t="s">
        <v>1039</v>
      </c>
      <c r="W509" s="16" t="s">
        <v>495</v>
      </c>
      <c r="X509" s="16" t="s">
        <v>501</v>
      </c>
    </row>
    <row r="510" spans="21:24" x14ac:dyDescent="0.45">
      <c r="U510" s="14" t="s">
        <v>126</v>
      </c>
      <c r="V510" s="14" t="s">
        <v>1040</v>
      </c>
      <c r="W510" s="14" t="s">
        <v>495</v>
      </c>
      <c r="X510" s="14" t="s">
        <v>501</v>
      </c>
    </row>
    <row r="511" spans="21:24" x14ac:dyDescent="0.45">
      <c r="U511" s="16" t="s">
        <v>126</v>
      </c>
      <c r="V511" s="16" t="s">
        <v>1041</v>
      </c>
      <c r="W511" s="16" t="s">
        <v>1042</v>
      </c>
      <c r="X511" s="16" t="s">
        <v>501</v>
      </c>
    </row>
    <row r="512" spans="21:24" x14ac:dyDescent="0.45">
      <c r="U512" s="14" t="s">
        <v>126</v>
      </c>
      <c r="V512" s="14" t="s">
        <v>1043</v>
      </c>
      <c r="W512" s="14" t="s">
        <v>1042</v>
      </c>
      <c r="X512" s="14" t="s">
        <v>501</v>
      </c>
    </row>
    <row r="513" spans="21:24" x14ac:dyDescent="0.45">
      <c r="U513" s="16" t="s">
        <v>126</v>
      </c>
      <c r="V513" s="16" t="s">
        <v>1044</v>
      </c>
      <c r="W513" s="16" t="s">
        <v>1042</v>
      </c>
      <c r="X513" s="16" t="s">
        <v>501</v>
      </c>
    </row>
    <row r="514" spans="21:24" x14ac:dyDescent="0.45">
      <c r="U514" s="14" t="s">
        <v>126</v>
      </c>
      <c r="V514" s="14" t="s">
        <v>1045</v>
      </c>
      <c r="W514" s="14" t="s">
        <v>1042</v>
      </c>
      <c r="X514" s="14" t="s">
        <v>501</v>
      </c>
    </row>
    <row r="515" spans="21:24" x14ac:dyDescent="0.45">
      <c r="U515" s="16" t="s">
        <v>126</v>
      </c>
      <c r="V515" s="16" t="s">
        <v>1046</v>
      </c>
      <c r="W515" s="16" t="s">
        <v>1042</v>
      </c>
      <c r="X515" s="16" t="s">
        <v>501</v>
      </c>
    </row>
    <row r="516" spans="21:24" x14ac:dyDescent="0.45">
      <c r="U516" s="14" t="s">
        <v>126</v>
      </c>
      <c r="V516" s="14" t="s">
        <v>1047</v>
      </c>
      <c r="W516" s="14" t="s">
        <v>1042</v>
      </c>
      <c r="X516" s="14" t="s">
        <v>501</v>
      </c>
    </row>
    <row r="517" spans="21:24" x14ac:dyDescent="0.45">
      <c r="U517" s="16" t="s">
        <v>126</v>
      </c>
      <c r="V517" s="16" t="s">
        <v>1048</v>
      </c>
      <c r="W517" s="16" t="s">
        <v>1042</v>
      </c>
      <c r="X517" s="16" t="s">
        <v>501</v>
      </c>
    </row>
    <row r="518" spans="21:24" x14ac:dyDescent="0.45">
      <c r="U518" s="14" t="s">
        <v>126</v>
      </c>
      <c r="V518" s="14" t="s">
        <v>1049</v>
      </c>
      <c r="W518" s="14" t="s">
        <v>1042</v>
      </c>
      <c r="X518" s="14" t="s">
        <v>501</v>
      </c>
    </row>
    <row r="519" spans="21:24" x14ac:dyDescent="0.45">
      <c r="U519" s="16" t="s">
        <v>126</v>
      </c>
      <c r="V519" s="16" t="s">
        <v>1050</v>
      </c>
      <c r="W519" s="16" t="s">
        <v>1042</v>
      </c>
      <c r="X519" s="16" t="s">
        <v>501</v>
      </c>
    </row>
    <row r="520" spans="21:24" x14ac:dyDescent="0.45">
      <c r="U520" s="14" t="s">
        <v>126</v>
      </c>
      <c r="V520" s="14" t="s">
        <v>1051</v>
      </c>
      <c r="W520" s="14" t="s">
        <v>1042</v>
      </c>
      <c r="X520" s="14" t="s">
        <v>501</v>
      </c>
    </row>
    <row r="521" spans="21:24" x14ac:dyDescent="0.45">
      <c r="U521" s="16" t="s">
        <v>126</v>
      </c>
      <c r="V521" s="16" t="s">
        <v>1052</v>
      </c>
      <c r="W521" s="16" t="s">
        <v>1042</v>
      </c>
      <c r="X521" s="16" t="s">
        <v>501</v>
      </c>
    </row>
    <row r="522" spans="21:24" x14ac:dyDescent="0.45">
      <c r="U522" s="14" t="s">
        <v>126</v>
      </c>
      <c r="V522" s="14" t="s">
        <v>1053</v>
      </c>
      <c r="W522" s="14" t="s">
        <v>1042</v>
      </c>
      <c r="X522" s="14" t="s">
        <v>501</v>
      </c>
    </row>
    <row r="523" spans="21:24" x14ac:dyDescent="0.45">
      <c r="U523" s="16" t="s">
        <v>126</v>
      </c>
      <c r="V523" s="16" t="s">
        <v>1054</v>
      </c>
      <c r="W523" s="16" t="s">
        <v>1042</v>
      </c>
      <c r="X523" s="16" t="s">
        <v>501</v>
      </c>
    </row>
    <row r="524" spans="21:24" x14ac:dyDescent="0.45">
      <c r="U524" s="14" t="s">
        <v>126</v>
      </c>
      <c r="V524" s="14" t="s">
        <v>1055</v>
      </c>
      <c r="W524" s="14" t="s">
        <v>1056</v>
      </c>
      <c r="X524" s="14" t="s">
        <v>501</v>
      </c>
    </row>
    <row r="525" spans="21:24" x14ac:dyDescent="0.45">
      <c r="U525" s="16" t="s">
        <v>126</v>
      </c>
      <c r="V525" s="16" t="s">
        <v>1057</v>
      </c>
      <c r="W525" s="16" t="s">
        <v>1056</v>
      </c>
      <c r="X525" s="16" t="s">
        <v>501</v>
      </c>
    </row>
    <row r="526" spans="21:24" x14ac:dyDescent="0.45">
      <c r="U526" s="14" t="s">
        <v>126</v>
      </c>
      <c r="V526" s="14" t="s">
        <v>1058</v>
      </c>
      <c r="W526" s="14" t="s">
        <v>1056</v>
      </c>
      <c r="X526" s="14" t="s">
        <v>501</v>
      </c>
    </row>
    <row r="527" spans="21:24" x14ac:dyDescent="0.45">
      <c r="U527" s="16" t="s">
        <v>126</v>
      </c>
      <c r="V527" s="16" t="s">
        <v>1059</v>
      </c>
      <c r="W527" s="16" t="s">
        <v>1056</v>
      </c>
      <c r="X527" s="16" t="s">
        <v>501</v>
      </c>
    </row>
    <row r="528" spans="21:24" x14ac:dyDescent="0.45">
      <c r="U528" s="14" t="s">
        <v>126</v>
      </c>
      <c r="V528" s="14" t="s">
        <v>1060</v>
      </c>
      <c r="W528" s="14" t="s">
        <v>1056</v>
      </c>
      <c r="X528" s="14" t="s">
        <v>501</v>
      </c>
    </row>
    <row r="529" spans="21:24" x14ac:dyDescent="0.45">
      <c r="U529" s="16" t="s">
        <v>126</v>
      </c>
      <c r="V529" s="16" t="s">
        <v>1061</v>
      </c>
      <c r="W529" s="16" t="s">
        <v>1056</v>
      </c>
      <c r="X529" s="16" t="s">
        <v>501</v>
      </c>
    </row>
    <row r="530" spans="21:24" x14ac:dyDescent="0.45">
      <c r="U530" s="14" t="s">
        <v>126</v>
      </c>
      <c r="V530" s="14" t="s">
        <v>1062</v>
      </c>
      <c r="W530" s="14" t="s">
        <v>1056</v>
      </c>
      <c r="X530" s="14" t="s">
        <v>501</v>
      </c>
    </row>
    <row r="531" spans="21:24" x14ac:dyDescent="0.45">
      <c r="U531" s="16" t="s">
        <v>126</v>
      </c>
      <c r="V531" s="16" t="s">
        <v>1063</v>
      </c>
      <c r="W531" s="16" t="s">
        <v>1056</v>
      </c>
      <c r="X531" s="16" t="s">
        <v>501</v>
      </c>
    </row>
    <row r="532" spans="21:24" x14ac:dyDescent="0.45">
      <c r="U532" s="14" t="s">
        <v>126</v>
      </c>
      <c r="V532" s="14" t="s">
        <v>1064</v>
      </c>
      <c r="W532" s="14" t="s">
        <v>1056</v>
      </c>
      <c r="X532" s="14" t="s">
        <v>501</v>
      </c>
    </row>
    <row r="533" spans="21:24" x14ac:dyDescent="0.45">
      <c r="U533" s="16" t="s">
        <v>126</v>
      </c>
      <c r="V533" s="16" t="s">
        <v>1065</v>
      </c>
      <c r="W533" s="16" t="s">
        <v>1056</v>
      </c>
      <c r="X533" s="16" t="s">
        <v>501</v>
      </c>
    </row>
    <row r="534" spans="21:24" x14ac:dyDescent="0.45">
      <c r="U534" s="14" t="s">
        <v>126</v>
      </c>
      <c r="V534" s="14" t="s">
        <v>1066</v>
      </c>
      <c r="W534" s="14" t="s">
        <v>1056</v>
      </c>
      <c r="X534" s="14" t="s">
        <v>501</v>
      </c>
    </row>
    <row r="535" spans="21:24" x14ac:dyDescent="0.45">
      <c r="U535" s="16" t="s">
        <v>126</v>
      </c>
      <c r="V535" s="16" t="s">
        <v>1067</v>
      </c>
      <c r="W535" s="16" t="s">
        <v>1056</v>
      </c>
      <c r="X535" s="16" t="s">
        <v>501</v>
      </c>
    </row>
    <row r="536" spans="21:24" x14ac:dyDescent="0.45">
      <c r="U536" s="14" t="s">
        <v>126</v>
      </c>
      <c r="V536" s="14" t="s">
        <v>1068</v>
      </c>
      <c r="W536" s="14" t="s">
        <v>1056</v>
      </c>
      <c r="X536" s="14" t="s">
        <v>501</v>
      </c>
    </row>
    <row r="537" spans="21:24" x14ac:dyDescent="0.45">
      <c r="U537" s="16" t="s">
        <v>126</v>
      </c>
      <c r="V537" s="16" t="s">
        <v>1069</v>
      </c>
      <c r="W537" s="16" t="s">
        <v>1070</v>
      </c>
      <c r="X537" s="16" t="s">
        <v>501</v>
      </c>
    </row>
    <row r="538" spans="21:24" x14ac:dyDescent="0.45">
      <c r="U538" s="14" t="s">
        <v>126</v>
      </c>
      <c r="V538" s="14" t="s">
        <v>1071</v>
      </c>
      <c r="W538" s="14" t="s">
        <v>1070</v>
      </c>
      <c r="X538" s="14" t="s">
        <v>501</v>
      </c>
    </row>
    <row r="539" spans="21:24" x14ac:dyDescent="0.45">
      <c r="U539" s="16" t="s">
        <v>126</v>
      </c>
      <c r="V539" s="16" t="s">
        <v>1072</v>
      </c>
      <c r="W539" s="16" t="s">
        <v>1070</v>
      </c>
      <c r="X539" s="16" t="s">
        <v>501</v>
      </c>
    </row>
    <row r="540" spans="21:24" x14ac:dyDescent="0.45">
      <c r="U540" s="14" t="s">
        <v>126</v>
      </c>
      <c r="V540" s="14" t="s">
        <v>1073</v>
      </c>
      <c r="W540" s="14" t="s">
        <v>1070</v>
      </c>
      <c r="X540" s="14" t="s">
        <v>501</v>
      </c>
    </row>
    <row r="541" spans="21:24" x14ac:dyDescent="0.45">
      <c r="U541" s="16" t="s">
        <v>126</v>
      </c>
      <c r="V541" s="16" t="s">
        <v>1074</v>
      </c>
      <c r="W541" s="16" t="s">
        <v>1070</v>
      </c>
      <c r="X541" s="16" t="s">
        <v>501</v>
      </c>
    </row>
    <row r="542" spans="21:24" x14ac:dyDescent="0.45">
      <c r="U542" s="14" t="s">
        <v>126</v>
      </c>
      <c r="V542" s="14" t="s">
        <v>1075</v>
      </c>
      <c r="W542" s="14" t="s">
        <v>1070</v>
      </c>
      <c r="X542" s="14" t="s">
        <v>501</v>
      </c>
    </row>
    <row r="543" spans="21:24" x14ac:dyDescent="0.45">
      <c r="U543" s="16" t="s">
        <v>126</v>
      </c>
      <c r="V543" s="16" t="s">
        <v>1076</v>
      </c>
      <c r="W543" s="16" t="s">
        <v>1070</v>
      </c>
      <c r="X543" s="16" t="s">
        <v>501</v>
      </c>
    </row>
    <row r="544" spans="21:24" x14ac:dyDescent="0.45">
      <c r="U544" s="14" t="s">
        <v>126</v>
      </c>
      <c r="V544" s="14" t="s">
        <v>1077</v>
      </c>
      <c r="W544" s="14" t="s">
        <v>1070</v>
      </c>
      <c r="X544" s="14" t="s">
        <v>501</v>
      </c>
    </row>
    <row r="545" spans="21:24" x14ac:dyDescent="0.45">
      <c r="U545" s="16" t="s">
        <v>126</v>
      </c>
      <c r="V545" s="16" t="s">
        <v>1078</v>
      </c>
      <c r="W545" s="16" t="s">
        <v>1070</v>
      </c>
      <c r="X545" s="16" t="s">
        <v>501</v>
      </c>
    </row>
    <row r="546" spans="21:24" x14ac:dyDescent="0.45">
      <c r="U546" s="14" t="s">
        <v>126</v>
      </c>
      <c r="V546" s="14" t="s">
        <v>1079</v>
      </c>
      <c r="W546" s="14" t="s">
        <v>1070</v>
      </c>
      <c r="X546" s="14" t="s">
        <v>501</v>
      </c>
    </row>
    <row r="547" spans="21:24" x14ac:dyDescent="0.45">
      <c r="U547" s="16" t="s">
        <v>126</v>
      </c>
      <c r="V547" s="16" t="s">
        <v>1080</v>
      </c>
      <c r="W547" s="16" t="s">
        <v>1070</v>
      </c>
      <c r="X547" s="16" t="s">
        <v>501</v>
      </c>
    </row>
    <row r="548" spans="21:24" x14ac:dyDescent="0.45">
      <c r="U548" s="14" t="s">
        <v>126</v>
      </c>
      <c r="V548" s="14" t="s">
        <v>1081</v>
      </c>
      <c r="W548" s="14" t="s">
        <v>1070</v>
      </c>
      <c r="X548" s="14" t="s">
        <v>501</v>
      </c>
    </row>
    <row r="549" spans="21:24" x14ac:dyDescent="0.45">
      <c r="U549" s="16" t="s">
        <v>126</v>
      </c>
      <c r="V549" s="16" t="s">
        <v>1082</v>
      </c>
      <c r="W549" s="16" t="s">
        <v>1070</v>
      </c>
      <c r="X549" s="16" t="s">
        <v>501</v>
      </c>
    </row>
    <row r="550" spans="21:24" x14ac:dyDescent="0.45">
      <c r="U550" s="14" t="s">
        <v>126</v>
      </c>
      <c r="V550" s="14" t="s">
        <v>1083</v>
      </c>
      <c r="W550" s="14" t="s">
        <v>1084</v>
      </c>
      <c r="X550" s="14" t="s">
        <v>501</v>
      </c>
    </row>
    <row r="551" spans="21:24" x14ac:dyDescent="0.45">
      <c r="U551" s="16" t="s">
        <v>126</v>
      </c>
      <c r="V551" s="16" t="s">
        <v>1085</v>
      </c>
      <c r="W551" s="16" t="s">
        <v>1084</v>
      </c>
      <c r="X551" s="16" t="s">
        <v>501</v>
      </c>
    </row>
    <row r="552" spans="21:24" x14ac:dyDescent="0.45">
      <c r="U552" s="14" t="s">
        <v>126</v>
      </c>
      <c r="V552" s="14" t="s">
        <v>1086</v>
      </c>
      <c r="W552" s="14" t="s">
        <v>1084</v>
      </c>
      <c r="X552" s="14" t="s">
        <v>501</v>
      </c>
    </row>
    <row r="553" spans="21:24" x14ac:dyDescent="0.45">
      <c r="U553" s="16" t="s">
        <v>126</v>
      </c>
      <c r="V553" s="16" t="s">
        <v>1087</v>
      </c>
      <c r="W553" s="16" t="s">
        <v>1084</v>
      </c>
      <c r="X553" s="16" t="s">
        <v>501</v>
      </c>
    </row>
    <row r="554" spans="21:24" x14ac:dyDescent="0.45">
      <c r="U554" s="14" t="s">
        <v>126</v>
      </c>
      <c r="V554" s="14" t="s">
        <v>1088</v>
      </c>
      <c r="W554" s="14" t="s">
        <v>1084</v>
      </c>
      <c r="X554" s="14" t="s">
        <v>501</v>
      </c>
    </row>
    <row r="555" spans="21:24" x14ac:dyDescent="0.45">
      <c r="U555" s="16" t="s">
        <v>126</v>
      </c>
      <c r="V555" s="16" t="s">
        <v>1089</v>
      </c>
      <c r="W555" s="16" t="s">
        <v>1084</v>
      </c>
      <c r="X555" s="16" t="s">
        <v>501</v>
      </c>
    </row>
    <row r="556" spans="21:24" x14ac:dyDescent="0.45">
      <c r="U556" s="14" t="s">
        <v>126</v>
      </c>
      <c r="V556" s="14" t="s">
        <v>1090</v>
      </c>
      <c r="W556" s="14" t="s">
        <v>1084</v>
      </c>
      <c r="X556" s="14" t="s">
        <v>501</v>
      </c>
    </row>
    <row r="557" spans="21:24" x14ac:dyDescent="0.45">
      <c r="U557" s="16" t="s">
        <v>126</v>
      </c>
      <c r="V557" s="16" t="s">
        <v>1091</v>
      </c>
      <c r="W557" s="16" t="s">
        <v>1084</v>
      </c>
      <c r="X557" s="16" t="s">
        <v>501</v>
      </c>
    </row>
    <row r="558" spans="21:24" x14ac:dyDescent="0.45">
      <c r="U558" s="14" t="s">
        <v>126</v>
      </c>
      <c r="V558" s="14" t="s">
        <v>1092</v>
      </c>
      <c r="W558" s="14" t="s">
        <v>1084</v>
      </c>
      <c r="X558" s="14" t="s">
        <v>501</v>
      </c>
    </row>
    <row r="559" spans="21:24" x14ac:dyDescent="0.45">
      <c r="U559" s="16" t="s">
        <v>126</v>
      </c>
      <c r="V559" s="16" t="s">
        <v>1093</v>
      </c>
      <c r="W559" s="16" t="s">
        <v>1084</v>
      </c>
      <c r="X559" s="16" t="s">
        <v>501</v>
      </c>
    </row>
    <row r="560" spans="21:24" x14ac:dyDescent="0.45">
      <c r="U560" s="14" t="s">
        <v>126</v>
      </c>
      <c r="V560" s="14" t="s">
        <v>1094</v>
      </c>
      <c r="W560" s="14" t="s">
        <v>1084</v>
      </c>
      <c r="X560" s="14" t="s">
        <v>501</v>
      </c>
    </row>
    <row r="561" spans="21:24" x14ac:dyDescent="0.45">
      <c r="U561" s="16" t="s">
        <v>126</v>
      </c>
      <c r="V561" s="16" t="s">
        <v>1095</v>
      </c>
      <c r="W561" s="16" t="s">
        <v>1084</v>
      </c>
      <c r="X561" s="16" t="s">
        <v>501</v>
      </c>
    </row>
    <row r="562" spans="21:24" x14ac:dyDescent="0.45">
      <c r="U562" s="14" t="s">
        <v>126</v>
      </c>
      <c r="V562" s="14" t="s">
        <v>1096</v>
      </c>
      <c r="W562" s="14" t="s">
        <v>1084</v>
      </c>
      <c r="X562" s="14" t="s">
        <v>501</v>
      </c>
    </row>
    <row r="563" spans="21:24" x14ac:dyDescent="0.45">
      <c r="U563" s="16" t="s">
        <v>126</v>
      </c>
      <c r="V563" s="16" t="s">
        <v>1097</v>
      </c>
      <c r="W563" s="16" t="s">
        <v>1098</v>
      </c>
      <c r="X563" s="16" t="s">
        <v>501</v>
      </c>
    </row>
    <row r="564" spans="21:24" x14ac:dyDescent="0.45">
      <c r="U564" s="14" t="s">
        <v>126</v>
      </c>
      <c r="V564" s="14" t="s">
        <v>1099</v>
      </c>
      <c r="W564" s="14" t="s">
        <v>1098</v>
      </c>
      <c r="X564" s="14" t="s">
        <v>501</v>
      </c>
    </row>
    <row r="565" spans="21:24" x14ac:dyDescent="0.45">
      <c r="U565" s="16" t="s">
        <v>126</v>
      </c>
      <c r="V565" s="16" t="s">
        <v>1100</v>
      </c>
      <c r="W565" s="16" t="s">
        <v>1098</v>
      </c>
      <c r="X565" s="16" t="s">
        <v>501</v>
      </c>
    </row>
    <row r="566" spans="21:24" x14ac:dyDescent="0.45">
      <c r="U566" s="14" t="s">
        <v>126</v>
      </c>
      <c r="V566" s="14" t="s">
        <v>1101</v>
      </c>
      <c r="W566" s="14" t="s">
        <v>1098</v>
      </c>
      <c r="X566" s="14" t="s">
        <v>501</v>
      </c>
    </row>
    <row r="567" spans="21:24" x14ac:dyDescent="0.45">
      <c r="U567" s="16" t="s">
        <v>126</v>
      </c>
      <c r="V567" s="16" t="s">
        <v>1102</v>
      </c>
      <c r="W567" s="16" t="s">
        <v>1098</v>
      </c>
      <c r="X567" s="16" t="s">
        <v>501</v>
      </c>
    </row>
    <row r="568" spans="21:24" x14ac:dyDescent="0.45">
      <c r="U568" s="14" t="s">
        <v>126</v>
      </c>
      <c r="V568" s="14" t="s">
        <v>1103</v>
      </c>
      <c r="W568" s="14" t="s">
        <v>1098</v>
      </c>
      <c r="X568" s="14" t="s">
        <v>501</v>
      </c>
    </row>
    <row r="569" spans="21:24" x14ac:dyDescent="0.45">
      <c r="U569" s="16" t="s">
        <v>126</v>
      </c>
      <c r="V569" s="16" t="s">
        <v>1104</v>
      </c>
      <c r="W569" s="16" t="s">
        <v>1098</v>
      </c>
      <c r="X569" s="16" t="s">
        <v>501</v>
      </c>
    </row>
    <row r="570" spans="21:24" x14ac:dyDescent="0.45">
      <c r="U570" s="14" t="s">
        <v>126</v>
      </c>
      <c r="V570" s="14" t="s">
        <v>1105</v>
      </c>
      <c r="W570" s="14" t="s">
        <v>1098</v>
      </c>
      <c r="X570" s="14" t="s">
        <v>501</v>
      </c>
    </row>
    <row r="571" spans="21:24" x14ac:dyDescent="0.45">
      <c r="U571" s="16" t="s">
        <v>126</v>
      </c>
      <c r="V571" s="16" t="s">
        <v>1106</v>
      </c>
      <c r="W571" s="16" t="s">
        <v>1098</v>
      </c>
      <c r="X571" s="16" t="s">
        <v>501</v>
      </c>
    </row>
    <row r="572" spans="21:24" x14ac:dyDescent="0.45">
      <c r="U572" s="14" t="s">
        <v>126</v>
      </c>
      <c r="V572" s="14" t="s">
        <v>1107</v>
      </c>
      <c r="W572" s="14" t="s">
        <v>1098</v>
      </c>
      <c r="X572" s="14" t="s">
        <v>501</v>
      </c>
    </row>
    <row r="573" spans="21:24" x14ac:dyDescent="0.45">
      <c r="U573" s="16" t="s">
        <v>126</v>
      </c>
      <c r="V573" s="16" t="s">
        <v>1108</v>
      </c>
      <c r="W573" s="16" t="s">
        <v>1098</v>
      </c>
      <c r="X573" s="16" t="s">
        <v>501</v>
      </c>
    </row>
    <row r="574" spans="21:24" x14ac:dyDescent="0.45">
      <c r="U574" s="14" t="s">
        <v>126</v>
      </c>
      <c r="V574" s="14" t="s">
        <v>1109</v>
      </c>
      <c r="W574" s="14" t="s">
        <v>1098</v>
      </c>
      <c r="X574" s="14" t="s">
        <v>501</v>
      </c>
    </row>
    <row r="575" spans="21:24" x14ac:dyDescent="0.45">
      <c r="U575" s="16" t="s">
        <v>126</v>
      </c>
      <c r="V575" s="16" t="s">
        <v>1110</v>
      </c>
      <c r="W575" s="16" t="s">
        <v>1098</v>
      </c>
      <c r="X575" s="16" t="s">
        <v>501</v>
      </c>
    </row>
    <row r="576" spans="21:24" x14ac:dyDescent="0.45">
      <c r="U576" s="14" t="s">
        <v>126</v>
      </c>
      <c r="V576" s="14" t="s">
        <v>1111</v>
      </c>
      <c r="W576" s="14" t="s">
        <v>1112</v>
      </c>
      <c r="X576" s="14" t="s">
        <v>501</v>
      </c>
    </row>
    <row r="577" spans="21:24" x14ac:dyDescent="0.45">
      <c r="U577" s="16" t="s">
        <v>126</v>
      </c>
      <c r="V577" s="16" t="s">
        <v>1113</v>
      </c>
      <c r="W577" s="16" t="s">
        <v>1112</v>
      </c>
      <c r="X577" s="16" t="s">
        <v>501</v>
      </c>
    </row>
    <row r="578" spans="21:24" x14ac:dyDescent="0.45">
      <c r="U578" s="14" t="s">
        <v>126</v>
      </c>
      <c r="V578" s="14" t="s">
        <v>1114</v>
      </c>
      <c r="W578" s="14" t="s">
        <v>1112</v>
      </c>
      <c r="X578" s="14" t="s">
        <v>501</v>
      </c>
    </row>
    <row r="579" spans="21:24" x14ac:dyDescent="0.45">
      <c r="U579" s="16" t="s">
        <v>126</v>
      </c>
      <c r="V579" s="16" t="s">
        <v>1115</v>
      </c>
      <c r="W579" s="16" t="s">
        <v>1112</v>
      </c>
      <c r="X579" s="16" t="s">
        <v>501</v>
      </c>
    </row>
    <row r="580" spans="21:24" x14ac:dyDescent="0.45">
      <c r="U580" s="14" t="s">
        <v>126</v>
      </c>
      <c r="V580" s="14" t="s">
        <v>1116</v>
      </c>
      <c r="W580" s="14" t="s">
        <v>1112</v>
      </c>
      <c r="X580" s="14" t="s">
        <v>501</v>
      </c>
    </row>
    <row r="581" spans="21:24" x14ac:dyDescent="0.45">
      <c r="U581" s="16" t="s">
        <v>126</v>
      </c>
      <c r="V581" s="16" t="s">
        <v>1117</v>
      </c>
      <c r="W581" s="16" t="s">
        <v>1112</v>
      </c>
      <c r="X581" s="16" t="s">
        <v>501</v>
      </c>
    </row>
    <row r="582" spans="21:24" x14ac:dyDescent="0.45">
      <c r="U582" s="14" t="s">
        <v>126</v>
      </c>
      <c r="V582" s="14" t="s">
        <v>1118</v>
      </c>
      <c r="W582" s="14" t="s">
        <v>1112</v>
      </c>
      <c r="X582" s="14" t="s">
        <v>501</v>
      </c>
    </row>
    <row r="583" spans="21:24" x14ac:dyDescent="0.45">
      <c r="U583" s="16" t="s">
        <v>126</v>
      </c>
      <c r="V583" s="16" t="s">
        <v>1119</v>
      </c>
      <c r="W583" s="16" t="s">
        <v>1112</v>
      </c>
      <c r="X583" s="16" t="s">
        <v>501</v>
      </c>
    </row>
    <row r="584" spans="21:24" x14ac:dyDescent="0.45">
      <c r="U584" s="14" t="s">
        <v>126</v>
      </c>
      <c r="V584" s="14" t="s">
        <v>1120</v>
      </c>
      <c r="W584" s="14" t="s">
        <v>1112</v>
      </c>
      <c r="X584" s="14" t="s">
        <v>501</v>
      </c>
    </row>
    <row r="585" spans="21:24" x14ac:dyDescent="0.45">
      <c r="U585" s="16" t="s">
        <v>126</v>
      </c>
      <c r="V585" s="16" t="s">
        <v>1121</v>
      </c>
      <c r="W585" s="16" t="s">
        <v>1112</v>
      </c>
      <c r="X585" s="16" t="s">
        <v>501</v>
      </c>
    </row>
    <row r="586" spans="21:24" x14ac:dyDescent="0.45">
      <c r="U586" s="14" t="s">
        <v>126</v>
      </c>
      <c r="V586" s="14" t="s">
        <v>1122</v>
      </c>
      <c r="W586" s="14" t="s">
        <v>1112</v>
      </c>
      <c r="X586" s="14" t="s">
        <v>501</v>
      </c>
    </row>
    <row r="587" spans="21:24" x14ac:dyDescent="0.45">
      <c r="U587" s="16" t="s">
        <v>126</v>
      </c>
      <c r="V587" s="16" t="s">
        <v>1123</v>
      </c>
      <c r="W587" s="16" t="s">
        <v>1112</v>
      </c>
      <c r="X587" s="16" t="s">
        <v>501</v>
      </c>
    </row>
    <row r="588" spans="21:24" x14ac:dyDescent="0.45">
      <c r="U588" s="14" t="s">
        <v>126</v>
      </c>
      <c r="V588" s="14" t="s">
        <v>1124</v>
      </c>
      <c r="W588" s="14" t="s">
        <v>1112</v>
      </c>
      <c r="X588" s="14" t="s">
        <v>501</v>
      </c>
    </row>
    <row r="589" spans="21:24" x14ac:dyDescent="0.45">
      <c r="U589" s="16" t="s">
        <v>126</v>
      </c>
      <c r="V589" s="16" t="s">
        <v>1125</v>
      </c>
      <c r="W589" s="16" t="s">
        <v>1126</v>
      </c>
      <c r="X589" s="16" t="s">
        <v>501</v>
      </c>
    </row>
    <row r="590" spans="21:24" x14ac:dyDescent="0.45">
      <c r="U590" s="14" t="s">
        <v>126</v>
      </c>
      <c r="V590" s="14" t="s">
        <v>1127</v>
      </c>
      <c r="W590" s="14" t="s">
        <v>1126</v>
      </c>
      <c r="X590" s="14" t="s">
        <v>501</v>
      </c>
    </row>
    <row r="591" spans="21:24" x14ac:dyDescent="0.45">
      <c r="U591" s="16" t="s">
        <v>126</v>
      </c>
      <c r="V591" s="16" t="s">
        <v>1128</v>
      </c>
      <c r="W591" s="16" t="s">
        <v>1126</v>
      </c>
      <c r="X591" s="16" t="s">
        <v>501</v>
      </c>
    </row>
    <row r="592" spans="21:24" x14ac:dyDescent="0.45">
      <c r="U592" s="14" t="s">
        <v>126</v>
      </c>
      <c r="V592" s="14" t="s">
        <v>1129</v>
      </c>
      <c r="W592" s="14" t="s">
        <v>1126</v>
      </c>
      <c r="X592" s="14" t="s">
        <v>501</v>
      </c>
    </row>
    <row r="593" spans="21:24" x14ac:dyDescent="0.45">
      <c r="U593" s="16" t="s">
        <v>126</v>
      </c>
      <c r="V593" s="16" t="s">
        <v>1130</v>
      </c>
      <c r="W593" s="16" t="s">
        <v>1126</v>
      </c>
      <c r="X593" s="16" t="s">
        <v>501</v>
      </c>
    </row>
    <row r="594" spans="21:24" x14ac:dyDescent="0.45">
      <c r="U594" s="14" t="s">
        <v>126</v>
      </c>
      <c r="V594" s="14" t="s">
        <v>1131</v>
      </c>
      <c r="W594" s="14" t="s">
        <v>1126</v>
      </c>
      <c r="X594" s="14" t="s">
        <v>501</v>
      </c>
    </row>
    <row r="595" spans="21:24" x14ac:dyDescent="0.45">
      <c r="U595" s="16" t="s">
        <v>126</v>
      </c>
      <c r="V595" s="16" t="s">
        <v>1132</v>
      </c>
      <c r="W595" s="16" t="s">
        <v>1126</v>
      </c>
      <c r="X595" s="16" t="s">
        <v>501</v>
      </c>
    </row>
    <row r="596" spans="21:24" x14ac:dyDescent="0.45">
      <c r="U596" s="14" t="s">
        <v>126</v>
      </c>
      <c r="V596" s="14" t="s">
        <v>1133</v>
      </c>
      <c r="W596" s="14" t="s">
        <v>1126</v>
      </c>
      <c r="X596" s="14" t="s">
        <v>501</v>
      </c>
    </row>
    <row r="597" spans="21:24" x14ac:dyDescent="0.45">
      <c r="U597" s="16" t="s">
        <v>126</v>
      </c>
      <c r="V597" s="16" t="s">
        <v>1134</v>
      </c>
      <c r="W597" s="16" t="s">
        <v>1126</v>
      </c>
      <c r="X597" s="16" t="s">
        <v>501</v>
      </c>
    </row>
    <row r="598" spans="21:24" x14ac:dyDescent="0.45">
      <c r="U598" s="14" t="s">
        <v>126</v>
      </c>
      <c r="V598" s="14" t="s">
        <v>1135</v>
      </c>
      <c r="W598" s="14" t="s">
        <v>1126</v>
      </c>
      <c r="X598" s="14" t="s">
        <v>501</v>
      </c>
    </row>
    <row r="599" spans="21:24" x14ac:dyDescent="0.45">
      <c r="U599" s="16" t="s">
        <v>126</v>
      </c>
      <c r="V599" s="16" t="s">
        <v>1136</v>
      </c>
      <c r="W599" s="16" t="s">
        <v>1126</v>
      </c>
      <c r="X599" s="16" t="s">
        <v>501</v>
      </c>
    </row>
    <row r="600" spans="21:24" x14ac:dyDescent="0.45">
      <c r="U600" s="14" t="s">
        <v>126</v>
      </c>
      <c r="V600" s="14" t="s">
        <v>1137</v>
      </c>
      <c r="W600" s="14" t="s">
        <v>1126</v>
      </c>
      <c r="X600" s="14" t="s">
        <v>501</v>
      </c>
    </row>
    <row r="601" spans="21:24" x14ac:dyDescent="0.45">
      <c r="U601" s="16" t="s">
        <v>126</v>
      </c>
      <c r="V601" s="16" t="s">
        <v>1138</v>
      </c>
      <c r="W601" s="16" t="s">
        <v>1126</v>
      </c>
      <c r="X601" s="16" t="s">
        <v>501</v>
      </c>
    </row>
    <row r="602" spans="21:24" x14ac:dyDescent="0.45">
      <c r="U602" s="14" t="s">
        <v>126</v>
      </c>
      <c r="V602" s="14" t="s">
        <v>1139</v>
      </c>
      <c r="W602" s="14" t="s">
        <v>1140</v>
      </c>
      <c r="X602" s="14" t="s">
        <v>501</v>
      </c>
    </row>
    <row r="603" spans="21:24" x14ac:dyDescent="0.45">
      <c r="U603" s="16" t="s">
        <v>126</v>
      </c>
      <c r="V603" s="16" t="s">
        <v>1141</v>
      </c>
      <c r="W603" s="16" t="s">
        <v>1140</v>
      </c>
      <c r="X603" s="16" t="s">
        <v>501</v>
      </c>
    </row>
    <row r="604" spans="21:24" x14ac:dyDescent="0.45">
      <c r="U604" s="14" t="s">
        <v>126</v>
      </c>
      <c r="V604" s="14" t="s">
        <v>1142</v>
      </c>
      <c r="W604" s="14" t="s">
        <v>1140</v>
      </c>
      <c r="X604" s="14" t="s">
        <v>501</v>
      </c>
    </row>
    <row r="605" spans="21:24" x14ac:dyDescent="0.45">
      <c r="U605" s="16" t="s">
        <v>126</v>
      </c>
      <c r="V605" s="16" t="s">
        <v>1143</v>
      </c>
      <c r="W605" s="16" t="s">
        <v>1140</v>
      </c>
      <c r="X605" s="16" t="s">
        <v>501</v>
      </c>
    </row>
    <row r="606" spans="21:24" x14ac:dyDescent="0.45">
      <c r="U606" s="14" t="s">
        <v>126</v>
      </c>
      <c r="V606" s="14" t="s">
        <v>1144</v>
      </c>
      <c r="W606" s="14" t="s">
        <v>1140</v>
      </c>
      <c r="X606" s="14" t="s">
        <v>501</v>
      </c>
    </row>
    <row r="607" spans="21:24" x14ac:dyDescent="0.45">
      <c r="U607" s="16" t="s">
        <v>126</v>
      </c>
      <c r="V607" s="16" t="s">
        <v>1145</v>
      </c>
      <c r="W607" s="16" t="s">
        <v>1140</v>
      </c>
      <c r="X607" s="16" t="s">
        <v>501</v>
      </c>
    </row>
    <row r="608" spans="21:24" x14ac:dyDescent="0.45">
      <c r="U608" s="14" t="s">
        <v>126</v>
      </c>
      <c r="V608" s="14" t="s">
        <v>1146</v>
      </c>
      <c r="W608" s="14" t="s">
        <v>1140</v>
      </c>
      <c r="X608" s="14" t="s">
        <v>501</v>
      </c>
    </row>
    <row r="609" spans="21:24" x14ac:dyDescent="0.45">
      <c r="U609" s="16" t="s">
        <v>126</v>
      </c>
      <c r="V609" s="16" t="s">
        <v>1147</v>
      </c>
      <c r="W609" s="16" t="s">
        <v>1140</v>
      </c>
      <c r="X609" s="16" t="s">
        <v>501</v>
      </c>
    </row>
    <row r="610" spans="21:24" x14ac:dyDescent="0.45">
      <c r="U610" s="14" t="s">
        <v>126</v>
      </c>
      <c r="V610" s="14" t="s">
        <v>1148</v>
      </c>
      <c r="W610" s="14" t="s">
        <v>1140</v>
      </c>
      <c r="X610" s="14" t="s">
        <v>501</v>
      </c>
    </row>
    <row r="611" spans="21:24" x14ac:dyDescent="0.45">
      <c r="U611" s="16" t="s">
        <v>126</v>
      </c>
      <c r="V611" s="16" t="s">
        <v>1149</v>
      </c>
      <c r="W611" s="16" t="s">
        <v>1140</v>
      </c>
      <c r="X611" s="16" t="s">
        <v>501</v>
      </c>
    </row>
    <row r="612" spans="21:24" x14ac:dyDescent="0.45">
      <c r="U612" s="14" t="s">
        <v>126</v>
      </c>
      <c r="V612" s="14" t="s">
        <v>1150</v>
      </c>
      <c r="W612" s="14" t="s">
        <v>1140</v>
      </c>
      <c r="X612" s="14" t="s">
        <v>501</v>
      </c>
    </row>
    <row r="613" spans="21:24" x14ac:dyDescent="0.45">
      <c r="U613" s="16" t="s">
        <v>126</v>
      </c>
      <c r="V613" s="16" t="s">
        <v>1151</v>
      </c>
      <c r="W613" s="16" t="s">
        <v>1140</v>
      </c>
      <c r="X613" s="16" t="s">
        <v>501</v>
      </c>
    </row>
    <row r="614" spans="21:24" x14ac:dyDescent="0.45">
      <c r="U614" s="14" t="s">
        <v>126</v>
      </c>
      <c r="V614" s="14" t="s">
        <v>1152</v>
      </c>
      <c r="W614" s="14" t="s">
        <v>1140</v>
      </c>
      <c r="X614" s="14" t="s">
        <v>501</v>
      </c>
    </row>
    <row r="615" spans="21:24" x14ac:dyDescent="0.45">
      <c r="U615" s="16" t="s">
        <v>126</v>
      </c>
      <c r="V615" s="16" t="s">
        <v>1153</v>
      </c>
      <c r="W615" s="16" t="s">
        <v>1154</v>
      </c>
      <c r="X615" s="16" t="s">
        <v>501</v>
      </c>
    </row>
    <row r="616" spans="21:24" x14ac:dyDescent="0.45">
      <c r="U616" s="14" t="s">
        <v>126</v>
      </c>
      <c r="V616" s="14" t="s">
        <v>1155</v>
      </c>
      <c r="W616" s="14" t="s">
        <v>1154</v>
      </c>
      <c r="X616" s="14" t="s">
        <v>501</v>
      </c>
    </row>
    <row r="617" spans="21:24" x14ac:dyDescent="0.45">
      <c r="U617" s="16" t="s">
        <v>126</v>
      </c>
      <c r="V617" s="16" t="s">
        <v>1156</v>
      </c>
      <c r="W617" s="16" t="s">
        <v>1154</v>
      </c>
      <c r="X617" s="16" t="s">
        <v>501</v>
      </c>
    </row>
    <row r="618" spans="21:24" x14ac:dyDescent="0.45">
      <c r="U618" s="14" t="s">
        <v>126</v>
      </c>
      <c r="V618" s="14" t="s">
        <v>1157</v>
      </c>
      <c r="W618" s="14" t="s">
        <v>1154</v>
      </c>
      <c r="X618" s="14" t="s">
        <v>501</v>
      </c>
    </row>
    <row r="619" spans="21:24" x14ac:dyDescent="0.45">
      <c r="U619" s="16" t="s">
        <v>126</v>
      </c>
      <c r="V619" s="16" t="s">
        <v>1158</v>
      </c>
      <c r="W619" s="16" t="s">
        <v>1154</v>
      </c>
      <c r="X619" s="16" t="s">
        <v>501</v>
      </c>
    </row>
    <row r="620" spans="21:24" x14ac:dyDescent="0.45">
      <c r="U620" s="14" t="s">
        <v>126</v>
      </c>
      <c r="V620" s="14" t="s">
        <v>1159</v>
      </c>
      <c r="W620" s="14" t="s">
        <v>1154</v>
      </c>
      <c r="X620" s="14" t="s">
        <v>501</v>
      </c>
    </row>
    <row r="621" spans="21:24" x14ac:dyDescent="0.45">
      <c r="U621" s="16" t="s">
        <v>126</v>
      </c>
      <c r="V621" s="16" t="s">
        <v>1160</v>
      </c>
      <c r="W621" s="16" t="s">
        <v>1154</v>
      </c>
      <c r="X621" s="16" t="s">
        <v>501</v>
      </c>
    </row>
    <row r="622" spans="21:24" x14ac:dyDescent="0.45">
      <c r="U622" s="14" t="s">
        <v>126</v>
      </c>
      <c r="V622" s="14" t="s">
        <v>1161</v>
      </c>
      <c r="W622" s="14" t="s">
        <v>1154</v>
      </c>
      <c r="X622" s="14" t="s">
        <v>501</v>
      </c>
    </row>
    <row r="623" spans="21:24" x14ac:dyDescent="0.45">
      <c r="U623" s="16" t="s">
        <v>126</v>
      </c>
      <c r="V623" s="16" t="s">
        <v>1162</v>
      </c>
      <c r="W623" s="16" t="s">
        <v>1154</v>
      </c>
      <c r="X623" s="16" t="s">
        <v>501</v>
      </c>
    </row>
    <row r="624" spans="21:24" x14ac:dyDescent="0.45">
      <c r="U624" s="14" t="s">
        <v>126</v>
      </c>
      <c r="V624" s="14" t="s">
        <v>1163</v>
      </c>
      <c r="W624" s="14" t="s">
        <v>1154</v>
      </c>
      <c r="X624" s="14" t="s">
        <v>501</v>
      </c>
    </row>
    <row r="625" spans="21:24" x14ac:dyDescent="0.45">
      <c r="U625" s="16" t="s">
        <v>126</v>
      </c>
      <c r="V625" s="16" t="s">
        <v>1164</v>
      </c>
      <c r="W625" s="16" t="s">
        <v>1154</v>
      </c>
      <c r="X625" s="16" t="s">
        <v>501</v>
      </c>
    </row>
    <row r="626" spans="21:24" x14ac:dyDescent="0.45">
      <c r="U626" s="14" t="s">
        <v>126</v>
      </c>
      <c r="V626" s="14" t="s">
        <v>1165</v>
      </c>
      <c r="W626" s="14" t="s">
        <v>1154</v>
      </c>
      <c r="X626" s="14" t="s">
        <v>501</v>
      </c>
    </row>
    <row r="627" spans="21:24" x14ac:dyDescent="0.45">
      <c r="U627" s="16" t="s">
        <v>126</v>
      </c>
      <c r="V627" s="16" t="s">
        <v>1166</v>
      </c>
      <c r="W627" s="16" t="s">
        <v>1154</v>
      </c>
      <c r="X627" s="16" t="s">
        <v>501</v>
      </c>
    </row>
    <row r="628" spans="21:24" x14ac:dyDescent="0.45">
      <c r="U628" s="14" t="s">
        <v>126</v>
      </c>
      <c r="V628" s="14" t="s">
        <v>1167</v>
      </c>
      <c r="W628" s="14" t="s">
        <v>1168</v>
      </c>
      <c r="X628" s="14" t="s">
        <v>501</v>
      </c>
    </row>
    <row r="629" spans="21:24" x14ac:dyDescent="0.45">
      <c r="U629" s="16" t="s">
        <v>126</v>
      </c>
      <c r="V629" s="16" t="s">
        <v>1169</v>
      </c>
      <c r="W629" s="16" t="s">
        <v>1168</v>
      </c>
      <c r="X629" s="16" t="s">
        <v>501</v>
      </c>
    </row>
    <row r="630" spans="21:24" x14ac:dyDescent="0.45">
      <c r="U630" s="14" t="s">
        <v>126</v>
      </c>
      <c r="V630" s="14" t="s">
        <v>1170</v>
      </c>
      <c r="W630" s="14" t="s">
        <v>1168</v>
      </c>
      <c r="X630" s="14" t="s">
        <v>501</v>
      </c>
    </row>
    <row r="631" spans="21:24" x14ac:dyDescent="0.45">
      <c r="U631" s="16" t="s">
        <v>126</v>
      </c>
      <c r="V631" s="16" t="s">
        <v>1171</v>
      </c>
      <c r="W631" s="16" t="s">
        <v>1168</v>
      </c>
      <c r="X631" s="16" t="s">
        <v>501</v>
      </c>
    </row>
    <row r="632" spans="21:24" x14ac:dyDescent="0.45">
      <c r="U632" s="14" t="s">
        <v>126</v>
      </c>
      <c r="V632" s="14" t="s">
        <v>1172</v>
      </c>
      <c r="W632" s="14" t="s">
        <v>1168</v>
      </c>
      <c r="X632" s="14" t="s">
        <v>501</v>
      </c>
    </row>
    <row r="633" spans="21:24" x14ac:dyDescent="0.45">
      <c r="U633" s="16" t="s">
        <v>126</v>
      </c>
      <c r="V633" s="16" t="s">
        <v>1173</v>
      </c>
      <c r="W633" s="16" t="s">
        <v>1168</v>
      </c>
      <c r="X633" s="16" t="s">
        <v>501</v>
      </c>
    </row>
    <row r="634" spans="21:24" x14ac:dyDescent="0.45">
      <c r="U634" s="14" t="s">
        <v>126</v>
      </c>
      <c r="V634" s="14" t="s">
        <v>1174</v>
      </c>
      <c r="W634" s="14" t="s">
        <v>1168</v>
      </c>
      <c r="X634" s="14" t="s">
        <v>501</v>
      </c>
    </row>
    <row r="635" spans="21:24" x14ac:dyDescent="0.45">
      <c r="U635" s="16" t="s">
        <v>126</v>
      </c>
      <c r="V635" s="16" t="s">
        <v>1175</v>
      </c>
      <c r="W635" s="16" t="s">
        <v>1168</v>
      </c>
      <c r="X635" s="16" t="s">
        <v>501</v>
      </c>
    </row>
    <row r="636" spans="21:24" x14ac:dyDescent="0.45">
      <c r="U636" s="14" t="s">
        <v>126</v>
      </c>
      <c r="V636" s="14" t="s">
        <v>1176</v>
      </c>
      <c r="W636" s="14" t="s">
        <v>1168</v>
      </c>
      <c r="X636" s="14" t="s">
        <v>501</v>
      </c>
    </row>
    <row r="637" spans="21:24" x14ac:dyDescent="0.45">
      <c r="U637" s="16" t="s">
        <v>126</v>
      </c>
      <c r="V637" s="16" t="s">
        <v>1177</v>
      </c>
      <c r="W637" s="16" t="s">
        <v>1168</v>
      </c>
      <c r="X637" s="16" t="s">
        <v>501</v>
      </c>
    </row>
    <row r="638" spans="21:24" x14ac:dyDescent="0.45">
      <c r="U638" s="14" t="s">
        <v>126</v>
      </c>
      <c r="V638" s="14" t="s">
        <v>1178</v>
      </c>
      <c r="W638" s="14" t="s">
        <v>1168</v>
      </c>
      <c r="X638" s="14" t="s">
        <v>501</v>
      </c>
    </row>
    <row r="639" spans="21:24" x14ac:dyDescent="0.45">
      <c r="U639" s="16" t="s">
        <v>126</v>
      </c>
      <c r="V639" s="16" t="s">
        <v>1179</v>
      </c>
      <c r="W639" s="16" t="s">
        <v>1168</v>
      </c>
      <c r="X639" s="16" t="s">
        <v>501</v>
      </c>
    </row>
    <row r="640" spans="21:24" x14ac:dyDescent="0.45">
      <c r="U640" s="14" t="s">
        <v>126</v>
      </c>
      <c r="V640" s="14" t="s">
        <v>1180</v>
      </c>
      <c r="W640" s="14" t="s">
        <v>1168</v>
      </c>
      <c r="X640" s="14" t="s">
        <v>501</v>
      </c>
    </row>
    <row r="641" spans="21:24" x14ac:dyDescent="0.45">
      <c r="U641" s="16" t="s">
        <v>126</v>
      </c>
      <c r="V641" s="16" t="s">
        <v>1181</v>
      </c>
      <c r="W641" s="16" t="s">
        <v>1182</v>
      </c>
      <c r="X641" s="16" t="s">
        <v>501</v>
      </c>
    </row>
    <row r="642" spans="21:24" x14ac:dyDescent="0.45">
      <c r="U642" s="14" t="s">
        <v>126</v>
      </c>
      <c r="V642" s="14" t="s">
        <v>1183</v>
      </c>
      <c r="W642" s="14" t="s">
        <v>1182</v>
      </c>
      <c r="X642" s="14" t="s">
        <v>501</v>
      </c>
    </row>
    <row r="643" spans="21:24" x14ac:dyDescent="0.45">
      <c r="U643" s="16" t="s">
        <v>126</v>
      </c>
      <c r="V643" s="16" t="s">
        <v>1184</v>
      </c>
      <c r="W643" s="16" t="s">
        <v>1182</v>
      </c>
      <c r="X643" s="16" t="s">
        <v>501</v>
      </c>
    </row>
    <row r="644" spans="21:24" x14ac:dyDescent="0.45">
      <c r="U644" s="14" t="s">
        <v>126</v>
      </c>
      <c r="V644" s="14" t="s">
        <v>1185</v>
      </c>
      <c r="W644" s="14" t="s">
        <v>1182</v>
      </c>
      <c r="X644" s="14" t="s">
        <v>501</v>
      </c>
    </row>
    <row r="645" spans="21:24" x14ac:dyDescent="0.45">
      <c r="U645" s="16" t="s">
        <v>126</v>
      </c>
      <c r="V645" s="16" t="s">
        <v>1186</v>
      </c>
      <c r="W645" s="16" t="s">
        <v>1182</v>
      </c>
      <c r="X645" s="16" t="s">
        <v>501</v>
      </c>
    </row>
    <row r="646" spans="21:24" x14ac:dyDescent="0.45">
      <c r="U646" s="14" t="s">
        <v>126</v>
      </c>
      <c r="V646" s="14" t="s">
        <v>1187</v>
      </c>
      <c r="W646" s="14" t="s">
        <v>1182</v>
      </c>
      <c r="X646" s="14" t="s">
        <v>501</v>
      </c>
    </row>
    <row r="647" spans="21:24" x14ac:dyDescent="0.45">
      <c r="U647" s="16" t="s">
        <v>126</v>
      </c>
      <c r="V647" s="16" t="s">
        <v>1188</v>
      </c>
      <c r="W647" s="16" t="s">
        <v>1182</v>
      </c>
      <c r="X647" s="16" t="s">
        <v>501</v>
      </c>
    </row>
    <row r="648" spans="21:24" x14ac:dyDescent="0.45">
      <c r="U648" s="14" t="s">
        <v>126</v>
      </c>
      <c r="V648" s="14" t="s">
        <v>1189</v>
      </c>
      <c r="W648" s="14" t="s">
        <v>1182</v>
      </c>
      <c r="X648" s="14" t="s">
        <v>501</v>
      </c>
    </row>
    <row r="649" spans="21:24" x14ac:dyDescent="0.45">
      <c r="U649" s="16" t="s">
        <v>126</v>
      </c>
      <c r="V649" s="16" t="s">
        <v>1190</v>
      </c>
      <c r="W649" s="16" t="s">
        <v>1182</v>
      </c>
      <c r="X649" s="16" t="s">
        <v>501</v>
      </c>
    </row>
    <row r="650" spans="21:24" x14ac:dyDescent="0.45">
      <c r="U650" s="14" t="s">
        <v>126</v>
      </c>
      <c r="V650" s="14" t="s">
        <v>1191</v>
      </c>
      <c r="W650" s="14" t="s">
        <v>1182</v>
      </c>
      <c r="X650" s="14" t="s">
        <v>501</v>
      </c>
    </row>
    <row r="651" spans="21:24" x14ac:dyDescent="0.45">
      <c r="U651" s="16" t="s">
        <v>126</v>
      </c>
      <c r="V651" s="16" t="s">
        <v>1192</v>
      </c>
      <c r="W651" s="16" t="s">
        <v>1182</v>
      </c>
      <c r="X651" s="16" t="s">
        <v>501</v>
      </c>
    </row>
    <row r="652" spans="21:24" x14ac:dyDescent="0.45">
      <c r="U652" s="14" t="s">
        <v>126</v>
      </c>
      <c r="V652" s="14" t="s">
        <v>1193</v>
      </c>
      <c r="W652" s="14" t="s">
        <v>1182</v>
      </c>
      <c r="X652" s="14" t="s">
        <v>501</v>
      </c>
    </row>
    <row r="653" spans="21:24" x14ac:dyDescent="0.45">
      <c r="U653" s="16" t="s">
        <v>126</v>
      </c>
      <c r="V653" s="16" t="s">
        <v>1194</v>
      </c>
      <c r="W653" s="16" t="s">
        <v>1182</v>
      </c>
      <c r="X653" s="16" t="s">
        <v>501</v>
      </c>
    </row>
    <row r="654" spans="21:24" x14ac:dyDescent="0.45">
      <c r="U654" s="14" t="s">
        <v>126</v>
      </c>
      <c r="V654" s="14" t="s">
        <v>1195</v>
      </c>
      <c r="W654" s="14" t="s">
        <v>1196</v>
      </c>
      <c r="X654" s="14" t="s">
        <v>501</v>
      </c>
    </row>
    <row r="655" spans="21:24" x14ac:dyDescent="0.45">
      <c r="U655" s="16" t="s">
        <v>126</v>
      </c>
      <c r="V655" s="16" t="s">
        <v>1197</v>
      </c>
      <c r="W655" s="16" t="s">
        <v>1196</v>
      </c>
      <c r="X655" s="16" t="s">
        <v>501</v>
      </c>
    </row>
    <row r="656" spans="21:24" x14ac:dyDescent="0.45">
      <c r="U656" s="14" t="s">
        <v>126</v>
      </c>
      <c r="V656" s="14" t="s">
        <v>1198</v>
      </c>
      <c r="W656" s="14" t="s">
        <v>1196</v>
      </c>
      <c r="X656" s="14" t="s">
        <v>501</v>
      </c>
    </row>
    <row r="657" spans="21:24" x14ac:dyDescent="0.45">
      <c r="U657" s="16" t="s">
        <v>126</v>
      </c>
      <c r="V657" s="16" t="s">
        <v>1199</v>
      </c>
      <c r="W657" s="16" t="s">
        <v>1196</v>
      </c>
      <c r="X657" s="16" t="s">
        <v>501</v>
      </c>
    </row>
    <row r="658" spans="21:24" x14ac:dyDescent="0.45">
      <c r="U658" s="14" t="s">
        <v>126</v>
      </c>
      <c r="V658" s="14" t="s">
        <v>1200</v>
      </c>
      <c r="W658" s="14" t="s">
        <v>1196</v>
      </c>
      <c r="X658" s="14" t="s">
        <v>501</v>
      </c>
    </row>
    <row r="659" spans="21:24" x14ac:dyDescent="0.45">
      <c r="U659" s="16" t="s">
        <v>126</v>
      </c>
      <c r="V659" s="16" t="s">
        <v>1201</v>
      </c>
      <c r="W659" s="16" t="s">
        <v>1196</v>
      </c>
      <c r="X659" s="16" t="s">
        <v>501</v>
      </c>
    </row>
    <row r="660" spans="21:24" x14ac:dyDescent="0.45">
      <c r="U660" s="14" t="s">
        <v>126</v>
      </c>
      <c r="V660" s="14" t="s">
        <v>1202</v>
      </c>
      <c r="W660" s="14" t="s">
        <v>1196</v>
      </c>
      <c r="X660" s="14" t="s">
        <v>501</v>
      </c>
    </row>
    <row r="661" spans="21:24" x14ac:dyDescent="0.45">
      <c r="U661" s="16" t="s">
        <v>126</v>
      </c>
      <c r="V661" s="16" t="s">
        <v>1203</v>
      </c>
      <c r="W661" s="16" t="s">
        <v>1196</v>
      </c>
      <c r="X661" s="16" t="s">
        <v>501</v>
      </c>
    </row>
    <row r="662" spans="21:24" x14ac:dyDescent="0.45">
      <c r="U662" s="14" t="s">
        <v>126</v>
      </c>
      <c r="V662" s="14" t="s">
        <v>1204</v>
      </c>
      <c r="W662" s="14" t="s">
        <v>1196</v>
      </c>
      <c r="X662" s="14" t="s">
        <v>501</v>
      </c>
    </row>
    <row r="663" spans="21:24" x14ac:dyDescent="0.45">
      <c r="U663" s="16" t="s">
        <v>126</v>
      </c>
      <c r="V663" s="16" t="s">
        <v>1205</v>
      </c>
      <c r="W663" s="16" t="s">
        <v>1196</v>
      </c>
      <c r="X663" s="16" t="s">
        <v>501</v>
      </c>
    </row>
    <row r="664" spans="21:24" x14ac:dyDescent="0.45">
      <c r="U664" s="14" t="s">
        <v>126</v>
      </c>
      <c r="V664" s="14" t="s">
        <v>1206</v>
      </c>
      <c r="W664" s="14" t="s">
        <v>1196</v>
      </c>
      <c r="X664" s="14" t="s">
        <v>501</v>
      </c>
    </row>
    <row r="665" spans="21:24" x14ac:dyDescent="0.45">
      <c r="U665" s="16" t="s">
        <v>126</v>
      </c>
      <c r="V665" s="16" t="s">
        <v>1207</v>
      </c>
      <c r="W665" s="16" t="s">
        <v>1196</v>
      </c>
      <c r="X665" s="16" t="s">
        <v>501</v>
      </c>
    </row>
    <row r="666" spans="21:24" x14ac:dyDescent="0.45">
      <c r="U666" s="14" t="s">
        <v>126</v>
      </c>
      <c r="V666" s="14" t="s">
        <v>1208</v>
      </c>
      <c r="W666" s="14" t="s">
        <v>1196</v>
      </c>
      <c r="X666" s="14" t="s">
        <v>501</v>
      </c>
    </row>
    <row r="667" spans="21:24" x14ac:dyDescent="0.45">
      <c r="U667" s="16" t="s">
        <v>126</v>
      </c>
      <c r="V667" s="16" t="s">
        <v>1209</v>
      </c>
      <c r="W667" s="16" t="s">
        <v>1210</v>
      </c>
      <c r="X667" s="16" t="s">
        <v>501</v>
      </c>
    </row>
    <row r="668" spans="21:24" x14ac:dyDescent="0.45">
      <c r="U668" s="14" t="s">
        <v>126</v>
      </c>
      <c r="V668" s="14" t="s">
        <v>1211</v>
      </c>
      <c r="W668" s="14" t="s">
        <v>1210</v>
      </c>
      <c r="X668" s="14" t="s">
        <v>501</v>
      </c>
    </row>
    <row r="669" spans="21:24" x14ac:dyDescent="0.45">
      <c r="U669" s="16" t="s">
        <v>126</v>
      </c>
      <c r="V669" s="16" t="s">
        <v>1212</v>
      </c>
      <c r="W669" s="16" t="s">
        <v>1210</v>
      </c>
      <c r="X669" s="16" t="s">
        <v>501</v>
      </c>
    </row>
    <row r="670" spans="21:24" x14ac:dyDescent="0.45">
      <c r="U670" s="14" t="s">
        <v>126</v>
      </c>
      <c r="V670" s="14" t="s">
        <v>1213</v>
      </c>
      <c r="W670" s="14" t="s">
        <v>1210</v>
      </c>
      <c r="X670" s="14" t="s">
        <v>501</v>
      </c>
    </row>
    <row r="671" spans="21:24" x14ac:dyDescent="0.45">
      <c r="U671" s="16" t="s">
        <v>126</v>
      </c>
      <c r="V671" s="16" t="s">
        <v>1214</v>
      </c>
      <c r="W671" s="16" t="s">
        <v>1210</v>
      </c>
      <c r="X671" s="16" t="s">
        <v>501</v>
      </c>
    </row>
    <row r="672" spans="21:24" x14ac:dyDescent="0.45">
      <c r="U672" s="14" t="s">
        <v>126</v>
      </c>
      <c r="V672" s="14" t="s">
        <v>1215</v>
      </c>
      <c r="W672" s="14" t="s">
        <v>1210</v>
      </c>
      <c r="X672" s="14" t="s">
        <v>501</v>
      </c>
    </row>
    <row r="673" spans="21:24" x14ac:dyDescent="0.45">
      <c r="U673" s="16" t="s">
        <v>126</v>
      </c>
      <c r="V673" s="16" t="s">
        <v>1216</v>
      </c>
      <c r="W673" s="16" t="s">
        <v>1210</v>
      </c>
      <c r="X673" s="16" t="s">
        <v>501</v>
      </c>
    </row>
    <row r="674" spans="21:24" x14ac:dyDescent="0.45">
      <c r="U674" s="14" t="s">
        <v>126</v>
      </c>
      <c r="V674" s="14" t="s">
        <v>1217</v>
      </c>
      <c r="W674" s="14" t="s">
        <v>1210</v>
      </c>
      <c r="X674" s="14" t="s">
        <v>501</v>
      </c>
    </row>
    <row r="675" spans="21:24" x14ac:dyDescent="0.45">
      <c r="U675" s="16" t="s">
        <v>126</v>
      </c>
      <c r="V675" s="16" t="s">
        <v>1218</v>
      </c>
      <c r="W675" s="16" t="s">
        <v>1210</v>
      </c>
      <c r="X675" s="16" t="s">
        <v>501</v>
      </c>
    </row>
    <row r="676" spans="21:24" x14ac:dyDescent="0.45">
      <c r="U676" s="14" t="s">
        <v>126</v>
      </c>
      <c r="V676" s="14" t="s">
        <v>1219</v>
      </c>
      <c r="W676" s="14" t="s">
        <v>1210</v>
      </c>
      <c r="X676" s="14" t="s">
        <v>501</v>
      </c>
    </row>
    <row r="677" spans="21:24" x14ac:dyDescent="0.45">
      <c r="U677" s="16" t="s">
        <v>126</v>
      </c>
      <c r="V677" s="16" t="s">
        <v>1220</v>
      </c>
      <c r="W677" s="16" t="s">
        <v>1210</v>
      </c>
      <c r="X677" s="16" t="s">
        <v>501</v>
      </c>
    </row>
    <row r="678" spans="21:24" x14ac:dyDescent="0.45">
      <c r="U678" s="14" t="s">
        <v>126</v>
      </c>
      <c r="V678" s="14" t="s">
        <v>1221</v>
      </c>
      <c r="W678" s="14" t="s">
        <v>1210</v>
      </c>
      <c r="X678" s="14" t="s">
        <v>501</v>
      </c>
    </row>
    <row r="679" spans="21:24" x14ac:dyDescent="0.45">
      <c r="U679" s="16" t="s">
        <v>126</v>
      </c>
      <c r="V679" s="16" t="s">
        <v>1222</v>
      </c>
      <c r="W679" s="16" t="s">
        <v>1210</v>
      </c>
      <c r="X679" s="16" t="s">
        <v>501</v>
      </c>
    </row>
    <row r="680" spans="21:24" x14ac:dyDescent="0.45">
      <c r="U680" s="14" t="s">
        <v>126</v>
      </c>
      <c r="V680" s="14" t="s">
        <v>1223</v>
      </c>
      <c r="W680" s="14" t="s">
        <v>1224</v>
      </c>
      <c r="X680" s="14" t="s">
        <v>501</v>
      </c>
    </row>
    <row r="681" spans="21:24" x14ac:dyDescent="0.45">
      <c r="U681" s="16" t="s">
        <v>126</v>
      </c>
      <c r="V681" s="16" t="s">
        <v>1225</v>
      </c>
      <c r="W681" s="16" t="s">
        <v>1224</v>
      </c>
      <c r="X681" s="16" t="s">
        <v>501</v>
      </c>
    </row>
    <row r="682" spans="21:24" x14ac:dyDescent="0.45">
      <c r="U682" s="14" t="s">
        <v>126</v>
      </c>
      <c r="V682" s="14" t="s">
        <v>1226</v>
      </c>
      <c r="W682" s="14" t="s">
        <v>1224</v>
      </c>
      <c r="X682" s="14" t="s">
        <v>501</v>
      </c>
    </row>
    <row r="683" spans="21:24" x14ac:dyDescent="0.45">
      <c r="U683" s="16" t="s">
        <v>126</v>
      </c>
      <c r="V683" s="16" t="s">
        <v>1227</v>
      </c>
      <c r="W683" s="16" t="s">
        <v>1224</v>
      </c>
      <c r="X683" s="16" t="s">
        <v>501</v>
      </c>
    </row>
    <row r="684" spans="21:24" x14ac:dyDescent="0.45">
      <c r="U684" s="14" t="s">
        <v>126</v>
      </c>
      <c r="V684" s="14" t="s">
        <v>1228</v>
      </c>
      <c r="W684" s="14" t="s">
        <v>1224</v>
      </c>
      <c r="X684" s="14" t="s">
        <v>501</v>
      </c>
    </row>
    <row r="685" spans="21:24" x14ac:dyDescent="0.45">
      <c r="U685" s="16" t="s">
        <v>126</v>
      </c>
      <c r="V685" s="16" t="s">
        <v>1229</v>
      </c>
      <c r="W685" s="16" t="s">
        <v>1224</v>
      </c>
      <c r="X685" s="16" t="s">
        <v>501</v>
      </c>
    </row>
    <row r="686" spans="21:24" x14ac:dyDescent="0.45">
      <c r="U686" s="14" t="s">
        <v>126</v>
      </c>
      <c r="V686" s="14" t="s">
        <v>1230</v>
      </c>
      <c r="W686" s="14" t="s">
        <v>1224</v>
      </c>
      <c r="X686" s="14" t="s">
        <v>501</v>
      </c>
    </row>
    <row r="687" spans="21:24" x14ac:dyDescent="0.45">
      <c r="U687" s="16" t="s">
        <v>126</v>
      </c>
      <c r="V687" s="16" t="s">
        <v>1231</v>
      </c>
      <c r="W687" s="16" t="s">
        <v>1224</v>
      </c>
      <c r="X687" s="16" t="s">
        <v>501</v>
      </c>
    </row>
    <row r="688" spans="21:24" x14ac:dyDescent="0.45">
      <c r="U688" s="14" t="s">
        <v>126</v>
      </c>
      <c r="V688" s="14" t="s">
        <v>1232</v>
      </c>
      <c r="W688" s="14" t="s">
        <v>1224</v>
      </c>
      <c r="X688" s="14" t="s">
        <v>501</v>
      </c>
    </row>
    <row r="689" spans="21:24" x14ac:dyDescent="0.45">
      <c r="U689" s="16" t="s">
        <v>126</v>
      </c>
      <c r="V689" s="16" t="s">
        <v>1233</v>
      </c>
      <c r="W689" s="16" t="s">
        <v>1224</v>
      </c>
      <c r="X689" s="16" t="s">
        <v>501</v>
      </c>
    </row>
    <row r="690" spans="21:24" x14ac:dyDescent="0.45">
      <c r="U690" s="14" t="s">
        <v>126</v>
      </c>
      <c r="V690" s="14" t="s">
        <v>1234</v>
      </c>
      <c r="W690" s="14" t="s">
        <v>1224</v>
      </c>
      <c r="X690" s="14" t="s">
        <v>501</v>
      </c>
    </row>
    <row r="691" spans="21:24" x14ac:dyDescent="0.45">
      <c r="U691" s="16" t="s">
        <v>126</v>
      </c>
      <c r="V691" s="16" t="s">
        <v>1235</v>
      </c>
      <c r="W691" s="16" t="s">
        <v>1224</v>
      </c>
      <c r="X691" s="16" t="s">
        <v>501</v>
      </c>
    </row>
    <row r="692" spans="21:24" x14ac:dyDescent="0.45">
      <c r="U692" s="14" t="s">
        <v>126</v>
      </c>
      <c r="V692" s="14" t="s">
        <v>1236</v>
      </c>
      <c r="W692" s="14" t="s">
        <v>1224</v>
      </c>
      <c r="X692" s="14" t="s">
        <v>501</v>
      </c>
    </row>
    <row r="693" spans="21:24" x14ac:dyDescent="0.45">
      <c r="U693" s="16" t="s">
        <v>126</v>
      </c>
      <c r="V693" s="16" t="s">
        <v>1237</v>
      </c>
      <c r="W693" s="16" t="s">
        <v>1238</v>
      </c>
      <c r="X693" s="16" t="s">
        <v>501</v>
      </c>
    </row>
    <row r="694" spans="21:24" x14ac:dyDescent="0.45">
      <c r="U694" s="14" t="s">
        <v>126</v>
      </c>
      <c r="V694" s="14" t="s">
        <v>1239</v>
      </c>
      <c r="W694" s="14" t="s">
        <v>1238</v>
      </c>
      <c r="X694" s="14" t="s">
        <v>501</v>
      </c>
    </row>
    <row r="695" spans="21:24" x14ac:dyDescent="0.45">
      <c r="U695" s="16" t="s">
        <v>126</v>
      </c>
      <c r="V695" s="16" t="s">
        <v>1240</v>
      </c>
      <c r="W695" s="16" t="s">
        <v>1238</v>
      </c>
      <c r="X695" s="16" t="s">
        <v>501</v>
      </c>
    </row>
    <row r="696" spans="21:24" x14ac:dyDescent="0.45">
      <c r="U696" s="14" t="s">
        <v>126</v>
      </c>
      <c r="V696" s="14" t="s">
        <v>1241</v>
      </c>
      <c r="W696" s="14" t="s">
        <v>1238</v>
      </c>
      <c r="X696" s="14" t="s">
        <v>501</v>
      </c>
    </row>
    <row r="697" spans="21:24" x14ac:dyDescent="0.45">
      <c r="U697" s="16" t="s">
        <v>126</v>
      </c>
      <c r="V697" s="16" t="s">
        <v>1242</v>
      </c>
      <c r="W697" s="16" t="s">
        <v>1238</v>
      </c>
      <c r="X697" s="16" t="s">
        <v>501</v>
      </c>
    </row>
    <row r="698" spans="21:24" x14ac:dyDescent="0.45">
      <c r="U698" s="14" t="s">
        <v>126</v>
      </c>
      <c r="V698" s="14" t="s">
        <v>1243</v>
      </c>
      <c r="W698" s="14" t="s">
        <v>1238</v>
      </c>
      <c r="X698" s="14" t="s">
        <v>501</v>
      </c>
    </row>
    <row r="699" spans="21:24" x14ac:dyDescent="0.45">
      <c r="U699" s="16" t="s">
        <v>126</v>
      </c>
      <c r="V699" s="16" t="s">
        <v>1244</v>
      </c>
      <c r="W699" s="16" t="s">
        <v>1238</v>
      </c>
      <c r="X699" s="16" t="s">
        <v>501</v>
      </c>
    </row>
    <row r="700" spans="21:24" x14ac:dyDescent="0.45">
      <c r="U700" s="14" t="s">
        <v>126</v>
      </c>
      <c r="V700" s="14" t="s">
        <v>1245</v>
      </c>
      <c r="W700" s="14" t="s">
        <v>1238</v>
      </c>
      <c r="X700" s="14" t="s">
        <v>501</v>
      </c>
    </row>
    <row r="701" spans="21:24" x14ac:dyDescent="0.45">
      <c r="U701" s="16" t="s">
        <v>126</v>
      </c>
      <c r="V701" s="16" t="s">
        <v>1246</v>
      </c>
      <c r="W701" s="16" t="s">
        <v>1238</v>
      </c>
      <c r="X701" s="16" t="s">
        <v>501</v>
      </c>
    </row>
    <row r="702" spans="21:24" x14ac:dyDescent="0.45">
      <c r="U702" s="14" t="s">
        <v>126</v>
      </c>
      <c r="V702" s="14" t="s">
        <v>1247</v>
      </c>
      <c r="W702" s="14" t="s">
        <v>1238</v>
      </c>
      <c r="X702" s="14" t="s">
        <v>501</v>
      </c>
    </row>
    <row r="703" spans="21:24" x14ac:dyDescent="0.45">
      <c r="U703" s="16" t="s">
        <v>126</v>
      </c>
      <c r="V703" s="16" t="s">
        <v>1248</v>
      </c>
      <c r="W703" s="16" t="s">
        <v>1238</v>
      </c>
      <c r="X703" s="16" t="s">
        <v>501</v>
      </c>
    </row>
    <row r="704" spans="21:24" x14ac:dyDescent="0.45">
      <c r="U704" s="14" t="s">
        <v>126</v>
      </c>
      <c r="V704" s="14" t="s">
        <v>1249</v>
      </c>
      <c r="W704" s="14" t="s">
        <v>1238</v>
      </c>
      <c r="X704" s="14" t="s">
        <v>501</v>
      </c>
    </row>
    <row r="705" spans="21:24" x14ac:dyDescent="0.45">
      <c r="U705" s="16" t="s">
        <v>126</v>
      </c>
      <c r="V705" s="16" t="s">
        <v>1250</v>
      </c>
      <c r="W705" s="16" t="s">
        <v>1238</v>
      </c>
      <c r="X705" s="16" t="s">
        <v>501</v>
      </c>
    </row>
    <row r="706" spans="21:24" x14ac:dyDescent="0.45">
      <c r="U706" s="14" t="s">
        <v>126</v>
      </c>
      <c r="V706" s="14" t="s">
        <v>1251</v>
      </c>
      <c r="W706" s="14" t="s">
        <v>1252</v>
      </c>
      <c r="X706" s="14" t="s">
        <v>501</v>
      </c>
    </row>
    <row r="707" spans="21:24" x14ac:dyDescent="0.45">
      <c r="U707" s="16" t="s">
        <v>126</v>
      </c>
      <c r="V707" s="16" t="s">
        <v>1253</v>
      </c>
      <c r="W707" s="16" t="s">
        <v>1252</v>
      </c>
      <c r="X707" s="16" t="s">
        <v>501</v>
      </c>
    </row>
    <row r="708" spans="21:24" x14ac:dyDescent="0.45">
      <c r="U708" s="14" t="s">
        <v>126</v>
      </c>
      <c r="V708" s="14" t="s">
        <v>1254</v>
      </c>
      <c r="W708" s="14" t="s">
        <v>1252</v>
      </c>
      <c r="X708" s="14" t="s">
        <v>501</v>
      </c>
    </row>
    <row r="709" spans="21:24" x14ac:dyDescent="0.45">
      <c r="U709" s="16" t="s">
        <v>126</v>
      </c>
      <c r="V709" s="16" t="s">
        <v>1255</v>
      </c>
      <c r="W709" s="16" t="s">
        <v>1252</v>
      </c>
      <c r="X709" s="16" t="s">
        <v>501</v>
      </c>
    </row>
    <row r="710" spans="21:24" x14ac:dyDescent="0.45">
      <c r="U710" s="14" t="s">
        <v>126</v>
      </c>
      <c r="V710" s="14" t="s">
        <v>1256</v>
      </c>
      <c r="W710" s="14" t="s">
        <v>1252</v>
      </c>
      <c r="X710" s="14" t="s">
        <v>501</v>
      </c>
    </row>
    <row r="711" spans="21:24" x14ac:dyDescent="0.45">
      <c r="U711" s="16" t="s">
        <v>126</v>
      </c>
      <c r="V711" s="16" t="s">
        <v>1257</v>
      </c>
      <c r="W711" s="16" t="s">
        <v>1252</v>
      </c>
      <c r="X711" s="16" t="s">
        <v>501</v>
      </c>
    </row>
    <row r="712" spans="21:24" x14ac:dyDescent="0.45">
      <c r="U712" s="14" t="s">
        <v>126</v>
      </c>
      <c r="V712" s="14" t="s">
        <v>1258</v>
      </c>
      <c r="W712" s="14" t="s">
        <v>1252</v>
      </c>
      <c r="X712" s="14" t="s">
        <v>501</v>
      </c>
    </row>
    <row r="713" spans="21:24" x14ac:dyDescent="0.45">
      <c r="U713" s="16" t="s">
        <v>126</v>
      </c>
      <c r="V713" s="16" t="s">
        <v>1259</v>
      </c>
      <c r="W713" s="16" t="s">
        <v>1252</v>
      </c>
      <c r="X713" s="16" t="s">
        <v>501</v>
      </c>
    </row>
    <row r="714" spans="21:24" x14ac:dyDescent="0.45">
      <c r="U714" s="14" t="s">
        <v>126</v>
      </c>
      <c r="V714" s="14" t="s">
        <v>1260</v>
      </c>
      <c r="W714" s="14" t="s">
        <v>1252</v>
      </c>
      <c r="X714" s="14" t="s">
        <v>501</v>
      </c>
    </row>
    <row r="715" spans="21:24" x14ac:dyDescent="0.45">
      <c r="U715" s="16" t="s">
        <v>126</v>
      </c>
      <c r="V715" s="16" t="s">
        <v>1261</v>
      </c>
      <c r="W715" s="16" t="s">
        <v>1252</v>
      </c>
      <c r="X715" s="16" t="s">
        <v>501</v>
      </c>
    </row>
    <row r="716" spans="21:24" x14ac:dyDescent="0.45">
      <c r="U716" s="14" t="s">
        <v>126</v>
      </c>
      <c r="V716" s="14" t="s">
        <v>1262</v>
      </c>
      <c r="W716" s="14" t="s">
        <v>1252</v>
      </c>
      <c r="X716" s="14" t="s">
        <v>501</v>
      </c>
    </row>
    <row r="717" spans="21:24" x14ac:dyDescent="0.45">
      <c r="U717" s="16" t="s">
        <v>126</v>
      </c>
      <c r="V717" s="16" t="s">
        <v>1263</v>
      </c>
      <c r="W717" s="16" t="s">
        <v>1252</v>
      </c>
      <c r="X717" s="16" t="s">
        <v>501</v>
      </c>
    </row>
    <row r="718" spans="21:24" x14ac:dyDescent="0.45">
      <c r="U718" s="14" t="s">
        <v>126</v>
      </c>
      <c r="V718" s="14" t="s">
        <v>1264</v>
      </c>
      <c r="W718" s="14" t="s">
        <v>1252</v>
      </c>
      <c r="X718" s="14" t="s">
        <v>501</v>
      </c>
    </row>
    <row r="719" spans="21:24" x14ac:dyDescent="0.45">
      <c r="U719" s="16" t="s">
        <v>126</v>
      </c>
      <c r="V719" s="16" t="s">
        <v>1265</v>
      </c>
      <c r="W719" s="16" t="s">
        <v>1266</v>
      </c>
      <c r="X719" s="16" t="s">
        <v>501</v>
      </c>
    </row>
    <row r="720" spans="21:24" x14ac:dyDescent="0.45">
      <c r="U720" s="14" t="s">
        <v>126</v>
      </c>
      <c r="V720" s="14" t="s">
        <v>1267</v>
      </c>
      <c r="W720" s="14" t="s">
        <v>1266</v>
      </c>
      <c r="X720" s="14" t="s">
        <v>501</v>
      </c>
    </row>
    <row r="721" spans="21:24" x14ac:dyDescent="0.45">
      <c r="U721" s="16" t="s">
        <v>126</v>
      </c>
      <c r="V721" s="16" t="s">
        <v>1268</v>
      </c>
      <c r="W721" s="16" t="s">
        <v>1266</v>
      </c>
      <c r="X721" s="16" t="s">
        <v>501</v>
      </c>
    </row>
    <row r="722" spans="21:24" x14ac:dyDescent="0.45">
      <c r="U722" s="14" t="s">
        <v>126</v>
      </c>
      <c r="V722" s="14" t="s">
        <v>1269</v>
      </c>
      <c r="W722" s="14" t="s">
        <v>1266</v>
      </c>
      <c r="X722" s="14" t="s">
        <v>501</v>
      </c>
    </row>
    <row r="723" spans="21:24" x14ac:dyDescent="0.45">
      <c r="U723" s="16" t="s">
        <v>126</v>
      </c>
      <c r="V723" s="16" t="s">
        <v>1270</v>
      </c>
      <c r="W723" s="16" t="s">
        <v>1266</v>
      </c>
      <c r="X723" s="16" t="s">
        <v>501</v>
      </c>
    </row>
    <row r="724" spans="21:24" x14ac:dyDescent="0.45">
      <c r="U724" s="14" t="s">
        <v>126</v>
      </c>
      <c r="V724" s="14" t="s">
        <v>1271</v>
      </c>
      <c r="W724" s="14" t="s">
        <v>1266</v>
      </c>
      <c r="X724" s="14" t="s">
        <v>501</v>
      </c>
    </row>
    <row r="725" spans="21:24" x14ac:dyDescent="0.45">
      <c r="U725" s="16" t="s">
        <v>126</v>
      </c>
      <c r="V725" s="16" t="s">
        <v>1272</v>
      </c>
      <c r="W725" s="16" t="s">
        <v>1266</v>
      </c>
      <c r="X725" s="16" t="s">
        <v>501</v>
      </c>
    </row>
    <row r="726" spans="21:24" x14ac:dyDescent="0.45">
      <c r="U726" s="14" t="s">
        <v>126</v>
      </c>
      <c r="V726" s="14" t="s">
        <v>1273</v>
      </c>
      <c r="W726" s="14" t="s">
        <v>1266</v>
      </c>
      <c r="X726" s="14" t="s">
        <v>501</v>
      </c>
    </row>
    <row r="727" spans="21:24" x14ac:dyDescent="0.45">
      <c r="U727" s="16" t="s">
        <v>126</v>
      </c>
      <c r="V727" s="16" t="s">
        <v>1274</v>
      </c>
      <c r="W727" s="16" t="s">
        <v>1266</v>
      </c>
      <c r="X727" s="16" t="s">
        <v>501</v>
      </c>
    </row>
    <row r="728" spans="21:24" x14ac:dyDescent="0.45">
      <c r="U728" s="14" t="s">
        <v>126</v>
      </c>
      <c r="V728" s="14" t="s">
        <v>1275</v>
      </c>
      <c r="W728" s="14" t="s">
        <v>1266</v>
      </c>
      <c r="X728" s="14" t="s">
        <v>501</v>
      </c>
    </row>
    <row r="729" spans="21:24" x14ac:dyDescent="0.45">
      <c r="U729" s="16" t="s">
        <v>126</v>
      </c>
      <c r="V729" s="16" t="s">
        <v>1276</v>
      </c>
      <c r="W729" s="16" t="s">
        <v>1266</v>
      </c>
      <c r="X729" s="16" t="s">
        <v>501</v>
      </c>
    </row>
    <row r="730" spans="21:24" x14ac:dyDescent="0.45">
      <c r="U730" s="14" t="s">
        <v>126</v>
      </c>
      <c r="V730" s="14" t="s">
        <v>1277</v>
      </c>
      <c r="W730" s="14" t="s">
        <v>1266</v>
      </c>
      <c r="X730" s="14" t="s">
        <v>501</v>
      </c>
    </row>
    <row r="731" spans="21:24" x14ac:dyDescent="0.45">
      <c r="U731" s="16" t="s">
        <v>126</v>
      </c>
      <c r="V731" s="16" t="s">
        <v>1278</v>
      </c>
      <c r="W731" s="16" t="s">
        <v>1266</v>
      </c>
      <c r="X731" s="16" t="s">
        <v>501</v>
      </c>
    </row>
    <row r="732" spans="21:24" x14ac:dyDescent="0.45">
      <c r="U732" s="14" t="s">
        <v>126</v>
      </c>
      <c r="V732" s="14" t="s">
        <v>1279</v>
      </c>
      <c r="W732" s="14" t="s">
        <v>1280</v>
      </c>
      <c r="X732" s="14" t="s">
        <v>501</v>
      </c>
    </row>
    <row r="733" spans="21:24" x14ac:dyDescent="0.45">
      <c r="U733" s="16" t="s">
        <v>126</v>
      </c>
      <c r="V733" s="16" t="s">
        <v>1281</v>
      </c>
      <c r="W733" s="16" t="s">
        <v>1280</v>
      </c>
      <c r="X733" s="16" t="s">
        <v>501</v>
      </c>
    </row>
    <row r="734" spans="21:24" x14ac:dyDescent="0.45">
      <c r="U734" s="14" t="s">
        <v>126</v>
      </c>
      <c r="V734" s="14" t="s">
        <v>1282</v>
      </c>
      <c r="W734" s="14" t="s">
        <v>1280</v>
      </c>
      <c r="X734" s="14" t="s">
        <v>501</v>
      </c>
    </row>
    <row r="735" spans="21:24" x14ac:dyDescent="0.45">
      <c r="U735" s="16" t="s">
        <v>126</v>
      </c>
      <c r="V735" s="16" t="s">
        <v>1283</v>
      </c>
      <c r="W735" s="16" t="s">
        <v>1280</v>
      </c>
      <c r="X735" s="16" t="s">
        <v>501</v>
      </c>
    </row>
    <row r="736" spans="21:24" x14ac:dyDescent="0.45">
      <c r="U736" s="14" t="s">
        <v>126</v>
      </c>
      <c r="V736" s="14" t="s">
        <v>1284</v>
      </c>
      <c r="W736" s="14" t="s">
        <v>1280</v>
      </c>
      <c r="X736" s="14" t="s">
        <v>501</v>
      </c>
    </row>
    <row r="737" spans="21:24" x14ac:dyDescent="0.45">
      <c r="U737" s="16" t="s">
        <v>126</v>
      </c>
      <c r="V737" s="16" t="s">
        <v>1285</v>
      </c>
      <c r="W737" s="16" t="s">
        <v>1280</v>
      </c>
      <c r="X737" s="16" t="s">
        <v>501</v>
      </c>
    </row>
    <row r="738" spans="21:24" x14ac:dyDescent="0.45">
      <c r="U738" s="14" t="s">
        <v>126</v>
      </c>
      <c r="V738" s="14" t="s">
        <v>1286</v>
      </c>
      <c r="W738" s="14" t="s">
        <v>1280</v>
      </c>
      <c r="X738" s="14" t="s">
        <v>501</v>
      </c>
    </row>
    <row r="739" spans="21:24" x14ac:dyDescent="0.45">
      <c r="U739" s="16" t="s">
        <v>126</v>
      </c>
      <c r="V739" s="16" t="s">
        <v>1287</v>
      </c>
      <c r="W739" s="16" t="s">
        <v>1280</v>
      </c>
      <c r="X739" s="16" t="s">
        <v>501</v>
      </c>
    </row>
    <row r="740" spans="21:24" x14ac:dyDescent="0.45">
      <c r="U740" s="14" t="s">
        <v>126</v>
      </c>
      <c r="V740" s="14" t="s">
        <v>1288</v>
      </c>
      <c r="W740" s="14" t="s">
        <v>1280</v>
      </c>
      <c r="X740" s="14" t="s">
        <v>501</v>
      </c>
    </row>
    <row r="741" spans="21:24" x14ac:dyDescent="0.45">
      <c r="U741" s="16" t="s">
        <v>126</v>
      </c>
      <c r="V741" s="16" t="s">
        <v>1289</v>
      </c>
      <c r="W741" s="16" t="s">
        <v>1280</v>
      </c>
      <c r="X741" s="16" t="s">
        <v>501</v>
      </c>
    </row>
    <row r="742" spans="21:24" x14ac:dyDescent="0.45">
      <c r="U742" s="14" t="s">
        <v>126</v>
      </c>
      <c r="V742" s="14" t="s">
        <v>1290</v>
      </c>
      <c r="W742" s="14" t="s">
        <v>1280</v>
      </c>
      <c r="X742" s="14" t="s">
        <v>501</v>
      </c>
    </row>
    <row r="743" spans="21:24" x14ac:dyDescent="0.45">
      <c r="U743" s="16" t="s">
        <v>126</v>
      </c>
      <c r="V743" s="16" t="s">
        <v>1291</v>
      </c>
      <c r="W743" s="16" t="s">
        <v>1280</v>
      </c>
      <c r="X743" s="16" t="s">
        <v>501</v>
      </c>
    </row>
    <row r="744" spans="21:24" x14ac:dyDescent="0.45">
      <c r="U744" s="14" t="s">
        <v>126</v>
      </c>
      <c r="V744" s="14" t="s">
        <v>1292</v>
      </c>
      <c r="W744" s="14" t="s">
        <v>1280</v>
      </c>
      <c r="X744" s="14" t="s">
        <v>501</v>
      </c>
    </row>
    <row r="745" spans="21:24" x14ac:dyDescent="0.45">
      <c r="U745" s="16" t="s">
        <v>126</v>
      </c>
      <c r="V745" s="16" t="s">
        <v>1293</v>
      </c>
      <c r="W745" s="16" t="s">
        <v>1294</v>
      </c>
      <c r="X745" s="16" t="s">
        <v>501</v>
      </c>
    </row>
    <row r="746" spans="21:24" x14ac:dyDescent="0.45">
      <c r="U746" s="14" t="s">
        <v>126</v>
      </c>
      <c r="V746" s="14" t="s">
        <v>1295</v>
      </c>
      <c r="W746" s="14" t="s">
        <v>1294</v>
      </c>
      <c r="X746" s="14" t="s">
        <v>501</v>
      </c>
    </row>
    <row r="747" spans="21:24" x14ac:dyDescent="0.45">
      <c r="U747" s="16" t="s">
        <v>126</v>
      </c>
      <c r="V747" s="16" t="s">
        <v>1296</v>
      </c>
      <c r="W747" s="16" t="s">
        <v>1294</v>
      </c>
      <c r="X747" s="16" t="s">
        <v>501</v>
      </c>
    </row>
    <row r="748" spans="21:24" x14ac:dyDescent="0.45">
      <c r="U748" s="14" t="s">
        <v>126</v>
      </c>
      <c r="V748" s="14" t="s">
        <v>1297</v>
      </c>
      <c r="W748" s="14" t="s">
        <v>1294</v>
      </c>
      <c r="X748" s="14" t="s">
        <v>501</v>
      </c>
    </row>
    <row r="749" spans="21:24" x14ac:dyDescent="0.45">
      <c r="U749" s="16" t="s">
        <v>126</v>
      </c>
      <c r="V749" s="16" t="s">
        <v>1298</v>
      </c>
      <c r="W749" s="16" t="s">
        <v>1294</v>
      </c>
      <c r="X749" s="16" t="s">
        <v>501</v>
      </c>
    </row>
    <row r="750" spans="21:24" x14ac:dyDescent="0.45">
      <c r="U750" s="14" t="s">
        <v>126</v>
      </c>
      <c r="V750" s="14" t="s">
        <v>1299</v>
      </c>
      <c r="W750" s="14" t="s">
        <v>1294</v>
      </c>
      <c r="X750" s="14" t="s">
        <v>501</v>
      </c>
    </row>
    <row r="751" spans="21:24" x14ac:dyDescent="0.45">
      <c r="U751" s="16" t="s">
        <v>126</v>
      </c>
      <c r="V751" s="16" t="s">
        <v>1300</v>
      </c>
      <c r="W751" s="16" t="s">
        <v>1294</v>
      </c>
      <c r="X751" s="16" t="s">
        <v>501</v>
      </c>
    </row>
    <row r="752" spans="21:24" x14ac:dyDescent="0.45">
      <c r="U752" s="14" t="s">
        <v>126</v>
      </c>
      <c r="V752" s="14" t="s">
        <v>1301</v>
      </c>
      <c r="W752" s="14" t="s">
        <v>1294</v>
      </c>
      <c r="X752" s="14" t="s">
        <v>501</v>
      </c>
    </row>
    <row r="753" spans="21:24" x14ac:dyDescent="0.45">
      <c r="U753" s="16" t="s">
        <v>126</v>
      </c>
      <c r="V753" s="16" t="s">
        <v>1302</v>
      </c>
      <c r="W753" s="16" t="s">
        <v>1294</v>
      </c>
      <c r="X753" s="16" t="s">
        <v>501</v>
      </c>
    </row>
    <row r="754" spans="21:24" x14ac:dyDescent="0.45">
      <c r="U754" s="14" t="s">
        <v>126</v>
      </c>
      <c r="V754" s="14" t="s">
        <v>1303</v>
      </c>
      <c r="W754" s="14" t="s">
        <v>1294</v>
      </c>
      <c r="X754" s="14" t="s">
        <v>501</v>
      </c>
    </row>
    <row r="755" spans="21:24" x14ac:dyDescent="0.45">
      <c r="U755" s="16" t="s">
        <v>126</v>
      </c>
      <c r="V755" s="16" t="s">
        <v>1304</v>
      </c>
      <c r="W755" s="16" t="s">
        <v>1294</v>
      </c>
      <c r="X755" s="16" t="s">
        <v>501</v>
      </c>
    </row>
    <row r="756" spans="21:24" x14ac:dyDescent="0.45">
      <c r="U756" s="14" t="s">
        <v>126</v>
      </c>
      <c r="V756" s="14" t="s">
        <v>1305</v>
      </c>
      <c r="W756" s="14" t="s">
        <v>1294</v>
      </c>
      <c r="X756" s="14" t="s">
        <v>501</v>
      </c>
    </row>
    <row r="757" spans="21:24" x14ac:dyDescent="0.45">
      <c r="U757" s="16" t="s">
        <v>126</v>
      </c>
      <c r="V757" s="16" t="s">
        <v>1306</v>
      </c>
      <c r="W757" s="16" t="s">
        <v>1294</v>
      </c>
      <c r="X757" s="16" t="s">
        <v>501</v>
      </c>
    </row>
    <row r="758" spans="21:24" x14ac:dyDescent="0.45">
      <c r="U758" s="14" t="s">
        <v>126</v>
      </c>
      <c r="V758" s="14" t="s">
        <v>1307</v>
      </c>
      <c r="W758" s="14" t="s">
        <v>1308</v>
      </c>
      <c r="X758" s="14" t="s">
        <v>501</v>
      </c>
    </row>
    <row r="759" spans="21:24" x14ac:dyDescent="0.45">
      <c r="U759" s="16" t="s">
        <v>126</v>
      </c>
      <c r="V759" s="16" t="s">
        <v>1309</v>
      </c>
      <c r="W759" s="16" t="s">
        <v>1308</v>
      </c>
      <c r="X759" s="16" t="s">
        <v>501</v>
      </c>
    </row>
    <row r="760" spans="21:24" x14ac:dyDescent="0.45">
      <c r="U760" s="14" t="s">
        <v>126</v>
      </c>
      <c r="V760" s="14" t="s">
        <v>1310</v>
      </c>
      <c r="W760" s="14" t="s">
        <v>1308</v>
      </c>
      <c r="X760" s="14" t="s">
        <v>501</v>
      </c>
    </row>
    <row r="761" spans="21:24" x14ac:dyDescent="0.45">
      <c r="U761" s="16" t="s">
        <v>126</v>
      </c>
      <c r="V761" s="16" t="s">
        <v>1311</v>
      </c>
      <c r="W761" s="16" t="s">
        <v>1308</v>
      </c>
      <c r="X761" s="16" t="s">
        <v>501</v>
      </c>
    </row>
    <row r="762" spans="21:24" x14ac:dyDescent="0.45">
      <c r="U762" s="14" t="s">
        <v>126</v>
      </c>
      <c r="V762" s="14" t="s">
        <v>1312</v>
      </c>
      <c r="W762" s="14" t="s">
        <v>1308</v>
      </c>
      <c r="X762" s="14" t="s">
        <v>501</v>
      </c>
    </row>
    <row r="763" spans="21:24" x14ac:dyDescent="0.45">
      <c r="U763" s="16" t="s">
        <v>126</v>
      </c>
      <c r="V763" s="16" t="s">
        <v>1313</v>
      </c>
      <c r="W763" s="16" t="s">
        <v>1308</v>
      </c>
      <c r="X763" s="16" t="s">
        <v>501</v>
      </c>
    </row>
    <row r="764" spans="21:24" x14ac:dyDescent="0.45">
      <c r="U764" s="14" t="s">
        <v>126</v>
      </c>
      <c r="V764" s="14" t="s">
        <v>1314</v>
      </c>
      <c r="W764" s="14" t="s">
        <v>1308</v>
      </c>
      <c r="X764" s="14" t="s">
        <v>501</v>
      </c>
    </row>
    <row r="765" spans="21:24" x14ac:dyDescent="0.45">
      <c r="U765" s="16" t="s">
        <v>126</v>
      </c>
      <c r="V765" s="16" t="s">
        <v>1315</v>
      </c>
      <c r="W765" s="16" t="s">
        <v>1308</v>
      </c>
      <c r="X765" s="16" t="s">
        <v>501</v>
      </c>
    </row>
    <row r="766" spans="21:24" x14ac:dyDescent="0.45">
      <c r="U766" s="14" t="s">
        <v>126</v>
      </c>
      <c r="V766" s="14" t="s">
        <v>1316</v>
      </c>
      <c r="W766" s="14" t="s">
        <v>1308</v>
      </c>
      <c r="X766" s="14" t="s">
        <v>501</v>
      </c>
    </row>
    <row r="767" spans="21:24" x14ac:dyDescent="0.45">
      <c r="U767" s="16" t="s">
        <v>126</v>
      </c>
      <c r="V767" s="16" t="s">
        <v>1317</v>
      </c>
      <c r="W767" s="16" t="s">
        <v>1308</v>
      </c>
      <c r="X767" s="16" t="s">
        <v>501</v>
      </c>
    </row>
    <row r="768" spans="21:24" x14ac:dyDescent="0.45">
      <c r="U768" s="14" t="s">
        <v>126</v>
      </c>
      <c r="V768" s="14" t="s">
        <v>1318</v>
      </c>
      <c r="W768" s="14" t="s">
        <v>1308</v>
      </c>
      <c r="X768" s="14" t="s">
        <v>501</v>
      </c>
    </row>
    <row r="769" spans="21:24" x14ac:dyDescent="0.45">
      <c r="U769" s="16" t="s">
        <v>126</v>
      </c>
      <c r="V769" s="16" t="s">
        <v>1319</v>
      </c>
      <c r="W769" s="16" t="s">
        <v>1308</v>
      </c>
      <c r="X769" s="16" t="s">
        <v>501</v>
      </c>
    </row>
    <row r="770" spans="21:24" x14ac:dyDescent="0.45">
      <c r="U770" s="14" t="s">
        <v>126</v>
      </c>
      <c r="V770" s="14" t="s">
        <v>1320</v>
      </c>
      <c r="W770" s="14" t="s">
        <v>1308</v>
      </c>
      <c r="X770" s="14" t="s">
        <v>501</v>
      </c>
    </row>
    <row r="771" spans="21:24" x14ac:dyDescent="0.45">
      <c r="U771" s="16" t="s">
        <v>126</v>
      </c>
      <c r="V771" s="16" t="s">
        <v>1321</v>
      </c>
      <c r="W771" s="16" t="s">
        <v>1322</v>
      </c>
      <c r="X771" s="16" t="s">
        <v>501</v>
      </c>
    </row>
    <row r="772" spans="21:24" x14ac:dyDescent="0.45">
      <c r="U772" s="14" t="s">
        <v>126</v>
      </c>
      <c r="V772" s="14" t="s">
        <v>1323</v>
      </c>
      <c r="W772" s="14" t="s">
        <v>1322</v>
      </c>
      <c r="X772" s="14" t="s">
        <v>501</v>
      </c>
    </row>
    <row r="773" spans="21:24" x14ac:dyDescent="0.45">
      <c r="U773" s="16" t="s">
        <v>126</v>
      </c>
      <c r="V773" s="16" t="s">
        <v>1324</v>
      </c>
      <c r="W773" s="16" t="s">
        <v>1322</v>
      </c>
      <c r="X773" s="16" t="s">
        <v>501</v>
      </c>
    </row>
    <row r="774" spans="21:24" x14ac:dyDescent="0.45">
      <c r="U774" s="14" t="s">
        <v>126</v>
      </c>
      <c r="V774" s="14" t="s">
        <v>1325</v>
      </c>
      <c r="W774" s="14" t="s">
        <v>1322</v>
      </c>
      <c r="X774" s="14" t="s">
        <v>501</v>
      </c>
    </row>
    <row r="775" spans="21:24" x14ac:dyDescent="0.45">
      <c r="U775" s="16" t="s">
        <v>126</v>
      </c>
      <c r="V775" s="16" t="s">
        <v>1326</v>
      </c>
      <c r="W775" s="16" t="s">
        <v>1322</v>
      </c>
      <c r="X775" s="16" t="s">
        <v>501</v>
      </c>
    </row>
    <row r="776" spans="21:24" x14ac:dyDescent="0.45">
      <c r="U776" s="14" t="s">
        <v>126</v>
      </c>
      <c r="V776" s="14" t="s">
        <v>1327</v>
      </c>
      <c r="W776" s="14" t="s">
        <v>1322</v>
      </c>
      <c r="X776" s="14" t="s">
        <v>501</v>
      </c>
    </row>
    <row r="777" spans="21:24" x14ac:dyDescent="0.45">
      <c r="U777" s="16" t="s">
        <v>126</v>
      </c>
      <c r="V777" s="16" t="s">
        <v>1328</v>
      </c>
      <c r="W777" s="16" t="s">
        <v>1322</v>
      </c>
      <c r="X777" s="16" t="s">
        <v>501</v>
      </c>
    </row>
    <row r="778" spans="21:24" x14ac:dyDescent="0.45">
      <c r="U778" s="14" t="s">
        <v>126</v>
      </c>
      <c r="V778" s="14" t="s">
        <v>1329</v>
      </c>
      <c r="W778" s="14" t="s">
        <v>1322</v>
      </c>
      <c r="X778" s="14" t="s">
        <v>501</v>
      </c>
    </row>
    <row r="779" spans="21:24" x14ac:dyDescent="0.45">
      <c r="U779" s="16" t="s">
        <v>126</v>
      </c>
      <c r="V779" s="16" t="s">
        <v>1330</v>
      </c>
      <c r="W779" s="16" t="s">
        <v>1322</v>
      </c>
      <c r="X779" s="16" t="s">
        <v>501</v>
      </c>
    </row>
    <row r="780" spans="21:24" x14ac:dyDescent="0.45">
      <c r="U780" s="14" t="s">
        <v>126</v>
      </c>
      <c r="V780" s="14" t="s">
        <v>1331</v>
      </c>
      <c r="W780" s="14" t="s">
        <v>1322</v>
      </c>
      <c r="X780" s="14" t="s">
        <v>501</v>
      </c>
    </row>
    <row r="781" spans="21:24" x14ac:dyDescent="0.45">
      <c r="U781" s="16" t="s">
        <v>126</v>
      </c>
      <c r="V781" s="16" t="s">
        <v>1332</v>
      </c>
      <c r="W781" s="16" t="s">
        <v>1322</v>
      </c>
      <c r="X781" s="16" t="s">
        <v>501</v>
      </c>
    </row>
    <row r="782" spans="21:24" x14ac:dyDescent="0.45">
      <c r="U782" s="14" t="s">
        <v>126</v>
      </c>
      <c r="V782" s="14" t="s">
        <v>1333</v>
      </c>
      <c r="W782" s="14" t="s">
        <v>1322</v>
      </c>
      <c r="X782" s="14" t="s">
        <v>501</v>
      </c>
    </row>
    <row r="783" spans="21:24" x14ac:dyDescent="0.45">
      <c r="U783" s="16" t="s">
        <v>126</v>
      </c>
      <c r="V783" s="16" t="s">
        <v>1334</v>
      </c>
      <c r="W783" s="16" t="s">
        <v>1322</v>
      </c>
      <c r="X783" s="16" t="s">
        <v>501</v>
      </c>
    </row>
    <row r="784" spans="21:24" x14ac:dyDescent="0.45">
      <c r="U784" s="14" t="s">
        <v>126</v>
      </c>
      <c r="V784" s="14" t="s">
        <v>1335</v>
      </c>
      <c r="W784" s="14" t="s">
        <v>1336</v>
      </c>
      <c r="X784" s="14" t="s">
        <v>501</v>
      </c>
    </row>
    <row r="785" spans="21:24" x14ac:dyDescent="0.45">
      <c r="U785" s="16" t="s">
        <v>126</v>
      </c>
      <c r="V785" s="16" t="s">
        <v>1337</v>
      </c>
      <c r="W785" s="16" t="s">
        <v>1336</v>
      </c>
      <c r="X785" s="16" t="s">
        <v>501</v>
      </c>
    </row>
    <row r="786" spans="21:24" x14ac:dyDescent="0.45">
      <c r="U786" s="14" t="s">
        <v>126</v>
      </c>
      <c r="V786" s="14" t="s">
        <v>1338</v>
      </c>
      <c r="W786" s="14" t="s">
        <v>1336</v>
      </c>
      <c r="X786" s="14" t="s">
        <v>501</v>
      </c>
    </row>
    <row r="787" spans="21:24" x14ac:dyDescent="0.45">
      <c r="U787" s="16" t="s">
        <v>126</v>
      </c>
      <c r="V787" s="16" t="s">
        <v>1339</v>
      </c>
      <c r="W787" s="16" t="s">
        <v>1340</v>
      </c>
      <c r="X787" s="16" t="s">
        <v>501</v>
      </c>
    </row>
    <row r="788" spans="21:24" x14ac:dyDescent="0.45">
      <c r="U788" s="14" t="s">
        <v>126</v>
      </c>
      <c r="V788" s="14" t="s">
        <v>1341</v>
      </c>
      <c r="W788" s="14" t="s">
        <v>1340</v>
      </c>
      <c r="X788" s="14" t="s">
        <v>501</v>
      </c>
    </row>
    <row r="789" spans="21:24" x14ac:dyDescent="0.45">
      <c r="U789" s="16" t="s">
        <v>126</v>
      </c>
      <c r="V789" s="16" t="s">
        <v>1342</v>
      </c>
      <c r="W789" s="16" t="s">
        <v>1340</v>
      </c>
      <c r="X789" s="16" t="s">
        <v>501</v>
      </c>
    </row>
    <row r="790" spans="21:24" x14ac:dyDescent="0.45">
      <c r="U790" s="14" t="s">
        <v>126</v>
      </c>
      <c r="V790" s="14" t="s">
        <v>1343</v>
      </c>
      <c r="W790" s="14" t="s">
        <v>1344</v>
      </c>
      <c r="X790" s="14" t="s">
        <v>501</v>
      </c>
    </row>
    <row r="791" spans="21:24" x14ac:dyDescent="0.45">
      <c r="U791" s="16" t="s">
        <v>126</v>
      </c>
      <c r="V791" s="16" t="s">
        <v>1345</v>
      </c>
      <c r="W791" s="16" t="s">
        <v>1344</v>
      </c>
      <c r="X791" s="16" t="s">
        <v>501</v>
      </c>
    </row>
    <row r="792" spans="21:24" x14ac:dyDescent="0.45">
      <c r="U792" s="14" t="s">
        <v>126</v>
      </c>
      <c r="V792" s="14" t="s">
        <v>1346</v>
      </c>
      <c r="W792" s="14" t="s">
        <v>1344</v>
      </c>
      <c r="X792" s="14" t="s">
        <v>501</v>
      </c>
    </row>
    <row r="793" spans="21:24" x14ac:dyDescent="0.45">
      <c r="U793" s="16" t="s">
        <v>126</v>
      </c>
      <c r="V793" s="16" t="s">
        <v>1347</v>
      </c>
      <c r="W793" s="16" t="s">
        <v>1348</v>
      </c>
      <c r="X793" s="16" t="s">
        <v>501</v>
      </c>
    </row>
    <row r="794" spans="21:24" x14ac:dyDescent="0.45">
      <c r="U794" s="14" t="s">
        <v>126</v>
      </c>
      <c r="V794" s="14" t="s">
        <v>1349</v>
      </c>
      <c r="W794" s="14" t="s">
        <v>1348</v>
      </c>
      <c r="X794" s="14" t="s">
        <v>501</v>
      </c>
    </row>
    <row r="795" spans="21:24" x14ac:dyDescent="0.45">
      <c r="U795" s="16" t="s">
        <v>126</v>
      </c>
      <c r="V795" s="16" t="s">
        <v>1350</v>
      </c>
      <c r="W795" s="16" t="s">
        <v>1348</v>
      </c>
      <c r="X795" s="16" t="s">
        <v>501</v>
      </c>
    </row>
    <row r="796" spans="21:24" x14ac:dyDescent="0.45">
      <c r="U796" s="14" t="s">
        <v>126</v>
      </c>
      <c r="V796" s="14" t="s">
        <v>1351</v>
      </c>
      <c r="W796" s="14" t="s">
        <v>1352</v>
      </c>
      <c r="X796" s="14" t="s">
        <v>501</v>
      </c>
    </row>
    <row r="797" spans="21:24" x14ac:dyDescent="0.45">
      <c r="U797" s="16" t="s">
        <v>126</v>
      </c>
      <c r="V797" s="16" t="s">
        <v>1353</v>
      </c>
      <c r="W797" s="16" t="s">
        <v>1352</v>
      </c>
      <c r="X797" s="16" t="s">
        <v>501</v>
      </c>
    </row>
    <row r="798" spans="21:24" x14ac:dyDescent="0.45">
      <c r="U798" s="14" t="s">
        <v>126</v>
      </c>
      <c r="V798" s="14" t="s">
        <v>1354</v>
      </c>
      <c r="W798" s="14" t="s">
        <v>1352</v>
      </c>
      <c r="X798" s="14" t="s">
        <v>501</v>
      </c>
    </row>
    <row r="799" spans="21:24" x14ac:dyDescent="0.45">
      <c r="U799" s="16" t="s">
        <v>126</v>
      </c>
      <c r="V799" s="16" t="s">
        <v>1355</v>
      </c>
      <c r="W799" s="16" t="s">
        <v>1356</v>
      </c>
      <c r="X799" s="16" t="s">
        <v>501</v>
      </c>
    </row>
    <row r="800" spans="21:24" x14ac:dyDescent="0.45">
      <c r="U800" s="14" t="s">
        <v>126</v>
      </c>
      <c r="V800" s="14" t="s">
        <v>1357</v>
      </c>
      <c r="W800" s="14" t="s">
        <v>1356</v>
      </c>
      <c r="X800" s="14" t="s">
        <v>501</v>
      </c>
    </row>
    <row r="801" spans="21:24" x14ac:dyDescent="0.45">
      <c r="U801" s="16" t="s">
        <v>126</v>
      </c>
      <c r="V801" s="16" t="s">
        <v>1358</v>
      </c>
      <c r="W801" s="16" t="s">
        <v>1356</v>
      </c>
      <c r="X801" s="16" t="s">
        <v>501</v>
      </c>
    </row>
    <row r="802" spans="21:24" x14ac:dyDescent="0.45">
      <c r="U802" s="14" t="s">
        <v>126</v>
      </c>
      <c r="V802" s="14" t="s">
        <v>1359</v>
      </c>
      <c r="W802" s="14" t="s">
        <v>1112</v>
      </c>
      <c r="X802" s="14" t="s">
        <v>501</v>
      </c>
    </row>
    <row r="803" spans="21:24" x14ac:dyDescent="0.45">
      <c r="U803" s="16" t="s">
        <v>126</v>
      </c>
      <c r="V803" s="16" t="s">
        <v>1360</v>
      </c>
      <c r="W803" s="16" t="s">
        <v>1112</v>
      </c>
      <c r="X803" s="16" t="s">
        <v>501</v>
      </c>
    </row>
    <row r="804" spans="21:24" x14ac:dyDescent="0.45">
      <c r="U804" s="14" t="s">
        <v>126</v>
      </c>
      <c r="V804" s="14" t="s">
        <v>1361</v>
      </c>
      <c r="W804" s="14" t="s">
        <v>1112</v>
      </c>
      <c r="X804" s="14" t="s">
        <v>501</v>
      </c>
    </row>
    <row r="805" spans="21:24" x14ac:dyDescent="0.45">
      <c r="U805" s="16" t="s">
        <v>126</v>
      </c>
      <c r="V805" s="16" t="s">
        <v>1362</v>
      </c>
      <c r="W805" s="16" t="s">
        <v>1210</v>
      </c>
      <c r="X805" s="16" t="s">
        <v>501</v>
      </c>
    </row>
    <row r="806" spans="21:24" x14ac:dyDescent="0.45">
      <c r="U806" s="14" t="s">
        <v>126</v>
      </c>
      <c r="V806" s="14" t="s">
        <v>1363</v>
      </c>
      <c r="W806" s="14" t="s">
        <v>1210</v>
      </c>
      <c r="X806" s="14" t="s">
        <v>501</v>
      </c>
    </row>
    <row r="807" spans="21:24" x14ac:dyDescent="0.45">
      <c r="U807" s="16" t="s">
        <v>126</v>
      </c>
      <c r="V807" s="16" t="s">
        <v>1364</v>
      </c>
      <c r="W807" s="16" t="s">
        <v>1210</v>
      </c>
      <c r="X807" s="16" t="s">
        <v>501</v>
      </c>
    </row>
    <row r="808" spans="21:24" x14ac:dyDescent="0.45">
      <c r="U808" s="14" t="s">
        <v>126</v>
      </c>
      <c r="V808" s="14" t="s">
        <v>1365</v>
      </c>
      <c r="W808" s="14" t="s">
        <v>497</v>
      </c>
      <c r="X808" s="14" t="s">
        <v>501</v>
      </c>
    </row>
    <row r="809" spans="21:24" x14ac:dyDescent="0.45">
      <c r="U809" s="16" t="s">
        <v>126</v>
      </c>
      <c r="V809" s="16" t="s">
        <v>1366</v>
      </c>
      <c r="W809" s="16" t="s">
        <v>497</v>
      </c>
      <c r="X809" s="16" t="s">
        <v>501</v>
      </c>
    </row>
    <row r="810" spans="21:24" x14ac:dyDescent="0.45">
      <c r="U810" s="14" t="s">
        <v>126</v>
      </c>
      <c r="V810" s="14" t="s">
        <v>1367</v>
      </c>
      <c r="W810" s="14" t="s">
        <v>497</v>
      </c>
      <c r="X810" s="14" t="s">
        <v>501</v>
      </c>
    </row>
    <row r="811" spans="21:24" x14ac:dyDescent="0.45">
      <c r="U811" s="16" t="s">
        <v>126</v>
      </c>
      <c r="V811" s="16" t="s">
        <v>1368</v>
      </c>
      <c r="W811" s="16" t="s">
        <v>1369</v>
      </c>
      <c r="X811" s="16" t="s">
        <v>501</v>
      </c>
    </row>
    <row r="812" spans="21:24" x14ac:dyDescent="0.45">
      <c r="U812" s="14" t="s">
        <v>126</v>
      </c>
      <c r="V812" s="14" t="s">
        <v>1370</v>
      </c>
      <c r="W812" s="14" t="s">
        <v>1369</v>
      </c>
      <c r="X812" s="14" t="s">
        <v>501</v>
      </c>
    </row>
    <row r="813" spans="21:24" x14ac:dyDescent="0.45">
      <c r="U813" s="16" t="s">
        <v>126</v>
      </c>
      <c r="V813" s="16" t="s">
        <v>1371</v>
      </c>
      <c r="W813" s="16" t="s">
        <v>1369</v>
      </c>
      <c r="X813" s="16" t="s">
        <v>501</v>
      </c>
    </row>
    <row r="814" spans="21:24" x14ac:dyDescent="0.45">
      <c r="U814" s="14" t="s">
        <v>126</v>
      </c>
      <c r="V814" s="14" t="s">
        <v>1372</v>
      </c>
      <c r="W814" s="14" t="s">
        <v>500</v>
      </c>
      <c r="X814" s="14" t="s">
        <v>501</v>
      </c>
    </row>
    <row r="815" spans="21:24" x14ac:dyDescent="0.45">
      <c r="U815" s="16" t="s">
        <v>126</v>
      </c>
      <c r="V815" s="16" t="s">
        <v>1373</v>
      </c>
      <c r="W815" s="16" t="s">
        <v>500</v>
      </c>
      <c r="X815" s="16" t="s">
        <v>501</v>
      </c>
    </row>
    <row r="816" spans="21:24" x14ac:dyDescent="0.45">
      <c r="U816" s="14" t="s">
        <v>126</v>
      </c>
      <c r="V816" s="14" t="s">
        <v>1374</v>
      </c>
      <c r="W816" s="14" t="s">
        <v>515</v>
      </c>
      <c r="X816" s="14" t="s">
        <v>501</v>
      </c>
    </row>
    <row r="817" spans="21:24" x14ac:dyDescent="0.45">
      <c r="U817" s="16" t="s">
        <v>126</v>
      </c>
      <c r="V817" s="16" t="s">
        <v>1375</v>
      </c>
      <c r="W817" s="16" t="s">
        <v>515</v>
      </c>
      <c r="X817" s="16" t="s">
        <v>501</v>
      </c>
    </row>
    <row r="818" spans="21:24" x14ac:dyDescent="0.45">
      <c r="U818" s="14" t="s">
        <v>126</v>
      </c>
      <c r="V818" s="14" t="s">
        <v>1376</v>
      </c>
      <c r="W818" s="14" t="s">
        <v>493</v>
      </c>
      <c r="X818" s="14" t="s">
        <v>501</v>
      </c>
    </row>
    <row r="819" spans="21:24" x14ac:dyDescent="0.45">
      <c r="U819" s="16" t="s">
        <v>126</v>
      </c>
      <c r="V819" s="16" t="s">
        <v>1377</v>
      </c>
      <c r="W819" s="16" t="s">
        <v>493</v>
      </c>
      <c r="X819" s="16" t="s">
        <v>501</v>
      </c>
    </row>
    <row r="820" spans="21:24" x14ac:dyDescent="0.45">
      <c r="U820" s="14" t="s">
        <v>126</v>
      </c>
      <c r="V820" s="14" t="s">
        <v>1378</v>
      </c>
      <c r="W820" s="14" t="s">
        <v>542</v>
      </c>
      <c r="X820" s="14" t="s">
        <v>501</v>
      </c>
    </row>
    <row r="821" spans="21:24" x14ac:dyDescent="0.45">
      <c r="U821" s="16" t="s">
        <v>126</v>
      </c>
      <c r="V821" s="16" t="s">
        <v>1379</v>
      </c>
      <c r="W821" s="16" t="s">
        <v>542</v>
      </c>
      <c r="X821" s="16" t="s">
        <v>501</v>
      </c>
    </row>
    <row r="822" spans="21:24" x14ac:dyDescent="0.45">
      <c r="U822" s="14" t="s">
        <v>126</v>
      </c>
      <c r="V822" s="14" t="s">
        <v>1380</v>
      </c>
      <c r="W822" s="14" t="s">
        <v>556</v>
      </c>
      <c r="X822" s="14" t="s">
        <v>501</v>
      </c>
    </row>
    <row r="823" spans="21:24" x14ac:dyDescent="0.45">
      <c r="U823" s="16" t="s">
        <v>126</v>
      </c>
      <c r="V823" s="16" t="s">
        <v>1381</v>
      </c>
      <c r="W823" s="16" t="s">
        <v>556</v>
      </c>
      <c r="X823" s="16" t="s">
        <v>501</v>
      </c>
    </row>
    <row r="824" spans="21:24" x14ac:dyDescent="0.45">
      <c r="U824" s="14" t="s">
        <v>126</v>
      </c>
      <c r="V824" s="14" t="s">
        <v>1382</v>
      </c>
      <c r="W824" s="14" t="s">
        <v>570</v>
      </c>
      <c r="X824" s="14" t="s">
        <v>501</v>
      </c>
    </row>
    <row r="825" spans="21:24" x14ac:dyDescent="0.45">
      <c r="U825" s="16" t="s">
        <v>126</v>
      </c>
      <c r="V825" s="16" t="s">
        <v>1383</v>
      </c>
      <c r="W825" s="16" t="s">
        <v>570</v>
      </c>
      <c r="X825" s="16" t="s">
        <v>501</v>
      </c>
    </row>
    <row r="826" spans="21:24" x14ac:dyDescent="0.45">
      <c r="U826" s="14" t="s">
        <v>126</v>
      </c>
      <c r="V826" s="14" t="s">
        <v>1384</v>
      </c>
      <c r="W826" s="14" t="s">
        <v>584</v>
      </c>
      <c r="X826" s="14" t="s">
        <v>501</v>
      </c>
    </row>
    <row r="827" spans="21:24" x14ac:dyDescent="0.45">
      <c r="U827" s="16" t="s">
        <v>126</v>
      </c>
      <c r="V827" s="16" t="s">
        <v>1385</v>
      </c>
      <c r="W827" s="16" t="s">
        <v>584</v>
      </c>
      <c r="X827" s="16" t="s">
        <v>501</v>
      </c>
    </row>
    <row r="828" spans="21:24" x14ac:dyDescent="0.45">
      <c r="U828" s="14" t="s">
        <v>126</v>
      </c>
      <c r="V828" s="14" t="s">
        <v>1386</v>
      </c>
      <c r="W828" s="14" t="s">
        <v>598</v>
      </c>
      <c r="X828" s="14" t="s">
        <v>501</v>
      </c>
    </row>
    <row r="829" spans="21:24" x14ac:dyDescent="0.45">
      <c r="U829" s="16" t="s">
        <v>126</v>
      </c>
      <c r="V829" s="16" t="s">
        <v>1387</v>
      </c>
      <c r="W829" s="16" t="s">
        <v>598</v>
      </c>
      <c r="X829" s="16" t="s">
        <v>501</v>
      </c>
    </row>
    <row r="830" spans="21:24" x14ac:dyDescent="0.45">
      <c r="U830" s="14" t="s">
        <v>126</v>
      </c>
      <c r="V830" s="14" t="s">
        <v>1388</v>
      </c>
      <c r="W830" s="14" t="s">
        <v>484</v>
      </c>
      <c r="X830" s="14" t="s">
        <v>501</v>
      </c>
    </row>
    <row r="831" spans="21:24" x14ac:dyDescent="0.45">
      <c r="U831" s="16" t="s">
        <v>126</v>
      </c>
      <c r="V831" s="16" t="s">
        <v>1389</v>
      </c>
      <c r="W831" s="16" t="s">
        <v>484</v>
      </c>
      <c r="X831" s="16" t="s">
        <v>501</v>
      </c>
    </row>
    <row r="832" spans="21:24" x14ac:dyDescent="0.45">
      <c r="U832" s="14" t="s">
        <v>126</v>
      </c>
      <c r="V832" s="14" t="s">
        <v>1390</v>
      </c>
      <c r="W832" s="14" t="s">
        <v>625</v>
      </c>
      <c r="X832" s="14" t="s">
        <v>501</v>
      </c>
    </row>
    <row r="833" spans="21:24" x14ac:dyDescent="0.45">
      <c r="U833" s="16" t="s">
        <v>126</v>
      </c>
      <c r="V833" s="16" t="s">
        <v>1391</v>
      </c>
      <c r="W833" s="16" t="s">
        <v>625</v>
      </c>
      <c r="X833" s="16" t="s">
        <v>501</v>
      </c>
    </row>
    <row r="834" spans="21:24" x14ac:dyDescent="0.45">
      <c r="U834" s="14" t="s">
        <v>126</v>
      </c>
      <c r="V834" s="14" t="s">
        <v>1392</v>
      </c>
      <c r="W834" s="14" t="s">
        <v>639</v>
      </c>
      <c r="X834" s="14" t="s">
        <v>501</v>
      </c>
    </row>
    <row r="835" spans="21:24" x14ac:dyDescent="0.45">
      <c r="U835" s="16" t="s">
        <v>126</v>
      </c>
      <c r="V835" s="16" t="s">
        <v>1393</v>
      </c>
      <c r="W835" s="16" t="s">
        <v>639</v>
      </c>
      <c r="X835" s="16" t="s">
        <v>501</v>
      </c>
    </row>
    <row r="836" spans="21:24" x14ac:dyDescent="0.45">
      <c r="U836" s="14" t="s">
        <v>126</v>
      </c>
      <c r="V836" s="14" t="s">
        <v>1394</v>
      </c>
      <c r="W836" s="14" t="s">
        <v>653</v>
      </c>
      <c r="X836" s="14" t="s">
        <v>501</v>
      </c>
    </row>
    <row r="837" spans="21:24" x14ac:dyDescent="0.45">
      <c r="U837" s="16" t="s">
        <v>126</v>
      </c>
      <c r="V837" s="16" t="s">
        <v>1395</v>
      </c>
      <c r="W837" s="16" t="s">
        <v>653</v>
      </c>
      <c r="X837" s="16" t="s">
        <v>501</v>
      </c>
    </row>
    <row r="838" spans="21:24" x14ac:dyDescent="0.45">
      <c r="U838" s="14" t="s">
        <v>126</v>
      </c>
      <c r="V838" s="14" t="s">
        <v>1396</v>
      </c>
      <c r="W838" s="14" t="s">
        <v>667</v>
      </c>
      <c r="X838" s="14" t="s">
        <v>501</v>
      </c>
    </row>
    <row r="839" spans="21:24" x14ac:dyDescent="0.45">
      <c r="U839" s="16" t="s">
        <v>126</v>
      </c>
      <c r="V839" s="16" t="s">
        <v>1397</v>
      </c>
      <c r="W839" s="16" t="s">
        <v>667</v>
      </c>
      <c r="X839" s="16" t="s">
        <v>501</v>
      </c>
    </row>
    <row r="840" spans="21:24" x14ac:dyDescent="0.45">
      <c r="U840" s="14" t="s">
        <v>126</v>
      </c>
      <c r="V840" s="14" t="s">
        <v>1398</v>
      </c>
      <c r="W840" s="14" t="s">
        <v>681</v>
      </c>
      <c r="X840" s="14" t="s">
        <v>501</v>
      </c>
    </row>
    <row r="841" spans="21:24" x14ac:dyDescent="0.45">
      <c r="U841" s="16" t="s">
        <v>126</v>
      </c>
      <c r="V841" s="16" t="s">
        <v>1399</v>
      </c>
      <c r="W841" s="16" t="s">
        <v>681</v>
      </c>
      <c r="X841" s="16" t="s">
        <v>501</v>
      </c>
    </row>
    <row r="842" spans="21:24" x14ac:dyDescent="0.45">
      <c r="U842" s="14" t="s">
        <v>126</v>
      </c>
      <c r="V842" s="14" t="s">
        <v>1400</v>
      </c>
      <c r="W842" s="14" t="s">
        <v>695</v>
      </c>
      <c r="X842" s="14" t="s">
        <v>501</v>
      </c>
    </row>
    <row r="843" spans="21:24" x14ac:dyDescent="0.45">
      <c r="U843" s="16" t="s">
        <v>126</v>
      </c>
      <c r="V843" s="16" t="s">
        <v>1401</v>
      </c>
      <c r="W843" s="16" t="s">
        <v>695</v>
      </c>
      <c r="X843" s="16" t="s">
        <v>501</v>
      </c>
    </row>
    <row r="844" spans="21:24" x14ac:dyDescent="0.45">
      <c r="U844" s="14" t="s">
        <v>126</v>
      </c>
      <c r="V844" s="14" t="s">
        <v>1402</v>
      </c>
      <c r="W844" s="14" t="s">
        <v>709</v>
      </c>
      <c r="X844" s="14" t="s">
        <v>501</v>
      </c>
    </row>
    <row r="845" spans="21:24" x14ac:dyDescent="0.45">
      <c r="U845" s="16" t="s">
        <v>126</v>
      </c>
      <c r="V845" s="16" t="s">
        <v>1403</v>
      </c>
      <c r="W845" s="16" t="s">
        <v>709</v>
      </c>
      <c r="X845" s="16" t="s">
        <v>501</v>
      </c>
    </row>
    <row r="846" spans="21:24" x14ac:dyDescent="0.45">
      <c r="U846" s="14" t="s">
        <v>126</v>
      </c>
      <c r="V846" s="14" t="s">
        <v>1404</v>
      </c>
      <c r="W846" s="14" t="s">
        <v>723</v>
      </c>
      <c r="X846" s="14" t="s">
        <v>501</v>
      </c>
    </row>
    <row r="847" spans="21:24" x14ac:dyDescent="0.45">
      <c r="U847" s="16" t="s">
        <v>126</v>
      </c>
      <c r="V847" s="16" t="s">
        <v>1405</v>
      </c>
      <c r="W847" s="16" t="s">
        <v>723</v>
      </c>
      <c r="X847" s="16" t="s">
        <v>501</v>
      </c>
    </row>
    <row r="848" spans="21:24" x14ac:dyDescent="0.45">
      <c r="U848" s="14" t="s">
        <v>126</v>
      </c>
      <c r="V848" s="14" t="s">
        <v>1406</v>
      </c>
      <c r="W848" s="14" t="s">
        <v>737</v>
      </c>
      <c r="X848" s="14" t="s">
        <v>501</v>
      </c>
    </row>
    <row r="849" spans="21:24" x14ac:dyDescent="0.45">
      <c r="U849" s="16" t="s">
        <v>126</v>
      </c>
      <c r="V849" s="16" t="s">
        <v>1407</v>
      </c>
      <c r="W849" s="16" t="s">
        <v>737</v>
      </c>
      <c r="X849" s="16" t="s">
        <v>501</v>
      </c>
    </row>
    <row r="850" spans="21:24" x14ac:dyDescent="0.45">
      <c r="U850" s="14" t="s">
        <v>126</v>
      </c>
      <c r="V850" s="14" t="s">
        <v>1408</v>
      </c>
      <c r="W850" s="14" t="s">
        <v>751</v>
      </c>
      <c r="X850" s="14" t="s">
        <v>501</v>
      </c>
    </row>
    <row r="851" spans="21:24" x14ac:dyDescent="0.45">
      <c r="U851" s="16" t="s">
        <v>126</v>
      </c>
      <c r="V851" s="16" t="s">
        <v>1409</v>
      </c>
      <c r="W851" s="16" t="s">
        <v>751</v>
      </c>
      <c r="X851" s="16" t="s">
        <v>501</v>
      </c>
    </row>
    <row r="852" spans="21:24" x14ac:dyDescent="0.45">
      <c r="U852" s="14" t="s">
        <v>126</v>
      </c>
      <c r="V852" s="14" t="s">
        <v>1410</v>
      </c>
      <c r="W852" s="14" t="s">
        <v>485</v>
      </c>
      <c r="X852" s="14" t="s">
        <v>501</v>
      </c>
    </row>
    <row r="853" spans="21:24" x14ac:dyDescent="0.45">
      <c r="U853" s="16" t="s">
        <v>126</v>
      </c>
      <c r="V853" s="16" t="s">
        <v>1411</v>
      </c>
      <c r="W853" s="16" t="s">
        <v>485</v>
      </c>
      <c r="X853" s="16" t="s">
        <v>501</v>
      </c>
    </row>
    <row r="854" spans="21:24" x14ac:dyDescent="0.45">
      <c r="U854" s="14" t="s">
        <v>126</v>
      </c>
      <c r="V854" s="14" t="s">
        <v>1412</v>
      </c>
      <c r="W854" s="14" t="s">
        <v>778</v>
      </c>
      <c r="X854" s="14" t="s">
        <v>501</v>
      </c>
    </row>
    <row r="855" spans="21:24" x14ac:dyDescent="0.45">
      <c r="U855" s="16" t="s">
        <v>126</v>
      </c>
      <c r="V855" s="16" t="s">
        <v>1413</v>
      </c>
      <c r="W855" s="16" t="s">
        <v>778</v>
      </c>
      <c r="X855" s="16" t="s">
        <v>501</v>
      </c>
    </row>
    <row r="856" spans="21:24" x14ac:dyDescent="0.45">
      <c r="U856" s="14" t="s">
        <v>126</v>
      </c>
      <c r="V856" s="14" t="s">
        <v>1414</v>
      </c>
      <c r="W856" s="14" t="s">
        <v>792</v>
      </c>
      <c r="X856" s="14" t="s">
        <v>501</v>
      </c>
    </row>
    <row r="857" spans="21:24" x14ac:dyDescent="0.45">
      <c r="U857" s="16" t="s">
        <v>126</v>
      </c>
      <c r="V857" s="16" t="s">
        <v>1415</v>
      </c>
      <c r="W857" s="16" t="s">
        <v>792</v>
      </c>
      <c r="X857" s="16" t="s">
        <v>501</v>
      </c>
    </row>
    <row r="858" spans="21:24" x14ac:dyDescent="0.45">
      <c r="U858" s="14" t="s">
        <v>126</v>
      </c>
      <c r="V858" s="14" t="s">
        <v>1416</v>
      </c>
      <c r="W858" s="14" t="s">
        <v>806</v>
      </c>
      <c r="X858" s="14" t="s">
        <v>501</v>
      </c>
    </row>
    <row r="859" spans="21:24" x14ac:dyDescent="0.45">
      <c r="U859" s="16" t="s">
        <v>126</v>
      </c>
      <c r="V859" s="16" t="s">
        <v>1417</v>
      </c>
      <c r="W859" s="16" t="s">
        <v>806</v>
      </c>
      <c r="X859" s="16" t="s">
        <v>501</v>
      </c>
    </row>
    <row r="860" spans="21:24" x14ac:dyDescent="0.45">
      <c r="U860" s="14" t="s">
        <v>126</v>
      </c>
      <c r="V860" s="14" t="s">
        <v>1418</v>
      </c>
      <c r="W860" s="14" t="s">
        <v>820</v>
      </c>
      <c r="X860" s="14" t="s">
        <v>501</v>
      </c>
    </row>
    <row r="861" spans="21:24" x14ac:dyDescent="0.45">
      <c r="U861" s="16" t="s">
        <v>126</v>
      </c>
      <c r="V861" s="16" t="s">
        <v>1419</v>
      </c>
      <c r="W861" s="16" t="s">
        <v>820</v>
      </c>
      <c r="X861" s="16" t="s">
        <v>501</v>
      </c>
    </row>
    <row r="862" spans="21:24" x14ac:dyDescent="0.45">
      <c r="U862" s="14" t="s">
        <v>126</v>
      </c>
      <c r="V862" s="14" t="s">
        <v>1420</v>
      </c>
      <c r="W862" s="14" t="s">
        <v>834</v>
      </c>
      <c r="X862" s="14" t="s">
        <v>501</v>
      </c>
    </row>
    <row r="863" spans="21:24" x14ac:dyDescent="0.45">
      <c r="U863" s="16" t="s">
        <v>126</v>
      </c>
      <c r="V863" s="16" t="s">
        <v>1421</v>
      </c>
      <c r="W863" s="16" t="s">
        <v>834</v>
      </c>
      <c r="X863" s="16" t="s">
        <v>501</v>
      </c>
    </row>
    <row r="864" spans="21:24" x14ac:dyDescent="0.45">
      <c r="U864" s="14" t="s">
        <v>126</v>
      </c>
      <c r="V864" s="14" t="s">
        <v>1422</v>
      </c>
      <c r="W864" s="14" t="s">
        <v>488</v>
      </c>
      <c r="X864" s="14" t="s">
        <v>501</v>
      </c>
    </row>
    <row r="865" spans="21:24" x14ac:dyDescent="0.45">
      <c r="U865" s="16" t="s">
        <v>126</v>
      </c>
      <c r="V865" s="16" t="s">
        <v>1423</v>
      </c>
      <c r="W865" s="16" t="s">
        <v>488</v>
      </c>
      <c r="X865" s="16" t="s">
        <v>501</v>
      </c>
    </row>
    <row r="866" spans="21:24" x14ac:dyDescent="0.45">
      <c r="U866" s="14" t="s">
        <v>126</v>
      </c>
      <c r="V866" s="14" t="s">
        <v>1424</v>
      </c>
      <c r="W866" s="14" t="s">
        <v>861</v>
      </c>
      <c r="X866" s="14" t="s">
        <v>501</v>
      </c>
    </row>
    <row r="867" spans="21:24" x14ac:dyDescent="0.45">
      <c r="U867" s="16" t="s">
        <v>126</v>
      </c>
      <c r="V867" s="16" t="s">
        <v>1425</v>
      </c>
      <c r="W867" s="16" t="s">
        <v>861</v>
      </c>
      <c r="X867" s="16" t="s">
        <v>501</v>
      </c>
    </row>
    <row r="868" spans="21:24" x14ac:dyDescent="0.45">
      <c r="U868" s="14" t="s">
        <v>126</v>
      </c>
      <c r="V868" s="14" t="s">
        <v>1426</v>
      </c>
      <c r="W868" s="14" t="s">
        <v>875</v>
      </c>
      <c r="X868" s="14" t="s">
        <v>501</v>
      </c>
    </row>
    <row r="869" spans="21:24" x14ac:dyDescent="0.45">
      <c r="U869" s="16" t="s">
        <v>126</v>
      </c>
      <c r="V869" s="16" t="s">
        <v>1427</v>
      </c>
      <c r="W869" s="16" t="s">
        <v>875</v>
      </c>
      <c r="X869" s="16" t="s">
        <v>501</v>
      </c>
    </row>
    <row r="870" spans="21:24" x14ac:dyDescent="0.45">
      <c r="U870" s="14" t="s">
        <v>126</v>
      </c>
      <c r="V870" s="14" t="s">
        <v>1428</v>
      </c>
      <c r="W870" s="14" t="s">
        <v>889</v>
      </c>
      <c r="X870" s="14" t="s">
        <v>501</v>
      </c>
    </row>
    <row r="871" spans="21:24" x14ac:dyDescent="0.45">
      <c r="U871" s="16" t="s">
        <v>126</v>
      </c>
      <c r="V871" s="16" t="s">
        <v>1429</v>
      </c>
      <c r="W871" s="16" t="s">
        <v>889</v>
      </c>
      <c r="X871" s="16" t="s">
        <v>501</v>
      </c>
    </row>
    <row r="872" spans="21:24" x14ac:dyDescent="0.45">
      <c r="U872" s="14" t="s">
        <v>126</v>
      </c>
      <c r="V872" s="14" t="s">
        <v>1430</v>
      </c>
      <c r="W872" s="14" t="s">
        <v>903</v>
      </c>
      <c r="X872" s="14" t="s">
        <v>501</v>
      </c>
    </row>
    <row r="873" spans="21:24" x14ac:dyDescent="0.45">
      <c r="U873" s="16" t="s">
        <v>126</v>
      </c>
      <c r="V873" s="16" t="s">
        <v>1431</v>
      </c>
      <c r="W873" s="16" t="s">
        <v>903</v>
      </c>
      <c r="X873" s="16" t="s">
        <v>501</v>
      </c>
    </row>
    <row r="874" spans="21:24" x14ac:dyDescent="0.45">
      <c r="U874" s="14" t="s">
        <v>126</v>
      </c>
      <c r="V874" s="14" t="s">
        <v>1432</v>
      </c>
      <c r="W874" s="14" t="s">
        <v>917</v>
      </c>
      <c r="X874" s="14" t="s">
        <v>501</v>
      </c>
    </row>
    <row r="875" spans="21:24" x14ac:dyDescent="0.45">
      <c r="U875" s="16" t="s">
        <v>126</v>
      </c>
      <c r="V875" s="16" t="s">
        <v>1433</v>
      </c>
      <c r="W875" s="16" t="s">
        <v>917</v>
      </c>
      <c r="X875" s="16" t="s">
        <v>501</v>
      </c>
    </row>
    <row r="876" spans="21:24" x14ac:dyDescent="0.45">
      <c r="U876" s="14" t="s">
        <v>126</v>
      </c>
      <c r="V876" s="14" t="s">
        <v>1434</v>
      </c>
      <c r="W876" s="14" t="s">
        <v>931</v>
      </c>
      <c r="X876" s="14" t="s">
        <v>501</v>
      </c>
    </row>
    <row r="877" spans="21:24" x14ac:dyDescent="0.45">
      <c r="U877" s="16" t="s">
        <v>126</v>
      </c>
      <c r="V877" s="16" t="s">
        <v>1435</v>
      </c>
      <c r="W877" s="16" t="s">
        <v>931</v>
      </c>
      <c r="X877" s="16" t="s">
        <v>501</v>
      </c>
    </row>
    <row r="878" spans="21:24" x14ac:dyDescent="0.45">
      <c r="U878" s="14" t="s">
        <v>126</v>
      </c>
      <c r="V878" s="14" t="s">
        <v>1436</v>
      </c>
      <c r="W878" s="14" t="s">
        <v>945</v>
      </c>
      <c r="X878" s="14" t="s">
        <v>501</v>
      </c>
    </row>
    <row r="879" spans="21:24" x14ac:dyDescent="0.45">
      <c r="U879" s="16" t="s">
        <v>126</v>
      </c>
      <c r="V879" s="16" t="s">
        <v>1437</v>
      </c>
      <c r="W879" s="16" t="s">
        <v>945</v>
      </c>
      <c r="X879" s="16" t="s">
        <v>501</v>
      </c>
    </row>
    <row r="880" spans="21:24" x14ac:dyDescent="0.45">
      <c r="U880" s="14" t="s">
        <v>126</v>
      </c>
      <c r="V880" s="14" t="s">
        <v>1438</v>
      </c>
      <c r="W880" s="14" t="s">
        <v>959</v>
      </c>
      <c r="X880" s="14" t="s">
        <v>501</v>
      </c>
    </row>
    <row r="881" spans="21:24" x14ac:dyDescent="0.45">
      <c r="U881" s="16" t="s">
        <v>126</v>
      </c>
      <c r="V881" s="16" t="s">
        <v>1439</v>
      </c>
      <c r="W881" s="16" t="s">
        <v>959</v>
      </c>
      <c r="X881" s="16" t="s">
        <v>501</v>
      </c>
    </row>
    <row r="882" spans="21:24" x14ac:dyDescent="0.45">
      <c r="U882" s="14" t="s">
        <v>126</v>
      </c>
      <c r="V882" s="14" t="s">
        <v>1440</v>
      </c>
      <c r="W882" s="14" t="s">
        <v>973</v>
      </c>
      <c r="X882" s="14" t="s">
        <v>501</v>
      </c>
    </row>
    <row r="883" spans="21:24" x14ac:dyDescent="0.45">
      <c r="U883" s="16" t="s">
        <v>126</v>
      </c>
      <c r="V883" s="16" t="s">
        <v>1441</v>
      </c>
      <c r="W883" s="16" t="s">
        <v>973</v>
      </c>
      <c r="X883" s="16" t="s">
        <v>501</v>
      </c>
    </row>
    <row r="884" spans="21:24" x14ac:dyDescent="0.45">
      <c r="U884" s="14" t="s">
        <v>126</v>
      </c>
      <c r="V884" s="14" t="s">
        <v>1442</v>
      </c>
      <c r="W884" s="14" t="s">
        <v>987</v>
      </c>
      <c r="X884" s="14" t="s">
        <v>501</v>
      </c>
    </row>
    <row r="885" spans="21:24" x14ac:dyDescent="0.45">
      <c r="U885" s="16" t="s">
        <v>126</v>
      </c>
      <c r="V885" s="16" t="s">
        <v>1443</v>
      </c>
      <c r="W885" s="16" t="s">
        <v>987</v>
      </c>
      <c r="X885" s="16" t="s">
        <v>501</v>
      </c>
    </row>
    <row r="886" spans="21:24" x14ac:dyDescent="0.45">
      <c r="U886" s="14" t="s">
        <v>126</v>
      </c>
      <c r="V886" s="14" t="s">
        <v>1444</v>
      </c>
      <c r="W886" s="14" t="s">
        <v>1001</v>
      </c>
      <c r="X886" s="14" t="s">
        <v>501</v>
      </c>
    </row>
    <row r="887" spans="21:24" x14ac:dyDescent="0.45">
      <c r="U887" s="16" t="s">
        <v>126</v>
      </c>
      <c r="V887" s="16" t="s">
        <v>1445</v>
      </c>
      <c r="W887" s="16" t="s">
        <v>1001</v>
      </c>
      <c r="X887" s="16" t="s">
        <v>501</v>
      </c>
    </row>
    <row r="888" spans="21:24" x14ac:dyDescent="0.45">
      <c r="U888" s="14" t="s">
        <v>126</v>
      </c>
      <c r="V888" s="14" t="s">
        <v>1446</v>
      </c>
      <c r="W888" s="14" t="s">
        <v>1015</v>
      </c>
      <c r="X888" s="14" t="s">
        <v>501</v>
      </c>
    </row>
    <row r="889" spans="21:24" x14ac:dyDescent="0.45">
      <c r="U889" s="16" t="s">
        <v>126</v>
      </c>
      <c r="V889" s="16" t="s">
        <v>1447</v>
      </c>
      <c r="W889" s="16" t="s">
        <v>1015</v>
      </c>
      <c r="X889" s="16" t="s">
        <v>501</v>
      </c>
    </row>
    <row r="890" spans="21:24" x14ac:dyDescent="0.45">
      <c r="U890" s="14" t="s">
        <v>126</v>
      </c>
      <c r="V890" s="14" t="s">
        <v>1448</v>
      </c>
      <c r="W890" s="14" t="s">
        <v>495</v>
      </c>
      <c r="X890" s="14" t="s">
        <v>501</v>
      </c>
    </row>
    <row r="891" spans="21:24" x14ac:dyDescent="0.45">
      <c r="U891" s="16" t="s">
        <v>126</v>
      </c>
      <c r="V891" s="16" t="s">
        <v>1449</v>
      </c>
      <c r="W891" s="16" t="s">
        <v>495</v>
      </c>
      <c r="X891" s="16" t="s">
        <v>501</v>
      </c>
    </row>
    <row r="892" spans="21:24" x14ac:dyDescent="0.45">
      <c r="U892" s="14" t="s">
        <v>126</v>
      </c>
      <c r="V892" s="14" t="s">
        <v>1450</v>
      </c>
      <c r="W892" s="14" t="s">
        <v>1042</v>
      </c>
      <c r="X892" s="14" t="s">
        <v>501</v>
      </c>
    </row>
    <row r="893" spans="21:24" x14ac:dyDescent="0.45">
      <c r="U893" s="16" t="s">
        <v>126</v>
      </c>
      <c r="V893" s="16" t="s">
        <v>1451</v>
      </c>
      <c r="W893" s="16" t="s">
        <v>1042</v>
      </c>
      <c r="X893" s="16" t="s">
        <v>501</v>
      </c>
    </row>
    <row r="894" spans="21:24" x14ac:dyDescent="0.45">
      <c r="U894" s="14" t="s">
        <v>126</v>
      </c>
      <c r="V894" s="14" t="s">
        <v>1452</v>
      </c>
      <c r="W894" s="14" t="s">
        <v>1056</v>
      </c>
      <c r="X894" s="14" t="s">
        <v>501</v>
      </c>
    </row>
    <row r="895" spans="21:24" x14ac:dyDescent="0.45">
      <c r="U895" s="16" t="s">
        <v>126</v>
      </c>
      <c r="V895" s="16" t="s">
        <v>1453</v>
      </c>
      <c r="W895" s="16" t="s">
        <v>1056</v>
      </c>
      <c r="X895" s="16" t="s">
        <v>501</v>
      </c>
    </row>
    <row r="896" spans="21:24" x14ac:dyDescent="0.45">
      <c r="U896" s="14" t="s">
        <v>126</v>
      </c>
      <c r="V896" s="14" t="s">
        <v>1454</v>
      </c>
      <c r="W896" s="14" t="s">
        <v>1070</v>
      </c>
      <c r="X896" s="14" t="s">
        <v>501</v>
      </c>
    </row>
    <row r="897" spans="21:24" x14ac:dyDescent="0.45">
      <c r="U897" s="16" t="s">
        <v>126</v>
      </c>
      <c r="V897" s="16" t="s">
        <v>1455</v>
      </c>
      <c r="W897" s="16" t="s">
        <v>1070</v>
      </c>
      <c r="X897" s="16" t="s">
        <v>501</v>
      </c>
    </row>
    <row r="898" spans="21:24" x14ac:dyDescent="0.45">
      <c r="U898" s="14" t="s">
        <v>126</v>
      </c>
      <c r="V898" s="14" t="s">
        <v>1456</v>
      </c>
      <c r="W898" s="14" t="s">
        <v>1084</v>
      </c>
      <c r="X898" s="14" t="s">
        <v>501</v>
      </c>
    </row>
    <row r="899" spans="21:24" x14ac:dyDescent="0.45">
      <c r="U899" s="16" t="s">
        <v>126</v>
      </c>
      <c r="V899" s="16" t="s">
        <v>1457</v>
      </c>
      <c r="W899" s="16" t="s">
        <v>1084</v>
      </c>
      <c r="X899" s="16" t="s">
        <v>501</v>
      </c>
    </row>
    <row r="900" spans="21:24" x14ac:dyDescent="0.45">
      <c r="U900" s="14" t="s">
        <v>126</v>
      </c>
      <c r="V900" s="14" t="s">
        <v>1458</v>
      </c>
      <c r="W900" s="14" t="s">
        <v>1098</v>
      </c>
      <c r="X900" s="14" t="s">
        <v>501</v>
      </c>
    </row>
    <row r="901" spans="21:24" x14ac:dyDescent="0.45">
      <c r="U901" s="16" t="s">
        <v>126</v>
      </c>
      <c r="V901" s="16" t="s">
        <v>1459</v>
      </c>
      <c r="W901" s="16" t="s">
        <v>1098</v>
      </c>
      <c r="X901" s="16" t="s">
        <v>501</v>
      </c>
    </row>
    <row r="902" spans="21:24" x14ac:dyDescent="0.45">
      <c r="U902" s="14" t="s">
        <v>126</v>
      </c>
      <c r="V902" s="14" t="s">
        <v>1460</v>
      </c>
      <c r="W902" s="14" t="s">
        <v>1112</v>
      </c>
      <c r="X902" s="14" t="s">
        <v>501</v>
      </c>
    </row>
    <row r="903" spans="21:24" x14ac:dyDescent="0.45">
      <c r="U903" s="16" t="s">
        <v>126</v>
      </c>
      <c r="V903" s="16" t="s">
        <v>1461</v>
      </c>
      <c r="W903" s="16" t="s">
        <v>1112</v>
      </c>
      <c r="X903" s="16" t="s">
        <v>501</v>
      </c>
    </row>
    <row r="904" spans="21:24" x14ac:dyDescent="0.45">
      <c r="U904" s="14" t="s">
        <v>126</v>
      </c>
      <c r="V904" s="14" t="s">
        <v>1462</v>
      </c>
      <c r="W904" s="14" t="s">
        <v>1126</v>
      </c>
      <c r="X904" s="14" t="s">
        <v>501</v>
      </c>
    </row>
    <row r="905" spans="21:24" x14ac:dyDescent="0.45">
      <c r="U905" s="16" t="s">
        <v>126</v>
      </c>
      <c r="V905" s="16" t="s">
        <v>1463</v>
      </c>
      <c r="W905" s="16" t="s">
        <v>1126</v>
      </c>
      <c r="X905" s="16" t="s">
        <v>501</v>
      </c>
    </row>
    <row r="906" spans="21:24" x14ac:dyDescent="0.45">
      <c r="U906" s="14" t="s">
        <v>126</v>
      </c>
      <c r="V906" s="14" t="s">
        <v>1464</v>
      </c>
      <c r="W906" s="14" t="s">
        <v>1140</v>
      </c>
      <c r="X906" s="14" t="s">
        <v>501</v>
      </c>
    </row>
    <row r="907" spans="21:24" x14ac:dyDescent="0.45">
      <c r="U907" s="16" t="s">
        <v>126</v>
      </c>
      <c r="V907" s="16" t="s">
        <v>1465</v>
      </c>
      <c r="W907" s="16" t="s">
        <v>1140</v>
      </c>
      <c r="X907" s="16" t="s">
        <v>501</v>
      </c>
    </row>
    <row r="908" spans="21:24" x14ac:dyDescent="0.45">
      <c r="U908" s="14" t="s">
        <v>126</v>
      </c>
      <c r="V908" s="14" t="s">
        <v>1466</v>
      </c>
      <c r="W908" s="14" t="s">
        <v>1154</v>
      </c>
      <c r="X908" s="14" t="s">
        <v>501</v>
      </c>
    </row>
    <row r="909" spans="21:24" x14ac:dyDescent="0.45">
      <c r="U909" s="16" t="s">
        <v>126</v>
      </c>
      <c r="V909" s="16" t="s">
        <v>1467</v>
      </c>
      <c r="W909" s="16" t="s">
        <v>1154</v>
      </c>
      <c r="X909" s="16" t="s">
        <v>501</v>
      </c>
    </row>
    <row r="910" spans="21:24" x14ac:dyDescent="0.45">
      <c r="U910" s="14" t="s">
        <v>126</v>
      </c>
      <c r="V910" s="14" t="s">
        <v>1468</v>
      </c>
      <c r="W910" s="14" t="s">
        <v>1168</v>
      </c>
      <c r="X910" s="14" t="s">
        <v>501</v>
      </c>
    </row>
    <row r="911" spans="21:24" x14ac:dyDescent="0.45">
      <c r="U911" s="16" t="s">
        <v>126</v>
      </c>
      <c r="V911" s="16" t="s">
        <v>1469</v>
      </c>
      <c r="W911" s="16" t="s">
        <v>1168</v>
      </c>
      <c r="X911" s="16" t="s">
        <v>501</v>
      </c>
    </row>
    <row r="912" spans="21:24" x14ac:dyDescent="0.45">
      <c r="U912" s="14" t="s">
        <v>126</v>
      </c>
      <c r="V912" s="14" t="s">
        <v>1470</v>
      </c>
      <c r="W912" s="14" t="s">
        <v>1182</v>
      </c>
      <c r="X912" s="14" t="s">
        <v>501</v>
      </c>
    </row>
    <row r="913" spans="21:24" x14ac:dyDescent="0.45">
      <c r="U913" s="16" t="s">
        <v>126</v>
      </c>
      <c r="V913" s="16" t="s">
        <v>1471</v>
      </c>
      <c r="W913" s="16" t="s">
        <v>1182</v>
      </c>
      <c r="X913" s="16" t="s">
        <v>501</v>
      </c>
    </row>
    <row r="914" spans="21:24" x14ac:dyDescent="0.45">
      <c r="U914" s="14" t="s">
        <v>126</v>
      </c>
      <c r="V914" s="14" t="s">
        <v>1472</v>
      </c>
      <c r="W914" s="14" t="s">
        <v>1196</v>
      </c>
      <c r="X914" s="14" t="s">
        <v>501</v>
      </c>
    </row>
    <row r="915" spans="21:24" x14ac:dyDescent="0.45">
      <c r="U915" s="16" t="s">
        <v>126</v>
      </c>
      <c r="V915" s="16" t="s">
        <v>1473</v>
      </c>
      <c r="W915" s="16" t="s">
        <v>1196</v>
      </c>
      <c r="X915" s="16" t="s">
        <v>501</v>
      </c>
    </row>
    <row r="916" spans="21:24" x14ac:dyDescent="0.45">
      <c r="U916" s="14" t="s">
        <v>126</v>
      </c>
      <c r="V916" s="14" t="s">
        <v>1474</v>
      </c>
      <c r="W916" s="14" t="s">
        <v>1210</v>
      </c>
      <c r="X916" s="14" t="s">
        <v>501</v>
      </c>
    </row>
    <row r="917" spans="21:24" x14ac:dyDescent="0.45">
      <c r="U917" s="16" t="s">
        <v>126</v>
      </c>
      <c r="V917" s="16" t="s">
        <v>1475</v>
      </c>
      <c r="W917" s="16" t="s">
        <v>1210</v>
      </c>
      <c r="X917" s="16" t="s">
        <v>501</v>
      </c>
    </row>
    <row r="918" spans="21:24" x14ac:dyDescent="0.45">
      <c r="U918" s="14" t="s">
        <v>126</v>
      </c>
      <c r="V918" s="14" t="s">
        <v>1476</v>
      </c>
      <c r="W918" s="14" t="s">
        <v>1224</v>
      </c>
      <c r="X918" s="14" t="s">
        <v>501</v>
      </c>
    </row>
    <row r="919" spans="21:24" x14ac:dyDescent="0.45">
      <c r="U919" s="16" t="s">
        <v>126</v>
      </c>
      <c r="V919" s="16" t="s">
        <v>1477</v>
      </c>
      <c r="W919" s="16" t="s">
        <v>1224</v>
      </c>
      <c r="X919" s="16" t="s">
        <v>501</v>
      </c>
    </row>
    <row r="920" spans="21:24" x14ac:dyDescent="0.45">
      <c r="U920" s="14" t="s">
        <v>126</v>
      </c>
      <c r="V920" s="14" t="s">
        <v>1478</v>
      </c>
      <c r="W920" s="14" t="s">
        <v>1336</v>
      </c>
      <c r="X920" s="14" t="s">
        <v>501</v>
      </c>
    </row>
    <row r="921" spans="21:24" x14ac:dyDescent="0.45">
      <c r="U921" s="16" t="s">
        <v>126</v>
      </c>
      <c r="V921" s="16" t="s">
        <v>1479</v>
      </c>
      <c r="W921" s="16" t="s">
        <v>1336</v>
      </c>
      <c r="X921" s="16" t="s">
        <v>501</v>
      </c>
    </row>
    <row r="922" spans="21:24" x14ac:dyDescent="0.45">
      <c r="U922" s="14" t="s">
        <v>126</v>
      </c>
      <c r="V922" s="14" t="s">
        <v>1480</v>
      </c>
      <c r="W922" s="14" t="s">
        <v>1340</v>
      </c>
      <c r="X922" s="14" t="s">
        <v>501</v>
      </c>
    </row>
    <row r="923" spans="21:24" x14ac:dyDescent="0.45">
      <c r="U923" s="16" t="s">
        <v>126</v>
      </c>
      <c r="V923" s="16" t="s">
        <v>1481</v>
      </c>
      <c r="W923" s="16" t="s">
        <v>1340</v>
      </c>
      <c r="X923" s="16" t="s">
        <v>501</v>
      </c>
    </row>
    <row r="924" spans="21:24" x14ac:dyDescent="0.45">
      <c r="U924" s="14" t="s">
        <v>126</v>
      </c>
      <c r="V924" s="14" t="s">
        <v>1482</v>
      </c>
      <c r="W924" s="14" t="s">
        <v>1344</v>
      </c>
      <c r="X924" s="14" t="s">
        <v>501</v>
      </c>
    </row>
    <row r="925" spans="21:24" x14ac:dyDescent="0.45">
      <c r="U925" s="16" t="s">
        <v>126</v>
      </c>
      <c r="V925" s="16" t="s">
        <v>1483</v>
      </c>
      <c r="W925" s="16" t="s">
        <v>1344</v>
      </c>
      <c r="X925" s="16" t="s">
        <v>501</v>
      </c>
    </row>
    <row r="926" spans="21:24" x14ac:dyDescent="0.45">
      <c r="U926" s="14" t="s">
        <v>126</v>
      </c>
      <c r="V926" s="14" t="s">
        <v>1484</v>
      </c>
      <c r="W926" s="14" t="s">
        <v>1348</v>
      </c>
      <c r="X926" s="14" t="s">
        <v>501</v>
      </c>
    </row>
    <row r="927" spans="21:24" x14ac:dyDescent="0.45">
      <c r="U927" s="16" t="s">
        <v>126</v>
      </c>
      <c r="V927" s="16" t="s">
        <v>1485</v>
      </c>
      <c r="W927" s="16" t="s">
        <v>1348</v>
      </c>
      <c r="X927" s="16" t="s">
        <v>501</v>
      </c>
    </row>
    <row r="928" spans="21:24" x14ac:dyDescent="0.45">
      <c r="U928" s="14" t="s">
        <v>126</v>
      </c>
      <c r="V928" s="14" t="s">
        <v>1486</v>
      </c>
      <c r="W928" s="14" t="s">
        <v>1352</v>
      </c>
      <c r="X928" s="14" t="s">
        <v>501</v>
      </c>
    </row>
    <row r="929" spans="21:24" x14ac:dyDescent="0.45">
      <c r="U929" s="16" t="s">
        <v>126</v>
      </c>
      <c r="V929" s="16" t="s">
        <v>1487</v>
      </c>
      <c r="W929" s="16" t="s">
        <v>1352</v>
      </c>
      <c r="X929" s="16" t="s">
        <v>501</v>
      </c>
    </row>
    <row r="930" spans="21:24" x14ac:dyDescent="0.45">
      <c r="U930" s="14" t="s">
        <v>126</v>
      </c>
      <c r="V930" s="14" t="s">
        <v>1488</v>
      </c>
      <c r="W930" s="14" t="s">
        <v>1356</v>
      </c>
      <c r="X930" s="14" t="s">
        <v>501</v>
      </c>
    </row>
    <row r="931" spans="21:24" x14ac:dyDescent="0.45">
      <c r="U931" s="16" t="s">
        <v>126</v>
      </c>
      <c r="V931" s="16" t="s">
        <v>1489</v>
      </c>
      <c r="W931" s="16" t="s">
        <v>1356</v>
      </c>
      <c r="X931" s="16" t="s">
        <v>501</v>
      </c>
    </row>
    <row r="932" spans="21:24" x14ac:dyDescent="0.45">
      <c r="U932" s="14" t="s">
        <v>126</v>
      </c>
      <c r="V932" s="14" t="s">
        <v>1490</v>
      </c>
      <c r="W932" s="14" t="s">
        <v>497</v>
      </c>
      <c r="X932" s="14" t="s">
        <v>501</v>
      </c>
    </row>
    <row r="933" spans="21:24" x14ac:dyDescent="0.45">
      <c r="U933" s="16" t="s">
        <v>126</v>
      </c>
      <c r="V933" s="16" t="s">
        <v>1491</v>
      </c>
      <c r="W933" s="16" t="s">
        <v>497</v>
      </c>
      <c r="X933" s="16" t="s">
        <v>501</v>
      </c>
    </row>
    <row r="934" spans="21:24" x14ac:dyDescent="0.45">
      <c r="U934" s="14" t="s">
        <v>126</v>
      </c>
      <c r="V934" s="14" t="s">
        <v>1492</v>
      </c>
      <c r="W934" s="14" t="s">
        <v>1493</v>
      </c>
      <c r="X934" s="14" t="s">
        <v>501</v>
      </c>
    </row>
    <row r="935" spans="21:24" x14ac:dyDescent="0.45">
      <c r="U935" s="16" t="s">
        <v>126</v>
      </c>
      <c r="V935" s="16" t="s">
        <v>1494</v>
      </c>
      <c r="W935" s="16" t="s">
        <v>1493</v>
      </c>
      <c r="X935" s="16" t="s">
        <v>501</v>
      </c>
    </row>
    <row r="936" spans="21:24" x14ac:dyDescent="0.45">
      <c r="U936" s="14" t="s">
        <v>126</v>
      </c>
      <c r="V936" s="14" t="s">
        <v>1495</v>
      </c>
      <c r="W936" s="14" t="s">
        <v>1496</v>
      </c>
      <c r="X936" s="14" t="s">
        <v>501</v>
      </c>
    </row>
    <row r="937" spans="21:24" x14ac:dyDescent="0.45">
      <c r="U937" s="16" t="s">
        <v>126</v>
      </c>
      <c r="V937" s="16" t="s">
        <v>1497</v>
      </c>
      <c r="W937" s="16" t="s">
        <v>1496</v>
      </c>
      <c r="X937" s="16" t="s">
        <v>501</v>
      </c>
    </row>
    <row r="938" spans="21:24" x14ac:dyDescent="0.45">
      <c r="U938" s="14" t="s">
        <v>126</v>
      </c>
      <c r="V938" s="14" t="s">
        <v>1498</v>
      </c>
      <c r="W938" s="14" t="s">
        <v>1499</v>
      </c>
      <c r="X938" s="14" t="s">
        <v>501</v>
      </c>
    </row>
    <row r="939" spans="21:24" x14ac:dyDescent="0.45">
      <c r="U939" s="16" t="s">
        <v>126</v>
      </c>
      <c r="V939" s="16" t="s">
        <v>1500</v>
      </c>
      <c r="W939" s="16" t="s">
        <v>1499</v>
      </c>
      <c r="X939" s="16" t="s">
        <v>501</v>
      </c>
    </row>
    <row r="940" spans="21:24" x14ac:dyDescent="0.45">
      <c r="U940" s="14" t="s">
        <v>126</v>
      </c>
      <c r="V940" s="14" t="s">
        <v>1501</v>
      </c>
      <c r="W940" s="14" t="s">
        <v>1238</v>
      </c>
      <c r="X940" s="14" t="s">
        <v>501</v>
      </c>
    </row>
    <row r="941" spans="21:24" x14ac:dyDescent="0.45">
      <c r="U941" s="16" t="s">
        <v>126</v>
      </c>
      <c r="V941" s="16" t="s">
        <v>1502</v>
      </c>
      <c r="W941" s="16" t="s">
        <v>1238</v>
      </c>
      <c r="X941" s="16" t="s">
        <v>501</v>
      </c>
    </row>
    <row r="942" spans="21:24" x14ac:dyDescent="0.45">
      <c r="U942" s="14" t="s">
        <v>126</v>
      </c>
      <c r="V942" s="14" t="s">
        <v>1503</v>
      </c>
      <c r="W942" s="14" t="s">
        <v>1504</v>
      </c>
      <c r="X942" s="14" t="s">
        <v>501</v>
      </c>
    </row>
    <row r="943" spans="21:24" x14ac:dyDescent="0.45">
      <c r="U943" s="16" t="s">
        <v>126</v>
      </c>
      <c r="V943" s="16" t="s">
        <v>1505</v>
      </c>
      <c r="W943" s="16" t="s">
        <v>1504</v>
      </c>
      <c r="X943" s="16" t="s">
        <v>501</v>
      </c>
    </row>
    <row r="944" spans="21:24" x14ac:dyDescent="0.45">
      <c r="U944" s="14" t="s">
        <v>126</v>
      </c>
      <c r="V944" s="14" t="s">
        <v>1506</v>
      </c>
      <c r="W944" s="14" t="s">
        <v>1252</v>
      </c>
      <c r="X944" s="14" t="s">
        <v>501</v>
      </c>
    </row>
    <row r="945" spans="21:24" x14ac:dyDescent="0.45">
      <c r="U945" s="16" t="s">
        <v>126</v>
      </c>
      <c r="V945" s="16" t="s">
        <v>1507</v>
      </c>
      <c r="W945" s="16" t="s">
        <v>1252</v>
      </c>
      <c r="X945" s="16" t="s">
        <v>501</v>
      </c>
    </row>
    <row r="946" spans="21:24" x14ac:dyDescent="0.45">
      <c r="U946" s="14" t="s">
        <v>126</v>
      </c>
      <c r="V946" s="14" t="s">
        <v>1508</v>
      </c>
      <c r="W946" s="14" t="s">
        <v>1266</v>
      </c>
      <c r="X946" s="14" t="s">
        <v>501</v>
      </c>
    </row>
    <row r="947" spans="21:24" x14ac:dyDescent="0.45">
      <c r="U947" s="16" t="s">
        <v>126</v>
      </c>
      <c r="V947" s="16" t="s">
        <v>1509</v>
      </c>
      <c r="W947" s="16" t="s">
        <v>1266</v>
      </c>
      <c r="X947" s="16" t="s">
        <v>501</v>
      </c>
    </row>
    <row r="948" spans="21:24" x14ac:dyDescent="0.45">
      <c r="U948" s="14" t="s">
        <v>126</v>
      </c>
      <c r="V948" s="14" t="s">
        <v>1510</v>
      </c>
      <c r="W948" s="14" t="s">
        <v>1280</v>
      </c>
      <c r="X948" s="14" t="s">
        <v>501</v>
      </c>
    </row>
    <row r="949" spans="21:24" x14ac:dyDescent="0.45">
      <c r="U949" s="16" t="s">
        <v>126</v>
      </c>
      <c r="V949" s="16" t="s">
        <v>1511</v>
      </c>
      <c r="W949" s="16" t="s">
        <v>1280</v>
      </c>
      <c r="X949" s="16" t="s">
        <v>501</v>
      </c>
    </row>
    <row r="950" spans="21:24" x14ac:dyDescent="0.45">
      <c r="U950" s="14" t="s">
        <v>126</v>
      </c>
      <c r="V950" s="14" t="s">
        <v>1512</v>
      </c>
      <c r="W950" s="14" t="s">
        <v>1294</v>
      </c>
      <c r="X950" s="14" t="s">
        <v>501</v>
      </c>
    </row>
    <row r="951" spans="21:24" x14ac:dyDescent="0.45">
      <c r="U951" s="16" t="s">
        <v>126</v>
      </c>
      <c r="V951" s="16" t="s">
        <v>1513</v>
      </c>
      <c r="W951" s="16" t="s">
        <v>1294</v>
      </c>
      <c r="X951" s="16" t="s">
        <v>501</v>
      </c>
    </row>
    <row r="952" spans="21:24" x14ac:dyDescent="0.45">
      <c r="U952" s="14" t="s">
        <v>126</v>
      </c>
      <c r="V952" s="14" t="s">
        <v>1514</v>
      </c>
      <c r="W952" s="14" t="s">
        <v>1369</v>
      </c>
      <c r="X952" s="14" t="s">
        <v>501</v>
      </c>
    </row>
    <row r="953" spans="21:24" x14ac:dyDescent="0.45">
      <c r="U953" s="16" t="s">
        <v>126</v>
      </c>
      <c r="V953" s="16" t="s">
        <v>1515</v>
      </c>
      <c r="W953" s="16" t="s">
        <v>1369</v>
      </c>
      <c r="X953" s="16" t="s">
        <v>501</v>
      </c>
    </row>
    <row r="954" spans="21:24" x14ac:dyDescent="0.45">
      <c r="U954" s="14" t="s">
        <v>126</v>
      </c>
      <c r="V954" s="14" t="s">
        <v>1516</v>
      </c>
      <c r="W954" s="14" t="s">
        <v>1308</v>
      </c>
      <c r="X954" s="14" t="s">
        <v>501</v>
      </c>
    </row>
    <row r="955" spans="21:24" x14ac:dyDescent="0.45">
      <c r="U955" s="16" t="s">
        <v>126</v>
      </c>
      <c r="V955" s="16" t="s">
        <v>1517</v>
      </c>
      <c r="W955" s="16" t="s">
        <v>1308</v>
      </c>
      <c r="X955" s="16" t="s">
        <v>501</v>
      </c>
    </row>
    <row r="956" spans="21:24" x14ac:dyDescent="0.45">
      <c r="U956" s="14" t="s">
        <v>126</v>
      </c>
      <c r="V956" s="14" t="s">
        <v>1518</v>
      </c>
      <c r="W956" s="14" t="s">
        <v>1322</v>
      </c>
      <c r="X956" s="14" t="s">
        <v>501</v>
      </c>
    </row>
    <row r="957" spans="21:24" x14ac:dyDescent="0.45">
      <c r="U957" s="16" t="s">
        <v>126</v>
      </c>
      <c r="V957" s="16" t="s">
        <v>1519</v>
      </c>
      <c r="W957" s="16" t="s">
        <v>1322</v>
      </c>
      <c r="X957" s="16" t="s">
        <v>501</v>
      </c>
    </row>
  </sheetData>
  <mergeCells count="1">
    <mergeCell ref="A1:H1"/>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F8CF6-3093-4BE9-8239-E4AE2546683D}">
  <dimension ref="A1:L88"/>
  <sheetViews>
    <sheetView workbookViewId="0">
      <selection sqref="A1:I1"/>
    </sheetView>
  </sheetViews>
  <sheetFormatPr defaultRowHeight="14.25" x14ac:dyDescent="0.45"/>
  <cols>
    <col min="2" max="2" width="12.796875" bestFit="1" customWidth="1"/>
    <col min="3" max="3" width="14.9296875" bestFit="1" customWidth="1"/>
    <col min="4" max="4" width="18.06640625" bestFit="1" customWidth="1"/>
    <col min="5" max="5" width="10.59765625" customWidth="1"/>
    <col min="6" max="6" width="27.3984375" bestFit="1" customWidth="1"/>
    <col min="7" max="7" width="30.59765625" customWidth="1"/>
    <col min="8" max="8" width="30.3984375" bestFit="1" customWidth="1"/>
    <col min="9" max="9" width="21.59765625" bestFit="1" customWidth="1"/>
    <col min="10" max="12" width="30.59765625" customWidth="1"/>
  </cols>
  <sheetData>
    <row r="1" spans="1:12" ht="22.05" customHeight="1" x14ac:dyDescent="0.45">
      <c r="A1" s="27" t="s">
        <v>123</v>
      </c>
      <c r="B1" s="27"/>
      <c r="C1" s="27"/>
      <c r="D1" s="27"/>
      <c r="E1" s="27"/>
      <c r="F1" s="27"/>
      <c r="G1" s="27"/>
      <c r="H1" s="27"/>
      <c r="I1" s="27"/>
    </row>
    <row r="9" spans="1:12" ht="14.65" thickBot="1" x14ac:dyDescent="0.5">
      <c r="B9" t="s">
        <v>84</v>
      </c>
    </row>
    <row r="10" spans="1:12" ht="15.75" thickBot="1" x14ac:dyDescent="0.6">
      <c r="B10" s="13" t="s">
        <v>85</v>
      </c>
      <c r="C10" s="13" t="s">
        <v>86</v>
      </c>
      <c r="D10" s="13" t="s">
        <v>87</v>
      </c>
      <c r="E10" s="13" t="s">
        <v>88</v>
      </c>
      <c r="F10" s="13" t="s">
        <v>89</v>
      </c>
      <c r="G10" s="13" t="s">
        <v>90</v>
      </c>
      <c r="H10" s="13" t="s">
        <v>91</v>
      </c>
      <c r="I10" s="13" t="s">
        <v>92</v>
      </c>
      <c r="J10" s="13" t="s">
        <v>93</v>
      </c>
      <c r="K10" s="13" t="s">
        <v>94</v>
      </c>
      <c r="L10" s="13" t="s">
        <v>95</v>
      </c>
    </row>
    <row r="11" spans="1:12" x14ac:dyDescent="0.45">
      <c r="B11" s="18">
        <v>2030</v>
      </c>
      <c r="C11" s="14" t="s">
        <v>96</v>
      </c>
      <c r="D11" s="14" t="s">
        <v>97</v>
      </c>
      <c r="E11" s="19">
        <v>1.5</v>
      </c>
      <c r="F11" s="14" t="s">
        <v>98</v>
      </c>
      <c r="G11" s="14" t="s">
        <v>99</v>
      </c>
      <c r="H11" s="14" t="s">
        <v>100</v>
      </c>
      <c r="I11" s="20">
        <v>45566</v>
      </c>
      <c r="J11" s="14" t="s">
        <v>101</v>
      </c>
      <c r="K11" s="14" t="s">
        <v>102</v>
      </c>
      <c r="L11" s="14" t="s">
        <v>103</v>
      </c>
    </row>
    <row r="12" spans="1:12" x14ac:dyDescent="0.45">
      <c r="B12" s="21">
        <v>2030</v>
      </c>
      <c r="C12" s="16" t="s">
        <v>96</v>
      </c>
      <c r="D12" s="16" t="s">
        <v>97</v>
      </c>
      <c r="E12" s="22">
        <v>1.7370000000000001</v>
      </c>
      <c r="F12" s="16" t="s">
        <v>98</v>
      </c>
      <c r="G12" s="16" t="s">
        <v>99</v>
      </c>
      <c r="H12" s="16" t="s">
        <v>100</v>
      </c>
      <c r="I12" s="23">
        <v>45356</v>
      </c>
      <c r="J12" s="16" t="s">
        <v>104</v>
      </c>
      <c r="K12" s="16" t="s">
        <v>105</v>
      </c>
      <c r="L12" s="16" t="s">
        <v>106</v>
      </c>
    </row>
    <row r="13" spans="1:12" x14ac:dyDescent="0.45">
      <c r="B13" s="18">
        <v>2030</v>
      </c>
      <c r="C13" s="14" t="s">
        <v>107</v>
      </c>
      <c r="D13" s="14" t="s">
        <v>97</v>
      </c>
      <c r="E13" s="19">
        <v>21.2</v>
      </c>
      <c r="F13" s="14" t="s">
        <v>98</v>
      </c>
      <c r="G13" s="14" t="s">
        <v>99</v>
      </c>
      <c r="H13" s="14" t="s">
        <v>100</v>
      </c>
      <c r="I13" s="20">
        <v>45566</v>
      </c>
      <c r="J13" s="14" t="s">
        <v>101</v>
      </c>
      <c r="K13" s="14" t="s">
        <v>102</v>
      </c>
      <c r="L13" s="14" t="s">
        <v>103</v>
      </c>
    </row>
    <row r="14" spans="1:12" x14ac:dyDescent="0.45">
      <c r="B14" s="21">
        <v>2030</v>
      </c>
      <c r="C14" s="16" t="s">
        <v>107</v>
      </c>
      <c r="D14" s="16" t="s">
        <v>97</v>
      </c>
      <c r="E14" s="22">
        <v>22.699000000000002</v>
      </c>
      <c r="F14" s="16" t="s">
        <v>98</v>
      </c>
      <c r="G14" s="16" t="s">
        <v>99</v>
      </c>
      <c r="H14" s="16" t="s">
        <v>100</v>
      </c>
      <c r="I14" s="23">
        <v>45356</v>
      </c>
      <c r="J14" s="16" t="s">
        <v>104</v>
      </c>
      <c r="K14" s="16" t="s">
        <v>105</v>
      </c>
      <c r="L14" s="16" t="s">
        <v>106</v>
      </c>
    </row>
    <row r="15" spans="1:12" x14ac:dyDescent="0.45">
      <c r="B15" s="18">
        <v>2030</v>
      </c>
      <c r="C15" s="14" t="s">
        <v>108</v>
      </c>
      <c r="D15" s="14" t="s">
        <v>97</v>
      </c>
      <c r="E15" s="19">
        <v>11</v>
      </c>
      <c r="F15" s="14" t="s">
        <v>98</v>
      </c>
      <c r="G15" s="14" t="s">
        <v>99</v>
      </c>
      <c r="H15" s="14" t="s">
        <v>100</v>
      </c>
      <c r="I15" s="20">
        <v>45566</v>
      </c>
      <c r="J15" s="14" t="s">
        <v>101</v>
      </c>
      <c r="K15" s="14" t="s">
        <v>102</v>
      </c>
      <c r="L15" s="14" t="s">
        <v>103</v>
      </c>
    </row>
    <row r="16" spans="1:12" x14ac:dyDescent="0.45">
      <c r="B16" s="21">
        <v>2030</v>
      </c>
      <c r="C16" s="16" t="s">
        <v>108</v>
      </c>
      <c r="D16" s="16" t="s">
        <v>97</v>
      </c>
      <c r="E16" s="22">
        <v>11.034000000000001</v>
      </c>
      <c r="F16" s="16" t="s">
        <v>98</v>
      </c>
      <c r="G16" s="16" t="s">
        <v>99</v>
      </c>
      <c r="H16" s="16" t="s">
        <v>100</v>
      </c>
      <c r="I16" s="23">
        <v>45356</v>
      </c>
      <c r="J16" s="16" t="s">
        <v>104</v>
      </c>
      <c r="K16" s="16" t="s">
        <v>105</v>
      </c>
      <c r="L16" s="16" t="s">
        <v>106</v>
      </c>
    </row>
    <row r="17" spans="2:12" x14ac:dyDescent="0.45">
      <c r="B17" s="18">
        <v>2030</v>
      </c>
      <c r="C17" s="14" t="s">
        <v>109</v>
      </c>
      <c r="D17" s="14" t="s">
        <v>97</v>
      </c>
      <c r="E17" s="19">
        <v>1.1000000000000001</v>
      </c>
      <c r="F17" s="14" t="s">
        <v>98</v>
      </c>
      <c r="G17" s="14" t="s">
        <v>99</v>
      </c>
      <c r="H17" s="14" t="s">
        <v>100</v>
      </c>
      <c r="I17" s="20">
        <v>45566</v>
      </c>
      <c r="J17" s="14" t="s">
        <v>101</v>
      </c>
      <c r="K17" s="14" t="s">
        <v>102</v>
      </c>
      <c r="L17" s="14" t="s">
        <v>103</v>
      </c>
    </row>
    <row r="18" spans="2:12" x14ac:dyDescent="0.45">
      <c r="B18" s="21">
        <v>2030</v>
      </c>
      <c r="C18" s="16" t="s">
        <v>109</v>
      </c>
      <c r="D18" s="16" t="s">
        <v>97</v>
      </c>
      <c r="E18" s="22">
        <v>1.1180000000000001</v>
      </c>
      <c r="F18" s="16" t="s">
        <v>98</v>
      </c>
      <c r="G18" s="16" t="s">
        <v>99</v>
      </c>
      <c r="H18" s="16" t="s">
        <v>100</v>
      </c>
      <c r="I18" s="23">
        <v>45356</v>
      </c>
      <c r="J18" s="16" t="s">
        <v>104</v>
      </c>
      <c r="K18" s="16" t="s">
        <v>105</v>
      </c>
      <c r="L18" s="16" t="s">
        <v>106</v>
      </c>
    </row>
    <row r="19" spans="2:12" x14ac:dyDescent="0.45">
      <c r="B19" s="18">
        <v>2030</v>
      </c>
      <c r="C19" s="14" t="s">
        <v>110</v>
      </c>
      <c r="D19" s="14" t="s">
        <v>97</v>
      </c>
      <c r="E19" s="19"/>
      <c r="F19" s="14" t="s">
        <v>98</v>
      </c>
      <c r="G19" s="14" t="s">
        <v>99</v>
      </c>
      <c r="H19" s="14" t="s">
        <v>100</v>
      </c>
      <c r="I19" s="20">
        <v>45356</v>
      </c>
      <c r="J19" s="14" t="s">
        <v>104</v>
      </c>
      <c r="K19" s="14" t="s">
        <v>105</v>
      </c>
      <c r="L19" s="14" t="s">
        <v>106</v>
      </c>
    </row>
    <row r="20" spans="2:12" x14ac:dyDescent="0.45">
      <c r="B20" s="21">
        <v>2030</v>
      </c>
      <c r="C20" s="16" t="s">
        <v>111</v>
      </c>
      <c r="D20" s="16" t="s">
        <v>97</v>
      </c>
      <c r="E20" s="22">
        <v>5.9</v>
      </c>
      <c r="F20" s="16" t="s">
        <v>98</v>
      </c>
      <c r="G20" s="16" t="s">
        <v>99</v>
      </c>
      <c r="H20" s="16" t="s">
        <v>100</v>
      </c>
      <c r="I20" s="23">
        <v>45566</v>
      </c>
      <c r="J20" s="16" t="s">
        <v>101</v>
      </c>
      <c r="K20" s="16" t="s">
        <v>102</v>
      </c>
      <c r="L20" s="16" t="s">
        <v>103</v>
      </c>
    </row>
    <row r="21" spans="2:12" x14ac:dyDescent="0.45">
      <c r="B21" s="18">
        <v>2030</v>
      </c>
      <c r="C21" s="14" t="s">
        <v>111</v>
      </c>
      <c r="D21" s="14" t="s">
        <v>97</v>
      </c>
      <c r="E21" s="19">
        <v>5.9269999999999996</v>
      </c>
      <c r="F21" s="14" t="s">
        <v>98</v>
      </c>
      <c r="G21" s="14" t="s">
        <v>99</v>
      </c>
      <c r="H21" s="14" t="s">
        <v>100</v>
      </c>
      <c r="I21" s="20">
        <v>45356</v>
      </c>
      <c r="J21" s="14" t="s">
        <v>104</v>
      </c>
      <c r="K21" s="14" t="s">
        <v>105</v>
      </c>
      <c r="L21" s="14" t="s">
        <v>106</v>
      </c>
    </row>
    <row r="22" spans="2:12" x14ac:dyDescent="0.45">
      <c r="B22" s="21">
        <v>2030</v>
      </c>
      <c r="C22" s="16" t="s">
        <v>112</v>
      </c>
      <c r="D22" s="16" t="s">
        <v>97</v>
      </c>
      <c r="E22" s="22">
        <v>19</v>
      </c>
      <c r="F22" s="16" t="s">
        <v>98</v>
      </c>
      <c r="G22" s="16" t="s">
        <v>99</v>
      </c>
      <c r="H22" s="16" t="s">
        <v>100</v>
      </c>
      <c r="I22" s="23">
        <v>45566</v>
      </c>
      <c r="J22" s="16" t="s">
        <v>101</v>
      </c>
      <c r="K22" s="16" t="s">
        <v>102</v>
      </c>
      <c r="L22" s="16" t="s">
        <v>103</v>
      </c>
    </row>
    <row r="23" spans="2:12" x14ac:dyDescent="0.45">
      <c r="B23" s="18">
        <v>2030</v>
      </c>
      <c r="C23" s="14" t="s">
        <v>112</v>
      </c>
      <c r="D23" s="14" t="s">
        <v>97</v>
      </c>
      <c r="E23" s="19">
        <v>15.842000000000001</v>
      </c>
      <c r="F23" s="14" t="s">
        <v>98</v>
      </c>
      <c r="G23" s="14" t="s">
        <v>99</v>
      </c>
      <c r="H23" s="14" t="s">
        <v>100</v>
      </c>
      <c r="I23" s="20">
        <v>45356</v>
      </c>
      <c r="J23" s="14" t="s">
        <v>104</v>
      </c>
      <c r="K23" s="14" t="s">
        <v>105</v>
      </c>
      <c r="L23" s="14" t="s">
        <v>106</v>
      </c>
    </row>
    <row r="24" spans="2:12" x14ac:dyDescent="0.45">
      <c r="B24" s="21">
        <v>2030</v>
      </c>
      <c r="C24" s="16" t="s">
        <v>113</v>
      </c>
      <c r="D24" s="16" t="s">
        <v>97</v>
      </c>
      <c r="E24" s="22">
        <v>0</v>
      </c>
      <c r="F24" s="16" t="s">
        <v>98</v>
      </c>
      <c r="G24" s="16" t="s">
        <v>99</v>
      </c>
      <c r="H24" s="16" t="s">
        <v>100</v>
      </c>
      <c r="I24" s="23">
        <v>45566</v>
      </c>
      <c r="J24" s="16" t="s">
        <v>101</v>
      </c>
      <c r="K24" s="16" t="s">
        <v>102</v>
      </c>
      <c r="L24" s="16" t="s">
        <v>103</v>
      </c>
    </row>
    <row r="25" spans="2:12" x14ac:dyDescent="0.45">
      <c r="B25" s="18">
        <v>2030</v>
      </c>
      <c r="C25" s="14" t="s">
        <v>113</v>
      </c>
      <c r="D25" s="14" t="s">
        <v>97</v>
      </c>
      <c r="E25" s="19">
        <v>0</v>
      </c>
      <c r="F25" s="14" t="s">
        <v>98</v>
      </c>
      <c r="G25" s="14" t="s">
        <v>99</v>
      </c>
      <c r="H25" s="14" t="s">
        <v>100</v>
      </c>
      <c r="I25" s="20">
        <v>45356</v>
      </c>
      <c r="J25" s="14" t="s">
        <v>104</v>
      </c>
      <c r="K25" s="14" t="s">
        <v>105</v>
      </c>
      <c r="L25" s="14" t="s">
        <v>106</v>
      </c>
    </row>
    <row r="26" spans="2:12" x14ac:dyDescent="0.45">
      <c r="B26" s="21">
        <v>2030</v>
      </c>
      <c r="C26" s="16" t="s">
        <v>114</v>
      </c>
      <c r="D26" s="16" t="s">
        <v>97</v>
      </c>
      <c r="E26" s="22">
        <v>36.200000000000003</v>
      </c>
      <c r="F26" s="16" t="s">
        <v>98</v>
      </c>
      <c r="G26" s="16" t="s">
        <v>99</v>
      </c>
      <c r="H26" s="16" t="s">
        <v>100</v>
      </c>
      <c r="I26" s="23">
        <v>45566</v>
      </c>
      <c r="J26" s="16" t="s">
        <v>101</v>
      </c>
      <c r="K26" s="16" t="s">
        <v>102</v>
      </c>
      <c r="L26" s="16" t="s">
        <v>103</v>
      </c>
    </row>
    <row r="27" spans="2:12" x14ac:dyDescent="0.45">
      <c r="B27" s="18">
        <v>2030</v>
      </c>
      <c r="C27" s="14" t="s">
        <v>114</v>
      </c>
      <c r="D27" s="14" t="s">
        <v>97</v>
      </c>
      <c r="E27" s="19">
        <v>36.590000000000003</v>
      </c>
      <c r="F27" s="14" t="s">
        <v>98</v>
      </c>
      <c r="G27" s="14" t="s">
        <v>99</v>
      </c>
      <c r="H27" s="14" t="s">
        <v>100</v>
      </c>
      <c r="I27" s="20">
        <v>45356</v>
      </c>
      <c r="J27" s="14" t="s">
        <v>104</v>
      </c>
      <c r="K27" s="14" t="s">
        <v>105</v>
      </c>
      <c r="L27" s="14" t="s">
        <v>106</v>
      </c>
    </row>
    <row r="28" spans="2:12" x14ac:dyDescent="0.45">
      <c r="B28" s="21">
        <v>2030</v>
      </c>
      <c r="C28" s="16" t="s">
        <v>96</v>
      </c>
      <c r="D28" s="16" t="s">
        <v>115</v>
      </c>
      <c r="E28" s="22">
        <v>11.1</v>
      </c>
      <c r="F28" s="16" t="s">
        <v>98</v>
      </c>
      <c r="G28" s="16" t="s">
        <v>99</v>
      </c>
      <c r="H28" s="16" t="s">
        <v>100</v>
      </c>
      <c r="I28" s="23">
        <v>45566</v>
      </c>
      <c r="J28" s="16" t="s">
        <v>101</v>
      </c>
      <c r="K28" s="16" t="s">
        <v>102</v>
      </c>
      <c r="L28" s="16" t="s">
        <v>103</v>
      </c>
    </row>
    <row r="29" spans="2:12" x14ac:dyDescent="0.45">
      <c r="B29" s="18">
        <v>2030</v>
      </c>
      <c r="C29" s="14" t="s">
        <v>96</v>
      </c>
      <c r="D29" s="14" t="s">
        <v>115</v>
      </c>
      <c r="E29" s="19">
        <v>11.5</v>
      </c>
      <c r="F29" s="14" t="s">
        <v>98</v>
      </c>
      <c r="G29" s="14" t="s">
        <v>99</v>
      </c>
      <c r="H29" s="14" t="s">
        <v>100</v>
      </c>
      <c r="I29" s="20">
        <v>45356</v>
      </c>
      <c r="J29" s="14" t="s">
        <v>104</v>
      </c>
      <c r="K29" s="14" t="s">
        <v>105</v>
      </c>
      <c r="L29" s="14" t="s">
        <v>106</v>
      </c>
    </row>
    <row r="30" spans="2:12" x14ac:dyDescent="0.45">
      <c r="B30" s="21">
        <v>2030</v>
      </c>
      <c r="C30" s="16" t="s">
        <v>107</v>
      </c>
      <c r="D30" s="16" t="s">
        <v>115</v>
      </c>
      <c r="E30" s="22">
        <v>57.6</v>
      </c>
      <c r="F30" s="16" t="s">
        <v>98</v>
      </c>
      <c r="G30" s="16" t="s">
        <v>99</v>
      </c>
      <c r="H30" s="16" t="s">
        <v>100</v>
      </c>
      <c r="I30" s="23">
        <v>45356</v>
      </c>
      <c r="J30" s="16" t="s">
        <v>104</v>
      </c>
      <c r="K30" s="16" t="s">
        <v>105</v>
      </c>
      <c r="L30" s="16" t="s">
        <v>106</v>
      </c>
    </row>
    <row r="31" spans="2:12" x14ac:dyDescent="0.45">
      <c r="B31" s="18">
        <v>2030</v>
      </c>
      <c r="C31" s="14" t="s">
        <v>107</v>
      </c>
      <c r="D31" s="14" t="s">
        <v>115</v>
      </c>
      <c r="E31" s="19">
        <v>43.3</v>
      </c>
      <c r="F31" s="14" t="s">
        <v>98</v>
      </c>
      <c r="G31" s="14" t="s">
        <v>99</v>
      </c>
      <c r="H31" s="14" t="s">
        <v>100</v>
      </c>
      <c r="I31" s="20">
        <v>45566</v>
      </c>
      <c r="J31" s="14" t="s">
        <v>101</v>
      </c>
      <c r="K31" s="14" t="s">
        <v>102</v>
      </c>
      <c r="L31" s="14" t="s">
        <v>103</v>
      </c>
    </row>
    <row r="32" spans="2:12" x14ac:dyDescent="0.45">
      <c r="B32" s="21">
        <v>2030</v>
      </c>
      <c r="C32" s="16" t="s">
        <v>108</v>
      </c>
      <c r="D32" s="16" t="s">
        <v>115</v>
      </c>
      <c r="E32" s="22">
        <v>30.8</v>
      </c>
      <c r="F32" s="16" t="s">
        <v>98</v>
      </c>
      <c r="G32" s="16" t="s">
        <v>99</v>
      </c>
      <c r="H32" s="16" t="s">
        <v>100</v>
      </c>
      <c r="I32" s="23">
        <v>45566</v>
      </c>
      <c r="J32" s="16" t="s">
        <v>101</v>
      </c>
      <c r="K32" s="16" t="s">
        <v>102</v>
      </c>
      <c r="L32" s="16" t="s">
        <v>103</v>
      </c>
    </row>
    <row r="33" spans="2:12" x14ac:dyDescent="0.45">
      <c r="B33" s="18">
        <v>2030</v>
      </c>
      <c r="C33" s="14" t="s">
        <v>108</v>
      </c>
      <c r="D33" s="14" t="s">
        <v>115</v>
      </c>
      <c r="E33" s="19">
        <v>31.9</v>
      </c>
      <c r="F33" s="14" t="s">
        <v>98</v>
      </c>
      <c r="G33" s="14" t="s">
        <v>99</v>
      </c>
      <c r="H33" s="14" t="s">
        <v>100</v>
      </c>
      <c r="I33" s="20">
        <v>45356</v>
      </c>
      <c r="J33" s="14" t="s">
        <v>104</v>
      </c>
      <c r="K33" s="14" t="s">
        <v>105</v>
      </c>
      <c r="L33" s="14" t="s">
        <v>106</v>
      </c>
    </row>
    <row r="34" spans="2:12" x14ac:dyDescent="0.45">
      <c r="B34" s="21">
        <v>2030</v>
      </c>
      <c r="C34" s="16" t="s">
        <v>109</v>
      </c>
      <c r="D34" s="16" t="s">
        <v>115</v>
      </c>
      <c r="E34" s="22">
        <v>2.9</v>
      </c>
      <c r="F34" s="16" t="s">
        <v>98</v>
      </c>
      <c r="G34" s="16" t="s">
        <v>99</v>
      </c>
      <c r="H34" s="16" t="s">
        <v>100</v>
      </c>
      <c r="I34" s="23">
        <v>45566</v>
      </c>
      <c r="J34" s="16" t="s">
        <v>101</v>
      </c>
      <c r="K34" s="16" t="s">
        <v>102</v>
      </c>
      <c r="L34" s="16" t="s">
        <v>103</v>
      </c>
    </row>
    <row r="35" spans="2:12" x14ac:dyDescent="0.45">
      <c r="B35" s="18">
        <v>2030</v>
      </c>
      <c r="C35" s="14" t="s">
        <v>109</v>
      </c>
      <c r="D35" s="14" t="s">
        <v>115</v>
      </c>
      <c r="E35" s="19">
        <v>2.9</v>
      </c>
      <c r="F35" s="14" t="s">
        <v>98</v>
      </c>
      <c r="G35" s="14" t="s">
        <v>99</v>
      </c>
      <c r="H35" s="14" t="s">
        <v>100</v>
      </c>
      <c r="I35" s="20">
        <v>45356</v>
      </c>
      <c r="J35" s="14" t="s">
        <v>104</v>
      </c>
      <c r="K35" s="14" t="s">
        <v>105</v>
      </c>
      <c r="L35" s="14" t="s">
        <v>106</v>
      </c>
    </row>
    <row r="36" spans="2:12" x14ac:dyDescent="0.45">
      <c r="B36" s="21">
        <v>2030</v>
      </c>
      <c r="C36" s="16" t="s">
        <v>110</v>
      </c>
      <c r="D36" s="16" t="s">
        <v>115</v>
      </c>
      <c r="E36" s="22"/>
      <c r="F36" s="16" t="s">
        <v>98</v>
      </c>
      <c r="G36" s="16" t="s">
        <v>99</v>
      </c>
      <c r="H36" s="16" t="s">
        <v>100</v>
      </c>
      <c r="I36" s="23">
        <v>45356</v>
      </c>
      <c r="J36" s="16" t="s">
        <v>104</v>
      </c>
      <c r="K36" s="16" t="s">
        <v>105</v>
      </c>
      <c r="L36" s="16" t="s">
        <v>106</v>
      </c>
    </row>
    <row r="37" spans="2:12" x14ac:dyDescent="0.45">
      <c r="B37" s="18">
        <v>2030</v>
      </c>
      <c r="C37" s="14" t="s">
        <v>111</v>
      </c>
      <c r="D37" s="14" t="s">
        <v>115</v>
      </c>
      <c r="E37" s="19">
        <v>21.7</v>
      </c>
      <c r="F37" s="14" t="s">
        <v>98</v>
      </c>
      <c r="G37" s="14" t="s">
        <v>99</v>
      </c>
      <c r="H37" s="14" t="s">
        <v>100</v>
      </c>
      <c r="I37" s="20">
        <v>45566</v>
      </c>
      <c r="J37" s="14" t="s">
        <v>101</v>
      </c>
      <c r="K37" s="14" t="s">
        <v>102</v>
      </c>
      <c r="L37" s="14" t="s">
        <v>103</v>
      </c>
    </row>
    <row r="38" spans="2:12" x14ac:dyDescent="0.45">
      <c r="B38" s="21">
        <v>2030</v>
      </c>
      <c r="C38" s="16" t="s">
        <v>111</v>
      </c>
      <c r="D38" s="16" t="s">
        <v>115</v>
      </c>
      <c r="E38" s="22">
        <v>21.7</v>
      </c>
      <c r="F38" s="16" t="s">
        <v>98</v>
      </c>
      <c r="G38" s="16" t="s">
        <v>99</v>
      </c>
      <c r="H38" s="16" t="s">
        <v>100</v>
      </c>
      <c r="I38" s="23">
        <v>45356</v>
      </c>
      <c r="J38" s="16" t="s">
        <v>104</v>
      </c>
      <c r="K38" s="16" t="s">
        <v>105</v>
      </c>
      <c r="L38" s="16" t="s">
        <v>106</v>
      </c>
    </row>
    <row r="39" spans="2:12" x14ac:dyDescent="0.45">
      <c r="B39" s="18">
        <v>2030</v>
      </c>
      <c r="C39" s="14" t="s">
        <v>112</v>
      </c>
      <c r="D39" s="14" t="s">
        <v>115</v>
      </c>
      <c r="E39" s="19">
        <v>38.1</v>
      </c>
      <c r="F39" s="14" t="s">
        <v>98</v>
      </c>
      <c r="G39" s="14" t="s">
        <v>99</v>
      </c>
      <c r="H39" s="14" t="s">
        <v>100</v>
      </c>
      <c r="I39" s="20">
        <v>45356</v>
      </c>
      <c r="J39" s="14" t="s">
        <v>104</v>
      </c>
      <c r="K39" s="14" t="s">
        <v>105</v>
      </c>
      <c r="L39" s="14" t="s">
        <v>106</v>
      </c>
    </row>
    <row r="40" spans="2:12" x14ac:dyDescent="0.45">
      <c r="B40" s="21">
        <v>2030</v>
      </c>
      <c r="C40" s="16" t="s">
        <v>112</v>
      </c>
      <c r="D40" s="16" t="s">
        <v>115</v>
      </c>
      <c r="E40" s="22">
        <v>47.4</v>
      </c>
      <c r="F40" s="16" t="s">
        <v>98</v>
      </c>
      <c r="G40" s="16" t="s">
        <v>99</v>
      </c>
      <c r="H40" s="16" t="s">
        <v>100</v>
      </c>
      <c r="I40" s="23">
        <v>45566</v>
      </c>
      <c r="J40" s="16" t="s">
        <v>101</v>
      </c>
      <c r="K40" s="16" t="s">
        <v>102</v>
      </c>
      <c r="L40" s="16" t="s">
        <v>103</v>
      </c>
    </row>
    <row r="41" spans="2:12" x14ac:dyDescent="0.45">
      <c r="B41" s="18">
        <v>2030</v>
      </c>
      <c r="C41" s="14" t="s">
        <v>113</v>
      </c>
      <c r="D41" s="14" t="s">
        <v>115</v>
      </c>
      <c r="E41" s="19">
        <v>4.0999999999999996</v>
      </c>
      <c r="F41" s="14" t="s">
        <v>98</v>
      </c>
      <c r="G41" s="14" t="s">
        <v>99</v>
      </c>
      <c r="H41" s="14" t="s">
        <v>100</v>
      </c>
      <c r="I41" s="20">
        <v>45356</v>
      </c>
      <c r="J41" s="14" t="s">
        <v>104</v>
      </c>
      <c r="K41" s="14" t="s">
        <v>105</v>
      </c>
      <c r="L41" s="14" t="s">
        <v>106</v>
      </c>
    </row>
    <row r="42" spans="2:12" x14ac:dyDescent="0.45">
      <c r="B42" s="21">
        <v>2030</v>
      </c>
      <c r="C42" s="16" t="s">
        <v>113</v>
      </c>
      <c r="D42" s="16" t="s">
        <v>115</v>
      </c>
      <c r="E42" s="22">
        <v>3.8</v>
      </c>
      <c r="F42" s="16" t="s">
        <v>98</v>
      </c>
      <c r="G42" s="16" t="s">
        <v>99</v>
      </c>
      <c r="H42" s="16" t="s">
        <v>100</v>
      </c>
      <c r="I42" s="23">
        <v>45566</v>
      </c>
      <c r="J42" s="16" t="s">
        <v>101</v>
      </c>
      <c r="K42" s="16" t="s">
        <v>102</v>
      </c>
      <c r="L42" s="16" t="s">
        <v>103</v>
      </c>
    </row>
    <row r="43" spans="2:12" x14ac:dyDescent="0.45">
      <c r="B43" s="18">
        <v>2030</v>
      </c>
      <c r="C43" s="14" t="s">
        <v>114</v>
      </c>
      <c r="D43" s="14" t="s">
        <v>115</v>
      </c>
      <c r="E43" s="19">
        <v>24.6</v>
      </c>
      <c r="F43" s="14" t="s">
        <v>98</v>
      </c>
      <c r="G43" s="14" t="s">
        <v>99</v>
      </c>
      <c r="H43" s="14" t="s">
        <v>100</v>
      </c>
      <c r="I43" s="20">
        <v>45566</v>
      </c>
      <c r="J43" s="14" t="s">
        <v>101</v>
      </c>
      <c r="K43" s="14" t="s">
        <v>102</v>
      </c>
      <c r="L43" s="14" t="s">
        <v>103</v>
      </c>
    </row>
    <row r="44" spans="2:12" x14ac:dyDescent="0.45">
      <c r="B44" s="21">
        <v>2030</v>
      </c>
      <c r="C44" s="16" t="s">
        <v>114</v>
      </c>
      <c r="D44" s="16" t="s">
        <v>115</v>
      </c>
      <c r="E44" s="22">
        <v>24.8</v>
      </c>
      <c r="F44" s="16" t="s">
        <v>98</v>
      </c>
      <c r="G44" s="16" t="s">
        <v>99</v>
      </c>
      <c r="H44" s="16" t="s">
        <v>100</v>
      </c>
      <c r="I44" s="23">
        <v>45356</v>
      </c>
      <c r="J44" s="16" t="s">
        <v>104</v>
      </c>
      <c r="K44" s="16" t="s">
        <v>105</v>
      </c>
      <c r="L44" s="16" t="s">
        <v>106</v>
      </c>
    </row>
    <row r="45" spans="2:12" x14ac:dyDescent="0.45">
      <c r="B45" s="18">
        <v>2030</v>
      </c>
      <c r="C45" s="14" t="s">
        <v>96</v>
      </c>
      <c r="D45" s="14" t="s">
        <v>116</v>
      </c>
      <c r="E45" s="19">
        <v>6</v>
      </c>
      <c r="F45" s="14" t="s">
        <v>98</v>
      </c>
      <c r="G45" s="14" t="s">
        <v>99</v>
      </c>
      <c r="H45" s="14" t="s">
        <v>100</v>
      </c>
      <c r="I45" s="20">
        <v>45566</v>
      </c>
      <c r="J45" s="14" t="s">
        <v>101</v>
      </c>
      <c r="K45" s="14" t="s">
        <v>102</v>
      </c>
      <c r="L45" s="14" t="s">
        <v>103</v>
      </c>
    </row>
    <row r="46" spans="2:12" x14ac:dyDescent="0.45">
      <c r="B46" s="21">
        <v>2030</v>
      </c>
      <c r="C46" s="16" t="s">
        <v>96</v>
      </c>
      <c r="D46" s="16" t="s">
        <v>116</v>
      </c>
      <c r="E46" s="22">
        <v>6</v>
      </c>
      <c r="F46" s="16" t="s">
        <v>98</v>
      </c>
      <c r="G46" s="16" t="s">
        <v>99</v>
      </c>
      <c r="H46" s="16" t="s">
        <v>100</v>
      </c>
      <c r="I46" s="23">
        <v>45356</v>
      </c>
      <c r="J46" s="16" t="s">
        <v>104</v>
      </c>
      <c r="K46" s="16" t="s">
        <v>105</v>
      </c>
      <c r="L46" s="16" t="s">
        <v>106</v>
      </c>
    </row>
    <row r="47" spans="2:12" x14ac:dyDescent="0.45">
      <c r="B47" s="18">
        <v>2030</v>
      </c>
      <c r="C47" s="14" t="s">
        <v>107</v>
      </c>
      <c r="D47" s="14" t="s">
        <v>116</v>
      </c>
      <c r="E47" s="19">
        <v>29.9</v>
      </c>
      <c r="F47" s="14" t="s">
        <v>98</v>
      </c>
      <c r="G47" s="14" t="s">
        <v>99</v>
      </c>
      <c r="H47" s="14" t="s">
        <v>100</v>
      </c>
      <c r="I47" s="20">
        <v>45356</v>
      </c>
      <c r="J47" s="14" t="s">
        <v>104</v>
      </c>
      <c r="K47" s="14" t="s">
        <v>105</v>
      </c>
      <c r="L47" s="14" t="s">
        <v>106</v>
      </c>
    </row>
    <row r="48" spans="2:12" x14ac:dyDescent="0.45">
      <c r="B48" s="21">
        <v>2030</v>
      </c>
      <c r="C48" s="16" t="s">
        <v>107</v>
      </c>
      <c r="D48" s="16" t="s">
        <v>116</v>
      </c>
      <c r="E48" s="22">
        <v>23.3</v>
      </c>
      <c r="F48" s="16" t="s">
        <v>98</v>
      </c>
      <c r="G48" s="16" t="s">
        <v>99</v>
      </c>
      <c r="H48" s="16" t="s">
        <v>100</v>
      </c>
      <c r="I48" s="23">
        <v>45566</v>
      </c>
      <c r="J48" s="16" t="s">
        <v>101</v>
      </c>
      <c r="K48" s="16" t="s">
        <v>102</v>
      </c>
      <c r="L48" s="16" t="s">
        <v>103</v>
      </c>
    </row>
    <row r="49" spans="2:12" x14ac:dyDescent="0.45">
      <c r="B49" s="18">
        <v>2030</v>
      </c>
      <c r="C49" s="14" t="s">
        <v>108</v>
      </c>
      <c r="D49" s="14" t="s">
        <v>116</v>
      </c>
      <c r="E49" s="19">
        <v>16.600000000000001</v>
      </c>
      <c r="F49" s="14" t="s">
        <v>98</v>
      </c>
      <c r="G49" s="14" t="s">
        <v>99</v>
      </c>
      <c r="H49" s="14" t="s">
        <v>100</v>
      </c>
      <c r="I49" s="20">
        <v>45566</v>
      </c>
      <c r="J49" s="14" t="s">
        <v>101</v>
      </c>
      <c r="K49" s="14" t="s">
        <v>102</v>
      </c>
      <c r="L49" s="14" t="s">
        <v>103</v>
      </c>
    </row>
    <row r="50" spans="2:12" x14ac:dyDescent="0.45">
      <c r="B50" s="21">
        <v>2030</v>
      </c>
      <c r="C50" s="16" t="s">
        <v>108</v>
      </c>
      <c r="D50" s="16" t="s">
        <v>116</v>
      </c>
      <c r="E50" s="22">
        <v>16.600000000000001</v>
      </c>
      <c r="F50" s="16" t="s">
        <v>98</v>
      </c>
      <c r="G50" s="16" t="s">
        <v>99</v>
      </c>
      <c r="H50" s="16" t="s">
        <v>100</v>
      </c>
      <c r="I50" s="23">
        <v>45356</v>
      </c>
      <c r="J50" s="16" t="s">
        <v>104</v>
      </c>
      <c r="K50" s="16" t="s">
        <v>105</v>
      </c>
      <c r="L50" s="16" t="s">
        <v>106</v>
      </c>
    </row>
    <row r="51" spans="2:12" x14ac:dyDescent="0.45">
      <c r="B51" s="18">
        <v>2030</v>
      </c>
      <c r="C51" s="14" t="s">
        <v>109</v>
      </c>
      <c r="D51" s="14" t="s">
        <v>116</v>
      </c>
      <c r="E51" s="19">
        <v>1.6</v>
      </c>
      <c r="F51" s="14" t="s">
        <v>98</v>
      </c>
      <c r="G51" s="14" t="s">
        <v>99</v>
      </c>
      <c r="H51" s="14" t="s">
        <v>100</v>
      </c>
      <c r="I51" s="20">
        <v>45566</v>
      </c>
      <c r="J51" s="14" t="s">
        <v>101</v>
      </c>
      <c r="K51" s="14" t="s">
        <v>102</v>
      </c>
      <c r="L51" s="14" t="s">
        <v>103</v>
      </c>
    </row>
    <row r="52" spans="2:12" x14ac:dyDescent="0.45">
      <c r="B52" s="21">
        <v>2030</v>
      </c>
      <c r="C52" s="16" t="s">
        <v>109</v>
      </c>
      <c r="D52" s="16" t="s">
        <v>116</v>
      </c>
      <c r="E52" s="22">
        <v>1.5</v>
      </c>
      <c r="F52" s="16" t="s">
        <v>98</v>
      </c>
      <c r="G52" s="16" t="s">
        <v>99</v>
      </c>
      <c r="H52" s="16" t="s">
        <v>100</v>
      </c>
      <c r="I52" s="23">
        <v>45356</v>
      </c>
      <c r="J52" s="16" t="s">
        <v>104</v>
      </c>
      <c r="K52" s="16" t="s">
        <v>105</v>
      </c>
      <c r="L52" s="16" t="s">
        <v>106</v>
      </c>
    </row>
    <row r="53" spans="2:12" x14ac:dyDescent="0.45">
      <c r="B53" s="18">
        <v>2030</v>
      </c>
      <c r="C53" s="14" t="s">
        <v>110</v>
      </c>
      <c r="D53" s="14" t="s">
        <v>116</v>
      </c>
      <c r="E53" s="19"/>
      <c r="F53" s="14" t="s">
        <v>98</v>
      </c>
      <c r="G53" s="14" t="s">
        <v>99</v>
      </c>
      <c r="H53" s="14" t="s">
        <v>100</v>
      </c>
      <c r="I53" s="20">
        <v>45356</v>
      </c>
      <c r="J53" s="14" t="s">
        <v>104</v>
      </c>
      <c r="K53" s="14" t="s">
        <v>105</v>
      </c>
      <c r="L53" s="14" t="s">
        <v>106</v>
      </c>
    </row>
    <row r="54" spans="2:12" x14ac:dyDescent="0.45">
      <c r="B54" s="21">
        <v>2030</v>
      </c>
      <c r="C54" s="16" t="s">
        <v>111</v>
      </c>
      <c r="D54" s="16" t="s">
        <v>116</v>
      </c>
      <c r="E54" s="22">
        <v>11.3</v>
      </c>
      <c r="F54" s="16" t="s">
        <v>98</v>
      </c>
      <c r="G54" s="16" t="s">
        <v>99</v>
      </c>
      <c r="H54" s="16" t="s">
        <v>100</v>
      </c>
      <c r="I54" s="23">
        <v>45356</v>
      </c>
      <c r="J54" s="16" t="s">
        <v>104</v>
      </c>
      <c r="K54" s="16" t="s">
        <v>105</v>
      </c>
      <c r="L54" s="16" t="s">
        <v>106</v>
      </c>
    </row>
    <row r="55" spans="2:12" x14ac:dyDescent="0.45">
      <c r="B55" s="18">
        <v>2030</v>
      </c>
      <c r="C55" s="14" t="s">
        <v>111</v>
      </c>
      <c r="D55" s="14" t="s">
        <v>116</v>
      </c>
      <c r="E55" s="19">
        <v>11.7</v>
      </c>
      <c r="F55" s="14" t="s">
        <v>98</v>
      </c>
      <c r="G55" s="14" t="s">
        <v>99</v>
      </c>
      <c r="H55" s="14" t="s">
        <v>100</v>
      </c>
      <c r="I55" s="20">
        <v>45566</v>
      </c>
      <c r="J55" s="14" t="s">
        <v>101</v>
      </c>
      <c r="K55" s="14" t="s">
        <v>102</v>
      </c>
      <c r="L55" s="14" t="s">
        <v>103</v>
      </c>
    </row>
    <row r="56" spans="2:12" x14ac:dyDescent="0.45">
      <c r="B56" s="21">
        <v>2030</v>
      </c>
      <c r="C56" s="16" t="s">
        <v>112</v>
      </c>
      <c r="D56" s="16" t="s">
        <v>116</v>
      </c>
      <c r="E56" s="22">
        <v>25.5</v>
      </c>
      <c r="F56" s="16" t="s">
        <v>98</v>
      </c>
      <c r="G56" s="16" t="s">
        <v>99</v>
      </c>
      <c r="H56" s="16" t="s">
        <v>100</v>
      </c>
      <c r="I56" s="23">
        <v>45566</v>
      </c>
      <c r="J56" s="16" t="s">
        <v>101</v>
      </c>
      <c r="K56" s="16" t="s">
        <v>102</v>
      </c>
      <c r="L56" s="16" t="s">
        <v>103</v>
      </c>
    </row>
    <row r="57" spans="2:12" x14ac:dyDescent="0.45">
      <c r="B57" s="18">
        <v>2030</v>
      </c>
      <c r="C57" s="14" t="s">
        <v>112</v>
      </c>
      <c r="D57" s="14" t="s">
        <v>116</v>
      </c>
      <c r="E57" s="19">
        <v>19.8</v>
      </c>
      <c r="F57" s="14" t="s">
        <v>98</v>
      </c>
      <c r="G57" s="14" t="s">
        <v>99</v>
      </c>
      <c r="H57" s="14" t="s">
        <v>100</v>
      </c>
      <c r="I57" s="20">
        <v>45356</v>
      </c>
      <c r="J57" s="14" t="s">
        <v>104</v>
      </c>
      <c r="K57" s="14" t="s">
        <v>105</v>
      </c>
      <c r="L57" s="14" t="s">
        <v>106</v>
      </c>
    </row>
    <row r="58" spans="2:12" x14ac:dyDescent="0.45">
      <c r="B58" s="21">
        <v>2030</v>
      </c>
      <c r="C58" s="16" t="s">
        <v>113</v>
      </c>
      <c r="D58" s="16" t="s">
        <v>116</v>
      </c>
      <c r="E58" s="22">
        <v>2.1</v>
      </c>
      <c r="F58" s="16" t="s">
        <v>98</v>
      </c>
      <c r="G58" s="16" t="s">
        <v>99</v>
      </c>
      <c r="H58" s="16" t="s">
        <v>100</v>
      </c>
      <c r="I58" s="23">
        <v>45356</v>
      </c>
      <c r="J58" s="16" t="s">
        <v>104</v>
      </c>
      <c r="K58" s="16" t="s">
        <v>105</v>
      </c>
      <c r="L58" s="16" t="s">
        <v>106</v>
      </c>
    </row>
    <row r="59" spans="2:12" x14ac:dyDescent="0.45">
      <c r="B59" s="18">
        <v>2030</v>
      </c>
      <c r="C59" s="14" t="s">
        <v>113</v>
      </c>
      <c r="D59" s="14" t="s">
        <v>116</v>
      </c>
      <c r="E59" s="19">
        <v>2</v>
      </c>
      <c r="F59" s="14" t="s">
        <v>98</v>
      </c>
      <c r="G59" s="14" t="s">
        <v>99</v>
      </c>
      <c r="H59" s="14" t="s">
        <v>100</v>
      </c>
      <c r="I59" s="20">
        <v>45566</v>
      </c>
      <c r="J59" s="14" t="s">
        <v>101</v>
      </c>
      <c r="K59" s="14" t="s">
        <v>102</v>
      </c>
      <c r="L59" s="14" t="s">
        <v>103</v>
      </c>
    </row>
    <row r="60" spans="2:12" x14ac:dyDescent="0.45">
      <c r="B60" s="21">
        <v>2030</v>
      </c>
      <c r="C60" s="16" t="s">
        <v>114</v>
      </c>
      <c r="D60" s="16" t="s">
        <v>116</v>
      </c>
      <c r="E60" s="22">
        <v>13.3</v>
      </c>
      <c r="F60" s="16" t="s">
        <v>98</v>
      </c>
      <c r="G60" s="16" t="s">
        <v>99</v>
      </c>
      <c r="H60" s="16" t="s">
        <v>100</v>
      </c>
      <c r="I60" s="23">
        <v>45566</v>
      </c>
      <c r="J60" s="16" t="s">
        <v>101</v>
      </c>
      <c r="K60" s="16" t="s">
        <v>102</v>
      </c>
      <c r="L60" s="16" t="s">
        <v>103</v>
      </c>
    </row>
    <row r="61" spans="2:12" x14ac:dyDescent="0.45">
      <c r="B61" s="18">
        <v>2030</v>
      </c>
      <c r="C61" s="14" t="s">
        <v>114</v>
      </c>
      <c r="D61" s="14" t="s">
        <v>116</v>
      </c>
      <c r="E61" s="19">
        <v>12.9</v>
      </c>
      <c r="F61" s="14" t="s">
        <v>98</v>
      </c>
      <c r="G61" s="14" t="s">
        <v>99</v>
      </c>
      <c r="H61" s="14" t="s">
        <v>100</v>
      </c>
      <c r="I61" s="20">
        <v>45356</v>
      </c>
      <c r="J61" s="14" t="s">
        <v>104</v>
      </c>
      <c r="K61" s="14" t="s">
        <v>105</v>
      </c>
      <c r="L61" s="14" t="s">
        <v>106</v>
      </c>
    </row>
    <row r="62" spans="2:12" x14ac:dyDescent="0.45">
      <c r="B62" s="21">
        <v>2030</v>
      </c>
      <c r="C62" s="16" t="s">
        <v>96</v>
      </c>
      <c r="D62" s="16" t="s">
        <v>97</v>
      </c>
      <c r="E62" s="22">
        <v>2.4700000000000002</v>
      </c>
      <c r="F62" s="16" t="s">
        <v>117</v>
      </c>
      <c r="G62" s="16" t="s">
        <v>118</v>
      </c>
      <c r="H62" s="16" t="s">
        <v>119</v>
      </c>
      <c r="I62" s="23">
        <v>45078</v>
      </c>
      <c r="J62" s="16" t="s">
        <v>120</v>
      </c>
      <c r="K62" s="16" t="s">
        <v>121</v>
      </c>
      <c r="L62" s="16" t="s">
        <v>122</v>
      </c>
    </row>
    <row r="63" spans="2:12" x14ac:dyDescent="0.45">
      <c r="B63" s="18">
        <v>2030</v>
      </c>
      <c r="C63" s="14" t="s">
        <v>107</v>
      </c>
      <c r="D63" s="14" t="s">
        <v>97</v>
      </c>
      <c r="E63" s="19">
        <v>19.489999999999998</v>
      </c>
      <c r="F63" s="14" t="s">
        <v>117</v>
      </c>
      <c r="G63" s="14" t="s">
        <v>118</v>
      </c>
      <c r="H63" s="14" t="s">
        <v>119</v>
      </c>
      <c r="I63" s="20">
        <v>45078</v>
      </c>
      <c r="J63" s="14" t="s">
        <v>120</v>
      </c>
      <c r="K63" s="14" t="s">
        <v>121</v>
      </c>
      <c r="L63" s="14" t="s">
        <v>122</v>
      </c>
    </row>
    <row r="64" spans="2:12" x14ac:dyDescent="0.45">
      <c r="B64" s="21">
        <v>2030</v>
      </c>
      <c r="C64" s="16" t="s">
        <v>108</v>
      </c>
      <c r="D64" s="16" t="s">
        <v>97</v>
      </c>
      <c r="E64" s="22">
        <v>13.01</v>
      </c>
      <c r="F64" s="16" t="s">
        <v>117</v>
      </c>
      <c r="G64" s="16" t="s">
        <v>118</v>
      </c>
      <c r="H64" s="16" t="s">
        <v>119</v>
      </c>
      <c r="I64" s="23">
        <v>45078</v>
      </c>
      <c r="J64" s="16" t="s">
        <v>120</v>
      </c>
      <c r="K64" s="16" t="s">
        <v>121</v>
      </c>
      <c r="L64" s="16" t="s">
        <v>122</v>
      </c>
    </row>
    <row r="65" spans="2:12" x14ac:dyDescent="0.45">
      <c r="B65" s="18">
        <v>2030</v>
      </c>
      <c r="C65" s="14" t="s">
        <v>109</v>
      </c>
      <c r="D65" s="14" t="s">
        <v>97</v>
      </c>
      <c r="E65" s="19">
        <v>1.1299999999999999</v>
      </c>
      <c r="F65" s="14" t="s">
        <v>117</v>
      </c>
      <c r="G65" s="14" t="s">
        <v>118</v>
      </c>
      <c r="H65" s="14" t="s">
        <v>119</v>
      </c>
      <c r="I65" s="20">
        <v>45078</v>
      </c>
      <c r="J65" s="14" t="s">
        <v>120</v>
      </c>
      <c r="K65" s="14" t="s">
        <v>121</v>
      </c>
      <c r="L65" s="14" t="s">
        <v>122</v>
      </c>
    </row>
    <row r="66" spans="2:12" x14ac:dyDescent="0.45">
      <c r="B66" s="21">
        <v>2030</v>
      </c>
      <c r="C66" s="16" t="s">
        <v>110</v>
      </c>
      <c r="D66" s="16" t="s">
        <v>97</v>
      </c>
      <c r="E66" s="22">
        <v>0.3</v>
      </c>
      <c r="F66" s="16" t="s">
        <v>117</v>
      </c>
      <c r="G66" s="16" t="s">
        <v>118</v>
      </c>
      <c r="H66" s="16" t="s">
        <v>119</v>
      </c>
      <c r="I66" s="23">
        <v>45078</v>
      </c>
      <c r="J66" s="16" t="s">
        <v>120</v>
      </c>
      <c r="K66" s="16" t="s">
        <v>121</v>
      </c>
      <c r="L66" s="16" t="s">
        <v>122</v>
      </c>
    </row>
    <row r="67" spans="2:12" x14ac:dyDescent="0.45">
      <c r="B67" s="18">
        <v>2030</v>
      </c>
      <c r="C67" s="14" t="s">
        <v>111</v>
      </c>
      <c r="D67" s="14" t="s">
        <v>97</v>
      </c>
      <c r="E67" s="19">
        <v>5.9</v>
      </c>
      <c r="F67" s="14" t="s">
        <v>117</v>
      </c>
      <c r="G67" s="14" t="s">
        <v>118</v>
      </c>
      <c r="H67" s="14" t="s">
        <v>119</v>
      </c>
      <c r="I67" s="20">
        <v>45078</v>
      </c>
      <c r="J67" s="14" t="s">
        <v>120</v>
      </c>
      <c r="K67" s="14" t="s">
        <v>121</v>
      </c>
      <c r="L67" s="14" t="s">
        <v>122</v>
      </c>
    </row>
    <row r="68" spans="2:12" x14ac:dyDescent="0.45">
      <c r="B68" s="21">
        <v>2030</v>
      </c>
      <c r="C68" s="16" t="s">
        <v>112</v>
      </c>
      <c r="D68" s="16" t="s">
        <v>97</v>
      </c>
      <c r="E68" s="22">
        <v>13.94</v>
      </c>
      <c r="F68" s="16" t="s">
        <v>117</v>
      </c>
      <c r="G68" s="16" t="s">
        <v>118</v>
      </c>
      <c r="H68" s="16" t="s">
        <v>119</v>
      </c>
      <c r="I68" s="23">
        <v>45078</v>
      </c>
      <c r="J68" s="16" t="s">
        <v>120</v>
      </c>
      <c r="K68" s="16" t="s">
        <v>121</v>
      </c>
      <c r="L68" s="16" t="s">
        <v>122</v>
      </c>
    </row>
    <row r="69" spans="2:12" x14ac:dyDescent="0.45">
      <c r="B69" s="18">
        <v>2030</v>
      </c>
      <c r="C69" s="14" t="s">
        <v>113</v>
      </c>
      <c r="D69" s="14" t="s">
        <v>97</v>
      </c>
      <c r="E69" s="19">
        <v>0.95</v>
      </c>
      <c r="F69" s="14" t="s">
        <v>117</v>
      </c>
      <c r="G69" s="14" t="s">
        <v>118</v>
      </c>
      <c r="H69" s="14" t="s">
        <v>119</v>
      </c>
      <c r="I69" s="20">
        <v>45078</v>
      </c>
      <c r="J69" s="14" t="s">
        <v>120</v>
      </c>
      <c r="K69" s="14" t="s">
        <v>121</v>
      </c>
      <c r="L69" s="14" t="s">
        <v>122</v>
      </c>
    </row>
    <row r="70" spans="2:12" x14ac:dyDescent="0.45">
      <c r="B70" s="21">
        <v>2030</v>
      </c>
      <c r="C70" s="16" t="s">
        <v>114</v>
      </c>
      <c r="D70" s="16" t="s">
        <v>97</v>
      </c>
      <c r="E70" s="22">
        <v>27</v>
      </c>
      <c r="F70" s="16" t="s">
        <v>117</v>
      </c>
      <c r="G70" s="16" t="s">
        <v>118</v>
      </c>
      <c r="H70" s="16" t="s">
        <v>119</v>
      </c>
      <c r="I70" s="23">
        <v>45078</v>
      </c>
      <c r="J70" s="16" t="s">
        <v>120</v>
      </c>
      <c r="K70" s="16" t="s">
        <v>121</v>
      </c>
      <c r="L70" s="16" t="s">
        <v>122</v>
      </c>
    </row>
    <row r="71" spans="2:12" x14ac:dyDescent="0.45">
      <c r="B71" s="18">
        <v>2030</v>
      </c>
      <c r="C71" s="14" t="s">
        <v>96</v>
      </c>
      <c r="D71" s="14" t="s">
        <v>115</v>
      </c>
      <c r="E71" s="19">
        <v>10.119999999999999</v>
      </c>
      <c r="F71" s="14" t="s">
        <v>117</v>
      </c>
      <c r="G71" s="14" t="s">
        <v>118</v>
      </c>
      <c r="H71" s="14" t="s">
        <v>119</v>
      </c>
      <c r="I71" s="20">
        <v>45078</v>
      </c>
      <c r="J71" s="14" t="s">
        <v>120</v>
      </c>
      <c r="K71" s="14" t="s">
        <v>121</v>
      </c>
      <c r="L71" s="14" t="s">
        <v>122</v>
      </c>
    </row>
    <row r="72" spans="2:12" x14ac:dyDescent="0.45">
      <c r="B72" s="21">
        <v>2030</v>
      </c>
      <c r="C72" s="16" t="s">
        <v>107</v>
      </c>
      <c r="D72" s="16" t="s">
        <v>115</v>
      </c>
      <c r="E72" s="22">
        <v>69.36</v>
      </c>
      <c r="F72" s="16" t="s">
        <v>117</v>
      </c>
      <c r="G72" s="16" t="s">
        <v>118</v>
      </c>
      <c r="H72" s="16" t="s">
        <v>119</v>
      </c>
      <c r="I72" s="23">
        <v>45078</v>
      </c>
      <c r="J72" s="16" t="s">
        <v>120</v>
      </c>
      <c r="K72" s="16" t="s">
        <v>121</v>
      </c>
      <c r="L72" s="16" t="s">
        <v>122</v>
      </c>
    </row>
    <row r="73" spans="2:12" x14ac:dyDescent="0.45">
      <c r="B73" s="18">
        <v>2030</v>
      </c>
      <c r="C73" s="14" t="s">
        <v>108</v>
      </c>
      <c r="D73" s="14" t="s">
        <v>115</v>
      </c>
      <c r="E73" s="19">
        <v>29.45</v>
      </c>
      <c r="F73" s="14" t="s">
        <v>117</v>
      </c>
      <c r="G73" s="14" t="s">
        <v>118</v>
      </c>
      <c r="H73" s="14" t="s">
        <v>119</v>
      </c>
      <c r="I73" s="20">
        <v>45078</v>
      </c>
      <c r="J73" s="14" t="s">
        <v>120</v>
      </c>
      <c r="K73" s="14" t="s">
        <v>121</v>
      </c>
      <c r="L73" s="14" t="s">
        <v>122</v>
      </c>
    </row>
    <row r="74" spans="2:12" x14ac:dyDescent="0.45">
      <c r="B74" s="21">
        <v>2030</v>
      </c>
      <c r="C74" s="16" t="s">
        <v>109</v>
      </c>
      <c r="D74" s="16" t="s">
        <v>115</v>
      </c>
      <c r="E74" s="22">
        <v>2</v>
      </c>
      <c r="F74" s="16" t="s">
        <v>117</v>
      </c>
      <c r="G74" s="16" t="s">
        <v>118</v>
      </c>
      <c r="H74" s="16" t="s">
        <v>119</v>
      </c>
      <c r="I74" s="23">
        <v>45078</v>
      </c>
      <c r="J74" s="16" t="s">
        <v>120</v>
      </c>
      <c r="K74" s="16" t="s">
        <v>121</v>
      </c>
      <c r="L74" s="16" t="s">
        <v>122</v>
      </c>
    </row>
    <row r="75" spans="2:12" x14ac:dyDescent="0.45">
      <c r="B75" s="18">
        <v>2030</v>
      </c>
      <c r="C75" s="14" t="s">
        <v>110</v>
      </c>
      <c r="D75" s="14" t="s">
        <v>115</v>
      </c>
      <c r="E75" s="19">
        <v>1.05</v>
      </c>
      <c r="F75" s="14" t="s">
        <v>117</v>
      </c>
      <c r="G75" s="14" t="s">
        <v>118</v>
      </c>
      <c r="H75" s="14" t="s">
        <v>119</v>
      </c>
      <c r="I75" s="20">
        <v>45078</v>
      </c>
      <c r="J75" s="14" t="s">
        <v>120</v>
      </c>
      <c r="K75" s="14" t="s">
        <v>121</v>
      </c>
      <c r="L75" s="14" t="s">
        <v>122</v>
      </c>
    </row>
    <row r="76" spans="2:12" x14ac:dyDescent="0.45">
      <c r="B76" s="21">
        <v>2030</v>
      </c>
      <c r="C76" s="16" t="s">
        <v>111</v>
      </c>
      <c r="D76" s="16" t="s">
        <v>115</v>
      </c>
      <c r="E76" s="22">
        <v>21.57</v>
      </c>
      <c r="F76" s="16" t="s">
        <v>117</v>
      </c>
      <c r="G76" s="16" t="s">
        <v>118</v>
      </c>
      <c r="H76" s="16" t="s">
        <v>119</v>
      </c>
      <c r="I76" s="23">
        <v>45078</v>
      </c>
      <c r="J76" s="16" t="s">
        <v>120</v>
      </c>
      <c r="K76" s="16" t="s">
        <v>121</v>
      </c>
      <c r="L76" s="16" t="s">
        <v>122</v>
      </c>
    </row>
    <row r="77" spans="2:12" x14ac:dyDescent="0.45">
      <c r="B77" s="18">
        <v>2030</v>
      </c>
      <c r="C77" s="14" t="s">
        <v>112</v>
      </c>
      <c r="D77" s="14" t="s">
        <v>115</v>
      </c>
      <c r="E77" s="19">
        <v>34.369999999999997</v>
      </c>
      <c r="F77" s="14" t="s">
        <v>117</v>
      </c>
      <c r="G77" s="14" t="s">
        <v>118</v>
      </c>
      <c r="H77" s="14" t="s">
        <v>119</v>
      </c>
      <c r="I77" s="20">
        <v>45078</v>
      </c>
      <c r="J77" s="14" t="s">
        <v>120</v>
      </c>
      <c r="K77" s="14" t="s">
        <v>121</v>
      </c>
      <c r="L77" s="14" t="s">
        <v>122</v>
      </c>
    </row>
    <row r="78" spans="2:12" x14ac:dyDescent="0.45">
      <c r="B78" s="21">
        <v>2030</v>
      </c>
      <c r="C78" s="16" t="s">
        <v>113</v>
      </c>
      <c r="D78" s="16" t="s">
        <v>115</v>
      </c>
      <c r="E78" s="22">
        <v>4.43</v>
      </c>
      <c r="F78" s="16" t="s">
        <v>117</v>
      </c>
      <c r="G78" s="16" t="s">
        <v>118</v>
      </c>
      <c r="H78" s="16" t="s">
        <v>119</v>
      </c>
      <c r="I78" s="23">
        <v>45078</v>
      </c>
      <c r="J78" s="16" t="s">
        <v>120</v>
      </c>
      <c r="K78" s="16" t="s">
        <v>121</v>
      </c>
      <c r="L78" s="16" t="s">
        <v>122</v>
      </c>
    </row>
    <row r="79" spans="2:12" x14ac:dyDescent="0.45">
      <c r="B79" s="18">
        <v>2030</v>
      </c>
      <c r="C79" s="14" t="s">
        <v>114</v>
      </c>
      <c r="D79" s="14" t="s">
        <v>115</v>
      </c>
      <c r="E79" s="19">
        <v>25.12</v>
      </c>
      <c r="F79" s="14" t="s">
        <v>117</v>
      </c>
      <c r="G79" s="14" t="s">
        <v>118</v>
      </c>
      <c r="H79" s="14" t="s">
        <v>119</v>
      </c>
      <c r="I79" s="20">
        <v>45078</v>
      </c>
      <c r="J79" s="14" t="s">
        <v>120</v>
      </c>
      <c r="K79" s="14" t="s">
        <v>121</v>
      </c>
      <c r="L79" s="14" t="s">
        <v>122</v>
      </c>
    </row>
    <row r="80" spans="2:12" x14ac:dyDescent="0.45">
      <c r="B80" s="21">
        <v>2030</v>
      </c>
      <c r="C80" s="16" t="s">
        <v>96</v>
      </c>
      <c r="D80" s="16" t="s">
        <v>116</v>
      </c>
      <c r="E80" s="22">
        <v>5.12</v>
      </c>
      <c r="F80" s="16" t="s">
        <v>117</v>
      </c>
      <c r="G80" s="16" t="s">
        <v>118</v>
      </c>
      <c r="H80" s="16" t="s">
        <v>119</v>
      </c>
      <c r="I80" s="23">
        <v>45078</v>
      </c>
      <c r="J80" s="16" t="s">
        <v>120</v>
      </c>
      <c r="K80" s="16" t="s">
        <v>121</v>
      </c>
      <c r="L80" s="16" t="s">
        <v>122</v>
      </c>
    </row>
    <row r="81" spans="2:12" x14ac:dyDescent="0.45">
      <c r="B81" s="18">
        <v>2030</v>
      </c>
      <c r="C81" s="14" t="s">
        <v>107</v>
      </c>
      <c r="D81" s="14" t="s">
        <v>116</v>
      </c>
      <c r="E81" s="19">
        <v>35.119999999999997</v>
      </c>
      <c r="F81" s="14" t="s">
        <v>117</v>
      </c>
      <c r="G81" s="14" t="s">
        <v>118</v>
      </c>
      <c r="H81" s="14" t="s">
        <v>119</v>
      </c>
      <c r="I81" s="20">
        <v>45078</v>
      </c>
      <c r="J81" s="14" t="s">
        <v>120</v>
      </c>
      <c r="K81" s="14" t="s">
        <v>121</v>
      </c>
      <c r="L81" s="14" t="s">
        <v>122</v>
      </c>
    </row>
    <row r="82" spans="2:12" x14ac:dyDescent="0.45">
      <c r="B82" s="21">
        <v>2030</v>
      </c>
      <c r="C82" s="16" t="s">
        <v>108</v>
      </c>
      <c r="D82" s="16" t="s">
        <v>116</v>
      </c>
      <c r="E82" s="22">
        <v>14.92</v>
      </c>
      <c r="F82" s="16" t="s">
        <v>117</v>
      </c>
      <c r="G82" s="16" t="s">
        <v>118</v>
      </c>
      <c r="H82" s="16" t="s">
        <v>119</v>
      </c>
      <c r="I82" s="23">
        <v>45078</v>
      </c>
      <c r="J82" s="16" t="s">
        <v>120</v>
      </c>
      <c r="K82" s="16" t="s">
        <v>121</v>
      </c>
      <c r="L82" s="16" t="s">
        <v>122</v>
      </c>
    </row>
    <row r="83" spans="2:12" x14ac:dyDescent="0.45">
      <c r="B83" s="18">
        <v>2030</v>
      </c>
      <c r="C83" s="14" t="s">
        <v>109</v>
      </c>
      <c r="D83" s="14" t="s">
        <v>116</v>
      </c>
      <c r="E83" s="19">
        <v>1.01</v>
      </c>
      <c r="F83" s="14" t="s">
        <v>117</v>
      </c>
      <c r="G83" s="14" t="s">
        <v>118</v>
      </c>
      <c r="H83" s="14" t="s">
        <v>119</v>
      </c>
      <c r="I83" s="20">
        <v>45078</v>
      </c>
      <c r="J83" s="14" t="s">
        <v>120</v>
      </c>
      <c r="K83" s="14" t="s">
        <v>121</v>
      </c>
      <c r="L83" s="14" t="s">
        <v>122</v>
      </c>
    </row>
    <row r="84" spans="2:12" x14ac:dyDescent="0.45">
      <c r="B84" s="21">
        <v>2030</v>
      </c>
      <c r="C84" s="16" t="s">
        <v>110</v>
      </c>
      <c r="D84" s="16" t="s">
        <v>116</v>
      </c>
      <c r="E84" s="22">
        <v>0.53</v>
      </c>
      <c r="F84" s="16" t="s">
        <v>117</v>
      </c>
      <c r="G84" s="16" t="s">
        <v>118</v>
      </c>
      <c r="H84" s="16" t="s">
        <v>119</v>
      </c>
      <c r="I84" s="23">
        <v>45078</v>
      </c>
      <c r="J84" s="16" t="s">
        <v>120</v>
      </c>
      <c r="K84" s="16" t="s">
        <v>121</v>
      </c>
      <c r="L84" s="16" t="s">
        <v>122</v>
      </c>
    </row>
    <row r="85" spans="2:12" x14ac:dyDescent="0.45">
      <c r="B85" s="18">
        <v>2030</v>
      </c>
      <c r="C85" s="14" t="s">
        <v>111</v>
      </c>
      <c r="D85" s="14" t="s">
        <v>116</v>
      </c>
      <c r="E85" s="19">
        <v>10.92</v>
      </c>
      <c r="F85" s="14" t="s">
        <v>117</v>
      </c>
      <c r="G85" s="14" t="s">
        <v>118</v>
      </c>
      <c r="H85" s="14" t="s">
        <v>119</v>
      </c>
      <c r="I85" s="20">
        <v>45078</v>
      </c>
      <c r="J85" s="14" t="s">
        <v>120</v>
      </c>
      <c r="K85" s="14" t="s">
        <v>121</v>
      </c>
      <c r="L85" s="14" t="s">
        <v>122</v>
      </c>
    </row>
    <row r="86" spans="2:12" x14ac:dyDescent="0.45">
      <c r="B86" s="21">
        <v>2030</v>
      </c>
      <c r="C86" s="16" t="s">
        <v>112</v>
      </c>
      <c r="D86" s="16" t="s">
        <v>116</v>
      </c>
      <c r="E86" s="22">
        <v>17.399999999999999</v>
      </c>
      <c r="F86" s="16" t="s">
        <v>117</v>
      </c>
      <c r="G86" s="16" t="s">
        <v>118</v>
      </c>
      <c r="H86" s="16" t="s">
        <v>119</v>
      </c>
      <c r="I86" s="23">
        <v>45078</v>
      </c>
      <c r="J86" s="16" t="s">
        <v>120</v>
      </c>
      <c r="K86" s="16" t="s">
        <v>121</v>
      </c>
      <c r="L86" s="16" t="s">
        <v>122</v>
      </c>
    </row>
    <row r="87" spans="2:12" x14ac:dyDescent="0.45">
      <c r="B87" s="18">
        <v>2030</v>
      </c>
      <c r="C87" s="14" t="s">
        <v>113</v>
      </c>
      <c r="D87" s="14" t="s">
        <v>116</v>
      </c>
      <c r="E87" s="19">
        <v>2.2400000000000002</v>
      </c>
      <c r="F87" s="14" t="s">
        <v>117</v>
      </c>
      <c r="G87" s="14" t="s">
        <v>118</v>
      </c>
      <c r="H87" s="14" t="s">
        <v>119</v>
      </c>
      <c r="I87" s="20">
        <v>45078</v>
      </c>
      <c r="J87" s="14" t="s">
        <v>120</v>
      </c>
      <c r="K87" s="14" t="s">
        <v>121</v>
      </c>
      <c r="L87" s="14" t="s">
        <v>122</v>
      </c>
    </row>
    <row r="88" spans="2:12" x14ac:dyDescent="0.45">
      <c r="B88" s="21">
        <v>2030</v>
      </c>
      <c r="C88" s="16" t="s">
        <v>114</v>
      </c>
      <c r="D88" s="16" t="s">
        <v>116</v>
      </c>
      <c r="E88" s="22">
        <v>12.72</v>
      </c>
      <c r="F88" s="16" t="s">
        <v>117</v>
      </c>
      <c r="G88" s="16" t="s">
        <v>118</v>
      </c>
      <c r="H88" s="16" t="s">
        <v>119</v>
      </c>
      <c r="I88" s="23">
        <v>45078</v>
      </c>
      <c r="J88" s="16" t="s">
        <v>120</v>
      </c>
      <c r="K88" s="16" t="s">
        <v>121</v>
      </c>
      <c r="L88" s="16" t="s">
        <v>122</v>
      </c>
    </row>
  </sheetData>
  <mergeCells count="1">
    <mergeCell ref="A1:I1"/>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29"/>
  <sheetViews>
    <sheetView workbookViewId="0">
      <selection activeCell="E28" sqref="E28"/>
    </sheetView>
  </sheetViews>
  <sheetFormatPr defaultRowHeight="14.25" x14ac:dyDescent="0.45"/>
  <cols>
    <col min="2" max="2" width="10.9296875" bestFit="1" customWidth="1"/>
    <col min="3" max="3" width="10.73046875" bestFit="1" customWidth="1"/>
    <col min="4" max="4" width="8.59765625" customWidth="1"/>
    <col min="5" max="5" width="9.53125" customWidth="1"/>
    <col min="6" max="6" width="9.73046875" bestFit="1" customWidth="1"/>
    <col min="7"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45</v>
      </c>
      <c r="G2" s="6" t="s">
        <v>46</v>
      </c>
      <c r="H2" s="6" t="s">
        <v>47</v>
      </c>
      <c r="I2" s="6" t="s">
        <v>48</v>
      </c>
      <c r="J2" s="6" t="s">
        <v>49</v>
      </c>
    </row>
    <row r="3" spans="1:38" x14ac:dyDescent="0.45">
      <c r="B3" t="s">
        <v>0</v>
      </c>
      <c r="F3" t="s">
        <v>50</v>
      </c>
      <c r="G3" s="3">
        <v>0.7139381690246277</v>
      </c>
      <c r="H3" s="3">
        <v>5.5321390937829289</v>
      </c>
      <c r="I3" s="3">
        <v>0.71875781662910276</v>
      </c>
      <c r="J3" s="3">
        <v>5.5376924671124153</v>
      </c>
      <c r="V3" t="s">
        <v>1</v>
      </c>
    </row>
    <row r="4" spans="1:38" x14ac:dyDescent="0.45">
      <c r="A4" t="s">
        <v>43</v>
      </c>
      <c r="B4" t="s">
        <v>2</v>
      </c>
      <c r="C4" t="s">
        <v>3</v>
      </c>
      <c r="D4" t="s">
        <v>4</v>
      </c>
      <c r="F4" t="s">
        <v>5</v>
      </c>
      <c r="G4" s="3">
        <v>0.41249645642240401</v>
      </c>
      <c r="H4" s="3">
        <v>0.56888011763795365</v>
      </c>
      <c r="I4" s="3"/>
      <c r="J4" s="3"/>
    </row>
    <row r="5" spans="1:38" x14ac:dyDescent="0.45">
      <c r="B5" t="s">
        <v>80</v>
      </c>
      <c r="C5" t="s">
        <v>38</v>
      </c>
      <c r="D5" s="4"/>
      <c r="F5" t="s">
        <v>8</v>
      </c>
      <c r="G5" s="3">
        <v>0.25893752088205818</v>
      </c>
      <c r="H5" s="3">
        <v>0.75748781054097991</v>
      </c>
      <c r="I5" s="3"/>
      <c r="J5" s="3"/>
    </row>
    <row r="6" spans="1:38" x14ac:dyDescent="0.45">
      <c r="A6" s="5">
        <v>0.28000000000000003</v>
      </c>
      <c r="B6" t="s">
        <v>76</v>
      </c>
      <c r="C6" t="s">
        <v>7</v>
      </c>
      <c r="D6" s="4" t="str">
        <f>IFERROR(MIN(VLOOKUP(B6,$F$3:$J$11,5,FALSE),$A$6),"")</f>
        <v/>
      </c>
      <c r="F6" t="s">
        <v>6</v>
      </c>
      <c r="G6" s="3">
        <v>0.21760844748858449</v>
      </c>
      <c r="H6" s="3">
        <v>0.3546099290780142</v>
      </c>
      <c r="I6" s="3">
        <v>0.11397098100980382</v>
      </c>
      <c r="J6" s="3">
        <v>0.21563794083140178</v>
      </c>
      <c r="U6" t="s">
        <v>11</v>
      </c>
      <c r="AF6" t="s">
        <v>10</v>
      </c>
    </row>
    <row r="7" spans="1:38" x14ac:dyDescent="0.45">
      <c r="B7" t="s">
        <v>77</v>
      </c>
      <c r="C7" t="s">
        <v>7</v>
      </c>
      <c r="D7" s="4" t="str">
        <f t="shared" ref="D7" si="0">IFERROR(VLOOKUP(B7,$F$3:$J$11,5,FALSE),"")</f>
        <v/>
      </c>
      <c r="F7" t="s">
        <v>19</v>
      </c>
      <c r="G7" s="3"/>
      <c r="H7" s="3"/>
      <c r="I7" s="3"/>
      <c r="J7" s="3"/>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23</v>
      </c>
      <c r="G8" s="3">
        <v>65535</v>
      </c>
      <c r="H8" s="3">
        <v>65535</v>
      </c>
      <c r="I8" s="3">
        <v>7.0435044060945485E-3</v>
      </c>
      <c r="J8" s="3">
        <v>1.2511109068064111E-2</v>
      </c>
      <c r="U8" t="s">
        <v>20</v>
      </c>
      <c r="V8" t="s">
        <v>5</v>
      </c>
      <c r="W8" s="1" t="s">
        <v>21</v>
      </c>
      <c r="X8" s="2">
        <f>-1/8.76</f>
        <v>-0.11415525114155252</v>
      </c>
      <c r="Z8" s="2">
        <f>VLOOKUP(V8,$F$3:$J$11,3,FALSE)</f>
        <v>0.56888011763795365</v>
      </c>
      <c r="AA8" s="2">
        <f>Z8*$AB$1</f>
        <v>0.62576812940174908</v>
      </c>
      <c r="AB8">
        <v>0</v>
      </c>
      <c r="AC8">
        <v>3</v>
      </c>
      <c r="AF8" t="s">
        <v>22</v>
      </c>
      <c r="AG8" t="s">
        <v>5</v>
      </c>
      <c r="AH8">
        <f>-1/8.76</f>
        <v>-0.11415525114155252</v>
      </c>
      <c r="AI8" s="2">
        <f>VLOOKUP(AG8,$F$3:$J$11,2,FALSE)</f>
        <v>0.41249645642240401</v>
      </c>
      <c r="AJ8">
        <f>AI8*$AD$1</f>
        <v>8.2499291284480802E-2</v>
      </c>
      <c r="AK8">
        <v>0</v>
      </c>
      <c r="AL8">
        <v>3</v>
      </c>
    </row>
    <row r="9" spans="1:38" x14ac:dyDescent="0.45">
      <c r="F9" t="s">
        <v>9</v>
      </c>
      <c r="G9" s="3">
        <v>3.8051750380517509E-2</v>
      </c>
      <c r="H9" s="3">
        <v>8.8378258948298719E-2</v>
      </c>
      <c r="I9" s="3">
        <v>1.7997449504298817E-2</v>
      </c>
      <c r="J9" s="3">
        <v>0.10019318580962418</v>
      </c>
      <c r="U9" t="s">
        <v>24</v>
      </c>
      <c r="V9" t="s">
        <v>8</v>
      </c>
      <c r="W9" s="1" t="s">
        <v>21</v>
      </c>
      <c r="X9" s="2">
        <f>-1/8.76</f>
        <v>-0.11415525114155252</v>
      </c>
      <c r="Z9" s="2">
        <f>VLOOKUP(V9,$F$3:$J$11,3,FALSE)</f>
        <v>0.75748781054097991</v>
      </c>
      <c r="AA9" s="2">
        <f>Z9*$AB$1</f>
        <v>0.83323659159507801</v>
      </c>
      <c r="AB9">
        <v>0</v>
      </c>
      <c r="AC9">
        <v>3</v>
      </c>
      <c r="AF9" t="s">
        <v>25</v>
      </c>
      <c r="AG9" t="s">
        <v>8</v>
      </c>
      <c r="AH9">
        <f>-1/8.76</f>
        <v>-0.11415525114155252</v>
      </c>
      <c r="AI9" s="2">
        <f>VLOOKUP(AG9,$F$3:$J$11,2,FALSE)</f>
        <v>0.25893752088205818</v>
      </c>
      <c r="AJ9">
        <f>AI9*$AD$1</f>
        <v>5.178750417641164E-2</v>
      </c>
      <c r="AK9">
        <v>0</v>
      </c>
      <c r="AL9">
        <v>3</v>
      </c>
    </row>
    <row r="10" spans="1:38" ht="14.65" customHeight="1" x14ac:dyDescent="0.45">
      <c r="F10" t="s">
        <v>83</v>
      </c>
      <c r="G10" s="3">
        <v>5.7077625570776259E-2</v>
      </c>
      <c r="H10" s="3">
        <v>0.39954337899543385</v>
      </c>
      <c r="I10" s="3">
        <v>8.4114395577986056E-2</v>
      </c>
      <c r="J10" s="3">
        <v>0.40616152968036529</v>
      </c>
      <c r="AF10" t="s">
        <v>81</v>
      </c>
      <c r="AG10" t="s">
        <v>23</v>
      </c>
      <c r="AH10">
        <f>-1/8.76</f>
        <v>-0.11415525114155252</v>
      </c>
      <c r="AI10" s="2">
        <f>VLOOKUP(AG10,$F$3:$J$11,2,FALSE)</f>
        <v>65535</v>
      </c>
      <c r="AJ10" s="12">
        <f>AI10*$AD$1</f>
        <v>13107</v>
      </c>
      <c r="AK10">
        <v>0</v>
      </c>
      <c r="AL10">
        <v>3</v>
      </c>
    </row>
    <row r="11" spans="1:38" ht="14.65" customHeight="1" x14ac:dyDescent="0.45">
      <c r="G11" s="3"/>
      <c r="H11" s="3"/>
      <c r="I11" s="3"/>
      <c r="J11" s="3"/>
    </row>
    <row r="13" spans="1:38" x14ac:dyDescent="0.45">
      <c r="B13" t="s">
        <v>26</v>
      </c>
      <c r="U13" t="s">
        <v>78</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62</v>
      </c>
      <c r="U15" t="s">
        <v>59</v>
      </c>
      <c r="V15" t="s">
        <v>19</v>
      </c>
      <c r="Y15">
        <v>1</v>
      </c>
      <c r="AB15">
        <f>AE15*2.5</f>
        <v>0</v>
      </c>
      <c r="AC15">
        <v>3</v>
      </c>
      <c r="AE15" s="11">
        <f>SUMIFS(historical_data_long!$D$3:$D$626,historical_data_long!$A$3:$A$626,Veda!$V15,historical_data_long!$C$3:$C$626,"GW",historical_data_long!$B$3:$B$626,2022)</f>
        <v>0</v>
      </c>
      <c r="AF15" s="10" t="s">
        <v>79</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39</v>
      </c>
      <c r="C25" t="s">
        <v>40</v>
      </c>
      <c r="D25" t="s">
        <v>41</v>
      </c>
      <c r="E25">
        <v>1</v>
      </c>
    </row>
    <row r="26" spans="2:12" x14ac:dyDescent="0.45">
      <c r="B26" t="s">
        <v>39</v>
      </c>
      <c r="C26" t="s">
        <v>42</v>
      </c>
      <c r="D26" t="s">
        <v>41</v>
      </c>
      <c r="E26">
        <v>-1</v>
      </c>
    </row>
    <row r="27" spans="2:12" x14ac:dyDescent="0.45">
      <c r="B27" t="s">
        <v>44</v>
      </c>
      <c r="C27" t="s">
        <v>42</v>
      </c>
      <c r="E27">
        <v>0.1</v>
      </c>
      <c r="F27" t="str">
        <f>C27</f>
        <v>co2captured</v>
      </c>
    </row>
    <row r="28" spans="2:12" x14ac:dyDescent="0.45">
      <c r="B28" t="s">
        <v>60</v>
      </c>
      <c r="E28">
        <v>50</v>
      </c>
      <c r="G28" t="s">
        <v>82</v>
      </c>
    </row>
    <row r="29" spans="2:12" x14ac:dyDescent="0.45">
      <c r="B29" t="s">
        <v>61</v>
      </c>
      <c r="E29">
        <v>8.76</v>
      </c>
      <c r="G29" t="s">
        <v>82</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1:J23"/>
  <sheetViews>
    <sheetView workbookViewId="0">
      <selection activeCell="K11" sqref="K11"/>
    </sheetView>
  </sheetViews>
  <sheetFormatPr defaultColWidth="9.1328125" defaultRowHeight="14.25" x14ac:dyDescent="0.45"/>
  <cols>
    <col min="1" max="1" width="6.59765625" bestFit="1" customWidth="1"/>
    <col min="2" max="7" width="10.59765625" customWidth="1"/>
    <col min="8" max="8" width="10.73046875" bestFit="1" customWidth="1"/>
    <col min="9" max="9" width="11.33203125" bestFit="1" customWidth="1"/>
    <col min="10" max="10" width="11.9296875" bestFit="1" customWidth="1"/>
  </cols>
  <sheetData>
    <row r="1" spans="1:10" ht="22.05" customHeight="1" x14ac:dyDescent="0.45">
      <c r="A1" s="27" t="s">
        <v>123</v>
      </c>
      <c r="B1" s="27"/>
      <c r="C1" s="27"/>
      <c r="D1" s="27"/>
      <c r="E1" s="27"/>
      <c r="F1" s="27"/>
      <c r="G1" s="27"/>
      <c r="H1" s="27"/>
    </row>
    <row r="9" spans="1:10" ht="14.65" thickBot="1" x14ac:dyDescent="0.5">
      <c r="B9" t="s">
        <v>124</v>
      </c>
    </row>
    <row r="10" spans="1:10" ht="15.75" thickBot="1" x14ac:dyDescent="0.6">
      <c r="B10" s="13" t="s">
        <v>125</v>
      </c>
      <c r="C10" s="13" t="s">
        <v>63</v>
      </c>
      <c r="D10" s="13" t="s">
        <v>64</v>
      </c>
      <c r="E10" s="13" t="s">
        <v>65</v>
      </c>
      <c r="F10" s="13" t="s">
        <v>66</v>
      </c>
      <c r="G10" s="13" t="s">
        <v>67</v>
      </c>
      <c r="H10" s="13" t="s">
        <v>68</v>
      </c>
      <c r="I10" s="13" t="s">
        <v>69</v>
      </c>
      <c r="J10" s="13" t="s">
        <v>70</v>
      </c>
    </row>
    <row r="11" spans="1:10" x14ac:dyDescent="0.45">
      <c r="B11" s="14" t="s">
        <v>126</v>
      </c>
      <c r="C11" s="19">
        <v>8</v>
      </c>
      <c r="D11" s="15">
        <v>15</v>
      </c>
      <c r="E11" s="19">
        <v>5</v>
      </c>
      <c r="F11" s="15">
        <v>10</v>
      </c>
      <c r="G11" s="24">
        <v>0.05</v>
      </c>
      <c r="H11" s="24">
        <v>0.1</v>
      </c>
      <c r="I11" s="19">
        <v>2</v>
      </c>
      <c r="J11" s="19">
        <v>4</v>
      </c>
    </row>
    <row r="14" spans="1:10" x14ac:dyDescent="0.45">
      <c r="B14" t="s">
        <v>1</v>
      </c>
    </row>
    <row r="18" spans="1:8" ht="14.65" thickBot="1" x14ac:dyDescent="0.5">
      <c r="B18" s="9" t="s">
        <v>75</v>
      </c>
    </row>
    <row r="19" spans="1:8" ht="15" thickTop="1" thickBot="1" x14ac:dyDescent="0.5">
      <c r="A19" s="8" t="s">
        <v>43</v>
      </c>
      <c r="B19" s="8" t="s">
        <v>71</v>
      </c>
      <c r="C19" s="8" t="s">
        <v>2</v>
      </c>
      <c r="D19" s="8" t="s">
        <v>72</v>
      </c>
      <c r="E19" s="8" t="s">
        <v>73</v>
      </c>
      <c r="F19" s="8">
        <v>2025</v>
      </c>
      <c r="G19" s="8">
        <v>2040</v>
      </c>
      <c r="H19" s="8">
        <v>0</v>
      </c>
    </row>
    <row r="20" spans="1:8" x14ac:dyDescent="0.45">
      <c r="A20" t="s">
        <v>9</v>
      </c>
      <c r="B20" t="str">
        <f>"uce_buildrate_"&amp;A20</f>
        <v>uce_buildrate_solar</v>
      </c>
      <c r="C20" t="str">
        <f>A20</f>
        <v>solar</v>
      </c>
      <c r="D20" t="s">
        <v>74</v>
      </c>
      <c r="E20">
        <v>1</v>
      </c>
      <c r="F20">
        <f>C11</f>
        <v>8</v>
      </c>
      <c r="G20">
        <f>D11</f>
        <v>15</v>
      </c>
      <c r="H20">
        <v>4</v>
      </c>
    </row>
    <row r="21" spans="1:8" x14ac:dyDescent="0.45">
      <c r="A21" t="s">
        <v>12</v>
      </c>
      <c r="B21" t="str">
        <f t="shared" ref="B21:B23" si="0">"uce_buildrate_"&amp;A21</f>
        <v>uce_buildrate_wind</v>
      </c>
      <c r="C21" t="str">
        <f>A21&amp;"*"</f>
        <v>wind*</v>
      </c>
      <c r="D21" t="s">
        <v>74</v>
      </c>
      <c r="E21">
        <v>1</v>
      </c>
      <c r="F21">
        <f>E11</f>
        <v>5</v>
      </c>
      <c r="G21">
        <f>F11</f>
        <v>10</v>
      </c>
      <c r="H21">
        <v>4</v>
      </c>
    </row>
    <row r="22" spans="1:8" x14ac:dyDescent="0.45">
      <c r="A22" t="s">
        <v>6</v>
      </c>
      <c r="B22" t="str">
        <f t="shared" si="0"/>
        <v>uce_buildrate_hydro</v>
      </c>
      <c r="C22" t="str">
        <f t="shared" ref="C22:C23" si="1">A22</f>
        <v>hydro</v>
      </c>
      <c r="D22" t="s">
        <v>74</v>
      </c>
      <c r="E22">
        <v>1</v>
      </c>
      <c r="F22">
        <f>G11</f>
        <v>0.05</v>
      </c>
      <c r="G22">
        <f>H11</f>
        <v>0.1</v>
      </c>
      <c r="H22">
        <v>4</v>
      </c>
    </row>
    <row r="23" spans="1:8" x14ac:dyDescent="0.45">
      <c r="A23" t="s">
        <v>19</v>
      </c>
      <c r="B23" t="str">
        <f t="shared" si="0"/>
        <v>uce_buildrate_nuclear</v>
      </c>
      <c r="C23" t="str">
        <f t="shared" si="1"/>
        <v>nuclear</v>
      </c>
      <c r="D23" t="s">
        <v>74</v>
      </c>
      <c r="E23">
        <v>1</v>
      </c>
      <c r="F23">
        <f>I11</f>
        <v>2</v>
      </c>
      <c r="G23">
        <f>J11</f>
        <v>4</v>
      </c>
      <c r="H23">
        <v>4</v>
      </c>
    </row>
  </sheetData>
  <mergeCells count="1">
    <mergeCell ref="A1:H1"/>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26"/>
  <sheetViews>
    <sheetView workbookViewId="0">
      <selection sqref="A1:D726"/>
    </sheetView>
  </sheetViews>
  <sheetFormatPr defaultRowHeight="14.25" x14ac:dyDescent="0.45"/>
  <sheetData>
    <row r="1" spans="1:4" ht="14.65" thickBot="1" x14ac:dyDescent="0.5"/>
    <row r="2" spans="1:4" ht="15.75" thickBot="1" x14ac:dyDescent="0.6">
      <c r="A2" s="13" t="s">
        <v>45</v>
      </c>
      <c r="B2" s="13" t="s">
        <v>51</v>
      </c>
      <c r="C2" s="13" t="s">
        <v>52</v>
      </c>
      <c r="D2" s="13" t="s">
        <v>53</v>
      </c>
    </row>
    <row r="3" spans="1:4" x14ac:dyDescent="0.45">
      <c r="A3" s="14" t="s">
        <v>5</v>
      </c>
      <c r="B3" s="14">
        <v>2000</v>
      </c>
      <c r="C3" s="14" t="s">
        <v>54</v>
      </c>
      <c r="D3" s="15">
        <v>135.88999999999999</v>
      </c>
    </row>
    <row r="4" spans="1:4" x14ac:dyDescent="0.45">
      <c r="A4" s="16" t="s">
        <v>8</v>
      </c>
      <c r="B4" s="16">
        <v>2000</v>
      </c>
      <c r="C4" s="16" t="s">
        <v>54</v>
      </c>
      <c r="D4" s="17">
        <v>0.93</v>
      </c>
    </row>
    <row r="5" spans="1:4" x14ac:dyDescent="0.45">
      <c r="A5" s="14" t="s">
        <v>6</v>
      </c>
      <c r="B5" s="14">
        <v>2000</v>
      </c>
      <c r="C5" s="14" t="s">
        <v>54</v>
      </c>
      <c r="D5" s="15">
        <v>2.11</v>
      </c>
    </row>
    <row r="6" spans="1:4" x14ac:dyDescent="0.45">
      <c r="A6" s="16" t="s">
        <v>19</v>
      </c>
      <c r="B6" s="16">
        <v>2000</v>
      </c>
      <c r="C6" s="16" t="s">
        <v>54</v>
      </c>
      <c r="D6" s="17">
        <v>0</v>
      </c>
    </row>
    <row r="7" spans="1:4" x14ac:dyDescent="0.45">
      <c r="A7" s="14" t="s">
        <v>23</v>
      </c>
      <c r="B7" s="14">
        <v>2000</v>
      </c>
      <c r="C7" s="14" t="s">
        <v>54</v>
      </c>
      <c r="D7" s="15">
        <v>4.03</v>
      </c>
    </row>
    <row r="8" spans="1:4" x14ac:dyDescent="0.45">
      <c r="A8" s="16" t="s">
        <v>5</v>
      </c>
      <c r="B8" s="16">
        <v>2001</v>
      </c>
      <c r="C8" s="16" t="s">
        <v>54</v>
      </c>
      <c r="D8" s="17">
        <v>134.97</v>
      </c>
    </row>
    <row r="9" spans="1:4" x14ac:dyDescent="0.45">
      <c r="A9" s="14" t="s">
        <v>8</v>
      </c>
      <c r="B9" s="14">
        <v>2001</v>
      </c>
      <c r="C9" s="14" t="s">
        <v>54</v>
      </c>
      <c r="D9" s="15">
        <v>1.36</v>
      </c>
    </row>
    <row r="10" spans="1:4" x14ac:dyDescent="0.45">
      <c r="A10" s="16" t="s">
        <v>6</v>
      </c>
      <c r="B10" s="16">
        <v>2001</v>
      </c>
      <c r="C10" s="16" t="s">
        <v>54</v>
      </c>
      <c r="D10" s="17">
        <v>2.33</v>
      </c>
    </row>
    <row r="11" spans="1:4" x14ac:dyDescent="0.45">
      <c r="A11" s="14" t="s">
        <v>19</v>
      </c>
      <c r="B11" s="14">
        <v>2001</v>
      </c>
      <c r="C11" s="14" t="s">
        <v>54</v>
      </c>
      <c r="D11" s="15">
        <v>0</v>
      </c>
    </row>
    <row r="12" spans="1:4" x14ac:dyDescent="0.45">
      <c r="A12" s="16" t="s">
        <v>23</v>
      </c>
      <c r="B12" s="16">
        <v>2001</v>
      </c>
      <c r="C12" s="16" t="s">
        <v>54</v>
      </c>
      <c r="D12" s="17">
        <v>4.6100000000000003</v>
      </c>
    </row>
    <row r="13" spans="1:4" x14ac:dyDescent="0.45">
      <c r="A13" s="14" t="s">
        <v>5</v>
      </c>
      <c r="B13" s="14">
        <v>2002</v>
      </c>
      <c r="C13" s="14" t="s">
        <v>54</v>
      </c>
      <c r="D13" s="15">
        <v>132.94</v>
      </c>
    </row>
    <row r="14" spans="1:4" x14ac:dyDescent="0.45">
      <c r="A14" s="16" t="s">
        <v>8</v>
      </c>
      <c r="B14" s="16">
        <v>2002</v>
      </c>
      <c r="C14" s="16" t="s">
        <v>54</v>
      </c>
      <c r="D14" s="17">
        <v>2.2000000000000002</v>
      </c>
    </row>
    <row r="15" spans="1:4" x14ac:dyDescent="0.45">
      <c r="A15" s="14" t="s">
        <v>6</v>
      </c>
      <c r="B15" s="14">
        <v>2002</v>
      </c>
      <c r="C15" s="14" t="s">
        <v>54</v>
      </c>
      <c r="D15" s="15">
        <v>2.2799999999999998</v>
      </c>
    </row>
    <row r="16" spans="1:4" x14ac:dyDescent="0.45">
      <c r="A16" s="16" t="s">
        <v>19</v>
      </c>
      <c r="B16" s="16">
        <v>2002</v>
      </c>
      <c r="C16" s="16" t="s">
        <v>54</v>
      </c>
      <c r="D16" s="17">
        <v>0</v>
      </c>
    </row>
    <row r="17" spans="1:4" x14ac:dyDescent="0.45">
      <c r="A17" s="14" t="s">
        <v>23</v>
      </c>
      <c r="B17" s="14">
        <v>2002</v>
      </c>
      <c r="C17" s="14" t="s">
        <v>54</v>
      </c>
      <c r="D17" s="15">
        <v>4.58</v>
      </c>
    </row>
    <row r="18" spans="1:4" x14ac:dyDescent="0.45">
      <c r="A18" s="16" t="s">
        <v>5</v>
      </c>
      <c r="B18" s="16">
        <v>2003</v>
      </c>
      <c r="C18" s="16" t="s">
        <v>54</v>
      </c>
      <c r="D18" s="17">
        <v>140.66</v>
      </c>
    </row>
    <row r="19" spans="1:4" x14ac:dyDescent="0.45">
      <c r="A19" s="14" t="s">
        <v>8</v>
      </c>
      <c r="B19" s="14">
        <v>2003</v>
      </c>
      <c r="C19" s="14" t="s">
        <v>54</v>
      </c>
      <c r="D19" s="15">
        <v>2.42</v>
      </c>
    </row>
    <row r="20" spans="1:4" x14ac:dyDescent="0.45">
      <c r="A20" s="16" t="s">
        <v>6</v>
      </c>
      <c r="B20" s="16">
        <v>2003</v>
      </c>
      <c r="C20" s="16" t="s">
        <v>54</v>
      </c>
      <c r="D20" s="17">
        <v>1.67</v>
      </c>
    </row>
    <row r="21" spans="1:4" x14ac:dyDescent="0.45">
      <c r="A21" s="14" t="s">
        <v>19</v>
      </c>
      <c r="B21" s="14">
        <v>2003</v>
      </c>
      <c r="C21" s="14" t="s">
        <v>54</v>
      </c>
      <c r="D21" s="15">
        <v>0</v>
      </c>
    </row>
    <row r="22" spans="1:4" x14ac:dyDescent="0.45">
      <c r="A22" s="16" t="s">
        <v>23</v>
      </c>
      <c r="B22" s="16">
        <v>2003</v>
      </c>
      <c r="C22" s="16" t="s">
        <v>54</v>
      </c>
      <c r="D22" s="17">
        <v>4.68</v>
      </c>
    </row>
    <row r="23" spans="1:4" x14ac:dyDescent="0.45">
      <c r="A23" s="14" t="s">
        <v>5</v>
      </c>
      <c r="B23" s="14">
        <v>2004</v>
      </c>
      <c r="C23" s="14" t="s">
        <v>54</v>
      </c>
      <c r="D23" s="15">
        <v>141.12</v>
      </c>
    </row>
    <row r="24" spans="1:4" x14ac:dyDescent="0.45">
      <c r="A24" s="16" t="s">
        <v>8</v>
      </c>
      <c r="B24" s="16">
        <v>2004</v>
      </c>
      <c r="C24" s="16" t="s">
        <v>54</v>
      </c>
      <c r="D24" s="17">
        <v>3.22</v>
      </c>
    </row>
    <row r="25" spans="1:4" x14ac:dyDescent="0.45">
      <c r="A25" s="14" t="s">
        <v>6</v>
      </c>
      <c r="B25" s="14">
        <v>2004</v>
      </c>
      <c r="C25" s="14" t="s">
        <v>54</v>
      </c>
      <c r="D25" s="15">
        <v>2.08</v>
      </c>
    </row>
    <row r="26" spans="1:4" x14ac:dyDescent="0.45">
      <c r="A26" s="16" t="s">
        <v>19</v>
      </c>
      <c r="B26" s="16">
        <v>2004</v>
      </c>
      <c r="C26" s="16" t="s">
        <v>54</v>
      </c>
      <c r="D26" s="17">
        <v>0</v>
      </c>
    </row>
    <row r="27" spans="1:4" x14ac:dyDescent="0.45">
      <c r="A27" s="14" t="s">
        <v>23</v>
      </c>
      <c r="B27" s="14">
        <v>2004</v>
      </c>
      <c r="C27" s="14" t="s">
        <v>54</v>
      </c>
      <c r="D27" s="15">
        <v>5</v>
      </c>
    </row>
    <row r="28" spans="1:4" x14ac:dyDescent="0.45">
      <c r="A28" s="16" t="s">
        <v>5</v>
      </c>
      <c r="B28" s="16">
        <v>2005</v>
      </c>
      <c r="C28" s="16" t="s">
        <v>54</v>
      </c>
      <c r="D28" s="17">
        <v>141.88</v>
      </c>
    </row>
    <row r="29" spans="1:4" x14ac:dyDescent="0.45">
      <c r="A29" s="14" t="s">
        <v>8</v>
      </c>
      <c r="B29" s="14">
        <v>2005</v>
      </c>
      <c r="C29" s="14" t="s">
        <v>54</v>
      </c>
      <c r="D29" s="15">
        <v>5.16</v>
      </c>
    </row>
    <row r="30" spans="1:4" x14ac:dyDescent="0.45">
      <c r="A30" s="16" t="s">
        <v>6</v>
      </c>
      <c r="B30" s="16">
        <v>2005</v>
      </c>
      <c r="C30" s="16" t="s">
        <v>54</v>
      </c>
      <c r="D30" s="17">
        <v>2.2000000000000002</v>
      </c>
    </row>
    <row r="31" spans="1:4" x14ac:dyDescent="0.45">
      <c r="A31" s="14" t="s">
        <v>19</v>
      </c>
      <c r="B31" s="14">
        <v>2005</v>
      </c>
      <c r="C31" s="14" t="s">
        <v>54</v>
      </c>
      <c r="D31" s="15">
        <v>0</v>
      </c>
    </row>
    <row r="32" spans="1:4" x14ac:dyDescent="0.45">
      <c r="A32" s="16" t="s">
        <v>23</v>
      </c>
      <c r="B32" s="16">
        <v>2005</v>
      </c>
      <c r="C32" s="16" t="s">
        <v>54</v>
      </c>
      <c r="D32" s="17">
        <v>4.4000000000000004</v>
      </c>
    </row>
    <row r="33" spans="1:4" x14ac:dyDescent="0.45">
      <c r="A33" s="14" t="s">
        <v>5</v>
      </c>
      <c r="B33" s="14">
        <v>2006</v>
      </c>
      <c r="C33" s="14" t="s">
        <v>54</v>
      </c>
      <c r="D33" s="15">
        <v>147.01</v>
      </c>
    </row>
    <row r="34" spans="1:4" x14ac:dyDescent="0.45">
      <c r="A34" s="16" t="s">
        <v>8</v>
      </c>
      <c r="B34" s="16">
        <v>2006</v>
      </c>
      <c r="C34" s="16" t="s">
        <v>54</v>
      </c>
      <c r="D34" s="17">
        <v>4.58</v>
      </c>
    </row>
    <row r="35" spans="1:4" x14ac:dyDescent="0.45">
      <c r="A35" s="14" t="s">
        <v>6</v>
      </c>
      <c r="B35" s="14">
        <v>2006</v>
      </c>
      <c r="C35" s="14" t="s">
        <v>54</v>
      </c>
      <c r="D35" s="15">
        <v>2.04</v>
      </c>
    </row>
    <row r="36" spans="1:4" x14ac:dyDescent="0.45">
      <c r="A36" s="16" t="s">
        <v>19</v>
      </c>
      <c r="B36" s="16">
        <v>2006</v>
      </c>
      <c r="C36" s="16" t="s">
        <v>54</v>
      </c>
      <c r="D36" s="17">
        <v>0</v>
      </c>
    </row>
    <row r="37" spans="1:4" x14ac:dyDescent="0.45">
      <c r="A37" s="14" t="s">
        <v>23</v>
      </c>
      <c r="B37" s="14">
        <v>2006</v>
      </c>
      <c r="C37" s="14" t="s">
        <v>54</v>
      </c>
      <c r="D37" s="15">
        <v>4.82</v>
      </c>
    </row>
    <row r="38" spans="1:4" x14ac:dyDescent="0.45">
      <c r="A38" s="16" t="s">
        <v>5</v>
      </c>
      <c r="B38" s="16">
        <v>2007</v>
      </c>
      <c r="C38" s="16" t="s">
        <v>54</v>
      </c>
      <c r="D38" s="17">
        <v>144.01</v>
      </c>
    </row>
    <row r="39" spans="1:4" x14ac:dyDescent="0.45">
      <c r="A39" s="14" t="s">
        <v>8</v>
      </c>
      <c r="B39" s="14">
        <v>2007</v>
      </c>
      <c r="C39" s="14" t="s">
        <v>54</v>
      </c>
      <c r="D39" s="15">
        <v>4.4800000000000004</v>
      </c>
    </row>
    <row r="40" spans="1:4" x14ac:dyDescent="0.45">
      <c r="A40" s="16" t="s">
        <v>6</v>
      </c>
      <c r="B40" s="16">
        <v>2007</v>
      </c>
      <c r="C40" s="16" t="s">
        <v>54</v>
      </c>
      <c r="D40" s="17">
        <v>2.35</v>
      </c>
    </row>
    <row r="41" spans="1:4" x14ac:dyDescent="0.45">
      <c r="A41" s="14" t="s">
        <v>19</v>
      </c>
      <c r="B41" s="14">
        <v>2007</v>
      </c>
      <c r="C41" s="14" t="s">
        <v>54</v>
      </c>
      <c r="D41" s="15">
        <v>0</v>
      </c>
    </row>
    <row r="42" spans="1:4" x14ac:dyDescent="0.45">
      <c r="A42" s="16" t="s">
        <v>23</v>
      </c>
      <c r="B42" s="16">
        <v>2007</v>
      </c>
      <c r="C42" s="16" t="s">
        <v>54</v>
      </c>
      <c r="D42" s="17">
        <v>4.5999999999999996</v>
      </c>
    </row>
    <row r="43" spans="1:4" x14ac:dyDescent="0.45">
      <c r="A43" s="14" t="s">
        <v>5</v>
      </c>
      <c r="B43" s="14">
        <v>2008</v>
      </c>
      <c r="C43" s="14" t="s">
        <v>54</v>
      </c>
      <c r="D43" s="15">
        <v>138.88999999999999</v>
      </c>
    </row>
    <row r="44" spans="1:4" x14ac:dyDescent="0.45">
      <c r="A44" s="16" t="s">
        <v>8</v>
      </c>
      <c r="B44" s="16">
        <v>2008</v>
      </c>
      <c r="C44" s="16" t="s">
        <v>54</v>
      </c>
      <c r="D44" s="17">
        <v>4.68</v>
      </c>
    </row>
    <row r="45" spans="1:4" x14ac:dyDescent="0.45">
      <c r="A45" s="14" t="s">
        <v>6</v>
      </c>
      <c r="B45" s="14">
        <v>2008</v>
      </c>
      <c r="C45" s="14" t="s">
        <v>54</v>
      </c>
      <c r="D45" s="15">
        <v>2.15</v>
      </c>
    </row>
    <row r="46" spans="1:4" x14ac:dyDescent="0.45">
      <c r="A46" s="16" t="s">
        <v>19</v>
      </c>
      <c r="B46" s="16">
        <v>2008</v>
      </c>
      <c r="C46" s="16" t="s">
        <v>54</v>
      </c>
      <c r="D46" s="17">
        <v>0</v>
      </c>
    </row>
    <row r="47" spans="1:4" x14ac:dyDescent="0.45">
      <c r="A47" s="14" t="s">
        <v>23</v>
      </c>
      <c r="B47" s="14">
        <v>2008</v>
      </c>
      <c r="C47" s="14" t="s">
        <v>54</v>
      </c>
      <c r="D47" s="15">
        <v>4.32</v>
      </c>
    </row>
    <row r="48" spans="1:4" x14ac:dyDescent="0.45">
      <c r="A48" s="16" t="s">
        <v>5</v>
      </c>
      <c r="B48" s="16">
        <v>2009</v>
      </c>
      <c r="C48" s="16" t="s">
        <v>54</v>
      </c>
      <c r="D48" s="17">
        <v>133.38</v>
      </c>
    </row>
    <row r="49" spans="1:4" x14ac:dyDescent="0.45">
      <c r="A49" s="14" t="s">
        <v>8</v>
      </c>
      <c r="B49" s="14">
        <v>2009</v>
      </c>
      <c r="C49" s="14" t="s">
        <v>54</v>
      </c>
      <c r="D49" s="15">
        <v>4.79</v>
      </c>
    </row>
    <row r="50" spans="1:4" x14ac:dyDescent="0.45">
      <c r="A50" s="16" t="s">
        <v>6</v>
      </c>
      <c r="B50" s="16">
        <v>2009</v>
      </c>
      <c r="C50" s="16" t="s">
        <v>54</v>
      </c>
      <c r="D50" s="17">
        <v>2.38</v>
      </c>
    </row>
    <row r="51" spans="1:4" x14ac:dyDescent="0.45">
      <c r="A51" s="14" t="s">
        <v>19</v>
      </c>
      <c r="B51" s="14">
        <v>2009</v>
      </c>
      <c r="C51" s="14" t="s">
        <v>54</v>
      </c>
      <c r="D51" s="15">
        <v>0</v>
      </c>
    </row>
    <row r="52" spans="1:4" x14ac:dyDescent="0.45">
      <c r="A52" s="16" t="s">
        <v>23</v>
      </c>
      <c r="B52" s="16">
        <v>2009</v>
      </c>
      <c r="C52" s="16" t="s">
        <v>54</v>
      </c>
      <c r="D52" s="17">
        <v>4</v>
      </c>
    </row>
    <row r="53" spans="1:4" x14ac:dyDescent="0.45">
      <c r="A53" s="14" t="s">
        <v>5</v>
      </c>
      <c r="B53" s="14">
        <v>2010</v>
      </c>
      <c r="C53" s="14" t="s">
        <v>54</v>
      </c>
      <c r="D53" s="15">
        <v>136.51</v>
      </c>
    </row>
    <row r="54" spans="1:4" x14ac:dyDescent="0.45">
      <c r="A54" s="16" t="s">
        <v>8</v>
      </c>
      <c r="B54" s="16">
        <v>2010</v>
      </c>
      <c r="C54" s="16" t="s">
        <v>54</v>
      </c>
      <c r="D54" s="17">
        <v>4.8</v>
      </c>
    </row>
    <row r="55" spans="1:4" x14ac:dyDescent="0.45">
      <c r="A55" s="14" t="s">
        <v>6</v>
      </c>
      <c r="B55" s="14">
        <v>2010</v>
      </c>
      <c r="C55" s="14" t="s">
        <v>54</v>
      </c>
      <c r="D55" s="15">
        <v>2.92</v>
      </c>
    </row>
    <row r="56" spans="1:4" x14ac:dyDescent="0.45">
      <c r="A56" s="16" t="s">
        <v>19</v>
      </c>
      <c r="B56" s="16">
        <v>2010</v>
      </c>
      <c r="C56" s="16" t="s">
        <v>54</v>
      </c>
      <c r="D56" s="17">
        <v>0</v>
      </c>
    </row>
    <row r="57" spans="1:4" x14ac:dyDescent="0.45">
      <c r="A57" s="14" t="s">
        <v>23</v>
      </c>
      <c r="B57" s="14">
        <v>2010</v>
      </c>
      <c r="C57" s="14" t="s">
        <v>54</v>
      </c>
      <c r="D57" s="15">
        <v>4.58</v>
      </c>
    </row>
    <row r="58" spans="1:4" x14ac:dyDescent="0.45">
      <c r="A58" s="16" t="s">
        <v>5</v>
      </c>
      <c r="B58" s="16">
        <v>2011</v>
      </c>
      <c r="C58" s="16" t="s">
        <v>54</v>
      </c>
      <c r="D58" s="17">
        <v>139.76</v>
      </c>
    </row>
    <row r="59" spans="1:4" x14ac:dyDescent="0.45">
      <c r="A59" s="14" t="s">
        <v>8</v>
      </c>
      <c r="B59" s="14">
        <v>2011</v>
      </c>
      <c r="C59" s="14" t="s">
        <v>54</v>
      </c>
      <c r="D59" s="15">
        <v>5.82</v>
      </c>
    </row>
    <row r="60" spans="1:4" x14ac:dyDescent="0.45">
      <c r="A60" s="16" t="s">
        <v>6</v>
      </c>
      <c r="B60" s="16">
        <v>2011</v>
      </c>
      <c r="C60" s="16" t="s">
        <v>54</v>
      </c>
      <c r="D60" s="17">
        <v>2.33</v>
      </c>
    </row>
    <row r="61" spans="1:4" x14ac:dyDescent="0.45">
      <c r="A61" s="14" t="s">
        <v>19</v>
      </c>
      <c r="B61" s="14">
        <v>2011</v>
      </c>
      <c r="C61" s="14" t="s">
        <v>54</v>
      </c>
      <c r="D61" s="15">
        <v>0</v>
      </c>
    </row>
    <row r="62" spans="1:4" x14ac:dyDescent="0.45">
      <c r="A62" s="16" t="s">
        <v>23</v>
      </c>
      <c r="B62" s="16">
        <v>2011</v>
      </c>
      <c r="C62" s="16" t="s">
        <v>54</v>
      </c>
      <c r="D62" s="17">
        <v>4.16</v>
      </c>
    </row>
    <row r="63" spans="1:4" x14ac:dyDescent="0.45">
      <c r="A63" s="14" t="s">
        <v>5</v>
      </c>
      <c r="B63" s="14">
        <v>2012</v>
      </c>
      <c r="C63" s="14" t="s">
        <v>54</v>
      </c>
      <c r="D63" s="15">
        <v>134.57</v>
      </c>
    </row>
    <row r="64" spans="1:4" x14ac:dyDescent="0.45">
      <c r="A64" s="16" t="s">
        <v>8</v>
      </c>
      <c r="B64" s="16">
        <v>2012</v>
      </c>
      <c r="C64" s="16" t="s">
        <v>54</v>
      </c>
      <c r="D64" s="17">
        <v>6.26</v>
      </c>
    </row>
    <row r="65" spans="1:4" x14ac:dyDescent="0.45">
      <c r="A65" s="14" t="s">
        <v>6</v>
      </c>
      <c r="B65" s="14">
        <v>2012</v>
      </c>
      <c r="C65" s="14" t="s">
        <v>54</v>
      </c>
      <c r="D65" s="15">
        <v>2.04</v>
      </c>
    </row>
    <row r="66" spans="1:4" x14ac:dyDescent="0.45">
      <c r="A66" s="16" t="s">
        <v>19</v>
      </c>
      <c r="B66" s="16">
        <v>2012</v>
      </c>
      <c r="C66" s="16" t="s">
        <v>54</v>
      </c>
      <c r="D66" s="17">
        <v>0</v>
      </c>
    </row>
    <row r="67" spans="1:4" x14ac:dyDescent="0.45">
      <c r="A67" s="14" t="s">
        <v>23</v>
      </c>
      <c r="B67" s="14">
        <v>2012</v>
      </c>
      <c r="C67" s="14" t="s">
        <v>54</v>
      </c>
      <c r="D67" s="15">
        <v>3.77</v>
      </c>
    </row>
    <row r="68" spans="1:4" x14ac:dyDescent="0.45">
      <c r="A68" s="16" t="s">
        <v>5</v>
      </c>
      <c r="B68" s="16">
        <v>2013</v>
      </c>
      <c r="C68" s="16" t="s">
        <v>54</v>
      </c>
      <c r="D68" s="17">
        <v>137.72</v>
      </c>
    </row>
    <row r="69" spans="1:4" x14ac:dyDescent="0.45">
      <c r="A69" s="14" t="s">
        <v>8</v>
      </c>
      <c r="B69" s="14">
        <v>2013</v>
      </c>
      <c r="C69" s="14" t="s">
        <v>54</v>
      </c>
      <c r="D69" s="15">
        <v>5.27</v>
      </c>
    </row>
    <row r="70" spans="1:4" x14ac:dyDescent="0.45">
      <c r="A70" s="16" t="s">
        <v>6</v>
      </c>
      <c r="B70" s="16">
        <v>2013</v>
      </c>
      <c r="C70" s="16" t="s">
        <v>54</v>
      </c>
      <c r="D70" s="17">
        <v>2.44</v>
      </c>
    </row>
    <row r="71" spans="1:4" x14ac:dyDescent="0.45">
      <c r="A71" s="14" t="s">
        <v>19</v>
      </c>
      <c r="B71" s="14">
        <v>2013</v>
      </c>
      <c r="C71" s="14" t="s">
        <v>54</v>
      </c>
      <c r="D71" s="15">
        <v>0</v>
      </c>
    </row>
    <row r="72" spans="1:4" x14ac:dyDescent="0.45">
      <c r="A72" s="16" t="s">
        <v>23</v>
      </c>
      <c r="B72" s="16">
        <v>2013</v>
      </c>
      <c r="C72" s="16" t="s">
        <v>54</v>
      </c>
      <c r="D72" s="17">
        <v>3.73</v>
      </c>
    </row>
    <row r="73" spans="1:4" x14ac:dyDescent="0.45">
      <c r="A73" s="14" t="s">
        <v>5</v>
      </c>
      <c r="B73" s="14">
        <v>2014</v>
      </c>
      <c r="C73" s="14" t="s">
        <v>54</v>
      </c>
      <c r="D73" s="15">
        <v>129.52000000000001</v>
      </c>
    </row>
    <row r="74" spans="1:4" x14ac:dyDescent="0.45">
      <c r="A74" s="16" t="s">
        <v>8</v>
      </c>
      <c r="B74" s="16">
        <v>2014</v>
      </c>
      <c r="C74" s="16" t="s">
        <v>54</v>
      </c>
      <c r="D74" s="17">
        <v>5.33</v>
      </c>
    </row>
    <row r="75" spans="1:4" x14ac:dyDescent="0.45">
      <c r="A75" s="14" t="s">
        <v>6</v>
      </c>
      <c r="B75" s="14">
        <v>2014</v>
      </c>
      <c r="C75" s="14" t="s">
        <v>54</v>
      </c>
      <c r="D75" s="15">
        <v>2.1800000000000002</v>
      </c>
    </row>
    <row r="76" spans="1:4" x14ac:dyDescent="0.45">
      <c r="A76" s="16" t="s">
        <v>19</v>
      </c>
      <c r="B76" s="16">
        <v>2014</v>
      </c>
      <c r="C76" s="16" t="s">
        <v>54</v>
      </c>
      <c r="D76" s="17">
        <v>0</v>
      </c>
    </row>
    <row r="77" spans="1:4" x14ac:dyDescent="0.45">
      <c r="A77" s="14" t="s">
        <v>23</v>
      </c>
      <c r="B77" s="14">
        <v>2014</v>
      </c>
      <c r="C77" s="14" t="s">
        <v>54</v>
      </c>
      <c r="D77" s="15">
        <v>3.65</v>
      </c>
    </row>
    <row r="78" spans="1:4" x14ac:dyDescent="0.45">
      <c r="A78" s="16" t="s">
        <v>5</v>
      </c>
      <c r="B78" s="16">
        <v>2015</v>
      </c>
      <c r="C78" s="16" t="s">
        <v>54</v>
      </c>
      <c r="D78" s="17">
        <v>130.52000000000001</v>
      </c>
    </row>
    <row r="79" spans="1:4" x14ac:dyDescent="0.45">
      <c r="A79" s="14" t="s">
        <v>8</v>
      </c>
      <c r="B79" s="14">
        <v>2015</v>
      </c>
      <c r="C79" s="14" t="s">
        <v>54</v>
      </c>
      <c r="D79" s="15">
        <v>6.39</v>
      </c>
    </row>
    <row r="80" spans="1:4" x14ac:dyDescent="0.45">
      <c r="A80" s="16" t="s">
        <v>6</v>
      </c>
      <c r="B80" s="16">
        <v>2015</v>
      </c>
      <c r="C80" s="16" t="s">
        <v>54</v>
      </c>
      <c r="D80" s="17">
        <v>1.83</v>
      </c>
    </row>
    <row r="81" spans="1:4" x14ac:dyDescent="0.45">
      <c r="A81" s="14" t="s">
        <v>19</v>
      </c>
      <c r="B81" s="14">
        <v>2015</v>
      </c>
      <c r="C81" s="14" t="s">
        <v>54</v>
      </c>
      <c r="D81" s="15">
        <v>0</v>
      </c>
    </row>
    <row r="82" spans="1:4" x14ac:dyDescent="0.45">
      <c r="A82" s="16" t="s">
        <v>23</v>
      </c>
      <c r="B82" s="16">
        <v>2015</v>
      </c>
      <c r="C82" s="16" t="s">
        <v>54</v>
      </c>
      <c r="D82" s="17">
        <v>4.7</v>
      </c>
    </row>
    <row r="83" spans="1:4" x14ac:dyDescent="0.45">
      <c r="A83" s="14" t="s">
        <v>5</v>
      </c>
      <c r="B83" s="14">
        <v>2016</v>
      </c>
      <c r="C83" s="14" t="s">
        <v>54</v>
      </c>
      <c r="D83" s="15">
        <v>130.32</v>
      </c>
    </row>
    <row r="84" spans="1:4" x14ac:dyDescent="0.45">
      <c r="A84" s="16" t="s">
        <v>8</v>
      </c>
      <c r="B84" s="16">
        <v>2016</v>
      </c>
      <c r="C84" s="16" t="s">
        <v>54</v>
      </c>
      <c r="D84" s="17">
        <v>7.83</v>
      </c>
    </row>
    <row r="85" spans="1:4" x14ac:dyDescent="0.45">
      <c r="A85" s="14" t="s">
        <v>6</v>
      </c>
      <c r="B85" s="14">
        <v>2016</v>
      </c>
      <c r="C85" s="14" t="s">
        <v>54</v>
      </c>
      <c r="D85" s="15">
        <v>2.14</v>
      </c>
    </row>
    <row r="86" spans="1:4" x14ac:dyDescent="0.45">
      <c r="A86" s="16" t="s">
        <v>19</v>
      </c>
      <c r="B86" s="16">
        <v>2016</v>
      </c>
      <c r="C86" s="16" t="s">
        <v>54</v>
      </c>
      <c r="D86" s="17">
        <v>0</v>
      </c>
    </row>
    <row r="87" spans="1:4" x14ac:dyDescent="0.45">
      <c r="A87" s="14" t="s">
        <v>23</v>
      </c>
      <c r="B87" s="14">
        <v>2016</v>
      </c>
      <c r="C87" s="14" t="s">
        <v>54</v>
      </c>
      <c r="D87" s="15">
        <v>5.04</v>
      </c>
    </row>
    <row r="88" spans="1:4" x14ac:dyDescent="0.45">
      <c r="A88" s="16" t="s">
        <v>5</v>
      </c>
      <c r="B88" s="16">
        <v>2017</v>
      </c>
      <c r="C88" s="16" t="s">
        <v>54</v>
      </c>
      <c r="D88" s="17">
        <v>131.16</v>
      </c>
    </row>
    <row r="89" spans="1:4" x14ac:dyDescent="0.45">
      <c r="A89" s="14" t="s">
        <v>8</v>
      </c>
      <c r="B89" s="14">
        <v>2017</v>
      </c>
      <c r="C89" s="14" t="s">
        <v>54</v>
      </c>
      <c r="D89" s="15">
        <v>10.029999999999999</v>
      </c>
    </row>
    <row r="90" spans="1:4" x14ac:dyDescent="0.45">
      <c r="A90" s="16" t="s">
        <v>6</v>
      </c>
      <c r="B90" s="16">
        <v>2017</v>
      </c>
      <c r="C90" s="16" t="s">
        <v>54</v>
      </c>
      <c r="D90" s="17">
        <v>2.56</v>
      </c>
    </row>
    <row r="91" spans="1:4" x14ac:dyDescent="0.45">
      <c r="A91" s="14" t="s">
        <v>19</v>
      </c>
      <c r="B91" s="14">
        <v>2017</v>
      </c>
      <c r="C91" s="14" t="s">
        <v>54</v>
      </c>
      <c r="D91" s="15">
        <v>0</v>
      </c>
    </row>
    <row r="92" spans="1:4" x14ac:dyDescent="0.45">
      <c r="A92" s="16" t="s">
        <v>23</v>
      </c>
      <c r="B92" s="16">
        <v>2017</v>
      </c>
      <c r="C92" s="16" t="s">
        <v>54</v>
      </c>
      <c r="D92" s="17">
        <v>4.59</v>
      </c>
    </row>
    <row r="93" spans="1:4" x14ac:dyDescent="0.45">
      <c r="A93" s="14" t="s">
        <v>5</v>
      </c>
      <c r="B93" s="14">
        <v>2018</v>
      </c>
      <c r="C93" s="14" t="s">
        <v>54</v>
      </c>
      <c r="D93" s="15">
        <v>130.56</v>
      </c>
    </row>
    <row r="94" spans="1:4" x14ac:dyDescent="0.45">
      <c r="A94" s="16" t="s">
        <v>8</v>
      </c>
      <c r="B94" s="16">
        <v>2018</v>
      </c>
      <c r="C94" s="16" t="s">
        <v>54</v>
      </c>
      <c r="D94" s="17">
        <v>12.63</v>
      </c>
    </row>
    <row r="95" spans="1:4" x14ac:dyDescent="0.45">
      <c r="A95" s="14" t="s">
        <v>6</v>
      </c>
      <c r="B95" s="14">
        <v>2018</v>
      </c>
      <c r="C95" s="14" t="s">
        <v>54</v>
      </c>
      <c r="D95" s="15">
        <v>1.97</v>
      </c>
    </row>
    <row r="96" spans="1:4" x14ac:dyDescent="0.45">
      <c r="A96" s="16" t="s">
        <v>19</v>
      </c>
      <c r="B96" s="16">
        <v>2018</v>
      </c>
      <c r="C96" s="16" t="s">
        <v>54</v>
      </c>
      <c r="D96" s="17">
        <v>0</v>
      </c>
    </row>
    <row r="97" spans="1:4" x14ac:dyDescent="0.45">
      <c r="A97" s="14" t="s">
        <v>23</v>
      </c>
      <c r="B97" s="14">
        <v>2018</v>
      </c>
      <c r="C97" s="14" t="s">
        <v>54</v>
      </c>
      <c r="D97" s="15">
        <v>4.62</v>
      </c>
    </row>
    <row r="98" spans="1:4" x14ac:dyDescent="0.45">
      <c r="A98" s="16" t="s">
        <v>5</v>
      </c>
      <c r="B98" s="16">
        <v>2019</v>
      </c>
      <c r="C98" s="16" t="s">
        <v>54</v>
      </c>
      <c r="D98" s="17">
        <v>118.14</v>
      </c>
    </row>
    <row r="99" spans="1:4" x14ac:dyDescent="0.45">
      <c r="A99" s="14" t="s">
        <v>8</v>
      </c>
      <c r="B99" s="14">
        <v>2019</v>
      </c>
      <c r="C99" s="14" t="s">
        <v>54</v>
      </c>
      <c r="D99" s="15">
        <v>14.8</v>
      </c>
    </row>
    <row r="100" spans="1:4" x14ac:dyDescent="0.45">
      <c r="A100" s="16" t="s">
        <v>6</v>
      </c>
      <c r="B100" s="16">
        <v>2019</v>
      </c>
      <c r="C100" s="16" t="s">
        <v>54</v>
      </c>
      <c r="D100" s="17">
        <v>1.96</v>
      </c>
    </row>
    <row r="101" spans="1:4" x14ac:dyDescent="0.45">
      <c r="A101" s="14" t="s">
        <v>19</v>
      </c>
      <c r="B101" s="14">
        <v>2019</v>
      </c>
      <c r="C101" s="14" t="s">
        <v>54</v>
      </c>
      <c r="D101" s="15">
        <v>0</v>
      </c>
    </row>
    <row r="102" spans="1:4" x14ac:dyDescent="0.45">
      <c r="A102" s="16" t="s">
        <v>23</v>
      </c>
      <c r="B102" s="16">
        <v>2019</v>
      </c>
      <c r="C102" s="16" t="s">
        <v>54</v>
      </c>
      <c r="D102" s="17">
        <v>4.82</v>
      </c>
    </row>
    <row r="103" spans="1:4" x14ac:dyDescent="0.45">
      <c r="A103" s="14" t="s">
        <v>5</v>
      </c>
      <c r="B103" s="14">
        <v>2020</v>
      </c>
      <c r="C103" s="14" t="s">
        <v>54</v>
      </c>
      <c r="D103" s="15">
        <v>107.4</v>
      </c>
    </row>
    <row r="104" spans="1:4" x14ac:dyDescent="0.45">
      <c r="A104" s="16" t="s">
        <v>8</v>
      </c>
      <c r="B104" s="16">
        <v>2020</v>
      </c>
      <c r="C104" s="16" t="s">
        <v>54</v>
      </c>
      <c r="D104" s="17">
        <v>17.29</v>
      </c>
    </row>
    <row r="105" spans="1:4" x14ac:dyDescent="0.45">
      <c r="A105" s="14" t="s">
        <v>6</v>
      </c>
      <c r="B105" s="14">
        <v>2020</v>
      </c>
      <c r="C105" s="14" t="s">
        <v>54</v>
      </c>
      <c r="D105" s="15">
        <v>2.12</v>
      </c>
    </row>
    <row r="106" spans="1:4" x14ac:dyDescent="0.45">
      <c r="A106" s="16" t="s">
        <v>19</v>
      </c>
      <c r="B106" s="16">
        <v>2020</v>
      </c>
      <c r="C106" s="16" t="s">
        <v>54</v>
      </c>
      <c r="D106" s="17">
        <v>0</v>
      </c>
    </row>
    <row r="107" spans="1:4" x14ac:dyDescent="0.45">
      <c r="A107" s="14" t="s">
        <v>23</v>
      </c>
      <c r="B107" s="14">
        <v>2020</v>
      </c>
      <c r="C107" s="14" t="s">
        <v>54</v>
      </c>
      <c r="D107" s="15">
        <v>4.2300000000000004</v>
      </c>
    </row>
    <row r="108" spans="1:4" x14ac:dyDescent="0.45">
      <c r="A108" s="16" t="s">
        <v>5</v>
      </c>
      <c r="B108" s="16">
        <v>2021</v>
      </c>
      <c r="C108" s="16" t="s">
        <v>54</v>
      </c>
      <c r="D108" s="17">
        <v>127.57</v>
      </c>
    </row>
    <row r="109" spans="1:4" x14ac:dyDescent="0.45">
      <c r="A109" s="14" t="s">
        <v>8</v>
      </c>
      <c r="B109" s="14">
        <v>2021</v>
      </c>
      <c r="C109" s="14" t="s">
        <v>54</v>
      </c>
      <c r="D109" s="15">
        <v>15.82</v>
      </c>
    </row>
    <row r="110" spans="1:4" x14ac:dyDescent="0.45">
      <c r="A110" s="16" t="s">
        <v>6</v>
      </c>
      <c r="B110" s="16">
        <v>2021</v>
      </c>
      <c r="C110" s="16" t="s">
        <v>54</v>
      </c>
      <c r="D110" s="17">
        <v>2.34</v>
      </c>
    </row>
    <row r="111" spans="1:4" x14ac:dyDescent="0.45">
      <c r="A111" s="14" t="s">
        <v>19</v>
      </c>
      <c r="B111" s="14">
        <v>2021</v>
      </c>
      <c r="C111" s="14" t="s">
        <v>54</v>
      </c>
      <c r="D111" s="15">
        <v>0</v>
      </c>
    </row>
    <row r="112" spans="1:4" x14ac:dyDescent="0.45">
      <c r="A112" s="16" t="s">
        <v>23</v>
      </c>
      <c r="B112" s="16">
        <v>2021</v>
      </c>
      <c r="C112" s="16" t="s">
        <v>54</v>
      </c>
      <c r="D112" s="17">
        <v>4.84</v>
      </c>
    </row>
    <row r="113" spans="1:4" x14ac:dyDescent="0.45">
      <c r="A113" s="14" t="s">
        <v>5</v>
      </c>
      <c r="B113" s="14">
        <v>2022</v>
      </c>
      <c r="C113" s="14" t="s">
        <v>54</v>
      </c>
      <c r="D113" s="15">
        <v>124.73</v>
      </c>
    </row>
    <row r="114" spans="1:4" x14ac:dyDescent="0.45">
      <c r="A114" s="16" t="s">
        <v>8</v>
      </c>
      <c r="B114" s="16">
        <v>2022</v>
      </c>
      <c r="C114" s="16" t="s">
        <v>54</v>
      </c>
      <c r="D114" s="17">
        <v>11.36</v>
      </c>
    </row>
    <row r="115" spans="1:4" x14ac:dyDescent="0.45">
      <c r="A115" s="14" t="s">
        <v>6</v>
      </c>
      <c r="B115" s="14">
        <v>2022</v>
      </c>
      <c r="C115" s="14" t="s">
        <v>54</v>
      </c>
      <c r="D115" s="15">
        <v>1.97</v>
      </c>
    </row>
    <row r="116" spans="1:4" x14ac:dyDescent="0.45">
      <c r="A116" s="16" t="s">
        <v>19</v>
      </c>
      <c r="B116" s="16">
        <v>2022</v>
      </c>
      <c r="C116" s="16" t="s">
        <v>54</v>
      </c>
      <c r="D116" s="17">
        <v>0</v>
      </c>
    </row>
    <row r="117" spans="1:4" x14ac:dyDescent="0.45">
      <c r="A117" s="14" t="s">
        <v>23</v>
      </c>
      <c r="B117" s="14">
        <v>2022</v>
      </c>
      <c r="C117" s="14" t="s">
        <v>54</v>
      </c>
      <c r="D117" s="15">
        <v>4.82</v>
      </c>
    </row>
    <row r="118" spans="1:4" x14ac:dyDescent="0.45">
      <c r="A118" s="16" t="s">
        <v>5</v>
      </c>
      <c r="B118" s="16">
        <v>2023</v>
      </c>
      <c r="C118" s="16" t="s">
        <v>54</v>
      </c>
      <c r="D118" s="17">
        <v>103.02</v>
      </c>
    </row>
    <row r="119" spans="1:4" x14ac:dyDescent="0.45">
      <c r="A119" s="14" t="s">
        <v>8</v>
      </c>
      <c r="B119" s="14">
        <v>2023</v>
      </c>
      <c r="C119" s="14" t="s">
        <v>54</v>
      </c>
      <c r="D119" s="15">
        <v>14.75</v>
      </c>
    </row>
    <row r="120" spans="1:4" x14ac:dyDescent="0.45">
      <c r="A120" s="16" t="s">
        <v>6</v>
      </c>
      <c r="B120" s="16">
        <v>2023</v>
      </c>
      <c r="C120" s="16" t="s">
        <v>54</v>
      </c>
      <c r="D120" s="17">
        <v>2.38</v>
      </c>
    </row>
    <row r="121" spans="1:4" x14ac:dyDescent="0.45">
      <c r="A121" s="14" t="s">
        <v>19</v>
      </c>
      <c r="B121" s="14">
        <v>2023</v>
      </c>
      <c r="C121" s="14" t="s">
        <v>54</v>
      </c>
      <c r="D121" s="15">
        <v>0</v>
      </c>
    </row>
    <row r="122" spans="1:4" x14ac:dyDescent="0.45">
      <c r="A122" s="16" t="s">
        <v>23</v>
      </c>
      <c r="B122" s="16">
        <v>2023</v>
      </c>
      <c r="C122" s="16" t="s">
        <v>54</v>
      </c>
      <c r="D122" s="17">
        <v>5.17</v>
      </c>
    </row>
    <row r="123" spans="1:4" x14ac:dyDescent="0.45">
      <c r="A123" s="14" t="s">
        <v>5</v>
      </c>
      <c r="B123" s="14">
        <v>2000</v>
      </c>
      <c r="C123" s="14" t="s">
        <v>55</v>
      </c>
      <c r="D123" s="15">
        <v>29.1</v>
      </c>
    </row>
    <row r="124" spans="1:4" x14ac:dyDescent="0.45">
      <c r="A124" s="16" t="s">
        <v>8</v>
      </c>
      <c r="B124" s="16">
        <v>2000</v>
      </c>
      <c r="C124" s="16" t="s">
        <v>55</v>
      </c>
      <c r="D124" s="17">
        <v>0.41</v>
      </c>
    </row>
    <row r="125" spans="1:4" x14ac:dyDescent="0.45">
      <c r="A125" s="14" t="s">
        <v>6</v>
      </c>
      <c r="B125" s="14">
        <v>2000</v>
      </c>
      <c r="C125" s="14" t="s">
        <v>55</v>
      </c>
      <c r="D125" s="15">
        <v>0.82</v>
      </c>
    </row>
    <row r="126" spans="1:4" x14ac:dyDescent="0.45">
      <c r="A126" s="16" t="s">
        <v>19</v>
      </c>
      <c r="B126" s="16">
        <v>2000</v>
      </c>
      <c r="C126" s="16" t="s">
        <v>55</v>
      </c>
      <c r="D126" s="17"/>
    </row>
    <row r="127" spans="1:4" x14ac:dyDescent="0.45">
      <c r="A127" s="14" t="s">
        <v>23</v>
      </c>
      <c r="B127" s="14">
        <v>2000</v>
      </c>
      <c r="C127" s="14" t="s">
        <v>55</v>
      </c>
      <c r="D127" s="15"/>
    </row>
    <row r="128" spans="1:4" x14ac:dyDescent="0.45">
      <c r="A128" s="16" t="s">
        <v>5</v>
      </c>
      <c r="B128" s="16">
        <v>2001</v>
      </c>
      <c r="C128" s="16" t="s">
        <v>55</v>
      </c>
      <c r="D128" s="17">
        <v>29.1</v>
      </c>
    </row>
    <row r="129" spans="1:4" x14ac:dyDescent="0.45">
      <c r="A129" s="14" t="s">
        <v>8</v>
      </c>
      <c r="B129" s="14">
        <v>2001</v>
      </c>
      <c r="C129" s="14" t="s">
        <v>55</v>
      </c>
      <c r="D129" s="15">
        <v>0.41</v>
      </c>
    </row>
    <row r="130" spans="1:4" x14ac:dyDescent="0.45">
      <c r="A130" s="16" t="s">
        <v>6</v>
      </c>
      <c r="B130" s="16">
        <v>2001</v>
      </c>
      <c r="C130" s="16" t="s">
        <v>55</v>
      </c>
      <c r="D130" s="17">
        <v>0.87</v>
      </c>
    </row>
    <row r="131" spans="1:4" x14ac:dyDescent="0.45">
      <c r="A131" s="14" t="s">
        <v>19</v>
      </c>
      <c r="B131" s="14">
        <v>2001</v>
      </c>
      <c r="C131" s="14" t="s">
        <v>55</v>
      </c>
      <c r="D131" s="15"/>
    </row>
    <row r="132" spans="1:4" x14ac:dyDescent="0.45">
      <c r="A132" s="16" t="s">
        <v>23</v>
      </c>
      <c r="B132" s="16">
        <v>2001</v>
      </c>
      <c r="C132" s="16" t="s">
        <v>55</v>
      </c>
      <c r="D132" s="17"/>
    </row>
    <row r="133" spans="1:4" x14ac:dyDescent="0.45">
      <c r="A133" s="14" t="s">
        <v>5</v>
      </c>
      <c r="B133" s="14">
        <v>2002</v>
      </c>
      <c r="C133" s="14" t="s">
        <v>55</v>
      </c>
      <c r="D133" s="15">
        <v>29.45</v>
      </c>
    </row>
    <row r="134" spans="1:4" x14ac:dyDescent="0.45">
      <c r="A134" s="16" t="s">
        <v>8</v>
      </c>
      <c r="B134" s="16">
        <v>2002</v>
      </c>
      <c r="C134" s="16" t="s">
        <v>55</v>
      </c>
      <c r="D134" s="17">
        <v>0.68</v>
      </c>
    </row>
    <row r="135" spans="1:4" x14ac:dyDescent="0.45">
      <c r="A135" s="14" t="s">
        <v>6</v>
      </c>
      <c r="B135" s="14">
        <v>2002</v>
      </c>
      <c r="C135" s="14" t="s">
        <v>55</v>
      </c>
      <c r="D135" s="15">
        <v>0.84</v>
      </c>
    </row>
    <row r="136" spans="1:4" x14ac:dyDescent="0.45">
      <c r="A136" s="16" t="s">
        <v>19</v>
      </c>
      <c r="B136" s="16">
        <v>2002</v>
      </c>
      <c r="C136" s="16" t="s">
        <v>55</v>
      </c>
      <c r="D136" s="17"/>
    </row>
    <row r="137" spans="1:4" x14ac:dyDescent="0.45">
      <c r="A137" s="14" t="s">
        <v>23</v>
      </c>
      <c r="B137" s="14">
        <v>2002</v>
      </c>
      <c r="C137" s="14" t="s">
        <v>55</v>
      </c>
      <c r="D137" s="15"/>
    </row>
    <row r="138" spans="1:4" x14ac:dyDescent="0.45">
      <c r="A138" s="16" t="s">
        <v>5</v>
      </c>
      <c r="B138" s="16">
        <v>2003</v>
      </c>
      <c r="C138" s="16" t="s">
        <v>55</v>
      </c>
      <c r="D138" s="17">
        <v>29.5</v>
      </c>
    </row>
    <row r="139" spans="1:4" x14ac:dyDescent="0.45">
      <c r="A139" s="14" t="s">
        <v>8</v>
      </c>
      <c r="B139" s="14">
        <v>2003</v>
      </c>
      <c r="C139" s="14" t="s">
        <v>55</v>
      </c>
      <c r="D139" s="15">
        <v>0.78</v>
      </c>
    </row>
    <row r="140" spans="1:4" x14ac:dyDescent="0.45">
      <c r="A140" s="16" t="s">
        <v>6</v>
      </c>
      <c r="B140" s="16">
        <v>2003</v>
      </c>
      <c r="C140" s="16" t="s">
        <v>55</v>
      </c>
      <c r="D140" s="17">
        <v>0.87</v>
      </c>
    </row>
    <row r="141" spans="1:4" x14ac:dyDescent="0.45">
      <c r="A141" s="14" t="s">
        <v>19</v>
      </c>
      <c r="B141" s="14">
        <v>2003</v>
      </c>
      <c r="C141" s="14" t="s">
        <v>55</v>
      </c>
      <c r="D141" s="15"/>
    </row>
    <row r="142" spans="1:4" x14ac:dyDescent="0.45">
      <c r="A142" s="16" t="s">
        <v>23</v>
      </c>
      <c r="B142" s="16">
        <v>2003</v>
      </c>
      <c r="C142" s="16" t="s">
        <v>55</v>
      </c>
      <c r="D142" s="17"/>
    </row>
    <row r="143" spans="1:4" x14ac:dyDescent="0.45">
      <c r="A143" s="14" t="s">
        <v>5</v>
      </c>
      <c r="B143" s="14">
        <v>2004</v>
      </c>
      <c r="C143" s="14" t="s">
        <v>55</v>
      </c>
      <c r="D143" s="15">
        <v>29.5</v>
      </c>
    </row>
    <row r="144" spans="1:4" x14ac:dyDescent="0.45">
      <c r="A144" s="16" t="s">
        <v>8</v>
      </c>
      <c r="B144" s="16">
        <v>2004</v>
      </c>
      <c r="C144" s="16" t="s">
        <v>55</v>
      </c>
      <c r="D144" s="17">
        <v>0.98</v>
      </c>
    </row>
    <row r="145" spans="1:4" x14ac:dyDescent="0.45">
      <c r="A145" s="14" t="s">
        <v>6</v>
      </c>
      <c r="B145" s="14">
        <v>2004</v>
      </c>
      <c r="C145" s="14" t="s">
        <v>55</v>
      </c>
      <c r="D145" s="15">
        <v>0.88</v>
      </c>
    </row>
    <row r="146" spans="1:4" x14ac:dyDescent="0.45">
      <c r="A146" s="16" t="s">
        <v>19</v>
      </c>
      <c r="B146" s="16">
        <v>2004</v>
      </c>
      <c r="C146" s="16" t="s">
        <v>55</v>
      </c>
      <c r="D146" s="17"/>
    </row>
    <row r="147" spans="1:4" x14ac:dyDescent="0.45">
      <c r="A147" s="14" t="s">
        <v>23</v>
      </c>
      <c r="B147" s="14">
        <v>2004</v>
      </c>
      <c r="C147" s="14" t="s">
        <v>55</v>
      </c>
      <c r="D147" s="15"/>
    </row>
    <row r="148" spans="1:4" x14ac:dyDescent="0.45">
      <c r="A148" s="16" t="s">
        <v>5</v>
      </c>
      <c r="B148" s="16">
        <v>2005</v>
      </c>
      <c r="C148" s="16" t="s">
        <v>55</v>
      </c>
      <c r="D148" s="17">
        <v>29.5</v>
      </c>
    </row>
    <row r="149" spans="1:4" x14ac:dyDescent="0.45">
      <c r="A149" s="14" t="s">
        <v>8</v>
      </c>
      <c r="B149" s="14">
        <v>2005</v>
      </c>
      <c r="C149" s="14" t="s">
        <v>55</v>
      </c>
      <c r="D149" s="15">
        <v>0.98</v>
      </c>
    </row>
    <row r="150" spans="1:4" x14ac:dyDescent="0.45">
      <c r="A150" s="16" t="s">
        <v>6</v>
      </c>
      <c r="B150" s="16">
        <v>2005</v>
      </c>
      <c r="C150" s="16" t="s">
        <v>55</v>
      </c>
      <c r="D150" s="17">
        <v>0.91</v>
      </c>
    </row>
    <row r="151" spans="1:4" x14ac:dyDescent="0.45">
      <c r="A151" s="14" t="s">
        <v>19</v>
      </c>
      <c r="B151" s="14">
        <v>2005</v>
      </c>
      <c r="C151" s="14" t="s">
        <v>55</v>
      </c>
      <c r="D151" s="15"/>
    </row>
    <row r="152" spans="1:4" x14ac:dyDescent="0.45">
      <c r="A152" s="16" t="s">
        <v>23</v>
      </c>
      <c r="B152" s="16">
        <v>2005</v>
      </c>
      <c r="C152" s="16" t="s">
        <v>55</v>
      </c>
      <c r="D152" s="17"/>
    </row>
    <row r="153" spans="1:4" x14ac:dyDescent="0.45">
      <c r="A153" s="14" t="s">
        <v>5</v>
      </c>
      <c r="B153" s="14">
        <v>2006</v>
      </c>
      <c r="C153" s="14" t="s">
        <v>55</v>
      </c>
      <c r="D153" s="15">
        <v>29.5</v>
      </c>
    </row>
    <row r="154" spans="1:4" x14ac:dyDescent="0.45">
      <c r="A154" s="16" t="s">
        <v>8</v>
      </c>
      <c r="B154" s="16">
        <v>2006</v>
      </c>
      <c r="C154" s="16" t="s">
        <v>55</v>
      </c>
      <c r="D154" s="17">
        <v>0.98</v>
      </c>
    </row>
    <row r="155" spans="1:4" x14ac:dyDescent="0.45">
      <c r="A155" s="14" t="s">
        <v>6</v>
      </c>
      <c r="B155" s="14">
        <v>2006</v>
      </c>
      <c r="C155" s="14" t="s">
        <v>55</v>
      </c>
      <c r="D155" s="15">
        <v>0.93</v>
      </c>
    </row>
    <row r="156" spans="1:4" x14ac:dyDescent="0.45">
      <c r="A156" s="16" t="s">
        <v>19</v>
      </c>
      <c r="B156" s="16">
        <v>2006</v>
      </c>
      <c r="C156" s="16" t="s">
        <v>55</v>
      </c>
      <c r="D156" s="17"/>
    </row>
    <row r="157" spans="1:4" x14ac:dyDescent="0.45">
      <c r="A157" s="14" t="s">
        <v>23</v>
      </c>
      <c r="B157" s="14">
        <v>2006</v>
      </c>
      <c r="C157" s="14" t="s">
        <v>55</v>
      </c>
      <c r="D157" s="15"/>
    </row>
    <row r="158" spans="1:4" x14ac:dyDescent="0.45">
      <c r="A158" s="16" t="s">
        <v>5</v>
      </c>
      <c r="B158" s="16">
        <v>2007</v>
      </c>
      <c r="C158" s="16" t="s">
        <v>55</v>
      </c>
      <c r="D158" s="17">
        <v>29.44</v>
      </c>
    </row>
    <row r="159" spans="1:4" x14ac:dyDescent="0.45">
      <c r="A159" s="14" t="s">
        <v>8</v>
      </c>
      <c r="B159" s="14">
        <v>2007</v>
      </c>
      <c r="C159" s="14" t="s">
        <v>55</v>
      </c>
      <c r="D159" s="15">
        <v>1.02</v>
      </c>
    </row>
    <row r="160" spans="1:4" x14ac:dyDescent="0.45">
      <c r="A160" s="16" t="s">
        <v>6</v>
      </c>
      <c r="B160" s="16">
        <v>2007</v>
      </c>
      <c r="C160" s="16" t="s">
        <v>55</v>
      </c>
      <c r="D160" s="17">
        <v>0.92</v>
      </c>
    </row>
    <row r="161" spans="1:4" x14ac:dyDescent="0.45">
      <c r="A161" s="14" t="s">
        <v>19</v>
      </c>
      <c r="B161" s="14">
        <v>2007</v>
      </c>
      <c r="C161" s="14" t="s">
        <v>55</v>
      </c>
      <c r="D161" s="15"/>
    </row>
    <row r="162" spans="1:4" x14ac:dyDescent="0.45">
      <c r="A162" s="16" t="s">
        <v>23</v>
      </c>
      <c r="B162" s="16">
        <v>2007</v>
      </c>
      <c r="C162" s="16" t="s">
        <v>55</v>
      </c>
      <c r="D162" s="17"/>
    </row>
    <row r="163" spans="1:4" x14ac:dyDescent="0.45">
      <c r="A163" s="14" t="s">
        <v>5</v>
      </c>
      <c r="B163" s="14">
        <v>2008</v>
      </c>
      <c r="C163" s="14" t="s">
        <v>55</v>
      </c>
      <c r="D163" s="15">
        <v>29.84</v>
      </c>
    </row>
    <row r="164" spans="1:4" x14ac:dyDescent="0.45">
      <c r="A164" s="16" t="s">
        <v>8</v>
      </c>
      <c r="B164" s="16">
        <v>2008</v>
      </c>
      <c r="C164" s="16" t="s">
        <v>55</v>
      </c>
      <c r="D164" s="17">
        <v>1.02</v>
      </c>
    </row>
    <row r="165" spans="1:4" x14ac:dyDescent="0.45">
      <c r="A165" s="14" t="s">
        <v>6</v>
      </c>
      <c r="B165" s="14">
        <v>2008</v>
      </c>
      <c r="C165" s="14" t="s">
        <v>55</v>
      </c>
      <c r="D165" s="15">
        <v>0.93</v>
      </c>
    </row>
    <row r="166" spans="1:4" x14ac:dyDescent="0.45">
      <c r="A166" s="16" t="s">
        <v>19</v>
      </c>
      <c r="B166" s="16">
        <v>2008</v>
      </c>
      <c r="C166" s="16" t="s">
        <v>55</v>
      </c>
      <c r="D166" s="17"/>
    </row>
    <row r="167" spans="1:4" x14ac:dyDescent="0.45">
      <c r="A167" s="14" t="s">
        <v>23</v>
      </c>
      <c r="B167" s="14">
        <v>2008</v>
      </c>
      <c r="C167" s="14" t="s">
        <v>55</v>
      </c>
      <c r="D167" s="15"/>
    </row>
    <row r="168" spans="1:4" x14ac:dyDescent="0.45">
      <c r="A168" s="16" t="s">
        <v>5</v>
      </c>
      <c r="B168" s="16">
        <v>2009</v>
      </c>
      <c r="C168" s="16" t="s">
        <v>55</v>
      </c>
      <c r="D168" s="17">
        <v>30.06</v>
      </c>
    </row>
    <row r="169" spans="1:4" x14ac:dyDescent="0.45">
      <c r="A169" s="14" t="s">
        <v>8</v>
      </c>
      <c r="B169" s="14">
        <v>2009</v>
      </c>
      <c r="C169" s="14" t="s">
        <v>55</v>
      </c>
      <c r="D169" s="15">
        <v>1.02</v>
      </c>
    </row>
    <row r="170" spans="1:4" x14ac:dyDescent="0.45">
      <c r="A170" s="16" t="s">
        <v>6</v>
      </c>
      <c r="B170" s="16">
        <v>2009</v>
      </c>
      <c r="C170" s="16" t="s">
        <v>55</v>
      </c>
      <c r="D170" s="17">
        <v>0.93</v>
      </c>
    </row>
    <row r="171" spans="1:4" x14ac:dyDescent="0.45">
      <c r="A171" s="14" t="s">
        <v>19</v>
      </c>
      <c r="B171" s="14">
        <v>2009</v>
      </c>
      <c r="C171" s="14" t="s">
        <v>55</v>
      </c>
      <c r="D171" s="15"/>
    </row>
    <row r="172" spans="1:4" x14ac:dyDescent="0.45">
      <c r="A172" s="16" t="s">
        <v>23</v>
      </c>
      <c r="B172" s="16">
        <v>2009</v>
      </c>
      <c r="C172" s="16" t="s">
        <v>55</v>
      </c>
      <c r="D172" s="17"/>
    </row>
    <row r="173" spans="1:4" x14ac:dyDescent="0.45">
      <c r="A173" s="14" t="s">
        <v>5</v>
      </c>
      <c r="B173" s="14">
        <v>2010</v>
      </c>
      <c r="C173" s="14" t="s">
        <v>55</v>
      </c>
      <c r="D173" s="15">
        <v>29.92</v>
      </c>
    </row>
    <row r="174" spans="1:4" x14ac:dyDescent="0.45">
      <c r="A174" s="16" t="s">
        <v>8</v>
      </c>
      <c r="B174" s="16">
        <v>2010</v>
      </c>
      <c r="C174" s="16" t="s">
        <v>55</v>
      </c>
      <c r="D174" s="17">
        <v>1.02</v>
      </c>
    </row>
    <row r="175" spans="1:4" x14ac:dyDescent="0.45">
      <c r="A175" s="14" t="s">
        <v>6</v>
      </c>
      <c r="B175" s="14">
        <v>2010</v>
      </c>
      <c r="C175" s="14" t="s">
        <v>55</v>
      </c>
      <c r="D175" s="15">
        <v>0.94</v>
      </c>
    </row>
    <row r="176" spans="1:4" x14ac:dyDescent="0.45">
      <c r="A176" s="16" t="s">
        <v>19</v>
      </c>
      <c r="B176" s="16">
        <v>2010</v>
      </c>
      <c r="C176" s="16" t="s">
        <v>55</v>
      </c>
      <c r="D176" s="17"/>
    </row>
    <row r="177" spans="1:4" x14ac:dyDescent="0.45">
      <c r="A177" s="14" t="s">
        <v>23</v>
      </c>
      <c r="B177" s="14">
        <v>2010</v>
      </c>
      <c r="C177" s="14" t="s">
        <v>55</v>
      </c>
      <c r="D177" s="15"/>
    </row>
    <row r="178" spans="1:4" x14ac:dyDescent="0.45">
      <c r="A178" s="16" t="s">
        <v>5</v>
      </c>
      <c r="B178" s="16">
        <v>2011</v>
      </c>
      <c r="C178" s="16" t="s">
        <v>55</v>
      </c>
      <c r="D178" s="17">
        <v>30.56</v>
      </c>
    </row>
    <row r="179" spans="1:4" x14ac:dyDescent="0.45">
      <c r="A179" s="14" t="s">
        <v>8</v>
      </c>
      <c r="B179" s="14">
        <v>2011</v>
      </c>
      <c r="C179" s="14" t="s">
        <v>55</v>
      </c>
      <c r="D179" s="15">
        <v>1.02</v>
      </c>
    </row>
    <row r="180" spans="1:4" x14ac:dyDescent="0.45">
      <c r="A180" s="16" t="s">
        <v>6</v>
      </c>
      <c r="B180" s="16">
        <v>2011</v>
      </c>
      <c r="C180" s="16" t="s">
        <v>55</v>
      </c>
      <c r="D180" s="17">
        <v>0.94</v>
      </c>
    </row>
    <row r="181" spans="1:4" x14ac:dyDescent="0.45">
      <c r="A181" s="14" t="s">
        <v>19</v>
      </c>
      <c r="B181" s="14">
        <v>2011</v>
      </c>
      <c r="C181" s="14" t="s">
        <v>55</v>
      </c>
      <c r="D181" s="15"/>
    </row>
    <row r="182" spans="1:4" x14ac:dyDescent="0.45">
      <c r="A182" s="16" t="s">
        <v>23</v>
      </c>
      <c r="B182" s="16">
        <v>2011</v>
      </c>
      <c r="C182" s="16" t="s">
        <v>55</v>
      </c>
      <c r="D182" s="17"/>
    </row>
    <row r="183" spans="1:4" x14ac:dyDescent="0.45">
      <c r="A183" s="14" t="s">
        <v>5</v>
      </c>
      <c r="B183" s="14">
        <v>2012</v>
      </c>
      <c r="C183" s="14" t="s">
        <v>55</v>
      </c>
      <c r="D183" s="15">
        <v>29.77</v>
      </c>
    </row>
    <row r="184" spans="1:4" x14ac:dyDescent="0.45">
      <c r="A184" s="16" t="s">
        <v>8</v>
      </c>
      <c r="B184" s="16">
        <v>2012</v>
      </c>
      <c r="C184" s="16" t="s">
        <v>55</v>
      </c>
      <c r="D184" s="17">
        <v>1.06</v>
      </c>
    </row>
    <row r="185" spans="1:4" x14ac:dyDescent="0.45">
      <c r="A185" s="14" t="s">
        <v>6</v>
      </c>
      <c r="B185" s="14">
        <v>2012</v>
      </c>
      <c r="C185" s="14" t="s">
        <v>55</v>
      </c>
      <c r="D185" s="15">
        <v>0.94</v>
      </c>
    </row>
    <row r="186" spans="1:4" x14ac:dyDescent="0.45">
      <c r="A186" s="16" t="s">
        <v>19</v>
      </c>
      <c r="B186" s="16">
        <v>2012</v>
      </c>
      <c r="C186" s="16" t="s">
        <v>55</v>
      </c>
      <c r="D186" s="17"/>
    </row>
    <row r="187" spans="1:4" x14ac:dyDescent="0.45">
      <c r="A187" s="14" t="s">
        <v>23</v>
      </c>
      <c r="B187" s="14">
        <v>2012</v>
      </c>
      <c r="C187" s="14" t="s">
        <v>55</v>
      </c>
      <c r="D187" s="15"/>
    </row>
    <row r="188" spans="1:4" x14ac:dyDescent="0.45">
      <c r="A188" s="16" t="s">
        <v>5</v>
      </c>
      <c r="B188" s="16">
        <v>2013</v>
      </c>
      <c r="C188" s="16" t="s">
        <v>55</v>
      </c>
      <c r="D188" s="17">
        <v>29.32</v>
      </c>
    </row>
    <row r="189" spans="1:4" x14ac:dyDescent="0.45">
      <c r="A189" s="14" t="s">
        <v>8</v>
      </c>
      <c r="B189" s="14">
        <v>2013</v>
      </c>
      <c r="C189" s="14" t="s">
        <v>55</v>
      </c>
      <c r="D189" s="15">
        <v>1.06</v>
      </c>
    </row>
    <row r="190" spans="1:4" x14ac:dyDescent="0.45">
      <c r="A190" s="16" t="s">
        <v>6</v>
      </c>
      <c r="B190" s="16">
        <v>2013</v>
      </c>
      <c r="C190" s="16" t="s">
        <v>55</v>
      </c>
      <c r="D190" s="17">
        <v>0.95</v>
      </c>
    </row>
    <row r="191" spans="1:4" x14ac:dyDescent="0.45">
      <c r="A191" s="14" t="s">
        <v>19</v>
      </c>
      <c r="B191" s="14">
        <v>2013</v>
      </c>
      <c r="C191" s="14" t="s">
        <v>55</v>
      </c>
      <c r="D191" s="15"/>
    </row>
    <row r="192" spans="1:4" x14ac:dyDescent="0.45">
      <c r="A192" s="16" t="s">
        <v>23</v>
      </c>
      <c r="B192" s="16">
        <v>2013</v>
      </c>
      <c r="C192" s="16" t="s">
        <v>55</v>
      </c>
      <c r="D192" s="17"/>
    </row>
    <row r="193" spans="1:4" x14ac:dyDescent="0.45">
      <c r="A193" s="14" t="s">
        <v>5</v>
      </c>
      <c r="B193" s="14">
        <v>2014</v>
      </c>
      <c r="C193" s="14" t="s">
        <v>55</v>
      </c>
      <c r="D193" s="15">
        <v>28.94</v>
      </c>
    </row>
    <row r="194" spans="1:4" x14ac:dyDescent="0.45">
      <c r="A194" s="16" t="s">
        <v>8</v>
      </c>
      <c r="B194" s="16">
        <v>2014</v>
      </c>
      <c r="C194" s="16" t="s">
        <v>55</v>
      </c>
      <c r="D194" s="17">
        <v>1.1100000000000001</v>
      </c>
    </row>
    <row r="195" spans="1:4" x14ac:dyDescent="0.45">
      <c r="A195" s="14" t="s">
        <v>6</v>
      </c>
      <c r="B195" s="14">
        <v>2014</v>
      </c>
      <c r="C195" s="14" t="s">
        <v>55</v>
      </c>
      <c r="D195" s="15">
        <v>0.96</v>
      </c>
    </row>
    <row r="196" spans="1:4" x14ac:dyDescent="0.45">
      <c r="A196" s="16" t="s">
        <v>19</v>
      </c>
      <c r="B196" s="16">
        <v>2014</v>
      </c>
      <c r="C196" s="16" t="s">
        <v>55</v>
      </c>
      <c r="D196" s="17"/>
    </row>
    <row r="197" spans="1:4" x14ac:dyDescent="0.45">
      <c r="A197" s="14" t="s">
        <v>23</v>
      </c>
      <c r="B197" s="14">
        <v>2014</v>
      </c>
      <c r="C197" s="14" t="s">
        <v>55</v>
      </c>
      <c r="D197" s="15"/>
    </row>
    <row r="198" spans="1:4" x14ac:dyDescent="0.45">
      <c r="A198" s="16" t="s">
        <v>5</v>
      </c>
      <c r="B198" s="16">
        <v>2015</v>
      </c>
      <c r="C198" s="16" t="s">
        <v>55</v>
      </c>
      <c r="D198" s="17">
        <v>28.7</v>
      </c>
    </row>
    <row r="199" spans="1:4" x14ac:dyDescent="0.45">
      <c r="A199" s="14" t="s">
        <v>8</v>
      </c>
      <c r="B199" s="14">
        <v>2015</v>
      </c>
      <c r="C199" s="14" t="s">
        <v>55</v>
      </c>
      <c r="D199" s="15">
        <v>1.18</v>
      </c>
    </row>
    <row r="200" spans="1:4" x14ac:dyDescent="0.45">
      <c r="A200" s="16" t="s">
        <v>6</v>
      </c>
      <c r="B200" s="16">
        <v>2015</v>
      </c>
      <c r="C200" s="16" t="s">
        <v>55</v>
      </c>
      <c r="D200" s="17">
        <v>0.96</v>
      </c>
    </row>
    <row r="201" spans="1:4" x14ac:dyDescent="0.45">
      <c r="A201" s="14" t="s">
        <v>19</v>
      </c>
      <c r="B201" s="14">
        <v>2015</v>
      </c>
      <c r="C201" s="14" t="s">
        <v>55</v>
      </c>
      <c r="D201" s="15"/>
    </row>
    <row r="202" spans="1:4" x14ac:dyDescent="0.45">
      <c r="A202" s="16" t="s">
        <v>23</v>
      </c>
      <c r="B202" s="16">
        <v>2015</v>
      </c>
      <c r="C202" s="16" t="s">
        <v>55</v>
      </c>
      <c r="D202" s="17"/>
    </row>
    <row r="203" spans="1:4" x14ac:dyDescent="0.45">
      <c r="A203" s="14" t="s">
        <v>5</v>
      </c>
      <c r="B203" s="14">
        <v>2016</v>
      </c>
      <c r="C203" s="14" t="s">
        <v>55</v>
      </c>
      <c r="D203" s="15">
        <v>28.52</v>
      </c>
    </row>
    <row r="204" spans="1:4" x14ac:dyDescent="0.45">
      <c r="A204" s="16" t="s">
        <v>8</v>
      </c>
      <c r="B204" s="16">
        <v>2016</v>
      </c>
      <c r="C204" s="16" t="s">
        <v>55</v>
      </c>
      <c r="D204" s="17">
        <v>1.18</v>
      </c>
    </row>
    <row r="205" spans="1:4" x14ac:dyDescent="0.45">
      <c r="A205" s="14" t="s">
        <v>6</v>
      </c>
      <c r="B205" s="14">
        <v>2016</v>
      </c>
      <c r="C205" s="14" t="s">
        <v>55</v>
      </c>
      <c r="D205" s="15">
        <v>0.97</v>
      </c>
    </row>
    <row r="206" spans="1:4" x14ac:dyDescent="0.45">
      <c r="A206" s="16" t="s">
        <v>19</v>
      </c>
      <c r="B206" s="16">
        <v>2016</v>
      </c>
      <c r="C206" s="16" t="s">
        <v>55</v>
      </c>
      <c r="D206" s="17"/>
    </row>
    <row r="207" spans="1:4" x14ac:dyDescent="0.45">
      <c r="A207" s="14" t="s">
        <v>23</v>
      </c>
      <c r="B207" s="14">
        <v>2016</v>
      </c>
      <c r="C207" s="14" t="s">
        <v>55</v>
      </c>
      <c r="D207" s="15"/>
    </row>
    <row r="208" spans="1:4" x14ac:dyDescent="0.45">
      <c r="A208" s="16" t="s">
        <v>5</v>
      </c>
      <c r="B208" s="16">
        <v>2017</v>
      </c>
      <c r="C208" s="16" t="s">
        <v>55</v>
      </c>
      <c r="D208" s="17">
        <v>29</v>
      </c>
    </row>
    <row r="209" spans="1:4" x14ac:dyDescent="0.45">
      <c r="A209" s="14" t="s">
        <v>8</v>
      </c>
      <c r="B209" s="14">
        <v>2017</v>
      </c>
      <c r="C209" s="14" t="s">
        <v>55</v>
      </c>
      <c r="D209" s="15">
        <v>1.9</v>
      </c>
    </row>
    <row r="210" spans="1:4" x14ac:dyDescent="0.45">
      <c r="A210" s="16" t="s">
        <v>6</v>
      </c>
      <c r="B210" s="16">
        <v>2017</v>
      </c>
      <c r="C210" s="16" t="s">
        <v>55</v>
      </c>
      <c r="D210" s="17">
        <v>0.97</v>
      </c>
    </row>
    <row r="211" spans="1:4" x14ac:dyDescent="0.45">
      <c r="A211" s="14" t="s">
        <v>19</v>
      </c>
      <c r="B211" s="14">
        <v>2017</v>
      </c>
      <c r="C211" s="14" t="s">
        <v>55</v>
      </c>
      <c r="D211" s="15"/>
    </row>
    <row r="212" spans="1:4" x14ac:dyDescent="0.45">
      <c r="A212" s="16" t="s">
        <v>23</v>
      </c>
      <c r="B212" s="16">
        <v>2017</v>
      </c>
      <c r="C212" s="16" t="s">
        <v>55</v>
      </c>
      <c r="D212" s="17"/>
    </row>
    <row r="213" spans="1:4" x14ac:dyDescent="0.45">
      <c r="A213" s="14" t="s">
        <v>5</v>
      </c>
      <c r="B213" s="14">
        <v>2018</v>
      </c>
      <c r="C213" s="14" t="s">
        <v>55</v>
      </c>
      <c r="D213" s="15">
        <v>29.07</v>
      </c>
    </row>
    <row r="214" spans="1:4" x14ac:dyDescent="0.45">
      <c r="A214" s="16" t="s">
        <v>8</v>
      </c>
      <c r="B214" s="16">
        <v>2018</v>
      </c>
      <c r="C214" s="16" t="s">
        <v>55</v>
      </c>
      <c r="D214" s="17">
        <v>2.5299999999999998</v>
      </c>
    </row>
    <row r="215" spans="1:4" x14ac:dyDescent="0.45">
      <c r="A215" s="14" t="s">
        <v>6</v>
      </c>
      <c r="B215" s="14">
        <v>2018</v>
      </c>
      <c r="C215" s="14" t="s">
        <v>55</v>
      </c>
      <c r="D215" s="15">
        <v>0.97</v>
      </c>
    </row>
    <row r="216" spans="1:4" x14ac:dyDescent="0.45">
      <c r="A216" s="16" t="s">
        <v>19</v>
      </c>
      <c r="B216" s="16">
        <v>2018</v>
      </c>
      <c r="C216" s="16" t="s">
        <v>55</v>
      </c>
      <c r="D216" s="17"/>
    </row>
    <row r="217" spans="1:4" x14ac:dyDescent="0.45">
      <c r="A217" s="14" t="s">
        <v>23</v>
      </c>
      <c r="B217" s="14">
        <v>2018</v>
      </c>
      <c r="C217" s="14" t="s">
        <v>55</v>
      </c>
      <c r="D217" s="15"/>
    </row>
    <row r="218" spans="1:4" x14ac:dyDescent="0.45">
      <c r="A218" s="16" t="s">
        <v>5</v>
      </c>
      <c r="B218" s="16">
        <v>2019</v>
      </c>
      <c r="C218" s="16" t="s">
        <v>55</v>
      </c>
      <c r="D218" s="17">
        <v>30.16</v>
      </c>
    </row>
    <row r="219" spans="1:4" x14ac:dyDescent="0.45">
      <c r="A219" s="14" t="s">
        <v>8</v>
      </c>
      <c r="B219" s="14">
        <v>2019</v>
      </c>
      <c r="C219" s="14" t="s">
        <v>55</v>
      </c>
      <c r="D219" s="15">
        <v>2.5299999999999998</v>
      </c>
    </row>
    <row r="220" spans="1:4" x14ac:dyDescent="0.45">
      <c r="A220" s="16" t="s">
        <v>6</v>
      </c>
      <c r="B220" s="16">
        <v>2019</v>
      </c>
      <c r="C220" s="16" t="s">
        <v>55</v>
      </c>
      <c r="D220" s="17">
        <v>0.97</v>
      </c>
    </row>
    <row r="221" spans="1:4" x14ac:dyDescent="0.45">
      <c r="A221" s="14" t="s">
        <v>19</v>
      </c>
      <c r="B221" s="14">
        <v>2019</v>
      </c>
      <c r="C221" s="14" t="s">
        <v>55</v>
      </c>
      <c r="D221" s="15"/>
    </row>
    <row r="222" spans="1:4" x14ac:dyDescent="0.45">
      <c r="A222" s="16" t="s">
        <v>23</v>
      </c>
      <c r="B222" s="16">
        <v>2019</v>
      </c>
      <c r="C222" s="16" t="s">
        <v>55</v>
      </c>
      <c r="D222" s="17"/>
    </row>
    <row r="223" spans="1:4" x14ac:dyDescent="0.45">
      <c r="A223" s="14" t="s">
        <v>5</v>
      </c>
      <c r="B223" s="14">
        <v>2020</v>
      </c>
      <c r="C223" s="14" t="s">
        <v>55</v>
      </c>
      <c r="D223" s="15">
        <v>29.2</v>
      </c>
    </row>
    <row r="224" spans="1:4" x14ac:dyDescent="0.45">
      <c r="A224" s="16" t="s">
        <v>8</v>
      </c>
      <c r="B224" s="16">
        <v>2020</v>
      </c>
      <c r="C224" s="16" t="s">
        <v>55</v>
      </c>
      <c r="D224" s="17">
        <v>2.98</v>
      </c>
    </row>
    <row r="225" spans="1:4" x14ac:dyDescent="0.45">
      <c r="A225" s="14" t="s">
        <v>6</v>
      </c>
      <c r="B225" s="14">
        <v>2020</v>
      </c>
      <c r="C225" s="14" t="s">
        <v>55</v>
      </c>
      <c r="D225" s="15">
        <v>0.98</v>
      </c>
    </row>
    <row r="226" spans="1:4" x14ac:dyDescent="0.45">
      <c r="A226" s="16" t="s">
        <v>19</v>
      </c>
      <c r="B226" s="16">
        <v>2020</v>
      </c>
      <c r="C226" s="16" t="s">
        <v>55</v>
      </c>
      <c r="D226" s="17"/>
    </row>
    <row r="227" spans="1:4" x14ac:dyDescent="0.45">
      <c r="A227" s="14" t="s">
        <v>23</v>
      </c>
      <c r="B227" s="14">
        <v>2020</v>
      </c>
      <c r="C227" s="14" t="s">
        <v>55</v>
      </c>
      <c r="D227" s="15"/>
    </row>
    <row r="228" spans="1:4" x14ac:dyDescent="0.45">
      <c r="A228" s="16" t="s">
        <v>5</v>
      </c>
      <c r="B228" s="16">
        <v>2021</v>
      </c>
      <c r="C228" s="16" t="s">
        <v>55</v>
      </c>
      <c r="D228" s="17">
        <v>28.96</v>
      </c>
    </row>
    <row r="229" spans="1:4" x14ac:dyDescent="0.45">
      <c r="A229" s="14" t="s">
        <v>8</v>
      </c>
      <c r="B229" s="14">
        <v>2021</v>
      </c>
      <c r="C229" s="14" t="s">
        <v>55</v>
      </c>
      <c r="D229" s="15">
        <v>3.47</v>
      </c>
    </row>
    <row r="230" spans="1:4" x14ac:dyDescent="0.45">
      <c r="A230" s="16" t="s">
        <v>6</v>
      </c>
      <c r="B230" s="16">
        <v>2021</v>
      </c>
      <c r="C230" s="16" t="s">
        <v>55</v>
      </c>
      <c r="D230" s="17">
        <v>0.97</v>
      </c>
    </row>
    <row r="231" spans="1:4" x14ac:dyDescent="0.45">
      <c r="A231" s="14" t="s">
        <v>19</v>
      </c>
      <c r="B231" s="14">
        <v>2021</v>
      </c>
      <c r="C231" s="14" t="s">
        <v>55</v>
      </c>
      <c r="D231" s="15"/>
    </row>
    <row r="232" spans="1:4" x14ac:dyDescent="0.45">
      <c r="A232" s="16" t="s">
        <v>23</v>
      </c>
      <c r="B232" s="16">
        <v>2021</v>
      </c>
      <c r="C232" s="16" t="s">
        <v>55</v>
      </c>
      <c r="D232" s="17"/>
    </row>
    <row r="233" spans="1:4" x14ac:dyDescent="0.45">
      <c r="A233" s="14" t="s">
        <v>5</v>
      </c>
      <c r="B233" s="14">
        <v>2022</v>
      </c>
      <c r="C233" s="14" t="s">
        <v>55</v>
      </c>
      <c r="D233" s="15">
        <v>28.96</v>
      </c>
    </row>
    <row r="234" spans="1:4" x14ac:dyDescent="0.45">
      <c r="A234" s="16" t="s">
        <v>8</v>
      </c>
      <c r="B234" s="16">
        <v>2022</v>
      </c>
      <c r="C234" s="16" t="s">
        <v>55</v>
      </c>
      <c r="D234" s="17">
        <v>3.49</v>
      </c>
    </row>
    <row r="235" spans="1:4" x14ac:dyDescent="0.45">
      <c r="A235" s="14" t="s">
        <v>6</v>
      </c>
      <c r="B235" s="14">
        <v>2022</v>
      </c>
      <c r="C235" s="14" t="s">
        <v>55</v>
      </c>
      <c r="D235" s="15">
        <v>0.98</v>
      </c>
    </row>
    <row r="236" spans="1:4" x14ac:dyDescent="0.45">
      <c r="A236" s="16" t="s">
        <v>19</v>
      </c>
      <c r="B236" s="16">
        <v>2022</v>
      </c>
      <c r="C236" s="16" t="s">
        <v>55</v>
      </c>
      <c r="D236" s="17"/>
    </row>
    <row r="237" spans="1:4" x14ac:dyDescent="0.45">
      <c r="A237" s="14" t="s">
        <v>23</v>
      </c>
      <c r="B237" s="14">
        <v>2022</v>
      </c>
      <c r="C237" s="14" t="s">
        <v>55</v>
      </c>
      <c r="D237" s="15"/>
    </row>
    <row r="238" spans="1:4" x14ac:dyDescent="0.45">
      <c r="A238" s="16" t="s">
        <v>5</v>
      </c>
      <c r="B238" s="16">
        <v>2023</v>
      </c>
      <c r="C238" s="16" t="s">
        <v>55</v>
      </c>
      <c r="D238" s="17">
        <v>28.51</v>
      </c>
    </row>
    <row r="239" spans="1:4" x14ac:dyDescent="0.45">
      <c r="A239" s="14" t="s">
        <v>8</v>
      </c>
      <c r="B239" s="14">
        <v>2023</v>
      </c>
      <c r="C239" s="14" t="s">
        <v>55</v>
      </c>
      <c r="D239" s="15">
        <v>3.49</v>
      </c>
    </row>
    <row r="240" spans="1:4" x14ac:dyDescent="0.45">
      <c r="A240" s="16" t="s">
        <v>6</v>
      </c>
      <c r="B240" s="16">
        <v>2023</v>
      </c>
      <c r="C240" s="16" t="s">
        <v>55</v>
      </c>
      <c r="D240" s="17">
        <v>0.98</v>
      </c>
    </row>
    <row r="241" spans="1:4" x14ac:dyDescent="0.45">
      <c r="A241" s="14" t="s">
        <v>19</v>
      </c>
      <c r="B241" s="14">
        <v>2023</v>
      </c>
      <c r="C241" s="14" t="s">
        <v>55</v>
      </c>
      <c r="D241" s="15"/>
    </row>
    <row r="242" spans="1:4" x14ac:dyDescent="0.45">
      <c r="A242" s="16" t="s">
        <v>23</v>
      </c>
      <c r="B242" s="16">
        <v>2023</v>
      </c>
      <c r="C242" s="16" t="s">
        <v>55</v>
      </c>
      <c r="D242" s="17"/>
    </row>
    <row r="243" spans="1:4" x14ac:dyDescent="0.45">
      <c r="A243" s="14" t="s">
        <v>50</v>
      </c>
      <c r="B243" s="14">
        <v>2000</v>
      </c>
      <c r="C243" s="14" t="s">
        <v>56</v>
      </c>
      <c r="D243" s="15">
        <v>0.05</v>
      </c>
    </row>
    <row r="244" spans="1:4" x14ac:dyDescent="0.45">
      <c r="A244" s="16" t="s">
        <v>5</v>
      </c>
      <c r="B244" s="16">
        <v>2000</v>
      </c>
      <c r="C244" s="16" t="s">
        <v>56</v>
      </c>
      <c r="D244" s="17">
        <v>133.55000000000001</v>
      </c>
    </row>
    <row r="245" spans="1:4" x14ac:dyDescent="0.45">
      <c r="A245" s="14" t="s">
        <v>8</v>
      </c>
      <c r="B245" s="14">
        <v>2000</v>
      </c>
      <c r="C245" s="14" t="s">
        <v>56</v>
      </c>
      <c r="D245" s="15">
        <v>0.38</v>
      </c>
    </row>
    <row r="246" spans="1:4" x14ac:dyDescent="0.45">
      <c r="A246" s="16" t="s">
        <v>6</v>
      </c>
      <c r="B246" s="16">
        <v>2000</v>
      </c>
      <c r="C246" s="16" t="s">
        <v>56</v>
      </c>
      <c r="D246" s="17">
        <v>0.05</v>
      </c>
    </row>
    <row r="247" spans="1:4" x14ac:dyDescent="0.45">
      <c r="A247" s="14" t="s">
        <v>19</v>
      </c>
      <c r="B247" s="14">
        <v>2000</v>
      </c>
      <c r="C247" s="14" t="s">
        <v>56</v>
      </c>
      <c r="D247" s="15">
        <v>0</v>
      </c>
    </row>
    <row r="248" spans="1:4" x14ac:dyDescent="0.45">
      <c r="A248" s="16" t="s">
        <v>23</v>
      </c>
      <c r="B248" s="16">
        <v>2000</v>
      </c>
      <c r="C248" s="16" t="s">
        <v>56</v>
      </c>
      <c r="D248" s="17">
        <v>2.65</v>
      </c>
    </row>
    <row r="249" spans="1:4" x14ac:dyDescent="0.45">
      <c r="A249" s="14" t="s">
        <v>50</v>
      </c>
      <c r="B249" s="14">
        <v>2000</v>
      </c>
      <c r="C249" s="14" t="s">
        <v>56</v>
      </c>
      <c r="D249" s="15">
        <v>0</v>
      </c>
    </row>
    <row r="250" spans="1:4" x14ac:dyDescent="0.45">
      <c r="A250" s="16" t="s">
        <v>9</v>
      </c>
      <c r="B250" s="16">
        <v>2000</v>
      </c>
      <c r="C250" s="16" t="s">
        <v>56</v>
      </c>
      <c r="D250" s="17">
        <v>0</v>
      </c>
    </row>
    <row r="251" spans="1:4" x14ac:dyDescent="0.45">
      <c r="A251" s="14" t="s">
        <v>83</v>
      </c>
      <c r="B251" s="14">
        <v>2000</v>
      </c>
      <c r="C251" s="14" t="s">
        <v>56</v>
      </c>
      <c r="D251" s="15">
        <v>0</v>
      </c>
    </row>
    <row r="252" spans="1:4" x14ac:dyDescent="0.45">
      <c r="A252" s="16" t="s">
        <v>50</v>
      </c>
      <c r="B252" s="16">
        <v>2001</v>
      </c>
      <c r="C252" s="16" t="s">
        <v>56</v>
      </c>
      <c r="D252" s="17">
        <v>0.1</v>
      </c>
    </row>
    <row r="253" spans="1:4" x14ac:dyDescent="0.45">
      <c r="A253" s="14" t="s">
        <v>5</v>
      </c>
      <c r="B253" s="14">
        <v>2001</v>
      </c>
      <c r="C253" s="14" t="s">
        <v>56</v>
      </c>
      <c r="D253" s="15">
        <v>132.72999999999999</v>
      </c>
    </row>
    <row r="254" spans="1:4" x14ac:dyDescent="0.45">
      <c r="A254" s="16" t="s">
        <v>8</v>
      </c>
      <c r="B254" s="16">
        <v>2001</v>
      </c>
      <c r="C254" s="16" t="s">
        <v>56</v>
      </c>
      <c r="D254" s="17">
        <v>0.55000000000000004</v>
      </c>
    </row>
    <row r="255" spans="1:4" x14ac:dyDescent="0.45">
      <c r="A255" s="14" t="s">
        <v>6</v>
      </c>
      <c r="B255" s="14">
        <v>2001</v>
      </c>
      <c r="C255" s="14" t="s">
        <v>56</v>
      </c>
      <c r="D255" s="15">
        <v>0.06</v>
      </c>
    </row>
    <row r="256" spans="1:4" x14ac:dyDescent="0.45">
      <c r="A256" s="16" t="s">
        <v>19</v>
      </c>
      <c r="B256" s="16">
        <v>2001</v>
      </c>
      <c r="C256" s="16" t="s">
        <v>56</v>
      </c>
      <c r="D256" s="17">
        <v>0</v>
      </c>
    </row>
    <row r="257" spans="1:4" x14ac:dyDescent="0.45">
      <c r="A257" s="14" t="s">
        <v>23</v>
      </c>
      <c r="B257" s="14">
        <v>2001</v>
      </c>
      <c r="C257" s="14" t="s">
        <v>56</v>
      </c>
      <c r="D257" s="15">
        <v>3.03</v>
      </c>
    </row>
    <row r="258" spans="1:4" x14ac:dyDescent="0.45">
      <c r="A258" s="16" t="s">
        <v>50</v>
      </c>
      <c r="B258" s="16">
        <v>2001</v>
      </c>
      <c r="C258" s="16" t="s">
        <v>56</v>
      </c>
      <c r="D258" s="17">
        <v>0</v>
      </c>
    </row>
    <row r="259" spans="1:4" x14ac:dyDescent="0.45">
      <c r="A259" s="14" t="s">
        <v>9</v>
      </c>
      <c r="B259" s="14">
        <v>2001</v>
      </c>
      <c r="C259" s="14" t="s">
        <v>56</v>
      </c>
      <c r="D259" s="15">
        <v>0</v>
      </c>
    </row>
    <row r="260" spans="1:4" x14ac:dyDescent="0.45">
      <c r="A260" s="16" t="s">
        <v>83</v>
      </c>
      <c r="B260" s="16">
        <v>2001</v>
      </c>
      <c r="C260" s="16" t="s">
        <v>56</v>
      </c>
      <c r="D260" s="17">
        <v>0</v>
      </c>
    </row>
    <row r="261" spans="1:4" x14ac:dyDescent="0.45">
      <c r="A261" s="14" t="s">
        <v>50</v>
      </c>
      <c r="B261" s="14">
        <v>2002</v>
      </c>
      <c r="C261" s="14" t="s">
        <v>56</v>
      </c>
      <c r="D261" s="15">
        <v>0.09</v>
      </c>
    </row>
    <row r="262" spans="1:4" x14ac:dyDescent="0.45">
      <c r="A262" s="16" t="s">
        <v>5</v>
      </c>
      <c r="B262" s="16">
        <v>2002</v>
      </c>
      <c r="C262" s="16" t="s">
        <v>56</v>
      </c>
      <c r="D262" s="17">
        <v>130.69</v>
      </c>
    </row>
    <row r="263" spans="1:4" x14ac:dyDescent="0.45">
      <c r="A263" s="14" t="s">
        <v>8</v>
      </c>
      <c r="B263" s="14">
        <v>2002</v>
      </c>
      <c r="C263" s="14" t="s">
        <v>56</v>
      </c>
      <c r="D263" s="15">
        <v>0.9</v>
      </c>
    </row>
    <row r="264" spans="1:4" x14ac:dyDescent="0.45">
      <c r="A264" s="16" t="s">
        <v>6</v>
      </c>
      <c r="B264" s="16">
        <v>2002</v>
      </c>
      <c r="C264" s="16" t="s">
        <v>56</v>
      </c>
      <c r="D264" s="17">
        <v>0.05</v>
      </c>
    </row>
    <row r="265" spans="1:4" x14ac:dyDescent="0.45">
      <c r="A265" s="14" t="s">
        <v>19</v>
      </c>
      <c r="B265" s="14">
        <v>2002</v>
      </c>
      <c r="C265" s="14" t="s">
        <v>56</v>
      </c>
      <c r="D265" s="15">
        <v>0</v>
      </c>
    </row>
    <row r="266" spans="1:4" x14ac:dyDescent="0.45">
      <c r="A266" s="16" t="s">
        <v>23</v>
      </c>
      <c r="B266" s="16">
        <v>2002</v>
      </c>
      <c r="C266" s="16" t="s">
        <v>56</v>
      </c>
      <c r="D266" s="17">
        <v>3.01</v>
      </c>
    </row>
    <row r="267" spans="1:4" x14ac:dyDescent="0.45">
      <c r="A267" s="14" t="s">
        <v>50</v>
      </c>
      <c r="B267" s="14">
        <v>2002</v>
      </c>
      <c r="C267" s="14" t="s">
        <v>56</v>
      </c>
      <c r="D267" s="15">
        <v>0</v>
      </c>
    </row>
    <row r="268" spans="1:4" x14ac:dyDescent="0.45">
      <c r="A268" s="16" t="s">
        <v>9</v>
      </c>
      <c r="B268" s="16">
        <v>2002</v>
      </c>
      <c r="C268" s="16" t="s">
        <v>56</v>
      </c>
      <c r="D268" s="17">
        <v>0</v>
      </c>
    </row>
    <row r="269" spans="1:4" x14ac:dyDescent="0.45">
      <c r="A269" s="14" t="s">
        <v>83</v>
      </c>
      <c r="B269" s="14">
        <v>2002</v>
      </c>
      <c r="C269" s="14" t="s">
        <v>56</v>
      </c>
      <c r="D269" s="15">
        <v>0</v>
      </c>
    </row>
    <row r="270" spans="1:4" x14ac:dyDescent="0.45">
      <c r="A270" s="16" t="s">
        <v>50</v>
      </c>
      <c r="B270" s="16">
        <v>2003</v>
      </c>
      <c r="C270" s="16" t="s">
        <v>56</v>
      </c>
      <c r="D270" s="17">
        <v>0.1</v>
      </c>
    </row>
    <row r="271" spans="1:4" x14ac:dyDescent="0.45">
      <c r="A271" s="14" t="s">
        <v>5</v>
      </c>
      <c r="B271" s="14">
        <v>2003</v>
      </c>
      <c r="C271" s="14" t="s">
        <v>56</v>
      </c>
      <c r="D271" s="15">
        <v>138.27000000000001</v>
      </c>
    </row>
    <row r="272" spans="1:4" x14ac:dyDescent="0.45">
      <c r="A272" s="16" t="s">
        <v>8</v>
      </c>
      <c r="B272" s="16">
        <v>2003</v>
      </c>
      <c r="C272" s="16" t="s">
        <v>56</v>
      </c>
      <c r="D272" s="17">
        <v>0.99</v>
      </c>
    </row>
    <row r="273" spans="1:4" x14ac:dyDescent="0.45">
      <c r="A273" s="14" t="s">
        <v>6</v>
      </c>
      <c r="B273" s="14">
        <v>2003</v>
      </c>
      <c r="C273" s="14" t="s">
        <v>56</v>
      </c>
      <c r="D273" s="15">
        <v>0.04</v>
      </c>
    </row>
    <row r="274" spans="1:4" x14ac:dyDescent="0.45">
      <c r="A274" s="16" t="s">
        <v>19</v>
      </c>
      <c r="B274" s="16">
        <v>2003</v>
      </c>
      <c r="C274" s="16" t="s">
        <v>56</v>
      </c>
      <c r="D274" s="17">
        <v>0</v>
      </c>
    </row>
    <row r="275" spans="1:4" x14ac:dyDescent="0.45">
      <c r="A275" s="14" t="s">
        <v>23</v>
      </c>
      <c r="B275" s="14">
        <v>2003</v>
      </c>
      <c r="C275" s="14" t="s">
        <v>56</v>
      </c>
      <c r="D275" s="15">
        <v>3.08</v>
      </c>
    </row>
    <row r="276" spans="1:4" x14ac:dyDescent="0.45">
      <c r="A276" s="16" t="s">
        <v>50</v>
      </c>
      <c r="B276" s="16">
        <v>2003</v>
      </c>
      <c r="C276" s="16" t="s">
        <v>56</v>
      </c>
      <c r="D276" s="17">
        <v>0</v>
      </c>
    </row>
    <row r="277" spans="1:4" x14ac:dyDescent="0.45">
      <c r="A277" s="14" t="s">
        <v>9</v>
      </c>
      <c r="B277" s="14">
        <v>2003</v>
      </c>
      <c r="C277" s="14" t="s">
        <v>56</v>
      </c>
      <c r="D277" s="15">
        <v>0</v>
      </c>
    </row>
    <row r="278" spans="1:4" x14ac:dyDescent="0.45">
      <c r="A278" s="16" t="s">
        <v>83</v>
      </c>
      <c r="B278" s="16">
        <v>2003</v>
      </c>
      <c r="C278" s="16" t="s">
        <v>56</v>
      </c>
      <c r="D278" s="17">
        <v>0</v>
      </c>
    </row>
    <row r="279" spans="1:4" x14ac:dyDescent="0.45">
      <c r="A279" s="14" t="s">
        <v>50</v>
      </c>
      <c r="B279" s="14">
        <v>2004</v>
      </c>
      <c r="C279" s="14" t="s">
        <v>56</v>
      </c>
      <c r="D279" s="15">
        <v>0.21</v>
      </c>
    </row>
    <row r="280" spans="1:4" x14ac:dyDescent="0.45">
      <c r="A280" s="16" t="s">
        <v>5</v>
      </c>
      <c r="B280" s="16">
        <v>2004</v>
      </c>
      <c r="C280" s="16" t="s">
        <v>56</v>
      </c>
      <c r="D280" s="17">
        <v>138.72</v>
      </c>
    </row>
    <row r="281" spans="1:4" x14ac:dyDescent="0.45">
      <c r="A281" s="14" t="s">
        <v>8</v>
      </c>
      <c r="B281" s="14">
        <v>2004</v>
      </c>
      <c r="C281" s="14" t="s">
        <v>56</v>
      </c>
      <c r="D281" s="15">
        <v>1.31</v>
      </c>
    </row>
    <row r="282" spans="1:4" x14ac:dyDescent="0.45">
      <c r="A282" s="16" t="s">
        <v>6</v>
      </c>
      <c r="B282" s="16">
        <v>2004</v>
      </c>
      <c r="C282" s="16" t="s">
        <v>56</v>
      </c>
      <c r="D282" s="17">
        <v>0.05</v>
      </c>
    </row>
    <row r="283" spans="1:4" x14ac:dyDescent="0.45">
      <c r="A283" s="14" t="s">
        <v>19</v>
      </c>
      <c r="B283" s="14">
        <v>2004</v>
      </c>
      <c r="C283" s="14" t="s">
        <v>56</v>
      </c>
      <c r="D283" s="15">
        <v>0</v>
      </c>
    </row>
    <row r="284" spans="1:4" x14ac:dyDescent="0.45">
      <c r="A284" s="16" t="s">
        <v>23</v>
      </c>
      <c r="B284" s="16">
        <v>2004</v>
      </c>
      <c r="C284" s="16" t="s">
        <v>56</v>
      </c>
      <c r="D284" s="17">
        <v>3.29</v>
      </c>
    </row>
    <row r="285" spans="1:4" x14ac:dyDescent="0.45">
      <c r="A285" s="14" t="s">
        <v>50</v>
      </c>
      <c r="B285" s="14">
        <v>2004</v>
      </c>
      <c r="C285" s="14" t="s">
        <v>56</v>
      </c>
      <c r="D285" s="15">
        <v>0</v>
      </c>
    </row>
    <row r="286" spans="1:4" x14ac:dyDescent="0.45">
      <c r="A286" s="16" t="s">
        <v>9</v>
      </c>
      <c r="B286" s="16">
        <v>2004</v>
      </c>
      <c r="C286" s="16" t="s">
        <v>56</v>
      </c>
      <c r="D286" s="17">
        <v>0</v>
      </c>
    </row>
    <row r="287" spans="1:4" x14ac:dyDescent="0.45">
      <c r="A287" s="14" t="s">
        <v>83</v>
      </c>
      <c r="B287" s="14">
        <v>2004</v>
      </c>
      <c r="C287" s="14" t="s">
        <v>56</v>
      </c>
      <c r="D287" s="15">
        <v>0</v>
      </c>
    </row>
    <row r="288" spans="1:4" x14ac:dyDescent="0.45">
      <c r="A288" s="16" t="s">
        <v>50</v>
      </c>
      <c r="B288" s="16">
        <v>2005</v>
      </c>
      <c r="C288" s="16" t="s">
        <v>56</v>
      </c>
      <c r="D288" s="17">
        <v>0.33</v>
      </c>
    </row>
    <row r="289" spans="1:4" x14ac:dyDescent="0.45">
      <c r="A289" s="14" t="s">
        <v>5</v>
      </c>
      <c r="B289" s="14">
        <v>2005</v>
      </c>
      <c r="C289" s="14" t="s">
        <v>56</v>
      </c>
      <c r="D289" s="15">
        <v>139.38</v>
      </c>
    </row>
    <row r="290" spans="1:4" x14ac:dyDescent="0.45">
      <c r="A290" s="16" t="s">
        <v>8</v>
      </c>
      <c r="B290" s="16">
        <v>2005</v>
      </c>
      <c r="C290" s="16" t="s">
        <v>56</v>
      </c>
      <c r="D290" s="17">
        <v>2.11</v>
      </c>
    </row>
    <row r="291" spans="1:4" x14ac:dyDescent="0.45">
      <c r="A291" s="14" t="s">
        <v>6</v>
      </c>
      <c r="B291" s="14">
        <v>2005</v>
      </c>
      <c r="C291" s="14" t="s">
        <v>56</v>
      </c>
      <c r="D291" s="15">
        <v>0.05</v>
      </c>
    </row>
    <row r="292" spans="1:4" x14ac:dyDescent="0.45">
      <c r="A292" s="16" t="s">
        <v>19</v>
      </c>
      <c r="B292" s="16">
        <v>2005</v>
      </c>
      <c r="C292" s="16" t="s">
        <v>56</v>
      </c>
      <c r="D292" s="17">
        <v>0</v>
      </c>
    </row>
    <row r="293" spans="1:4" x14ac:dyDescent="0.45">
      <c r="A293" s="14" t="s">
        <v>23</v>
      </c>
      <c r="B293" s="14">
        <v>2005</v>
      </c>
      <c r="C293" s="14" t="s">
        <v>56</v>
      </c>
      <c r="D293" s="15">
        <v>2.9</v>
      </c>
    </row>
    <row r="294" spans="1:4" x14ac:dyDescent="0.45">
      <c r="A294" s="16" t="s">
        <v>50</v>
      </c>
      <c r="B294" s="16">
        <v>2005</v>
      </c>
      <c r="C294" s="16" t="s">
        <v>56</v>
      </c>
      <c r="D294" s="17">
        <v>0</v>
      </c>
    </row>
    <row r="295" spans="1:4" x14ac:dyDescent="0.45">
      <c r="A295" s="14" t="s">
        <v>9</v>
      </c>
      <c r="B295" s="14">
        <v>2005</v>
      </c>
      <c r="C295" s="14" t="s">
        <v>56</v>
      </c>
      <c r="D295" s="15">
        <v>0</v>
      </c>
    </row>
    <row r="296" spans="1:4" x14ac:dyDescent="0.45">
      <c r="A296" s="16" t="s">
        <v>83</v>
      </c>
      <c r="B296" s="16">
        <v>2005</v>
      </c>
      <c r="C296" s="16" t="s">
        <v>56</v>
      </c>
      <c r="D296" s="17">
        <v>0</v>
      </c>
    </row>
    <row r="297" spans="1:4" x14ac:dyDescent="0.45">
      <c r="A297" s="14" t="s">
        <v>50</v>
      </c>
      <c r="B297" s="14">
        <v>2006</v>
      </c>
      <c r="C297" s="14" t="s">
        <v>56</v>
      </c>
      <c r="D297" s="15">
        <v>0.43</v>
      </c>
    </row>
    <row r="298" spans="1:4" x14ac:dyDescent="0.45">
      <c r="A298" s="16" t="s">
        <v>5</v>
      </c>
      <c r="B298" s="16">
        <v>2006</v>
      </c>
      <c r="C298" s="16" t="s">
        <v>56</v>
      </c>
      <c r="D298" s="17">
        <v>144.24</v>
      </c>
    </row>
    <row r="299" spans="1:4" x14ac:dyDescent="0.45">
      <c r="A299" s="14" t="s">
        <v>8</v>
      </c>
      <c r="B299" s="14">
        <v>2006</v>
      </c>
      <c r="C299" s="14" t="s">
        <v>56</v>
      </c>
      <c r="D299" s="15">
        <v>1.87</v>
      </c>
    </row>
    <row r="300" spans="1:4" x14ac:dyDescent="0.45">
      <c r="A300" s="16" t="s">
        <v>6</v>
      </c>
      <c r="B300" s="16">
        <v>2006</v>
      </c>
      <c r="C300" s="16" t="s">
        <v>56</v>
      </c>
      <c r="D300" s="17">
        <v>0.05</v>
      </c>
    </row>
    <row r="301" spans="1:4" x14ac:dyDescent="0.45">
      <c r="A301" s="14" t="s">
        <v>19</v>
      </c>
      <c r="B301" s="14">
        <v>2006</v>
      </c>
      <c r="C301" s="14" t="s">
        <v>56</v>
      </c>
      <c r="D301" s="15">
        <v>0</v>
      </c>
    </row>
    <row r="302" spans="1:4" x14ac:dyDescent="0.45">
      <c r="A302" s="16" t="s">
        <v>23</v>
      </c>
      <c r="B302" s="16">
        <v>2006</v>
      </c>
      <c r="C302" s="16" t="s">
        <v>56</v>
      </c>
      <c r="D302" s="17">
        <v>3.17</v>
      </c>
    </row>
    <row r="303" spans="1:4" x14ac:dyDescent="0.45">
      <c r="A303" s="14" t="s">
        <v>50</v>
      </c>
      <c r="B303" s="14">
        <v>2006</v>
      </c>
      <c r="C303" s="14" t="s">
        <v>56</v>
      </c>
      <c r="D303" s="15">
        <v>0</v>
      </c>
    </row>
    <row r="304" spans="1:4" x14ac:dyDescent="0.45">
      <c r="A304" s="16" t="s">
        <v>9</v>
      </c>
      <c r="B304" s="16">
        <v>2006</v>
      </c>
      <c r="C304" s="16" t="s">
        <v>56</v>
      </c>
      <c r="D304" s="17">
        <v>0</v>
      </c>
    </row>
    <row r="305" spans="1:4" x14ac:dyDescent="0.45">
      <c r="A305" s="14" t="s">
        <v>83</v>
      </c>
      <c r="B305" s="14">
        <v>2006</v>
      </c>
      <c r="C305" s="14" t="s">
        <v>56</v>
      </c>
      <c r="D305" s="15">
        <v>0</v>
      </c>
    </row>
    <row r="306" spans="1:4" x14ac:dyDescent="0.45">
      <c r="A306" s="16" t="s">
        <v>50</v>
      </c>
      <c r="B306" s="16">
        <v>2007</v>
      </c>
      <c r="C306" s="16" t="s">
        <v>56</v>
      </c>
      <c r="D306" s="17">
        <v>0.55000000000000004</v>
      </c>
    </row>
    <row r="307" spans="1:4" x14ac:dyDescent="0.45">
      <c r="A307" s="14" t="s">
        <v>5</v>
      </c>
      <c r="B307" s="14">
        <v>2007</v>
      </c>
      <c r="C307" s="14" t="s">
        <v>56</v>
      </c>
      <c r="D307" s="15">
        <v>141.22999999999999</v>
      </c>
    </row>
    <row r="308" spans="1:4" x14ac:dyDescent="0.45">
      <c r="A308" s="16" t="s">
        <v>8</v>
      </c>
      <c r="B308" s="16">
        <v>2007</v>
      </c>
      <c r="C308" s="16" t="s">
        <v>56</v>
      </c>
      <c r="D308" s="17">
        <v>1.83</v>
      </c>
    </row>
    <row r="309" spans="1:4" x14ac:dyDescent="0.45">
      <c r="A309" s="14" t="s">
        <v>6</v>
      </c>
      <c r="B309" s="14">
        <v>2007</v>
      </c>
      <c r="C309" s="14" t="s">
        <v>56</v>
      </c>
      <c r="D309" s="15">
        <v>0.06</v>
      </c>
    </row>
    <row r="310" spans="1:4" x14ac:dyDescent="0.45">
      <c r="A310" s="16" t="s">
        <v>19</v>
      </c>
      <c r="B310" s="16">
        <v>2007</v>
      </c>
      <c r="C310" s="16" t="s">
        <v>56</v>
      </c>
      <c r="D310" s="17">
        <v>0</v>
      </c>
    </row>
    <row r="311" spans="1:4" x14ac:dyDescent="0.45">
      <c r="A311" s="14" t="s">
        <v>23</v>
      </c>
      <c r="B311" s="14">
        <v>2007</v>
      </c>
      <c r="C311" s="14" t="s">
        <v>56</v>
      </c>
      <c r="D311" s="15">
        <v>3.03</v>
      </c>
    </row>
    <row r="312" spans="1:4" x14ac:dyDescent="0.45">
      <c r="A312" s="16" t="s">
        <v>50</v>
      </c>
      <c r="B312" s="16">
        <v>2007</v>
      </c>
      <c r="C312" s="16" t="s">
        <v>56</v>
      </c>
      <c r="D312" s="17">
        <v>0</v>
      </c>
    </row>
    <row r="313" spans="1:4" x14ac:dyDescent="0.45">
      <c r="A313" s="14" t="s">
        <v>9</v>
      </c>
      <c r="B313" s="14">
        <v>2007</v>
      </c>
      <c r="C313" s="14" t="s">
        <v>56</v>
      </c>
      <c r="D313" s="15">
        <v>0</v>
      </c>
    </row>
    <row r="314" spans="1:4" x14ac:dyDescent="0.45">
      <c r="A314" s="16" t="s">
        <v>83</v>
      </c>
      <c r="B314" s="16">
        <v>2007</v>
      </c>
      <c r="C314" s="16" t="s">
        <v>56</v>
      </c>
      <c r="D314" s="17">
        <v>0.01</v>
      </c>
    </row>
    <row r="315" spans="1:4" x14ac:dyDescent="0.45">
      <c r="A315" s="14" t="s">
        <v>50</v>
      </c>
      <c r="B315" s="14">
        <v>2008</v>
      </c>
      <c r="C315" s="14" t="s">
        <v>56</v>
      </c>
      <c r="D315" s="15">
        <v>0.78</v>
      </c>
    </row>
    <row r="316" spans="1:4" x14ac:dyDescent="0.45">
      <c r="A316" s="16" t="s">
        <v>5</v>
      </c>
      <c r="B316" s="16">
        <v>2008</v>
      </c>
      <c r="C316" s="16" t="s">
        <v>56</v>
      </c>
      <c r="D316" s="17">
        <v>136.33000000000001</v>
      </c>
    </row>
    <row r="317" spans="1:4" x14ac:dyDescent="0.45">
      <c r="A317" s="14" t="s">
        <v>8</v>
      </c>
      <c r="B317" s="14">
        <v>2008</v>
      </c>
      <c r="C317" s="14" t="s">
        <v>56</v>
      </c>
      <c r="D317" s="15">
        <v>1.91</v>
      </c>
    </row>
    <row r="318" spans="1:4" x14ac:dyDescent="0.45">
      <c r="A318" s="16" t="s">
        <v>6</v>
      </c>
      <c r="B318" s="16">
        <v>2008</v>
      </c>
      <c r="C318" s="16" t="s">
        <v>56</v>
      </c>
      <c r="D318" s="17">
        <v>0.05</v>
      </c>
    </row>
    <row r="319" spans="1:4" x14ac:dyDescent="0.45">
      <c r="A319" s="14" t="s">
        <v>19</v>
      </c>
      <c r="B319" s="14">
        <v>2008</v>
      </c>
      <c r="C319" s="14" t="s">
        <v>56</v>
      </c>
      <c r="D319" s="15">
        <v>0</v>
      </c>
    </row>
    <row r="320" spans="1:4" x14ac:dyDescent="0.45">
      <c r="A320" s="16" t="s">
        <v>23</v>
      </c>
      <c r="B320" s="16">
        <v>2008</v>
      </c>
      <c r="C320" s="16" t="s">
        <v>56</v>
      </c>
      <c r="D320" s="17">
        <v>2.84</v>
      </c>
    </row>
    <row r="321" spans="1:4" x14ac:dyDescent="0.45">
      <c r="A321" s="14" t="s">
        <v>50</v>
      </c>
      <c r="B321" s="14">
        <v>2008</v>
      </c>
      <c r="C321" s="14" t="s">
        <v>56</v>
      </c>
      <c r="D321" s="15">
        <v>0</v>
      </c>
    </row>
    <row r="322" spans="1:4" x14ac:dyDescent="0.45">
      <c r="A322" s="16" t="s">
        <v>9</v>
      </c>
      <c r="B322" s="16">
        <v>2008</v>
      </c>
      <c r="C322" s="16" t="s">
        <v>56</v>
      </c>
      <c r="D322" s="17">
        <v>0</v>
      </c>
    </row>
    <row r="323" spans="1:4" x14ac:dyDescent="0.45">
      <c r="A323" s="14" t="s">
        <v>83</v>
      </c>
      <c r="B323" s="14">
        <v>2008</v>
      </c>
      <c r="C323" s="14" t="s">
        <v>56</v>
      </c>
      <c r="D323" s="15">
        <v>0.01</v>
      </c>
    </row>
    <row r="324" spans="1:4" x14ac:dyDescent="0.45">
      <c r="A324" s="16" t="s">
        <v>50</v>
      </c>
      <c r="B324" s="16">
        <v>2009</v>
      </c>
      <c r="C324" s="16" t="s">
        <v>56</v>
      </c>
      <c r="D324" s="17">
        <v>1.1299999999999999</v>
      </c>
    </row>
    <row r="325" spans="1:4" x14ac:dyDescent="0.45">
      <c r="A325" s="14" t="s">
        <v>5</v>
      </c>
      <c r="B325" s="14">
        <v>2009</v>
      </c>
      <c r="C325" s="14" t="s">
        <v>56</v>
      </c>
      <c r="D325" s="15">
        <v>130.72999999999999</v>
      </c>
    </row>
    <row r="326" spans="1:4" x14ac:dyDescent="0.45">
      <c r="A326" s="16" t="s">
        <v>8</v>
      </c>
      <c r="B326" s="16">
        <v>2009</v>
      </c>
      <c r="C326" s="16" t="s">
        <v>56</v>
      </c>
      <c r="D326" s="17">
        <v>1.95</v>
      </c>
    </row>
    <row r="327" spans="1:4" x14ac:dyDescent="0.45">
      <c r="A327" s="14" t="s">
        <v>6</v>
      </c>
      <c r="B327" s="14">
        <v>2009</v>
      </c>
      <c r="C327" s="14" t="s">
        <v>56</v>
      </c>
      <c r="D327" s="15">
        <v>0.06</v>
      </c>
    </row>
    <row r="328" spans="1:4" x14ac:dyDescent="0.45">
      <c r="A328" s="16" t="s">
        <v>19</v>
      </c>
      <c r="B328" s="16">
        <v>2009</v>
      </c>
      <c r="C328" s="16" t="s">
        <v>56</v>
      </c>
      <c r="D328" s="17">
        <v>0</v>
      </c>
    </row>
    <row r="329" spans="1:4" x14ac:dyDescent="0.45">
      <c r="A329" s="14" t="s">
        <v>23</v>
      </c>
      <c r="B329" s="14">
        <v>2009</v>
      </c>
      <c r="C329" s="14" t="s">
        <v>56</v>
      </c>
      <c r="D329" s="15">
        <v>2.63</v>
      </c>
    </row>
    <row r="330" spans="1:4" x14ac:dyDescent="0.45">
      <c r="A330" s="16" t="s">
        <v>50</v>
      </c>
      <c r="B330" s="16">
        <v>2009</v>
      </c>
      <c r="C330" s="16" t="s">
        <v>56</v>
      </c>
      <c r="D330" s="17">
        <v>0</v>
      </c>
    </row>
    <row r="331" spans="1:4" x14ac:dyDescent="0.45">
      <c r="A331" s="14" t="s">
        <v>9</v>
      </c>
      <c r="B331" s="14">
        <v>2009</v>
      </c>
      <c r="C331" s="14" t="s">
        <v>56</v>
      </c>
      <c r="D331" s="15">
        <v>0</v>
      </c>
    </row>
    <row r="332" spans="1:4" x14ac:dyDescent="0.45">
      <c r="A332" s="16" t="s">
        <v>83</v>
      </c>
      <c r="B332" s="16">
        <v>2009</v>
      </c>
      <c r="C332" s="16" t="s">
        <v>56</v>
      </c>
      <c r="D332" s="17">
        <v>0.01</v>
      </c>
    </row>
    <row r="333" spans="1:4" x14ac:dyDescent="0.45">
      <c r="A333" s="14" t="s">
        <v>50</v>
      </c>
      <c r="B333" s="14">
        <v>2010</v>
      </c>
      <c r="C333" s="14" t="s">
        <v>56</v>
      </c>
      <c r="D333" s="15">
        <v>1.36</v>
      </c>
    </row>
    <row r="334" spans="1:4" x14ac:dyDescent="0.45">
      <c r="A334" s="16" t="s">
        <v>5</v>
      </c>
      <c r="B334" s="16">
        <v>2010</v>
      </c>
      <c r="C334" s="16" t="s">
        <v>56</v>
      </c>
      <c r="D334" s="17">
        <v>133.59</v>
      </c>
    </row>
    <row r="335" spans="1:4" x14ac:dyDescent="0.45">
      <c r="A335" s="14" t="s">
        <v>8</v>
      </c>
      <c r="B335" s="14">
        <v>2010</v>
      </c>
      <c r="C335" s="14" t="s">
        <v>56</v>
      </c>
      <c r="D335" s="15">
        <v>1.96</v>
      </c>
    </row>
    <row r="336" spans="1:4" x14ac:dyDescent="0.45">
      <c r="A336" s="16" t="s">
        <v>6</v>
      </c>
      <c r="B336" s="16">
        <v>2010</v>
      </c>
      <c r="C336" s="16" t="s">
        <v>56</v>
      </c>
      <c r="D336" s="17">
        <v>7.0000000000000007E-2</v>
      </c>
    </row>
    <row r="337" spans="1:4" x14ac:dyDescent="0.45">
      <c r="A337" s="14" t="s">
        <v>19</v>
      </c>
      <c r="B337" s="14">
        <v>2010</v>
      </c>
      <c r="C337" s="14" t="s">
        <v>56</v>
      </c>
      <c r="D337" s="15">
        <v>0</v>
      </c>
    </row>
    <row r="338" spans="1:4" x14ac:dyDescent="0.45">
      <c r="A338" s="16" t="s">
        <v>23</v>
      </c>
      <c r="B338" s="16">
        <v>2010</v>
      </c>
      <c r="C338" s="16" t="s">
        <v>56</v>
      </c>
      <c r="D338" s="17">
        <v>3.01</v>
      </c>
    </row>
    <row r="339" spans="1:4" x14ac:dyDescent="0.45">
      <c r="A339" s="14" t="s">
        <v>50</v>
      </c>
      <c r="B339" s="14">
        <v>2010</v>
      </c>
      <c r="C339" s="14" t="s">
        <v>56</v>
      </c>
      <c r="D339" s="15">
        <v>0</v>
      </c>
    </row>
    <row r="340" spans="1:4" x14ac:dyDescent="0.45">
      <c r="A340" s="16" t="s">
        <v>9</v>
      </c>
      <c r="B340" s="16">
        <v>2010</v>
      </c>
      <c r="C340" s="16" t="s">
        <v>56</v>
      </c>
      <c r="D340" s="17">
        <v>0</v>
      </c>
    </row>
    <row r="341" spans="1:4" x14ac:dyDescent="0.45">
      <c r="A341" s="14" t="s">
        <v>83</v>
      </c>
      <c r="B341" s="14">
        <v>2010</v>
      </c>
      <c r="C341" s="14" t="s">
        <v>56</v>
      </c>
      <c r="D341" s="15">
        <v>0.02</v>
      </c>
    </row>
    <row r="342" spans="1:4" x14ac:dyDescent="0.45">
      <c r="A342" s="16" t="s">
        <v>50</v>
      </c>
      <c r="B342" s="16">
        <v>2011</v>
      </c>
      <c r="C342" s="16" t="s">
        <v>56</v>
      </c>
      <c r="D342" s="17">
        <v>1.64</v>
      </c>
    </row>
    <row r="343" spans="1:4" x14ac:dyDescent="0.45">
      <c r="A343" s="14" t="s">
        <v>5</v>
      </c>
      <c r="B343" s="14">
        <v>2011</v>
      </c>
      <c r="C343" s="14" t="s">
        <v>56</v>
      </c>
      <c r="D343" s="15">
        <v>136.75</v>
      </c>
    </row>
    <row r="344" spans="1:4" x14ac:dyDescent="0.45">
      <c r="A344" s="16" t="s">
        <v>8</v>
      </c>
      <c r="B344" s="16">
        <v>2011</v>
      </c>
      <c r="C344" s="16" t="s">
        <v>56</v>
      </c>
      <c r="D344" s="17">
        <v>2.38</v>
      </c>
    </row>
    <row r="345" spans="1:4" x14ac:dyDescent="0.45">
      <c r="A345" s="14" t="s">
        <v>6</v>
      </c>
      <c r="B345" s="14">
        <v>2011</v>
      </c>
      <c r="C345" s="14" t="s">
        <v>56</v>
      </c>
      <c r="D345" s="15">
        <v>0.06</v>
      </c>
    </row>
    <row r="346" spans="1:4" x14ac:dyDescent="0.45">
      <c r="A346" s="16" t="s">
        <v>19</v>
      </c>
      <c r="B346" s="16">
        <v>2011</v>
      </c>
      <c r="C346" s="16" t="s">
        <v>56</v>
      </c>
      <c r="D346" s="17">
        <v>0</v>
      </c>
    </row>
    <row r="347" spans="1:4" x14ac:dyDescent="0.45">
      <c r="A347" s="14" t="s">
        <v>23</v>
      </c>
      <c r="B347" s="14">
        <v>2011</v>
      </c>
      <c r="C347" s="14" t="s">
        <v>56</v>
      </c>
      <c r="D347" s="15">
        <v>2.74</v>
      </c>
    </row>
    <row r="348" spans="1:4" x14ac:dyDescent="0.45">
      <c r="A348" s="16" t="s">
        <v>50</v>
      </c>
      <c r="B348" s="16">
        <v>2011</v>
      </c>
      <c r="C348" s="16" t="s">
        <v>56</v>
      </c>
      <c r="D348" s="17">
        <v>0</v>
      </c>
    </row>
    <row r="349" spans="1:4" x14ac:dyDescent="0.45">
      <c r="A349" s="14" t="s">
        <v>9</v>
      </c>
      <c r="B349" s="14">
        <v>2011</v>
      </c>
      <c r="C349" s="14" t="s">
        <v>56</v>
      </c>
      <c r="D349" s="15">
        <v>0</v>
      </c>
    </row>
    <row r="350" spans="1:4" x14ac:dyDescent="0.45">
      <c r="A350" s="16" t="s">
        <v>83</v>
      </c>
      <c r="B350" s="16">
        <v>2011</v>
      </c>
      <c r="C350" s="16" t="s">
        <v>56</v>
      </c>
      <c r="D350" s="17">
        <v>0.04</v>
      </c>
    </row>
    <row r="351" spans="1:4" x14ac:dyDescent="0.45">
      <c r="A351" s="14" t="s">
        <v>50</v>
      </c>
      <c r="B351" s="14">
        <v>2012</v>
      </c>
      <c r="C351" s="14" t="s">
        <v>56</v>
      </c>
      <c r="D351" s="15">
        <v>2.1800000000000002</v>
      </c>
    </row>
    <row r="352" spans="1:4" x14ac:dyDescent="0.45">
      <c r="A352" s="16" t="s">
        <v>5</v>
      </c>
      <c r="B352" s="16">
        <v>2012</v>
      </c>
      <c r="C352" s="16" t="s">
        <v>56</v>
      </c>
      <c r="D352" s="17">
        <v>131.68</v>
      </c>
    </row>
    <row r="353" spans="1:4" x14ac:dyDescent="0.45">
      <c r="A353" s="14" t="s">
        <v>8</v>
      </c>
      <c r="B353" s="14">
        <v>2012</v>
      </c>
      <c r="C353" s="14" t="s">
        <v>56</v>
      </c>
      <c r="D353" s="15">
        <v>2.5499999999999998</v>
      </c>
    </row>
    <row r="354" spans="1:4" x14ac:dyDescent="0.45">
      <c r="A354" s="16" t="s">
        <v>6</v>
      </c>
      <c r="B354" s="16">
        <v>2012</v>
      </c>
      <c r="C354" s="16" t="s">
        <v>56</v>
      </c>
      <c r="D354" s="17">
        <v>0.05</v>
      </c>
    </row>
    <row r="355" spans="1:4" x14ac:dyDescent="0.45">
      <c r="A355" s="14" t="s">
        <v>19</v>
      </c>
      <c r="B355" s="14">
        <v>2012</v>
      </c>
      <c r="C355" s="14" t="s">
        <v>56</v>
      </c>
      <c r="D355" s="15">
        <v>0</v>
      </c>
    </row>
    <row r="356" spans="1:4" x14ac:dyDescent="0.45">
      <c r="A356" s="16" t="s">
        <v>23</v>
      </c>
      <c r="B356" s="16">
        <v>2012</v>
      </c>
      <c r="C356" s="16" t="s">
        <v>56</v>
      </c>
      <c r="D356" s="17">
        <v>2.48</v>
      </c>
    </row>
    <row r="357" spans="1:4" x14ac:dyDescent="0.45">
      <c r="A357" s="14" t="s">
        <v>50</v>
      </c>
      <c r="B357" s="14">
        <v>2012</v>
      </c>
      <c r="C357" s="14" t="s">
        <v>56</v>
      </c>
      <c r="D357" s="15">
        <v>0</v>
      </c>
    </row>
    <row r="358" spans="1:4" x14ac:dyDescent="0.45">
      <c r="A358" s="16" t="s">
        <v>9</v>
      </c>
      <c r="B358" s="16">
        <v>2012</v>
      </c>
      <c r="C358" s="16" t="s">
        <v>56</v>
      </c>
      <c r="D358" s="17">
        <v>0</v>
      </c>
    </row>
    <row r="359" spans="1:4" x14ac:dyDescent="0.45">
      <c r="A359" s="14" t="s">
        <v>83</v>
      </c>
      <c r="B359" s="14">
        <v>2012</v>
      </c>
      <c r="C359" s="14" t="s">
        <v>56</v>
      </c>
      <c r="D359" s="15">
        <v>0.06</v>
      </c>
    </row>
    <row r="360" spans="1:4" x14ac:dyDescent="0.45">
      <c r="A360" s="16" t="s">
        <v>50</v>
      </c>
      <c r="B360" s="16">
        <v>2013</v>
      </c>
      <c r="C360" s="16" t="s">
        <v>56</v>
      </c>
      <c r="D360" s="17">
        <v>1.86</v>
      </c>
    </row>
    <row r="361" spans="1:4" x14ac:dyDescent="0.45">
      <c r="A361" s="14" t="s">
        <v>5</v>
      </c>
      <c r="B361" s="14">
        <v>2013</v>
      </c>
      <c r="C361" s="14" t="s">
        <v>56</v>
      </c>
      <c r="D361" s="15">
        <v>134.79</v>
      </c>
    </row>
    <row r="362" spans="1:4" x14ac:dyDescent="0.45">
      <c r="A362" s="16" t="s">
        <v>8</v>
      </c>
      <c r="B362" s="16">
        <v>2013</v>
      </c>
      <c r="C362" s="16" t="s">
        <v>56</v>
      </c>
      <c r="D362" s="17">
        <v>2.15</v>
      </c>
    </row>
    <row r="363" spans="1:4" x14ac:dyDescent="0.45">
      <c r="A363" s="14" t="s">
        <v>6</v>
      </c>
      <c r="B363" s="14">
        <v>2013</v>
      </c>
      <c r="C363" s="14" t="s">
        <v>56</v>
      </c>
      <c r="D363" s="15">
        <v>0.06</v>
      </c>
    </row>
    <row r="364" spans="1:4" x14ac:dyDescent="0.45">
      <c r="A364" s="16" t="s">
        <v>19</v>
      </c>
      <c r="B364" s="16">
        <v>2013</v>
      </c>
      <c r="C364" s="16" t="s">
        <v>56</v>
      </c>
      <c r="D364" s="17">
        <v>0</v>
      </c>
    </row>
    <row r="365" spans="1:4" x14ac:dyDescent="0.45">
      <c r="A365" s="14" t="s">
        <v>23</v>
      </c>
      <c r="B365" s="14">
        <v>2013</v>
      </c>
      <c r="C365" s="14" t="s">
        <v>56</v>
      </c>
      <c r="D365" s="15">
        <v>2.4500000000000002</v>
      </c>
    </row>
    <row r="366" spans="1:4" x14ac:dyDescent="0.45">
      <c r="A366" s="16" t="s">
        <v>50</v>
      </c>
      <c r="B366" s="16">
        <v>2013</v>
      </c>
      <c r="C366" s="16" t="s">
        <v>56</v>
      </c>
      <c r="D366" s="17">
        <v>0</v>
      </c>
    </row>
    <row r="367" spans="1:4" x14ac:dyDescent="0.45">
      <c r="A367" s="14" t="s">
        <v>9</v>
      </c>
      <c r="B367" s="14">
        <v>2013</v>
      </c>
      <c r="C367" s="14" t="s">
        <v>56</v>
      </c>
      <c r="D367" s="15">
        <v>0</v>
      </c>
    </row>
    <row r="368" spans="1:4" x14ac:dyDescent="0.45">
      <c r="A368" s="16" t="s">
        <v>83</v>
      </c>
      <c r="B368" s="16">
        <v>2013</v>
      </c>
      <c r="C368" s="16" t="s">
        <v>56</v>
      </c>
      <c r="D368" s="17">
        <v>7.0000000000000007E-2</v>
      </c>
    </row>
    <row r="369" spans="1:4" x14ac:dyDescent="0.45">
      <c r="A369" s="14" t="s">
        <v>50</v>
      </c>
      <c r="B369" s="14">
        <v>2014</v>
      </c>
      <c r="C369" s="14" t="s">
        <v>56</v>
      </c>
      <c r="D369" s="15">
        <v>2.16</v>
      </c>
    </row>
    <row r="370" spans="1:4" x14ac:dyDescent="0.45">
      <c r="A370" s="16" t="s">
        <v>5</v>
      </c>
      <c r="B370" s="16">
        <v>2014</v>
      </c>
      <c r="C370" s="16" t="s">
        <v>56</v>
      </c>
      <c r="D370" s="17">
        <v>126.78</v>
      </c>
    </row>
    <row r="371" spans="1:4" x14ac:dyDescent="0.45">
      <c r="A371" s="14" t="s">
        <v>8</v>
      </c>
      <c r="B371" s="14">
        <v>2014</v>
      </c>
      <c r="C371" s="14" t="s">
        <v>56</v>
      </c>
      <c r="D371" s="15">
        <v>2.1800000000000002</v>
      </c>
    </row>
    <row r="372" spans="1:4" x14ac:dyDescent="0.45">
      <c r="A372" s="16" t="s">
        <v>6</v>
      </c>
      <c r="B372" s="16">
        <v>2014</v>
      </c>
      <c r="C372" s="16" t="s">
        <v>56</v>
      </c>
      <c r="D372" s="17">
        <v>0.05</v>
      </c>
    </row>
    <row r="373" spans="1:4" x14ac:dyDescent="0.45">
      <c r="A373" s="14" t="s">
        <v>19</v>
      </c>
      <c r="B373" s="14">
        <v>2014</v>
      </c>
      <c r="C373" s="14" t="s">
        <v>56</v>
      </c>
      <c r="D373" s="15">
        <v>0</v>
      </c>
    </row>
    <row r="374" spans="1:4" x14ac:dyDescent="0.45">
      <c r="A374" s="16" t="s">
        <v>23</v>
      </c>
      <c r="B374" s="16">
        <v>2014</v>
      </c>
      <c r="C374" s="16" t="s">
        <v>56</v>
      </c>
      <c r="D374" s="17">
        <v>2.4</v>
      </c>
    </row>
    <row r="375" spans="1:4" x14ac:dyDescent="0.45">
      <c r="A375" s="14" t="s">
        <v>50</v>
      </c>
      <c r="B375" s="14">
        <v>2014</v>
      </c>
      <c r="C375" s="14" t="s">
        <v>56</v>
      </c>
      <c r="D375" s="15">
        <v>0</v>
      </c>
    </row>
    <row r="376" spans="1:4" x14ac:dyDescent="0.45">
      <c r="A376" s="16" t="s">
        <v>9</v>
      </c>
      <c r="B376" s="16">
        <v>2014</v>
      </c>
      <c r="C376" s="16" t="s">
        <v>56</v>
      </c>
      <c r="D376" s="17">
        <v>0</v>
      </c>
    </row>
    <row r="377" spans="1:4" x14ac:dyDescent="0.45">
      <c r="A377" s="14" t="s">
        <v>83</v>
      </c>
      <c r="B377" s="14">
        <v>2014</v>
      </c>
      <c r="C377" s="14" t="s">
        <v>56</v>
      </c>
      <c r="D377" s="15">
        <v>0.09</v>
      </c>
    </row>
    <row r="378" spans="1:4" x14ac:dyDescent="0.45">
      <c r="A378" s="16" t="s">
        <v>50</v>
      </c>
      <c r="B378" s="16">
        <v>2015</v>
      </c>
      <c r="C378" s="16" t="s">
        <v>56</v>
      </c>
      <c r="D378" s="17">
        <v>2.15</v>
      </c>
    </row>
    <row r="379" spans="1:4" x14ac:dyDescent="0.45">
      <c r="A379" s="14" t="s">
        <v>5</v>
      </c>
      <c r="B379" s="14">
        <v>2015</v>
      </c>
      <c r="C379" s="14" t="s">
        <v>56</v>
      </c>
      <c r="D379" s="15">
        <v>127.72</v>
      </c>
    </row>
    <row r="380" spans="1:4" x14ac:dyDescent="0.45">
      <c r="A380" s="16" t="s">
        <v>8</v>
      </c>
      <c r="B380" s="16">
        <v>2015</v>
      </c>
      <c r="C380" s="16" t="s">
        <v>56</v>
      </c>
      <c r="D380" s="17">
        <v>2.61</v>
      </c>
    </row>
    <row r="381" spans="1:4" x14ac:dyDescent="0.45">
      <c r="A381" s="14" t="s">
        <v>6</v>
      </c>
      <c r="B381" s="14">
        <v>2015</v>
      </c>
      <c r="C381" s="14" t="s">
        <v>56</v>
      </c>
      <c r="D381" s="15">
        <v>0.04</v>
      </c>
    </row>
    <row r="382" spans="1:4" x14ac:dyDescent="0.45">
      <c r="A382" s="16" t="s">
        <v>19</v>
      </c>
      <c r="B382" s="16">
        <v>2015</v>
      </c>
      <c r="C382" s="16" t="s">
        <v>56</v>
      </c>
      <c r="D382" s="17">
        <v>0</v>
      </c>
    </row>
    <row r="383" spans="1:4" x14ac:dyDescent="0.45">
      <c r="A383" s="14" t="s">
        <v>23</v>
      </c>
      <c r="B383" s="14">
        <v>2015</v>
      </c>
      <c r="C383" s="14" t="s">
        <v>56</v>
      </c>
      <c r="D383" s="15">
        <v>3.09</v>
      </c>
    </row>
    <row r="384" spans="1:4" x14ac:dyDescent="0.45">
      <c r="A384" s="16" t="s">
        <v>50</v>
      </c>
      <c r="B384" s="16">
        <v>2015</v>
      </c>
      <c r="C384" s="16" t="s">
        <v>56</v>
      </c>
      <c r="D384" s="17">
        <v>0</v>
      </c>
    </row>
    <row r="385" spans="1:4" x14ac:dyDescent="0.45">
      <c r="A385" s="14" t="s">
        <v>9</v>
      </c>
      <c r="B385" s="14">
        <v>2015</v>
      </c>
      <c r="C385" s="14" t="s">
        <v>56</v>
      </c>
      <c r="D385" s="15">
        <v>0</v>
      </c>
    </row>
    <row r="386" spans="1:4" x14ac:dyDescent="0.45">
      <c r="A386" s="16" t="s">
        <v>83</v>
      </c>
      <c r="B386" s="16">
        <v>2015</v>
      </c>
      <c r="C386" s="16" t="s">
        <v>56</v>
      </c>
      <c r="D386" s="17">
        <v>0.13</v>
      </c>
    </row>
    <row r="387" spans="1:4" x14ac:dyDescent="0.45">
      <c r="A387" s="14" t="s">
        <v>50</v>
      </c>
      <c r="B387" s="14">
        <v>2016</v>
      </c>
      <c r="C387" s="14" t="s">
        <v>56</v>
      </c>
      <c r="D387" s="15">
        <v>1.72</v>
      </c>
    </row>
    <row r="388" spans="1:4" x14ac:dyDescent="0.45">
      <c r="A388" s="16" t="s">
        <v>5</v>
      </c>
      <c r="B388" s="16">
        <v>2016</v>
      </c>
      <c r="C388" s="16" t="s">
        <v>56</v>
      </c>
      <c r="D388" s="17">
        <v>127.44</v>
      </c>
    </row>
    <row r="389" spans="1:4" x14ac:dyDescent="0.45">
      <c r="A389" s="14" t="s">
        <v>8</v>
      </c>
      <c r="B389" s="14">
        <v>2016</v>
      </c>
      <c r="C389" s="14" t="s">
        <v>56</v>
      </c>
      <c r="D389" s="15">
        <v>3.2</v>
      </c>
    </row>
    <row r="390" spans="1:4" x14ac:dyDescent="0.45">
      <c r="A390" s="16" t="s">
        <v>6</v>
      </c>
      <c r="B390" s="16">
        <v>2016</v>
      </c>
      <c r="C390" s="16" t="s">
        <v>56</v>
      </c>
      <c r="D390" s="17">
        <v>0.05</v>
      </c>
    </row>
    <row r="391" spans="1:4" x14ac:dyDescent="0.45">
      <c r="A391" s="14" t="s">
        <v>19</v>
      </c>
      <c r="B391" s="14">
        <v>2016</v>
      </c>
      <c r="C391" s="14" t="s">
        <v>56</v>
      </c>
      <c r="D391" s="15">
        <v>0</v>
      </c>
    </row>
    <row r="392" spans="1:4" x14ac:dyDescent="0.45">
      <c r="A392" s="16" t="s">
        <v>23</v>
      </c>
      <c r="B392" s="16">
        <v>2016</v>
      </c>
      <c r="C392" s="16" t="s">
        <v>56</v>
      </c>
      <c r="D392" s="17">
        <v>3.32</v>
      </c>
    </row>
    <row r="393" spans="1:4" x14ac:dyDescent="0.45">
      <c r="A393" s="14" t="s">
        <v>50</v>
      </c>
      <c r="B393" s="14">
        <v>2016</v>
      </c>
      <c r="C393" s="14" t="s">
        <v>56</v>
      </c>
      <c r="D393" s="15">
        <v>0</v>
      </c>
    </row>
    <row r="394" spans="1:4" x14ac:dyDescent="0.45">
      <c r="A394" s="16" t="s">
        <v>9</v>
      </c>
      <c r="B394" s="16">
        <v>2016</v>
      </c>
      <c r="C394" s="16" t="s">
        <v>56</v>
      </c>
      <c r="D394" s="17">
        <v>0.01</v>
      </c>
    </row>
    <row r="395" spans="1:4" x14ac:dyDescent="0.45">
      <c r="A395" s="14" t="s">
        <v>83</v>
      </c>
      <c r="B395" s="14">
        <v>2016</v>
      </c>
      <c r="C395" s="14" t="s">
        <v>56</v>
      </c>
      <c r="D395" s="15">
        <v>0.15</v>
      </c>
    </row>
    <row r="396" spans="1:4" x14ac:dyDescent="0.45">
      <c r="A396" s="16" t="s">
        <v>50</v>
      </c>
      <c r="B396" s="16">
        <v>2017</v>
      </c>
      <c r="C396" s="16" t="s">
        <v>56</v>
      </c>
      <c r="D396" s="17">
        <v>1.4</v>
      </c>
    </row>
    <row r="397" spans="1:4" x14ac:dyDescent="0.45">
      <c r="A397" s="14" t="s">
        <v>5</v>
      </c>
      <c r="B397" s="14">
        <v>2017</v>
      </c>
      <c r="C397" s="14" t="s">
        <v>56</v>
      </c>
      <c r="D397" s="15">
        <v>128.15</v>
      </c>
    </row>
    <row r="398" spans="1:4" x14ac:dyDescent="0.45">
      <c r="A398" s="16" t="s">
        <v>8</v>
      </c>
      <c r="B398" s="16">
        <v>2017</v>
      </c>
      <c r="C398" s="16" t="s">
        <v>56</v>
      </c>
      <c r="D398" s="17">
        <v>4.09</v>
      </c>
    </row>
    <row r="399" spans="1:4" x14ac:dyDescent="0.45">
      <c r="A399" s="14" t="s">
        <v>6</v>
      </c>
      <c r="B399" s="14">
        <v>2017</v>
      </c>
      <c r="C399" s="14" t="s">
        <v>56</v>
      </c>
      <c r="D399" s="15">
        <v>0.06</v>
      </c>
    </row>
    <row r="400" spans="1:4" x14ac:dyDescent="0.45">
      <c r="A400" s="16" t="s">
        <v>19</v>
      </c>
      <c r="B400" s="16">
        <v>2017</v>
      </c>
      <c r="C400" s="16" t="s">
        <v>56</v>
      </c>
      <c r="D400" s="17">
        <v>0</v>
      </c>
    </row>
    <row r="401" spans="1:4" x14ac:dyDescent="0.45">
      <c r="A401" s="14" t="s">
        <v>23</v>
      </c>
      <c r="B401" s="14">
        <v>2017</v>
      </c>
      <c r="C401" s="14" t="s">
        <v>56</v>
      </c>
      <c r="D401" s="15">
        <v>3.02</v>
      </c>
    </row>
    <row r="402" spans="1:4" x14ac:dyDescent="0.45">
      <c r="A402" s="16" t="s">
        <v>50</v>
      </c>
      <c r="B402" s="16">
        <v>2017</v>
      </c>
      <c r="C402" s="16" t="s">
        <v>56</v>
      </c>
      <c r="D402" s="17">
        <v>0</v>
      </c>
    </row>
    <row r="403" spans="1:4" x14ac:dyDescent="0.45">
      <c r="A403" s="14" t="s">
        <v>9</v>
      </c>
      <c r="B403" s="14">
        <v>2017</v>
      </c>
      <c r="C403" s="14" t="s">
        <v>56</v>
      </c>
      <c r="D403" s="15">
        <v>0.01</v>
      </c>
    </row>
    <row r="404" spans="1:4" x14ac:dyDescent="0.45">
      <c r="A404" s="16" t="s">
        <v>83</v>
      </c>
      <c r="B404" s="16">
        <v>2017</v>
      </c>
      <c r="C404" s="16" t="s">
        <v>56</v>
      </c>
      <c r="D404" s="17">
        <v>0.18</v>
      </c>
    </row>
    <row r="405" spans="1:4" x14ac:dyDescent="0.45">
      <c r="A405" s="14" t="s">
        <v>50</v>
      </c>
      <c r="B405" s="14">
        <v>2018</v>
      </c>
      <c r="C405" s="14" t="s">
        <v>56</v>
      </c>
      <c r="D405" s="15">
        <v>1.42</v>
      </c>
    </row>
    <row r="406" spans="1:4" x14ac:dyDescent="0.45">
      <c r="A406" s="16" t="s">
        <v>5</v>
      </c>
      <c r="B406" s="16">
        <v>2018</v>
      </c>
      <c r="C406" s="16" t="s">
        <v>56</v>
      </c>
      <c r="D406" s="17">
        <v>127.29</v>
      </c>
    </row>
    <row r="407" spans="1:4" x14ac:dyDescent="0.45">
      <c r="A407" s="14" t="s">
        <v>8</v>
      </c>
      <c r="B407" s="14">
        <v>2018</v>
      </c>
      <c r="C407" s="14" t="s">
        <v>56</v>
      </c>
      <c r="D407" s="15">
        <v>5.15</v>
      </c>
    </row>
    <row r="408" spans="1:4" x14ac:dyDescent="0.45">
      <c r="A408" s="16" t="s">
        <v>6</v>
      </c>
      <c r="B408" s="16">
        <v>2018</v>
      </c>
      <c r="C408" s="16" t="s">
        <v>56</v>
      </c>
      <c r="D408" s="17">
        <v>0.05</v>
      </c>
    </row>
    <row r="409" spans="1:4" x14ac:dyDescent="0.45">
      <c r="A409" s="14" t="s">
        <v>19</v>
      </c>
      <c r="B409" s="14">
        <v>2018</v>
      </c>
      <c r="C409" s="14" t="s">
        <v>56</v>
      </c>
      <c r="D409" s="15">
        <v>0</v>
      </c>
    </row>
    <row r="410" spans="1:4" x14ac:dyDescent="0.45">
      <c r="A410" s="16" t="s">
        <v>23</v>
      </c>
      <c r="B410" s="16">
        <v>2018</v>
      </c>
      <c r="C410" s="16" t="s">
        <v>56</v>
      </c>
      <c r="D410" s="17">
        <v>3.04</v>
      </c>
    </row>
    <row r="411" spans="1:4" x14ac:dyDescent="0.45">
      <c r="A411" s="14" t="s">
        <v>50</v>
      </c>
      <c r="B411" s="14">
        <v>2018</v>
      </c>
      <c r="C411" s="14" t="s">
        <v>56</v>
      </c>
      <c r="D411" s="15">
        <v>0</v>
      </c>
    </row>
    <row r="412" spans="1:4" x14ac:dyDescent="0.45">
      <c r="A412" s="16" t="s">
        <v>9</v>
      </c>
      <c r="B412" s="16">
        <v>2018</v>
      </c>
      <c r="C412" s="16" t="s">
        <v>56</v>
      </c>
      <c r="D412" s="17">
        <v>0.01</v>
      </c>
    </row>
    <row r="413" spans="1:4" x14ac:dyDescent="0.45">
      <c r="A413" s="14" t="s">
        <v>83</v>
      </c>
      <c r="B413" s="14">
        <v>2018</v>
      </c>
      <c r="C413" s="14" t="s">
        <v>56</v>
      </c>
      <c r="D413" s="15">
        <v>0.16</v>
      </c>
    </row>
    <row r="414" spans="1:4" x14ac:dyDescent="0.45">
      <c r="A414" s="16" t="s">
        <v>50</v>
      </c>
      <c r="B414" s="16">
        <v>2019</v>
      </c>
      <c r="C414" s="16" t="s">
        <v>56</v>
      </c>
      <c r="D414" s="17">
        <v>1.66</v>
      </c>
    </row>
    <row r="415" spans="1:4" x14ac:dyDescent="0.45">
      <c r="A415" s="14" t="s">
        <v>5</v>
      </c>
      <c r="B415" s="14">
        <v>2019</v>
      </c>
      <c r="C415" s="14" t="s">
        <v>56</v>
      </c>
      <c r="D415" s="15">
        <v>114.85</v>
      </c>
    </row>
    <row r="416" spans="1:4" x14ac:dyDescent="0.45">
      <c r="A416" s="16" t="s">
        <v>8</v>
      </c>
      <c r="B416" s="16">
        <v>2019</v>
      </c>
      <c r="C416" s="16" t="s">
        <v>56</v>
      </c>
      <c r="D416" s="17">
        <v>6.04</v>
      </c>
    </row>
    <row r="417" spans="1:4" x14ac:dyDescent="0.45">
      <c r="A417" s="14" t="s">
        <v>6</v>
      </c>
      <c r="B417" s="14">
        <v>2019</v>
      </c>
      <c r="C417" s="14" t="s">
        <v>56</v>
      </c>
      <c r="D417" s="15">
        <v>0.05</v>
      </c>
    </row>
    <row r="418" spans="1:4" x14ac:dyDescent="0.45">
      <c r="A418" s="16" t="s">
        <v>19</v>
      </c>
      <c r="B418" s="16">
        <v>2019</v>
      </c>
      <c r="C418" s="16" t="s">
        <v>56</v>
      </c>
      <c r="D418" s="17">
        <v>0</v>
      </c>
    </row>
    <row r="419" spans="1:4" x14ac:dyDescent="0.45">
      <c r="A419" s="14" t="s">
        <v>23</v>
      </c>
      <c r="B419" s="14">
        <v>2019</v>
      </c>
      <c r="C419" s="14" t="s">
        <v>56</v>
      </c>
      <c r="D419" s="15">
        <v>3.17</v>
      </c>
    </row>
    <row r="420" spans="1:4" x14ac:dyDescent="0.45">
      <c r="A420" s="16" t="s">
        <v>50</v>
      </c>
      <c r="B420" s="16">
        <v>2019</v>
      </c>
      <c r="C420" s="16" t="s">
        <v>56</v>
      </c>
      <c r="D420" s="17">
        <v>0</v>
      </c>
    </row>
    <row r="421" spans="1:4" x14ac:dyDescent="0.45">
      <c r="A421" s="14" t="s">
        <v>9</v>
      </c>
      <c r="B421" s="14">
        <v>2019</v>
      </c>
      <c r="C421" s="14" t="s">
        <v>56</v>
      </c>
      <c r="D421" s="15">
        <v>0.03</v>
      </c>
    </row>
    <row r="422" spans="1:4" x14ac:dyDescent="0.45">
      <c r="A422" s="16" t="s">
        <v>83</v>
      </c>
      <c r="B422" s="16">
        <v>2019</v>
      </c>
      <c r="C422" s="16" t="s">
        <v>56</v>
      </c>
      <c r="D422" s="17">
        <v>0.19</v>
      </c>
    </row>
    <row r="423" spans="1:4" x14ac:dyDescent="0.45">
      <c r="A423" s="14" t="s">
        <v>50</v>
      </c>
      <c r="B423" s="14">
        <v>2020</v>
      </c>
      <c r="C423" s="14" t="s">
        <v>56</v>
      </c>
      <c r="D423" s="15">
        <v>1.81</v>
      </c>
    </row>
    <row r="424" spans="1:4" x14ac:dyDescent="0.45">
      <c r="A424" s="16" t="s">
        <v>5</v>
      </c>
      <c r="B424" s="16">
        <v>2020</v>
      </c>
      <c r="C424" s="16" t="s">
        <v>56</v>
      </c>
      <c r="D424" s="17">
        <v>104.11</v>
      </c>
    </row>
    <row r="425" spans="1:4" x14ac:dyDescent="0.45">
      <c r="A425" s="14" t="s">
        <v>8</v>
      </c>
      <c r="B425" s="14">
        <v>2020</v>
      </c>
      <c r="C425" s="14" t="s">
        <v>56</v>
      </c>
      <c r="D425" s="15">
        <v>7.06</v>
      </c>
    </row>
    <row r="426" spans="1:4" x14ac:dyDescent="0.45">
      <c r="A426" s="16" t="s">
        <v>6</v>
      </c>
      <c r="B426" s="16">
        <v>2020</v>
      </c>
      <c r="C426" s="16" t="s">
        <v>56</v>
      </c>
      <c r="D426" s="17">
        <v>0.05</v>
      </c>
    </row>
    <row r="427" spans="1:4" x14ac:dyDescent="0.45">
      <c r="A427" s="14" t="s">
        <v>19</v>
      </c>
      <c r="B427" s="14">
        <v>2020</v>
      </c>
      <c r="C427" s="14" t="s">
        <v>56</v>
      </c>
      <c r="D427" s="15">
        <v>0</v>
      </c>
    </row>
    <row r="428" spans="1:4" x14ac:dyDescent="0.45">
      <c r="A428" s="16" t="s">
        <v>23</v>
      </c>
      <c r="B428" s="16">
        <v>2020</v>
      </c>
      <c r="C428" s="16" t="s">
        <v>56</v>
      </c>
      <c r="D428" s="17">
        <v>2.78</v>
      </c>
    </row>
    <row r="429" spans="1:4" x14ac:dyDescent="0.45">
      <c r="A429" s="14" t="s">
        <v>50</v>
      </c>
      <c r="B429" s="14">
        <v>2020</v>
      </c>
      <c r="C429" s="14" t="s">
        <v>56</v>
      </c>
      <c r="D429" s="15">
        <v>0</v>
      </c>
    </row>
    <row r="430" spans="1:4" x14ac:dyDescent="0.45">
      <c r="A430" s="16" t="s">
        <v>9</v>
      </c>
      <c r="B430" s="16">
        <v>2020</v>
      </c>
      <c r="C430" s="16" t="s">
        <v>56</v>
      </c>
      <c r="D430" s="17">
        <v>0.09</v>
      </c>
    </row>
    <row r="431" spans="1:4" x14ac:dyDescent="0.45">
      <c r="A431" s="14" t="s">
        <v>83</v>
      </c>
      <c r="B431" s="14">
        <v>2020</v>
      </c>
      <c r="C431" s="14" t="s">
        <v>56</v>
      </c>
      <c r="D431" s="15">
        <v>0.19</v>
      </c>
    </row>
    <row r="432" spans="1:4" x14ac:dyDescent="0.45">
      <c r="A432" s="16" t="s">
        <v>50</v>
      </c>
      <c r="B432" s="16">
        <v>2021</v>
      </c>
      <c r="C432" s="16" t="s">
        <v>56</v>
      </c>
      <c r="D432" s="17">
        <v>1.74</v>
      </c>
    </row>
    <row r="433" spans="1:4" x14ac:dyDescent="0.45">
      <c r="A433" s="14" t="s">
        <v>5</v>
      </c>
      <c r="B433" s="14">
        <v>2021</v>
      </c>
      <c r="C433" s="14" t="s">
        <v>56</v>
      </c>
      <c r="D433" s="15">
        <v>123.49</v>
      </c>
    </row>
    <row r="434" spans="1:4" x14ac:dyDescent="0.45">
      <c r="A434" s="16" t="s">
        <v>8</v>
      </c>
      <c r="B434" s="16">
        <v>2021</v>
      </c>
      <c r="C434" s="16" t="s">
        <v>56</v>
      </c>
      <c r="D434" s="17">
        <v>6.46</v>
      </c>
    </row>
    <row r="435" spans="1:4" x14ac:dyDescent="0.45">
      <c r="A435" s="14" t="s">
        <v>6</v>
      </c>
      <c r="B435" s="14">
        <v>2021</v>
      </c>
      <c r="C435" s="14" t="s">
        <v>56</v>
      </c>
      <c r="D435" s="15">
        <v>0.06</v>
      </c>
    </row>
    <row r="436" spans="1:4" x14ac:dyDescent="0.45">
      <c r="A436" s="16" t="s">
        <v>19</v>
      </c>
      <c r="B436" s="16">
        <v>2021</v>
      </c>
      <c r="C436" s="16" t="s">
        <v>56</v>
      </c>
      <c r="D436" s="17">
        <v>0</v>
      </c>
    </row>
    <row r="437" spans="1:4" x14ac:dyDescent="0.45">
      <c r="A437" s="14" t="s">
        <v>23</v>
      </c>
      <c r="B437" s="14">
        <v>2021</v>
      </c>
      <c r="C437" s="14" t="s">
        <v>56</v>
      </c>
      <c r="D437" s="15">
        <v>3.18</v>
      </c>
    </row>
    <row r="438" spans="1:4" x14ac:dyDescent="0.45">
      <c r="A438" s="16" t="s">
        <v>50</v>
      </c>
      <c r="B438" s="16">
        <v>2021</v>
      </c>
      <c r="C438" s="16" t="s">
        <v>56</v>
      </c>
      <c r="D438" s="17">
        <v>0</v>
      </c>
    </row>
    <row r="439" spans="1:4" x14ac:dyDescent="0.45">
      <c r="A439" s="14" t="s">
        <v>9</v>
      </c>
      <c r="B439" s="14">
        <v>2021</v>
      </c>
      <c r="C439" s="14" t="s">
        <v>56</v>
      </c>
      <c r="D439" s="15">
        <v>0.19</v>
      </c>
    </row>
    <row r="440" spans="1:4" x14ac:dyDescent="0.45">
      <c r="A440" s="16" t="s">
        <v>83</v>
      </c>
      <c r="B440" s="16">
        <v>2021</v>
      </c>
      <c r="C440" s="16" t="s">
        <v>56</v>
      </c>
      <c r="D440" s="17">
        <v>0.2</v>
      </c>
    </row>
    <row r="441" spans="1:4" x14ac:dyDescent="0.45">
      <c r="A441" s="14" t="s">
        <v>50</v>
      </c>
      <c r="B441" s="14">
        <v>2022</v>
      </c>
      <c r="C441" s="14" t="s">
        <v>56</v>
      </c>
      <c r="D441" s="15">
        <v>1.65</v>
      </c>
    </row>
    <row r="442" spans="1:4" x14ac:dyDescent="0.45">
      <c r="A442" s="16" t="s">
        <v>5</v>
      </c>
      <c r="B442" s="16">
        <v>2022</v>
      </c>
      <c r="C442" s="16" t="s">
        <v>56</v>
      </c>
      <c r="D442" s="17">
        <v>120.77</v>
      </c>
    </row>
    <row r="443" spans="1:4" x14ac:dyDescent="0.45">
      <c r="A443" s="14" t="s">
        <v>8</v>
      </c>
      <c r="B443" s="14">
        <v>2022</v>
      </c>
      <c r="C443" s="14" t="s">
        <v>56</v>
      </c>
      <c r="D443" s="15">
        <v>4.6399999999999997</v>
      </c>
    </row>
    <row r="444" spans="1:4" x14ac:dyDescent="0.45">
      <c r="A444" s="16" t="s">
        <v>6</v>
      </c>
      <c r="B444" s="16">
        <v>2022</v>
      </c>
      <c r="C444" s="16" t="s">
        <v>56</v>
      </c>
      <c r="D444" s="17">
        <v>0.05</v>
      </c>
    </row>
    <row r="445" spans="1:4" x14ac:dyDescent="0.45">
      <c r="A445" s="14" t="s">
        <v>19</v>
      </c>
      <c r="B445" s="14">
        <v>2022</v>
      </c>
      <c r="C445" s="14" t="s">
        <v>56</v>
      </c>
      <c r="D445" s="15">
        <v>0</v>
      </c>
    </row>
    <row r="446" spans="1:4" x14ac:dyDescent="0.45">
      <c r="A446" s="16" t="s">
        <v>23</v>
      </c>
      <c r="B446" s="16">
        <v>2022</v>
      </c>
      <c r="C446" s="16" t="s">
        <v>56</v>
      </c>
      <c r="D446" s="17">
        <v>3.17</v>
      </c>
    </row>
    <row r="447" spans="1:4" x14ac:dyDescent="0.45">
      <c r="A447" s="14" t="s">
        <v>50</v>
      </c>
      <c r="B447" s="14">
        <v>2022</v>
      </c>
      <c r="C447" s="14" t="s">
        <v>56</v>
      </c>
      <c r="D447" s="15">
        <v>0</v>
      </c>
    </row>
    <row r="448" spans="1:4" x14ac:dyDescent="0.45">
      <c r="A448" s="16" t="s">
        <v>9</v>
      </c>
      <c r="B448" s="16">
        <v>2022</v>
      </c>
      <c r="C448" s="16" t="s">
        <v>56</v>
      </c>
      <c r="D448" s="17">
        <v>0.39</v>
      </c>
    </row>
    <row r="449" spans="1:4" x14ac:dyDescent="0.45">
      <c r="A449" s="14" t="s">
        <v>83</v>
      </c>
      <c r="B449" s="14">
        <v>2022</v>
      </c>
      <c r="C449" s="14" t="s">
        <v>56</v>
      </c>
      <c r="D449" s="15">
        <v>0.24</v>
      </c>
    </row>
    <row r="450" spans="1:4" x14ac:dyDescent="0.45">
      <c r="A450" s="16" t="s">
        <v>50</v>
      </c>
      <c r="B450" s="16">
        <v>2023</v>
      </c>
      <c r="C450" s="16" t="s">
        <v>56</v>
      </c>
      <c r="D450" s="17">
        <v>1.76</v>
      </c>
    </row>
    <row r="451" spans="1:4" x14ac:dyDescent="0.45">
      <c r="A451" s="14" t="s">
        <v>5</v>
      </c>
      <c r="B451" s="14">
        <v>2023</v>
      </c>
      <c r="C451" s="14" t="s">
        <v>56</v>
      </c>
      <c r="D451" s="15">
        <v>99.6</v>
      </c>
    </row>
    <row r="452" spans="1:4" x14ac:dyDescent="0.45">
      <c r="A452" s="16" t="s">
        <v>8</v>
      </c>
      <c r="B452" s="16">
        <v>2023</v>
      </c>
      <c r="C452" s="16" t="s">
        <v>56</v>
      </c>
      <c r="D452" s="17">
        <v>6.02</v>
      </c>
    </row>
    <row r="453" spans="1:4" x14ac:dyDescent="0.45">
      <c r="A453" s="14" t="s">
        <v>6</v>
      </c>
      <c r="B453" s="14">
        <v>2023</v>
      </c>
      <c r="C453" s="14" t="s">
        <v>56</v>
      </c>
      <c r="D453" s="15">
        <v>0.06</v>
      </c>
    </row>
    <row r="454" spans="1:4" x14ac:dyDescent="0.45">
      <c r="A454" s="16" t="s">
        <v>19</v>
      </c>
      <c r="B454" s="16">
        <v>2023</v>
      </c>
      <c r="C454" s="16" t="s">
        <v>56</v>
      </c>
      <c r="D454" s="17">
        <v>0</v>
      </c>
    </row>
    <row r="455" spans="1:4" x14ac:dyDescent="0.45">
      <c r="A455" s="14" t="s">
        <v>23</v>
      </c>
      <c r="B455" s="14">
        <v>2023</v>
      </c>
      <c r="C455" s="14" t="s">
        <v>56</v>
      </c>
      <c r="D455" s="15">
        <v>3.4</v>
      </c>
    </row>
    <row r="456" spans="1:4" x14ac:dyDescent="0.45">
      <c r="A456" s="16" t="s">
        <v>9</v>
      </c>
      <c r="B456" s="16">
        <v>2023</v>
      </c>
      <c r="C456" s="16" t="s">
        <v>56</v>
      </c>
      <c r="D456" s="17">
        <v>0.57999999999999996</v>
      </c>
    </row>
    <row r="457" spans="1:4" x14ac:dyDescent="0.45">
      <c r="A457" s="14" t="s">
        <v>83</v>
      </c>
      <c r="B457" s="14">
        <v>2023</v>
      </c>
      <c r="C457" s="14" t="s">
        <v>56</v>
      </c>
      <c r="D457" s="15">
        <v>0.28000000000000003</v>
      </c>
    </row>
    <row r="458" spans="1:4" x14ac:dyDescent="0.45">
      <c r="A458" s="16" t="s">
        <v>9</v>
      </c>
      <c r="B458" s="16">
        <v>2018</v>
      </c>
      <c r="C458" s="16" t="s">
        <v>55</v>
      </c>
      <c r="D458" s="17">
        <v>0.53597699999999993</v>
      </c>
    </row>
    <row r="459" spans="1:4" x14ac:dyDescent="0.45">
      <c r="A459" s="14" t="s">
        <v>9</v>
      </c>
      <c r="B459" s="14">
        <v>2019</v>
      </c>
      <c r="C459" s="14" t="s">
        <v>55</v>
      </c>
      <c r="D459" s="15">
        <v>1.495252</v>
      </c>
    </row>
    <row r="460" spans="1:4" x14ac:dyDescent="0.45">
      <c r="A460" s="16" t="s">
        <v>9</v>
      </c>
      <c r="B460" s="16">
        <v>2020</v>
      </c>
      <c r="C460" s="16" t="s">
        <v>55</v>
      </c>
      <c r="D460" s="17">
        <v>3.7949639999999998</v>
      </c>
    </row>
    <row r="461" spans="1:4" x14ac:dyDescent="0.45">
      <c r="A461" s="14" t="s">
        <v>9</v>
      </c>
      <c r="B461" s="14">
        <v>2021</v>
      </c>
      <c r="C461" s="14" t="s">
        <v>55</v>
      </c>
      <c r="D461" s="15">
        <v>7.0905389999999997</v>
      </c>
    </row>
    <row r="462" spans="1:4" x14ac:dyDescent="0.45">
      <c r="A462" s="16" t="s">
        <v>9</v>
      </c>
      <c r="B462" s="16">
        <v>2022</v>
      </c>
      <c r="C462" s="16" t="s">
        <v>55</v>
      </c>
      <c r="D462" s="17">
        <v>11.063103</v>
      </c>
    </row>
    <row r="463" spans="1:4" x14ac:dyDescent="0.45">
      <c r="A463" s="14" t="s">
        <v>9</v>
      </c>
      <c r="B463" s="14">
        <v>2023</v>
      </c>
      <c r="C463" s="14" t="s">
        <v>55</v>
      </c>
      <c r="D463" s="15">
        <v>16.427526</v>
      </c>
    </row>
    <row r="464" spans="1:4" x14ac:dyDescent="0.45">
      <c r="A464" s="16" t="s">
        <v>9</v>
      </c>
      <c r="B464" s="16">
        <v>2024</v>
      </c>
      <c r="C464" s="16" t="s">
        <v>55</v>
      </c>
      <c r="D464" s="17">
        <v>20.199126</v>
      </c>
    </row>
    <row r="465" spans="1:4" x14ac:dyDescent="0.45">
      <c r="A465" s="14" t="s">
        <v>9</v>
      </c>
      <c r="B465" s="14">
        <v>2011</v>
      </c>
      <c r="C465" s="14" t="s">
        <v>55</v>
      </c>
      <c r="D465" s="15">
        <v>1.1100000000000001E-3</v>
      </c>
    </row>
    <row r="466" spans="1:4" x14ac:dyDescent="0.45">
      <c r="A466" s="16" t="s">
        <v>9</v>
      </c>
      <c r="B466" s="16">
        <v>2012</v>
      </c>
      <c r="C466" s="16" t="s">
        <v>55</v>
      </c>
      <c r="D466" s="17">
        <v>1.2999999999999999E-3</v>
      </c>
    </row>
    <row r="467" spans="1:4" x14ac:dyDescent="0.45">
      <c r="A467" s="14" t="s">
        <v>9</v>
      </c>
      <c r="B467" s="14">
        <v>2013</v>
      </c>
      <c r="C467" s="14" t="s">
        <v>55</v>
      </c>
      <c r="D467" s="15">
        <v>2.3929999999999997E-3</v>
      </c>
    </row>
    <row r="468" spans="1:4" x14ac:dyDescent="0.45">
      <c r="A468" s="16" t="s">
        <v>9</v>
      </c>
      <c r="B468" s="16">
        <v>2014</v>
      </c>
      <c r="C468" s="16" t="s">
        <v>55</v>
      </c>
      <c r="D468" s="17">
        <v>2.6143999999999997E-2</v>
      </c>
    </row>
    <row r="469" spans="1:4" x14ac:dyDescent="0.45">
      <c r="A469" s="14" t="s">
        <v>9</v>
      </c>
      <c r="B469" s="14">
        <v>2015</v>
      </c>
      <c r="C469" s="14" t="s">
        <v>55</v>
      </c>
      <c r="D469" s="15">
        <v>0.102787</v>
      </c>
    </row>
    <row r="470" spans="1:4" x14ac:dyDescent="0.45">
      <c r="A470" s="16" t="s">
        <v>9</v>
      </c>
      <c r="B470" s="16">
        <v>2016</v>
      </c>
      <c r="C470" s="16" t="s">
        <v>55</v>
      </c>
      <c r="D470" s="17">
        <v>0.178235</v>
      </c>
    </row>
    <row r="471" spans="1:4" x14ac:dyDescent="0.45">
      <c r="A471" s="14" t="s">
        <v>9</v>
      </c>
      <c r="B471" s="14">
        <v>2017</v>
      </c>
      <c r="C471" s="14" t="s">
        <v>55</v>
      </c>
      <c r="D471" s="15">
        <v>0.277088</v>
      </c>
    </row>
    <row r="472" spans="1:4" x14ac:dyDescent="0.45">
      <c r="A472" s="16" t="s">
        <v>9</v>
      </c>
      <c r="B472" s="16">
        <v>2011</v>
      </c>
      <c r="C472" s="16" t="s">
        <v>54</v>
      </c>
      <c r="D472" s="17">
        <v>1.75E-4</v>
      </c>
    </row>
    <row r="473" spans="1:4" x14ac:dyDescent="0.45">
      <c r="A473" s="14" t="s">
        <v>9</v>
      </c>
      <c r="B473" s="14">
        <v>2012</v>
      </c>
      <c r="C473" s="14" t="s">
        <v>54</v>
      </c>
      <c r="D473" s="15">
        <v>1.1410000000000001E-3</v>
      </c>
    </row>
    <row r="474" spans="1:4" x14ac:dyDescent="0.45">
      <c r="A474" s="16" t="s">
        <v>9</v>
      </c>
      <c r="B474" s="16">
        <v>2013</v>
      </c>
      <c r="C474" s="16" t="s">
        <v>54</v>
      </c>
      <c r="D474" s="17">
        <v>1.482E-3</v>
      </c>
    </row>
    <row r="475" spans="1:4" x14ac:dyDescent="0.45">
      <c r="A475" s="14" t="s">
        <v>9</v>
      </c>
      <c r="B475" s="14">
        <v>2014</v>
      </c>
      <c r="C475" s="14" t="s">
        <v>54</v>
      </c>
      <c r="D475" s="15">
        <v>6.8910000000000004E-3</v>
      </c>
    </row>
    <row r="476" spans="1:4" x14ac:dyDescent="0.45">
      <c r="A476" s="16" t="s">
        <v>9</v>
      </c>
      <c r="B476" s="16">
        <v>2015</v>
      </c>
      <c r="C476" s="16" t="s">
        <v>54</v>
      </c>
      <c r="D476" s="17">
        <v>5.6639000000000002E-2</v>
      </c>
    </row>
    <row r="477" spans="1:4" x14ac:dyDescent="0.45">
      <c r="A477" s="14" t="s">
        <v>9</v>
      </c>
      <c r="B477" s="14">
        <v>2016</v>
      </c>
      <c r="C477" s="14" t="s">
        <v>54</v>
      </c>
      <c r="D477" s="15">
        <v>0.123875</v>
      </c>
    </row>
    <row r="478" spans="1:4" x14ac:dyDescent="0.45">
      <c r="A478" s="16" t="s">
        <v>9</v>
      </c>
      <c r="B478" s="16">
        <v>2017</v>
      </c>
      <c r="C478" s="16" t="s">
        <v>54</v>
      </c>
      <c r="D478" s="17">
        <v>0.165463</v>
      </c>
    </row>
    <row r="479" spans="1:4" x14ac:dyDescent="0.45">
      <c r="A479" s="14" t="s">
        <v>9</v>
      </c>
      <c r="B479" s="14">
        <v>2018</v>
      </c>
      <c r="C479" s="14" t="s">
        <v>54</v>
      </c>
      <c r="D479" s="15">
        <v>0.30048799999999998</v>
      </c>
    </row>
    <row r="480" spans="1:4" x14ac:dyDescent="0.45">
      <c r="A480" s="16" t="s">
        <v>9</v>
      </c>
      <c r="B480" s="16">
        <v>2019</v>
      </c>
      <c r="C480" s="16" t="s">
        <v>54</v>
      </c>
      <c r="D480" s="17">
        <v>0.710673</v>
      </c>
    </row>
    <row r="481" spans="1:4" x14ac:dyDescent="0.45">
      <c r="A481" s="14" t="s">
        <v>9</v>
      </c>
      <c r="B481" s="14">
        <v>2020</v>
      </c>
      <c r="C481" s="14" t="s">
        <v>54</v>
      </c>
      <c r="D481" s="15">
        <v>1.957916</v>
      </c>
    </row>
    <row r="482" spans="1:4" x14ac:dyDescent="0.45">
      <c r="A482" s="16" t="s">
        <v>9</v>
      </c>
      <c r="B482" s="16">
        <v>2021</v>
      </c>
      <c r="C482" s="16" t="s">
        <v>54</v>
      </c>
      <c r="D482" s="17">
        <v>3.9344479999999997</v>
      </c>
    </row>
    <row r="483" spans="1:4" x14ac:dyDescent="0.45">
      <c r="A483" s="14" t="s">
        <v>9</v>
      </c>
      <c r="B483" s="14">
        <v>2022</v>
      </c>
      <c r="C483" s="14" t="s">
        <v>54</v>
      </c>
      <c r="D483" s="15">
        <v>8.3096700000000006</v>
      </c>
    </row>
    <row r="484" spans="1:4" x14ac:dyDescent="0.45">
      <c r="A484" s="16" t="s">
        <v>83</v>
      </c>
      <c r="B484" s="16">
        <v>2018</v>
      </c>
      <c r="C484" s="16" t="s">
        <v>55</v>
      </c>
      <c r="D484" s="17">
        <v>5.7660780000000003</v>
      </c>
    </row>
    <row r="485" spans="1:4" x14ac:dyDescent="0.45">
      <c r="A485" s="14" t="s">
        <v>83</v>
      </c>
      <c r="B485" s="14">
        <v>2019</v>
      </c>
      <c r="C485" s="14" t="s">
        <v>55</v>
      </c>
      <c r="D485" s="15">
        <v>5.8377610000000004</v>
      </c>
    </row>
    <row r="486" spans="1:4" x14ac:dyDescent="0.45">
      <c r="A486" s="16" t="s">
        <v>83</v>
      </c>
      <c r="B486" s="16">
        <v>2020</v>
      </c>
      <c r="C486" s="16" t="s">
        <v>55</v>
      </c>
      <c r="D486" s="17">
        <v>6.2982500000000003</v>
      </c>
    </row>
    <row r="487" spans="1:4" x14ac:dyDescent="0.45">
      <c r="A487" s="14" t="s">
        <v>83</v>
      </c>
      <c r="B487" s="14">
        <v>2021</v>
      </c>
      <c r="C487" s="14" t="s">
        <v>55</v>
      </c>
      <c r="D487" s="15">
        <v>6.9673389999999999</v>
      </c>
    </row>
    <row r="488" spans="1:4" x14ac:dyDescent="0.45">
      <c r="A488" s="16" t="s">
        <v>83</v>
      </c>
      <c r="B488" s="16">
        <v>2022</v>
      </c>
      <c r="C488" s="16" t="s">
        <v>55</v>
      </c>
      <c r="D488" s="17">
        <v>8.1502350000000003</v>
      </c>
    </row>
    <row r="489" spans="1:4" x14ac:dyDescent="0.45">
      <c r="A489" s="14" t="s">
        <v>83</v>
      </c>
      <c r="B489" s="14">
        <v>2023</v>
      </c>
      <c r="C489" s="14" t="s">
        <v>55</v>
      </c>
      <c r="D489" s="15">
        <v>9.3433209999999995</v>
      </c>
    </row>
    <row r="490" spans="1:4" x14ac:dyDescent="0.45">
      <c r="A490" s="16" t="s">
        <v>83</v>
      </c>
      <c r="B490" s="16">
        <v>2024</v>
      </c>
      <c r="C490" s="16" t="s">
        <v>55</v>
      </c>
      <c r="D490" s="17">
        <v>10.059321000000001</v>
      </c>
    </row>
    <row r="491" spans="1:4" x14ac:dyDescent="0.45">
      <c r="A491" s="14" t="s">
        <v>83</v>
      </c>
      <c r="B491" s="14">
        <v>2011</v>
      </c>
      <c r="C491" s="14" t="s">
        <v>55</v>
      </c>
      <c r="D491" s="15">
        <v>1.8</v>
      </c>
    </row>
    <row r="492" spans="1:4" x14ac:dyDescent="0.45">
      <c r="A492" s="16" t="s">
        <v>83</v>
      </c>
      <c r="B492" s="16">
        <v>2012</v>
      </c>
      <c r="C492" s="16" t="s">
        <v>55</v>
      </c>
      <c r="D492" s="17">
        <v>2.5640000000000001</v>
      </c>
    </row>
    <row r="493" spans="1:4" x14ac:dyDescent="0.45">
      <c r="A493" s="14" t="s">
        <v>83</v>
      </c>
      <c r="B493" s="14">
        <v>2013</v>
      </c>
      <c r="C493" s="14" t="s">
        <v>55</v>
      </c>
      <c r="D493" s="15">
        <v>3.4289999999999998</v>
      </c>
    </row>
    <row r="494" spans="1:4" x14ac:dyDescent="0.45">
      <c r="A494" s="16" t="s">
        <v>83</v>
      </c>
      <c r="B494" s="16">
        <v>2014</v>
      </c>
      <c r="C494" s="16" t="s">
        <v>55</v>
      </c>
      <c r="D494" s="17">
        <v>3.8359999999999999</v>
      </c>
    </row>
    <row r="495" spans="1:4" x14ac:dyDescent="0.45">
      <c r="A495" s="14" t="s">
        <v>83</v>
      </c>
      <c r="B495" s="14">
        <v>2015</v>
      </c>
      <c r="C495" s="14" t="s">
        <v>55</v>
      </c>
      <c r="D495" s="15">
        <v>4.8860000000000001</v>
      </c>
    </row>
    <row r="496" spans="1:4" x14ac:dyDescent="0.45">
      <c r="A496" s="16" t="s">
        <v>83</v>
      </c>
      <c r="B496" s="16">
        <v>2016</v>
      </c>
      <c r="C496" s="16" t="s">
        <v>55</v>
      </c>
      <c r="D496" s="17">
        <v>5.7469999999999999</v>
      </c>
    </row>
    <row r="497" spans="1:4" x14ac:dyDescent="0.45">
      <c r="A497" s="14" t="s">
        <v>83</v>
      </c>
      <c r="B497" s="14">
        <v>2017</v>
      </c>
      <c r="C497" s="14" t="s">
        <v>55</v>
      </c>
      <c r="D497" s="15">
        <v>5.7593569999999996</v>
      </c>
    </row>
    <row r="498" spans="1:4" x14ac:dyDescent="0.45">
      <c r="A498" s="16" t="s">
        <v>83</v>
      </c>
      <c r="B498" s="16">
        <v>2004</v>
      </c>
      <c r="C498" s="16" t="s">
        <v>55</v>
      </c>
      <c r="D498" s="17">
        <v>0.04</v>
      </c>
    </row>
    <row r="499" spans="1:4" x14ac:dyDescent="0.45">
      <c r="A499" s="14" t="s">
        <v>83</v>
      </c>
      <c r="B499" s="14">
        <v>2005</v>
      </c>
      <c r="C499" s="14" t="s">
        <v>55</v>
      </c>
      <c r="D499" s="15">
        <v>0.121</v>
      </c>
    </row>
    <row r="500" spans="1:4" x14ac:dyDescent="0.45">
      <c r="A500" s="16" t="s">
        <v>83</v>
      </c>
      <c r="B500" s="16">
        <v>2006</v>
      </c>
      <c r="C500" s="16" t="s">
        <v>55</v>
      </c>
      <c r="D500" s="17">
        <v>0.17199999999999999</v>
      </c>
    </row>
    <row r="501" spans="1:4" x14ac:dyDescent="0.45">
      <c r="A501" s="14" t="s">
        <v>83</v>
      </c>
      <c r="B501" s="14">
        <v>2007</v>
      </c>
      <c r="C501" s="14" t="s">
        <v>55</v>
      </c>
      <c r="D501" s="15">
        <v>0.30599999999999999</v>
      </c>
    </row>
    <row r="502" spans="1:4" x14ac:dyDescent="0.45">
      <c r="A502" s="16" t="s">
        <v>83</v>
      </c>
      <c r="B502" s="16">
        <v>2008</v>
      </c>
      <c r="C502" s="16" t="s">
        <v>55</v>
      </c>
      <c r="D502" s="17">
        <v>0.52600000000000002</v>
      </c>
    </row>
    <row r="503" spans="1:4" x14ac:dyDescent="0.45">
      <c r="A503" s="14" t="s">
        <v>83</v>
      </c>
      <c r="B503" s="14">
        <v>2009</v>
      </c>
      <c r="C503" s="14" t="s">
        <v>55</v>
      </c>
      <c r="D503" s="15">
        <v>0.70899999999999996</v>
      </c>
    </row>
    <row r="504" spans="1:4" x14ac:dyDescent="0.45">
      <c r="A504" s="16" t="s">
        <v>83</v>
      </c>
      <c r="B504" s="16">
        <v>2010</v>
      </c>
      <c r="C504" s="16" t="s">
        <v>55</v>
      </c>
      <c r="D504" s="17">
        <v>1.1080000000000001</v>
      </c>
    </row>
    <row r="505" spans="1:4" x14ac:dyDescent="0.45">
      <c r="A505" s="14" t="s">
        <v>83</v>
      </c>
      <c r="B505" s="14">
        <v>2000</v>
      </c>
      <c r="C505" s="14" t="s">
        <v>55</v>
      </c>
      <c r="D505" s="15">
        <v>4.0000000000000001E-3</v>
      </c>
    </row>
    <row r="506" spans="1:4" x14ac:dyDescent="0.45">
      <c r="A506" s="16" t="s">
        <v>83</v>
      </c>
      <c r="B506" s="16">
        <v>2001</v>
      </c>
      <c r="C506" s="16" t="s">
        <v>55</v>
      </c>
      <c r="D506" s="17">
        <v>1.9E-2</v>
      </c>
    </row>
    <row r="507" spans="1:4" x14ac:dyDescent="0.45">
      <c r="A507" s="14" t="s">
        <v>83</v>
      </c>
      <c r="B507" s="14">
        <v>2002</v>
      </c>
      <c r="C507" s="14" t="s">
        <v>55</v>
      </c>
      <c r="D507" s="15">
        <v>3.2000000000000001E-2</v>
      </c>
    </row>
    <row r="508" spans="1:4" x14ac:dyDescent="0.45">
      <c r="A508" s="16" t="s">
        <v>83</v>
      </c>
      <c r="B508" s="16">
        <v>2003</v>
      </c>
      <c r="C508" s="16" t="s">
        <v>55</v>
      </c>
      <c r="D508" s="17">
        <v>3.5000000000000003E-2</v>
      </c>
    </row>
    <row r="509" spans="1:4" x14ac:dyDescent="0.45">
      <c r="A509" s="14" t="s">
        <v>83</v>
      </c>
      <c r="B509" s="14">
        <v>2002</v>
      </c>
      <c r="C509" s="14" t="s">
        <v>54</v>
      </c>
      <c r="D509" s="15">
        <v>6.0999999999999999E-2</v>
      </c>
    </row>
    <row r="510" spans="1:4" x14ac:dyDescent="0.45">
      <c r="A510" s="16" t="s">
        <v>83</v>
      </c>
      <c r="B510" s="16">
        <v>2003</v>
      </c>
      <c r="C510" s="16" t="s">
        <v>54</v>
      </c>
      <c r="D510" s="17">
        <v>0.124</v>
      </c>
    </row>
    <row r="511" spans="1:4" x14ac:dyDescent="0.45">
      <c r="A511" s="14" t="s">
        <v>83</v>
      </c>
      <c r="B511" s="14">
        <v>2004</v>
      </c>
      <c r="C511" s="14" t="s">
        <v>54</v>
      </c>
      <c r="D511" s="15">
        <v>0.142319</v>
      </c>
    </row>
    <row r="512" spans="1:4" x14ac:dyDescent="0.45">
      <c r="A512" s="16" t="s">
        <v>83</v>
      </c>
      <c r="B512" s="16">
        <v>2005</v>
      </c>
      <c r="C512" s="16" t="s">
        <v>54</v>
      </c>
      <c r="D512" s="17">
        <v>0.13547000000000001</v>
      </c>
    </row>
    <row r="513" spans="1:4" x14ac:dyDescent="0.45">
      <c r="A513" s="14" t="s">
        <v>83</v>
      </c>
      <c r="B513" s="14">
        <v>2006</v>
      </c>
      <c r="C513" s="14" t="s">
        <v>54</v>
      </c>
      <c r="D513" s="15">
        <v>0.256077</v>
      </c>
    </row>
    <row r="514" spans="1:4" x14ac:dyDescent="0.45">
      <c r="A514" s="16" t="s">
        <v>83</v>
      </c>
      <c r="B514" s="16">
        <v>2007</v>
      </c>
      <c r="C514" s="16" t="s">
        <v>54</v>
      </c>
      <c r="D514" s="17">
        <v>0.52158199999999999</v>
      </c>
    </row>
    <row r="515" spans="1:4" x14ac:dyDescent="0.45">
      <c r="A515" s="14" t="s">
        <v>83</v>
      </c>
      <c r="B515" s="14">
        <v>2008</v>
      </c>
      <c r="C515" s="14" t="s">
        <v>54</v>
      </c>
      <c r="D515" s="15">
        <v>0.83680100000000002</v>
      </c>
    </row>
    <row r="516" spans="1:4" x14ac:dyDescent="0.45">
      <c r="A516" s="16" t="s">
        <v>83</v>
      </c>
      <c r="B516" s="16">
        <v>2009</v>
      </c>
      <c r="C516" s="16" t="s">
        <v>54</v>
      </c>
      <c r="D516" s="17">
        <v>1.077278</v>
      </c>
    </row>
    <row r="517" spans="1:4" x14ac:dyDescent="0.45">
      <c r="A517" s="14" t="s">
        <v>83</v>
      </c>
      <c r="B517" s="14">
        <v>2010</v>
      </c>
      <c r="C517" s="14" t="s">
        <v>54</v>
      </c>
      <c r="D517" s="15">
        <v>1.664339</v>
      </c>
    </row>
    <row r="518" spans="1:4" x14ac:dyDescent="0.45">
      <c r="A518" s="16" t="s">
        <v>83</v>
      </c>
      <c r="B518" s="16">
        <v>2011</v>
      </c>
      <c r="C518" s="16" t="s">
        <v>54</v>
      </c>
      <c r="D518" s="17">
        <v>3.204548</v>
      </c>
    </row>
    <row r="519" spans="1:4" x14ac:dyDescent="0.45">
      <c r="A519" s="14" t="s">
        <v>83</v>
      </c>
      <c r="B519" s="14">
        <v>2012</v>
      </c>
      <c r="C519" s="14" t="s">
        <v>54</v>
      </c>
      <c r="D519" s="15">
        <v>4.7465900000000003</v>
      </c>
    </row>
    <row r="520" spans="1:4" x14ac:dyDescent="0.45">
      <c r="A520" s="16" t="s">
        <v>83</v>
      </c>
      <c r="B520" s="16">
        <v>2013</v>
      </c>
      <c r="C520" s="16" t="s">
        <v>54</v>
      </c>
      <c r="D520" s="17">
        <v>6.003806</v>
      </c>
    </row>
    <row r="521" spans="1:4" x14ac:dyDescent="0.45">
      <c r="A521" s="14" t="s">
        <v>83</v>
      </c>
      <c r="B521" s="14">
        <v>2014</v>
      </c>
      <c r="C521" s="14" t="s">
        <v>54</v>
      </c>
      <c r="D521" s="15">
        <v>7.6756289999999998</v>
      </c>
    </row>
    <row r="522" spans="1:4" x14ac:dyDescent="0.45">
      <c r="A522" s="16" t="s">
        <v>83</v>
      </c>
      <c r="B522" s="16">
        <v>2015</v>
      </c>
      <c r="C522" s="16" t="s">
        <v>54</v>
      </c>
      <c r="D522" s="17">
        <v>10.858364999999999</v>
      </c>
    </row>
    <row r="523" spans="1:4" x14ac:dyDescent="0.45">
      <c r="A523" s="14" t="s">
        <v>83</v>
      </c>
      <c r="B523" s="14">
        <v>2016</v>
      </c>
      <c r="C523" s="14" t="s">
        <v>54</v>
      </c>
      <c r="D523" s="15">
        <v>12.587590000000001</v>
      </c>
    </row>
    <row r="524" spans="1:4" x14ac:dyDescent="0.45">
      <c r="A524" s="16" t="s">
        <v>83</v>
      </c>
      <c r="B524" s="16">
        <v>2017</v>
      </c>
      <c r="C524" s="16" t="s">
        <v>54</v>
      </c>
      <c r="D524" s="17">
        <v>14.909040999999998</v>
      </c>
    </row>
    <row r="525" spans="1:4" x14ac:dyDescent="0.45">
      <c r="A525" s="14" t="s">
        <v>83</v>
      </c>
      <c r="B525" s="14">
        <v>2018</v>
      </c>
      <c r="C525" s="14" t="s">
        <v>54</v>
      </c>
      <c r="D525" s="15">
        <v>12.798791999999999</v>
      </c>
    </row>
    <row r="526" spans="1:4" x14ac:dyDescent="0.45">
      <c r="A526" s="16" t="s">
        <v>83</v>
      </c>
      <c r="B526" s="16">
        <v>2019</v>
      </c>
      <c r="C526" s="16" t="s">
        <v>54</v>
      </c>
      <c r="D526" s="17">
        <v>15.106759</v>
      </c>
    </row>
    <row r="527" spans="1:4" x14ac:dyDescent="0.45">
      <c r="A527" s="14" t="s">
        <v>83</v>
      </c>
      <c r="B527" s="14">
        <v>2020</v>
      </c>
      <c r="C527" s="14" t="s">
        <v>54</v>
      </c>
      <c r="D527" s="15">
        <v>15.800049000000001</v>
      </c>
    </row>
    <row r="528" spans="1:4" x14ac:dyDescent="0.45">
      <c r="A528" s="16" t="s">
        <v>83</v>
      </c>
      <c r="B528" s="16">
        <v>2021</v>
      </c>
      <c r="C528" s="16" t="s">
        <v>54</v>
      </c>
      <c r="D528" s="17">
        <v>16.233547000000002</v>
      </c>
    </row>
    <row r="529" spans="1:4" x14ac:dyDescent="0.45">
      <c r="A529" s="14" t="s">
        <v>83</v>
      </c>
      <c r="B529" s="14">
        <v>2022</v>
      </c>
      <c r="C529" s="14" t="s">
        <v>54</v>
      </c>
      <c r="D529" s="15">
        <v>19.779537999999999</v>
      </c>
    </row>
    <row r="530" spans="1:4" x14ac:dyDescent="0.45">
      <c r="A530" s="16" t="s">
        <v>83</v>
      </c>
      <c r="B530" s="16">
        <v>2000</v>
      </c>
      <c r="C530" s="16" t="s">
        <v>54</v>
      </c>
      <c r="D530" s="17">
        <v>5.0000000000000001E-3</v>
      </c>
    </row>
    <row r="531" spans="1:4" x14ac:dyDescent="0.45">
      <c r="A531" s="14" t="s">
        <v>83</v>
      </c>
      <c r="B531" s="14">
        <v>2001</v>
      </c>
      <c r="C531" s="14" t="s">
        <v>54</v>
      </c>
      <c r="D531" s="15">
        <v>1.4E-2</v>
      </c>
    </row>
    <row r="532" spans="1:4" x14ac:dyDescent="0.45">
      <c r="A532" s="16" t="s">
        <v>50</v>
      </c>
      <c r="B532" s="16">
        <v>2018</v>
      </c>
      <c r="C532" s="16" t="s">
        <v>55</v>
      </c>
      <c r="D532" s="17">
        <v>0.73515900000000001</v>
      </c>
    </row>
    <row r="533" spans="1:4" x14ac:dyDescent="0.45">
      <c r="A533" s="14" t="s">
        <v>50</v>
      </c>
      <c r="B533" s="14">
        <v>2019</v>
      </c>
      <c r="C533" s="14" t="s">
        <v>55</v>
      </c>
      <c r="D533" s="15">
        <v>0.73177999999999999</v>
      </c>
    </row>
    <row r="534" spans="1:4" x14ac:dyDescent="0.45">
      <c r="A534" s="16" t="s">
        <v>50</v>
      </c>
      <c r="B534" s="16">
        <v>2020</v>
      </c>
      <c r="C534" s="16" t="s">
        <v>55</v>
      </c>
      <c r="D534" s="17">
        <v>0.73420099999999999</v>
      </c>
    </row>
    <row r="535" spans="1:4" x14ac:dyDescent="0.45">
      <c r="A535" s="14" t="s">
        <v>50</v>
      </c>
      <c r="B535" s="14">
        <v>2021</v>
      </c>
      <c r="C535" s="14" t="s">
        <v>55</v>
      </c>
      <c r="D535" s="15">
        <v>0.80318499999999993</v>
      </c>
    </row>
    <row r="536" spans="1:4" x14ac:dyDescent="0.45">
      <c r="A536" s="16" t="s">
        <v>50</v>
      </c>
      <c r="B536" s="16">
        <v>2022</v>
      </c>
      <c r="C536" s="16" t="s">
        <v>55</v>
      </c>
      <c r="D536" s="17">
        <v>0.89419300000000002</v>
      </c>
    </row>
    <row r="537" spans="1:4" x14ac:dyDescent="0.45">
      <c r="A537" s="14" t="s">
        <v>50</v>
      </c>
      <c r="B537" s="14">
        <v>2023</v>
      </c>
      <c r="C537" s="14" t="s">
        <v>55</v>
      </c>
      <c r="D537" s="15">
        <v>0.85503399999999996</v>
      </c>
    </row>
    <row r="538" spans="1:4" x14ac:dyDescent="0.45">
      <c r="A538" s="16" t="s">
        <v>50</v>
      </c>
      <c r="B538" s="16">
        <v>2024</v>
      </c>
      <c r="C538" s="16" t="s">
        <v>55</v>
      </c>
      <c r="D538" s="17">
        <v>0.85503399999999996</v>
      </c>
    </row>
    <row r="539" spans="1:4" x14ac:dyDescent="0.45">
      <c r="A539" s="14" t="s">
        <v>50</v>
      </c>
      <c r="B539" s="14">
        <v>2018</v>
      </c>
      <c r="C539" s="14" t="s">
        <v>55</v>
      </c>
      <c r="D539" s="15">
        <v>4.3296000000000001E-2</v>
      </c>
    </row>
    <row r="540" spans="1:4" x14ac:dyDescent="0.45">
      <c r="A540" s="16" t="s">
        <v>50</v>
      </c>
      <c r="B540" s="16">
        <v>2019</v>
      </c>
      <c r="C540" s="16" t="s">
        <v>55</v>
      </c>
      <c r="D540" s="17">
        <v>4.53E-2</v>
      </c>
    </row>
    <row r="541" spans="1:4" x14ac:dyDescent="0.45">
      <c r="A541" s="14" t="s">
        <v>50</v>
      </c>
      <c r="B541" s="14">
        <v>2020</v>
      </c>
      <c r="C541" s="14" t="s">
        <v>55</v>
      </c>
      <c r="D541" s="15">
        <v>4.9750000000000003E-2</v>
      </c>
    </row>
    <row r="542" spans="1:4" x14ac:dyDescent="0.45">
      <c r="A542" s="16" t="s">
        <v>50</v>
      </c>
      <c r="B542" s="16">
        <v>2021</v>
      </c>
      <c r="C542" s="16" t="s">
        <v>55</v>
      </c>
      <c r="D542" s="17">
        <v>4.53E-2</v>
      </c>
    </row>
    <row r="543" spans="1:4" x14ac:dyDescent="0.45">
      <c r="A543" s="14" t="s">
        <v>50</v>
      </c>
      <c r="B543" s="14">
        <v>2022</v>
      </c>
      <c r="C543" s="14" t="s">
        <v>55</v>
      </c>
      <c r="D543" s="15">
        <v>4.53E-2</v>
      </c>
    </row>
    <row r="544" spans="1:4" x14ac:dyDescent="0.45">
      <c r="A544" s="16" t="s">
        <v>50</v>
      </c>
      <c r="B544" s="16">
        <v>2023</v>
      </c>
      <c r="C544" s="16" t="s">
        <v>55</v>
      </c>
      <c r="D544" s="17">
        <v>4.53E-2</v>
      </c>
    </row>
    <row r="545" spans="1:4" x14ac:dyDescent="0.45">
      <c r="A545" s="14" t="s">
        <v>50</v>
      </c>
      <c r="B545" s="14">
        <v>2024</v>
      </c>
      <c r="C545" s="14" t="s">
        <v>55</v>
      </c>
      <c r="D545" s="15">
        <v>4.53E-2</v>
      </c>
    </row>
    <row r="546" spans="1:4" x14ac:dyDescent="0.45">
      <c r="A546" s="16" t="s">
        <v>50</v>
      </c>
      <c r="B546" s="16">
        <v>2018</v>
      </c>
      <c r="C546" s="16" t="s">
        <v>55</v>
      </c>
      <c r="D546" s="17">
        <v>4.0000000000000002E-4</v>
      </c>
    </row>
    <row r="547" spans="1:4" x14ac:dyDescent="0.45">
      <c r="A547" s="14" t="s">
        <v>50</v>
      </c>
      <c r="B547" s="14">
        <v>2019</v>
      </c>
      <c r="C547" s="14" t="s">
        <v>55</v>
      </c>
      <c r="D547" s="15">
        <v>4.0000000000000002E-4</v>
      </c>
    </row>
    <row r="548" spans="1:4" x14ac:dyDescent="0.45">
      <c r="A548" s="16" t="s">
        <v>50</v>
      </c>
      <c r="B548" s="16">
        <v>2020</v>
      </c>
      <c r="C548" s="16" t="s">
        <v>55</v>
      </c>
      <c r="D548" s="17">
        <v>4.0000000000000002E-4</v>
      </c>
    </row>
    <row r="549" spans="1:4" x14ac:dyDescent="0.45">
      <c r="A549" s="14" t="s">
        <v>50</v>
      </c>
      <c r="B549" s="14">
        <v>2021</v>
      </c>
      <c r="C549" s="14" t="s">
        <v>55</v>
      </c>
      <c r="D549" s="15">
        <v>4.0000000000000002E-4</v>
      </c>
    </row>
    <row r="550" spans="1:4" x14ac:dyDescent="0.45">
      <c r="A550" s="16" t="s">
        <v>50</v>
      </c>
      <c r="B550" s="16">
        <v>2022</v>
      </c>
      <c r="C550" s="16" t="s">
        <v>55</v>
      </c>
      <c r="D550" s="17">
        <v>4.0000000000000002E-4</v>
      </c>
    </row>
    <row r="551" spans="1:4" x14ac:dyDescent="0.45">
      <c r="A551" s="14" t="s">
        <v>50</v>
      </c>
      <c r="B551" s="14">
        <v>2023</v>
      </c>
      <c r="C551" s="14" t="s">
        <v>55</v>
      </c>
      <c r="D551" s="15">
        <v>4.0000000000000002E-4</v>
      </c>
    </row>
    <row r="552" spans="1:4" x14ac:dyDescent="0.45">
      <c r="A552" s="16" t="s">
        <v>50</v>
      </c>
      <c r="B552" s="16">
        <v>2024</v>
      </c>
      <c r="C552" s="16" t="s">
        <v>55</v>
      </c>
      <c r="D552" s="17">
        <v>4.0000000000000002E-4</v>
      </c>
    </row>
    <row r="553" spans="1:4" x14ac:dyDescent="0.45">
      <c r="A553" s="14" t="s">
        <v>50</v>
      </c>
      <c r="B553" s="14">
        <v>2018</v>
      </c>
      <c r="C553" s="14" t="s">
        <v>55</v>
      </c>
      <c r="D553" s="15">
        <v>0.22545099999999998</v>
      </c>
    </row>
    <row r="554" spans="1:4" x14ac:dyDescent="0.45">
      <c r="A554" s="16" t="s">
        <v>50</v>
      </c>
      <c r="B554" s="16">
        <v>2019</v>
      </c>
      <c r="C554" s="16" t="s">
        <v>55</v>
      </c>
      <c r="D554" s="17">
        <v>0.23286299999999999</v>
      </c>
    </row>
    <row r="555" spans="1:4" x14ac:dyDescent="0.45">
      <c r="A555" s="14" t="s">
        <v>50</v>
      </c>
      <c r="B555" s="14">
        <v>2020</v>
      </c>
      <c r="C555" s="14" t="s">
        <v>55</v>
      </c>
      <c r="D555" s="15">
        <v>0.26100200000000001</v>
      </c>
    </row>
    <row r="556" spans="1:4" x14ac:dyDescent="0.45">
      <c r="A556" s="16" t="s">
        <v>50</v>
      </c>
      <c r="B556" s="16">
        <v>2021</v>
      </c>
      <c r="C556" s="16" t="s">
        <v>55</v>
      </c>
      <c r="D556" s="17">
        <v>0.250803</v>
      </c>
    </row>
    <row r="557" spans="1:4" x14ac:dyDescent="0.45">
      <c r="A557" s="14" t="s">
        <v>50</v>
      </c>
      <c r="B557" s="14">
        <v>2022</v>
      </c>
      <c r="C557" s="14" t="s">
        <v>55</v>
      </c>
      <c r="D557" s="15">
        <v>0.27756400000000003</v>
      </c>
    </row>
    <row r="558" spans="1:4" x14ac:dyDescent="0.45">
      <c r="A558" s="16" t="s">
        <v>50</v>
      </c>
      <c r="B558" s="16">
        <v>2023</v>
      </c>
      <c r="C558" s="16" t="s">
        <v>55</v>
      </c>
      <c r="D558" s="17">
        <v>0.27556400000000003</v>
      </c>
    </row>
    <row r="559" spans="1:4" x14ac:dyDescent="0.45">
      <c r="A559" s="14" t="s">
        <v>50</v>
      </c>
      <c r="B559" s="14">
        <v>2024</v>
      </c>
      <c r="C559" s="14" t="s">
        <v>55</v>
      </c>
      <c r="D559" s="15">
        <v>0.27556400000000003</v>
      </c>
    </row>
    <row r="560" spans="1:4" x14ac:dyDescent="0.45">
      <c r="A560" s="16" t="s">
        <v>50</v>
      </c>
      <c r="B560" s="16">
        <v>2011</v>
      </c>
      <c r="C560" s="16" t="s">
        <v>55</v>
      </c>
      <c r="D560" s="17">
        <v>0.17499999999999999</v>
      </c>
    </row>
    <row r="561" spans="1:4" x14ac:dyDescent="0.45">
      <c r="A561" s="14" t="s">
        <v>50</v>
      </c>
      <c r="B561" s="14">
        <v>2012</v>
      </c>
      <c r="C561" s="14" t="s">
        <v>55</v>
      </c>
      <c r="D561" s="15">
        <v>0.45500000000000002</v>
      </c>
    </row>
    <row r="562" spans="1:4" x14ac:dyDescent="0.45">
      <c r="A562" s="16" t="s">
        <v>50</v>
      </c>
      <c r="B562" s="16">
        <v>2013</v>
      </c>
      <c r="C562" s="16" t="s">
        <v>55</v>
      </c>
      <c r="D562" s="17">
        <v>0.58199999999999996</v>
      </c>
    </row>
    <row r="563" spans="1:4" x14ac:dyDescent="0.45">
      <c r="A563" s="14" t="s">
        <v>50</v>
      </c>
      <c r="B563" s="14">
        <v>2014</v>
      </c>
      <c r="C563" s="14" t="s">
        <v>55</v>
      </c>
      <c r="D563" s="15">
        <v>0.629</v>
      </c>
    </row>
    <row r="564" spans="1:4" x14ac:dyDescent="0.45">
      <c r="A564" s="16" t="s">
        <v>50</v>
      </c>
      <c r="B564" s="16">
        <v>2015</v>
      </c>
      <c r="C564" s="16" t="s">
        <v>55</v>
      </c>
      <c r="D564" s="17">
        <v>0.73699999999999999</v>
      </c>
    </row>
    <row r="565" spans="1:4" x14ac:dyDescent="0.45">
      <c r="A565" s="14" t="s">
        <v>50</v>
      </c>
      <c r="B565" s="14">
        <v>2016</v>
      </c>
      <c r="C565" s="14" t="s">
        <v>55</v>
      </c>
      <c r="D565" s="15">
        <v>0.72699999999999998</v>
      </c>
    </row>
    <row r="566" spans="1:4" x14ac:dyDescent="0.45">
      <c r="A566" s="16" t="s">
        <v>50</v>
      </c>
      <c r="B566" s="16">
        <v>2017</v>
      </c>
      <c r="C566" s="16" t="s">
        <v>55</v>
      </c>
      <c r="D566" s="17">
        <v>0.70876899999999998</v>
      </c>
    </row>
    <row r="567" spans="1:4" x14ac:dyDescent="0.45">
      <c r="A567" s="14" t="s">
        <v>50</v>
      </c>
      <c r="B567" s="14">
        <v>2015</v>
      </c>
      <c r="C567" s="14" t="s">
        <v>55</v>
      </c>
      <c r="D567" s="15">
        <v>7.4999999999999997E-3</v>
      </c>
    </row>
    <row r="568" spans="1:4" x14ac:dyDescent="0.45">
      <c r="A568" s="16" t="s">
        <v>50</v>
      </c>
      <c r="B568" s="16">
        <v>2016</v>
      </c>
      <c r="C568" s="16" t="s">
        <v>55</v>
      </c>
      <c r="D568" s="17">
        <v>2.1999999999999999E-2</v>
      </c>
    </row>
    <row r="569" spans="1:4" x14ac:dyDescent="0.45">
      <c r="A569" s="14" t="s">
        <v>50</v>
      </c>
      <c r="B569" s="14">
        <v>2017</v>
      </c>
      <c r="C569" s="14" t="s">
        <v>55</v>
      </c>
      <c r="D569" s="15">
        <v>2.9600000000000001E-2</v>
      </c>
    </row>
    <row r="570" spans="1:4" x14ac:dyDescent="0.45">
      <c r="A570" s="16" t="s">
        <v>50</v>
      </c>
      <c r="B570" s="16">
        <v>2011</v>
      </c>
      <c r="C570" s="16" t="s">
        <v>55</v>
      </c>
      <c r="D570" s="17">
        <v>4.0000000000000002E-4</v>
      </c>
    </row>
    <row r="571" spans="1:4" x14ac:dyDescent="0.45">
      <c r="A571" s="14" t="s">
        <v>50</v>
      </c>
      <c r="B571" s="14">
        <v>2012</v>
      </c>
      <c r="C571" s="14" t="s">
        <v>55</v>
      </c>
      <c r="D571" s="15">
        <v>4.0000000000000002E-4</v>
      </c>
    </row>
    <row r="572" spans="1:4" x14ac:dyDescent="0.45">
      <c r="A572" s="16" t="s">
        <v>50</v>
      </c>
      <c r="B572" s="16">
        <v>2013</v>
      </c>
      <c r="C572" s="16" t="s">
        <v>55</v>
      </c>
      <c r="D572" s="17">
        <v>4.0000000000000002E-4</v>
      </c>
    </row>
    <row r="573" spans="1:4" x14ac:dyDescent="0.45">
      <c r="A573" s="14" t="s">
        <v>50</v>
      </c>
      <c r="B573" s="14">
        <v>2014</v>
      </c>
      <c r="C573" s="14" t="s">
        <v>55</v>
      </c>
      <c r="D573" s="15">
        <v>4.0000000000000002E-4</v>
      </c>
    </row>
    <row r="574" spans="1:4" x14ac:dyDescent="0.45">
      <c r="A574" s="16" t="s">
        <v>50</v>
      </c>
      <c r="B574" s="16">
        <v>2015</v>
      </c>
      <c r="C574" s="16" t="s">
        <v>55</v>
      </c>
      <c r="D574" s="17">
        <v>4.0000000000000002E-4</v>
      </c>
    </row>
    <row r="575" spans="1:4" x14ac:dyDescent="0.45">
      <c r="A575" s="14" t="s">
        <v>50</v>
      </c>
      <c r="B575" s="14">
        <v>2016</v>
      </c>
      <c r="C575" s="14" t="s">
        <v>55</v>
      </c>
      <c r="D575" s="15">
        <v>4.0000000000000002E-4</v>
      </c>
    </row>
    <row r="576" spans="1:4" x14ac:dyDescent="0.45">
      <c r="A576" s="16" t="s">
        <v>50</v>
      </c>
      <c r="B576" s="16">
        <v>2017</v>
      </c>
      <c r="C576" s="16" t="s">
        <v>55</v>
      </c>
      <c r="D576" s="17">
        <v>4.0000000000000002E-4</v>
      </c>
    </row>
    <row r="577" spans="1:4" x14ac:dyDescent="0.45">
      <c r="A577" s="14" t="s">
        <v>50</v>
      </c>
      <c r="B577" s="14">
        <v>2011</v>
      </c>
      <c r="C577" s="14" t="s">
        <v>55</v>
      </c>
      <c r="D577" s="15">
        <v>0.10199999999999999</v>
      </c>
    </row>
    <row r="578" spans="1:4" x14ac:dyDescent="0.45">
      <c r="A578" s="16" t="s">
        <v>50</v>
      </c>
      <c r="B578" s="16">
        <v>2012</v>
      </c>
      <c r="C578" s="16" t="s">
        <v>55</v>
      </c>
      <c r="D578" s="17">
        <v>0.128</v>
      </c>
    </row>
    <row r="579" spans="1:4" x14ac:dyDescent="0.45">
      <c r="A579" s="14" t="s">
        <v>50</v>
      </c>
      <c r="B579" s="14">
        <v>2013</v>
      </c>
      <c r="C579" s="14" t="s">
        <v>55</v>
      </c>
      <c r="D579" s="15">
        <v>0.153</v>
      </c>
    </row>
    <row r="580" spans="1:4" x14ac:dyDescent="0.45">
      <c r="A580" s="16" t="s">
        <v>50</v>
      </c>
      <c r="B580" s="16">
        <v>2014</v>
      </c>
      <c r="C580" s="16" t="s">
        <v>55</v>
      </c>
      <c r="D580" s="17">
        <v>0.187</v>
      </c>
    </row>
    <row r="581" spans="1:4" x14ac:dyDescent="0.45">
      <c r="A581" s="14" t="s">
        <v>50</v>
      </c>
      <c r="B581" s="14">
        <v>2015</v>
      </c>
      <c r="C581" s="14" t="s">
        <v>55</v>
      </c>
      <c r="D581" s="15">
        <v>0.216</v>
      </c>
    </row>
    <row r="582" spans="1:4" x14ac:dyDescent="0.45">
      <c r="A582" s="16" t="s">
        <v>50</v>
      </c>
      <c r="B582" s="16">
        <v>2016</v>
      </c>
      <c r="C582" s="16" t="s">
        <v>55</v>
      </c>
      <c r="D582" s="17">
        <v>0.22500000000000001</v>
      </c>
    </row>
    <row r="583" spans="1:4" x14ac:dyDescent="0.45">
      <c r="A583" s="14" t="s">
        <v>50</v>
      </c>
      <c r="B583" s="14">
        <v>2017</v>
      </c>
      <c r="C583" s="14" t="s">
        <v>55</v>
      </c>
      <c r="D583" s="15">
        <v>0.22922399999999998</v>
      </c>
    </row>
    <row r="584" spans="1:4" x14ac:dyDescent="0.45">
      <c r="A584" s="16" t="s">
        <v>50</v>
      </c>
      <c r="B584" s="16">
        <v>2004</v>
      </c>
      <c r="C584" s="16" t="s">
        <v>55</v>
      </c>
      <c r="D584" s="17">
        <v>2.4E-2</v>
      </c>
    </row>
    <row r="585" spans="1:4" x14ac:dyDescent="0.45">
      <c r="A585" s="14" t="s">
        <v>50</v>
      </c>
      <c r="B585" s="14">
        <v>2005</v>
      </c>
      <c r="C585" s="14" t="s">
        <v>55</v>
      </c>
      <c r="D585" s="15">
        <v>2.5000000000000001E-2</v>
      </c>
    </row>
    <row r="586" spans="1:4" x14ac:dyDescent="0.45">
      <c r="A586" s="16" t="s">
        <v>50</v>
      </c>
      <c r="B586" s="16">
        <v>2006</v>
      </c>
      <c r="C586" s="16" t="s">
        <v>55</v>
      </c>
      <c r="D586" s="17">
        <v>2.5000000000000001E-2</v>
      </c>
    </row>
    <row r="587" spans="1:4" x14ac:dyDescent="0.45">
      <c r="A587" s="14" t="s">
        <v>50</v>
      </c>
      <c r="B587" s="14">
        <v>2007</v>
      </c>
      <c r="C587" s="14" t="s">
        <v>55</v>
      </c>
      <c r="D587" s="15">
        <v>3.3000000000000002E-2</v>
      </c>
    </row>
    <row r="588" spans="1:4" x14ac:dyDescent="0.45">
      <c r="A588" s="16" t="s">
        <v>50</v>
      </c>
      <c r="B588" s="16">
        <v>2008</v>
      </c>
      <c r="C588" s="16" t="s">
        <v>55</v>
      </c>
      <c r="D588" s="17">
        <v>0.04</v>
      </c>
    </row>
    <row r="589" spans="1:4" x14ac:dyDescent="0.45">
      <c r="A589" s="14" t="s">
        <v>50</v>
      </c>
      <c r="B589" s="14">
        <v>2009</v>
      </c>
      <c r="C589" s="14" t="s">
        <v>55</v>
      </c>
      <c r="D589" s="15">
        <v>4.2000000000000003E-2</v>
      </c>
    </row>
    <row r="590" spans="1:4" x14ac:dyDescent="0.45">
      <c r="A590" s="16" t="s">
        <v>50</v>
      </c>
      <c r="B590" s="16">
        <v>2010</v>
      </c>
      <c r="C590" s="16" t="s">
        <v>55</v>
      </c>
      <c r="D590" s="17">
        <v>5.2999999999999999E-2</v>
      </c>
    </row>
    <row r="591" spans="1:4" x14ac:dyDescent="0.45">
      <c r="A591" s="14" t="s">
        <v>50</v>
      </c>
      <c r="B591" s="14">
        <v>2009</v>
      </c>
      <c r="C591" s="14" t="s">
        <v>55</v>
      </c>
      <c r="D591" s="15">
        <v>4.0000000000000002E-4</v>
      </c>
    </row>
    <row r="592" spans="1:4" x14ac:dyDescent="0.45">
      <c r="A592" s="16" t="s">
        <v>50</v>
      </c>
      <c r="B592" s="16">
        <v>2010</v>
      </c>
      <c r="C592" s="16" t="s">
        <v>55</v>
      </c>
      <c r="D592" s="17">
        <v>4.0000000000000002E-4</v>
      </c>
    </row>
    <row r="593" spans="1:4" x14ac:dyDescent="0.45">
      <c r="A593" s="14" t="s">
        <v>50</v>
      </c>
      <c r="B593" s="14">
        <v>2004</v>
      </c>
      <c r="C593" s="14" t="s">
        <v>55</v>
      </c>
      <c r="D593" s="15">
        <v>2.4E-2</v>
      </c>
    </row>
    <row r="594" spans="1:4" x14ac:dyDescent="0.45">
      <c r="A594" s="16" t="s">
        <v>50</v>
      </c>
      <c r="B594" s="16">
        <v>2005</v>
      </c>
      <c r="C594" s="16" t="s">
        <v>55</v>
      </c>
      <c r="D594" s="17">
        <v>0.03</v>
      </c>
    </row>
    <row r="595" spans="1:4" x14ac:dyDescent="0.45">
      <c r="A595" s="14" t="s">
        <v>50</v>
      </c>
      <c r="B595" s="14">
        <v>2006</v>
      </c>
      <c r="C595" s="14" t="s">
        <v>55</v>
      </c>
      <c r="D595" s="15">
        <v>3.2000000000000001E-2</v>
      </c>
    </row>
    <row r="596" spans="1:4" x14ac:dyDescent="0.45">
      <c r="A596" s="16" t="s">
        <v>50</v>
      </c>
      <c r="B596" s="16">
        <v>2007</v>
      </c>
      <c r="C596" s="16" t="s">
        <v>55</v>
      </c>
      <c r="D596" s="17">
        <v>0.04</v>
      </c>
    </row>
    <row r="597" spans="1:4" x14ac:dyDescent="0.45">
      <c r="A597" s="14" t="s">
        <v>50</v>
      </c>
      <c r="B597" s="14">
        <v>2008</v>
      </c>
      <c r="C597" s="14" t="s">
        <v>55</v>
      </c>
      <c r="D597" s="15">
        <v>5.1999999999999998E-2</v>
      </c>
    </row>
    <row r="598" spans="1:4" x14ac:dyDescent="0.45">
      <c r="A598" s="16" t="s">
        <v>50</v>
      </c>
      <c r="B598" s="16">
        <v>2009</v>
      </c>
      <c r="C598" s="16" t="s">
        <v>55</v>
      </c>
      <c r="D598" s="17">
        <v>6.8000000000000005E-2</v>
      </c>
    </row>
    <row r="599" spans="1:4" x14ac:dyDescent="0.45">
      <c r="A599" s="14" t="s">
        <v>50</v>
      </c>
      <c r="B599" s="14">
        <v>2010</v>
      </c>
      <c r="C599" s="14" t="s">
        <v>55</v>
      </c>
      <c r="D599" s="15">
        <v>8.1000000000000003E-2</v>
      </c>
    </row>
    <row r="600" spans="1:4" x14ac:dyDescent="0.45">
      <c r="A600" s="16" t="s">
        <v>50</v>
      </c>
      <c r="B600" s="16">
        <v>2000</v>
      </c>
      <c r="C600" s="16" t="s">
        <v>55</v>
      </c>
      <c r="D600" s="17">
        <v>7.0000000000000001E-3</v>
      </c>
    </row>
    <row r="601" spans="1:4" x14ac:dyDescent="0.45">
      <c r="A601" s="14" t="s">
        <v>50</v>
      </c>
      <c r="B601" s="14">
        <v>2001</v>
      </c>
      <c r="C601" s="14" t="s">
        <v>55</v>
      </c>
      <c r="D601" s="15">
        <v>1.4999999999999999E-2</v>
      </c>
    </row>
    <row r="602" spans="1:4" x14ac:dyDescent="0.45">
      <c r="A602" s="16" t="s">
        <v>50</v>
      </c>
      <c r="B602" s="16">
        <v>2002</v>
      </c>
      <c r="C602" s="16" t="s">
        <v>55</v>
      </c>
      <c r="D602" s="17">
        <v>1.4999999999999999E-2</v>
      </c>
    </row>
    <row r="603" spans="1:4" x14ac:dyDescent="0.45">
      <c r="A603" s="14" t="s">
        <v>50</v>
      </c>
      <c r="B603" s="14">
        <v>2003</v>
      </c>
      <c r="C603" s="14" t="s">
        <v>55</v>
      </c>
      <c r="D603" s="15">
        <v>2.4E-2</v>
      </c>
    </row>
    <row r="604" spans="1:4" x14ac:dyDescent="0.45">
      <c r="A604" s="16" t="s">
        <v>50</v>
      </c>
      <c r="B604" s="16">
        <v>2000</v>
      </c>
      <c r="C604" s="16" t="s">
        <v>55</v>
      </c>
      <c r="D604" s="17">
        <v>8.9999999999999993E-3</v>
      </c>
    </row>
    <row r="605" spans="1:4" x14ac:dyDescent="0.45">
      <c r="A605" s="14" t="s">
        <v>50</v>
      </c>
      <c r="B605" s="14">
        <v>2001</v>
      </c>
      <c r="C605" s="14" t="s">
        <v>55</v>
      </c>
      <c r="D605" s="15">
        <v>1.2E-2</v>
      </c>
    </row>
    <row r="606" spans="1:4" x14ac:dyDescent="0.45">
      <c r="A606" s="16" t="s">
        <v>50</v>
      </c>
      <c r="B606" s="16">
        <v>2002</v>
      </c>
      <c r="C606" s="16" t="s">
        <v>55</v>
      </c>
      <c r="D606" s="17">
        <v>1.4E-2</v>
      </c>
    </row>
    <row r="607" spans="1:4" x14ac:dyDescent="0.45">
      <c r="A607" s="14" t="s">
        <v>50</v>
      </c>
      <c r="B607" s="14">
        <v>2003</v>
      </c>
      <c r="C607" s="14" t="s">
        <v>55</v>
      </c>
      <c r="D607" s="15">
        <v>1.7000000000000001E-2</v>
      </c>
    </row>
    <row r="608" spans="1:4" x14ac:dyDescent="0.45">
      <c r="A608" s="16" t="s">
        <v>50</v>
      </c>
      <c r="B608" s="16">
        <v>2002</v>
      </c>
      <c r="C608" s="16" t="s">
        <v>54</v>
      </c>
      <c r="D608" s="17">
        <v>0.379</v>
      </c>
    </row>
    <row r="609" spans="1:4" x14ac:dyDescent="0.45">
      <c r="A609" s="14" t="s">
        <v>50</v>
      </c>
      <c r="B609" s="14">
        <v>2003</v>
      </c>
      <c r="C609" s="14" t="s">
        <v>54</v>
      </c>
      <c r="D609" s="15">
        <v>0.39900000000000002</v>
      </c>
    </row>
    <row r="610" spans="1:4" x14ac:dyDescent="0.45">
      <c r="A610" s="16" t="s">
        <v>50</v>
      </c>
      <c r="B610" s="16">
        <v>2004</v>
      </c>
      <c r="C610" s="16" t="s">
        <v>54</v>
      </c>
      <c r="D610" s="17">
        <v>0.89700000000000002</v>
      </c>
    </row>
    <row r="611" spans="1:4" x14ac:dyDescent="0.45">
      <c r="A611" s="14" t="s">
        <v>50</v>
      </c>
      <c r="B611" s="14">
        <v>2005</v>
      </c>
      <c r="C611" s="14" t="s">
        <v>54</v>
      </c>
      <c r="D611" s="15">
        <v>1.4</v>
      </c>
    </row>
    <row r="612" spans="1:4" x14ac:dyDescent="0.45">
      <c r="A612" s="16" t="s">
        <v>50</v>
      </c>
      <c r="B612" s="16">
        <v>2006</v>
      </c>
      <c r="C612" s="16" t="s">
        <v>54</v>
      </c>
      <c r="D612" s="17">
        <v>1.833</v>
      </c>
    </row>
    <row r="613" spans="1:4" x14ac:dyDescent="0.45">
      <c r="A613" s="14" t="s">
        <v>50</v>
      </c>
      <c r="B613" s="14">
        <v>2007</v>
      </c>
      <c r="C613" s="14" t="s">
        <v>54</v>
      </c>
      <c r="D613" s="15">
        <v>2.36</v>
      </c>
    </row>
    <row r="614" spans="1:4" x14ac:dyDescent="0.45">
      <c r="A614" s="16" t="s">
        <v>50</v>
      </c>
      <c r="B614" s="16">
        <v>2008</v>
      </c>
      <c r="C614" s="16" t="s">
        <v>54</v>
      </c>
      <c r="D614" s="17">
        <v>3.3639999999999999</v>
      </c>
    </row>
    <row r="615" spans="1:4" x14ac:dyDescent="0.45">
      <c r="A615" s="14" t="s">
        <v>50</v>
      </c>
      <c r="B615" s="14">
        <v>2009</v>
      </c>
      <c r="C615" s="14" t="s">
        <v>54</v>
      </c>
      <c r="D615" s="15">
        <v>4.9039999999999999</v>
      </c>
    </row>
    <row r="616" spans="1:4" x14ac:dyDescent="0.45">
      <c r="A616" s="16" t="s">
        <v>50</v>
      </c>
      <c r="B616" s="16">
        <v>2010</v>
      </c>
      <c r="C616" s="16" t="s">
        <v>54</v>
      </c>
      <c r="D616" s="17">
        <v>5.9050000000000002</v>
      </c>
    </row>
    <row r="617" spans="1:4" x14ac:dyDescent="0.45">
      <c r="A617" s="14" t="s">
        <v>50</v>
      </c>
      <c r="B617" s="14">
        <v>2011</v>
      </c>
      <c r="C617" s="14" t="s">
        <v>54</v>
      </c>
      <c r="D617" s="15">
        <v>7.149</v>
      </c>
    </row>
    <row r="618" spans="1:4" x14ac:dyDescent="0.45">
      <c r="A618" s="16" t="s">
        <v>50</v>
      </c>
      <c r="B618" s="16">
        <v>2012</v>
      </c>
      <c r="C618" s="16" t="s">
        <v>54</v>
      </c>
      <c r="D618" s="17">
        <v>9.5289999999999999</v>
      </c>
    </row>
    <row r="619" spans="1:4" x14ac:dyDescent="0.45">
      <c r="A619" s="14" t="s">
        <v>50</v>
      </c>
      <c r="B619" s="14">
        <v>2013</v>
      </c>
      <c r="C619" s="14" t="s">
        <v>54</v>
      </c>
      <c r="D619" s="15">
        <v>7.9320000000000004</v>
      </c>
    </row>
    <row r="620" spans="1:4" x14ac:dyDescent="0.45">
      <c r="A620" s="16" t="s">
        <v>50</v>
      </c>
      <c r="B620" s="16">
        <v>2014</v>
      </c>
      <c r="C620" s="16" t="s">
        <v>54</v>
      </c>
      <c r="D620" s="17">
        <v>9.1609999999999996</v>
      </c>
    </row>
    <row r="621" spans="1:4" x14ac:dyDescent="0.45">
      <c r="A621" s="14" t="s">
        <v>50</v>
      </c>
      <c r="B621" s="14">
        <v>2015</v>
      </c>
      <c r="C621" s="14" t="s">
        <v>54</v>
      </c>
      <c r="D621" s="15">
        <v>9.0259999999999998</v>
      </c>
    </row>
    <row r="622" spans="1:4" x14ac:dyDescent="0.45">
      <c r="A622" s="16" t="s">
        <v>50</v>
      </c>
      <c r="B622" s="16">
        <v>2016</v>
      </c>
      <c r="C622" s="16" t="s">
        <v>54</v>
      </c>
      <c r="D622" s="17">
        <v>6.9130000000000003</v>
      </c>
    </row>
    <row r="623" spans="1:4" x14ac:dyDescent="0.45">
      <c r="A623" s="14" t="s">
        <v>50</v>
      </c>
      <c r="B623" s="14">
        <v>2017</v>
      </c>
      <c r="C623" s="14" t="s">
        <v>54</v>
      </c>
      <c r="D623" s="15">
        <v>5.3085569999999995</v>
      </c>
    </row>
    <row r="624" spans="1:4" x14ac:dyDescent="0.45">
      <c r="A624" s="16" t="s">
        <v>50</v>
      </c>
      <c r="B624" s="16">
        <v>2018</v>
      </c>
      <c r="C624" s="16" t="s">
        <v>54</v>
      </c>
      <c r="D624" s="17">
        <v>5.333221</v>
      </c>
    </row>
    <row r="625" spans="1:4" x14ac:dyDescent="0.45">
      <c r="A625" s="14" t="s">
        <v>50</v>
      </c>
      <c r="B625" s="14">
        <v>2019</v>
      </c>
      <c r="C625" s="14" t="s">
        <v>54</v>
      </c>
      <c r="D625" s="15">
        <v>6.4411519999999998</v>
      </c>
    </row>
    <row r="626" spans="1:4" x14ac:dyDescent="0.45">
      <c r="A626" s="16" t="s">
        <v>50</v>
      </c>
      <c r="B626" s="16">
        <v>2020</v>
      </c>
      <c r="C626" s="16" t="s">
        <v>54</v>
      </c>
      <c r="D626" s="17">
        <v>6.9327550000000002</v>
      </c>
    </row>
    <row r="627" spans="1:4" x14ac:dyDescent="0.45">
      <c r="A627" s="14" t="s">
        <v>50</v>
      </c>
      <c r="B627" s="14">
        <v>2021</v>
      </c>
      <c r="C627" s="14" t="s">
        <v>54</v>
      </c>
      <c r="D627" s="15">
        <v>6.3980449999999998</v>
      </c>
    </row>
    <row r="628" spans="1:4" x14ac:dyDescent="0.45">
      <c r="A628" s="16" t="s">
        <v>50</v>
      </c>
      <c r="B628" s="16">
        <v>2022</v>
      </c>
      <c r="C628" s="16" t="s">
        <v>54</v>
      </c>
      <c r="D628" s="17">
        <v>5.9340979999999997</v>
      </c>
    </row>
    <row r="629" spans="1:4" x14ac:dyDescent="0.45">
      <c r="A629" s="14" t="s">
        <v>50</v>
      </c>
      <c r="B629" s="14">
        <v>2016</v>
      </c>
      <c r="C629" s="14" t="s">
        <v>54</v>
      </c>
      <c r="D629" s="15">
        <v>1.2E-2</v>
      </c>
    </row>
    <row r="630" spans="1:4" x14ac:dyDescent="0.45">
      <c r="A630" s="16" t="s">
        <v>50</v>
      </c>
      <c r="B630" s="16">
        <v>2017</v>
      </c>
      <c r="C630" s="16" t="s">
        <v>54</v>
      </c>
      <c r="D630" s="17">
        <v>8.0668000000000004E-2</v>
      </c>
    </row>
    <row r="631" spans="1:4" x14ac:dyDescent="0.45">
      <c r="A631" s="14" t="s">
        <v>50</v>
      </c>
      <c r="B631" s="14">
        <v>2018</v>
      </c>
      <c r="C631" s="14" t="s">
        <v>54</v>
      </c>
      <c r="D631" s="15">
        <v>8.5023000000000001E-2</v>
      </c>
    </row>
    <row r="632" spans="1:4" x14ac:dyDescent="0.45">
      <c r="A632" s="16" t="s">
        <v>50</v>
      </c>
      <c r="B632" s="16">
        <v>2019</v>
      </c>
      <c r="C632" s="16" t="s">
        <v>54</v>
      </c>
      <c r="D632" s="17">
        <v>0.104834</v>
      </c>
    </row>
    <row r="633" spans="1:4" x14ac:dyDescent="0.45">
      <c r="A633" s="14" t="s">
        <v>50</v>
      </c>
      <c r="B633" s="14">
        <v>2020</v>
      </c>
      <c r="C633" s="14" t="s">
        <v>54</v>
      </c>
      <c r="D633" s="15">
        <v>0.18179400000000001</v>
      </c>
    </row>
    <row r="634" spans="1:4" x14ac:dyDescent="0.45">
      <c r="A634" s="16" t="s">
        <v>50</v>
      </c>
      <c r="B634" s="16">
        <v>2021</v>
      </c>
      <c r="C634" s="16" t="s">
        <v>54</v>
      </c>
      <c r="D634" s="17">
        <v>0.35380700000000004</v>
      </c>
    </row>
    <row r="635" spans="1:4" x14ac:dyDescent="0.45">
      <c r="A635" s="14" t="s">
        <v>50</v>
      </c>
      <c r="B635" s="14">
        <v>2022</v>
      </c>
      <c r="C635" s="14" t="s">
        <v>54</v>
      </c>
      <c r="D635" s="15">
        <v>0.30163000000000001</v>
      </c>
    </row>
    <row r="636" spans="1:4" x14ac:dyDescent="0.45">
      <c r="A636" s="16" t="s">
        <v>50</v>
      </c>
      <c r="B636" s="16">
        <v>2005</v>
      </c>
      <c r="C636" s="16" t="s">
        <v>54</v>
      </c>
      <c r="D636" s="17">
        <v>5.9800000000000001E-4</v>
      </c>
    </row>
    <row r="637" spans="1:4" x14ac:dyDescent="0.45">
      <c r="A637" s="14" t="s">
        <v>50</v>
      </c>
      <c r="B637" s="14">
        <v>2006</v>
      </c>
      <c r="C637" s="14" t="s">
        <v>54</v>
      </c>
      <c r="D637" s="15">
        <v>6.4850000000000003E-3</v>
      </c>
    </row>
    <row r="638" spans="1:4" x14ac:dyDescent="0.45">
      <c r="A638" s="16" t="s">
        <v>50</v>
      </c>
      <c r="B638" s="16">
        <v>2007</v>
      </c>
      <c r="C638" s="16" t="s">
        <v>54</v>
      </c>
      <c r="D638" s="17">
        <v>4.5851999999999997E-2</v>
      </c>
    </row>
    <row r="639" spans="1:4" x14ac:dyDescent="0.45">
      <c r="A639" s="14" t="s">
        <v>50</v>
      </c>
      <c r="B639" s="14">
        <v>2008</v>
      </c>
      <c r="C639" s="14" t="s">
        <v>54</v>
      </c>
      <c r="D639" s="15">
        <v>5.0356000000000005E-2</v>
      </c>
    </row>
    <row r="640" spans="1:4" x14ac:dyDescent="0.45">
      <c r="A640" s="16" t="s">
        <v>50</v>
      </c>
      <c r="B640" s="16">
        <v>2009</v>
      </c>
      <c r="C640" s="16" t="s">
        <v>54</v>
      </c>
      <c r="D640" s="17">
        <v>6.8486000000000005E-2</v>
      </c>
    </row>
    <row r="641" spans="1:4" x14ac:dyDescent="0.45">
      <c r="A641" s="14" t="s">
        <v>50</v>
      </c>
      <c r="B641" s="14">
        <v>2010</v>
      </c>
      <c r="C641" s="14" t="s">
        <v>54</v>
      </c>
      <c r="D641" s="15">
        <v>0.21676900000000002</v>
      </c>
    </row>
    <row r="642" spans="1:4" x14ac:dyDescent="0.45">
      <c r="A642" s="16" t="s">
        <v>50</v>
      </c>
      <c r="B642" s="16">
        <v>2011</v>
      </c>
      <c r="C642" s="16" t="s">
        <v>54</v>
      </c>
      <c r="D642" s="17">
        <v>0.15721199999999999</v>
      </c>
    </row>
    <row r="643" spans="1:4" x14ac:dyDescent="0.45">
      <c r="A643" s="14" t="s">
        <v>50</v>
      </c>
      <c r="B643" s="14">
        <v>2012</v>
      </c>
      <c r="C643" s="14" t="s">
        <v>54</v>
      </c>
      <c r="D643" s="15">
        <v>0.14222100000000001</v>
      </c>
    </row>
    <row r="644" spans="1:4" x14ac:dyDescent="0.45">
      <c r="A644" s="16" t="s">
        <v>50</v>
      </c>
      <c r="B644" s="16">
        <v>2013</v>
      </c>
      <c r="C644" s="16" t="s">
        <v>54</v>
      </c>
      <c r="D644" s="17">
        <v>8.7715999999999988E-2</v>
      </c>
    </row>
    <row r="645" spans="1:4" x14ac:dyDescent="0.45">
      <c r="A645" s="14" t="s">
        <v>50</v>
      </c>
      <c r="B645" s="14">
        <v>2014</v>
      </c>
      <c r="C645" s="14" t="s">
        <v>54</v>
      </c>
      <c r="D645" s="15">
        <v>8.8200999999999988E-2</v>
      </c>
    </row>
    <row r="646" spans="1:4" x14ac:dyDescent="0.45">
      <c r="A646" s="16" t="s">
        <v>50</v>
      </c>
      <c r="B646" s="16">
        <v>2015</v>
      </c>
      <c r="C646" s="16" t="s">
        <v>54</v>
      </c>
      <c r="D646" s="17">
        <v>0.13018299999999999</v>
      </c>
    </row>
    <row r="647" spans="1:4" x14ac:dyDescent="0.45">
      <c r="A647" s="14" t="s">
        <v>50</v>
      </c>
      <c r="B647" s="14">
        <v>2016</v>
      </c>
      <c r="C647" s="14" t="s">
        <v>54</v>
      </c>
      <c r="D647" s="15">
        <v>2.9000000000000001E-2</v>
      </c>
    </row>
    <row r="648" spans="1:4" x14ac:dyDescent="0.45">
      <c r="A648" s="16" t="s">
        <v>50</v>
      </c>
      <c r="B648" s="16">
        <v>2017</v>
      </c>
      <c r="C648" s="16" t="s">
        <v>54</v>
      </c>
      <c r="D648" s="17">
        <v>3.56E-2</v>
      </c>
    </row>
    <row r="649" spans="1:4" x14ac:dyDescent="0.45">
      <c r="A649" s="14" t="s">
        <v>50</v>
      </c>
      <c r="B649" s="14">
        <v>2018</v>
      </c>
      <c r="C649" s="14" t="s">
        <v>54</v>
      </c>
      <c r="D649" s="15">
        <v>3.56E-2</v>
      </c>
    </row>
    <row r="650" spans="1:4" x14ac:dyDescent="0.45">
      <c r="A650" s="16" t="s">
        <v>50</v>
      </c>
      <c r="B650" s="16">
        <v>2019</v>
      </c>
      <c r="C650" s="16" t="s">
        <v>54</v>
      </c>
      <c r="D650" s="17">
        <v>3.56E-2</v>
      </c>
    </row>
    <row r="651" spans="1:4" x14ac:dyDescent="0.45">
      <c r="A651" s="14" t="s">
        <v>50</v>
      </c>
      <c r="B651" s="14">
        <v>2020</v>
      </c>
      <c r="C651" s="14" t="s">
        <v>54</v>
      </c>
      <c r="D651" s="15">
        <v>3.56E-2</v>
      </c>
    </row>
    <row r="652" spans="1:4" x14ac:dyDescent="0.45">
      <c r="A652" s="16" t="s">
        <v>50</v>
      </c>
      <c r="B652" s="16">
        <v>2021</v>
      </c>
      <c r="C652" s="16" t="s">
        <v>54</v>
      </c>
      <c r="D652" s="17">
        <v>3.56E-2</v>
      </c>
    </row>
    <row r="653" spans="1:4" x14ac:dyDescent="0.45">
      <c r="A653" s="14" t="s">
        <v>50</v>
      </c>
      <c r="B653" s="14">
        <v>2022</v>
      </c>
      <c r="C653" s="14" t="s">
        <v>54</v>
      </c>
      <c r="D653" s="15">
        <v>3.56E-2</v>
      </c>
    </row>
    <row r="654" spans="1:4" x14ac:dyDescent="0.45">
      <c r="A654" s="16" t="s">
        <v>50</v>
      </c>
      <c r="B654" s="16">
        <v>2002</v>
      </c>
      <c r="C654" s="16" t="s">
        <v>54</v>
      </c>
      <c r="D654" s="17">
        <v>4.8000000000000001E-2</v>
      </c>
    </row>
    <row r="655" spans="1:4" x14ac:dyDescent="0.45">
      <c r="A655" s="14" t="s">
        <v>50</v>
      </c>
      <c r="B655" s="14">
        <v>2003</v>
      </c>
      <c r="C655" s="14" t="s">
        <v>54</v>
      </c>
      <c r="D655" s="15">
        <v>5.6000000000000001E-2</v>
      </c>
    </row>
    <row r="656" spans="1:4" x14ac:dyDescent="0.45">
      <c r="A656" s="16" t="s">
        <v>50</v>
      </c>
      <c r="B656" s="16">
        <v>2004</v>
      </c>
      <c r="C656" s="16" t="s">
        <v>54</v>
      </c>
      <c r="D656" s="17">
        <v>8.5999999999999993E-2</v>
      </c>
    </row>
    <row r="657" spans="1:4" x14ac:dyDescent="0.45">
      <c r="A657" s="14" t="s">
        <v>50</v>
      </c>
      <c r="B657" s="14">
        <v>2005</v>
      </c>
      <c r="C657" s="14" t="s">
        <v>54</v>
      </c>
      <c r="D657" s="15">
        <v>0.111</v>
      </c>
    </row>
    <row r="658" spans="1:4" x14ac:dyDescent="0.45">
      <c r="A658" s="16" t="s">
        <v>50</v>
      </c>
      <c r="B658" s="16">
        <v>2006</v>
      </c>
      <c r="C658" s="16" t="s">
        <v>54</v>
      </c>
      <c r="D658" s="17">
        <v>0.16</v>
      </c>
    </row>
    <row r="659" spans="1:4" x14ac:dyDescent="0.45">
      <c r="A659" s="14" t="s">
        <v>50</v>
      </c>
      <c r="B659" s="14">
        <v>2007</v>
      </c>
      <c r="C659" s="14" t="s">
        <v>54</v>
      </c>
      <c r="D659" s="15">
        <v>0.19600000000000001</v>
      </c>
    </row>
    <row r="660" spans="1:4" x14ac:dyDescent="0.45">
      <c r="A660" s="16" t="s">
        <v>50</v>
      </c>
      <c r="B660" s="16">
        <v>2008</v>
      </c>
      <c r="C660" s="16" t="s">
        <v>54</v>
      </c>
      <c r="D660" s="17">
        <v>0.255</v>
      </c>
    </row>
    <row r="661" spans="1:4" x14ac:dyDescent="0.45">
      <c r="A661" s="14" t="s">
        <v>50</v>
      </c>
      <c r="B661" s="14">
        <v>2009</v>
      </c>
      <c r="C661" s="14" t="s">
        <v>54</v>
      </c>
      <c r="D661" s="15">
        <v>0.31900000000000001</v>
      </c>
    </row>
    <row r="662" spans="1:4" x14ac:dyDescent="0.45">
      <c r="A662" s="16" t="s">
        <v>50</v>
      </c>
      <c r="B662" s="16">
        <v>2010</v>
      </c>
      <c r="C662" s="16" t="s">
        <v>54</v>
      </c>
      <c r="D662" s="17">
        <v>0.39800000000000002</v>
      </c>
    </row>
    <row r="663" spans="1:4" x14ac:dyDescent="0.45">
      <c r="A663" s="14" t="s">
        <v>50</v>
      </c>
      <c r="B663" s="14">
        <v>2011</v>
      </c>
      <c r="C663" s="14" t="s">
        <v>54</v>
      </c>
      <c r="D663" s="15">
        <v>0.45100000000000001</v>
      </c>
    </row>
    <row r="664" spans="1:4" x14ac:dyDescent="0.45">
      <c r="A664" s="16" t="s">
        <v>50</v>
      </c>
      <c r="B664" s="16">
        <v>2012</v>
      </c>
      <c r="C664" s="16" t="s">
        <v>54</v>
      </c>
      <c r="D664" s="17">
        <v>0.56499999999999995</v>
      </c>
    </row>
    <row r="665" spans="1:4" x14ac:dyDescent="0.45">
      <c r="A665" s="14" t="s">
        <v>50</v>
      </c>
      <c r="B665" s="14">
        <v>2013</v>
      </c>
      <c r="C665" s="14" t="s">
        <v>54</v>
      </c>
      <c r="D665" s="15">
        <v>0.69</v>
      </c>
    </row>
    <row r="666" spans="1:4" x14ac:dyDescent="0.45">
      <c r="A666" s="16" t="s">
        <v>50</v>
      </c>
      <c r="B666" s="16">
        <v>2014</v>
      </c>
      <c r="C666" s="16" t="s">
        <v>54</v>
      </c>
      <c r="D666" s="17">
        <v>0.81599999999999995</v>
      </c>
    </row>
    <row r="667" spans="1:4" x14ac:dyDescent="0.45">
      <c r="A667" s="14" t="s">
        <v>50</v>
      </c>
      <c r="B667" s="14">
        <v>2015</v>
      </c>
      <c r="C667" s="14" t="s">
        <v>54</v>
      </c>
      <c r="D667" s="15">
        <v>0.90600000000000003</v>
      </c>
    </row>
    <row r="668" spans="1:4" x14ac:dyDescent="0.45">
      <c r="A668" s="16" t="s">
        <v>50</v>
      </c>
      <c r="B668" s="16">
        <v>2016</v>
      </c>
      <c r="C668" s="16" t="s">
        <v>54</v>
      </c>
      <c r="D668" s="17">
        <v>1.0269999999999999</v>
      </c>
    </row>
    <row r="669" spans="1:4" x14ac:dyDescent="0.45">
      <c r="A669" s="14" t="s">
        <v>50</v>
      </c>
      <c r="B669" s="14">
        <v>2017</v>
      </c>
      <c r="C669" s="14" t="s">
        <v>54</v>
      </c>
      <c r="D669" s="15">
        <v>1.09643</v>
      </c>
    </row>
    <row r="670" spans="1:4" x14ac:dyDescent="0.45">
      <c r="A670" s="16" t="s">
        <v>50</v>
      </c>
      <c r="B670" s="16">
        <v>2018</v>
      </c>
      <c r="C670" s="16" t="s">
        <v>54</v>
      </c>
      <c r="D670" s="17">
        <v>1.127623</v>
      </c>
    </row>
    <row r="671" spans="1:4" x14ac:dyDescent="0.45">
      <c r="A671" s="14" t="s">
        <v>50</v>
      </c>
      <c r="B671" s="14">
        <v>2019</v>
      </c>
      <c r="C671" s="14" t="s">
        <v>54</v>
      </c>
      <c r="D671" s="15">
        <v>1.1350100000000001</v>
      </c>
    </row>
    <row r="672" spans="1:4" x14ac:dyDescent="0.45">
      <c r="A672" s="16" t="s">
        <v>50</v>
      </c>
      <c r="B672" s="16">
        <v>2020</v>
      </c>
      <c r="C672" s="16" t="s">
        <v>54</v>
      </c>
      <c r="D672" s="17">
        <v>1.2338530000000001</v>
      </c>
    </row>
    <row r="673" spans="1:4" x14ac:dyDescent="0.45">
      <c r="A673" s="14" t="s">
        <v>50</v>
      </c>
      <c r="B673" s="14">
        <v>2021</v>
      </c>
      <c r="C673" s="14" t="s">
        <v>54</v>
      </c>
      <c r="D673" s="15">
        <v>1.3073330000000001</v>
      </c>
    </row>
    <row r="674" spans="1:4" x14ac:dyDescent="0.45">
      <c r="A674" s="16" t="s">
        <v>50</v>
      </c>
      <c r="B674" s="16">
        <v>2022</v>
      </c>
      <c r="C674" s="16" t="s">
        <v>54</v>
      </c>
      <c r="D674" s="17">
        <v>1.394169</v>
      </c>
    </row>
    <row r="675" spans="1:4" x14ac:dyDescent="0.45">
      <c r="A675" s="14" t="s">
        <v>50</v>
      </c>
      <c r="B675" s="14">
        <v>2000</v>
      </c>
      <c r="C675" s="14" t="s">
        <v>54</v>
      </c>
      <c r="D675" s="15">
        <v>0.19</v>
      </c>
    </row>
    <row r="676" spans="1:4" x14ac:dyDescent="0.45">
      <c r="A676" s="16" t="s">
        <v>50</v>
      </c>
      <c r="B676" s="16">
        <v>2001</v>
      </c>
      <c r="C676" s="16" t="s">
        <v>54</v>
      </c>
      <c r="D676" s="17">
        <v>0.40200000000000002</v>
      </c>
    </row>
    <row r="677" spans="1:4" x14ac:dyDescent="0.45">
      <c r="A677" s="14" t="s">
        <v>50</v>
      </c>
      <c r="B677" s="14">
        <v>2000</v>
      </c>
      <c r="C677" s="14" t="s">
        <v>54</v>
      </c>
      <c r="D677" s="15">
        <v>3.1E-2</v>
      </c>
    </row>
    <row r="678" spans="1:4" x14ac:dyDescent="0.45">
      <c r="A678" s="16" t="s">
        <v>50</v>
      </c>
      <c r="B678" s="16">
        <v>2001</v>
      </c>
      <c r="C678" s="16" t="s">
        <v>54</v>
      </c>
      <c r="D678" s="17">
        <v>4.2000000000000003E-2</v>
      </c>
    </row>
    <row r="679" spans="1:4" x14ac:dyDescent="0.45">
      <c r="A679" s="14" t="s">
        <v>57</v>
      </c>
      <c r="B679" s="14">
        <v>2000</v>
      </c>
      <c r="C679" s="14" t="s">
        <v>54</v>
      </c>
      <c r="D679" s="15">
        <v>9.6999999999999993</v>
      </c>
    </row>
    <row r="680" spans="1:4" x14ac:dyDescent="0.45">
      <c r="A680" s="16" t="s">
        <v>58</v>
      </c>
      <c r="B680" s="16">
        <v>2000</v>
      </c>
      <c r="C680" s="16" t="s">
        <v>54</v>
      </c>
      <c r="D680" s="17">
        <v>3.3</v>
      </c>
    </row>
    <row r="681" spans="1:4" x14ac:dyDescent="0.45">
      <c r="A681" s="14" t="s">
        <v>57</v>
      </c>
      <c r="B681" s="14">
        <v>2001</v>
      </c>
      <c r="C681" s="14" t="s">
        <v>54</v>
      </c>
      <c r="D681" s="15">
        <v>11</v>
      </c>
    </row>
    <row r="682" spans="1:4" x14ac:dyDescent="0.45">
      <c r="A682" s="16" t="s">
        <v>58</v>
      </c>
      <c r="B682" s="16">
        <v>2001</v>
      </c>
      <c r="C682" s="16" t="s">
        <v>54</v>
      </c>
      <c r="D682" s="17">
        <v>4.3</v>
      </c>
    </row>
    <row r="683" spans="1:4" x14ac:dyDescent="0.45">
      <c r="A683" s="14" t="s">
        <v>57</v>
      </c>
      <c r="B683" s="14">
        <v>2002</v>
      </c>
      <c r="C683" s="14" t="s">
        <v>54</v>
      </c>
      <c r="D683" s="15">
        <v>11.5</v>
      </c>
    </row>
    <row r="684" spans="1:4" x14ac:dyDescent="0.45">
      <c r="A684" s="16" t="s">
        <v>58</v>
      </c>
      <c r="B684" s="16">
        <v>2002</v>
      </c>
      <c r="C684" s="16" t="s">
        <v>54</v>
      </c>
      <c r="D684" s="17">
        <v>4.5</v>
      </c>
    </row>
    <row r="685" spans="1:4" x14ac:dyDescent="0.45">
      <c r="A685" s="14" t="s">
        <v>57</v>
      </c>
      <c r="B685" s="14">
        <v>2003</v>
      </c>
      <c r="C685" s="14" t="s">
        <v>54</v>
      </c>
      <c r="D685" s="15">
        <v>15.1</v>
      </c>
    </row>
    <row r="686" spans="1:4" x14ac:dyDescent="0.45">
      <c r="A686" s="16" t="s">
        <v>58</v>
      </c>
      <c r="B686" s="16">
        <v>2003</v>
      </c>
      <c r="C686" s="16" t="s">
        <v>54</v>
      </c>
      <c r="D686" s="17">
        <v>5</v>
      </c>
    </row>
    <row r="687" spans="1:4" x14ac:dyDescent="0.45">
      <c r="A687" s="14" t="s">
        <v>57</v>
      </c>
      <c r="B687" s="14">
        <v>2004</v>
      </c>
      <c r="C687" s="14" t="s">
        <v>54</v>
      </c>
      <c r="D687" s="15">
        <v>14.6</v>
      </c>
    </row>
    <row r="688" spans="1:4" x14ac:dyDescent="0.45">
      <c r="A688" s="16" t="s">
        <v>58</v>
      </c>
      <c r="B688" s="16">
        <v>2004</v>
      </c>
      <c r="C688" s="16" t="s">
        <v>54</v>
      </c>
      <c r="D688" s="17">
        <v>5.3</v>
      </c>
    </row>
    <row r="689" spans="1:4" x14ac:dyDescent="0.45">
      <c r="A689" s="14" t="s">
        <v>57</v>
      </c>
      <c r="B689" s="14">
        <v>2005</v>
      </c>
      <c r="C689" s="14" t="s">
        <v>54</v>
      </c>
      <c r="D689" s="15">
        <v>16.2</v>
      </c>
    </row>
    <row r="690" spans="1:4" x14ac:dyDescent="0.45">
      <c r="A690" s="16" t="s">
        <v>58</v>
      </c>
      <c r="B690" s="16">
        <v>2005</v>
      </c>
      <c r="C690" s="16" t="s">
        <v>54</v>
      </c>
      <c r="D690" s="17">
        <v>5</v>
      </c>
    </row>
    <row r="691" spans="1:4" x14ac:dyDescent="0.45">
      <c r="A691" s="14" t="s">
        <v>57</v>
      </c>
      <c r="B691" s="14">
        <v>2006</v>
      </c>
      <c r="C691" s="14" t="s">
        <v>54</v>
      </c>
      <c r="D691" s="15">
        <v>15.8</v>
      </c>
    </row>
    <row r="692" spans="1:4" x14ac:dyDescent="0.45">
      <c r="A692" s="16" t="s">
        <v>58</v>
      </c>
      <c r="B692" s="16">
        <v>2006</v>
      </c>
      <c r="C692" s="16" t="s">
        <v>54</v>
      </c>
      <c r="D692" s="17">
        <v>4.8</v>
      </c>
    </row>
    <row r="693" spans="1:4" x14ac:dyDescent="0.45">
      <c r="A693" s="14" t="s">
        <v>57</v>
      </c>
      <c r="B693" s="14">
        <v>2007</v>
      </c>
      <c r="C693" s="14" t="s">
        <v>54</v>
      </c>
      <c r="D693" s="15">
        <v>13.1</v>
      </c>
    </row>
    <row r="694" spans="1:4" x14ac:dyDescent="0.45">
      <c r="A694" s="16" t="s">
        <v>58</v>
      </c>
      <c r="B694" s="16">
        <v>2007</v>
      </c>
      <c r="C694" s="16" t="s">
        <v>54</v>
      </c>
      <c r="D694" s="17">
        <v>7.8</v>
      </c>
    </row>
    <row r="695" spans="1:4" x14ac:dyDescent="0.45">
      <c r="A695" s="14" t="s">
        <v>57</v>
      </c>
      <c r="B695" s="14">
        <v>2008</v>
      </c>
      <c r="C695" s="14" t="s">
        <v>54</v>
      </c>
      <c r="D695" s="15">
        <v>9.6999999999999993</v>
      </c>
    </row>
    <row r="696" spans="1:4" x14ac:dyDescent="0.45">
      <c r="A696" s="16" t="s">
        <v>58</v>
      </c>
      <c r="B696" s="16">
        <v>2008</v>
      </c>
      <c r="C696" s="16" t="s">
        <v>54</v>
      </c>
      <c r="D696" s="17">
        <v>9</v>
      </c>
    </row>
    <row r="697" spans="1:4" x14ac:dyDescent="0.45">
      <c r="A697" s="14" t="s">
        <v>57</v>
      </c>
      <c r="B697" s="14">
        <v>2009</v>
      </c>
      <c r="C697" s="14" t="s">
        <v>54</v>
      </c>
      <c r="D697" s="15">
        <v>9.6</v>
      </c>
    </row>
    <row r="698" spans="1:4" x14ac:dyDescent="0.45">
      <c r="A698" s="16" t="s">
        <v>58</v>
      </c>
      <c r="B698" s="16">
        <v>2009</v>
      </c>
      <c r="C698" s="16" t="s">
        <v>54</v>
      </c>
      <c r="D698" s="17">
        <v>7.4</v>
      </c>
    </row>
    <row r="699" spans="1:4" x14ac:dyDescent="0.45">
      <c r="A699" s="14" t="s">
        <v>57</v>
      </c>
      <c r="B699" s="14">
        <v>2010</v>
      </c>
      <c r="C699" s="14" t="s">
        <v>54</v>
      </c>
      <c r="D699" s="15">
        <v>7.7</v>
      </c>
    </row>
    <row r="700" spans="1:4" x14ac:dyDescent="0.45">
      <c r="A700" s="16" t="s">
        <v>58</v>
      </c>
      <c r="B700" s="16">
        <v>2010</v>
      </c>
      <c r="C700" s="16" t="s">
        <v>54</v>
      </c>
      <c r="D700" s="17">
        <v>6.3</v>
      </c>
    </row>
    <row r="701" spans="1:4" x14ac:dyDescent="0.45">
      <c r="A701" s="14" t="s">
        <v>57</v>
      </c>
      <c r="B701" s="14">
        <v>2011</v>
      </c>
      <c r="C701" s="14" t="s">
        <v>54</v>
      </c>
      <c r="D701" s="15">
        <v>12</v>
      </c>
    </row>
    <row r="702" spans="1:4" x14ac:dyDescent="0.45">
      <c r="A702" s="16" t="s">
        <v>58</v>
      </c>
      <c r="B702" s="16">
        <v>2011</v>
      </c>
      <c r="C702" s="16" t="s">
        <v>54</v>
      </c>
      <c r="D702" s="17">
        <v>6.8</v>
      </c>
    </row>
    <row r="703" spans="1:4" x14ac:dyDescent="0.45">
      <c r="A703" s="14" t="s">
        <v>57</v>
      </c>
      <c r="B703" s="14">
        <v>2012</v>
      </c>
      <c r="C703" s="14" t="s">
        <v>54</v>
      </c>
      <c r="D703" s="15">
        <v>12.6</v>
      </c>
    </row>
    <row r="704" spans="1:4" x14ac:dyDescent="0.45">
      <c r="A704" s="16" t="s">
        <v>58</v>
      </c>
      <c r="B704" s="16">
        <v>2012</v>
      </c>
      <c r="C704" s="16" t="s">
        <v>54</v>
      </c>
      <c r="D704" s="17">
        <v>9.8000000000000007</v>
      </c>
    </row>
    <row r="705" spans="1:4" x14ac:dyDescent="0.45">
      <c r="A705" s="14" t="s">
        <v>57</v>
      </c>
      <c r="B705" s="14">
        <v>2013</v>
      </c>
      <c r="C705" s="14" t="s">
        <v>54</v>
      </c>
      <c r="D705" s="15">
        <v>12.3</v>
      </c>
    </row>
    <row r="706" spans="1:4" x14ac:dyDescent="0.45">
      <c r="A706" s="16" t="s">
        <v>58</v>
      </c>
      <c r="B706" s="16">
        <v>2013</v>
      </c>
      <c r="C706" s="16" t="s">
        <v>54</v>
      </c>
      <c r="D706" s="17">
        <v>7.8</v>
      </c>
    </row>
    <row r="707" spans="1:4" x14ac:dyDescent="0.45">
      <c r="A707" s="14" t="s">
        <v>57</v>
      </c>
      <c r="B707" s="14">
        <v>2014</v>
      </c>
      <c r="C707" s="14" t="s">
        <v>54</v>
      </c>
      <c r="D707" s="15">
        <v>11.3</v>
      </c>
    </row>
    <row r="708" spans="1:4" x14ac:dyDescent="0.45">
      <c r="A708" s="16" t="s">
        <v>58</v>
      </c>
      <c r="B708" s="16">
        <v>2014</v>
      </c>
      <c r="C708" s="16" t="s">
        <v>54</v>
      </c>
      <c r="D708" s="17">
        <v>13.5</v>
      </c>
    </row>
    <row r="709" spans="1:4" x14ac:dyDescent="0.45">
      <c r="A709" s="14" t="s">
        <v>57</v>
      </c>
      <c r="B709" s="14">
        <v>2015</v>
      </c>
      <c r="C709" s="14" t="s">
        <v>54</v>
      </c>
      <c r="D709" s="15">
        <v>14.8</v>
      </c>
    </row>
    <row r="710" spans="1:4" x14ac:dyDescent="0.45">
      <c r="A710" s="16" t="s">
        <v>58</v>
      </c>
      <c r="B710" s="16">
        <v>2015</v>
      </c>
      <c r="C710" s="16" t="s">
        <v>54</v>
      </c>
      <c r="D710" s="17">
        <v>14.5</v>
      </c>
    </row>
    <row r="711" spans="1:4" x14ac:dyDescent="0.45">
      <c r="A711" s="14" t="s">
        <v>57</v>
      </c>
      <c r="B711" s="14">
        <v>2016</v>
      </c>
      <c r="C711" s="14" t="s">
        <v>54</v>
      </c>
      <c r="D711" s="15">
        <v>12</v>
      </c>
    </row>
    <row r="712" spans="1:4" x14ac:dyDescent="0.45">
      <c r="A712" s="16" t="s">
        <v>58</v>
      </c>
      <c r="B712" s="16">
        <v>2016</v>
      </c>
      <c r="C712" s="16" t="s">
        <v>54</v>
      </c>
      <c r="D712" s="17">
        <v>14</v>
      </c>
    </row>
    <row r="713" spans="1:4" x14ac:dyDescent="0.45">
      <c r="A713" s="14" t="s">
        <v>57</v>
      </c>
      <c r="B713" s="14">
        <v>2017</v>
      </c>
      <c r="C713" s="14" t="s">
        <v>54</v>
      </c>
      <c r="D713" s="15">
        <v>11</v>
      </c>
    </row>
    <row r="714" spans="1:4" x14ac:dyDescent="0.45">
      <c r="A714" s="16" t="s">
        <v>58</v>
      </c>
      <c r="B714" s="16">
        <v>2017</v>
      </c>
      <c r="C714" s="16" t="s">
        <v>54</v>
      </c>
      <c r="D714" s="17">
        <v>13.3</v>
      </c>
    </row>
    <row r="715" spans="1:4" x14ac:dyDescent="0.45">
      <c r="A715" s="14" t="s">
        <v>57</v>
      </c>
      <c r="B715" s="14">
        <v>2018</v>
      </c>
      <c r="C715" s="14" t="s">
        <v>54</v>
      </c>
      <c r="D715" s="15">
        <v>8.1</v>
      </c>
    </row>
    <row r="716" spans="1:4" x14ac:dyDescent="0.45">
      <c r="A716" s="16" t="s">
        <v>58</v>
      </c>
      <c r="B716" s="16">
        <v>2018</v>
      </c>
      <c r="C716" s="16" t="s">
        <v>54</v>
      </c>
      <c r="D716" s="17">
        <v>13.8</v>
      </c>
    </row>
    <row r="717" spans="1:4" x14ac:dyDescent="0.45">
      <c r="A717" s="14" t="s">
        <v>57</v>
      </c>
      <c r="B717" s="14">
        <v>2019</v>
      </c>
      <c r="C717" s="14" t="s">
        <v>54</v>
      </c>
      <c r="D717" s="15">
        <v>7.2</v>
      </c>
    </row>
    <row r="718" spans="1:4" x14ac:dyDescent="0.45">
      <c r="A718" s="16" t="s">
        <v>58</v>
      </c>
      <c r="B718" s="16">
        <v>2019</v>
      </c>
      <c r="C718" s="16" t="s">
        <v>54</v>
      </c>
      <c r="D718" s="17">
        <v>17.899999999999999</v>
      </c>
    </row>
    <row r="719" spans="1:4" x14ac:dyDescent="0.45">
      <c r="A719" s="14" t="s">
        <v>57</v>
      </c>
      <c r="B719" s="14">
        <v>2020</v>
      </c>
      <c r="C719" s="14" t="s">
        <v>54</v>
      </c>
      <c r="D719" s="15">
        <v>7.4</v>
      </c>
    </row>
    <row r="720" spans="1:4" x14ac:dyDescent="0.45">
      <c r="A720" s="16" t="s">
        <v>58</v>
      </c>
      <c r="B720" s="16">
        <v>2020</v>
      </c>
      <c r="C720" s="16" t="s">
        <v>54</v>
      </c>
      <c r="D720" s="17">
        <v>20.6</v>
      </c>
    </row>
    <row r="721" spans="1:4" x14ac:dyDescent="0.45">
      <c r="A721" s="14" t="s">
        <v>57</v>
      </c>
      <c r="B721" s="14">
        <v>2021</v>
      </c>
      <c r="C721" s="14" t="s">
        <v>54</v>
      </c>
      <c r="D721" s="15">
        <v>14.2</v>
      </c>
    </row>
    <row r="722" spans="1:4" x14ac:dyDescent="0.45">
      <c r="A722" s="16" t="s">
        <v>58</v>
      </c>
      <c r="B722" s="16">
        <v>2021</v>
      </c>
      <c r="C722" s="16" t="s">
        <v>54</v>
      </c>
      <c r="D722" s="17">
        <v>15.1</v>
      </c>
    </row>
    <row r="723" spans="1:4" x14ac:dyDescent="0.45">
      <c r="A723" s="14" t="s">
        <v>57</v>
      </c>
      <c r="B723" s="14">
        <v>2022</v>
      </c>
      <c r="C723" s="14" t="s">
        <v>54</v>
      </c>
      <c r="D723" s="15">
        <v>16.899999999999999</v>
      </c>
    </row>
    <row r="724" spans="1:4" x14ac:dyDescent="0.45">
      <c r="A724" s="16" t="s">
        <v>58</v>
      </c>
      <c r="B724" s="16">
        <v>2022</v>
      </c>
      <c r="C724" s="16" t="s">
        <v>54</v>
      </c>
      <c r="D724" s="17">
        <v>15.2</v>
      </c>
    </row>
    <row r="725" spans="1:4" x14ac:dyDescent="0.45">
      <c r="A725" s="14" t="s">
        <v>57</v>
      </c>
      <c r="B725" s="14">
        <v>2023</v>
      </c>
      <c r="C725" s="14" t="s">
        <v>54</v>
      </c>
      <c r="D725" s="15">
        <v>11.4</v>
      </c>
    </row>
    <row r="726" spans="1:4" x14ac:dyDescent="0.45">
      <c r="A726" s="16" t="s">
        <v>58</v>
      </c>
      <c r="B726" s="16">
        <v>2023</v>
      </c>
      <c r="C726" s="16" t="s">
        <v>54</v>
      </c>
      <c r="D726" s="17">
        <v>15.1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5D2B94-EE53-43DB-9145-C1F7B53AAA88}">
  <dimension ref="A1:I54"/>
  <sheetViews>
    <sheetView tabSelected="1" workbookViewId="0"/>
  </sheetViews>
  <sheetFormatPr defaultRowHeight="14.25" x14ac:dyDescent="0.45"/>
  <sheetData>
    <row r="1" spans="1:9" x14ac:dyDescent="0.45">
      <c r="C1" t="s">
        <v>1529</v>
      </c>
    </row>
    <row r="3" spans="1:9" x14ac:dyDescent="0.45">
      <c r="C3" t="s">
        <v>37</v>
      </c>
      <c r="G3" t="s">
        <v>1530</v>
      </c>
    </row>
    <row r="4" spans="1:9" x14ac:dyDescent="0.45">
      <c r="A4" t="s">
        <v>1526</v>
      </c>
      <c r="B4" t="s">
        <v>71</v>
      </c>
      <c r="C4" t="s">
        <v>14</v>
      </c>
      <c r="D4" t="s">
        <v>1531</v>
      </c>
      <c r="E4" t="s">
        <v>1532</v>
      </c>
      <c r="G4" t="s">
        <v>71</v>
      </c>
      <c r="H4" t="s">
        <v>2</v>
      </c>
      <c r="I4" t="s">
        <v>1531</v>
      </c>
    </row>
    <row r="5" spans="1:9" x14ac:dyDescent="0.45">
      <c r="A5" t="s">
        <v>1533</v>
      </c>
      <c r="B5" t="s">
        <v>1534</v>
      </c>
      <c r="C5" t="s">
        <v>1535</v>
      </c>
      <c r="D5">
        <v>1</v>
      </c>
      <c r="E5">
        <v>2</v>
      </c>
      <c r="G5" t="s">
        <v>1534</v>
      </c>
      <c r="H5" t="s">
        <v>1535</v>
      </c>
      <c r="I5">
        <v>-1</v>
      </c>
    </row>
    <row r="6" spans="1:9" x14ac:dyDescent="0.45">
      <c r="A6" t="s">
        <v>1533</v>
      </c>
      <c r="B6" t="s">
        <v>1536</v>
      </c>
      <c r="C6" t="s">
        <v>1537</v>
      </c>
      <c r="D6">
        <v>1</v>
      </c>
      <c r="E6">
        <v>2</v>
      </c>
      <c r="G6" t="s">
        <v>1536</v>
      </c>
      <c r="H6" t="s">
        <v>1537</v>
      </c>
      <c r="I6">
        <v>-1</v>
      </c>
    </row>
    <row r="7" spans="1:9" x14ac:dyDescent="0.45">
      <c r="A7" t="s">
        <v>1533</v>
      </c>
      <c r="B7" t="s">
        <v>1538</v>
      </c>
      <c r="C7" t="s">
        <v>1539</v>
      </c>
      <c r="D7">
        <v>1</v>
      </c>
      <c r="E7">
        <v>2</v>
      </c>
      <c r="G7" t="s">
        <v>1538</v>
      </c>
      <c r="H7" t="s">
        <v>1539</v>
      </c>
      <c r="I7">
        <v>-1</v>
      </c>
    </row>
    <row r="8" spans="1:9" x14ac:dyDescent="0.45">
      <c r="A8" t="s">
        <v>1533</v>
      </c>
      <c r="B8" t="s">
        <v>1540</v>
      </c>
      <c r="C8" t="s">
        <v>1541</v>
      </c>
      <c r="D8">
        <v>1</v>
      </c>
      <c r="E8">
        <v>2</v>
      </c>
      <c r="G8" t="s">
        <v>1540</v>
      </c>
      <c r="H8" t="s">
        <v>1541</v>
      </c>
      <c r="I8">
        <v>-1</v>
      </c>
    </row>
    <row r="9" spans="1:9" x14ac:dyDescent="0.45">
      <c r="A9" t="s">
        <v>1533</v>
      </c>
      <c r="B9" t="s">
        <v>1542</v>
      </c>
      <c r="C9" t="s">
        <v>1543</v>
      </c>
      <c r="D9">
        <v>1</v>
      </c>
      <c r="E9">
        <v>2</v>
      </c>
      <c r="G9" t="s">
        <v>1542</v>
      </c>
      <c r="H9" t="s">
        <v>1543</v>
      </c>
      <c r="I9">
        <v>-1</v>
      </c>
    </row>
    <row r="10" spans="1:9" x14ac:dyDescent="0.45">
      <c r="A10" t="s">
        <v>1533</v>
      </c>
      <c r="B10" t="s">
        <v>1544</v>
      </c>
      <c r="C10" t="s">
        <v>1545</v>
      </c>
      <c r="D10">
        <v>1</v>
      </c>
      <c r="E10">
        <v>2</v>
      </c>
      <c r="G10" t="s">
        <v>1544</v>
      </c>
      <c r="H10" t="s">
        <v>1545</v>
      </c>
      <c r="I10">
        <v>-1</v>
      </c>
    </row>
    <row r="11" spans="1:9" x14ac:dyDescent="0.45">
      <c r="A11" t="s">
        <v>1533</v>
      </c>
      <c r="B11" t="s">
        <v>1546</v>
      </c>
      <c r="C11" t="s">
        <v>1547</v>
      </c>
      <c r="D11">
        <v>1</v>
      </c>
      <c r="E11">
        <v>2</v>
      </c>
      <c r="G11" t="s">
        <v>1546</v>
      </c>
      <c r="H11" t="s">
        <v>1547</v>
      </c>
      <c r="I11">
        <v>-1</v>
      </c>
    </row>
    <row r="12" spans="1:9" x14ac:dyDescent="0.45">
      <c r="A12" t="s">
        <v>1533</v>
      </c>
      <c r="B12" t="s">
        <v>1548</v>
      </c>
      <c r="C12" t="s">
        <v>1549</v>
      </c>
      <c r="D12">
        <v>1</v>
      </c>
      <c r="E12">
        <v>2</v>
      </c>
      <c r="G12" t="s">
        <v>1548</v>
      </c>
      <c r="H12" t="s">
        <v>1549</v>
      </c>
      <c r="I12">
        <v>-1</v>
      </c>
    </row>
    <row r="13" spans="1:9" x14ac:dyDescent="0.45">
      <c r="A13" t="s">
        <v>1533</v>
      </c>
      <c r="B13" t="s">
        <v>1550</v>
      </c>
      <c r="C13" t="s">
        <v>1551</v>
      </c>
      <c r="D13">
        <v>1</v>
      </c>
      <c r="E13">
        <v>2</v>
      </c>
      <c r="G13" t="s">
        <v>1550</v>
      </c>
      <c r="H13" t="s">
        <v>1551</v>
      </c>
      <c r="I13">
        <v>-1</v>
      </c>
    </row>
    <row r="14" spans="1:9" x14ac:dyDescent="0.45">
      <c r="A14" t="s">
        <v>1533</v>
      </c>
      <c r="B14" t="s">
        <v>1552</v>
      </c>
      <c r="C14" t="s">
        <v>1553</v>
      </c>
      <c r="D14">
        <v>1</v>
      </c>
      <c r="E14">
        <v>2</v>
      </c>
      <c r="G14" t="s">
        <v>1552</v>
      </c>
      <c r="H14" t="s">
        <v>1553</v>
      </c>
      <c r="I14">
        <v>-1</v>
      </c>
    </row>
    <row r="15" spans="1:9" x14ac:dyDescent="0.45">
      <c r="A15" t="s">
        <v>1533</v>
      </c>
      <c r="B15" t="s">
        <v>1554</v>
      </c>
      <c r="C15" t="s">
        <v>1555</v>
      </c>
      <c r="D15">
        <v>1</v>
      </c>
      <c r="E15">
        <v>2</v>
      </c>
      <c r="G15" t="s">
        <v>1554</v>
      </c>
      <c r="H15" t="s">
        <v>1555</v>
      </c>
      <c r="I15">
        <v>-1</v>
      </c>
    </row>
    <row r="16" spans="1:9" x14ac:dyDescent="0.45">
      <c r="A16" t="s">
        <v>1533</v>
      </c>
      <c r="B16" t="s">
        <v>1556</v>
      </c>
      <c r="C16" t="s">
        <v>1557</v>
      </c>
      <c r="D16">
        <v>1</v>
      </c>
      <c r="E16">
        <v>2</v>
      </c>
      <c r="G16" t="s">
        <v>1556</v>
      </c>
      <c r="H16" t="s">
        <v>1557</v>
      </c>
      <c r="I16">
        <v>-1</v>
      </c>
    </row>
    <row r="17" spans="1:9" x14ac:dyDescent="0.45">
      <c r="A17" t="s">
        <v>1533</v>
      </c>
      <c r="B17" t="s">
        <v>1558</v>
      </c>
      <c r="C17" t="s">
        <v>1559</v>
      </c>
      <c r="D17">
        <v>1</v>
      </c>
      <c r="E17">
        <v>2</v>
      </c>
      <c r="G17" t="s">
        <v>1558</v>
      </c>
      <c r="H17" t="s">
        <v>1559</v>
      </c>
      <c r="I17">
        <v>-1</v>
      </c>
    </row>
    <row r="18" spans="1:9" x14ac:dyDescent="0.45">
      <c r="A18" t="s">
        <v>1533</v>
      </c>
      <c r="B18" t="s">
        <v>1560</v>
      </c>
      <c r="C18" t="s">
        <v>1561</v>
      </c>
      <c r="D18">
        <v>1</v>
      </c>
      <c r="E18">
        <v>2</v>
      </c>
      <c r="G18" t="s">
        <v>1560</v>
      </c>
      <c r="H18" t="s">
        <v>1561</v>
      </c>
      <c r="I18">
        <v>-1</v>
      </c>
    </row>
    <row r="19" spans="1:9" x14ac:dyDescent="0.45">
      <c r="A19" t="s">
        <v>1533</v>
      </c>
      <c r="B19" t="s">
        <v>1562</v>
      </c>
      <c r="C19" t="s">
        <v>1563</v>
      </c>
      <c r="D19">
        <v>1</v>
      </c>
      <c r="E19">
        <v>2</v>
      </c>
      <c r="G19" t="s">
        <v>1562</v>
      </c>
      <c r="H19" t="s">
        <v>1563</v>
      </c>
      <c r="I19">
        <v>-1</v>
      </c>
    </row>
    <row r="20" spans="1:9" x14ac:dyDescent="0.45">
      <c r="A20" t="s">
        <v>1533</v>
      </c>
      <c r="B20" t="s">
        <v>1564</v>
      </c>
      <c r="C20" t="s">
        <v>1565</v>
      </c>
      <c r="D20">
        <v>1</v>
      </c>
      <c r="E20">
        <v>2</v>
      </c>
      <c r="G20" t="s">
        <v>1564</v>
      </c>
      <c r="H20" t="s">
        <v>1565</v>
      </c>
      <c r="I20">
        <v>-1</v>
      </c>
    </row>
    <row r="21" spans="1:9" x14ac:dyDescent="0.45">
      <c r="A21" t="s">
        <v>1533</v>
      </c>
      <c r="B21" t="s">
        <v>1566</v>
      </c>
      <c r="C21" t="s">
        <v>1567</v>
      </c>
      <c r="D21">
        <v>1</v>
      </c>
      <c r="E21">
        <v>2</v>
      </c>
      <c r="G21" t="s">
        <v>1566</v>
      </c>
      <c r="H21" t="s">
        <v>1567</v>
      </c>
      <c r="I21">
        <v>-1</v>
      </c>
    </row>
    <row r="22" spans="1:9" x14ac:dyDescent="0.45">
      <c r="A22" t="s">
        <v>1533</v>
      </c>
      <c r="B22" t="s">
        <v>1568</v>
      </c>
      <c r="C22" t="s">
        <v>1569</v>
      </c>
      <c r="D22">
        <v>1</v>
      </c>
      <c r="E22">
        <v>2</v>
      </c>
      <c r="G22" t="s">
        <v>1568</v>
      </c>
      <c r="H22" t="s">
        <v>1569</v>
      </c>
      <c r="I22">
        <v>-1</v>
      </c>
    </row>
    <row r="23" spans="1:9" x14ac:dyDescent="0.45">
      <c r="A23" t="s">
        <v>1533</v>
      </c>
      <c r="B23" t="s">
        <v>1570</v>
      </c>
      <c r="C23" t="s">
        <v>1571</v>
      </c>
      <c r="D23">
        <v>1</v>
      </c>
      <c r="E23">
        <v>2</v>
      </c>
      <c r="G23" t="s">
        <v>1570</v>
      </c>
      <c r="H23" t="s">
        <v>1571</v>
      </c>
      <c r="I23">
        <v>-1</v>
      </c>
    </row>
    <row r="24" spans="1:9" x14ac:dyDescent="0.45">
      <c r="A24" t="s">
        <v>1533</v>
      </c>
      <c r="B24" t="s">
        <v>1572</v>
      </c>
      <c r="C24" t="s">
        <v>1573</v>
      </c>
      <c r="D24">
        <v>1</v>
      </c>
      <c r="E24">
        <v>2</v>
      </c>
      <c r="G24" t="s">
        <v>1572</v>
      </c>
      <c r="H24" t="s">
        <v>1573</v>
      </c>
      <c r="I24">
        <v>-1</v>
      </c>
    </row>
    <row r="25" spans="1:9" x14ac:dyDescent="0.45">
      <c r="A25" t="s">
        <v>1533</v>
      </c>
      <c r="B25" t="s">
        <v>1574</v>
      </c>
      <c r="C25" t="s">
        <v>1575</v>
      </c>
      <c r="D25">
        <v>1</v>
      </c>
      <c r="E25">
        <v>2</v>
      </c>
      <c r="G25" t="s">
        <v>1574</v>
      </c>
      <c r="H25" t="s">
        <v>1575</v>
      </c>
      <c r="I25">
        <v>-1</v>
      </c>
    </row>
    <row r="26" spans="1:9" x14ac:dyDescent="0.45">
      <c r="A26" t="s">
        <v>1533</v>
      </c>
      <c r="B26" t="s">
        <v>1576</v>
      </c>
      <c r="C26" t="s">
        <v>1577</v>
      </c>
      <c r="D26">
        <v>1</v>
      </c>
      <c r="E26">
        <v>2</v>
      </c>
      <c r="G26" t="s">
        <v>1576</v>
      </c>
      <c r="H26" t="s">
        <v>1577</v>
      </c>
      <c r="I26">
        <v>-1</v>
      </c>
    </row>
    <row r="27" spans="1:9" x14ac:dyDescent="0.45">
      <c r="A27" t="s">
        <v>1533</v>
      </c>
      <c r="B27" t="s">
        <v>1578</v>
      </c>
      <c r="C27" t="s">
        <v>1579</v>
      </c>
      <c r="D27">
        <v>1</v>
      </c>
      <c r="E27">
        <v>2</v>
      </c>
      <c r="G27" t="s">
        <v>1578</v>
      </c>
      <c r="H27" t="s">
        <v>1579</v>
      </c>
      <c r="I27">
        <v>-1</v>
      </c>
    </row>
    <row r="28" spans="1:9" x14ac:dyDescent="0.45">
      <c r="A28" t="s">
        <v>1533</v>
      </c>
      <c r="B28" t="s">
        <v>1580</v>
      </c>
      <c r="C28" t="s">
        <v>1581</v>
      </c>
      <c r="D28">
        <v>1</v>
      </c>
      <c r="E28">
        <v>2</v>
      </c>
      <c r="G28" t="s">
        <v>1580</v>
      </c>
      <c r="H28" t="s">
        <v>1581</v>
      </c>
      <c r="I28">
        <v>-1</v>
      </c>
    </row>
    <row r="29" spans="1:9" x14ac:dyDescent="0.45">
      <c r="A29" t="s">
        <v>1533</v>
      </c>
      <c r="B29" t="s">
        <v>1582</v>
      </c>
      <c r="C29" t="s">
        <v>1583</v>
      </c>
      <c r="D29">
        <v>1</v>
      </c>
      <c r="E29">
        <v>2</v>
      </c>
      <c r="G29" t="s">
        <v>1582</v>
      </c>
      <c r="H29" t="s">
        <v>1583</v>
      </c>
      <c r="I29">
        <v>-1</v>
      </c>
    </row>
    <row r="30" spans="1:9" x14ac:dyDescent="0.45">
      <c r="A30" t="s">
        <v>1533</v>
      </c>
      <c r="B30" t="s">
        <v>1584</v>
      </c>
      <c r="C30" t="s">
        <v>1585</v>
      </c>
      <c r="D30">
        <v>1</v>
      </c>
      <c r="E30">
        <v>2</v>
      </c>
      <c r="G30" t="s">
        <v>1584</v>
      </c>
      <c r="H30" t="s">
        <v>1585</v>
      </c>
      <c r="I30">
        <v>-1</v>
      </c>
    </row>
    <row r="31" spans="1:9" x14ac:dyDescent="0.45">
      <c r="A31" t="s">
        <v>1533</v>
      </c>
      <c r="B31" t="s">
        <v>1586</v>
      </c>
      <c r="C31" t="s">
        <v>1587</v>
      </c>
      <c r="D31">
        <v>1</v>
      </c>
      <c r="E31">
        <v>2</v>
      </c>
      <c r="G31" t="s">
        <v>1586</v>
      </c>
      <c r="H31" t="s">
        <v>1587</v>
      </c>
      <c r="I31">
        <v>-1</v>
      </c>
    </row>
    <row r="32" spans="1:9" x14ac:dyDescent="0.45">
      <c r="A32" t="s">
        <v>1533</v>
      </c>
      <c r="B32" t="s">
        <v>1588</v>
      </c>
      <c r="C32" t="s">
        <v>1589</v>
      </c>
      <c r="D32">
        <v>1</v>
      </c>
      <c r="E32">
        <v>2</v>
      </c>
      <c r="G32" t="s">
        <v>1588</v>
      </c>
      <c r="H32" t="s">
        <v>1589</v>
      </c>
      <c r="I32">
        <v>-1</v>
      </c>
    </row>
    <row r="33" spans="1:9" x14ac:dyDescent="0.45">
      <c r="A33" t="s">
        <v>1533</v>
      </c>
      <c r="B33" t="s">
        <v>1590</v>
      </c>
      <c r="C33" t="s">
        <v>1591</v>
      </c>
      <c r="D33">
        <v>1</v>
      </c>
      <c r="E33">
        <v>2</v>
      </c>
      <c r="G33" t="s">
        <v>1590</v>
      </c>
      <c r="H33" t="s">
        <v>1591</v>
      </c>
      <c r="I33">
        <v>-1</v>
      </c>
    </row>
    <row r="34" spans="1:9" x14ac:dyDescent="0.45">
      <c r="A34" t="s">
        <v>1533</v>
      </c>
      <c r="B34" t="s">
        <v>1592</v>
      </c>
      <c r="C34" t="s">
        <v>1593</v>
      </c>
      <c r="D34">
        <v>1</v>
      </c>
      <c r="E34">
        <v>2</v>
      </c>
      <c r="G34" t="s">
        <v>1592</v>
      </c>
      <c r="H34" t="s">
        <v>1593</v>
      </c>
      <c r="I34">
        <v>-1</v>
      </c>
    </row>
    <row r="35" spans="1:9" x14ac:dyDescent="0.45">
      <c r="A35" t="s">
        <v>1533</v>
      </c>
      <c r="B35" t="s">
        <v>1594</v>
      </c>
      <c r="C35" t="s">
        <v>1595</v>
      </c>
      <c r="D35">
        <v>1</v>
      </c>
      <c r="E35">
        <v>2</v>
      </c>
      <c r="G35" t="s">
        <v>1594</v>
      </c>
      <c r="H35" t="s">
        <v>1595</v>
      </c>
      <c r="I35">
        <v>-1</v>
      </c>
    </row>
    <row r="36" spans="1:9" x14ac:dyDescent="0.45">
      <c r="A36" t="s">
        <v>1533</v>
      </c>
      <c r="B36" t="s">
        <v>1596</v>
      </c>
      <c r="C36" t="s">
        <v>1597</v>
      </c>
      <c r="D36">
        <v>1</v>
      </c>
      <c r="E36">
        <v>2</v>
      </c>
      <c r="G36" t="s">
        <v>1596</v>
      </c>
      <c r="H36" t="s">
        <v>1597</v>
      </c>
      <c r="I36">
        <v>-1</v>
      </c>
    </row>
    <row r="37" spans="1:9" x14ac:dyDescent="0.45">
      <c r="A37" t="s">
        <v>1533</v>
      </c>
      <c r="B37" t="s">
        <v>1598</v>
      </c>
      <c r="C37" t="s">
        <v>1599</v>
      </c>
      <c r="D37">
        <v>1</v>
      </c>
      <c r="E37">
        <v>2</v>
      </c>
      <c r="G37" t="s">
        <v>1598</v>
      </c>
      <c r="H37" t="s">
        <v>1599</v>
      </c>
      <c r="I37">
        <v>-1</v>
      </c>
    </row>
    <row r="38" spans="1:9" x14ac:dyDescent="0.45">
      <c r="A38" t="s">
        <v>1533</v>
      </c>
      <c r="B38" t="s">
        <v>1600</v>
      </c>
      <c r="C38" t="s">
        <v>1601</v>
      </c>
      <c r="D38">
        <v>1</v>
      </c>
      <c r="E38">
        <v>2</v>
      </c>
      <c r="G38" t="s">
        <v>1600</v>
      </c>
      <c r="H38" t="s">
        <v>1601</v>
      </c>
      <c r="I38">
        <v>-1</v>
      </c>
    </row>
    <row r="39" spans="1:9" x14ac:dyDescent="0.45">
      <c r="A39" t="s">
        <v>1533</v>
      </c>
      <c r="B39" t="s">
        <v>1602</v>
      </c>
      <c r="C39" t="s">
        <v>1603</v>
      </c>
      <c r="D39">
        <v>1</v>
      </c>
      <c r="E39">
        <v>2</v>
      </c>
      <c r="G39" t="s">
        <v>1602</v>
      </c>
      <c r="H39" t="s">
        <v>1603</v>
      </c>
      <c r="I39">
        <v>-1</v>
      </c>
    </row>
    <row r="40" spans="1:9" x14ac:dyDescent="0.45">
      <c r="A40" t="s">
        <v>1533</v>
      </c>
      <c r="B40" t="s">
        <v>1604</v>
      </c>
      <c r="C40" t="s">
        <v>1605</v>
      </c>
      <c r="D40">
        <v>1</v>
      </c>
      <c r="E40">
        <v>2</v>
      </c>
      <c r="G40" t="s">
        <v>1604</v>
      </c>
      <c r="H40" t="s">
        <v>1605</v>
      </c>
      <c r="I40">
        <v>-1</v>
      </c>
    </row>
    <row r="41" spans="1:9" x14ac:dyDescent="0.45">
      <c r="A41" t="s">
        <v>1533</v>
      </c>
      <c r="B41" t="s">
        <v>1606</v>
      </c>
      <c r="C41" t="s">
        <v>1607</v>
      </c>
      <c r="D41">
        <v>1</v>
      </c>
      <c r="E41">
        <v>2</v>
      </c>
      <c r="G41" t="s">
        <v>1606</v>
      </c>
      <c r="H41" t="s">
        <v>1607</v>
      </c>
      <c r="I41">
        <v>-1</v>
      </c>
    </row>
    <row r="42" spans="1:9" x14ac:dyDescent="0.45">
      <c r="A42" t="s">
        <v>1533</v>
      </c>
      <c r="B42" t="s">
        <v>1608</v>
      </c>
      <c r="C42" t="s">
        <v>1609</v>
      </c>
      <c r="D42">
        <v>1</v>
      </c>
      <c r="E42">
        <v>2</v>
      </c>
      <c r="G42" t="s">
        <v>1608</v>
      </c>
      <c r="H42" t="s">
        <v>1609</v>
      </c>
      <c r="I42">
        <v>-1</v>
      </c>
    </row>
    <row r="43" spans="1:9" x14ac:dyDescent="0.45">
      <c r="A43" t="s">
        <v>1533</v>
      </c>
      <c r="B43" t="s">
        <v>1610</v>
      </c>
      <c r="C43" t="s">
        <v>1611</v>
      </c>
      <c r="D43">
        <v>1</v>
      </c>
      <c r="E43">
        <v>2</v>
      </c>
      <c r="G43" t="s">
        <v>1610</v>
      </c>
      <c r="H43" t="s">
        <v>1611</v>
      </c>
      <c r="I43">
        <v>-1</v>
      </c>
    </row>
    <row r="44" spans="1:9" x14ac:dyDescent="0.45">
      <c r="A44" t="s">
        <v>1533</v>
      </c>
      <c r="B44" t="s">
        <v>1612</v>
      </c>
      <c r="C44" t="s">
        <v>1613</v>
      </c>
      <c r="D44">
        <v>1</v>
      </c>
      <c r="E44">
        <v>2</v>
      </c>
      <c r="G44" t="s">
        <v>1612</v>
      </c>
      <c r="H44" t="s">
        <v>1613</v>
      </c>
      <c r="I44">
        <v>-1</v>
      </c>
    </row>
    <row r="45" spans="1:9" x14ac:dyDescent="0.45">
      <c r="A45" t="s">
        <v>1533</v>
      </c>
      <c r="B45" t="s">
        <v>1614</v>
      </c>
      <c r="C45" t="s">
        <v>1615</v>
      </c>
      <c r="D45">
        <v>1</v>
      </c>
      <c r="E45">
        <v>2</v>
      </c>
      <c r="G45" t="s">
        <v>1614</v>
      </c>
      <c r="H45" t="s">
        <v>1615</v>
      </c>
      <c r="I45">
        <v>-1</v>
      </c>
    </row>
    <row r="46" spans="1:9" x14ac:dyDescent="0.45">
      <c r="A46" t="s">
        <v>1533</v>
      </c>
      <c r="B46" t="s">
        <v>1616</v>
      </c>
      <c r="C46" t="s">
        <v>1617</v>
      </c>
      <c r="D46">
        <v>1</v>
      </c>
      <c r="E46">
        <v>2</v>
      </c>
      <c r="G46" t="s">
        <v>1616</v>
      </c>
      <c r="H46" t="s">
        <v>1617</v>
      </c>
      <c r="I46">
        <v>-1</v>
      </c>
    </row>
    <row r="47" spans="1:9" x14ac:dyDescent="0.45">
      <c r="A47" t="s">
        <v>1533</v>
      </c>
      <c r="B47" t="s">
        <v>1618</v>
      </c>
      <c r="C47" t="s">
        <v>1619</v>
      </c>
      <c r="D47">
        <v>1</v>
      </c>
      <c r="E47">
        <v>2</v>
      </c>
      <c r="G47" t="s">
        <v>1618</v>
      </c>
      <c r="H47" t="s">
        <v>1619</v>
      </c>
      <c r="I47">
        <v>-1</v>
      </c>
    </row>
    <row r="48" spans="1:9" x14ac:dyDescent="0.45">
      <c r="A48" t="s">
        <v>1533</v>
      </c>
      <c r="B48" t="s">
        <v>1620</v>
      </c>
      <c r="C48" t="s">
        <v>1621</v>
      </c>
      <c r="D48">
        <v>1</v>
      </c>
      <c r="E48">
        <v>2</v>
      </c>
      <c r="G48" t="s">
        <v>1620</v>
      </c>
      <c r="H48" t="s">
        <v>1621</v>
      </c>
      <c r="I48">
        <v>-1</v>
      </c>
    </row>
    <row r="49" spans="1:9" x14ac:dyDescent="0.45">
      <c r="A49" t="s">
        <v>1533</v>
      </c>
      <c r="B49" t="s">
        <v>1622</v>
      </c>
      <c r="C49" t="s">
        <v>1623</v>
      </c>
      <c r="D49">
        <v>1</v>
      </c>
      <c r="E49">
        <v>2</v>
      </c>
      <c r="G49" t="s">
        <v>1622</v>
      </c>
      <c r="H49" t="s">
        <v>1623</v>
      </c>
      <c r="I49">
        <v>-1</v>
      </c>
    </row>
    <row r="50" spans="1:9" x14ac:dyDescent="0.45">
      <c r="A50" t="s">
        <v>1533</v>
      </c>
      <c r="B50" t="s">
        <v>1624</v>
      </c>
      <c r="C50" t="s">
        <v>1625</v>
      </c>
      <c r="D50">
        <v>1</v>
      </c>
      <c r="E50">
        <v>2</v>
      </c>
      <c r="G50" t="s">
        <v>1624</v>
      </c>
      <c r="H50" t="s">
        <v>1625</v>
      </c>
      <c r="I50">
        <v>-1</v>
      </c>
    </row>
    <row r="51" spans="1:9" x14ac:dyDescent="0.45">
      <c r="A51" t="s">
        <v>1533</v>
      </c>
      <c r="B51" t="s">
        <v>1626</v>
      </c>
      <c r="C51" t="s">
        <v>1627</v>
      </c>
      <c r="D51">
        <v>1</v>
      </c>
      <c r="E51">
        <v>2</v>
      </c>
      <c r="G51" t="s">
        <v>1626</v>
      </c>
      <c r="H51" t="s">
        <v>1627</v>
      </c>
      <c r="I51">
        <v>-1</v>
      </c>
    </row>
    <row r="52" spans="1:9" x14ac:dyDescent="0.45">
      <c r="A52" t="s">
        <v>1533</v>
      </c>
      <c r="B52" t="s">
        <v>1628</v>
      </c>
      <c r="C52" t="s">
        <v>1629</v>
      </c>
      <c r="D52">
        <v>1</v>
      </c>
      <c r="E52">
        <v>2</v>
      </c>
      <c r="G52" t="s">
        <v>1628</v>
      </c>
      <c r="H52" t="s">
        <v>1629</v>
      </c>
      <c r="I52">
        <v>-1</v>
      </c>
    </row>
    <row r="53" spans="1:9" x14ac:dyDescent="0.45">
      <c r="A53" t="s">
        <v>1533</v>
      </c>
      <c r="B53" t="s">
        <v>1630</v>
      </c>
      <c r="C53" t="s">
        <v>1631</v>
      </c>
      <c r="D53">
        <v>1</v>
      </c>
      <c r="E53">
        <v>2</v>
      </c>
      <c r="G53" t="s">
        <v>1630</v>
      </c>
      <c r="H53" t="s">
        <v>1631</v>
      </c>
      <c r="I53">
        <v>-1</v>
      </c>
    </row>
    <row r="54" spans="1:9" x14ac:dyDescent="0.45">
      <c r="A54" t="s">
        <v>1533</v>
      </c>
      <c r="B54" t="s">
        <v>1632</v>
      </c>
      <c r="C54" t="s">
        <v>1633</v>
      </c>
      <c r="D54">
        <v>1</v>
      </c>
      <c r="E54">
        <v>2</v>
      </c>
      <c r="G54" t="s">
        <v>1632</v>
      </c>
      <c r="H54" t="s">
        <v>1633</v>
      </c>
      <c r="I54">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grids</vt:lpstr>
      <vt:lpstr>re_targets</vt:lpstr>
      <vt:lpstr>Veda</vt:lpstr>
      <vt:lpstr>buildrates</vt:lpstr>
      <vt:lpstr>historical_data_long</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2026-06-09T09:19:00Z</dcterms:modified>
</cp:coreProperties>
</file>