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\SuppXLS\"/>
    </mc:Choice>
  </mc:AlternateContent>
  <xr:revisionPtr revIDLastSave="0" documentId="13_ncr:1_{9051BAF3-A68B-49B3-9406-A2B16E2A2513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</sheets>
  <definedNames>
    <definedName name="_xlnm._FilterDatabase" localSheetId="0" hidden="1">Veda!$B$8:$E$48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0" i="1" l="1"/>
  <c r="B11" i="1"/>
  <c r="B12" i="1"/>
  <c r="B13" i="1"/>
  <c r="B9" i="1"/>
  <c r="D9" i="1"/>
  <c r="D10" i="1"/>
  <c r="D11" i="1"/>
  <c r="D12" i="1"/>
  <c r="D13" i="1"/>
  <c r="AI16" i="1"/>
  <c r="AI15" i="1"/>
  <c r="AI14" i="1"/>
  <c r="AI13" i="1"/>
  <c r="AI12" i="1"/>
  <c r="AI11" i="1"/>
  <c r="C10" i="1"/>
  <c r="C11" i="1" s="1"/>
  <c r="C12" i="1" s="1"/>
  <c r="C13" i="1" s="1"/>
  <c r="AJ15" i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 s="1"/>
  <c r="AJ14" i="1"/>
  <c r="AJ19" i="1" s="1"/>
  <c r="AJ28" i="1" l="1"/>
  <c r="AJ24" i="1"/>
  <c r="AJ20" i="1"/>
  <c r="D2" i="1"/>
  <c r="H48" i="1"/>
  <c r="H47" i="1"/>
  <c r="H46" i="1"/>
  <c r="H45" i="1"/>
  <c r="AJ33" i="1" l="1"/>
  <c r="AJ25" i="1"/>
  <c r="AJ29" i="1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AJ38" i="1" l="1"/>
  <c r="AJ34" i="1"/>
  <c r="AJ30" i="1"/>
  <c r="K40" i="1"/>
  <c r="J37" i="1"/>
  <c r="J45" i="1" s="1"/>
  <c r="J40" i="1"/>
  <c r="I47" i="1"/>
  <c r="L40" i="1"/>
  <c r="M40" i="1"/>
  <c r="N40" i="1"/>
  <c r="M44" i="1"/>
  <c r="N44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S12" i="1"/>
  <c r="T14" i="1" s="1"/>
  <c r="AJ43" i="1" l="1"/>
  <c r="AJ39" i="1"/>
  <c r="AJ35" i="1"/>
  <c r="AJ48" i="1" l="1"/>
  <c r="AJ40" i="1"/>
  <c r="AJ44" i="1"/>
  <c r="AJ53" i="1" l="1"/>
  <c r="AJ58" i="1" s="1"/>
  <c r="AJ63" i="1" s="1"/>
  <c r="AJ68" i="1" s="1"/>
  <c r="AJ73" i="1" s="1"/>
  <c r="AJ78" i="1" s="1"/>
  <c r="AJ49" i="1"/>
  <c r="AJ45" i="1"/>
  <c r="AJ50" i="1" l="1"/>
  <c r="E5" i="1"/>
  <c r="AJ54" i="1"/>
  <c r="L19" i="1" l="1"/>
  <c r="N21" i="1"/>
  <c r="M24" i="1"/>
  <c r="X24" i="1" s="1"/>
  <c r="O24" i="1"/>
  <c r="Z24" i="1" s="1"/>
  <c r="O19" i="1"/>
  <c r="K15" i="1"/>
  <c r="V14" i="1" s="1"/>
  <c r="M18" i="1"/>
  <c r="N18" i="1"/>
  <c r="L24" i="1"/>
  <c r="W24" i="1" s="1"/>
  <c r="N19" i="1"/>
  <c r="J15" i="1"/>
  <c r="U14" i="1" s="1"/>
  <c r="I21" i="1"/>
  <c r="T21" i="1" s="1"/>
  <c r="U21" i="1" s="1"/>
  <c r="V21" i="1" s="1"/>
  <c r="W21" i="1" s="1"/>
  <c r="X21" i="1" s="1"/>
  <c r="Y21" i="1" s="1"/>
  <c r="Z21" i="1" s="1"/>
  <c r="L15" i="1"/>
  <c r="W14" i="1" s="1"/>
  <c r="K18" i="1"/>
  <c r="V18" i="1" s="1"/>
  <c r="N15" i="1"/>
  <c r="Y14" i="1" s="1"/>
  <c r="O21" i="1"/>
  <c r="O20" i="1"/>
  <c r="K24" i="1"/>
  <c r="V24" i="1" s="1"/>
  <c r="O15" i="1"/>
  <c r="Z14" i="1" s="1"/>
  <c r="Z20" i="1" s="1"/>
  <c r="J19" i="1"/>
  <c r="U19" i="1" s="1"/>
  <c r="J18" i="1"/>
  <c r="K19" i="1"/>
  <c r="L21" i="1"/>
  <c r="I20" i="1"/>
  <c r="T20" i="1" s="1"/>
  <c r="O18" i="1"/>
  <c r="I15" i="1"/>
  <c r="I19" i="1"/>
  <c r="T19" i="1" s="1"/>
  <c r="J20" i="1"/>
  <c r="I18" i="1"/>
  <c r="T18" i="1" s="1"/>
  <c r="K21" i="1"/>
  <c r="L18" i="1"/>
  <c r="L20" i="1"/>
  <c r="M19" i="1"/>
  <c r="M20" i="1"/>
  <c r="N20" i="1"/>
  <c r="K20" i="1"/>
  <c r="V20" i="1" s="1"/>
  <c r="J21" i="1"/>
  <c r="M15" i="1"/>
  <c r="X14" i="1" s="1"/>
  <c r="X20" i="1" s="1"/>
  <c r="M21" i="1"/>
  <c r="N24" i="1"/>
  <c r="Y24" i="1" s="1"/>
  <c r="O48" i="1"/>
  <c r="D5" i="1"/>
  <c r="AJ59" i="1"/>
  <c r="AJ55" i="1"/>
  <c r="Z19" i="1" l="1"/>
  <c r="Z22" i="1" s="1"/>
  <c r="X19" i="1"/>
  <c r="X22" i="1" s="1"/>
  <c r="U18" i="1"/>
  <c r="W20" i="1"/>
  <c r="Y19" i="1"/>
  <c r="Y18" i="1"/>
  <c r="Y20" i="1"/>
  <c r="Y22" i="1" s="1"/>
  <c r="W18" i="1"/>
  <c r="X18" i="1"/>
  <c r="U20" i="1"/>
  <c r="U22" i="1" s="1"/>
  <c r="V19" i="1"/>
  <c r="V22" i="1"/>
  <c r="W19" i="1"/>
  <c r="T22" i="1"/>
  <c r="Z18" i="1"/>
  <c r="AJ60" i="1"/>
  <c r="AJ64" i="1"/>
  <c r="W22" i="1" l="1"/>
  <c r="AJ69" i="1"/>
  <c r="AJ65" i="1"/>
  <c r="AJ70" i="1" l="1"/>
  <c r="AJ74" i="1"/>
  <c r="AJ75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AM8" authorId="0" shapeId="0" xr:uid="{B8774821-523C-49C0-8481-0CFAD2313CD6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12-10-2025
AR6 info is not useful for this metric
</t>
        </r>
      </text>
    </comment>
  </commentList>
</comments>
</file>

<file path=xl/sharedStrings.xml><?xml version="1.0" encoding="utf-8"?>
<sst xmlns="http://schemas.openxmlformats.org/spreadsheetml/2006/main" count="1565" uniqueCount="123">
  <si>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</si>
  <si>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</si>
  <si>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</si>
  <si>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</si>
  <si>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</si>
  <si>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</si>
  <si>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</si>
  <si>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</si>
  <si>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</si>
  <si>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</si>
  <si>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</si>
  <si>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</si>
  <si>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</si>
  <si>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</si>
  <si>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</si>
  <si>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</si>
  <si>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</si>
  <si>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</si>
  <si>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</si>
  <si>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</si>
  <si>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</si>
  <si>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</si>
  <si>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</si>
  <si>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</si>
  <si>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</si>
  <si>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</si>
  <si>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</si>
  <si>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</si>
  <si>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</si>
  <si>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</si>
  <si>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</si>
  <si>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</si>
  <si>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</si>
  <si>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</si>
  <si>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</si>
  <si>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</si>
  <si>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</si>
  <si>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</si>
  <si>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</si>
  <si>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</si>
  <si>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</si>
  <si>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</si>
  <si>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</si>
  <si>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</si>
  <si>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</si>
  <si>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</si>
  <si>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</si>
  <si>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</si>
  <si>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</si>
  <si>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</si>
  <si>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</si>
  <si>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</si>
  <si>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</si>
  <si>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</si>
  <si>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</si>
  <si>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</si>
  <si>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</si>
  <si>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</si>
  <si>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</si>
  <si>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</si>
  <si>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</si>
  <si>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</si>
  <si>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</si>
  <si>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</si>
  <si>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</si>
  <si>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</si>
  <si>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</si>
  <si>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</si>
  <si>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</si>
  <si>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</si>
  <si>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</si>
  <si>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</si>
  <si>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</si>
  <si>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</si>
  <si>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</si>
  <si>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</si>
  <si>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</si>
  <si>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</si>
  <si>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</si>
  <si>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</si>
  <si>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</si>
  <si>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</si>
  <si>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</si>
  <si>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</si>
  <si>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s1p1v1_d</t>
  </si>
  <si>
    <t>s5p5v5_d</t>
  </si>
  <si>
    <t>ts_annual</t>
  </si>
  <si>
    <t>pset_co</t>
  </si>
  <si>
    <t>e 1.5 deg no OS</t>
  </si>
  <si>
    <t>d9d</t>
  </si>
  <si>
    <t>d 1.5 deg OS</t>
  </si>
  <si>
    <t>c 2 deg (67%)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</si>
  <si>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</si>
  <si>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</si>
  <si>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</si>
  <si>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</si>
  <si>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</si>
  <si>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</si>
  <si>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</si>
  <si>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</si>
  <si>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</si>
  <si>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</si>
  <si>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ts_048</t>
  </si>
  <si>
    <t>ts_12t</t>
  </si>
  <si>
    <t>~TFM_INS-TS: attribute=flo_cost;pset_pn=-IMP*Z</t>
  </si>
  <si>
    <t>bio price multiplier</t>
  </si>
  <si>
    <t>s1v1_d</t>
  </si>
  <si>
    <t>ts_030</t>
  </si>
  <si>
    <t>f2d96</t>
  </si>
  <si>
    <t>ts_096</t>
  </si>
  <si>
    <t>e96</t>
  </si>
  <si>
    <t>ts_072</t>
  </si>
  <si>
    <t>ts_144</t>
  </si>
  <si>
    <t>ts_288</t>
  </si>
  <si>
    <t>x12</t>
  </si>
  <si>
    <t>xAnn</t>
  </si>
  <si>
    <t>POL</t>
  </si>
  <si>
    <t>R10EUROPE</t>
  </si>
  <si>
    <t>Pipeline gas, coal &amp; forest resources</t>
  </si>
  <si>
    <t>1-25,36-40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</si>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</sst>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2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6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9" fillId="0" borderId="0" xfId="0" applyFont="1"/>
    <xf numFmtId="0" fontId="0" fillId="5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177.03</c:v>
                </c:pt>
                <c:pt idx="1">
                  <c:v>185.88150000000002</c:v>
                </c:pt>
                <c:pt idx="2">
                  <c:v>207.12509999999997</c:v>
                </c:pt>
                <c:pt idx="3">
                  <c:v>233.67960000000002</c:v>
                </c:pt>
                <c:pt idx="4">
                  <c:v>265.54500000000002</c:v>
                </c:pt>
                <c:pt idx="5">
                  <c:v>297.41039999999998</c:v>
                </c:pt>
                <c:pt idx="6">
                  <c:v>320.42430000000002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85"/>
  <sheetViews>
    <sheetView tabSelected="1" workbookViewId="0">
      <selection activeCell="C18" sqref="C18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9" x14ac:dyDescent="0.45">
      <c r="G1" s="15" t="s">
        <v>119</v>
      </c>
    </row>
    <row r="2" spans="1:39" x14ac:dyDescent="0.45">
      <c r="D2" s="1" t="str">
        <f>"~Inputcell: "&amp;_xlfn.TEXTJOIN(",",TRUE,G1:EE1)</f>
        <v>~Inputcell: 1-25,36-40</v>
      </c>
    </row>
    <row r="3" spans="1:39" x14ac:dyDescent="0.45">
      <c r="D3" s="9">
        <v>3</v>
      </c>
    </row>
    <row r="5" spans="1:39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9" x14ac:dyDescent="0.45">
      <c r="B7" s="13" t="s">
        <v>95</v>
      </c>
    </row>
    <row r="8" spans="1:39" ht="14.65" thickBot="1" x14ac:dyDescent="0.5">
      <c r="A8" s="4" t="s">
        <v>100</v>
      </c>
      <c r="B8" s="4" t="s">
        <v>96</v>
      </c>
      <c r="C8" s="4" t="s">
        <v>97</v>
      </c>
      <c r="D8" s="4" t="s">
        <v>98</v>
      </c>
      <c r="E8" s="4" t="s">
        <v>99</v>
      </c>
      <c r="AM8" s="2" t="s">
        <v>105</v>
      </c>
    </row>
    <row r="9" spans="1:39" x14ac:dyDescent="0.45">
      <c r="A9">
        <v>5</v>
      </c>
      <c r="B9" t="str">
        <f>VLOOKUP(E9,$AK$9:$AL$15,2,FALSE)</f>
        <v>e 1.5 deg no OS</v>
      </c>
      <c r="C9">
        <v>1</v>
      </c>
      <c r="D9" t="str">
        <f>VLOOKUP(AJ9,$AG$9:$AH$22,2,FALSE)</f>
        <v>ts_annual</v>
      </c>
      <c r="E9" s="14" t="s">
        <v>0</v>
      </c>
      <c r="G9" t="s">
        <v>1</v>
      </c>
      <c r="AG9">
        <v>1</v>
      </c>
      <c r="AH9" t="s">
        <v>86</v>
      </c>
      <c r="AI9" t="s">
        <v>115</v>
      </c>
      <c r="AJ9" s="10">
        <v>1</v>
      </c>
      <c r="AK9" t="s">
        <v>0</v>
      </c>
      <c r="AL9" t="s">
        <v>88</v>
      </c>
      <c r="AM9" s="12">
        <v>5</v>
      </c>
    </row>
    <row r="10" spans="1:39" x14ac:dyDescent="0.45">
      <c r="A10">
        <v>5</v>
      </c>
      <c r="B10" t="str">
        <f t="shared" ref="B10:B13" si="0">VLOOKUP(E10,$AK$9:$AL$15,2,FALSE)</f>
        <v>d 1.5 deg OS</v>
      </c>
      <c r="C10">
        <f>C9+1</f>
        <v>2</v>
      </c>
      <c r="D10" t="str">
        <f t="shared" ref="D10:D13" si="1">VLOOKUP(AJ10,$AG$9:$AH$22,2,FALSE)</f>
        <v>ts_annual</v>
      </c>
      <c r="E10" s="14" t="s">
        <v>2</v>
      </c>
      <c r="G10" t="s">
        <v>3</v>
      </c>
      <c r="S10" t="s">
        <v>4</v>
      </c>
      <c r="AG10">
        <v>2</v>
      </c>
      <c r="AH10" t="s">
        <v>103</v>
      </c>
      <c r="AI10" t="s">
        <v>114</v>
      </c>
      <c r="AJ10" s="10">
        <v>1</v>
      </c>
      <c r="AK10" t="s">
        <v>2</v>
      </c>
      <c r="AL10" t="s">
        <v>90</v>
      </c>
      <c r="AM10" s="12">
        <v>4</v>
      </c>
    </row>
    <row r="11" spans="1:39" x14ac:dyDescent="0.45">
      <c r="A11">
        <v>5</v>
      </c>
      <c r="B11" t="str">
        <f t="shared" si="0"/>
        <v>c 2 deg (67%)</v>
      </c>
      <c r="C11">
        <f>C10+1</f>
        <v>3</v>
      </c>
      <c r="D11" t="str">
        <f t="shared" si="1"/>
        <v>ts_annual</v>
      </c>
      <c r="E11" s="14" t="s">
        <v>5</v>
      </c>
      <c r="G11" t="s">
        <v>6</v>
      </c>
      <c r="S11" s="1">
        <v>2022</v>
      </c>
      <c r="AG11">
        <v>3</v>
      </c>
      <c r="AH11" t="s">
        <v>101</v>
      </c>
      <c r="AI11" t="str">
        <f>AH11</f>
        <v>ts_012</v>
      </c>
      <c r="AJ11" s="10">
        <v>1</v>
      </c>
      <c r="AK11" t="s">
        <v>5</v>
      </c>
      <c r="AL11" t="s">
        <v>91</v>
      </c>
      <c r="AM11" s="12">
        <v>3</v>
      </c>
    </row>
    <row r="12" spans="1:39" ht="14.65" customHeight="1" thickBot="1" x14ac:dyDescent="0.5">
      <c r="A12">
        <v>5</v>
      </c>
      <c r="B12" t="str">
        <f t="shared" si="0"/>
        <v>b 2 deg (50%)</v>
      </c>
      <c r="C12">
        <f>C11+1</f>
        <v>4</v>
      </c>
      <c r="D12" t="str">
        <f t="shared" si="1"/>
        <v>ts_annual</v>
      </c>
      <c r="E12" s="14" t="s">
        <v>7</v>
      </c>
      <c r="G12" t="s">
        <v>8</v>
      </c>
      <c r="S12" s="3">
        <f>SUMIFS(iea_data!I3:I9999,iea_data!$B$3:$B$9999,Veda!$S$11)+T28-T29</f>
        <v>177.03</v>
      </c>
      <c r="T12" s="2" t="s">
        <v>57</v>
      </c>
      <c r="AG12">
        <v>4</v>
      </c>
      <c r="AH12" t="s">
        <v>107</v>
      </c>
      <c r="AI12" t="str">
        <f t="shared" ref="AI12:AI16" si="2">AH12</f>
        <v>ts_030</v>
      </c>
      <c r="AJ12" s="10">
        <v>1</v>
      </c>
      <c r="AK12" t="s">
        <v>7</v>
      </c>
      <c r="AL12" t="s">
        <v>92</v>
      </c>
      <c r="AM12" s="12">
        <v>3</v>
      </c>
    </row>
    <row r="13" spans="1:39" ht="14.65" customHeight="1" thickTop="1" x14ac:dyDescent="0.45">
      <c r="A13">
        <v>5</v>
      </c>
      <c r="B13" t="str">
        <f t="shared" si="0"/>
        <v>a 3 deg</v>
      </c>
      <c r="C13">
        <f>C12+1</f>
        <v>5</v>
      </c>
      <c r="D13" t="str">
        <f t="shared" si="1"/>
        <v>ts_annual</v>
      </c>
      <c r="E13" s="14" t="s">
        <v>9</v>
      </c>
      <c r="G13" t="s">
        <v>10</v>
      </c>
      <c r="AG13">
        <v>5</v>
      </c>
      <c r="AH13" t="s">
        <v>102</v>
      </c>
      <c r="AI13" t="str">
        <f t="shared" si="2"/>
        <v>ts_048</v>
      </c>
      <c r="AJ13" s="10">
        <v>1</v>
      </c>
      <c r="AK13" t="s">
        <v>9</v>
      </c>
      <c r="AL13" t="s">
        <v>93</v>
      </c>
      <c r="AM13" s="12">
        <v>1.5</v>
      </c>
    </row>
    <row r="14" spans="1:39" x14ac:dyDescent="0.45">
      <c r="T14" s="8">
        <f>S12</f>
        <v>177.03</v>
      </c>
      <c r="U14" s="8">
        <f t="shared" ref="U14:Z14" si="3">$S$12*J15</f>
        <v>185.88150000000002</v>
      </c>
      <c r="V14" s="8">
        <f t="shared" si="3"/>
        <v>207.12509999999997</v>
      </c>
      <c r="W14" s="8">
        <f t="shared" si="3"/>
        <v>233.67960000000002</v>
      </c>
      <c r="X14" s="8">
        <f t="shared" si="3"/>
        <v>265.54500000000002</v>
      </c>
      <c r="Y14" s="8">
        <f t="shared" si="3"/>
        <v>297.41039999999998</v>
      </c>
      <c r="Z14" s="8">
        <f t="shared" si="3"/>
        <v>320.42430000000002</v>
      </c>
      <c r="AG14">
        <v>6</v>
      </c>
      <c r="AH14" t="s">
        <v>111</v>
      </c>
      <c r="AI14" t="str">
        <f t="shared" si="2"/>
        <v>ts_072</v>
      </c>
      <c r="AJ14" s="10">
        <f>AJ9+1</f>
        <v>2</v>
      </c>
    </row>
    <row r="15" spans="1:39" x14ac:dyDescent="0.45"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112</v>
      </c>
      <c r="AI15" t="str">
        <f t="shared" si="2"/>
        <v>ts_144</v>
      </c>
      <c r="AJ15" s="10">
        <f t="shared" ref="AJ15:AJ78" si="4">AJ10+1</f>
        <v>2</v>
      </c>
    </row>
    <row r="16" spans="1:39" ht="17.649999999999999" customHeight="1" thickBot="1" x14ac:dyDescent="0.6">
      <c r="S16" s="5" t="s">
        <v>12</v>
      </c>
      <c r="AG16">
        <v>8</v>
      </c>
      <c r="AH16" t="s">
        <v>113</v>
      </c>
      <c r="AI16" t="str">
        <f t="shared" si="2"/>
        <v>ts_288</v>
      </c>
      <c r="AJ16" s="10">
        <f t="shared" si="4"/>
        <v>2</v>
      </c>
    </row>
    <row r="17" spans="7:36" ht="15" customHeight="1" thickTop="1" thickBot="1" x14ac:dyDescent="0.5">
      <c r="I17" s="7">
        <v>2020</v>
      </c>
      <c r="J17" s="7">
        <f t="shared" ref="J17:O17" si="5">U17</f>
        <v>2025</v>
      </c>
      <c r="K17" s="7">
        <f t="shared" si="5"/>
        <v>2030</v>
      </c>
      <c r="L17" s="7">
        <f t="shared" si="5"/>
        <v>2035</v>
      </c>
      <c r="M17" s="7">
        <f t="shared" si="5"/>
        <v>2040</v>
      </c>
      <c r="N17" s="7">
        <f t="shared" si="5"/>
        <v>2045</v>
      </c>
      <c r="O17" s="7">
        <f t="shared" si="5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106</v>
      </c>
      <c r="AI17" t="s">
        <v>108</v>
      </c>
      <c r="AJ17" s="10">
        <f t="shared" si="4"/>
        <v>2</v>
      </c>
    </row>
    <row r="18" spans="7:36" x14ac:dyDescent="0.45"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6">I18*T$14</f>
        <v>0</v>
      </c>
      <c r="U18" s="6">
        <f t="shared" si="6"/>
        <v>0</v>
      </c>
      <c r="V18" s="6">
        <f t="shared" si="6"/>
        <v>2.0712509999999997</v>
      </c>
      <c r="W18" s="6">
        <f t="shared" si="6"/>
        <v>2.3367960000000001</v>
      </c>
      <c r="X18" s="6">
        <f t="shared" si="6"/>
        <v>2.6554500000000001</v>
      </c>
      <c r="Y18" s="6">
        <f t="shared" si="6"/>
        <v>5.9482080000000002</v>
      </c>
      <c r="Z18" s="6">
        <f t="shared" si="6"/>
        <v>9.6127289999999999</v>
      </c>
      <c r="AA18" t="s">
        <v>17</v>
      </c>
      <c r="AC18" s="2"/>
      <c r="AG18">
        <v>10</v>
      </c>
      <c r="AH18" t="s">
        <v>109</v>
      </c>
      <c r="AI18" t="s">
        <v>110</v>
      </c>
      <c r="AJ18" s="10">
        <f t="shared" si="4"/>
        <v>2</v>
      </c>
    </row>
    <row r="19" spans="7:36" x14ac:dyDescent="0.45"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6"/>
        <v>63.730799999999995</v>
      </c>
      <c r="U19" s="6">
        <f t="shared" si="6"/>
        <v>59.482080000000003</v>
      </c>
      <c r="V19" s="6">
        <f t="shared" si="6"/>
        <v>64.208780999999988</v>
      </c>
      <c r="W19" s="6">
        <f t="shared" si="6"/>
        <v>67.767083999999997</v>
      </c>
      <c r="X19" s="6">
        <f t="shared" si="6"/>
        <v>77.008049999999997</v>
      </c>
      <c r="Y19" s="6">
        <f t="shared" si="6"/>
        <v>86.249015999999983</v>
      </c>
      <c r="Z19" s="6">
        <f t="shared" si="6"/>
        <v>96.127290000000002</v>
      </c>
      <c r="AA19" t="s">
        <v>17</v>
      </c>
      <c r="AG19">
        <v>11</v>
      </c>
      <c r="AH19" t="s">
        <v>84</v>
      </c>
      <c r="AI19" t="s">
        <v>89</v>
      </c>
      <c r="AJ19" s="10">
        <f t="shared" si="4"/>
        <v>3</v>
      </c>
    </row>
    <row r="20" spans="7:36" x14ac:dyDescent="0.45"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6"/>
        <v>106.218</v>
      </c>
      <c r="U20" s="6">
        <f t="shared" si="6"/>
        <v>111.52890000000001</v>
      </c>
      <c r="V20" s="6">
        <f t="shared" si="6"/>
        <v>124.27505999999998</v>
      </c>
      <c r="W20" s="6">
        <f t="shared" si="6"/>
        <v>133.197372</v>
      </c>
      <c r="X20" s="6">
        <f t="shared" si="6"/>
        <v>143.39430000000002</v>
      </c>
      <c r="Y20" s="6">
        <f t="shared" si="6"/>
        <v>154.65340799999998</v>
      </c>
      <c r="Z20" s="6">
        <f t="shared" si="6"/>
        <v>169.82487900000001</v>
      </c>
      <c r="AA20" t="s">
        <v>17</v>
      </c>
      <c r="AG20">
        <v>12</v>
      </c>
      <c r="AH20" t="s">
        <v>85</v>
      </c>
      <c r="AI20" t="s">
        <v>94</v>
      </c>
      <c r="AJ20" s="10">
        <f t="shared" si="4"/>
        <v>3</v>
      </c>
    </row>
    <row r="21" spans="7:36" x14ac:dyDescent="0.45"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5.3109000000000002</v>
      </c>
      <c r="U21" s="6">
        <f t="shared" ref="U21:Z21" si="7">T21</f>
        <v>5.3109000000000002</v>
      </c>
      <c r="V21" s="6">
        <f t="shared" si="7"/>
        <v>5.3109000000000002</v>
      </c>
      <c r="W21" s="6">
        <f t="shared" si="7"/>
        <v>5.3109000000000002</v>
      </c>
      <c r="X21" s="6">
        <f t="shared" si="7"/>
        <v>5.3109000000000002</v>
      </c>
      <c r="Y21" s="6">
        <f t="shared" si="7"/>
        <v>5.3109000000000002</v>
      </c>
      <c r="Z21" s="6">
        <f t="shared" si="7"/>
        <v>5.3109000000000002</v>
      </c>
      <c r="AA21" t="s">
        <v>17</v>
      </c>
      <c r="AC21" s="2" t="s">
        <v>20</v>
      </c>
      <c r="AJ21" s="10">
        <f t="shared" si="4"/>
        <v>3</v>
      </c>
    </row>
    <row r="22" spans="7:36" x14ac:dyDescent="0.45">
      <c r="S22" s="10" t="s">
        <v>25</v>
      </c>
      <c r="T22" s="6">
        <f t="shared" ref="T22:Z22" si="8">T14-SUM(T19:T21)</f>
        <v>1.7702999999999918</v>
      </c>
      <c r="U22" s="6">
        <f t="shared" si="8"/>
        <v>9.5596199999999953</v>
      </c>
      <c r="V22" s="6">
        <f t="shared" si="8"/>
        <v>13.330358999999987</v>
      </c>
      <c r="W22" s="6">
        <f t="shared" si="8"/>
        <v>27.404244000000034</v>
      </c>
      <c r="X22" s="6">
        <f t="shared" si="8"/>
        <v>39.83175</v>
      </c>
      <c r="Y22" s="6">
        <f t="shared" si="8"/>
        <v>51.19707600000001</v>
      </c>
      <c r="Z22" s="6">
        <f t="shared" si="8"/>
        <v>49.161230999999987</v>
      </c>
      <c r="AA22" t="s">
        <v>17</v>
      </c>
      <c r="AJ22" s="10">
        <f t="shared" si="4"/>
        <v>3</v>
      </c>
    </row>
    <row r="23" spans="7:36" x14ac:dyDescent="0.45">
      <c r="S23" t="s">
        <v>26</v>
      </c>
      <c r="AJ23" s="10">
        <f t="shared" si="4"/>
        <v>3</v>
      </c>
    </row>
    <row r="24" spans="7:36" ht="14.65" customHeight="1" x14ac:dyDescent="0.45"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4"/>
        <v>4</v>
      </c>
    </row>
    <row r="25" spans="7:36" ht="14.65" customHeight="1" x14ac:dyDescent="0.45">
      <c r="AJ25" s="10">
        <f t="shared" si="4"/>
        <v>4</v>
      </c>
    </row>
    <row r="26" spans="7:36" ht="17.649999999999999" customHeight="1" thickBot="1" x14ac:dyDescent="0.6">
      <c r="S26" s="5" t="s">
        <v>12</v>
      </c>
      <c r="AJ26" s="10">
        <f t="shared" si="4"/>
        <v>4</v>
      </c>
    </row>
    <row r="27" spans="7:36" ht="15" customHeight="1" thickTop="1" thickBot="1" x14ac:dyDescent="0.5">
      <c r="S27" s="4" t="s">
        <v>30</v>
      </c>
      <c r="T27" s="4">
        <f t="shared" ref="T27:Z27" si="9">T17</f>
        <v>2022</v>
      </c>
      <c r="U27" s="4">
        <f t="shared" si="9"/>
        <v>2025</v>
      </c>
      <c r="V27" s="4">
        <f t="shared" si="9"/>
        <v>2030</v>
      </c>
      <c r="W27" s="4">
        <f t="shared" si="9"/>
        <v>2035</v>
      </c>
      <c r="X27" s="4">
        <f t="shared" si="9"/>
        <v>2040</v>
      </c>
      <c r="Y27" s="4">
        <f t="shared" si="9"/>
        <v>2045</v>
      </c>
      <c r="Z27" s="4">
        <f t="shared" si="9"/>
        <v>2050</v>
      </c>
      <c r="AA27" s="4" t="s">
        <v>14</v>
      </c>
      <c r="AB27" s="4" t="s">
        <v>31</v>
      </c>
      <c r="AJ27" s="10">
        <f t="shared" si="4"/>
        <v>4</v>
      </c>
    </row>
    <row r="28" spans="7:36" ht="14.65" customHeight="1" thickBot="1" x14ac:dyDescent="0.5">
      <c r="Q28" s="3">
        <f>SUMIFS(iea_data!G3:G9999,iea_data!$B$3:$B$9999,Veda!$S$11)</f>
        <v>15.24</v>
      </c>
      <c r="S28" t="s">
        <v>32</v>
      </c>
      <c r="T28" s="3">
        <f>Q28</f>
        <v>15.24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4"/>
        <v>4</v>
      </c>
    </row>
    <row r="29" spans="7:36" ht="15" customHeight="1" thickTop="1" thickBot="1" x14ac:dyDescent="0.5">
      <c r="Q29" s="3">
        <f>SUMIFS(iea_data!H3:H9999,iea_data!$B$3:$B$9999,Veda!$S$11)</f>
        <v>-16.91</v>
      </c>
      <c r="S29" t="s">
        <v>35</v>
      </c>
      <c r="T29" s="3">
        <f>-1*Q29</f>
        <v>16.91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4"/>
        <v>5</v>
      </c>
    </row>
    <row r="30" spans="7:36" ht="14.65" customHeight="1" thickTop="1" x14ac:dyDescent="0.45">
      <c r="AJ30" s="10">
        <f t="shared" si="4"/>
        <v>5</v>
      </c>
    </row>
    <row r="31" spans="7:36" x14ac:dyDescent="0.45">
      <c r="AJ31" s="10">
        <f t="shared" si="4"/>
        <v>5</v>
      </c>
    </row>
    <row r="32" spans="7:36" x14ac:dyDescent="0.45">
      <c r="AJ32" s="10">
        <f t="shared" si="4"/>
        <v>5</v>
      </c>
    </row>
    <row r="33" spans="7:36" x14ac:dyDescent="0.45">
      <c r="AJ33" s="10">
        <f t="shared" si="4"/>
        <v>5</v>
      </c>
    </row>
    <row r="34" spans="7:36" x14ac:dyDescent="0.45">
      <c r="AJ34" s="10">
        <f t="shared" si="4"/>
        <v>6</v>
      </c>
    </row>
    <row r="35" spans="7:36" x14ac:dyDescent="0.45">
      <c r="AJ35" s="10">
        <f t="shared" si="4"/>
        <v>6</v>
      </c>
    </row>
    <row r="36" spans="7:36" x14ac:dyDescent="0.45">
      <c r="G36" s="2" t="s">
        <v>9</v>
      </c>
      <c r="AJ36" s="10">
        <f t="shared" si="4"/>
        <v>6</v>
      </c>
    </row>
    <row r="37" spans="7:36" x14ac:dyDescent="0.45"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4"/>
        <v>6</v>
      </c>
    </row>
    <row r="38" spans="7:36" x14ac:dyDescent="0.45"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4"/>
        <v>6</v>
      </c>
    </row>
    <row r="39" spans="7:36" x14ac:dyDescent="0.45"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4"/>
        <v>7</v>
      </c>
    </row>
    <row r="40" spans="7:36" x14ac:dyDescent="0.45"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4"/>
        <v>7</v>
      </c>
    </row>
    <row r="41" spans="7:36" x14ac:dyDescent="0.45">
      <c r="AJ41" s="10">
        <f t="shared" si="4"/>
        <v>7</v>
      </c>
    </row>
    <row r="42" spans="7:36" x14ac:dyDescent="0.45">
      <c r="AJ42" s="10">
        <f t="shared" si="4"/>
        <v>7</v>
      </c>
    </row>
    <row r="43" spans="7:36" x14ac:dyDescent="0.45">
      <c r="G43" t="s">
        <v>104</v>
      </c>
      <c r="AJ43" s="10">
        <f t="shared" si="4"/>
        <v>7</v>
      </c>
    </row>
    <row r="44" spans="7:36" x14ac:dyDescent="0.45">
      <c r="G44" t="s">
        <v>13</v>
      </c>
      <c r="H44" t="s">
        <v>87</v>
      </c>
      <c r="I44">
        <v>2022</v>
      </c>
      <c r="J44">
        <f>J17</f>
        <v>2025</v>
      </c>
      <c r="K44">
        <f t="shared" ref="K44:O44" si="10">K17</f>
        <v>2030</v>
      </c>
      <c r="L44">
        <f t="shared" si="10"/>
        <v>2035</v>
      </c>
      <c r="M44">
        <f t="shared" si="10"/>
        <v>2040</v>
      </c>
      <c r="N44">
        <f t="shared" si="10"/>
        <v>2045</v>
      </c>
      <c r="O44">
        <f t="shared" si="10"/>
        <v>2050</v>
      </c>
      <c r="R44" t="s">
        <v>82</v>
      </c>
      <c r="S44" t="s">
        <v>83</v>
      </c>
      <c r="AJ44" s="10">
        <f t="shared" si="4"/>
        <v>8</v>
      </c>
    </row>
    <row r="45" spans="7:36" x14ac:dyDescent="0.45">
      <c r="G45" t="s">
        <v>78</v>
      </c>
      <c r="H45" t="str">
        <f>G45</f>
        <v>Gas</v>
      </c>
      <c r="I45">
        <f t="shared" ref="I45:O48" si="11">AVERAGE($R45:$S45)*I37</f>
        <v>33.4</v>
      </c>
      <c r="J45">
        <f t="shared" si="11"/>
        <v>35.738</v>
      </c>
      <c r="K45">
        <f t="shared" si="11"/>
        <v>41.415999999999997</v>
      </c>
      <c r="L45">
        <f t="shared" si="11"/>
        <v>38.409999999999997</v>
      </c>
      <c r="M45">
        <f t="shared" si="11"/>
        <v>41.75</v>
      </c>
      <c r="N45">
        <f t="shared" si="11"/>
        <v>39.077999999999996</v>
      </c>
      <c r="O45">
        <f t="shared" si="11"/>
        <v>44.756</v>
      </c>
      <c r="R45">
        <f>HLOOKUP($G45&amp;"_"&amp;R$44,fuel_prices!$B$10:$I$11,2,FALSE)</f>
        <v>27.4</v>
      </c>
      <c r="S45">
        <f>HLOOKUP($G45&amp;"_"&amp;S$44,fuel_prices!$B$10:$I$11,2,FALSE)</f>
        <v>39.4</v>
      </c>
      <c r="AJ45" s="10">
        <f t="shared" si="4"/>
        <v>8</v>
      </c>
    </row>
    <row r="46" spans="7:36" x14ac:dyDescent="0.45">
      <c r="G46" t="s">
        <v>79</v>
      </c>
      <c r="H46" t="str">
        <f t="shared" ref="H46:H48" si="12">G46</f>
        <v>Coal</v>
      </c>
      <c r="I46">
        <f t="shared" si="11"/>
        <v>12.2</v>
      </c>
      <c r="J46">
        <f t="shared" si="11"/>
        <v>12.443999999999999</v>
      </c>
      <c r="K46">
        <f t="shared" si="11"/>
        <v>12.932</v>
      </c>
      <c r="L46">
        <f t="shared" si="11"/>
        <v>13.054</v>
      </c>
      <c r="M46">
        <f t="shared" si="11"/>
        <v>13.176</v>
      </c>
      <c r="N46">
        <f t="shared" si="11"/>
        <v>13.42</v>
      </c>
      <c r="O46">
        <f t="shared" si="11"/>
        <v>13.664</v>
      </c>
      <c r="R46">
        <f>HLOOKUP($G46&amp;"_"&amp;R$44,fuel_prices!$B$10:$I$11,2,FALSE)</f>
        <v>10.7</v>
      </c>
      <c r="S46">
        <f>HLOOKUP($G46&amp;"_"&amp;S$44,fuel_prices!$B$10:$I$11,2,FALSE)</f>
        <v>13.7</v>
      </c>
      <c r="AJ46" s="10">
        <f t="shared" si="4"/>
        <v>8</v>
      </c>
    </row>
    <row r="47" spans="7:36" x14ac:dyDescent="0.45">
      <c r="G47" t="s">
        <v>80</v>
      </c>
      <c r="H47" t="str">
        <f t="shared" si="12"/>
        <v>Oil</v>
      </c>
      <c r="I47">
        <f t="shared" si="11"/>
        <v>53</v>
      </c>
      <c r="J47">
        <f t="shared" si="11"/>
        <v>53.53</v>
      </c>
      <c r="K47">
        <f t="shared" si="11"/>
        <v>58.830000000000005</v>
      </c>
      <c r="L47">
        <f t="shared" si="11"/>
        <v>53.53</v>
      </c>
      <c r="M47">
        <f t="shared" si="11"/>
        <v>53.53</v>
      </c>
      <c r="N47">
        <f t="shared" si="11"/>
        <v>55.120000000000005</v>
      </c>
      <c r="O47">
        <f t="shared" si="11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4"/>
        <v>8</v>
      </c>
    </row>
    <row r="48" spans="7:36" x14ac:dyDescent="0.45">
      <c r="G48" t="s">
        <v>81</v>
      </c>
      <c r="H48" t="str">
        <f t="shared" si="12"/>
        <v>Bioenergy</v>
      </c>
      <c r="I48">
        <f t="shared" si="11"/>
        <v>26</v>
      </c>
      <c r="O48">
        <f>VLOOKUP($E$5,$AK$9:$AM$15,3,FALSE)*I48</f>
        <v>78</v>
      </c>
      <c r="R48">
        <f>HLOOKUP($G48&amp;"_"&amp;R$44,fuel_prices!$B$10:$I$11,2,FALSE)</f>
        <v>22</v>
      </c>
      <c r="S48">
        <f>HLOOKUP($G48&amp;"_"&amp;S$44,fuel_prices!$B$10:$I$11,2,FALSE)</f>
        <v>30</v>
      </c>
      <c r="AJ48" s="10">
        <f t="shared" si="4"/>
        <v>8</v>
      </c>
    </row>
    <row r="49" spans="36:36" x14ac:dyDescent="0.45">
      <c r="AJ49" s="10">
        <f t="shared" si="4"/>
        <v>9</v>
      </c>
    </row>
    <row r="50" spans="36:36" x14ac:dyDescent="0.45">
      <c r="AJ50" s="10">
        <f t="shared" si="4"/>
        <v>9</v>
      </c>
    </row>
    <row r="51" spans="36:36" x14ac:dyDescent="0.45">
      <c r="AJ51" s="10">
        <f t="shared" si="4"/>
        <v>9</v>
      </c>
    </row>
    <row r="52" spans="36:36" x14ac:dyDescent="0.45">
      <c r="AJ52" s="10">
        <f t="shared" si="4"/>
        <v>9</v>
      </c>
    </row>
    <row r="53" spans="36:36" x14ac:dyDescent="0.45">
      <c r="AJ53" s="10">
        <f t="shared" si="4"/>
        <v>9</v>
      </c>
    </row>
    <row r="54" spans="36:36" x14ac:dyDescent="0.45">
      <c r="AJ54" s="10">
        <f t="shared" si="4"/>
        <v>10</v>
      </c>
    </row>
    <row r="55" spans="36:36" x14ac:dyDescent="0.45">
      <c r="AJ55" s="10">
        <f t="shared" si="4"/>
        <v>10</v>
      </c>
    </row>
    <row r="56" spans="36:36" x14ac:dyDescent="0.45">
      <c r="AJ56" s="10">
        <f t="shared" si="4"/>
        <v>10</v>
      </c>
    </row>
    <row r="57" spans="36:36" x14ac:dyDescent="0.45">
      <c r="AJ57" s="10">
        <f t="shared" si="4"/>
        <v>10</v>
      </c>
    </row>
    <row r="58" spans="36:36" x14ac:dyDescent="0.45">
      <c r="AJ58" s="10">
        <f t="shared" si="4"/>
        <v>10</v>
      </c>
    </row>
    <row r="59" spans="36:36" x14ac:dyDescent="0.45">
      <c r="AJ59" s="10">
        <f t="shared" si="4"/>
        <v>11</v>
      </c>
    </row>
    <row r="60" spans="36:36" x14ac:dyDescent="0.45">
      <c r="AJ60" s="10">
        <f t="shared" si="4"/>
        <v>11</v>
      </c>
    </row>
    <row r="61" spans="36:36" x14ac:dyDescent="0.45">
      <c r="AJ61" s="10">
        <f t="shared" si="4"/>
        <v>11</v>
      </c>
    </row>
    <row r="62" spans="36:36" x14ac:dyDescent="0.45">
      <c r="AJ62" s="10">
        <f t="shared" si="4"/>
        <v>11</v>
      </c>
    </row>
    <row r="63" spans="36:36" x14ac:dyDescent="0.45">
      <c r="AJ63" s="10">
        <f t="shared" si="4"/>
        <v>11</v>
      </c>
    </row>
    <row r="64" spans="36:36" x14ac:dyDescent="0.45">
      <c r="AJ64" s="10">
        <f t="shared" si="4"/>
        <v>12</v>
      </c>
    </row>
    <row r="65" spans="36:36" x14ac:dyDescent="0.45">
      <c r="AJ65" s="10">
        <f t="shared" si="4"/>
        <v>12</v>
      </c>
    </row>
    <row r="66" spans="36:36" x14ac:dyDescent="0.45">
      <c r="AJ66" s="10">
        <f t="shared" si="4"/>
        <v>12</v>
      </c>
    </row>
    <row r="67" spans="36:36" x14ac:dyDescent="0.45">
      <c r="AJ67" s="10">
        <f t="shared" si="4"/>
        <v>12</v>
      </c>
    </row>
    <row r="68" spans="36:36" x14ac:dyDescent="0.45">
      <c r="AJ68" s="10">
        <f t="shared" si="4"/>
        <v>12</v>
      </c>
    </row>
    <row r="69" spans="36:36" x14ac:dyDescent="0.45">
      <c r="AJ69" s="10">
        <f t="shared" si="4"/>
        <v>13</v>
      </c>
    </row>
    <row r="70" spans="36:36" x14ac:dyDescent="0.45">
      <c r="AJ70" s="10">
        <f t="shared" si="4"/>
        <v>13</v>
      </c>
    </row>
    <row r="71" spans="36:36" x14ac:dyDescent="0.45">
      <c r="AJ71" s="10">
        <f t="shared" si="4"/>
        <v>13</v>
      </c>
    </row>
    <row r="72" spans="36:36" x14ac:dyDescent="0.45">
      <c r="AJ72" s="10">
        <f t="shared" si="4"/>
        <v>13</v>
      </c>
    </row>
    <row r="73" spans="36:36" x14ac:dyDescent="0.45">
      <c r="AJ73" s="10">
        <f t="shared" si="4"/>
        <v>13</v>
      </c>
    </row>
    <row r="74" spans="36:36" x14ac:dyDescent="0.45">
      <c r="AJ74" s="10">
        <f t="shared" si="4"/>
        <v>14</v>
      </c>
    </row>
    <row r="75" spans="36:36" x14ac:dyDescent="0.45">
      <c r="AJ75" s="10">
        <f t="shared" si="4"/>
        <v>14</v>
      </c>
    </row>
    <row r="76" spans="36:36" x14ac:dyDescent="0.45">
      <c r="AJ76" s="10">
        <f t="shared" si="4"/>
        <v>14</v>
      </c>
    </row>
    <row r="77" spans="36:36" x14ac:dyDescent="0.45">
      <c r="AJ77" s="10">
        <f t="shared" si="4"/>
        <v>14</v>
      </c>
    </row>
    <row r="78" spans="36:36" x14ac:dyDescent="0.45">
      <c r="AJ78" s="10">
        <f t="shared" si="4"/>
        <v>14</v>
      </c>
    </row>
    <row r="82" spans="1:6" x14ac:dyDescent="0.45">
      <c r="A82" t="s">
        <v>120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121</v>
      </c>
      <c r="C84">
        <v>1.4550000000000001</v>
      </c>
      <c r="D84">
        <v>1.881</v>
      </c>
      <c r="E84">
        <v>1.881</v>
      </c>
      <c r="F84" t="s">
        <v>122</v>
      </c>
    </row>
    <row r="85" spans="1:6" x14ac:dyDescent="0.45">
      <c r="A85" t="s">
        <v>32</v>
      </c>
      <c r="B85" t="s">
        <v>121</v>
      </c>
      <c r="C85">
        <v>1.8</v>
      </c>
      <c r="D85">
        <v>3.3</v>
      </c>
      <c r="E85">
        <v>3.3</v>
      </c>
      <c r="F85" t="s">
        <v>122</v>
      </c>
    </row>
  </sheetData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116</v>
      </c>
      <c r="B11">
        <v>27.4</v>
      </c>
      <c r="C11">
        <v>39.4</v>
      </c>
      <c r="D11">
        <v>10.7</v>
      </c>
      <c r="E11">
        <v>13.7</v>
      </c>
      <c r="F11">
        <v>48</v>
      </c>
      <c r="G11">
        <v>58</v>
      </c>
      <c r="H11">
        <v>22</v>
      </c>
      <c r="I11">
        <v>30</v>
      </c>
      <c r="J11" t="s">
        <v>118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116</v>
      </c>
      <c r="B11">
        <v>2000</v>
      </c>
      <c r="C11">
        <v>75.849999999999994</v>
      </c>
      <c r="D11">
        <v>53.54</v>
      </c>
      <c r="E11">
        <v>4.3099999999999996</v>
      </c>
      <c r="F11">
        <v>0.02</v>
      </c>
      <c r="G11">
        <v>3.29</v>
      </c>
      <c r="H11">
        <v>-9.66</v>
      </c>
      <c r="I11">
        <v>143.16999999999999</v>
      </c>
    </row>
    <row r="12" spans="1:9" x14ac:dyDescent="0.45">
      <c r="A12" t="s">
        <v>116</v>
      </c>
      <c r="B12">
        <v>2001</v>
      </c>
      <c r="C12">
        <v>74.36</v>
      </c>
      <c r="D12">
        <v>55.12</v>
      </c>
      <c r="E12">
        <v>4.2699999999999996</v>
      </c>
      <c r="F12">
        <v>0.02</v>
      </c>
      <c r="G12">
        <v>4.3099999999999996</v>
      </c>
      <c r="H12">
        <v>-11.04</v>
      </c>
      <c r="I12">
        <v>143.72</v>
      </c>
    </row>
    <row r="13" spans="1:9" x14ac:dyDescent="0.45">
      <c r="A13" t="s">
        <v>116</v>
      </c>
      <c r="B13">
        <v>2002</v>
      </c>
      <c r="C13">
        <v>73.3</v>
      </c>
      <c r="D13">
        <v>54.71</v>
      </c>
      <c r="E13">
        <v>4.29</v>
      </c>
      <c r="F13">
        <v>0.02</v>
      </c>
      <c r="G13">
        <v>4.47</v>
      </c>
      <c r="H13">
        <v>-11.54</v>
      </c>
      <c r="I13">
        <v>142.5</v>
      </c>
    </row>
    <row r="14" spans="1:9" x14ac:dyDescent="0.45">
      <c r="A14" t="s">
        <v>116</v>
      </c>
      <c r="B14">
        <v>2003</v>
      </c>
      <c r="C14">
        <v>75.86</v>
      </c>
      <c r="D14">
        <v>56.23</v>
      </c>
      <c r="E14">
        <v>4.37</v>
      </c>
      <c r="F14">
        <v>0.02</v>
      </c>
      <c r="G14">
        <v>4.99</v>
      </c>
      <c r="H14">
        <v>-15.15</v>
      </c>
      <c r="I14">
        <v>150.01</v>
      </c>
    </row>
    <row r="15" spans="1:9" x14ac:dyDescent="0.45">
      <c r="A15" t="s">
        <v>116</v>
      </c>
      <c r="B15">
        <v>2004</v>
      </c>
      <c r="C15">
        <v>78.180000000000007</v>
      </c>
      <c r="D15">
        <v>57.95</v>
      </c>
      <c r="E15">
        <v>3.88</v>
      </c>
      <c r="F15">
        <v>0.02</v>
      </c>
      <c r="G15">
        <v>5.31</v>
      </c>
      <c r="H15">
        <v>-14.6</v>
      </c>
      <c r="I15">
        <v>152.55000000000001</v>
      </c>
    </row>
    <row r="16" spans="1:9" x14ac:dyDescent="0.45">
      <c r="A16" t="s">
        <v>116</v>
      </c>
      <c r="B16">
        <v>2005</v>
      </c>
      <c r="C16">
        <v>77.150000000000006</v>
      </c>
      <c r="D16">
        <v>60.1</v>
      </c>
      <c r="E16">
        <v>3.55</v>
      </c>
      <c r="F16">
        <v>0.02</v>
      </c>
      <c r="G16">
        <v>5</v>
      </c>
      <c r="H16">
        <v>-16.190000000000001</v>
      </c>
      <c r="I16">
        <v>155.36000000000001</v>
      </c>
    </row>
    <row r="17" spans="1:9" x14ac:dyDescent="0.45">
      <c r="A17" t="s">
        <v>116</v>
      </c>
      <c r="B17">
        <v>2006</v>
      </c>
      <c r="C17">
        <v>78.91</v>
      </c>
      <c r="D17">
        <v>64.7</v>
      </c>
      <c r="E17">
        <v>3.1</v>
      </c>
      <c r="F17">
        <v>0.02</v>
      </c>
      <c r="G17">
        <v>4.79</v>
      </c>
      <c r="H17">
        <v>-15.78</v>
      </c>
      <c r="I17">
        <v>160.76</v>
      </c>
    </row>
    <row r="18" spans="1:9" x14ac:dyDescent="0.45">
      <c r="A18" t="s">
        <v>116</v>
      </c>
      <c r="B18">
        <v>2007</v>
      </c>
      <c r="C18">
        <v>82.1</v>
      </c>
      <c r="D18">
        <v>65.06</v>
      </c>
      <c r="E18">
        <v>3.25</v>
      </c>
      <c r="F18">
        <v>0.02</v>
      </c>
      <c r="G18">
        <v>7.76</v>
      </c>
      <c r="H18">
        <v>-13.11</v>
      </c>
      <c r="I18">
        <v>158.76</v>
      </c>
    </row>
    <row r="19" spans="1:9" x14ac:dyDescent="0.45">
      <c r="A19" t="s">
        <v>116</v>
      </c>
      <c r="B19">
        <v>2008</v>
      </c>
      <c r="C19">
        <v>78.39</v>
      </c>
      <c r="D19">
        <v>69.83</v>
      </c>
      <c r="E19">
        <v>3.17</v>
      </c>
      <c r="F19">
        <v>0.02</v>
      </c>
      <c r="G19">
        <v>9.0299999999999994</v>
      </c>
      <c r="H19">
        <v>-9.6999999999999993</v>
      </c>
      <c r="I19">
        <v>154.71</v>
      </c>
    </row>
    <row r="20" spans="1:9" x14ac:dyDescent="0.45">
      <c r="A20" t="s">
        <v>116</v>
      </c>
      <c r="B20">
        <v>2009</v>
      </c>
      <c r="C20">
        <v>73.959999999999994</v>
      </c>
      <c r="D20">
        <v>69.69</v>
      </c>
      <c r="E20">
        <v>2.86</v>
      </c>
      <c r="F20">
        <v>0.02</v>
      </c>
      <c r="G20">
        <v>7.4</v>
      </c>
      <c r="H20">
        <v>-9.59</v>
      </c>
      <c r="I20">
        <v>151.12</v>
      </c>
    </row>
    <row r="21" spans="1:9" x14ac:dyDescent="0.45">
      <c r="A21" t="s">
        <v>116</v>
      </c>
      <c r="B21">
        <v>2010</v>
      </c>
      <c r="C21">
        <v>76.11</v>
      </c>
      <c r="D21">
        <v>73.900000000000006</v>
      </c>
      <c r="E21">
        <v>2.96</v>
      </c>
      <c r="F21">
        <v>0.02</v>
      </c>
      <c r="G21">
        <v>6.31</v>
      </c>
      <c r="H21">
        <v>-7.66</v>
      </c>
      <c r="I21">
        <v>157.09</v>
      </c>
    </row>
    <row r="22" spans="1:9" x14ac:dyDescent="0.45">
      <c r="A22" t="s">
        <v>116</v>
      </c>
      <c r="B22">
        <v>2011</v>
      </c>
      <c r="C22">
        <v>78.38</v>
      </c>
      <c r="D22">
        <v>74.040000000000006</v>
      </c>
      <c r="E22">
        <v>2.96</v>
      </c>
      <c r="F22">
        <v>0.02</v>
      </c>
      <c r="G22">
        <v>6.78</v>
      </c>
      <c r="H22">
        <v>-12.02</v>
      </c>
      <c r="I22">
        <v>163.12</v>
      </c>
    </row>
    <row r="23" spans="1:9" x14ac:dyDescent="0.45">
      <c r="A23" t="s">
        <v>116</v>
      </c>
      <c r="B23">
        <v>2012</v>
      </c>
      <c r="C23">
        <v>79.09</v>
      </c>
      <c r="D23">
        <v>74.260000000000005</v>
      </c>
      <c r="E23">
        <v>2.87</v>
      </c>
      <c r="F23">
        <v>0.02</v>
      </c>
      <c r="G23">
        <v>9.8000000000000007</v>
      </c>
      <c r="H23">
        <v>-12.64</v>
      </c>
      <c r="I23">
        <v>161.71</v>
      </c>
    </row>
    <row r="24" spans="1:9" x14ac:dyDescent="0.45">
      <c r="A24" t="s">
        <v>116</v>
      </c>
      <c r="B24">
        <v>2013</v>
      </c>
      <c r="C24">
        <v>80.930000000000007</v>
      </c>
      <c r="D24">
        <v>73.11</v>
      </c>
      <c r="E24">
        <v>2.85</v>
      </c>
      <c r="F24">
        <v>0.02</v>
      </c>
      <c r="G24">
        <v>7.8</v>
      </c>
      <c r="H24">
        <v>-12.32</v>
      </c>
      <c r="I24">
        <v>164.02</v>
      </c>
    </row>
    <row r="25" spans="1:9" x14ac:dyDescent="0.45">
      <c r="A25" t="s">
        <v>116</v>
      </c>
      <c r="B25">
        <v>2014</v>
      </c>
      <c r="C25">
        <v>80.56</v>
      </c>
      <c r="D25">
        <v>74.75</v>
      </c>
      <c r="E25">
        <v>2.7</v>
      </c>
      <c r="F25">
        <v>0.02</v>
      </c>
      <c r="G25">
        <v>13.51</v>
      </c>
      <c r="H25">
        <v>-11.34</v>
      </c>
      <c r="I25">
        <v>158.51</v>
      </c>
    </row>
    <row r="26" spans="1:9" x14ac:dyDescent="0.45">
      <c r="A26" t="s">
        <v>116</v>
      </c>
      <c r="B26">
        <v>2015</v>
      </c>
      <c r="C26">
        <v>82.98</v>
      </c>
      <c r="D26">
        <v>75.23</v>
      </c>
      <c r="E26">
        <v>2.8</v>
      </c>
      <c r="F26">
        <v>0.02</v>
      </c>
      <c r="G26">
        <v>14.46</v>
      </c>
      <c r="H26">
        <v>-14.79</v>
      </c>
      <c r="I26">
        <v>164.34</v>
      </c>
    </row>
    <row r="27" spans="1:9" x14ac:dyDescent="0.45">
      <c r="A27" t="s">
        <v>116</v>
      </c>
      <c r="B27">
        <v>2016</v>
      </c>
      <c r="C27">
        <v>84</v>
      </c>
      <c r="D27">
        <v>78.34</v>
      </c>
      <c r="E27">
        <v>2.96</v>
      </c>
      <c r="F27">
        <v>0.02</v>
      </c>
      <c r="G27">
        <v>14.02</v>
      </c>
      <c r="H27">
        <v>-12.02</v>
      </c>
      <c r="I27">
        <v>166.15</v>
      </c>
    </row>
    <row r="28" spans="1:9" x14ac:dyDescent="0.45">
      <c r="A28" t="s">
        <v>116</v>
      </c>
      <c r="B28">
        <v>2017</v>
      </c>
      <c r="C28">
        <v>88.21</v>
      </c>
      <c r="D28">
        <v>77.91</v>
      </c>
      <c r="E28">
        <v>3.06</v>
      </c>
      <c r="F28">
        <v>0.03</v>
      </c>
      <c r="G28">
        <v>13.27</v>
      </c>
      <c r="H28">
        <v>-10.98</v>
      </c>
      <c r="I28">
        <v>169.99</v>
      </c>
    </row>
    <row r="29" spans="1:9" x14ac:dyDescent="0.45">
      <c r="A29" t="s">
        <v>116</v>
      </c>
      <c r="B29">
        <v>2018</v>
      </c>
      <c r="C29">
        <v>88.27</v>
      </c>
      <c r="D29">
        <v>80.569999999999993</v>
      </c>
      <c r="E29">
        <v>3.2</v>
      </c>
      <c r="F29">
        <v>0.03</v>
      </c>
      <c r="G29">
        <v>13.82</v>
      </c>
      <c r="H29">
        <v>-8.1199999999999992</v>
      </c>
      <c r="I29">
        <v>169.62</v>
      </c>
    </row>
    <row r="30" spans="1:9" x14ac:dyDescent="0.45">
      <c r="A30" t="s">
        <v>116</v>
      </c>
      <c r="B30">
        <v>2019</v>
      </c>
      <c r="C30">
        <v>86.39</v>
      </c>
      <c r="D30">
        <v>80.31</v>
      </c>
      <c r="E30">
        <v>3.15</v>
      </c>
      <c r="F30">
        <v>0.03</v>
      </c>
      <c r="G30">
        <v>17.87</v>
      </c>
      <c r="H30">
        <v>-7.25</v>
      </c>
      <c r="I30">
        <v>163.28</v>
      </c>
    </row>
    <row r="31" spans="1:9" x14ac:dyDescent="0.45">
      <c r="A31" t="s">
        <v>116</v>
      </c>
      <c r="B31">
        <v>2020</v>
      </c>
      <c r="C31">
        <v>84.93</v>
      </c>
      <c r="D31">
        <v>78.86</v>
      </c>
      <c r="E31">
        <v>2.89</v>
      </c>
      <c r="F31">
        <v>7.0000000000000007E-2</v>
      </c>
      <c r="G31">
        <v>20.62</v>
      </c>
      <c r="H31">
        <v>-7.36</v>
      </c>
      <c r="I31">
        <v>157.22</v>
      </c>
    </row>
    <row r="32" spans="1:9" x14ac:dyDescent="0.45">
      <c r="A32" t="s">
        <v>116</v>
      </c>
      <c r="B32">
        <v>2021</v>
      </c>
      <c r="C32">
        <v>87.3</v>
      </c>
      <c r="D32">
        <v>83.98</v>
      </c>
      <c r="E32">
        <v>3.22</v>
      </c>
      <c r="F32">
        <v>0.06</v>
      </c>
      <c r="G32">
        <v>15.1</v>
      </c>
      <c r="H32">
        <v>-14.21</v>
      </c>
      <c r="I32">
        <v>178.87</v>
      </c>
    </row>
    <row r="33" spans="1:9" x14ac:dyDescent="0.45">
      <c r="A33" t="s">
        <v>116</v>
      </c>
      <c r="B33">
        <v>2022</v>
      </c>
      <c r="C33">
        <v>83.2</v>
      </c>
      <c r="D33">
        <v>84.78</v>
      </c>
      <c r="E33">
        <v>3.32</v>
      </c>
      <c r="F33">
        <v>0.17</v>
      </c>
      <c r="G33">
        <v>15.24</v>
      </c>
      <c r="H33">
        <v>-16.91</v>
      </c>
      <c r="I33">
        <v>178.7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117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117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117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117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117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117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117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117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117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117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117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117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117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117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117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117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117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117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117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117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117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117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117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117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117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117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117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117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117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117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117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117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117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117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117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117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117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117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117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117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117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117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117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117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117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117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117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117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117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117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117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117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117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117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117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117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117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117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117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117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117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117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117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117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117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117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117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117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117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117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117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117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117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117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117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117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117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117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117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117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117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117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117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117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117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117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117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117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117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117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117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117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117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117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117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117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117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117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117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117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117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117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117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117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117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117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117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117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117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117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117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117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117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117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117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117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117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117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117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117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117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117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117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117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117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117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117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117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117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117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117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117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117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117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117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117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117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117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117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117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117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117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117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117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117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117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117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117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117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117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117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117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117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117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117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117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117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117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117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117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117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117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117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117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117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117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117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117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117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117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117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117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117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117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117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117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117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117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117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117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117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117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117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117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117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117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117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117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117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117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117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117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117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117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117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117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117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117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117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117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117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117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117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117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117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117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117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117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117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117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117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117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117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117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117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117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117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117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117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117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117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117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117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117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117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117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117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117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117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117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117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117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117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117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117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117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117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117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117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117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117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117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117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117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117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117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117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117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117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117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117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117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117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117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117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117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117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117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117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117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117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117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117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117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117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117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117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117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117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117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117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117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117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117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117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117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117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117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117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117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117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117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117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117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117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117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117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117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117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117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117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117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117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117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117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117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117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117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117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117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117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117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117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117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117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117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117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117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117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117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117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117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117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117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117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117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117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117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117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117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117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117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117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117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117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117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117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117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117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117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117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117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117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117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117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117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117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117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117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117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117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117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117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117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117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117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117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117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117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117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fuel_prices</vt:lpstr>
      <vt:lpstr>iea_data</vt:lpstr>
      <vt:lpstr>ar6_r10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2026-06-05T06:54:43Z</dcterms:modified>
</cp:coreProperties>
</file>