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06B5F6BF-3BAD-46D2-869B-25979711E87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9" i="1"/>
  <c r="D10" i="1"/>
  <c r="D11" i="1"/>
  <c r="D12" i="1"/>
  <c r="D1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L19" i="1" l="1"/>
  <c r="N21" i="1"/>
  <c r="M24" i="1"/>
  <c r="X24" i="1" s="1"/>
  <c r="O24" i="1"/>
  <c r="Z24" i="1" s="1"/>
  <c r="O19" i="1"/>
  <c r="K15" i="1"/>
  <c r="V14" i="1" s="1"/>
  <c r="M18" i="1"/>
  <c r="N18" i="1"/>
  <c r="L24" i="1"/>
  <c r="W24" i="1" s="1"/>
  <c r="N19" i="1"/>
  <c r="J15" i="1"/>
  <c r="U14" i="1" s="1"/>
  <c r="I21" i="1"/>
  <c r="T21" i="1" s="1"/>
  <c r="U21" i="1" s="1"/>
  <c r="V21" i="1" s="1"/>
  <c r="W21" i="1" s="1"/>
  <c r="X21" i="1" s="1"/>
  <c r="Y21" i="1" s="1"/>
  <c r="Z21" i="1" s="1"/>
  <c r="L15" i="1"/>
  <c r="W14" i="1" s="1"/>
  <c r="K18" i="1"/>
  <c r="N15" i="1"/>
  <c r="Y14" i="1" s="1"/>
  <c r="O21" i="1"/>
  <c r="O20" i="1"/>
  <c r="K24" i="1"/>
  <c r="V24" i="1" s="1"/>
  <c r="O15" i="1"/>
  <c r="Z14" i="1" s="1"/>
  <c r="Z20" i="1" s="1"/>
  <c r="J19" i="1"/>
  <c r="U19" i="1" s="1"/>
  <c r="J18" i="1"/>
  <c r="K19" i="1"/>
  <c r="L21" i="1"/>
  <c r="I20" i="1"/>
  <c r="T20" i="1" s="1"/>
  <c r="O18" i="1"/>
  <c r="I15" i="1"/>
  <c r="I19" i="1"/>
  <c r="T19" i="1" s="1"/>
  <c r="J20" i="1"/>
  <c r="I18" i="1"/>
  <c r="T18" i="1" s="1"/>
  <c r="K21" i="1"/>
  <c r="L18" i="1"/>
  <c r="L20" i="1"/>
  <c r="M19" i="1"/>
  <c r="M20" i="1"/>
  <c r="N20" i="1"/>
  <c r="K20" i="1"/>
  <c r="V20" i="1" s="1"/>
  <c r="J21" i="1"/>
  <c r="M15" i="1"/>
  <c r="X14" i="1" s="1"/>
  <c r="X20" i="1" s="1"/>
  <c r="M21" i="1"/>
  <c r="N24" i="1"/>
  <c r="Y24" i="1" s="1"/>
  <c r="O48" i="1"/>
  <c r="D5" i="1"/>
  <c r="AJ59" i="1"/>
  <c r="AJ55" i="1"/>
  <c r="V18" i="1" l="1"/>
  <c r="Z19" i="1"/>
  <c r="Z22" i="1" s="1"/>
  <c r="X19" i="1"/>
  <c r="X22" i="1" s="1"/>
  <c r="U18" i="1"/>
  <c r="W20" i="1"/>
  <c r="Y19" i="1"/>
  <c r="Y18" i="1"/>
  <c r="Y20" i="1"/>
  <c r="Y22" i="1" s="1"/>
  <c r="W18" i="1"/>
  <c r="X18" i="1"/>
  <c r="U20" i="1"/>
  <c r="U22" i="1" s="1"/>
  <c r="V19" i="1"/>
  <c r="V22" i="1" s="1"/>
  <c r="W19" i="1"/>
  <c r="T22" i="1"/>
  <c r="Z18" i="1"/>
  <c r="AJ60" i="1"/>
  <c r="AJ64" i="1"/>
  <c r="W22" i="1" l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<sst xmlns="http://schemas.openxmlformats.org/spreadsheetml/2006/main" count="1705" uniqueCount="124">
  <si>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</si>
  <si>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</si>
  <si>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</si>
  <si>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</si>
  <si>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</si>
  <si>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</si>
  <si>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</si>
  <si>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</si>
  <si>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</si>
  <si>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</si>
  <si>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</si>
  <si>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</si>
  <si>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</si>
  <si>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</si>
  <si>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</si>
  <si>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</si>
  <si>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</si>
  <si>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</si>
  <si>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</si>
  <si>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</si>
  <si>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</si>
  <si>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</si>
  <si>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</si>
  <si>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</si>
  <si>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</si>
  <si>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</si>
  <si>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</si>
  <si>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</si>
  <si>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</si>
  <si>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</si>
  <si>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</si>
  <si>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</si>
  <si>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</si>
  <si>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</si>
  <si>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</si>
  <si>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</si>
  <si>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</si>
  <si>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</si>
  <si>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</si>
  <si>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</si>
  <si>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</si>
  <si>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</si>
  <si>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</si>
  <si>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</si>
  <si>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</si>
  <si>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</si>
  <si>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</si>
  <si>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</si>
  <si>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</si>
  <si>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</si>
  <si>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</si>
  <si>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</si>
  <si>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</si>
  <si>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</si>
  <si>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</si>
  <si>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</si>
  <si>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</si>
  <si>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</si>
  <si>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</si>
  <si>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</si>
  <si>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</si>
  <si>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</si>
  <si>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</si>
  <si>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</si>
  <si>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</si>
  <si>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</si>
  <si>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</si>
  <si>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</si>
  <si>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</si>
  <si>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</si>
  <si>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</si>
  <si>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</si>
  <si>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</si>
  <si>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</si>
  <si>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</si>
  <si>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</si>
  <si>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</si>
  <si>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</si>
  <si>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</si>
  <si>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</si>
  <si>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</si>
  <si>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</si>
  <si>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</si>
  <si>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</si>
  <si>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</si>
  <si>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</si>
  <si>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</si>
  <si>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</si>
  <si>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</si>
  <si>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</si>
  <si>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</si>
  <si>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</si>
  <si>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</si>
  <si>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</si>
  <si>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</si>
  <si>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</si>
  <si>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</si>
  <si>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</si>
  <si>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</si>
  <si>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</si>
  <si>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</si>
  <si>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</si>
  <si>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</si>
  <si>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</si>
  <si>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</si>
  <si>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</si>
  <si>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</si>
  <si>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</si>
  <si>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</si>
  <si>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</si>
  <si>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</si>
  <si>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</si>
  <si>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</si>
  <si>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</si>
  <si>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</si>
  <si>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</si>
  <si>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POL</t>
  </si>
  <si>
    <t>R10EUROPE</t>
  </si>
  <si>
    <t>Heat growth relative to 2020</t>
  </si>
  <si>
    <t>Pipeline gas, coal &amp; forest resources</t>
  </si>
  <si>
    <t>1-25,36-40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</si>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</sst>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9" fillId="0" borderId="0" xfId="0" applyFont="1"/>
    <xf numFmtId="0" fontId="0" fillId="5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5" t="s">
        <v>120</v>
      </c>
    </row>
    <row r="2" spans="1:39" x14ac:dyDescent="0.45">
      <c r="D2" s="1" t="str">
        <f>"~Inputcell: "&amp;_xlfn.TEXTJOIN(",",TRUE,G1:EE1)</f>
        <v>~Inputcell: 1-25,36-40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3" t="s">
        <v>95</v>
      </c>
    </row>
    <row r="8" spans="1:39" ht="14.65" thickBot="1" x14ac:dyDescent="0.5">
      <c r="A8" s="4" t="s">
        <v>100</v>
      </c>
      <c r="B8" s="4" t="s">
        <v>96</v>
      </c>
      <c r="C8" s="4" t="s">
        <v>97</v>
      </c>
      <c r="D8" s="4" t="s">
        <v>98</v>
      </c>
      <c r="E8" s="4" t="s">
        <v>99</v>
      </c>
      <c r="AM8" s="2" t="s">
        <v>105</v>
      </c>
    </row>
    <row r="9" spans="1:39" x14ac:dyDescent="0.45">
      <c r="A9">
        <v>5</v>
      </c>
      <c r="B9" t="str">
        <f>VLOOKUP(E9,$AK$9:$AL$15,2,FALSE)</f>
        <v>e 1.5 deg no OS</v>
      </c>
      <c r="C9">
        <v>1</v>
      </c>
      <c r="D9" t="str">
        <f>VLOOKUP(AJ9,$AG$9:$AH$22,2,FALSE)</f>
        <v>ts_annual</v>
      </c>
      <c r="E9" s="14" t="s">
        <v>0</v>
      </c>
      <c r="G9" t="s">
        <v>1</v>
      </c>
      <c r="AG9">
        <v>1</v>
      </c>
      <c r="AH9" t="s">
        <v>86</v>
      </c>
      <c r="AI9" t="s">
        <v>115</v>
      </c>
      <c r="AJ9" s="10">
        <v>1</v>
      </c>
      <c r="AK9" t="s">
        <v>0</v>
      </c>
      <c r="AL9" t="s">
        <v>88</v>
      </c>
      <c r="AM9" s="12">
        <v>5</v>
      </c>
    </row>
    <row r="10" spans="1:39" x14ac:dyDescent="0.45">
      <c r="A10">
        <v>5</v>
      </c>
      <c r="B10" t="str">
        <f t="shared" ref="B10:B13" si="0">VLOOKUP(E10,$AK$9:$AL$15,2,FALSE)</f>
        <v>d 1.5 deg OS</v>
      </c>
      <c r="C10">
        <f>C9+1</f>
        <v>2</v>
      </c>
      <c r="D10" t="str">
        <f t="shared" ref="D10:D13" si="1">VLOOKUP(AJ10,$AG$9:$AH$22,2,FALSE)</f>
        <v>ts_annual</v>
      </c>
      <c r="E10" s="14" t="s">
        <v>2</v>
      </c>
      <c r="G10" t="s">
        <v>3</v>
      </c>
      <c r="S10" t="s">
        <v>4</v>
      </c>
      <c r="AG10">
        <v>2</v>
      </c>
      <c r="AH10" t="s">
        <v>103</v>
      </c>
      <c r="AI10" t="s">
        <v>114</v>
      </c>
      <c r="AJ10" s="10">
        <v>1</v>
      </c>
      <c r="AK10" t="s">
        <v>2</v>
      </c>
      <c r="AL10" t="s">
        <v>90</v>
      </c>
      <c r="AM10" s="12">
        <v>4</v>
      </c>
    </row>
    <row r="11" spans="1:39" x14ac:dyDescent="0.45">
      <c r="A11">
        <v>5</v>
      </c>
      <c r="B11" t="str">
        <f t="shared" si="0"/>
        <v>c 2 deg (67%)</v>
      </c>
      <c r="C11">
        <f>C10+1</f>
        <v>3</v>
      </c>
      <c r="D11" t="str">
        <f t="shared" si="1"/>
        <v>ts_annual</v>
      </c>
      <c r="E11" s="14" t="s">
        <v>5</v>
      </c>
      <c r="G11" t="s">
        <v>6</v>
      </c>
      <c r="S11" s="1">
        <v>2022</v>
      </c>
      <c r="AG11">
        <v>3</v>
      </c>
      <c r="AH11" t="s">
        <v>101</v>
      </c>
      <c r="AI11" t="str">
        <f>AH11</f>
        <v>ts_012</v>
      </c>
      <c r="AJ11" s="10">
        <v>1</v>
      </c>
      <c r="AK11" t="s">
        <v>5</v>
      </c>
      <c r="AL11" t="s">
        <v>91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</v>
      </c>
      <c r="C12">
        <f>C11+1</f>
        <v>4</v>
      </c>
      <c r="D12" t="str">
        <f t="shared" si="1"/>
        <v>ts_annual</v>
      </c>
      <c r="E12" s="14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107</v>
      </c>
      <c r="AI12" t="str">
        <f t="shared" ref="AI12:AI16" si="2">AH12</f>
        <v>ts_030</v>
      </c>
      <c r="AJ12" s="10">
        <v>1</v>
      </c>
      <c r="AK12" t="s">
        <v>7</v>
      </c>
      <c r="AL12" t="s">
        <v>92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</v>
      </c>
      <c r="C13">
        <f>C12+1</f>
        <v>5</v>
      </c>
      <c r="D13" t="str">
        <f t="shared" si="1"/>
        <v>ts_annual</v>
      </c>
      <c r="E13" s="14" t="s">
        <v>9</v>
      </c>
      <c r="G13" t="s">
        <v>10</v>
      </c>
      <c r="AG13">
        <v>5</v>
      </c>
      <c r="AH13" t="s">
        <v>102</v>
      </c>
      <c r="AI13" t="str">
        <f t="shared" si="2"/>
        <v>ts_048</v>
      </c>
      <c r="AJ13" s="10">
        <v>1</v>
      </c>
      <c r="AK13" t="s">
        <v>9</v>
      </c>
      <c r="AL13" t="s">
        <v>93</v>
      </c>
      <c r="AM13" s="12">
        <v>1.5</v>
      </c>
    </row>
    <row r="14" spans="1:39" x14ac:dyDescent="0.45"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111</v>
      </c>
      <c r="AI14" t="str">
        <f t="shared" si="2"/>
        <v>ts_072</v>
      </c>
      <c r="AJ14" s="10">
        <f>AJ9+1</f>
        <v>2</v>
      </c>
    </row>
    <row r="15" spans="1:39" x14ac:dyDescent="0.45"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112</v>
      </c>
      <c r="AI15" t="str">
        <f t="shared" si="2"/>
        <v>ts_144</v>
      </c>
      <c r="AJ15" s="10">
        <f t="shared" ref="AJ15:AJ78" si="4">AJ10+1</f>
        <v>2</v>
      </c>
    </row>
    <row r="16" spans="1:39" ht="17.649999999999999" customHeight="1" thickBot="1" x14ac:dyDescent="0.6">
      <c r="S16" s="5" t="s">
        <v>12</v>
      </c>
      <c r="AG16">
        <v>8</v>
      </c>
      <c r="AH16" t="s">
        <v>113</v>
      </c>
      <c r="AI16" t="str">
        <f t="shared" si="2"/>
        <v>ts_288</v>
      </c>
      <c r="AJ16" s="10">
        <f t="shared" si="4"/>
        <v>2</v>
      </c>
    </row>
    <row r="17" spans="7:36" ht="15" customHeight="1" thickTop="1" thickBot="1" x14ac:dyDescent="0.5">
      <c r="I17" s="7">
        <v>2020</v>
      </c>
      <c r="J17" s="7">
        <f t="shared" ref="J17:O17" si="5">U17</f>
        <v>2025</v>
      </c>
      <c r="K17" s="7">
        <f t="shared" si="5"/>
        <v>2030</v>
      </c>
      <c r="L17" s="7">
        <f t="shared" si="5"/>
        <v>2035</v>
      </c>
      <c r="M17" s="7">
        <f t="shared" si="5"/>
        <v>2040</v>
      </c>
      <c r="N17" s="7">
        <f t="shared" si="5"/>
        <v>2045</v>
      </c>
      <c r="O17" s="7">
        <f t="shared" si="5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106</v>
      </c>
      <c r="AI17" t="s">
        <v>108</v>
      </c>
      <c r="AJ17" s="10">
        <f t="shared" si="4"/>
        <v>2</v>
      </c>
    </row>
    <row r="18" spans="7:36" x14ac:dyDescent="0.45"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6">I18*T$14</f>
        <v>0</v>
      </c>
      <c r="U18" s="6">
        <f t="shared" si="6"/>
        <v>0</v>
      </c>
      <c r="V18" s="6">
        <f t="shared" si="6"/>
        <v>2.0712509999999997</v>
      </c>
      <c r="W18" s="6">
        <f t="shared" si="6"/>
        <v>2.3367960000000001</v>
      </c>
      <c r="X18" s="6">
        <f t="shared" si="6"/>
        <v>2.6554500000000001</v>
      </c>
      <c r="Y18" s="6">
        <f t="shared" si="6"/>
        <v>5.9482080000000002</v>
      </c>
      <c r="Z18" s="6">
        <f t="shared" si="6"/>
        <v>9.6127289999999999</v>
      </c>
      <c r="AA18" t="s">
        <v>17</v>
      </c>
      <c r="AC18" s="2"/>
      <c r="AG18">
        <v>10</v>
      </c>
      <c r="AH18" t="s">
        <v>109</v>
      </c>
      <c r="AI18" t="s">
        <v>110</v>
      </c>
      <c r="AJ18" s="10">
        <f t="shared" si="4"/>
        <v>2</v>
      </c>
    </row>
    <row r="19" spans="7:36" x14ac:dyDescent="0.45"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6"/>
        <v>63.730799999999995</v>
      </c>
      <c r="U19" s="6">
        <f t="shared" si="6"/>
        <v>59.482080000000003</v>
      </c>
      <c r="V19" s="6">
        <f t="shared" si="6"/>
        <v>64.208780999999988</v>
      </c>
      <c r="W19" s="6">
        <f t="shared" si="6"/>
        <v>67.767083999999997</v>
      </c>
      <c r="X19" s="6">
        <f t="shared" si="6"/>
        <v>77.008049999999997</v>
      </c>
      <c r="Y19" s="6">
        <f t="shared" si="6"/>
        <v>86.249015999999983</v>
      </c>
      <c r="Z19" s="6">
        <f t="shared" si="6"/>
        <v>96.127290000000002</v>
      </c>
      <c r="AA19" t="s">
        <v>17</v>
      </c>
      <c r="AG19">
        <v>11</v>
      </c>
      <c r="AH19" t="s">
        <v>84</v>
      </c>
      <c r="AI19" t="s">
        <v>89</v>
      </c>
      <c r="AJ19" s="10">
        <f t="shared" si="4"/>
        <v>3</v>
      </c>
    </row>
    <row r="20" spans="7:36" x14ac:dyDescent="0.45"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6"/>
        <v>106.218</v>
      </c>
      <c r="U20" s="6">
        <f t="shared" si="6"/>
        <v>111.52890000000001</v>
      </c>
      <c r="V20" s="6">
        <f t="shared" si="6"/>
        <v>124.27505999999998</v>
      </c>
      <c r="W20" s="6">
        <f t="shared" si="6"/>
        <v>133.197372</v>
      </c>
      <c r="X20" s="6">
        <f t="shared" si="6"/>
        <v>143.39430000000002</v>
      </c>
      <c r="Y20" s="6">
        <f t="shared" si="6"/>
        <v>154.65340799999998</v>
      </c>
      <c r="Z20" s="6">
        <f t="shared" si="6"/>
        <v>169.82487900000001</v>
      </c>
      <c r="AA20" t="s">
        <v>17</v>
      </c>
      <c r="AG20">
        <v>12</v>
      </c>
      <c r="AH20" t="s">
        <v>85</v>
      </c>
      <c r="AI20" t="s">
        <v>94</v>
      </c>
      <c r="AJ20" s="10">
        <f t="shared" si="4"/>
        <v>3</v>
      </c>
    </row>
    <row r="21" spans="7:36" x14ac:dyDescent="0.45"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7">T21</f>
        <v>5.3109000000000002</v>
      </c>
      <c r="V21" s="6">
        <f t="shared" si="7"/>
        <v>5.3109000000000002</v>
      </c>
      <c r="W21" s="6">
        <f t="shared" si="7"/>
        <v>5.3109000000000002</v>
      </c>
      <c r="X21" s="6">
        <f t="shared" si="7"/>
        <v>5.3109000000000002</v>
      </c>
      <c r="Y21" s="6">
        <f t="shared" si="7"/>
        <v>5.3109000000000002</v>
      </c>
      <c r="Z21" s="6">
        <f t="shared" si="7"/>
        <v>5.3109000000000002</v>
      </c>
      <c r="AA21" t="s">
        <v>17</v>
      </c>
      <c r="AC21" s="2" t="s">
        <v>20</v>
      </c>
      <c r="AJ21" s="10">
        <f t="shared" si="4"/>
        <v>3</v>
      </c>
    </row>
    <row r="22" spans="7:36" x14ac:dyDescent="0.45">
      <c r="S22" s="10" t="s">
        <v>25</v>
      </c>
      <c r="T22" s="6">
        <f t="shared" ref="T22:Z22" si="8">T14-SUM(T19:T21)</f>
        <v>1.7702999999999918</v>
      </c>
      <c r="U22" s="6">
        <f t="shared" si="8"/>
        <v>9.5596199999999953</v>
      </c>
      <c r="V22" s="6">
        <f t="shared" si="8"/>
        <v>13.330358999999987</v>
      </c>
      <c r="W22" s="6">
        <f t="shared" si="8"/>
        <v>27.404244000000034</v>
      </c>
      <c r="X22" s="6">
        <f t="shared" si="8"/>
        <v>39.83175</v>
      </c>
      <c r="Y22" s="6">
        <f t="shared" si="8"/>
        <v>51.19707600000001</v>
      </c>
      <c r="Z22" s="6">
        <f t="shared" si="8"/>
        <v>49.161230999999987</v>
      </c>
      <c r="AA22" t="s">
        <v>17</v>
      </c>
      <c r="AJ22" s="10">
        <f t="shared" si="4"/>
        <v>3</v>
      </c>
    </row>
    <row r="23" spans="7:36" x14ac:dyDescent="0.45">
      <c r="S23" t="s">
        <v>26</v>
      </c>
      <c r="AJ23" s="10">
        <f t="shared" si="4"/>
        <v>3</v>
      </c>
    </row>
    <row r="24" spans="7:36" ht="14.65" customHeight="1" x14ac:dyDescent="0.45"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4"/>
        <v>4</v>
      </c>
    </row>
    <row r="25" spans="7:36" ht="14.65" customHeight="1" x14ac:dyDescent="0.45">
      <c r="AJ25" s="10">
        <f t="shared" si="4"/>
        <v>4</v>
      </c>
    </row>
    <row r="26" spans="7:36" ht="17.649999999999999" customHeight="1" thickBot="1" x14ac:dyDescent="0.6">
      <c r="S26" s="5" t="s">
        <v>12</v>
      </c>
      <c r="AJ26" s="10">
        <f t="shared" si="4"/>
        <v>4</v>
      </c>
    </row>
    <row r="27" spans="7:36" ht="15" customHeight="1" thickTop="1" thickBot="1" x14ac:dyDescent="0.5">
      <c r="S27" s="4" t="s">
        <v>30</v>
      </c>
      <c r="T27" s="4">
        <f t="shared" ref="T27:Z27" si="9">T17</f>
        <v>2022</v>
      </c>
      <c r="U27" s="4">
        <f t="shared" si="9"/>
        <v>2025</v>
      </c>
      <c r="V27" s="4">
        <f t="shared" si="9"/>
        <v>2030</v>
      </c>
      <c r="W27" s="4">
        <f t="shared" si="9"/>
        <v>2035</v>
      </c>
      <c r="X27" s="4">
        <f t="shared" si="9"/>
        <v>2040</v>
      </c>
      <c r="Y27" s="4">
        <f t="shared" si="9"/>
        <v>2045</v>
      </c>
      <c r="Z27" s="4">
        <f t="shared" si="9"/>
        <v>2050</v>
      </c>
      <c r="AA27" s="4" t="s">
        <v>14</v>
      </c>
      <c r="AB27" s="4" t="s">
        <v>31</v>
      </c>
      <c r="AJ27" s="10">
        <f t="shared" si="4"/>
        <v>4</v>
      </c>
    </row>
    <row r="28" spans="7:36" ht="14.65" customHeight="1" thickBot="1" x14ac:dyDescent="0.5"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4"/>
        <v>4</v>
      </c>
    </row>
    <row r="29" spans="7:36" ht="15" customHeight="1" thickTop="1" thickBot="1" x14ac:dyDescent="0.5"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4"/>
        <v>5</v>
      </c>
    </row>
    <row r="30" spans="7:36" ht="14.65" customHeight="1" thickTop="1" x14ac:dyDescent="0.45">
      <c r="AJ30" s="10">
        <f t="shared" si="4"/>
        <v>5</v>
      </c>
    </row>
    <row r="31" spans="7:36" x14ac:dyDescent="0.45">
      <c r="AJ31" s="10">
        <f t="shared" si="4"/>
        <v>5</v>
      </c>
    </row>
    <row r="32" spans="7:36" x14ac:dyDescent="0.45">
      <c r="AJ32" s="10">
        <f t="shared" si="4"/>
        <v>5</v>
      </c>
    </row>
    <row r="33" spans="7:36" x14ac:dyDescent="0.45">
      <c r="AJ33" s="10">
        <f t="shared" si="4"/>
        <v>5</v>
      </c>
    </row>
    <row r="34" spans="7:36" x14ac:dyDescent="0.45">
      <c r="AJ34" s="10">
        <f t="shared" si="4"/>
        <v>6</v>
      </c>
    </row>
    <row r="35" spans="7:36" x14ac:dyDescent="0.45">
      <c r="AJ35" s="10">
        <f t="shared" si="4"/>
        <v>6</v>
      </c>
    </row>
    <row r="36" spans="7:36" x14ac:dyDescent="0.45">
      <c r="G36" s="2" t="s">
        <v>9</v>
      </c>
      <c r="AJ36" s="10">
        <f t="shared" si="4"/>
        <v>6</v>
      </c>
    </row>
    <row r="37" spans="7:36" x14ac:dyDescent="0.45"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4"/>
        <v>6</v>
      </c>
    </row>
    <row r="38" spans="7:36" x14ac:dyDescent="0.45"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4"/>
        <v>6</v>
      </c>
    </row>
    <row r="39" spans="7:36" x14ac:dyDescent="0.45"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4"/>
        <v>7</v>
      </c>
    </row>
    <row r="40" spans="7:36" x14ac:dyDescent="0.45"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4"/>
        <v>7</v>
      </c>
    </row>
    <row r="41" spans="7:36" x14ac:dyDescent="0.45">
      <c r="AJ41" s="10">
        <f t="shared" si="4"/>
        <v>7</v>
      </c>
    </row>
    <row r="42" spans="7:36" x14ac:dyDescent="0.45">
      <c r="AJ42" s="10">
        <f t="shared" si="4"/>
        <v>7</v>
      </c>
    </row>
    <row r="43" spans="7:36" x14ac:dyDescent="0.45">
      <c r="G43" t="s">
        <v>104</v>
      </c>
      <c r="AJ43" s="10">
        <f t="shared" si="4"/>
        <v>7</v>
      </c>
    </row>
    <row r="44" spans="7:36" x14ac:dyDescent="0.45">
      <c r="G44" t="s">
        <v>13</v>
      </c>
      <c r="H44" t="s">
        <v>87</v>
      </c>
      <c r="I44">
        <v>2022</v>
      </c>
      <c r="J44">
        <f>J17</f>
        <v>2025</v>
      </c>
      <c r="K44">
        <f t="shared" ref="K44:O44" si="10">K17</f>
        <v>2030</v>
      </c>
      <c r="L44">
        <f t="shared" si="10"/>
        <v>2035</v>
      </c>
      <c r="M44">
        <f t="shared" si="10"/>
        <v>2040</v>
      </c>
      <c r="N44">
        <f t="shared" si="10"/>
        <v>2045</v>
      </c>
      <c r="O44">
        <f t="shared" si="10"/>
        <v>2050</v>
      </c>
      <c r="R44" t="s">
        <v>82</v>
      </c>
      <c r="S44" t="s">
        <v>83</v>
      </c>
      <c r="AJ44" s="10">
        <f t="shared" si="4"/>
        <v>8</v>
      </c>
    </row>
    <row r="45" spans="7:36" x14ac:dyDescent="0.45">
      <c r="G45" t="s">
        <v>78</v>
      </c>
      <c r="H45" t="str">
        <f>G45</f>
        <v>Gas</v>
      </c>
      <c r="I45">
        <f t="shared" ref="I45:O48" si="11">AVERAGE($R45:$S45)*I37</f>
        <v>33.4</v>
      </c>
      <c r="J45">
        <f t="shared" si="11"/>
        <v>35.738</v>
      </c>
      <c r="K45">
        <f t="shared" si="11"/>
        <v>41.415999999999997</v>
      </c>
      <c r="L45">
        <f t="shared" si="11"/>
        <v>38.409999999999997</v>
      </c>
      <c r="M45">
        <f t="shared" si="11"/>
        <v>41.75</v>
      </c>
      <c r="N45">
        <f t="shared" si="11"/>
        <v>39.077999999999996</v>
      </c>
      <c r="O45">
        <f t="shared" si="11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4"/>
        <v>8</v>
      </c>
    </row>
    <row r="46" spans="7:36" x14ac:dyDescent="0.45">
      <c r="G46" t="s">
        <v>79</v>
      </c>
      <c r="H46" t="str">
        <f t="shared" ref="H46:H48" si="12">G46</f>
        <v>Coal</v>
      </c>
      <c r="I46">
        <f t="shared" si="11"/>
        <v>12.2</v>
      </c>
      <c r="J46">
        <f t="shared" si="11"/>
        <v>12.443999999999999</v>
      </c>
      <c r="K46">
        <f t="shared" si="11"/>
        <v>12.932</v>
      </c>
      <c r="L46">
        <f t="shared" si="11"/>
        <v>13.054</v>
      </c>
      <c r="M46">
        <f t="shared" si="11"/>
        <v>13.176</v>
      </c>
      <c r="N46">
        <f t="shared" si="11"/>
        <v>13.42</v>
      </c>
      <c r="O46">
        <f t="shared" si="11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4"/>
        <v>8</v>
      </c>
    </row>
    <row r="47" spans="7:36" x14ac:dyDescent="0.45">
      <c r="G47" t="s">
        <v>80</v>
      </c>
      <c r="H47" t="str">
        <f t="shared" si="12"/>
        <v>Oil</v>
      </c>
      <c r="I47">
        <f t="shared" si="11"/>
        <v>53</v>
      </c>
      <c r="J47">
        <f t="shared" si="11"/>
        <v>53.53</v>
      </c>
      <c r="K47">
        <f t="shared" si="11"/>
        <v>58.830000000000005</v>
      </c>
      <c r="L47">
        <f t="shared" si="11"/>
        <v>53.53</v>
      </c>
      <c r="M47">
        <f t="shared" si="11"/>
        <v>53.53</v>
      </c>
      <c r="N47">
        <f t="shared" si="11"/>
        <v>55.120000000000005</v>
      </c>
      <c r="O47">
        <f t="shared" si="11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4"/>
        <v>8</v>
      </c>
    </row>
    <row r="48" spans="7:36" x14ac:dyDescent="0.45">
      <c r="G48" t="s">
        <v>81</v>
      </c>
      <c r="H48" t="str">
        <f t="shared" si="12"/>
        <v>Bioenergy</v>
      </c>
      <c r="I48">
        <f t="shared" si="11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4"/>
        <v>8</v>
      </c>
    </row>
    <row r="49" spans="36:36" x14ac:dyDescent="0.45">
      <c r="AJ49" s="10">
        <f t="shared" si="4"/>
        <v>9</v>
      </c>
    </row>
    <row r="50" spans="36:36" x14ac:dyDescent="0.45">
      <c r="AJ50" s="10">
        <f t="shared" si="4"/>
        <v>9</v>
      </c>
    </row>
    <row r="51" spans="36:36" x14ac:dyDescent="0.45">
      <c r="AJ51" s="10">
        <f t="shared" si="4"/>
        <v>9</v>
      </c>
    </row>
    <row r="52" spans="36:36" x14ac:dyDescent="0.45">
      <c r="AJ52" s="10">
        <f t="shared" si="4"/>
        <v>9</v>
      </c>
    </row>
    <row r="53" spans="36:36" x14ac:dyDescent="0.45">
      <c r="AJ53" s="10">
        <f t="shared" si="4"/>
        <v>9</v>
      </c>
    </row>
    <row r="54" spans="36:36" x14ac:dyDescent="0.45">
      <c r="AJ54" s="10">
        <f t="shared" si="4"/>
        <v>10</v>
      </c>
    </row>
    <row r="55" spans="36:36" x14ac:dyDescent="0.45">
      <c r="AJ55" s="10">
        <f t="shared" si="4"/>
        <v>10</v>
      </c>
    </row>
    <row r="56" spans="36:36" x14ac:dyDescent="0.45">
      <c r="AJ56" s="10">
        <f t="shared" si="4"/>
        <v>10</v>
      </c>
    </row>
    <row r="57" spans="36:36" x14ac:dyDescent="0.45">
      <c r="AJ57" s="10">
        <f t="shared" si="4"/>
        <v>10</v>
      </c>
    </row>
    <row r="58" spans="36:36" x14ac:dyDescent="0.45">
      <c r="AJ58" s="10">
        <f t="shared" si="4"/>
        <v>10</v>
      </c>
    </row>
    <row r="59" spans="36:36" x14ac:dyDescent="0.45">
      <c r="AJ59" s="10">
        <f t="shared" si="4"/>
        <v>11</v>
      </c>
    </row>
    <row r="60" spans="36:36" x14ac:dyDescent="0.45">
      <c r="AJ60" s="10">
        <f t="shared" si="4"/>
        <v>11</v>
      </c>
    </row>
    <row r="61" spans="36:36" x14ac:dyDescent="0.45">
      <c r="AJ61" s="10">
        <f t="shared" si="4"/>
        <v>11</v>
      </c>
    </row>
    <row r="62" spans="36:36" x14ac:dyDescent="0.45">
      <c r="AJ62" s="10">
        <f t="shared" si="4"/>
        <v>11</v>
      </c>
    </row>
    <row r="63" spans="36:36" x14ac:dyDescent="0.45">
      <c r="AJ63" s="10">
        <f t="shared" si="4"/>
        <v>11</v>
      </c>
    </row>
    <row r="64" spans="36:36" x14ac:dyDescent="0.45">
      <c r="AJ64" s="10">
        <f t="shared" si="4"/>
        <v>12</v>
      </c>
    </row>
    <row r="65" spans="36:36" x14ac:dyDescent="0.45">
      <c r="AJ65" s="10">
        <f t="shared" si="4"/>
        <v>12</v>
      </c>
    </row>
    <row r="66" spans="36:36" x14ac:dyDescent="0.45">
      <c r="AJ66" s="10">
        <f t="shared" si="4"/>
        <v>12</v>
      </c>
    </row>
    <row r="67" spans="36:36" x14ac:dyDescent="0.45">
      <c r="AJ67" s="10">
        <f t="shared" si="4"/>
        <v>12</v>
      </c>
    </row>
    <row r="68" spans="36:36" x14ac:dyDescent="0.45">
      <c r="AJ68" s="10">
        <f t="shared" si="4"/>
        <v>12</v>
      </c>
    </row>
    <row r="69" spans="36:36" x14ac:dyDescent="0.45">
      <c r="AJ69" s="10">
        <f t="shared" si="4"/>
        <v>13</v>
      </c>
    </row>
    <row r="70" spans="36:36" x14ac:dyDescent="0.45">
      <c r="AJ70" s="10">
        <f t="shared" si="4"/>
        <v>13</v>
      </c>
    </row>
    <row r="71" spans="36:36" x14ac:dyDescent="0.45">
      <c r="AJ71" s="10">
        <f t="shared" si="4"/>
        <v>13</v>
      </c>
    </row>
    <row r="72" spans="36:36" x14ac:dyDescent="0.45">
      <c r="AJ72" s="10">
        <f t="shared" si="4"/>
        <v>13</v>
      </c>
    </row>
    <row r="73" spans="36:36" x14ac:dyDescent="0.45">
      <c r="AJ73" s="10">
        <f t="shared" si="4"/>
        <v>13</v>
      </c>
    </row>
    <row r="74" spans="36:36" x14ac:dyDescent="0.45">
      <c r="AJ74" s="10">
        <f t="shared" si="4"/>
        <v>14</v>
      </c>
    </row>
    <row r="75" spans="36:36" x14ac:dyDescent="0.45">
      <c r="AJ75" s="10">
        <f t="shared" si="4"/>
        <v>14</v>
      </c>
    </row>
    <row r="76" spans="36:36" x14ac:dyDescent="0.45">
      <c r="AJ76" s="10">
        <f t="shared" si="4"/>
        <v>14</v>
      </c>
    </row>
    <row r="77" spans="36:36" x14ac:dyDescent="0.45">
      <c r="AJ77" s="10">
        <f t="shared" si="4"/>
        <v>14</v>
      </c>
    </row>
    <row r="78" spans="36:36" x14ac:dyDescent="0.45">
      <c r="AJ78" s="10">
        <f t="shared" si="4"/>
        <v>14</v>
      </c>
    </row>
    <row r="82" spans="1:6" x14ac:dyDescent="0.45">
      <c r="A82" t="s">
        <v>121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122</v>
      </c>
      <c r="C84">
        <v>1.4550000000000001</v>
      </c>
      <c r="D84">
        <v>1.881</v>
      </c>
      <c r="E84">
        <v>1.881</v>
      </c>
      <c r="F84" t="s">
        <v>123</v>
      </c>
    </row>
    <row r="85" spans="1:6" x14ac:dyDescent="0.45">
      <c r="A85" t="s">
        <v>32</v>
      </c>
      <c r="B85" t="s">
        <v>122</v>
      </c>
      <c r="C85">
        <v>1.8</v>
      </c>
      <c r="D85">
        <v>3.3</v>
      </c>
      <c r="E85">
        <v>3.3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116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116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116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116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116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116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116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116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116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116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116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116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116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116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116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116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116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116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116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116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116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116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116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116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117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117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117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117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117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117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117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117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117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117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117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117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117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117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117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117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117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117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117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117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117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117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117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117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117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117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117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117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117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117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117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117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117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117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117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117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117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117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117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117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117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117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117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117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117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117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117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117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117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117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117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117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117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117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117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117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117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117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117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117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117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117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117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117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117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117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117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117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117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117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117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118</v>
      </c>
    </row>
    <row r="82" spans="1:13" x14ac:dyDescent="0.45">
      <c r="A82" t="s">
        <v>0</v>
      </c>
      <c r="B82" t="s">
        <v>117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118</v>
      </c>
    </row>
    <row r="83" spans="1:13" x14ac:dyDescent="0.45">
      <c r="A83" t="s">
        <v>0</v>
      </c>
      <c r="B83" t="s">
        <v>117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118</v>
      </c>
    </row>
    <row r="84" spans="1:13" x14ac:dyDescent="0.45">
      <c r="A84" t="s">
        <v>0</v>
      </c>
      <c r="B84" t="s">
        <v>117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118</v>
      </c>
    </row>
    <row r="85" spans="1:13" x14ac:dyDescent="0.45">
      <c r="A85" t="s">
        <v>0</v>
      </c>
      <c r="B85" t="s">
        <v>117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118</v>
      </c>
    </row>
    <row r="86" spans="1:13" x14ac:dyDescent="0.45">
      <c r="A86" t="s">
        <v>0</v>
      </c>
      <c r="B86" t="s">
        <v>117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118</v>
      </c>
    </row>
    <row r="87" spans="1:13" x14ac:dyDescent="0.45">
      <c r="A87" t="s">
        <v>0</v>
      </c>
      <c r="B87" t="s">
        <v>117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118</v>
      </c>
    </row>
    <row r="88" spans="1:13" x14ac:dyDescent="0.45">
      <c r="A88" t="s">
        <v>2</v>
      </c>
      <c r="B88" t="s">
        <v>117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118</v>
      </c>
    </row>
    <row r="89" spans="1:13" x14ac:dyDescent="0.45">
      <c r="A89" t="s">
        <v>2</v>
      </c>
      <c r="B89" t="s">
        <v>117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118</v>
      </c>
    </row>
    <row r="90" spans="1:13" x14ac:dyDescent="0.45">
      <c r="A90" t="s">
        <v>2</v>
      </c>
      <c r="B90" t="s">
        <v>117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118</v>
      </c>
    </row>
    <row r="91" spans="1:13" x14ac:dyDescent="0.45">
      <c r="A91" t="s">
        <v>2</v>
      </c>
      <c r="B91" t="s">
        <v>117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118</v>
      </c>
    </row>
    <row r="92" spans="1:13" x14ac:dyDescent="0.45">
      <c r="A92" t="s">
        <v>2</v>
      </c>
      <c r="B92" t="s">
        <v>117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118</v>
      </c>
    </row>
    <row r="93" spans="1:13" x14ac:dyDescent="0.45">
      <c r="A93" t="s">
        <v>2</v>
      </c>
      <c r="B93" t="s">
        <v>117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118</v>
      </c>
    </row>
    <row r="94" spans="1:13" x14ac:dyDescent="0.45">
      <c r="A94" t="s">
        <v>2</v>
      </c>
      <c r="B94" t="s">
        <v>117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118</v>
      </c>
    </row>
    <row r="95" spans="1:13" x14ac:dyDescent="0.45">
      <c r="A95" t="s">
        <v>5</v>
      </c>
      <c r="B95" t="s">
        <v>117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118</v>
      </c>
    </row>
    <row r="96" spans="1:13" x14ac:dyDescent="0.45">
      <c r="A96" t="s">
        <v>5</v>
      </c>
      <c r="B96" t="s">
        <v>117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118</v>
      </c>
    </row>
    <row r="97" spans="1:13" x14ac:dyDescent="0.45">
      <c r="A97" t="s">
        <v>5</v>
      </c>
      <c r="B97" t="s">
        <v>117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118</v>
      </c>
    </row>
    <row r="98" spans="1:13" x14ac:dyDescent="0.45">
      <c r="A98" t="s">
        <v>5</v>
      </c>
      <c r="B98" t="s">
        <v>117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118</v>
      </c>
    </row>
    <row r="99" spans="1:13" x14ac:dyDescent="0.45">
      <c r="A99" t="s">
        <v>5</v>
      </c>
      <c r="B99" t="s">
        <v>117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118</v>
      </c>
    </row>
    <row r="100" spans="1:13" x14ac:dyDescent="0.45">
      <c r="A100" t="s">
        <v>5</v>
      </c>
      <c r="B100" t="s">
        <v>117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118</v>
      </c>
    </row>
    <row r="101" spans="1:13" x14ac:dyDescent="0.45">
      <c r="A101" t="s">
        <v>5</v>
      </c>
      <c r="B101" t="s">
        <v>117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118</v>
      </c>
    </row>
    <row r="102" spans="1:13" x14ac:dyDescent="0.45">
      <c r="A102" t="s">
        <v>7</v>
      </c>
      <c r="B102" t="s">
        <v>117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118</v>
      </c>
    </row>
    <row r="103" spans="1:13" x14ac:dyDescent="0.45">
      <c r="A103" t="s">
        <v>7</v>
      </c>
      <c r="B103" t="s">
        <v>117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118</v>
      </c>
    </row>
    <row r="104" spans="1:13" x14ac:dyDescent="0.45">
      <c r="A104" t="s">
        <v>7</v>
      </c>
      <c r="B104" t="s">
        <v>117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118</v>
      </c>
    </row>
    <row r="105" spans="1:13" x14ac:dyDescent="0.45">
      <c r="A105" t="s">
        <v>7</v>
      </c>
      <c r="B105" t="s">
        <v>117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118</v>
      </c>
    </row>
    <row r="106" spans="1:13" x14ac:dyDescent="0.45">
      <c r="A106" t="s">
        <v>7</v>
      </c>
      <c r="B106" t="s">
        <v>117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118</v>
      </c>
    </row>
    <row r="107" spans="1:13" x14ac:dyDescent="0.45">
      <c r="A107" t="s">
        <v>7</v>
      </c>
      <c r="B107" t="s">
        <v>117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118</v>
      </c>
    </row>
    <row r="108" spans="1:13" x14ac:dyDescent="0.45">
      <c r="A108" t="s">
        <v>7</v>
      </c>
      <c r="B108" t="s">
        <v>117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118</v>
      </c>
    </row>
    <row r="109" spans="1:13" x14ac:dyDescent="0.45">
      <c r="A109" t="s">
        <v>9</v>
      </c>
      <c r="B109" t="s">
        <v>117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118</v>
      </c>
    </row>
    <row r="110" spans="1:13" x14ac:dyDescent="0.45">
      <c r="A110" t="s">
        <v>9</v>
      </c>
      <c r="B110" t="s">
        <v>117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118</v>
      </c>
    </row>
    <row r="111" spans="1:13" x14ac:dyDescent="0.45">
      <c r="A111" t="s">
        <v>9</v>
      </c>
      <c r="B111" t="s">
        <v>117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118</v>
      </c>
    </row>
    <row r="112" spans="1:13" x14ac:dyDescent="0.45">
      <c r="A112" t="s">
        <v>9</v>
      </c>
      <c r="B112" t="s">
        <v>117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118</v>
      </c>
    </row>
    <row r="113" spans="1:13" x14ac:dyDescent="0.45">
      <c r="A113" t="s">
        <v>9</v>
      </c>
      <c r="B113" t="s">
        <v>117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118</v>
      </c>
    </row>
    <row r="114" spans="1:13" x14ac:dyDescent="0.45">
      <c r="A114" t="s">
        <v>9</v>
      </c>
      <c r="B114" t="s">
        <v>117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118</v>
      </c>
    </row>
    <row r="115" spans="1:13" x14ac:dyDescent="0.45">
      <c r="A115" t="s">
        <v>9</v>
      </c>
      <c r="B115" t="s">
        <v>117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118</v>
      </c>
    </row>
    <row r="116" spans="1:13" x14ac:dyDescent="0.45">
      <c r="A116" t="s">
        <v>0</v>
      </c>
      <c r="B116" t="s">
        <v>117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117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117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117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117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117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117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117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117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117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117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117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117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117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117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117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117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117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117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117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117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117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117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117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117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117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117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117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117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117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117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117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117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117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117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117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117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117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117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117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117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117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117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117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117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117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117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117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117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117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117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117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117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117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117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117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117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117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117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117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117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117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117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117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117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117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117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117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117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117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117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117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117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117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117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117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117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117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117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117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117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117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117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117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117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117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117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117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117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117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117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117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117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117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117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117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117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117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117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117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117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117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117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117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117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117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117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117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117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117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117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117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117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117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117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117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117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117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117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117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117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117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117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117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117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117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117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117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117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117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117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117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117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117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117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117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117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117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117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117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117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70</v>
      </c>
    </row>
    <row r="257" spans="1:13" x14ac:dyDescent="0.45">
      <c r="A257" t="s">
        <v>0</v>
      </c>
      <c r="B257" t="s">
        <v>117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70</v>
      </c>
    </row>
    <row r="258" spans="1:13" x14ac:dyDescent="0.45">
      <c r="A258" t="s">
        <v>0</v>
      </c>
      <c r="B258" t="s">
        <v>117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70</v>
      </c>
    </row>
    <row r="259" spans="1:13" x14ac:dyDescent="0.45">
      <c r="A259" t="s">
        <v>0</v>
      </c>
      <c r="B259" t="s">
        <v>117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70</v>
      </c>
    </row>
    <row r="260" spans="1:13" x14ac:dyDescent="0.45">
      <c r="A260" t="s">
        <v>0</v>
      </c>
      <c r="B260" t="s">
        <v>117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70</v>
      </c>
    </row>
    <row r="261" spans="1:13" x14ac:dyDescent="0.45">
      <c r="A261" t="s">
        <v>0</v>
      </c>
      <c r="B261" t="s">
        <v>117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70</v>
      </c>
    </row>
    <row r="262" spans="1:13" x14ac:dyDescent="0.45">
      <c r="A262" t="s">
        <v>0</v>
      </c>
      <c r="B262" t="s">
        <v>117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70</v>
      </c>
    </row>
    <row r="263" spans="1:13" x14ac:dyDescent="0.45">
      <c r="A263" t="s">
        <v>2</v>
      </c>
      <c r="B263" t="s">
        <v>117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70</v>
      </c>
    </row>
    <row r="264" spans="1:13" x14ac:dyDescent="0.45">
      <c r="A264" t="s">
        <v>2</v>
      </c>
      <c r="B264" t="s">
        <v>117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70</v>
      </c>
    </row>
    <row r="265" spans="1:13" x14ac:dyDescent="0.45">
      <c r="A265" t="s">
        <v>2</v>
      </c>
      <c r="B265" t="s">
        <v>117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70</v>
      </c>
    </row>
    <row r="266" spans="1:13" x14ac:dyDescent="0.45">
      <c r="A266" t="s">
        <v>2</v>
      </c>
      <c r="B266" t="s">
        <v>117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70</v>
      </c>
    </row>
    <row r="267" spans="1:13" x14ac:dyDescent="0.45">
      <c r="A267" t="s">
        <v>2</v>
      </c>
      <c r="B267" t="s">
        <v>117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70</v>
      </c>
    </row>
    <row r="268" spans="1:13" x14ac:dyDescent="0.45">
      <c r="A268" t="s">
        <v>2</v>
      </c>
      <c r="B268" t="s">
        <v>117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70</v>
      </c>
    </row>
    <row r="269" spans="1:13" x14ac:dyDescent="0.45">
      <c r="A269" t="s">
        <v>2</v>
      </c>
      <c r="B269" t="s">
        <v>117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70</v>
      </c>
    </row>
    <row r="270" spans="1:13" x14ac:dyDescent="0.45">
      <c r="A270" t="s">
        <v>5</v>
      </c>
      <c r="B270" t="s">
        <v>117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70</v>
      </c>
    </row>
    <row r="271" spans="1:13" x14ac:dyDescent="0.45">
      <c r="A271" t="s">
        <v>5</v>
      </c>
      <c r="B271" t="s">
        <v>117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70</v>
      </c>
    </row>
    <row r="272" spans="1:13" x14ac:dyDescent="0.45">
      <c r="A272" t="s">
        <v>5</v>
      </c>
      <c r="B272" t="s">
        <v>117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70</v>
      </c>
    </row>
    <row r="273" spans="1:13" x14ac:dyDescent="0.45">
      <c r="A273" t="s">
        <v>5</v>
      </c>
      <c r="B273" t="s">
        <v>117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70</v>
      </c>
    </row>
    <row r="274" spans="1:13" x14ac:dyDescent="0.45">
      <c r="A274" t="s">
        <v>5</v>
      </c>
      <c r="B274" t="s">
        <v>117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70</v>
      </c>
    </row>
    <row r="275" spans="1:13" x14ac:dyDescent="0.45">
      <c r="A275" t="s">
        <v>5</v>
      </c>
      <c r="B275" t="s">
        <v>117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70</v>
      </c>
    </row>
    <row r="276" spans="1:13" x14ac:dyDescent="0.45">
      <c r="A276" t="s">
        <v>5</v>
      </c>
      <c r="B276" t="s">
        <v>117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70</v>
      </c>
    </row>
    <row r="277" spans="1:13" x14ac:dyDescent="0.45">
      <c r="A277" t="s">
        <v>7</v>
      </c>
      <c r="B277" t="s">
        <v>117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70</v>
      </c>
    </row>
    <row r="278" spans="1:13" x14ac:dyDescent="0.45">
      <c r="A278" t="s">
        <v>7</v>
      </c>
      <c r="B278" t="s">
        <v>117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70</v>
      </c>
    </row>
    <row r="279" spans="1:13" x14ac:dyDescent="0.45">
      <c r="A279" t="s">
        <v>7</v>
      </c>
      <c r="B279" t="s">
        <v>117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70</v>
      </c>
    </row>
    <row r="280" spans="1:13" x14ac:dyDescent="0.45">
      <c r="A280" t="s">
        <v>7</v>
      </c>
      <c r="B280" t="s">
        <v>117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70</v>
      </c>
    </row>
    <row r="281" spans="1:13" x14ac:dyDescent="0.45">
      <c r="A281" t="s">
        <v>7</v>
      </c>
      <c r="B281" t="s">
        <v>117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70</v>
      </c>
    </row>
    <row r="282" spans="1:13" x14ac:dyDescent="0.45">
      <c r="A282" t="s">
        <v>7</v>
      </c>
      <c r="B282" t="s">
        <v>117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70</v>
      </c>
    </row>
    <row r="283" spans="1:13" x14ac:dyDescent="0.45">
      <c r="A283" t="s">
        <v>7</v>
      </c>
      <c r="B283" t="s">
        <v>117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70</v>
      </c>
    </row>
    <row r="284" spans="1:13" x14ac:dyDescent="0.45">
      <c r="A284" t="s">
        <v>9</v>
      </c>
      <c r="B284" t="s">
        <v>117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70</v>
      </c>
    </row>
    <row r="285" spans="1:13" x14ac:dyDescent="0.45">
      <c r="A285" t="s">
        <v>9</v>
      </c>
      <c r="B285" t="s">
        <v>117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70</v>
      </c>
    </row>
    <row r="286" spans="1:13" x14ac:dyDescent="0.45">
      <c r="A286" t="s">
        <v>9</v>
      </c>
      <c r="B286" t="s">
        <v>117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70</v>
      </c>
    </row>
    <row r="287" spans="1:13" x14ac:dyDescent="0.45">
      <c r="A287" t="s">
        <v>9</v>
      </c>
      <c r="B287" t="s">
        <v>117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70</v>
      </c>
    </row>
    <row r="288" spans="1:13" x14ac:dyDescent="0.45">
      <c r="A288" t="s">
        <v>9</v>
      </c>
      <c r="B288" t="s">
        <v>117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70</v>
      </c>
    </row>
    <row r="289" spans="1:13" x14ac:dyDescent="0.45">
      <c r="A289" t="s">
        <v>9</v>
      </c>
      <c r="B289" t="s">
        <v>117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70</v>
      </c>
    </row>
    <row r="290" spans="1:13" x14ac:dyDescent="0.45">
      <c r="A290" t="s">
        <v>9</v>
      </c>
      <c r="B290" t="s">
        <v>117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70</v>
      </c>
    </row>
    <row r="291" spans="1:13" x14ac:dyDescent="0.45">
      <c r="A291" t="s">
        <v>0</v>
      </c>
      <c r="B291" t="s">
        <v>117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71</v>
      </c>
    </row>
    <row r="292" spans="1:13" x14ac:dyDescent="0.45">
      <c r="A292" t="s">
        <v>0</v>
      </c>
      <c r="B292" t="s">
        <v>117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71</v>
      </c>
    </row>
    <row r="293" spans="1:13" x14ac:dyDescent="0.45">
      <c r="A293" t="s">
        <v>0</v>
      </c>
      <c r="B293" t="s">
        <v>117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71</v>
      </c>
    </row>
    <row r="294" spans="1:13" x14ac:dyDescent="0.45">
      <c r="A294" t="s">
        <v>0</v>
      </c>
      <c r="B294" t="s">
        <v>117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71</v>
      </c>
    </row>
    <row r="295" spans="1:13" x14ac:dyDescent="0.45">
      <c r="A295" t="s">
        <v>0</v>
      </c>
      <c r="B295" t="s">
        <v>117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71</v>
      </c>
    </row>
    <row r="296" spans="1:13" x14ac:dyDescent="0.45">
      <c r="A296" t="s">
        <v>0</v>
      </c>
      <c r="B296" t="s">
        <v>117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71</v>
      </c>
    </row>
    <row r="297" spans="1:13" x14ac:dyDescent="0.45">
      <c r="A297" t="s">
        <v>0</v>
      </c>
      <c r="B297" t="s">
        <v>117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71</v>
      </c>
    </row>
    <row r="298" spans="1:13" x14ac:dyDescent="0.45">
      <c r="A298" t="s">
        <v>2</v>
      </c>
      <c r="B298" t="s">
        <v>117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71</v>
      </c>
    </row>
    <row r="299" spans="1:13" x14ac:dyDescent="0.45">
      <c r="A299" t="s">
        <v>2</v>
      </c>
      <c r="B299" t="s">
        <v>117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71</v>
      </c>
    </row>
    <row r="300" spans="1:13" x14ac:dyDescent="0.45">
      <c r="A300" t="s">
        <v>2</v>
      </c>
      <c r="B300" t="s">
        <v>117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71</v>
      </c>
    </row>
    <row r="301" spans="1:13" x14ac:dyDescent="0.45">
      <c r="A301" t="s">
        <v>2</v>
      </c>
      <c r="B301" t="s">
        <v>117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71</v>
      </c>
    </row>
    <row r="302" spans="1:13" x14ac:dyDescent="0.45">
      <c r="A302" t="s">
        <v>2</v>
      </c>
      <c r="B302" t="s">
        <v>117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71</v>
      </c>
    </row>
    <row r="303" spans="1:13" x14ac:dyDescent="0.45">
      <c r="A303" t="s">
        <v>2</v>
      </c>
      <c r="B303" t="s">
        <v>117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71</v>
      </c>
    </row>
    <row r="304" spans="1:13" x14ac:dyDescent="0.45">
      <c r="A304" t="s">
        <v>2</v>
      </c>
      <c r="B304" t="s">
        <v>117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71</v>
      </c>
    </row>
    <row r="305" spans="1:13" x14ac:dyDescent="0.45">
      <c r="A305" t="s">
        <v>5</v>
      </c>
      <c r="B305" t="s">
        <v>117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71</v>
      </c>
    </row>
    <row r="306" spans="1:13" x14ac:dyDescent="0.45">
      <c r="A306" t="s">
        <v>5</v>
      </c>
      <c r="B306" t="s">
        <v>117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71</v>
      </c>
    </row>
    <row r="307" spans="1:13" x14ac:dyDescent="0.45">
      <c r="A307" t="s">
        <v>5</v>
      </c>
      <c r="B307" t="s">
        <v>117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71</v>
      </c>
    </row>
    <row r="308" spans="1:13" x14ac:dyDescent="0.45">
      <c r="A308" t="s">
        <v>5</v>
      </c>
      <c r="B308" t="s">
        <v>117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71</v>
      </c>
    </row>
    <row r="309" spans="1:13" x14ac:dyDescent="0.45">
      <c r="A309" t="s">
        <v>5</v>
      </c>
      <c r="B309" t="s">
        <v>117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71</v>
      </c>
    </row>
    <row r="310" spans="1:13" x14ac:dyDescent="0.45">
      <c r="A310" t="s">
        <v>5</v>
      </c>
      <c r="B310" t="s">
        <v>117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71</v>
      </c>
    </row>
    <row r="311" spans="1:13" x14ac:dyDescent="0.45">
      <c r="A311" t="s">
        <v>5</v>
      </c>
      <c r="B311" t="s">
        <v>117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71</v>
      </c>
    </row>
    <row r="312" spans="1:13" x14ac:dyDescent="0.45">
      <c r="A312" t="s">
        <v>7</v>
      </c>
      <c r="B312" t="s">
        <v>117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71</v>
      </c>
    </row>
    <row r="313" spans="1:13" x14ac:dyDescent="0.45">
      <c r="A313" t="s">
        <v>7</v>
      </c>
      <c r="B313" t="s">
        <v>117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71</v>
      </c>
    </row>
    <row r="314" spans="1:13" x14ac:dyDescent="0.45">
      <c r="A314" t="s">
        <v>7</v>
      </c>
      <c r="B314" t="s">
        <v>117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71</v>
      </c>
    </row>
    <row r="315" spans="1:13" x14ac:dyDescent="0.45">
      <c r="A315" t="s">
        <v>7</v>
      </c>
      <c r="B315" t="s">
        <v>117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71</v>
      </c>
    </row>
    <row r="316" spans="1:13" x14ac:dyDescent="0.45">
      <c r="A316" t="s">
        <v>7</v>
      </c>
      <c r="B316" t="s">
        <v>117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71</v>
      </c>
    </row>
    <row r="317" spans="1:13" x14ac:dyDescent="0.45">
      <c r="A317" t="s">
        <v>7</v>
      </c>
      <c r="B317" t="s">
        <v>117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71</v>
      </c>
    </row>
    <row r="318" spans="1:13" x14ac:dyDescent="0.45">
      <c r="A318" t="s">
        <v>7</v>
      </c>
      <c r="B318" t="s">
        <v>117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71</v>
      </c>
    </row>
    <row r="319" spans="1:13" x14ac:dyDescent="0.45">
      <c r="A319" t="s">
        <v>9</v>
      </c>
      <c r="B319" t="s">
        <v>117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71</v>
      </c>
    </row>
    <row r="320" spans="1:13" x14ac:dyDescent="0.45">
      <c r="A320" t="s">
        <v>9</v>
      </c>
      <c r="B320" t="s">
        <v>117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71</v>
      </c>
    </row>
    <row r="321" spans="1:13" x14ac:dyDescent="0.45">
      <c r="A321" t="s">
        <v>9</v>
      </c>
      <c r="B321" t="s">
        <v>117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71</v>
      </c>
    </row>
    <row r="322" spans="1:13" x14ac:dyDescent="0.45">
      <c r="A322" t="s">
        <v>9</v>
      </c>
      <c r="B322" t="s">
        <v>117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71</v>
      </c>
    </row>
    <row r="323" spans="1:13" x14ac:dyDescent="0.45">
      <c r="A323" t="s">
        <v>9</v>
      </c>
      <c r="B323" t="s">
        <v>117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71</v>
      </c>
    </row>
    <row r="324" spans="1:13" x14ac:dyDescent="0.45">
      <c r="A324" t="s">
        <v>9</v>
      </c>
      <c r="B324" t="s">
        <v>117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71</v>
      </c>
    </row>
    <row r="325" spans="1:13" x14ac:dyDescent="0.45">
      <c r="A325" t="s">
        <v>9</v>
      </c>
      <c r="B325" t="s">
        <v>117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71</v>
      </c>
    </row>
    <row r="326" spans="1:13" x14ac:dyDescent="0.45">
      <c r="A326" t="s">
        <v>0</v>
      </c>
      <c r="B326" t="s">
        <v>117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72</v>
      </c>
    </row>
    <row r="327" spans="1:13" x14ac:dyDescent="0.45">
      <c r="A327" t="s">
        <v>0</v>
      </c>
      <c r="B327" t="s">
        <v>117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72</v>
      </c>
    </row>
    <row r="328" spans="1:13" x14ac:dyDescent="0.45">
      <c r="A328" t="s">
        <v>0</v>
      </c>
      <c r="B328" t="s">
        <v>117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72</v>
      </c>
    </row>
    <row r="329" spans="1:13" x14ac:dyDescent="0.45">
      <c r="A329" t="s">
        <v>0</v>
      </c>
      <c r="B329" t="s">
        <v>117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72</v>
      </c>
    </row>
    <row r="330" spans="1:13" x14ac:dyDescent="0.45">
      <c r="A330" t="s">
        <v>0</v>
      </c>
      <c r="B330" t="s">
        <v>117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72</v>
      </c>
    </row>
    <row r="331" spans="1:13" x14ac:dyDescent="0.45">
      <c r="A331" t="s">
        <v>0</v>
      </c>
      <c r="B331" t="s">
        <v>117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72</v>
      </c>
    </row>
    <row r="332" spans="1:13" x14ac:dyDescent="0.45">
      <c r="A332" t="s">
        <v>0</v>
      </c>
      <c r="B332" t="s">
        <v>117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72</v>
      </c>
    </row>
    <row r="333" spans="1:13" x14ac:dyDescent="0.45">
      <c r="A333" t="s">
        <v>2</v>
      </c>
      <c r="B333" t="s">
        <v>117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72</v>
      </c>
    </row>
    <row r="334" spans="1:13" x14ac:dyDescent="0.45">
      <c r="A334" t="s">
        <v>2</v>
      </c>
      <c r="B334" t="s">
        <v>117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72</v>
      </c>
    </row>
    <row r="335" spans="1:13" x14ac:dyDescent="0.45">
      <c r="A335" t="s">
        <v>2</v>
      </c>
      <c r="B335" t="s">
        <v>117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72</v>
      </c>
    </row>
    <row r="336" spans="1:13" x14ac:dyDescent="0.45">
      <c r="A336" t="s">
        <v>2</v>
      </c>
      <c r="B336" t="s">
        <v>117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72</v>
      </c>
    </row>
    <row r="337" spans="1:13" x14ac:dyDescent="0.45">
      <c r="A337" t="s">
        <v>2</v>
      </c>
      <c r="B337" t="s">
        <v>117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72</v>
      </c>
    </row>
    <row r="338" spans="1:13" x14ac:dyDescent="0.45">
      <c r="A338" t="s">
        <v>2</v>
      </c>
      <c r="B338" t="s">
        <v>117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72</v>
      </c>
    </row>
    <row r="339" spans="1:13" x14ac:dyDescent="0.45">
      <c r="A339" t="s">
        <v>2</v>
      </c>
      <c r="B339" t="s">
        <v>117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72</v>
      </c>
    </row>
    <row r="340" spans="1:13" x14ac:dyDescent="0.45">
      <c r="A340" t="s">
        <v>5</v>
      </c>
      <c r="B340" t="s">
        <v>117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72</v>
      </c>
    </row>
    <row r="341" spans="1:13" x14ac:dyDescent="0.45">
      <c r="A341" t="s">
        <v>5</v>
      </c>
      <c r="B341" t="s">
        <v>117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72</v>
      </c>
    </row>
    <row r="342" spans="1:13" x14ac:dyDescent="0.45">
      <c r="A342" t="s">
        <v>5</v>
      </c>
      <c r="B342" t="s">
        <v>117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72</v>
      </c>
    </row>
    <row r="343" spans="1:13" x14ac:dyDescent="0.45">
      <c r="A343" t="s">
        <v>5</v>
      </c>
      <c r="B343" t="s">
        <v>117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72</v>
      </c>
    </row>
    <row r="344" spans="1:13" x14ac:dyDescent="0.45">
      <c r="A344" t="s">
        <v>5</v>
      </c>
      <c r="B344" t="s">
        <v>117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72</v>
      </c>
    </row>
    <row r="345" spans="1:13" x14ac:dyDescent="0.45">
      <c r="A345" t="s">
        <v>5</v>
      </c>
      <c r="B345" t="s">
        <v>117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72</v>
      </c>
    </row>
    <row r="346" spans="1:13" x14ac:dyDescent="0.45">
      <c r="A346" t="s">
        <v>5</v>
      </c>
      <c r="B346" t="s">
        <v>117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72</v>
      </c>
    </row>
    <row r="347" spans="1:13" x14ac:dyDescent="0.45">
      <c r="A347" t="s">
        <v>7</v>
      </c>
      <c r="B347" t="s">
        <v>117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72</v>
      </c>
    </row>
    <row r="348" spans="1:13" x14ac:dyDescent="0.45">
      <c r="A348" t="s">
        <v>7</v>
      </c>
      <c r="B348" t="s">
        <v>117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72</v>
      </c>
    </row>
    <row r="349" spans="1:13" x14ac:dyDescent="0.45">
      <c r="A349" t="s">
        <v>7</v>
      </c>
      <c r="B349" t="s">
        <v>117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72</v>
      </c>
    </row>
    <row r="350" spans="1:13" x14ac:dyDescent="0.45">
      <c r="A350" t="s">
        <v>7</v>
      </c>
      <c r="B350" t="s">
        <v>117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72</v>
      </c>
    </row>
    <row r="351" spans="1:13" x14ac:dyDescent="0.45">
      <c r="A351" t="s">
        <v>7</v>
      </c>
      <c r="B351" t="s">
        <v>117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72</v>
      </c>
    </row>
    <row r="352" spans="1:13" x14ac:dyDescent="0.45">
      <c r="A352" t="s">
        <v>7</v>
      </c>
      <c r="B352" t="s">
        <v>117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72</v>
      </c>
    </row>
    <row r="353" spans="1:13" x14ac:dyDescent="0.45">
      <c r="A353" t="s">
        <v>7</v>
      </c>
      <c r="B353" t="s">
        <v>117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72</v>
      </c>
    </row>
    <row r="354" spans="1:13" x14ac:dyDescent="0.45">
      <c r="A354" t="s">
        <v>9</v>
      </c>
      <c r="B354" t="s">
        <v>117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72</v>
      </c>
    </row>
    <row r="355" spans="1:13" x14ac:dyDescent="0.45">
      <c r="A355" t="s">
        <v>9</v>
      </c>
      <c r="B355" t="s">
        <v>117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72</v>
      </c>
    </row>
    <row r="356" spans="1:13" x14ac:dyDescent="0.45">
      <c r="A356" t="s">
        <v>9</v>
      </c>
      <c r="B356" t="s">
        <v>117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72</v>
      </c>
    </row>
    <row r="357" spans="1:13" x14ac:dyDescent="0.45">
      <c r="A357" t="s">
        <v>9</v>
      </c>
      <c r="B357" t="s">
        <v>117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72</v>
      </c>
    </row>
    <row r="358" spans="1:13" x14ac:dyDescent="0.45">
      <c r="A358" t="s">
        <v>9</v>
      </c>
      <c r="B358" t="s">
        <v>117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72</v>
      </c>
    </row>
    <row r="359" spans="1:13" x14ac:dyDescent="0.45">
      <c r="A359" t="s">
        <v>9</v>
      </c>
      <c r="B359" t="s">
        <v>117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72</v>
      </c>
    </row>
    <row r="360" spans="1:13" x14ac:dyDescent="0.45">
      <c r="A360" t="s">
        <v>9</v>
      </c>
      <c r="B360" t="s">
        <v>117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72</v>
      </c>
    </row>
    <row r="361" spans="1:13" x14ac:dyDescent="0.45">
      <c r="A361" t="s">
        <v>0</v>
      </c>
      <c r="B361" t="s">
        <v>117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73</v>
      </c>
    </row>
    <row r="362" spans="1:13" x14ac:dyDescent="0.45">
      <c r="A362" t="s">
        <v>0</v>
      </c>
      <c r="B362" t="s">
        <v>117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73</v>
      </c>
    </row>
    <row r="363" spans="1:13" x14ac:dyDescent="0.45">
      <c r="A363" t="s">
        <v>0</v>
      </c>
      <c r="B363" t="s">
        <v>117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73</v>
      </c>
    </row>
    <row r="364" spans="1:13" x14ac:dyDescent="0.45">
      <c r="A364" t="s">
        <v>0</v>
      </c>
      <c r="B364" t="s">
        <v>117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73</v>
      </c>
    </row>
    <row r="365" spans="1:13" x14ac:dyDescent="0.45">
      <c r="A365" t="s">
        <v>0</v>
      </c>
      <c r="B365" t="s">
        <v>117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73</v>
      </c>
    </row>
    <row r="366" spans="1:13" x14ac:dyDescent="0.45">
      <c r="A366" t="s">
        <v>0</v>
      </c>
      <c r="B366" t="s">
        <v>117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73</v>
      </c>
    </row>
    <row r="367" spans="1:13" x14ac:dyDescent="0.45">
      <c r="A367" t="s">
        <v>0</v>
      </c>
      <c r="B367" t="s">
        <v>117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73</v>
      </c>
    </row>
    <row r="368" spans="1:13" x14ac:dyDescent="0.45">
      <c r="A368" t="s">
        <v>2</v>
      </c>
      <c r="B368" t="s">
        <v>117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73</v>
      </c>
    </row>
    <row r="369" spans="1:13" x14ac:dyDescent="0.45">
      <c r="A369" t="s">
        <v>2</v>
      </c>
      <c r="B369" t="s">
        <v>117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73</v>
      </c>
    </row>
    <row r="370" spans="1:13" x14ac:dyDescent="0.45">
      <c r="A370" t="s">
        <v>2</v>
      </c>
      <c r="B370" t="s">
        <v>117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73</v>
      </c>
    </row>
    <row r="371" spans="1:13" x14ac:dyDescent="0.45">
      <c r="A371" t="s">
        <v>2</v>
      </c>
      <c r="B371" t="s">
        <v>117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73</v>
      </c>
    </row>
    <row r="372" spans="1:13" x14ac:dyDescent="0.45">
      <c r="A372" t="s">
        <v>2</v>
      </c>
      <c r="B372" t="s">
        <v>117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73</v>
      </c>
    </row>
    <row r="373" spans="1:13" x14ac:dyDescent="0.45">
      <c r="A373" t="s">
        <v>2</v>
      </c>
      <c r="B373" t="s">
        <v>117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73</v>
      </c>
    </row>
    <row r="374" spans="1:13" x14ac:dyDescent="0.45">
      <c r="A374" t="s">
        <v>2</v>
      </c>
      <c r="B374" t="s">
        <v>117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73</v>
      </c>
    </row>
    <row r="375" spans="1:13" x14ac:dyDescent="0.45">
      <c r="A375" t="s">
        <v>5</v>
      </c>
      <c r="B375" t="s">
        <v>117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73</v>
      </c>
    </row>
    <row r="376" spans="1:13" x14ac:dyDescent="0.45">
      <c r="A376" t="s">
        <v>5</v>
      </c>
      <c r="B376" t="s">
        <v>117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73</v>
      </c>
    </row>
    <row r="377" spans="1:13" x14ac:dyDescent="0.45">
      <c r="A377" t="s">
        <v>5</v>
      </c>
      <c r="B377" t="s">
        <v>117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73</v>
      </c>
    </row>
    <row r="378" spans="1:13" x14ac:dyDescent="0.45">
      <c r="A378" t="s">
        <v>5</v>
      </c>
      <c r="B378" t="s">
        <v>117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73</v>
      </c>
    </row>
    <row r="379" spans="1:13" x14ac:dyDescent="0.45">
      <c r="A379" t="s">
        <v>5</v>
      </c>
      <c r="B379" t="s">
        <v>117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73</v>
      </c>
    </row>
    <row r="380" spans="1:13" x14ac:dyDescent="0.45">
      <c r="A380" t="s">
        <v>5</v>
      </c>
      <c r="B380" t="s">
        <v>117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73</v>
      </c>
    </row>
    <row r="381" spans="1:13" x14ac:dyDescent="0.45">
      <c r="A381" t="s">
        <v>5</v>
      </c>
      <c r="B381" t="s">
        <v>117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73</v>
      </c>
    </row>
    <row r="382" spans="1:13" x14ac:dyDescent="0.45">
      <c r="A382" t="s">
        <v>7</v>
      </c>
      <c r="B382" t="s">
        <v>117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73</v>
      </c>
    </row>
    <row r="383" spans="1:13" x14ac:dyDescent="0.45">
      <c r="A383" t="s">
        <v>7</v>
      </c>
      <c r="B383" t="s">
        <v>117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73</v>
      </c>
    </row>
    <row r="384" spans="1:13" x14ac:dyDescent="0.45">
      <c r="A384" t="s">
        <v>7</v>
      </c>
      <c r="B384" t="s">
        <v>117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73</v>
      </c>
    </row>
    <row r="385" spans="1:13" x14ac:dyDescent="0.45">
      <c r="A385" t="s">
        <v>7</v>
      </c>
      <c r="B385" t="s">
        <v>117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73</v>
      </c>
    </row>
    <row r="386" spans="1:13" x14ac:dyDescent="0.45">
      <c r="A386" t="s">
        <v>7</v>
      </c>
      <c r="B386" t="s">
        <v>117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73</v>
      </c>
    </row>
    <row r="387" spans="1:13" x14ac:dyDescent="0.45">
      <c r="A387" t="s">
        <v>7</v>
      </c>
      <c r="B387" t="s">
        <v>117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73</v>
      </c>
    </row>
    <row r="388" spans="1:13" x14ac:dyDescent="0.45">
      <c r="A388" t="s">
        <v>7</v>
      </c>
      <c r="B388" t="s">
        <v>117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73</v>
      </c>
    </row>
    <row r="389" spans="1:13" x14ac:dyDescent="0.45">
      <c r="A389" t="s">
        <v>9</v>
      </c>
      <c r="B389" t="s">
        <v>117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73</v>
      </c>
    </row>
    <row r="390" spans="1:13" x14ac:dyDescent="0.45">
      <c r="A390" t="s">
        <v>9</v>
      </c>
      <c r="B390" t="s">
        <v>117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73</v>
      </c>
    </row>
    <row r="391" spans="1:13" x14ac:dyDescent="0.45">
      <c r="A391" t="s">
        <v>9</v>
      </c>
      <c r="B391" t="s">
        <v>117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73</v>
      </c>
    </row>
    <row r="392" spans="1:13" x14ac:dyDescent="0.45">
      <c r="A392" t="s">
        <v>9</v>
      </c>
      <c r="B392" t="s">
        <v>117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73</v>
      </c>
    </row>
    <row r="393" spans="1:13" x14ac:dyDescent="0.45">
      <c r="A393" t="s">
        <v>9</v>
      </c>
      <c r="B393" t="s">
        <v>117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73</v>
      </c>
    </row>
    <row r="394" spans="1:13" x14ac:dyDescent="0.45">
      <c r="A394" t="s">
        <v>9</v>
      </c>
      <c r="B394" t="s">
        <v>117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73</v>
      </c>
    </row>
    <row r="395" spans="1:13" x14ac:dyDescent="0.45">
      <c r="A395" t="s">
        <v>9</v>
      </c>
      <c r="B395" t="s">
        <v>117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2026-06-08T12:58:01Z</dcterms:modified>
</cp:coreProperties>
</file>