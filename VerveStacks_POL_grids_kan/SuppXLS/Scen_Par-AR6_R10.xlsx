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13_ncr:1_{2A35A0DA-F7BB-43A2-AD19-86531145308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T23" i="1" l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H24" i="1" l="1"/>
  <c r="O24" i="1" s="1"/>
  <c r="Z24" i="1" s="1"/>
  <c r="I15" i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N15" i="1" l="1"/>
  <c r="Y23" i="1" s="1"/>
  <c r="J15" i="1"/>
  <c r="U23" i="1" s="1"/>
  <c r="O15" i="1"/>
  <c r="Z23" i="1" s="1"/>
  <c r="M15" i="1"/>
  <c r="X23" i="1" s="1"/>
  <c r="K15" i="1"/>
  <c r="V23" i="1" s="1"/>
  <c r="L15" i="1"/>
  <c r="W23" i="1" s="1"/>
  <c r="J14" i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Y18" i="1" l="1"/>
  <c r="V19" i="1"/>
  <c r="U20" i="1"/>
  <c r="U19" i="1"/>
  <c r="X19" i="1"/>
  <c r="Y19" i="1"/>
  <c r="V20" i="1"/>
  <c r="Z18" i="1"/>
  <c r="Y20" i="1"/>
  <c r="W20" i="1"/>
  <c r="X20" i="1"/>
  <c r="Z19" i="1"/>
  <c r="Z22" i="1" s="1"/>
  <c r="U18" i="1"/>
  <c r="T22" i="1"/>
  <c r="Z20" i="1"/>
  <c r="W19" i="1"/>
  <c r="W22" i="1" s="1"/>
  <c r="W18" i="1"/>
  <c r="X18" i="1"/>
  <c r="V18" i="1"/>
  <c r="V22" i="1"/>
  <c r="X22" i="1"/>
  <c r="Y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<sst xmlns="http://schemas.openxmlformats.org/spreadsheetml/2006/main" count="1726" uniqueCount="125">
  <si>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</si>
  <si>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</si>
  <si>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</si>
  <si>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</si>
  <si>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</si>
  <si>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</si>
  <si>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</si>
  <si>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</si>
  <si>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</si>
  <si>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</si>
  <si>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</si>
  <si>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</si>
  <si>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</si>
  <si>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</si>
  <si>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</si>
  <si>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</si>
  <si>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</si>
  <si>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</si>
  <si>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</si>
  <si>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</si>
  <si>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</si>
  <si>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</si>
  <si>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</si>
  <si>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</si>
  <si>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</si>
  <si>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</si>
  <si>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</si>
  <si>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</si>
  <si>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</si>
  <si>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</si>
  <si>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</si>
  <si>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</si>
  <si>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</si>
  <si>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</si>
  <si>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</si>
  <si>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</si>
  <si>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</si>
  <si>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</si>
  <si>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</si>
  <si>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</si>
  <si>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</si>
  <si>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</si>
  <si>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</si>
  <si>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</si>
  <si>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</si>
  <si>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</si>
  <si>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</si>
  <si>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</si>
  <si>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</si>
  <si>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</si>
  <si>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</si>
  <si>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</si>
  <si>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</si>
  <si>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</si>
  <si>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</si>
  <si>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</si>
  <si>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</si>
  <si>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</si>
  <si>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</si>
  <si>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</si>
  <si>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</si>
  <si>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</si>
  <si>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</si>
  <si>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</si>
  <si>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</si>
  <si>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</si>
  <si>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</si>
  <si>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</si>
  <si>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</si>
  <si>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</si>
  <si>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</si>
  <si>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</si>
  <si>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</si>
  <si>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</si>
  <si>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</si>
  <si>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</si>
  <si>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</si>
  <si>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</si>
  <si>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</si>
  <si>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</si>
  <si>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</si>
  <si>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</si>
  <si>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</si>
  <si>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</si>
  <si>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</si>
  <si>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</si>
  <si>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</si>
  <si>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</si>
  <si>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</si>
  <si>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</si>
  <si>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</si>
  <si>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</si>
  <si>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</si>
  <si>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</si>
  <si>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</si>
  <si>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</si>
  <si>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</si>
  <si>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</si>
  <si>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</si>
  <si>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</si>
  <si>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</si>
  <si>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</si>
  <si>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</si>
  <si>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</si>
  <si>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</si>
  <si>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</si>
  <si>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</si>
  <si>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</si>
  <si>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</si>
  <si>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</si>
  <si>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</si>
  <si>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</si>
  <si>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</si>
  <si>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</si>
  <si>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</si>
  <si>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</si>
  <si>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</si>
  <si>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</si>
  <si>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</si>
  <si>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</si>
  <si>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1-25,36-40</t>
  </si>
  <si>
    <t>~tfm_ins-ts</t>
  </si>
  <si>
    <t>lo</t>
  </si>
  <si>
    <t>cap_bnd</t>
  </si>
  <si>
    <t>HET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</si>
</sst>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228.36870000000002</c:v>
                </c:pt>
                <c:pt idx="4">
                  <c:v>251.3826</c:v>
                </c:pt>
                <c:pt idx="5">
                  <c:v>281.47770000000003</c:v>
                </c:pt>
                <c:pt idx="6">
                  <c:v>306.26190000000003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2"/>
  <sheetViews>
    <sheetView tabSelected="1" workbookViewId="0">
      <selection activeCell="R28" sqref="R28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120</v>
      </c>
    </row>
    <row r="2" spans="1:39" x14ac:dyDescent="0.45">
      <c r="D2" s="1" t="str">
        <f>"~Inputcell: "&amp;_xlfn.TEXTJOIN(",",TRUE,G1:EE1)</f>
        <v>~Inputcell: 1-25,36-40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115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116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115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115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115</v>
      </c>
      <c r="E11" s="15">
        <v>200</v>
      </c>
      <c r="S11" s="22">
        <f>SUMIFS(iea_data!I3:I9999,iea_data!$B$3:$B$9999,Veda!$S$10)+T28-T29</f>
        <v>177.03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115</v>
      </c>
      <c r="E12" s="15">
        <v>300</v>
      </c>
      <c r="S12" s="22">
        <f>SUMIFS(iea_data!J3:J9999,iea_data!$B$3:$B$9999,Veda!$S$10)</f>
        <v>65.221000000000004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1.05</v>
      </c>
      <c r="K14" s="11">
        <f>SUMIFS(ar6_r10!$F$2:$F$999,ar6_r10!$A$2:$A$999,$H$14,ar6_r10!$C$2:$C$999,Veda!K$17,ar6_r10!$M$2:$M$999,Veda!$G14)</f>
        <v>1.17</v>
      </c>
      <c r="L14" s="11">
        <f>SUMIFS(ar6_r10!$F$2:$F$999,ar6_r10!$A$2:$A$999,$H$14,ar6_r10!$C$2:$C$999,Veda!L$17,ar6_r10!$M$2:$M$999,Veda!$G14)</f>
        <v>1.29</v>
      </c>
      <c r="M14" s="11">
        <f>SUMIFS(ar6_r10!$F$2:$F$999,ar6_r10!$A$2:$A$999,$H$14,ar6_r10!$C$2:$C$999,Veda!M$17,ar6_r10!$M$2:$M$999,Veda!$G14)</f>
        <v>1.42</v>
      </c>
      <c r="N14" s="11">
        <f>SUMIFS(ar6_r10!$F$2:$F$999,ar6_r10!$A$2:$A$999,$H$14,ar6_r10!$C$2:$C$999,Veda!N$17,ar6_r10!$M$2:$M$999,Veda!$G14)</f>
        <v>1.59</v>
      </c>
      <c r="O14" s="11">
        <f>SUMIFS(ar6_r10!$F$2:$F$999,ar6_r10!$A$2:$A$999,$H$14,ar6_r10!$C$2:$C$999,Veda!O$17,ar6_r10!$M$2:$M$999,Veda!$G14)</f>
        <v>1.73</v>
      </c>
      <c r="T14" s="8">
        <f>S11</f>
        <v>177.03</v>
      </c>
      <c r="U14" s="8">
        <f t="shared" ref="U14:Z14" si="4">$S$11*J14</f>
        <v>185.88150000000002</v>
      </c>
      <c r="V14" s="8">
        <f t="shared" si="4"/>
        <v>207.12509999999997</v>
      </c>
      <c r="W14" s="8">
        <f t="shared" si="4"/>
        <v>228.36870000000002</v>
      </c>
      <c r="X14" s="8">
        <f t="shared" si="4"/>
        <v>251.3826</v>
      </c>
      <c r="Y14" s="8">
        <f t="shared" si="4"/>
        <v>281.47770000000003</v>
      </c>
      <c r="Z14" s="8">
        <f t="shared" si="4"/>
        <v>306.26190000000003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114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0.98</v>
      </c>
      <c r="K15" s="11">
        <f>SUMIFS(ar6_r10!$F$2:$F$999,ar6_r10!$A$2:$A$999,$H$14,ar6_r10!$C$2:$C$999,Veda!K$17,ar6_r10!$M$2:$M$999,Veda!$G15)</f>
        <v>0.96</v>
      </c>
      <c r="L15" s="11">
        <f>SUMIFS(ar6_r10!$F$2:$F$999,ar6_r10!$A$2:$A$999,$H$14,ar6_r10!$C$2:$C$999,Veda!L$17,ar6_r10!$M$2:$M$999,Veda!$G15)</f>
        <v>0.92</v>
      </c>
      <c r="M15" s="11">
        <f>SUMIFS(ar6_r10!$F$2:$F$999,ar6_r10!$A$2:$A$999,$H$14,ar6_r10!$C$2:$C$999,Veda!M$17,ar6_r10!$M$2:$M$999,Veda!$G15)</f>
        <v>0.84</v>
      </c>
      <c r="N15" s="11">
        <f>SUMIFS(ar6_r10!$F$2:$F$999,ar6_r10!$A$2:$A$999,$H$14,ar6_r10!$C$2:$C$999,Veda!N$17,ar6_r10!$M$2:$M$999,Veda!$G15)</f>
        <v>0.83</v>
      </c>
      <c r="O15" s="11">
        <f>SUMIFS(ar6_r10!$F$2:$F$999,ar6_r10!$A$2:$A$999,$H$14,ar6_r10!$C$2:$C$999,Veda!O$17,ar6_r10!$M$2:$M$999,Veda!$G15)</f>
        <v>0.8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</v>
      </c>
      <c r="O18" s="11">
        <f>SUMIFS(ar6_r10!$F$2:$F$999,ar6_r10!$A$2:$A$999,$H$14,ar6_r10!$C$2:$C$999,Veda!O$17,ar6_r10!$M$2:$M$999,Veda!$G18)</f>
        <v>0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0</v>
      </c>
      <c r="Z18" s="6">
        <f t="shared" si="7"/>
        <v>0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0.37</v>
      </c>
      <c r="J19" s="11">
        <f>SUMIFS(ar6_r10!$F$2:$F$999,ar6_r10!$A$2:$A$999,$H$14,ar6_r10!$C$2:$C$999,Veda!J$17,ar6_r10!$M$2:$M$999,Veda!$G19)</f>
        <v>0.35</v>
      </c>
      <c r="K19" s="11">
        <f>SUMIFS(ar6_r10!$F$2:$F$999,ar6_r10!$A$2:$A$999,$H$14,ar6_r10!$C$2:$C$999,Veda!K$17,ar6_r10!$M$2:$M$999,Veda!$G19)</f>
        <v>0.34</v>
      </c>
      <c r="L19" s="11">
        <f>SUMIFS(ar6_r10!$F$2:$F$999,ar6_r10!$A$2:$A$999,$H$14,ar6_r10!$C$2:$C$999,Veda!L$17,ar6_r10!$M$2:$M$999,Veda!$G19)</f>
        <v>0.33</v>
      </c>
      <c r="M19" s="11">
        <f>SUMIFS(ar6_r10!$F$2:$F$999,ar6_r10!$A$2:$A$999,$H$14,ar6_r10!$C$2:$C$999,Veda!M$17,ar6_r10!$M$2:$M$999,Veda!$G19)</f>
        <v>0.3</v>
      </c>
      <c r="N19" s="11">
        <f>SUMIFS(ar6_r10!$F$2:$F$999,ar6_r10!$A$2:$A$999,$H$14,ar6_r10!$C$2:$C$999,Veda!N$17,ar6_r10!$M$2:$M$999,Veda!$G19)</f>
        <v>0.28999999999999998</v>
      </c>
      <c r="O19" s="11">
        <f>SUMIFS(ar6_r10!$F$2:$F$999,ar6_r10!$A$2:$A$999,$H$14,ar6_r10!$C$2:$C$999,Veda!O$17,ar6_r10!$M$2:$M$999,Veda!$G19)</f>
        <v>0.3</v>
      </c>
      <c r="S19" s="10" t="s">
        <v>19</v>
      </c>
      <c r="T19" s="6">
        <f t="shared" si="7"/>
        <v>65.501099999999994</v>
      </c>
      <c r="U19" s="6">
        <f t="shared" si="7"/>
        <v>65.058525000000003</v>
      </c>
      <c r="V19" s="6">
        <f t="shared" si="7"/>
        <v>70.422533999999999</v>
      </c>
      <c r="W19" s="6">
        <f t="shared" si="7"/>
        <v>75.361671000000015</v>
      </c>
      <c r="X19" s="6">
        <f t="shared" si="7"/>
        <v>75.414779999999993</v>
      </c>
      <c r="Y19" s="6">
        <f t="shared" si="7"/>
        <v>81.628533000000004</v>
      </c>
      <c r="Z19" s="6">
        <f t="shared" si="7"/>
        <v>91.878570000000011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0.59</v>
      </c>
      <c r="J20" s="11">
        <f>SUMIFS(ar6_r10!$F$2:$F$999,ar6_r10!$A$2:$A$999,$H$14,ar6_r10!$C$2:$C$999,Veda!J$17,ar6_r10!$M$2:$M$999,Veda!$G20)</f>
        <v>0.59</v>
      </c>
      <c r="K20" s="11">
        <f>SUMIFS(ar6_r10!$F$2:$F$999,ar6_r10!$A$2:$A$999,$H$14,ar6_r10!$C$2:$C$999,Veda!K$17,ar6_r10!$M$2:$M$999,Veda!$G20)</f>
        <v>0.59</v>
      </c>
      <c r="L20" s="11">
        <f>SUMIFS(ar6_r10!$F$2:$F$999,ar6_r10!$A$2:$A$999,$H$14,ar6_r10!$C$2:$C$999,Veda!L$17,ar6_r10!$M$2:$M$999,Veda!$G20)</f>
        <v>0.57999999999999996</v>
      </c>
      <c r="M20" s="11">
        <f>SUMIFS(ar6_r10!$F$2:$F$999,ar6_r10!$A$2:$A$999,$H$14,ar6_r10!$C$2:$C$999,Veda!M$17,ar6_r10!$M$2:$M$999,Veda!$G20)</f>
        <v>0.57999999999999996</v>
      </c>
      <c r="N20" s="11">
        <f>SUMIFS(ar6_r10!$F$2:$F$999,ar6_r10!$A$2:$A$999,$H$14,ar6_r10!$C$2:$C$999,Veda!N$17,ar6_r10!$M$2:$M$999,Veda!$G20)</f>
        <v>0.56000000000000005</v>
      </c>
      <c r="O20" s="11">
        <f>SUMIFS(ar6_r10!$F$2:$F$999,ar6_r10!$A$2:$A$999,$H$14,ar6_r10!$C$2:$C$999,Veda!O$17,ar6_r10!$M$2:$M$999,Veda!$G20)</f>
        <v>0.54</v>
      </c>
      <c r="S20" s="10" t="s">
        <v>22</v>
      </c>
      <c r="T20" s="6">
        <f t="shared" si="7"/>
        <v>104.4477</v>
      </c>
      <c r="U20" s="6">
        <f t="shared" si="7"/>
        <v>109.670085</v>
      </c>
      <c r="V20" s="6">
        <f t="shared" si="7"/>
        <v>122.20380899999998</v>
      </c>
      <c r="W20" s="6">
        <f t="shared" si="7"/>
        <v>132.453846</v>
      </c>
      <c r="X20" s="6">
        <f t="shared" si="7"/>
        <v>145.801908</v>
      </c>
      <c r="Y20" s="6">
        <f t="shared" si="7"/>
        <v>157.62751200000002</v>
      </c>
      <c r="Z20" s="6">
        <f t="shared" si="7"/>
        <v>165.38142600000003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0.03</v>
      </c>
      <c r="J21" s="11">
        <f>SUMIFS(ar6_r10!$F$2:$F$999,ar6_r10!$A$2:$A$999,$H$14,ar6_r10!$C$2:$C$999,Veda!J$17,ar6_r10!$M$2:$M$999,Veda!$G21)</f>
        <v>0.05</v>
      </c>
      <c r="K21" s="11">
        <f>SUMIFS(ar6_r10!$F$2:$F$999,ar6_r10!$A$2:$A$999,$H$14,ar6_r10!$C$2:$C$999,Veda!K$17,ar6_r10!$M$2:$M$999,Veda!$G21)</f>
        <v>0.04</v>
      </c>
      <c r="L21" s="11">
        <f>SUMIFS(ar6_r10!$F$2:$F$999,ar6_r10!$A$2:$A$999,$H$14,ar6_r10!$C$2:$C$999,Veda!L$17,ar6_r10!$M$2:$M$999,Veda!$G21)</f>
        <v>0.06</v>
      </c>
      <c r="M21" s="11">
        <f>SUMIFS(ar6_r10!$F$2:$F$999,ar6_r10!$A$2:$A$999,$H$14,ar6_r10!$C$2:$C$999,Veda!M$17,ar6_r10!$M$2:$M$999,Veda!$G21)</f>
        <v>7.0000000000000007E-2</v>
      </c>
      <c r="N21" s="11">
        <f>SUMIFS(ar6_r10!$F$2:$F$999,ar6_r10!$A$2:$A$999,$H$14,ar6_r10!$C$2:$C$999,Veda!N$17,ar6_r10!$M$2:$M$999,Veda!$G21)</f>
        <v>0.08</v>
      </c>
      <c r="O21" s="11">
        <f>SUMIFS(ar6_r10!$F$2:$F$999,ar6_r10!$A$2:$A$999,$H$14,ar6_r10!$C$2:$C$999,Veda!O$17,ar6_r10!$M$2:$M$999,Veda!$G21)</f>
        <v>0.08</v>
      </c>
      <c r="S21" s="10" t="s">
        <v>24</v>
      </c>
      <c r="T21" s="6">
        <f>I21*T$14</f>
        <v>5.3109000000000002</v>
      </c>
      <c r="U21" s="6">
        <f t="shared" ref="U21:Z21" si="8">T21</f>
        <v>5.3109000000000002</v>
      </c>
      <c r="V21" s="6">
        <f t="shared" si="8"/>
        <v>5.3109000000000002</v>
      </c>
      <c r="W21" s="6">
        <f t="shared" si="8"/>
        <v>5.3109000000000002</v>
      </c>
      <c r="X21" s="6">
        <f t="shared" si="8"/>
        <v>5.3109000000000002</v>
      </c>
      <c r="Y21" s="6">
        <f t="shared" si="8"/>
        <v>5.3109000000000002</v>
      </c>
      <c r="Z21" s="6">
        <f t="shared" si="8"/>
        <v>5.3109000000000002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1.7702999999999918</v>
      </c>
      <c r="U22" s="6">
        <f t="shared" si="9"/>
        <v>5.8419900000000098</v>
      </c>
      <c r="V22" s="6">
        <f t="shared" si="9"/>
        <v>9.1878570000000082</v>
      </c>
      <c r="W22" s="6">
        <f t="shared" si="9"/>
        <v>15.242283000000015</v>
      </c>
      <c r="X22" s="6">
        <f t="shared" si="9"/>
        <v>24.855012000000016</v>
      </c>
      <c r="Y22" s="6">
        <f t="shared" si="9"/>
        <v>36.910754999999995</v>
      </c>
      <c r="Z22" s="6">
        <f t="shared" si="9"/>
        <v>43.691003999999964</v>
      </c>
      <c r="AA22" t="s">
        <v>17</v>
      </c>
      <c r="AJ22" s="10">
        <f t="shared" si="5"/>
        <v>3</v>
      </c>
    </row>
    <row r="23" spans="1:36" x14ac:dyDescent="0.45">
      <c r="S23" s="23" t="s">
        <v>124</v>
      </c>
      <c r="T23" s="24">
        <f>S12</f>
        <v>65.221000000000004</v>
      </c>
      <c r="U23" s="25">
        <f>$S$12*J15</f>
        <v>63.916580000000003</v>
      </c>
      <c r="V23" s="25">
        <f>$S$12*K15</f>
        <v>62.612160000000003</v>
      </c>
      <c r="W23" s="25">
        <f t="shared" ref="W23:Z23" si="10">$S$12*L15</f>
        <v>60.003320000000009</v>
      </c>
      <c r="X23" s="25">
        <f t="shared" si="10"/>
        <v>54.785640000000001</v>
      </c>
      <c r="Y23" s="25">
        <f t="shared" si="10"/>
        <v>54.133429999999997</v>
      </c>
      <c r="Z23" s="25">
        <f t="shared" si="10"/>
        <v>52.176800000000007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15.24</v>
      </c>
      <c r="S28" t="s">
        <v>31</v>
      </c>
      <c r="T28" s="3">
        <f>Q28</f>
        <v>15.24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-16.91</v>
      </c>
      <c r="S29" t="s">
        <v>34</v>
      </c>
      <c r="T29" s="3">
        <f>-1*Q29</f>
        <v>16.91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33.4</v>
      </c>
      <c r="J45">
        <f t="shared" si="13"/>
        <v>35.738</v>
      </c>
      <c r="K45">
        <f t="shared" si="13"/>
        <v>41.415999999999997</v>
      </c>
      <c r="L45">
        <f t="shared" si="13"/>
        <v>38.409999999999997</v>
      </c>
      <c r="M45">
        <f t="shared" si="13"/>
        <v>41.75</v>
      </c>
      <c r="N45">
        <f t="shared" si="13"/>
        <v>39.077999999999996</v>
      </c>
      <c r="O45">
        <f t="shared" si="13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12.2</v>
      </c>
      <c r="J46">
        <f t="shared" si="13"/>
        <v>12.443999999999999</v>
      </c>
      <c r="K46">
        <f t="shared" si="13"/>
        <v>12.932</v>
      </c>
      <c r="L46">
        <f t="shared" si="13"/>
        <v>13.054</v>
      </c>
      <c r="M46">
        <f t="shared" si="13"/>
        <v>13.176</v>
      </c>
      <c r="N46">
        <f t="shared" si="13"/>
        <v>13.42</v>
      </c>
      <c r="O46">
        <f t="shared" si="13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53</v>
      </c>
      <c r="J47">
        <f t="shared" si="13"/>
        <v>53.53</v>
      </c>
      <c r="K47">
        <f t="shared" si="13"/>
        <v>58.830000000000005</v>
      </c>
      <c r="L47">
        <f t="shared" si="13"/>
        <v>53.53</v>
      </c>
      <c r="M47">
        <f t="shared" si="13"/>
        <v>53.53</v>
      </c>
      <c r="N47">
        <f t="shared" si="13"/>
        <v>55.120000000000005</v>
      </c>
      <c r="O47">
        <f t="shared" si="13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26</v>
      </c>
      <c r="O48">
        <f>VLOOKUP($H$14,$AK$9:$AM$15,3,FALSE)*I48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121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122</v>
      </c>
      <c r="C84" s="18">
        <v>1.4550000000000001</v>
      </c>
      <c r="D84" s="18">
        <v>1.881</v>
      </c>
      <c r="E84" s="18">
        <v>1.881</v>
      </c>
      <c r="F84" s="17" t="s">
        <v>123</v>
      </c>
    </row>
    <row r="85" spans="1:6" x14ac:dyDescent="0.45">
      <c r="A85" s="19" t="s">
        <v>31</v>
      </c>
      <c r="B85" s="19" t="s">
        <v>122</v>
      </c>
      <c r="C85" s="20">
        <v>1.8</v>
      </c>
      <c r="D85" s="20">
        <v>3.3</v>
      </c>
      <c r="E85" s="20">
        <v>3.3</v>
      </c>
      <c r="F85" s="19" t="s">
        <v>123</v>
      </c>
    </row>
    <row r="89" spans="1:6" x14ac:dyDescent="0.45">
      <c r="A89" t="s">
        <v>121</v>
      </c>
    </row>
    <row r="90" spans="1:6" x14ac:dyDescent="0.45">
      <c r="A90" t="s">
        <v>29</v>
      </c>
      <c r="B90" t="s">
        <v>30</v>
      </c>
      <c r="C90">
        <v>2024</v>
      </c>
      <c r="D90">
        <v>2030</v>
      </c>
      <c r="E90">
        <v>2040</v>
      </c>
      <c r="F90" t="s">
        <v>14</v>
      </c>
    </row>
    <row r="91" spans="1:6" x14ac:dyDescent="0.45">
      <c r="A91" t="s">
        <v>34</v>
      </c>
      <c r="B91" t="s">
        <v>122</v>
      </c>
      <c r="C91">
        <v>1.4550000000000001</v>
      </c>
      <c r="D91">
        <v>1.881</v>
      </c>
      <c r="E91">
        <v>1.881</v>
      </c>
      <c r="F91" t="s">
        <v>123</v>
      </c>
    </row>
    <row r="92" spans="1:6" x14ac:dyDescent="0.45">
      <c r="A92" t="s">
        <v>31</v>
      </c>
      <c r="B92" t="s">
        <v>122</v>
      </c>
      <c r="C92">
        <v>1.8</v>
      </c>
      <c r="D92">
        <v>3.3</v>
      </c>
      <c r="E92">
        <v>3.3</v>
      </c>
      <c r="F92" t="s">
        <v>123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118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119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0" ht="22.05" customHeight="1" x14ac:dyDescent="0.45"/>
    <row r="9" spans="1:10" x14ac:dyDescent="0.45">
      <c r="A9" t="s">
        <v>57</v>
      </c>
    </row>
    <row r="10" spans="1:10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117</v>
      </c>
    </row>
    <row r="11" spans="1:10" x14ac:dyDescent="0.45">
      <c r="A11" t="s">
        <v>118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  <c r="J11">
        <v>77.525000000000006</v>
      </c>
    </row>
    <row r="12" spans="1:10" x14ac:dyDescent="0.45">
      <c r="A12" t="s">
        <v>118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  <c r="J12">
        <v>85.239000000000004</v>
      </c>
    </row>
    <row r="13" spans="1:10" x14ac:dyDescent="0.45">
      <c r="A13" t="s">
        <v>118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  <c r="J13">
        <v>80.076999999999998</v>
      </c>
    </row>
    <row r="14" spans="1:10" x14ac:dyDescent="0.45">
      <c r="A14" t="s">
        <v>118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  <c r="J14">
        <v>83.001999999999995</v>
      </c>
    </row>
    <row r="15" spans="1:10" x14ac:dyDescent="0.45">
      <c r="A15" t="s">
        <v>118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  <c r="J15">
        <v>78.161000000000001</v>
      </c>
    </row>
    <row r="16" spans="1:10" x14ac:dyDescent="0.45">
      <c r="A16" t="s">
        <v>118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  <c r="J16">
        <v>76.881</v>
      </c>
    </row>
    <row r="17" spans="1:10" x14ac:dyDescent="0.45">
      <c r="A17" t="s">
        <v>118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  <c r="J17">
        <v>78.009</v>
      </c>
    </row>
    <row r="18" spans="1:10" x14ac:dyDescent="0.45">
      <c r="A18" t="s">
        <v>118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  <c r="J18">
        <v>72.433000000000007</v>
      </c>
    </row>
    <row r="19" spans="1:10" x14ac:dyDescent="0.45">
      <c r="A19" t="s">
        <v>118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  <c r="J19">
        <v>70.186000000000007</v>
      </c>
    </row>
    <row r="20" spans="1:10" x14ac:dyDescent="0.45">
      <c r="A20" t="s">
        <v>118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  <c r="J20">
        <v>69.751999999999995</v>
      </c>
    </row>
    <row r="21" spans="1:10" x14ac:dyDescent="0.45">
      <c r="A21" t="s">
        <v>118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  <c r="J21">
        <v>75.994</v>
      </c>
    </row>
    <row r="22" spans="1:10" x14ac:dyDescent="0.45">
      <c r="A22" t="s">
        <v>118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  <c r="J22">
        <v>67.509</v>
      </c>
    </row>
    <row r="23" spans="1:10" x14ac:dyDescent="0.45">
      <c r="A23" t="s">
        <v>118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  <c r="J23">
        <v>69.394000000000005</v>
      </c>
    </row>
    <row r="24" spans="1:10" x14ac:dyDescent="0.45">
      <c r="A24" t="s">
        <v>118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  <c r="J24">
        <v>69.100999999999999</v>
      </c>
    </row>
    <row r="25" spans="1:10" x14ac:dyDescent="0.45">
      <c r="A25" t="s">
        <v>118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  <c r="J25">
        <v>63.122</v>
      </c>
    </row>
    <row r="26" spans="1:10" x14ac:dyDescent="0.45">
      <c r="A26" t="s">
        <v>118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  <c r="J26">
        <v>63.31</v>
      </c>
    </row>
    <row r="27" spans="1:10" x14ac:dyDescent="0.45">
      <c r="A27" t="s">
        <v>118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  <c r="J27">
        <v>65.72</v>
      </c>
    </row>
    <row r="28" spans="1:10" x14ac:dyDescent="0.45">
      <c r="A28" t="s">
        <v>118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  <c r="J28">
        <v>67.453000000000003</v>
      </c>
    </row>
    <row r="29" spans="1:10" x14ac:dyDescent="0.45">
      <c r="A29" t="s">
        <v>118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  <c r="J29">
        <v>64.968999999999994</v>
      </c>
    </row>
    <row r="30" spans="1:10" x14ac:dyDescent="0.45">
      <c r="A30" t="s">
        <v>118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  <c r="J30">
        <v>64.373000000000005</v>
      </c>
    </row>
    <row r="31" spans="1:10" x14ac:dyDescent="0.45">
      <c r="A31" t="s">
        <v>118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  <c r="J31">
        <v>64.936000000000007</v>
      </c>
    </row>
    <row r="32" spans="1:10" x14ac:dyDescent="0.45">
      <c r="A32" t="s">
        <v>118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  <c r="J32">
        <v>69.254000000000005</v>
      </c>
    </row>
    <row r="33" spans="1:10" x14ac:dyDescent="0.45">
      <c r="A33" t="s">
        <v>118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  <c r="J33">
        <v>65.221000000000004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113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26</v>
      </c>
    </row>
    <row r="12" spans="1:13" x14ac:dyDescent="0.45">
      <c r="A12" t="s">
        <v>0</v>
      </c>
      <c r="B12" t="s">
        <v>113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26</v>
      </c>
    </row>
    <row r="13" spans="1:13" x14ac:dyDescent="0.45">
      <c r="A13" t="s">
        <v>0</v>
      </c>
      <c r="B13" t="s">
        <v>113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26</v>
      </c>
    </row>
    <row r="14" spans="1:13" x14ac:dyDescent="0.45">
      <c r="A14" t="s">
        <v>0</v>
      </c>
      <c r="B14" t="s">
        <v>113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26</v>
      </c>
    </row>
    <row r="15" spans="1:13" x14ac:dyDescent="0.45">
      <c r="A15" t="s">
        <v>0</v>
      </c>
      <c r="B15" t="s">
        <v>113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26</v>
      </c>
    </row>
    <row r="16" spans="1:13" x14ac:dyDescent="0.45">
      <c r="A16" t="s">
        <v>0</v>
      </c>
      <c r="B16" t="s">
        <v>113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26</v>
      </c>
    </row>
    <row r="17" spans="1:13" x14ac:dyDescent="0.45">
      <c r="A17" t="s">
        <v>0</v>
      </c>
      <c r="B17" t="s">
        <v>113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26</v>
      </c>
    </row>
    <row r="18" spans="1:13" x14ac:dyDescent="0.45">
      <c r="A18" t="s">
        <v>2</v>
      </c>
      <c r="B18" t="s">
        <v>113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26</v>
      </c>
    </row>
    <row r="19" spans="1:13" x14ac:dyDescent="0.45">
      <c r="A19" t="s">
        <v>2</v>
      </c>
      <c r="B19" t="s">
        <v>113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26</v>
      </c>
    </row>
    <row r="20" spans="1:13" x14ac:dyDescent="0.45">
      <c r="A20" t="s">
        <v>2</v>
      </c>
      <c r="B20" t="s">
        <v>113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26</v>
      </c>
    </row>
    <row r="21" spans="1:13" x14ac:dyDescent="0.45">
      <c r="A21" t="s">
        <v>2</v>
      </c>
      <c r="B21" t="s">
        <v>113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26</v>
      </c>
    </row>
    <row r="22" spans="1:13" x14ac:dyDescent="0.45">
      <c r="A22" t="s">
        <v>2</v>
      </c>
      <c r="B22" t="s">
        <v>113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26</v>
      </c>
    </row>
    <row r="23" spans="1:13" x14ac:dyDescent="0.45">
      <c r="A23" t="s">
        <v>2</v>
      </c>
      <c r="B23" t="s">
        <v>113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26</v>
      </c>
    </row>
    <row r="24" spans="1:13" x14ac:dyDescent="0.45">
      <c r="A24" t="s">
        <v>2</v>
      </c>
      <c r="B24" t="s">
        <v>113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113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26</v>
      </c>
    </row>
    <row r="26" spans="1:13" x14ac:dyDescent="0.45">
      <c r="A26" t="s">
        <v>5</v>
      </c>
      <c r="B26" t="s">
        <v>113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26</v>
      </c>
    </row>
    <row r="27" spans="1:13" x14ac:dyDescent="0.45">
      <c r="A27" t="s">
        <v>5</v>
      </c>
      <c r="B27" t="s">
        <v>113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26</v>
      </c>
    </row>
    <row r="28" spans="1:13" x14ac:dyDescent="0.45">
      <c r="A28" t="s">
        <v>5</v>
      </c>
      <c r="B28" t="s">
        <v>113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26</v>
      </c>
    </row>
    <row r="29" spans="1:13" x14ac:dyDescent="0.45">
      <c r="A29" t="s">
        <v>5</v>
      </c>
      <c r="B29" t="s">
        <v>113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26</v>
      </c>
    </row>
    <row r="30" spans="1:13" x14ac:dyDescent="0.45">
      <c r="A30" t="s">
        <v>5</v>
      </c>
      <c r="B30" t="s">
        <v>113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26</v>
      </c>
    </row>
    <row r="31" spans="1:13" x14ac:dyDescent="0.45">
      <c r="A31" t="s">
        <v>5</v>
      </c>
      <c r="B31" t="s">
        <v>113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26</v>
      </c>
    </row>
    <row r="32" spans="1:13" x14ac:dyDescent="0.45">
      <c r="A32" t="s">
        <v>7</v>
      </c>
      <c r="B32" t="s">
        <v>113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26</v>
      </c>
    </row>
    <row r="33" spans="1:13" x14ac:dyDescent="0.45">
      <c r="A33" t="s">
        <v>7</v>
      </c>
      <c r="B33" t="s">
        <v>113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26</v>
      </c>
    </row>
    <row r="34" spans="1:13" x14ac:dyDescent="0.45">
      <c r="A34" t="s">
        <v>7</v>
      </c>
      <c r="B34" t="s">
        <v>113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26</v>
      </c>
    </row>
    <row r="35" spans="1:13" x14ac:dyDescent="0.45">
      <c r="A35" t="s">
        <v>7</v>
      </c>
      <c r="B35" t="s">
        <v>113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113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26</v>
      </c>
    </row>
    <row r="37" spans="1:13" x14ac:dyDescent="0.45">
      <c r="A37" t="s">
        <v>7</v>
      </c>
      <c r="B37" t="s">
        <v>113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113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113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26</v>
      </c>
    </row>
    <row r="40" spans="1:13" x14ac:dyDescent="0.45">
      <c r="A40" t="s">
        <v>9</v>
      </c>
      <c r="B40" t="s">
        <v>113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26</v>
      </c>
    </row>
    <row r="41" spans="1:13" x14ac:dyDescent="0.45">
      <c r="A41" t="s">
        <v>9</v>
      </c>
      <c r="B41" t="s">
        <v>113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26</v>
      </c>
    </row>
    <row r="42" spans="1:13" x14ac:dyDescent="0.45">
      <c r="A42" t="s">
        <v>9</v>
      </c>
      <c r="B42" t="s">
        <v>113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26</v>
      </c>
    </row>
    <row r="43" spans="1:13" x14ac:dyDescent="0.45">
      <c r="A43" t="s">
        <v>9</v>
      </c>
      <c r="B43" t="s">
        <v>113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26</v>
      </c>
    </row>
    <row r="44" spans="1:13" x14ac:dyDescent="0.45">
      <c r="A44" t="s">
        <v>9</v>
      </c>
      <c r="B44" t="s">
        <v>113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26</v>
      </c>
    </row>
    <row r="45" spans="1:13" x14ac:dyDescent="0.45">
      <c r="A45" t="s">
        <v>9</v>
      </c>
      <c r="B45" t="s">
        <v>113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26</v>
      </c>
    </row>
    <row r="46" spans="1:13" x14ac:dyDescent="0.45">
      <c r="A46" t="s">
        <v>0</v>
      </c>
      <c r="B46" t="s">
        <v>113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114</v>
      </c>
    </row>
    <row r="82" spans="1:13" x14ac:dyDescent="0.45">
      <c r="A82" t="s">
        <v>0</v>
      </c>
      <c r="B82" t="s">
        <v>113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114</v>
      </c>
    </row>
    <row r="83" spans="1:13" x14ac:dyDescent="0.45">
      <c r="A83" t="s">
        <v>0</v>
      </c>
      <c r="B83" t="s">
        <v>113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114</v>
      </c>
    </row>
    <row r="84" spans="1:13" x14ac:dyDescent="0.45">
      <c r="A84" t="s">
        <v>0</v>
      </c>
      <c r="B84" t="s">
        <v>113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114</v>
      </c>
    </row>
    <row r="85" spans="1:13" x14ac:dyDescent="0.45">
      <c r="A85" t="s">
        <v>0</v>
      </c>
      <c r="B85" t="s">
        <v>113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114</v>
      </c>
    </row>
    <row r="86" spans="1:13" x14ac:dyDescent="0.45">
      <c r="A86" t="s">
        <v>0</v>
      </c>
      <c r="B86" t="s">
        <v>113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114</v>
      </c>
    </row>
    <row r="87" spans="1:13" x14ac:dyDescent="0.45">
      <c r="A87" t="s">
        <v>0</v>
      </c>
      <c r="B87" t="s">
        <v>113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114</v>
      </c>
    </row>
    <row r="88" spans="1:13" x14ac:dyDescent="0.45">
      <c r="A88" t="s">
        <v>2</v>
      </c>
      <c r="B88" t="s">
        <v>113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114</v>
      </c>
    </row>
    <row r="89" spans="1:13" x14ac:dyDescent="0.45">
      <c r="A89" t="s">
        <v>2</v>
      </c>
      <c r="B89" t="s">
        <v>113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114</v>
      </c>
    </row>
    <row r="90" spans="1:13" x14ac:dyDescent="0.45">
      <c r="A90" t="s">
        <v>2</v>
      </c>
      <c r="B90" t="s">
        <v>113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114</v>
      </c>
    </row>
    <row r="91" spans="1:13" x14ac:dyDescent="0.45">
      <c r="A91" t="s">
        <v>2</v>
      </c>
      <c r="B91" t="s">
        <v>113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114</v>
      </c>
    </row>
    <row r="92" spans="1:13" x14ac:dyDescent="0.45">
      <c r="A92" t="s">
        <v>2</v>
      </c>
      <c r="B92" t="s">
        <v>113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114</v>
      </c>
    </row>
    <row r="93" spans="1:13" x14ac:dyDescent="0.45">
      <c r="A93" t="s">
        <v>2</v>
      </c>
      <c r="B93" t="s">
        <v>113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114</v>
      </c>
    </row>
    <row r="94" spans="1:13" x14ac:dyDescent="0.45">
      <c r="A94" t="s">
        <v>2</v>
      </c>
      <c r="B94" t="s">
        <v>113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114</v>
      </c>
    </row>
    <row r="95" spans="1:13" x14ac:dyDescent="0.45">
      <c r="A95" t="s">
        <v>5</v>
      </c>
      <c r="B95" t="s">
        <v>113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114</v>
      </c>
    </row>
    <row r="96" spans="1:13" x14ac:dyDescent="0.45">
      <c r="A96" t="s">
        <v>5</v>
      </c>
      <c r="B96" t="s">
        <v>113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114</v>
      </c>
    </row>
    <row r="97" spans="1:13" x14ac:dyDescent="0.45">
      <c r="A97" t="s">
        <v>5</v>
      </c>
      <c r="B97" t="s">
        <v>113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114</v>
      </c>
    </row>
    <row r="98" spans="1:13" x14ac:dyDescent="0.45">
      <c r="A98" t="s">
        <v>5</v>
      </c>
      <c r="B98" t="s">
        <v>113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114</v>
      </c>
    </row>
    <row r="99" spans="1:13" x14ac:dyDescent="0.45">
      <c r="A99" t="s">
        <v>5</v>
      </c>
      <c r="B99" t="s">
        <v>113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114</v>
      </c>
    </row>
    <row r="100" spans="1:13" x14ac:dyDescent="0.45">
      <c r="A100" t="s">
        <v>5</v>
      </c>
      <c r="B100" t="s">
        <v>113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114</v>
      </c>
    </row>
    <row r="101" spans="1:13" x14ac:dyDescent="0.45">
      <c r="A101" t="s">
        <v>5</v>
      </c>
      <c r="B101" t="s">
        <v>113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114</v>
      </c>
    </row>
    <row r="102" spans="1:13" x14ac:dyDescent="0.45">
      <c r="A102" t="s">
        <v>7</v>
      </c>
      <c r="B102" t="s">
        <v>113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114</v>
      </c>
    </row>
    <row r="103" spans="1:13" x14ac:dyDescent="0.45">
      <c r="A103" t="s">
        <v>7</v>
      </c>
      <c r="B103" t="s">
        <v>113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114</v>
      </c>
    </row>
    <row r="104" spans="1:13" x14ac:dyDescent="0.45">
      <c r="A104" t="s">
        <v>7</v>
      </c>
      <c r="B104" t="s">
        <v>113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114</v>
      </c>
    </row>
    <row r="105" spans="1:13" x14ac:dyDescent="0.45">
      <c r="A105" t="s">
        <v>7</v>
      </c>
      <c r="B105" t="s">
        <v>113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114</v>
      </c>
    </row>
    <row r="106" spans="1:13" x14ac:dyDescent="0.45">
      <c r="A106" t="s">
        <v>7</v>
      </c>
      <c r="B106" t="s">
        <v>113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114</v>
      </c>
    </row>
    <row r="107" spans="1:13" x14ac:dyDescent="0.45">
      <c r="A107" t="s">
        <v>7</v>
      </c>
      <c r="B107" t="s">
        <v>113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114</v>
      </c>
    </row>
    <row r="108" spans="1:13" x14ac:dyDescent="0.45">
      <c r="A108" t="s">
        <v>7</v>
      </c>
      <c r="B108" t="s">
        <v>113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114</v>
      </c>
    </row>
    <row r="109" spans="1:13" x14ac:dyDescent="0.45">
      <c r="A109" t="s">
        <v>9</v>
      </c>
      <c r="B109" t="s">
        <v>113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114</v>
      </c>
    </row>
    <row r="110" spans="1:13" x14ac:dyDescent="0.45">
      <c r="A110" t="s">
        <v>9</v>
      </c>
      <c r="B110" t="s">
        <v>113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114</v>
      </c>
    </row>
    <row r="111" spans="1:13" x14ac:dyDescent="0.45">
      <c r="A111" t="s">
        <v>9</v>
      </c>
      <c r="B111" t="s">
        <v>113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114</v>
      </c>
    </row>
    <row r="112" spans="1:13" x14ac:dyDescent="0.45">
      <c r="A112" t="s">
        <v>9</v>
      </c>
      <c r="B112" t="s">
        <v>113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114</v>
      </c>
    </row>
    <row r="113" spans="1:13" x14ac:dyDescent="0.45">
      <c r="A113" t="s">
        <v>9</v>
      </c>
      <c r="B113" t="s">
        <v>113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114</v>
      </c>
    </row>
    <row r="114" spans="1:13" x14ac:dyDescent="0.45">
      <c r="A114" t="s">
        <v>9</v>
      </c>
      <c r="B114" t="s">
        <v>113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114</v>
      </c>
    </row>
    <row r="115" spans="1:13" x14ac:dyDescent="0.45">
      <c r="A115" t="s">
        <v>9</v>
      </c>
      <c r="B115" t="s">
        <v>113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114</v>
      </c>
    </row>
    <row r="116" spans="1:13" x14ac:dyDescent="0.45">
      <c r="A116" t="s">
        <v>0</v>
      </c>
      <c r="B116" t="s">
        <v>113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113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113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15</v>
      </c>
    </row>
    <row r="119" spans="1:13" x14ac:dyDescent="0.45">
      <c r="A119" t="s">
        <v>0</v>
      </c>
      <c r="B119" t="s">
        <v>113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15</v>
      </c>
    </row>
    <row r="120" spans="1:13" x14ac:dyDescent="0.45">
      <c r="A120" t="s">
        <v>0</v>
      </c>
      <c r="B120" t="s">
        <v>113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15</v>
      </c>
    </row>
    <row r="121" spans="1:13" x14ac:dyDescent="0.45">
      <c r="A121" t="s">
        <v>0</v>
      </c>
      <c r="B121" t="s">
        <v>113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15</v>
      </c>
    </row>
    <row r="122" spans="1:13" x14ac:dyDescent="0.45">
      <c r="A122" t="s">
        <v>0</v>
      </c>
      <c r="B122" t="s">
        <v>113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113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15</v>
      </c>
    </row>
    <row r="124" spans="1:13" x14ac:dyDescent="0.45">
      <c r="A124" t="s">
        <v>2</v>
      </c>
      <c r="B124" t="s">
        <v>113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113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15</v>
      </c>
    </row>
    <row r="126" spans="1:13" x14ac:dyDescent="0.45">
      <c r="A126" t="s">
        <v>2</v>
      </c>
      <c r="B126" t="s">
        <v>113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15</v>
      </c>
    </row>
    <row r="127" spans="1:13" x14ac:dyDescent="0.45">
      <c r="A127" t="s">
        <v>2</v>
      </c>
      <c r="B127" t="s">
        <v>113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113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113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15</v>
      </c>
    </row>
    <row r="130" spans="1:13" x14ac:dyDescent="0.45">
      <c r="A130" t="s">
        <v>5</v>
      </c>
      <c r="B130" t="s">
        <v>113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113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113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15</v>
      </c>
    </row>
    <row r="133" spans="1:13" x14ac:dyDescent="0.45">
      <c r="A133" t="s">
        <v>5</v>
      </c>
      <c r="B133" t="s">
        <v>113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15</v>
      </c>
    </row>
    <row r="134" spans="1:13" x14ac:dyDescent="0.45">
      <c r="A134" t="s">
        <v>5</v>
      </c>
      <c r="B134" t="s">
        <v>113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113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15</v>
      </c>
    </row>
    <row r="136" spans="1:13" x14ac:dyDescent="0.45">
      <c r="A136" t="s">
        <v>5</v>
      </c>
      <c r="B136" t="s">
        <v>113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15</v>
      </c>
    </row>
    <row r="137" spans="1:13" x14ac:dyDescent="0.45">
      <c r="A137" t="s">
        <v>7</v>
      </c>
      <c r="B137" t="s">
        <v>113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113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113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15</v>
      </c>
    </row>
    <row r="140" spans="1:13" x14ac:dyDescent="0.45">
      <c r="A140" t="s">
        <v>7</v>
      </c>
      <c r="B140" t="s">
        <v>113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113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15</v>
      </c>
    </row>
    <row r="142" spans="1:13" x14ac:dyDescent="0.45">
      <c r="A142" t="s">
        <v>7</v>
      </c>
      <c r="B142" t="s">
        <v>113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113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15</v>
      </c>
    </row>
    <row r="144" spans="1:13" x14ac:dyDescent="0.45">
      <c r="A144" t="s">
        <v>9</v>
      </c>
      <c r="B144" t="s">
        <v>113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113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113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15</v>
      </c>
    </row>
    <row r="147" spans="1:13" x14ac:dyDescent="0.45">
      <c r="A147" t="s">
        <v>9</v>
      </c>
      <c r="B147" t="s">
        <v>113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15</v>
      </c>
    </row>
    <row r="148" spans="1:13" x14ac:dyDescent="0.45">
      <c r="A148" t="s">
        <v>9</v>
      </c>
      <c r="B148" t="s">
        <v>113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15</v>
      </c>
    </row>
    <row r="149" spans="1:13" x14ac:dyDescent="0.45">
      <c r="A149" t="s">
        <v>9</v>
      </c>
      <c r="B149" t="s">
        <v>113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15</v>
      </c>
    </row>
    <row r="150" spans="1:13" x14ac:dyDescent="0.45">
      <c r="A150" t="s">
        <v>9</v>
      </c>
      <c r="B150" t="s">
        <v>113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15</v>
      </c>
    </row>
    <row r="151" spans="1:13" x14ac:dyDescent="0.45">
      <c r="A151" t="s">
        <v>0</v>
      </c>
      <c r="B151" t="s">
        <v>113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18</v>
      </c>
    </row>
    <row r="152" spans="1:13" x14ac:dyDescent="0.45">
      <c r="A152" t="s">
        <v>0</v>
      </c>
      <c r="B152" t="s">
        <v>113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18</v>
      </c>
    </row>
    <row r="153" spans="1:13" x14ac:dyDescent="0.45">
      <c r="A153" t="s">
        <v>0</v>
      </c>
      <c r="B153" t="s">
        <v>113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18</v>
      </c>
    </row>
    <row r="154" spans="1:13" x14ac:dyDescent="0.45">
      <c r="A154" t="s">
        <v>0</v>
      </c>
      <c r="B154" t="s">
        <v>113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18</v>
      </c>
    </row>
    <row r="155" spans="1:13" x14ac:dyDescent="0.45">
      <c r="A155" t="s">
        <v>0</v>
      </c>
      <c r="B155" t="s">
        <v>113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18</v>
      </c>
    </row>
    <row r="156" spans="1:13" x14ac:dyDescent="0.45">
      <c r="A156" t="s">
        <v>0</v>
      </c>
      <c r="B156" t="s">
        <v>113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18</v>
      </c>
    </row>
    <row r="157" spans="1:13" x14ac:dyDescent="0.45">
      <c r="A157" t="s">
        <v>0</v>
      </c>
      <c r="B157" t="s">
        <v>113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18</v>
      </c>
    </row>
    <row r="158" spans="1:13" x14ac:dyDescent="0.45">
      <c r="A158" t="s">
        <v>2</v>
      </c>
      <c r="B158" t="s">
        <v>113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18</v>
      </c>
    </row>
    <row r="159" spans="1:13" x14ac:dyDescent="0.45">
      <c r="A159" t="s">
        <v>2</v>
      </c>
      <c r="B159" t="s">
        <v>113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18</v>
      </c>
    </row>
    <row r="160" spans="1:13" x14ac:dyDescent="0.45">
      <c r="A160" t="s">
        <v>2</v>
      </c>
      <c r="B160" t="s">
        <v>113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18</v>
      </c>
    </row>
    <row r="161" spans="1:13" x14ac:dyDescent="0.45">
      <c r="A161" t="s">
        <v>2</v>
      </c>
      <c r="B161" t="s">
        <v>113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18</v>
      </c>
    </row>
    <row r="162" spans="1:13" x14ac:dyDescent="0.45">
      <c r="A162" t="s">
        <v>2</v>
      </c>
      <c r="B162" t="s">
        <v>113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18</v>
      </c>
    </row>
    <row r="163" spans="1:13" x14ac:dyDescent="0.45">
      <c r="A163" t="s">
        <v>2</v>
      </c>
      <c r="B163" t="s">
        <v>113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18</v>
      </c>
    </row>
    <row r="164" spans="1:13" x14ac:dyDescent="0.45">
      <c r="A164" t="s">
        <v>2</v>
      </c>
      <c r="B164" t="s">
        <v>113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18</v>
      </c>
    </row>
    <row r="165" spans="1:13" x14ac:dyDescent="0.45">
      <c r="A165" t="s">
        <v>5</v>
      </c>
      <c r="B165" t="s">
        <v>113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18</v>
      </c>
    </row>
    <row r="166" spans="1:13" x14ac:dyDescent="0.45">
      <c r="A166" t="s">
        <v>5</v>
      </c>
      <c r="B166" t="s">
        <v>113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18</v>
      </c>
    </row>
    <row r="167" spans="1:13" x14ac:dyDescent="0.45">
      <c r="A167" t="s">
        <v>5</v>
      </c>
      <c r="B167" t="s">
        <v>113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18</v>
      </c>
    </row>
    <row r="168" spans="1:13" x14ac:dyDescent="0.45">
      <c r="A168" t="s">
        <v>5</v>
      </c>
      <c r="B168" t="s">
        <v>113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18</v>
      </c>
    </row>
    <row r="169" spans="1:13" x14ac:dyDescent="0.45">
      <c r="A169" t="s">
        <v>5</v>
      </c>
      <c r="B169" t="s">
        <v>113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18</v>
      </c>
    </row>
    <row r="170" spans="1:13" x14ac:dyDescent="0.45">
      <c r="A170" t="s">
        <v>5</v>
      </c>
      <c r="B170" t="s">
        <v>113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18</v>
      </c>
    </row>
    <row r="171" spans="1:13" x14ac:dyDescent="0.45">
      <c r="A171" t="s">
        <v>5</v>
      </c>
      <c r="B171" t="s">
        <v>113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18</v>
      </c>
    </row>
    <row r="172" spans="1:13" x14ac:dyDescent="0.45">
      <c r="A172" t="s">
        <v>7</v>
      </c>
      <c r="B172" t="s">
        <v>113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18</v>
      </c>
    </row>
    <row r="173" spans="1:13" x14ac:dyDescent="0.45">
      <c r="A173" t="s">
        <v>7</v>
      </c>
      <c r="B173" t="s">
        <v>113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18</v>
      </c>
    </row>
    <row r="174" spans="1:13" x14ac:dyDescent="0.45">
      <c r="A174" t="s">
        <v>7</v>
      </c>
      <c r="B174" t="s">
        <v>113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18</v>
      </c>
    </row>
    <row r="175" spans="1:13" x14ac:dyDescent="0.45">
      <c r="A175" t="s">
        <v>7</v>
      </c>
      <c r="B175" t="s">
        <v>113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18</v>
      </c>
    </row>
    <row r="176" spans="1:13" x14ac:dyDescent="0.45">
      <c r="A176" t="s">
        <v>7</v>
      </c>
      <c r="B176" t="s">
        <v>113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18</v>
      </c>
    </row>
    <row r="177" spans="1:13" x14ac:dyDescent="0.45">
      <c r="A177" t="s">
        <v>7</v>
      </c>
      <c r="B177" t="s">
        <v>113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18</v>
      </c>
    </row>
    <row r="178" spans="1:13" x14ac:dyDescent="0.45">
      <c r="A178" t="s">
        <v>7</v>
      </c>
      <c r="B178" t="s">
        <v>113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18</v>
      </c>
    </row>
    <row r="179" spans="1:13" x14ac:dyDescent="0.45">
      <c r="A179" t="s">
        <v>9</v>
      </c>
      <c r="B179" t="s">
        <v>113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18</v>
      </c>
    </row>
    <row r="180" spans="1:13" x14ac:dyDescent="0.45">
      <c r="A180" t="s">
        <v>9</v>
      </c>
      <c r="B180" t="s">
        <v>113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18</v>
      </c>
    </row>
    <row r="181" spans="1:13" x14ac:dyDescent="0.45">
      <c r="A181" t="s">
        <v>9</v>
      </c>
      <c r="B181" t="s">
        <v>113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18</v>
      </c>
    </row>
    <row r="182" spans="1:13" x14ac:dyDescent="0.45">
      <c r="A182" t="s">
        <v>9</v>
      </c>
      <c r="B182" t="s">
        <v>113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18</v>
      </c>
    </row>
    <row r="183" spans="1:13" x14ac:dyDescent="0.45">
      <c r="A183" t="s">
        <v>9</v>
      </c>
      <c r="B183" t="s">
        <v>113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18</v>
      </c>
    </row>
    <row r="184" spans="1:13" x14ac:dyDescent="0.45">
      <c r="A184" t="s">
        <v>9</v>
      </c>
      <c r="B184" t="s">
        <v>113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18</v>
      </c>
    </row>
    <row r="185" spans="1:13" x14ac:dyDescent="0.45">
      <c r="A185" t="s">
        <v>9</v>
      </c>
      <c r="B185" t="s">
        <v>113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18</v>
      </c>
    </row>
    <row r="186" spans="1:13" x14ac:dyDescent="0.45">
      <c r="A186" t="s">
        <v>0</v>
      </c>
      <c r="B186" t="s">
        <v>113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21</v>
      </c>
    </row>
    <row r="187" spans="1:13" x14ac:dyDescent="0.45">
      <c r="A187" t="s">
        <v>0</v>
      </c>
      <c r="B187" t="s">
        <v>113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21</v>
      </c>
    </row>
    <row r="188" spans="1:13" x14ac:dyDescent="0.45">
      <c r="A188" t="s">
        <v>0</v>
      </c>
      <c r="B188" t="s">
        <v>113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21</v>
      </c>
    </row>
    <row r="189" spans="1:13" x14ac:dyDescent="0.45">
      <c r="A189" t="s">
        <v>0</v>
      </c>
      <c r="B189" t="s">
        <v>113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21</v>
      </c>
    </row>
    <row r="190" spans="1:13" x14ac:dyDescent="0.45">
      <c r="A190" t="s">
        <v>0</v>
      </c>
      <c r="B190" t="s">
        <v>113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21</v>
      </c>
    </row>
    <row r="191" spans="1:13" x14ac:dyDescent="0.45">
      <c r="A191" t="s">
        <v>0</v>
      </c>
      <c r="B191" t="s">
        <v>113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21</v>
      </c>
    </row>
    <row r="192" spans="1:13" x14ac:dyDescent="0.45">
      <c r="A192" t="s">
        <v>0</v>
      </c>
      <c r="B192" t="s">
        <v>113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21</v>
      </c>
    </row>
    <row r="193" spans="1:13" x14ac:dyDescent="0.45">
      <c r="A193" t="s">
        <v>2</v>
      </c>
      <c r="B193" t="s">
        <v>113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21</v>
      </c>
    </row>
    <row r="194" spans="1:13" x14ac:dyDescent="0.45">
      <c r="A194" t="s">
        <v>2</v>
      </c>
      <c r="B194" t="s">
        <v>113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21</v>
      </c>
    </row>
    <row r="195" spans="1:13" x14ac:dyDescent="0.45">
      <c r="A195" t="s">
        <v>2</v>
      </c>
      <c r="B195" t="s">
        <v>113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21</v>
      </c>
    </row>
    <row r="196" spans="1:13" x14ac:dyDescent="0.45">
      <c r="A196" t="s">
        <v>2</v>
      </c>
      <c r="B196" t="s">
        <v>113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21</v>
      </c>
    </row>
    <row r="197" spans="1:13" x14ac:dyDescent="0.45">
      <c r="A197" t="s">
        <v>2</v>
      </c>
      <c r="B197" t="s">
        <v>113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21</v>
      </c>
    </row>
    <row r="198" spans="1:13" x14ac:dyDescent="0.45">
      <c r="A198" t="s">
        <v>2</v>
      </c>
      <c r="B198" t="s">
        <v>113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21</v>
      </c>
    </row>
    <row r="199" spans="1:13" x14ac:dyDescent="0.45">
      <c r="A199" t="s">
        <v>2</v>
      </c>
      <c r="B199" t="s">
        <v>113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21</v>
      </c>
    </row>
    <row r="200" spans="1:13" x14ac:dyDescent="0.45">
      <c r="A200" t="s">
        <v>5</v>
      </c>
      <c r="B200" t="s">
        <v>113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21</v>
      </c>
    </row>
    <row r="201" spans="1:13" x14ac:dyDescent="0.45">
      <c r="A201" t="s">
        <v>5</v>
      </c>
      <c r="B201" t="s">
        <v>113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21</v>
      </c>
    </row>
    <row r="202" spans="1:13" x14ac:dyDescent="0.45">
      <c r="A202" t="s">
        <v>5</v>
      </c>
      <c r="B202" t="s">
        <v>113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21</v>
      </c>
    </row>
    <row r="203" spans="1:13" x14ac:dyDescent="0.45">
      <c r="A203" t="s">
        <v>5</v>
      </c>
      <c r="B203" t="s">
        <v>113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21</v>
      </c>
    </row>
    <row r="204" spans="1:13" x14ac:dyDescent="0.45">
      <c r="A204" t="s">
        <v>5</v>
      </c>
      <c r="B204" t="s">
        <v>113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113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21</v>
      </c>
    </row>
    <row r="206" spans="1:13" x14ac:dyDescent="0.45">
      <c r="A206" t="s">
        <v>5</v>
      </c>
      <c r="B206" t="s">
        <v>113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21</v>
      </c>
    </row>
    <row r="207" spans="1:13" x14ac:dyDescent="0.45">
      <c r="A207" t="s">
        <v>7</v>
      </c>
      <c r="B207" t="s">
        <v>113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21</v>
      </c>
    </row>
    <row r="208" spans="1:13" x14ac:dyDescent="0.45">
      <c r="A208" t="s">
        <v>7</v>
      </c>
      <c r="B208" t="s">
        <v>113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21</v>
      </c>
    </row>
    <row r="209" spans="1:13" x14ac:dyDescent="0.45">
      <c r="A209" t="s">
        <v>7</v>
      </c>
      <c r="B209" t="s">
        <v>113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21</v>
      </c>
    </row>
    <row r="210" spans="1:13" x14ac:dyDescent="0.45">
      <c r="A210" t="s">
        <v>7</v>
      </c>
      <c r="B210" t="s">
        <v>113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21</v>
      </c>
    </row>
    <row r="211" spans="1:13" x14ac:dyDescent="0.45">
      <c r="A211" t="s">
        <v>7</v>
      </c>
      <c r="B211" t="s">
        <v>113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21</v>
      </c>
    </row>
    <row r="212" spans="1:13" x14ac:dyDescent="0.45">
      <c r="A212" t="s">
        <v>7</v>
      </c>
      <c r="B212" t="s">
        <v>113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21</v>
      </c>
    </row>
    <row r="213" spans="1:13" x14ac:dyDescent="0.45">
      <c r="A213" t="s">
        <v>7</v>
      </c>
      <c r="B213" t="s">
        <v>113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21</v>
      </c>
    </row>
    <row r="214" spans="1:13" x14ac:dyDescent="0.45">
      <c r="A214" t="s">
        <v>9</v>
      </c>
      <c r="B214" t="s">
        <v>113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21</v>
      </c>
    </row>
    <row r="215" spans="1:13" x14ac:dyDescent="0.45">
      <c r="A215" t="s">
        <v>9</v>
      </c>
      <c r="B215" t="s">
        <v>113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21</v>
      </c>
    </row>
    <row r="216" spans="1:13" x14ac:dyDescent="0.45">
      <c r="A216" t="s">
        <v>9</v>
      </c>
      <c r="B216" t="s">
        <v>113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21</v>
      </c>
    </row>
    <row r="217" spans="1:13" x14ac:dyDescent="0.45">
      <c r="A217" t="s">
        <v>9</v>
      </c>
      <c r="B217" t="s">
        <v>113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21</v>
      </c>
    </row>
    <row r="218" spans="1:13" x14ac:dyDescent="0.45">
      <c r="A218" t="s">
        <v>9</v>
      </c>
      <c r="B218" t="s">
        <v>113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21</v>
      </c>
    </row>
    <row r="219" spans="1:13" x14ac:dyDescent="0.45">
      <c r="A219" t="s">
        <v>9</v>
      </c>
      <c r="B219" t="s">
        <v>113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113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21</v>
      </c>
    </row>
    <row r="221" spans="1:13" x14ac:dyDescent="0.45">
      <c r="A221" t="s">
        <v>0</v>
      </c>
      <c r="B221" t="s">
        <v>113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23</v>
      </c>
    </row>
    <row r="222" spans="1:13" x14ac:dyDescent="0.45">
      <c r="A222" t="s">
        <v>0</v>
      </c>
      <c r="B222" t="s">
        <v>113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23</v>
      </c>
    </row>
    <row r="223" spans="1:13" x14ac:dyDescent="0.45">
      <c r="A223" t="s">
        <v>0</v>
      </c>
      <c r="B223" t="s">
        <v>113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23</v>
      </c>
    </row>
    <row r="224" spans="1:13" x14ac:dyDescent="0.45">
      <c r="A224" t="s">
        <v>0</v>
      </c>
      <c r="B224" t="s">
        <v>113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23</v>
      </c>
    </row>
    <row r="225" spans="1:13" x14ac:dyDescent="0.45">
      <c r="A225" t="s">
        <v>0</v>
      </c>
      <c r="B225" t="s">
        <v>113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23</v>
      </c>
    </row>
    <row r="226" spans="1:13" x14ac:dyDescent="0.45">
      <c r="A226" t="s">
        <v>0</v>
      </c>
      <c r="B226" t="s">
        <v>113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23</v>
      </c>
    </row>
    <row r="227" spans="1:13" x14ac:dyDescent="0.45">
      <c r="A227" t="s">
        <v>0</v>
      </c>
      <c r="B227" t="s">
        <v>113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23</v>
      </c>
    </row>
    <row r="228" spans="1:13" x14ac:dyDescent="0.45">
      <c r="A228" t="s">
        <v>2</v>
      </c>
      <c r="B228" t="s">
        <v>113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23</v>
      </c>
    </row>
    <row r="229" spans="1:13" x14ac:dyDescent="0.45">
      <c r="A229" t="s">
        <v>2</v>
      </c>
      <c r="B229" t="s">
        <v>113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23</v>
      </c>
    </row>
    <row r="230" spans="1:13" x14ac:dyDescent="0.45">
      <c r="A230" t="s">
        <v>2</v>
      </c>
      <c r="B230" t="s">
        <v>113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23</v>
      </c>
    </row>
    <row r="231" spans="1:13" x14ac:dyDescent="0.45">
      <c r="A231" t="s">
        <v>2</v>
      </c>
      <c r="B231" t="s">
        <v>113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23</v>
      </c>
    </row>
    <row r="232" spans="1:13" x14ac:dyDescent="0.45">
      <c r="A232" t="s">
        <v>2</v>
      </c>
      <c r="B232" t="s">
        <v>113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23</v>
      </c>
    </row>
    <row r="233" spans="1:13" x14ac:dyDescent="0.45">
      <c r="A233" t="s">
        <v>2</v>
      </c>
      <c r="B233" t="s">
        <v>113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23</v>
      </c>
    </row>
    <row r="234" spans="1:13" x14ac:dyDescent="0.45">
      <c r="A234" t="s">
        <v>2</v>
      </c>
      <c r="B234" t="s">
        <v>113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23</v>
      </c>
    </row>
    <row r="235" spans="1:13" x14ac:dyDescent="0.45">
      <c r="A235" t="s">
        <v>5</v>
      </c>
      <c r="B235" t="s">
        <v>113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23</v>
      </c>
    </row>
    <row r="236" spans="1:13" x14ac:dyDescent="0.45">
      <c r="A236" t="s">
        <v>5</v>
      </c>
      <c r="B236" t="s">
        <v>113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23</v>
      </c>
    </row>
    <row r="237" spans="1:13" x14ac:dyDescent="0.45">
      <c r="A237" t="s">
        <v>5</v>
      </c>
      <c r="B237" t="s">
        <v>113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23</v>
      </c>
    </row>
    <row r="238" spans="1:13" x14ac:dyDescent="0.45">
      <c r="A238" t="s">
        <v>5</v>
      </c>
      <c r="B238" t="s">
        <v>113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23</v>
      </c>
    </row>
    <row r="239" spans="1:13" x14ac:dyDescent="0.45">
      <c r="A239" t="s">
        <v>5</v>
      </c>
      <c r="B239" t="s">
        <v>113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23</v>
      </c>
    </row>
    <row r="240" spans="1:13" x14ac:dyDescent="0.45">
      <c r="A240" t="s">
        <v>5</v>
      </c>
      <c r="B240" t="s">
        <v>113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23</v>
      </c>
    </row>
    <row r="241" spans="1:13" x14ac:dyDescent="0.45">
      <c r="A241" t="s">
        <v>5</v>
      </c>
      <c r="B241" t="s">
        <v>113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23</v>
      </c>
    </row>
    <row r="242" spans="1:13" x14ac:dyDescent="0.45">
      <c r="A242" t="s">
        <v>7</v>
      </c>
      <c r="B242" t="s">
        <v>113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23</v>
      </c>
    </row>
    <row r="243" spans="1:13" x14ac:dyDescent="0.45">
      <c r="A243" t="s">
        <v>7</v>
      </c>
      <c r="B243" t="s">
        <v>113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23</v>
      </c>
    </row>
    <row r="244" spans="1:13" x14ac:dyDescent="0.45">
      <c r="A244" t="s">
        <v>7</v>
      </c>
      <c r="B244" t="s">
        <v>113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23</v>
      </c>
    </row>
    <row r="245" spans="1:13" x14ac:dyDescent="0.45">
      <c r="A245" t="s">
        <v>7</v>
      </c>
      <c r="B245" t="s">
        <v>113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23</v>
      </c>
    </row>
    <row r="246" spans="1:13" x14ac:dyDescent="0.45">
      <c r="A246" t="s">
        <v>7</v>
      </c>
      <c r="B246" t="s">
        <v>113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23</v>
      </c>
    </row>
    <row r="247" spans="1:13" x14ac:dyDescent="0.45">
      <c r="A247" t="s">
        <v>7</v>
      </c>
      <c r="B247" t="s">
        <v>113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23</v>
      </c>
    </row>
    <row r="248" spans="1:13" x14ac:dyDescent="0.45">
      <c r="A248" t="s">
        <v>7</v>
      </c>
      <c r="B248" t="s">
        <v>113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23</v>
      </c>
    </row>
    <row r="249" spans="1:13" x14ac:dyDescent="0.45">
      <c r="A249" t="s">
        <v>9</v>
      </c>
      <c r="B249" t="s">
        <v>113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23</v>
      </c>
    </row>
    <row r="250" spans="1:13" x14ac:dyDescent="0.45">
      <c r="A250" t="s">
        <v>9</v>
      </c>
      <c r="B250" t="s">
        <v>113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23</v>
      </c>
    </row>
    <row r="251" spans="1:13" x14ac:dyDescent="0.45">
      <c r="A251" t="s">
        <v>9</v>
      </c>
      <c r="B251" t="s">
        <v>113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23</v>
      </c>
    </row>
    <row r="252" spans="1:13" x14ac:dyDescent="0.45">
      <c r="A252" t="s">
        <v>9</v>
      </c>
      <c r="B252" t="s">
        <v>113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23</v>
      </c>
    </row>
    <row r="253" spans="1:13" x14ac:dyDescent="0.45">
      <c r="A253" t="s">
        <v>9</v>
      </c>
      <c r="B253" t="s">
        <v>113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23</v>
      </c>
    </row>
    <row r="254" spans="1:13" x14ac:dyDescent="0.45">
      <c r="A254" t="s">
        <v>9</v>
      </c>
      <c r="B254" t="s">
        <v>113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23</v>
      </c>
    </row>
    <row r="255" spans="1:13" x14ac:dyDescent="0.45">
      <c r="A255" t="s">
        <v>9</v>
      </c>
      <c r="B255" t="s">
        <v>113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113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113</v>
      </c>
      <c r="C257">
        <v>2025</v>
      </c>
      <c r="D257">
        <v>34</v>
      </c>
      <c r="E257">
        <v>65535</v>
      </c>
      <c r="F257">
        <v>2.42</v>
      </c>
      <c r="H257">
        <v>1.18</v>
      </c>
      <c r="I257">
        <v>65535</v>
      </c>
      <c r="J257">
        <v>2.0099999999999998</v>
      </c>
      <c r="K257">
        <v>2.75</v>
      </c>
      <c r="L257" t="s">
        <v>1</v>
      </c>
      <c r="M257" t="s">
        <v>69</v>
      </c>
    </row>
    <row r="258" spans="1:13" x14ac:dyDescent="0.45">
      <c r="A258" t="s">
        <v>0</v>
      </c>
      <c r="B258" t="s">
        <v>113</v>
      </c>
      <c r="C258">
        <v>2030</v>
      </c>
      <c r="D258">
        <v>34</v>
      </c>
      <c r="E258">
        <v>65535</v>
      </c>
      <c r="F258">
        <v>3.1</v>
      </c>
      <c r="H258">
        <v>1.71</v>
      </c>
      <c r="I258">
        <v>65535</v>
      </c>
      <c r="J258">
        <v>2.38</v>
      </c>
      <c r="K258">
        <v>3.46</v>
      </c>
      <c r="L258" t="s">
        <v>1</v>
      </c>
      <c r="M258" t="s">
        <v>69</v>
      </c>
    </row>
    <row r="259" spans="1:13" x14ac:dyDescent="0.45">
      <c r="A259" t="s">
        <v>0</v>
      </c>
      <c r="B259" t="s">
        <v>113</v>
      </c>
      <c r="C259">
        <v>2035</v>
      </c>
      <c r="D259">
        <v>34</v>
      </c>
      <c r="E259">
        <v>65535</v>
      </c>
      <c r="F259">
        <v>3.54</v>
      </c>
      <c r="H259">
        <v>1.91</v>
      </c>
      <c r="I259">
        <v>65535</v>
      </c>
      <c r="J259">
        <v>2.66</v>
      </c>
      <c r="K259">
        <v>4.16</v>
      </c>
      <c r="L259" t="s">
        <v>1</v>
      </c>
      <c r="M259" t="s">
        <v>69</v>
      </c>
    </row>
    <row r="260" spans="1:13" x14ac:dyDescent="0.45">
      <c r="A260" t="s">
        <v>0</v>
      </c>
      <c r="B260" t="s">
        <v>113</v>
      </c>
      <c r="C260">
        <v>2040</v>
      </c>
      <c r="D260">
        <v>34</v>
      </c>
      <c r="E260">
        <v>65535</v>
      </c>
      <c r="F260">
        <v>4.0999999999999996</v>
      </c>
      <c r="H260">
        <v>2.27</v>
      </c>
      <c r="I260">
        <v>65535</v>
      </c>
      <c r="J260">
        <v>2.96</v>
      </c>
      <c r="K260">
        <v>4.5199999999999996</v>
      </c>
      <c r="L260" t="s">
        <v>1</v>
      </c>
      <c r="M260" t="s">
        <v>69</v>
      </c>
    </row>
    <row r="261" spans="1:13" x14ac:dyDescent="0.45">
      <c r="A261" t="s">
        <v>0</v>
      </c>
      <c r="B261" t="s">
        <v>113</v>
      </c>
      <c r="C261">
        <v>2045</v>
      </c>
      <c r="D261">
        <v>34</v>
      </c>
      <c r="E261">
        <v>65535</v>
      </c>
      <c r="F261">
        <v>3.86</v>
      </c>
      <c r="H261">
        <v>2.54</v>
      </c>
      <c r="I261">
        <v>65535</v>
      </c>
      <c r="J261">
        <v>3.3</v>
      </c>
      <c r="K261">
        <v>4.8899999999999997</v>
      </c>
      <c r="L261" t="s">
        <v>1</v>
      </c>
      <c r="M261" t="s">
        <v>69</v>
      </c>
    </row>
    <row r="262" spans="1:13" x14ac:dyDescent="0.45">
      <c r="A262" t="s">
        <v>0</v>
      </c>
      <c r="B262" t="s">
        <v>113</v>
      </c>
      <c r="C262">
        <v>2050</v>
      </c>
      <c r="D262">
        <v>34</v>
      </c>
      <c r="E262">
        <v>65535</v>
      </c>
      <c r="F262">
        <v>3.59</v>
      </c>
      <c r="H262">
        <v>2.73</v>
      </c>
      <c r="I262">
        <v>65535</v>
      </c>
      <c r="J262">
        <v>3.07</v>
      </c>
      <c r="K262">
        <v>4.0599999999999996</v>
      </c>
      <c r="L262" t="s">
        <v>1</v>
      </c>
      <c r="M262" t="s">
        <v>69</v>
      </c>
    </row>
    <row r="263" spans="1:13" x14ac:dyDescent="0.45">
      <c r="A263" t="s">
        <v>2</v>
      </c>
      <c r="B263" t="s">
        <v>113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113</v>
      </c>
      <c r="C264">
        <v>2025</v>
      </c>
      <c r="D264">
        <v>44</v>
      </c>
      <c r="E264">
        <v>65535</v>
      </c>
      <c r="F264">
        <v>1.22</v>
      </c>
      <c r="H264">
        <v>0</v>
      </c>
      <c r="I264">
        <v>65535</v>
      </c>
      <c r="J264">
        <v>1.1299999999999999</v>
      </c>
      <c r="K264">
        <v>1.35</v>
      </c>
      <c r="L264" t="s">
        <v>3</v>
      </c>
      <c r="M264" t="s">
        <v>69</v>
      </c>
    </row>
    <row r="265" spans="1:13" x14ac:dyDescent="0.45">
      <c r="A265" t="s">
        <v>2</v>
      </c>
      <c r="B265" t="s">
        <v>113</v>
      </c>
      <c r="C265">
        <v>2030</v>
      </c>
      <c r="D265">
        <v>44</v>
      </c>
      <c r="E265">
        <v>65535</v>
      </c>
      <c r="F265">
        <v>1.5</v>
      </c>
      <c r="H265">
        <v>0</v>
      </c>
      <c r="I265">
        <v>65535</v>
      </c>
      <c r="J265">
        <v>1.31</v>
      </c>
      <c r="K265">
        <v>1.83</v>
      </c>
      <c r="L265" t="s">
        <v>3</v>
      </c>
      <c r="M265" t="s">
        <v>69</v>
      </c>
    </row>
    <row r="266" spans="1:13" x14ac:dyDescent="0.45">
      <c r="A266" t="s">
        <v>2</v>
      </c>
      <c r="B266" t="s">
        <v>113</v>
      </c>
      <c r="C266">
        <v>2035</v>
      </c>
      <c r="D266">
        <v>44</v>
      </c>
      <c r="E266">
        <v>65535</v>
      </c>
      <c r="F266">
        <v>2.12</v>
      </c>
      <c r="H266">
        <v>0</v>
      </c>
      <c r="I266">
        <v>65535</v>
      </c>
      <c r="J266">
        <v>1.68</v>
      </c>
      <c r="K266">
        <v>2.46</v>
      </c>
      <c r="L266" t="s">
        <v>3</v>
      </c>
      <c r="M266" t="s">
        <v>69</v>
      </c>
    </row>
    <row r="267" spans="1:13" x14ac:dyDescent="0.45">
      <c r="A267" t="s">
        <v>2</v>
      </c>
      <c r="B267" t="s">
        <v>113</v>
      </c>
      <c r="C267">
        <v>2040</v>
      </c>
      <c r="D267">
        <v>44</v>
      </c>
      <c r="E267">
        <v>65535</v>
      </c>
      <c r="F267">
        <v>2.5</v>
      </c>
      <c r="H267">
        <v>0</v>
      </c>
      <c r="I267">
        <v>65535</v>
      </c>
      <c r="J267">
        <v>2</v>
      </c>
      <c r="K267">
        <v>2.94</v>
      </c>
      <c r="L267" t="s">
        <v>3</v>
      </c>
      <c r="M267" t="s">
        <v>69</v>
      </c>
    </row>
    <row r="268" spans="1:13" x14ac:dyDescent="0.45">
      <c r="A268" t="s">
        <v>2</v>
      </c>
      <c r="B268" t="s">
        <v>113</v>
      </c>
      <c r="C268">
        <v>2045</v>
      </c>
      <c r="D268">
        <v>44</v>
      </c>
      <c r="E268">
        <v>65535</v>
      </c>
      <c r="F268">
        <v>2.79</v>
      </c>
      <c r="H268">
        <v>0</v>
      </c>
      <c r="I268">
        <v>65535</v>
      </c>
      <c r="J268">
        <v>2.08</v>
      </c>
      <c r="K268">
        <v>3.44</v>
      </c>
      <c r="L268" t="s">
        <v>3</v>
      </c>
      <c r="M268" t="s">
        <v>69</v>
      </c>
    </row>
    <row r="269" spans="1:13" x14ac:dyDescent="0.45">
      <c r="A269" t="s">
        <v>2</v>
      </c>
      <c r="B269" t="s">
        <v>113</v>
      </c>
      <c r="C269">
        <v>2050</v>
      </c>
      <c r="D269">
        <v>44</v>
      </c>
      <c r="E269">
        <v>65535</v>
      </c>
      <c r="F269">
        <v>2.95</v>
      </c>
      <c r="H269">
        <v>0</v>
      </c>
      <c r="I269">
        <v>65535</v>
      </c>
      <c r="J269">
        <v>2.4900000000000002</v>
      </c>
      <c r="K269">
        <v>3.78</v>
      </c>
      <c r="L269" t="s">
        <v>3</v>
      </c>
      <c r="M269" t="s">
        <v>69</v>
      </c>
    </row>
    <row r="270" spans="1:13" x14ac:dyDescent="0.45">
      <c r="A270" t="s">
        <v>5</v>
      </c>
      <c r="B270" t="s">
        <v>113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113</v>
      </c>
      <c r="C271">
        <v>2025</v>
      </c>
      <c r="D271">
        <v>112</v>
      </c>
      <c r="E271">
        <v>65535</v>
      </c>
      <c r="F271">
        <v>1.41</v>
      </c>
      <c r="H271">
        <v>0.98</v>
      </c>
      <c r="I271">
        <v>65535</v>
      </c>
      <c r="J271">
        <v>1.23</v>
      </c>
      <c r="K271">
        <v>1.96</v>
      </c>
      <c r="L271" t="s">
        <v>6</v>
      </c>
      <c r="M271" t="s">
        <v>69</v>
      </c>
    </row>
    <row r="272" spans="1:13" x14ac:dyDescent="0.45">
      <c r="A272" t="s">
        <v>5</v>
      </c>
      <c r="B272" t="s">
        <v>113</v>
      </c>
      <c r="C272">
        <v>2030</v>
      </c>
      <c r="D272">
        <v>112</v>
      </c>
      <c r="E272">
        <v>65535</v>
      </c>
      <c r="F272">
        <v>2.04</v>
      </c>
      <c r="H272">
        <v>1.05</v>
      </c>
      <c r="I272">
        <v>65535</v>
      </c>
      <c r="J272">
        <v>1.52</v>
      </c>
      <c r="K272">
        <v>2.5499999999999998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113</v>
      </c>
      <c r="C273">
        <v>2035</v>
      </c>
      <c r="D273">
        <v>112</v>
      </c>
      <c r="E273">
        <v>65535</v>
      </c>
      <c r="F273">
        <v>2.4</v>
      </c>
      <c r="H273">
        <v>1.05</v>
      </c>
      <c r="I273">
        <v>65535</v>
      </c>
      <c r="J273">
        <v>1.71</v>
      </c>
      <c r="K273">
        <v>3.14</v>
      </c>
      <c r="L273" t="s">
        <v>6</v>
      </c>
      <c r="M273" t="s">
        <v>69</v>
      </c>
    </row>
    <row r="274" spans="1:13" x14ac:dyDescent="0.45">
      <c r="A274" t="s">
        <v>5</v>
      </c>
      <c r="B274" t="s">
        <v>113</v>
      </c>
      <c r="C274">
        <v>2040</v>
      </c>
      <c r="D274">
        <v>112</v>
      </c>
      <c r="E274">
        <v>65535</v>
      </c>
      <c r="F274">
        <v>2.6</v>
      </c>
      <c r="H274">
        <v>1.06</v>
      </c>
      <c r="I274">
        <v>65535</v>
      </c>
      <c r="J274">
        <v>1.85</v>
      </c>
      <c r="K274">
        <v>3.74</v>
      </c>
      <c r="L274" t="s">
        <v>6</v>
      </c>
      <c r="M274" t="s">
        <v>69</v>
      </c>
    </row>
    <row r="275" spans="1:13" x14ac:dyDescent="0.45">
      <c r="A275" t="s">
        <v>5</v>
      </c>
      <c r="B275" t="s">
        <v>113</v>
      </c>
      <c r="C275">
        <v>2045</v>
      </c>
      <c r="D275">
        <v>112</v>
      </c>
      <c r="E275">
        <v>65535</v>
      </c>
      <c r="F275">
        <v>2.85</v>
      </c>
      <c r="H275">
        <v>1.08</v>
      </c>
      <c r="I275">
        <v>65535</v>
      </c>
      <c r="J275">
        <v>2</v>
      </c>
      <c r="K275">
        <v>4.28</v>
      </c>
      <c r="L275" t="s">
        <v>6</v>
      </c>
      <c r="M275" t="s">
        <v>69</v>
      </c>
    </row>
    <row r="276" spans="1:13" x14ac:dyDescent="0.45">
      <c r="A276" t="s">
        <v>5</v>
      </c>
      <c r="B276" t="s">
        <v>113</v>
      </c>
      <c r="C276">
        <v>2050</v>
      </c>
      <c r="D276">
        <v>112</v>
      </c>
      <c r="E276">
        <v>65535</v>
      </c>
      <c r="F276">
        <v>2.97</v>
      </c>
      <c r="H276">
        <v>0</v>
      </c>
      <c r="I276">
        <v>65535</v>
      </c>
      <c r="J276">
        <v>2.15</v>
      </c>
      <c r="K276">
        <v>4.51</v>
      </c>
      <c r="L276" t="s">
        <v>6</v>
      </c>
      <c r="M276" t="s">
        <v>69</v>
      </c>
    </row>
    <row r="277" spans="1:13" x14ac:dyDescent="0.45">
      <c r="A277" t="s">
        <v>7</v>
      </c>
      <c r="B277" t="s">
        <v>113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113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69</v>
      </c>
    </row>
    <row r="279" spans="1:13" x14ac:dyDescent="0.45">
      <c r="A279" t="s">
        <v>7</v>
      </c>
      <c r="B279" t="s">
        <v>113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69</v>
      </c>
    </row>
    <row r="280" spans="1:13" x14ac:dyDescent="0.45">
      <c r="A280" t="s">
        <v>7</v>
      </c>
      <c r="B280" t="s">
        <v>113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69</v>
      </c>
    </row>
    <row r="281" spans="1:13" x14ac:dyDescent="0.45">
      <c r="A281" t="s">
        <v>7</v>
      </c>
      <c r="B281" t="s">
        <v>113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113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69</v>
      </c>
    </row>
    <row r="283" spans="1:13" x14ac:dyDescent="0.45">
      <c r="A283" t="s">
        <v>7</v>
      </c>
      <c r="B283" t="s">
        <v>113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69</v>
      </c>
    </row>
    <row r="284" spans="1:13" x14ac:dyDescent="0.45">
      <c r="A284" t="s">
        <v>9</v>
      </c>
      <c r="B284" t="s">
        <v>113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113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113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69</v>
      </c>
    </row>
    <row r="287" spans="1:13" x14ac:dyDescent="0.45">
      <c r="A287" t="s">
        <v>9</v>
      </c>
      <c r="B287" t="s">
        <v>113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69</v>
      </c>
    </row>
    <row r="288" spans="1:13" x14ac:dyDescent="0.45">
      <c r="A288" t="s">
        <v>9</v>
      </c>
      <c r="B288" t="s">
        <v>113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69</v>
      </c>
    </row>
    <row r="289" spans="1:13" x14ac:dyDescent="0.45">
      <c r="A289" t="s">
        <v>9</v>
      </c>
      <c r="B289" t="s">
        <v>113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69</v>
      </c>
    </row>
    <row r="290" spans="1:13" x14ac:dyDescent="0.45">
      <c r="A290" t="s">
        <v>9</v>
      </c>
      <c r="B290" t="s">
        <v>113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69</v>
      </c>
    </row>
    <row r="291" spans="1:13" x14ac:dyDescent="0.45">
      <c r="A291" t="s">
        <v>0</v>
      </c>
      <c r="B291" t="s">
        <v>113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113</v>
      </c>
      <c r="C292">
        <v>2025</v>
      </c>
      <c r="D292">
        <v>50</v>
      </c>
      <c r="E292">
        <v>65535</v>
      </c>
      <c r="F292">
        <v>1.1000000000000001</v>
      </c>
      <c r="H292">
        <v>-4.33</v>
      </c>
      <c r="I292">
        <v>65535</v>
      </c>
      <c r="J292">
        <v>0.81</v>
      </c>
      <c r="K292">
        <v>1.5</v>
      </c>
      <c r="L292" t="s">
        <v>1</v>
      </c>
      <c r="M292" t="s">
        <v>70</v>
      </c>
    </row>
    <row r="293" spans="1:13" x14ac:dyDescent="0.45">
      <c r="A293" t="s">
        <v>0</v>
      </c>
      <c r="B293" t="s">
        <v>113</v>
      </c>
      <c r="C293">
        <v>2030</v>
      </c>
      <c r="D293">
        <v>50</v>
      </c>
      <c r="E293">
        <v>65535</v>
      </c>
      <c r="F293">
        <v>1.77</v>
      </c>
      <c r="H293">
        <v>-6.1</v>
      </c>
      <c r="I293">
        <v>65535</v>
      </c>
      <c r="J293">
        <v>1.27</v>
      </c>
      <c r="K293">
        <v>2.54</v>
      </c>
      <c r="L293" t="s">
        <v>1</v>
      </c>
      <c r="M293" t="s">
        <v>70</v>
      </c>
    </row>
    <row r="294" spans="1:13" x14ac:dyDescent="0.45">
      <c r="A294" t="s">
        <v>0</v>
      </c>
      <c r="B294" t="s">
        <v>113</v>
      </c>
      <c r="C294">
        <v>2035</v>
      </c>
      <c r="D294">
        <v>50</v>
      </c>
      <c r="E294">
        <v>65535</v>
      </c>
      <c r="F294">
        <v>1.87</v>
      </c>
      <c r="H294">
        <v>-6.86</v>
      </c>
      <c r="I294">
        <v>65535</v>
      </c>
      <c r="J294">
        <v>1.1499999999999999</v>
      </c>
      <c r="K294">
        <v>2.77</v>
      </c>
      <c r="L294" t="s">
        <v>1</v>
      </c>
      <c r="M294" t="s">
        <v>70</v>
      </c>
    </row>
    <row r="295" spans="1:13" x14ac:dyDescent="0.45">
      <c r="A295" t="s">
        <v>0</v>
      </c>
      <c r="B295" t="s">
        <v>113</v>
      </c>
      <c r="C295">
        <v>2040</v>
      </c>
      <c r="D295">
        <v>50</v>
      </c>
      <c r="E295">
        <v>65535</v>
      </c>
      <c r="F295">
        <v>1.96</v>
      </c>
      <c r="H295">
        <v>-9.2100000000000009</v>
      </c>
      <c r="I295">
        <v>65535</v>
      </c>
      <c r="J295">
        <v>1.31</v>
      </c>
      <c r="K295">
        <v>3.39</v>
      </c>
      <c r="L295" t="s">
        <v>1</v>
      </c>
      <c r="M295" t="s">
        <v>70</v>
      </c>
    </row>
    <row r="296" spans="1:13" x14ac:dyDescent="0.45">
      <c r="A296" t="s">
        <v>0</v>
      </c>
      <c r="B296" t="s">
        <v>113</v>
      </c>
      <c r="C296">
        <v>2045</v>
      </c>
      <c r="D296">
        <v>50</v>
      </c>
      <c r="E296">
        <v>65535</v>
      </c>
      <c r="F296">
        <v>2.13</v>
      </c>
      <c r="H296">
        <v>-6.95</v>
      </c>
      <c r="I296">
        <v>65535</v>
      </c>
      <c r="J296">
        <v>1.6</v>
      </c>
      <c r="K296">
        <v>3.41</v>
      </c>
      <c r="L296" t="s">
        <v>1</v>
      </c>
      <c r="M296" t="s">
        <v>70</v>
      </c>
    </row>
    <row r="297" spans="1:13" x14ac:dyDescent="0.45">
      <c r="A297" t="s">
        <v>0</v>
      </c>
      <c r="B297" t="s">
        <v>113</v>
      </c>
      <c r="C297">
        <v>2050</v>
      </c>
      <c r="D297">
        <v>50</v>
      </c>
      <c r="E297">
        <v>65535</v>
      </c>
      <c r="F297">
        <v>2</v>
      </c>
      <c r="H297">
        <v>-10.07</v>
      </c>
      <c r="I297">
        <v>65535</v>
      </c>
      <c r="J297">
        <v>1.55</v>
      </c>
      <c r="K297">
        <v>4.63</v>
      </c>
      <c r="L297" t="s">
        <v>1</v>
      </c>
      <c r="M297" t="s">
        <v>70</v>
      </c>
    </row>
    <row r="298" spans="1:13" x14ac:dyDescent="0.45">
      <c r="A298" t="s">
        <v>2</v>
      </c>
      <c r="B298" t="s">
        <v>113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113</v>
      </c>
      <c r="C299">
        <v>2025</v>
      </c>
      <c r="D299">
        <v>52</v>
      </c>
      <c r="E299">
        <v>65535</v>
      </c>
      <c r="F299">
        <v>0.61</v>
      </c>
      <c r="H299">
        <v>0</v>
      </c>
      <c r="I299">
        <v>65535</v>
      </c>
      <c r="J299">
        <v>0.53</v>
      </c>
      <c r="K299">
        <v>0.89</v>
      </c>
      <c r="L299" t="s">
        <v>3</v>
      </c>
      <c r="M299" t="s">
        <v>70</v>
      </c>
    </row>
    <row r="300" spans="1:13" x14ac:dyDescent="0.45">
      <c r="A300" t="s">
        <v>2</v>
      </c>
      <c r="B300" t="s">
        <v>113</v>
      </c>
      <c r="C300">
        <v>2030</v>
      </c>
      <c r="D300">
        <v>63</v>
      </c>
      <c r="E300">
        <v>65535</v>
      </c>
      <c r="F300">
        <v>1.07</v>
      </c>
      <c r="H300">
        <v>0</v>
      </c>
      <c r="I300">
        <v>65535</v>
      </c>
      <c r="J300">
        <v>0.6</v>
      </c>
      <c r="K300">
        <v>1.55</v>
      </c>
      <c r="L300" t="s">
        <v>3</v>
      </c>
      <c r="M300" t="s">
        <v>70</v>
      </c>
    </row>
    <row r="301" spans="1:13" x14ac:dyDescent="0.45">
      <c r="A301" t="s">
        <v>2</v>
      </c>
      <c r="B301" t="s">
        <v>113</v>
      </c>
      <c r="C301">
        <v>2035</v>
      </c>
      <c r="D301">
        <v>52</v>
      </c>
      <c r="E301">
        <v>65535</v>
      </c>
      <c r="F301">
        <v>1.0900000000000001</v>
      </c>
      <c r="H301">
        <v>0</v>
      </c>
      <c r="I301">
        <v>65535</v>
      </c>
      <c r="J301">
        <v>0.6</v>
      </c>
      <c r="K301">
        <v>1.76</v>
      </c>
      <c r="L301" t="s">
        <v>3</v>
      </c>
      <c r="M301" t="s">
        <v>70</v>
      </c>
    </row>
    <row r="302" spans="1:13" x14ac:dyDescent="0.45">
      <c r="A302" t="s">
        <v>2</v>
      </c>
      <c r="B302" t="s">
        <v>113</v>
      </c>
      <c r="C302">
        <v>2040</v>
      </c>
      <c r="D302">
        <v>63</v>
      </c>
      <c r="E302">
        <v>65535</v>
      </c>
      <c r="F302">
        <v>1.25</v>
      </c>
      <c r="H302">
        <v>0</v>
      </c>
      <c r="I302">
        <v>65535</v>
      </c>
      <c r="J302">
        <v>0.87</v>
      </c>
      <c r="K302">
        <v>1.91</v>
      </c>
      <c r="L302" t="s">
        <v>3</v>
      </c>
      <c r="M302" t="s">
        <v>70</v>
      </c>
    </row>
    <row r="303" spans="1:13" x14ac:dyDescent="0.45">
      <c r="A303" t="s">
        <v>2</v>
      </c>
      <c r="B303" t="s">
        <v>113</v>
      </c>
      <c r="C303">
        <v>2045</v>
      </c>
      <c r="D303">
        <v>52</v>
      </c>
      <c r="E303">
        <v>65535</v>
      </c>
      <c r="F303">
        <v>1.35</v>
      </c>
      <c r="H303">
        <v>0</v>
      </c>
      <c r="I303">
        <v>65535</v>
      </c>
      <c r="J303">
        <v>0.78</v>
      </c>
      <c r="K303">
        <v>1.89</v>
      </c>
      <c r="L303" t="s">
        <v>3</v>
      </c>
      <c r="M303" t="s">
        <v>70</v>
      </c>
    </row>
    <row r="304" spans="1:13" x14ac:dyDescent="0.45">
      <c r="A304" t="s">
        <v>2</v>
      </c>
      <c r="B304" t="s">
        <v>113</v>
      </c>
      <c r="C304">
        <v>2050</v>
      </c>
      <c r="D304">
        <v>63</v>
      </c>
      <c r="E304">
        <v>65535</v>
      </c>
      <c r="F304">
        <v>1.62</v>
      </c>
      <c r="H304">
        <v>-2.31</v>
      </c>
      <c r="I304">
        <v>65535</v>
      </c>
      <c r="J304">
        <v>0.61</v>
      </c>
      <c r="K304">
        <v>2.16</v>
      </c>
      <c r="L304" t="s">
        <v>3</v>
      </c>
      <c r="M304" t="s">
        <v>70</v>
      </c>
    </row>
    <row r="305" spans="1:13" x14ac:dyDescent="0.45">
      <c r="A305" t="s">
        <v>5</v>
      </c>
      <c r="B305" t="s">
        <v>113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113</v>
      </c>
      <c r="C306">
        <v>2025</v>
      </c>
      <c r="D306">
        <v>163</v>
      </c>
      <c r="E306">
        <v>65535</v>
      </c>
      <c r="F306">
        <v>0.75</v>
      </c>
      <c r="H306">
        <v>0.46</v>
      </c>
      <c r="I306">
        <v>65535</v>
      </c>
      <c r="J306">
        <v>0.54</v>
      </c>
      <c r="K306">
        <v>1.24</v>
      </c>
      <c r="L306" t="s">
        <v>6</v>
      </c>
      <c r="M306" t="s">
        <v>70</v>
      </c>
    </row>
    <row r="307" spans="1:13" x14ac:dyDescent="0.45">
      <c r="A307" t="s">
        <v>5</v>
      </c>
      <c r="B307" t="s">
        <v>113</v>
      </c>
      <c r="C307">
        <v>2030</v>
      </c>
      <c r="D307">
        <v>166</v>
      </c>
      <c r="E307">
        <v>65535</v>
      </c>
      <c r="F307">
        <v>1.1499999999999999</v>
      </c>
      <c r="H307">
        <v>0.51</v>
      </c>
      <c r="I307">
        <v>65535</v>
      </c>
      <c r="J307">
        <v>0.74</v>
      </c>
      <c r="K307">
        <v>1.65</v>
      </c>
      <c r="L307" t="s">
        <v>6</v>
      </c>
      <c r="M307" t="s">
        <v>70</v>
      </c>
    </row>
    <row r="308" spans="1:13" x14ac:dyDescent="0.45">
      <c r="A308" t="s">
        <v>5</v>
      </c>
      <c r="B308" t="s">
        <v>113</v>
      </c>
      <c r="C308">
        <v>2035</v>
      </c>
      <c r="D308">
        <v>163</v>
      </c>
      <c r="E308">
        <v>65535</v>
      </c>
      <c r="F308">
        <v>1.21</v>
      </c>
      <c r="H308">
        <v>-0.95</v>
      </c>
      <c r="I308">
        <v>65535</v>
      </c>
      <c r="J308">
        <v>0.88</v>
      </c>
      <c r="K308">
        <v>2.11</v>
      </c>
      <c r="L308" t="s">
        <v>6</v>
      </c>
      <c r="M308" t="s">
        <v>70</v>
      </c>
    </row>
    <row r="309" spans="1:13" x14ac:dyDescent="0.45">
      <c r="A309" t="s">
        <v>5</v>
      </c>
      <c r="B309" t="s">
        <v>113</v>
      </c>
      <c r="C309">
        <v>2040</v>
      </c>
      <c r="D309">
        <v>166</v>
      </c>
      <c r="E309">
        <v>65535</v>
      </c>
      <c r="F309">
        <v>1.28</v>
      </c>
      <c r="H309">
        <v>-1.8</v>
      </c>
      <c r="I309">
        <v>65535</v>
      </c>
      <c r="J309">
        <v>0.89</v>
      </c>
      <c r="K309">
        <v>2.4300000000000002</v>
      </c>
      <c r="L309" t="s">
        <v>6</v>
      </c>
      <c r="M309" t="s">
        <v>70</v>
      </c>
    </row>
    <row r="310" spans="1:13" x14ac:dyDescent="0.45">
      <c r="A310" t="s">
        <v>5</v>
      </c>
      <c r="B310" t="s">
        <v>113</v>
      </c>
      <c r="C310">
        <v>2045</v>
      </c>
      <c r="D310">
        <v>163</v>
      </c>
      <c r="E310">
        <v>65535</v>
      </c>
      <c r="F310">
        <v>1.48</v>
      </c>
      <c r="H310">
        <v>-5.93</v>
      </c>
      <c r="I310">
        <v>65535</v>
      </c>
      <c r="J310">
        <v>1.08</v>
      </c>
      <c r="K310">
        <v>2.75</v>
      </c>
      <c r="L310" t="s">
        <v>6</v>
      </c>
      <c r="M310" t="s">
        <v>70</v>
      </c>
    </row>
    <row r="311" spans="1:13" x14ac:dyDescent="0.45">
      <c r="A311" t="s">
        <v>5</v>
      </c>
      <c r="B311" t="s">
        <v>113</v>
      </c>
      <c r="C311">
        <v>2050</v>
      </c>
      <c r="D311">
        <v>166</v>
      </c>
      <c r="E311">
        <v>65535</v>
      </c>
      <c r="F311">
        <v>1.59</v>
      </c>
      <c r="H311">
        <v>-5.35</v>
      </c>
      <c r="I311">
        <v>65535</v>
      </c>
      <c r="J311">
        <v>0.97</v>
      </c>
      <c r="K311">
        <v>2.91</v>
      </c>
      <c r="L311" t="s">
        <v>6</v>
      </c>
      <c r="M311" t="s">
        <v>70</v>
      </c>
    </row>
    <row r="312" spans="1:13" x14ac:dyDescent="0.45">
      <c r="A312" t="s">
        <v>7</v>
      </c>
      <c r="B312" t="s">
        <v>113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113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70</v>
      </c>
    </row>
    <row r="314" spans="1:13" x14ac:dyDescent="0.45">
      <c r="A314" t="s">
        <v>7</v>
      </c>
      <c r="B314" t="s">
        <v>113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70</v>
      </c>
    </row>
    <row r="315" spans="1:13" x14ac:dyDescent="0.45">
      <c r="A315" t="s">
        <v>7</v>
      </c>
      <c r="B315" t="s">
        <v>113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70</v>
      </c>
    </row>
    <row r="316" spans="1:13" x14ac:dyDescent="0.45">
      <c r="A316" t="s">
        <v>7</v>
      </c>
      <c r="B316" t="s">
        <v>113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70</v>
      </c>
    </row>
    <row r="317" spans="1:13" x14ac:dyDescent="0.45">
      <c r="A317" t="s">
        <v>7</v>
      </c>
      <c r="B317" t="s">
        <v>113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70</v>
      </c>
    </row>
    <row r="318" spans="1:13" x14ac:dyDescent="0.45">
      <c r="A318" t="s">
        <v>7</v>
      </c>
      <c r="B318" t="s">
        <v>113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70</v>
      </c>
    </row>
    <row r="319" spans="1:13" x14ac:dyDescent="0.45">
      <c r="A319" t="s">
        <v>9</v>
      </c>
      <c r="B319" t="s">
        <v>113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113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70</v>
      </c>
    </row>
    <row r="321" spans="1:13" x14ac:dyDescent="0.45">
      <c r="A321" t="s">
        <v>9</v>
      </c>
      <c r="B321" t="s">
        <v>113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70</v>
      </c>
    </row>
    <row r="322" spans="1:13" x14ac:dyDescent="0.45">
      <c r="A322" t="s">
        <v>9</v>
      </c>
      <c r="B322" t="s">
        <v>113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70</v>
      </c>
    </row>
    <row r="323" spans="1:13" x14ac:dyDescent="0.45">
      <c r="A323" t="s">
        <v>9</v>
      </c>
      <c r="B323" t="s">
        <v>113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70</v>
      </c>
    </row>
    <row r="324" spans="1:13" x14ac:dyDescent="0.45">
      <c r="A324" t="s">
        <v>9</v>
      </c>
      <c r="B324" t="s">
        <v>113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70</v>
      </c>
    </row>
    <row r="325" spans="1:13" x14ac:dyDescent="0.45">
      <c r="A325" t="s">
        <v>9</v>
      </c>
      <c r="B325" t="s">
        <v>113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113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113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71</v>
      </c>
    </row>
    <row r="328" spans="1:13" x14ac:dyDescent="0.45">
      <c r="A328" t="s">
        <v>0</v>
      </c>
      <c r="B328" t="s">
        <v>113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71</v>
      </c>
    </row>
    <row r="329" spans="1:13" x14ac:dyDescent="0.45">
      <c r="A329" t="s">
        <v>0</v>
      </c>
      <c r="B329" t="s">
        <v>113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113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71</v>
      </c>
    </row>
    <row r="331" spans="1:13" x14ac:dyDescent="0.45">
      <c r="A331" t="s">
        <v>0</v>
      </c>
      <c r="B331" t="s">
        <v>113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71</v>
      </c>
    </row>
    <row r="332" spans="1:13" x14ac:dyDescent="0.45">
      <c r="A332" t="s">
        <v>0</v>
      </c>
      <c r="B332" t="s">
        <v>113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71</v>
      </c>
    </row>
    <row r="333" spans="1:13" x14ac:dyDescent="0.45">
      <c r="A333" t="s">
        <v>2</v>
      </c>
      <c r="B333" t="s">
        <v>113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113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71</v>
      </c>
    </row>
    <row r="335" spans="1:13" x14ac:dyDescent="0.45">
      <c r="A335" t="s">
        <v>2</v>
      </c>
      <c r="B335" t="s">
        <v>113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71</v>
      </c>
    </row>
    <row r="336" spans="1:13" x14ac:dyDescent="0.45">
      <c r="A336" t="s">
        <v>2</v>
      </c>
      <c r="B336" t="s">
        <v>113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71</v>
      </c>
    </row>
    <row r="337" spans="1:13" x14ac:dyDescent="0.45">
      <c r="A337" t="s">
        <v>2</v>
      </c>
      <c r="B337" t="s">
        <v>113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71</v>
      </c>
    </row>
    <row r="338" spans="1:13" x14ac:dyDescent="0.45">
      <c r="A338" t="s">
        <v>2</v>
      </c>
      <c r="B338" t="s">
        <v>113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71</v>
      </c>
    </row>
    <row r="339" spans="1:13" x14ac:dyDescent="0.45">
      <c r="A339" t="s">
        <v>2</v>
      </c>
      <c r="B339" t="s">
        <v>113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71</v>
      </c>
    </row>
    <row r="340" spans="1:13" x14ac:dyDescent="0.45">
      <c r="A340" t="s">
        <v>5</v>
      </c>
      <c r="B340" t="s">
        <v>113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113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71</v>
      </c>
    </row>
    <row r="342" spans="1:13" x14ac:dyDescent="0.45">
      <c r="A342" t="s">
        <v>5</v>
      </c>
      <c r="B342" t="s">
        <v>113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71</v>
      </c>
    </row>
    <row r="343" spans="1:13" x14ac:dyDescent="0.45">
      <c r="A343" t="s">
        <v>5</v>
      </c>
      <c r="B343" t="s">
        <v>113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71</v>
      </c>
    </row>
    <row r="344" spans="1:13" x14ac:dyDescent="0.45">
      <c r="A344" t="s">
        <v>5</v>
      </c>
      <c r="B344" t="s">
        <v>113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71</v>
      </c>
    </row>
    <row r="345" spans="1:13" x14ac:dyDescent="0.45">
      <c r="A345" t="s">
        <v>5</v>
      </c>
      <c r="B345" t="s">
        <v>113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113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71</v>
      </c>
    </row>
    <row r="347" spans="1:13" x14ac:dyDescent="0.45">
      <c r="A347" t="s">
        <v>7</v>
      </c>
      <c r="B347" t="s">
        <v>113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113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71</v>
      </c>
    </row>
    <row r="349" spans="1:13" x14ac:dyDescent="0.45">
      <c r="A349" t="s">
        <v>7</v>
      </c>
      <c r="B349" t="s">
        <v>113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71</v>
      </c>
    </row>
    <row r="350" spans="1:13" x14ac:dyDescent="0.45">
      <c r="A350" t="s">
        <v>7</v>
      </c>
      <c r="B350" t="s">
        <v>113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71</v>
      </c>
    </row>
    <row r="351" spans="1:13" x14ac:dyDescent="0.45">
      <c r="A351" t="s">
        <v>7</v>
      </c>
      <c r="B351" t="s">
        <v>113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71</v>
      </c>
    </row>
    <row r="352" spans="1:13" x14ac:dyDescent="0.45">
      <c r="A352" t="s">
        <v>7</v>
      </c>
      <c r="B352" t="s">
        <v>113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71</v>
      </c>
    </row>
    <row r="353" spans="1:13" x14ac:dyDescent="0.45">
      <c r="A353" t="s">
        <v>7</v>
      </c>
      <c r="B353" t="s">
        <v>113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71</v>
      </c>
    </row>
    <row r="354" spans="1:13" x14ac:dyDescent="0.45">
      <c r="A354" t="s">
        <v>9</v>
      </c>
      <c r="B354" t="s">
        <v>113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113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71</v>
      </c>
    </row>
    <row r="356" spans="1:13" x14ac:dyDescent="0.45">
      <c r="A356" t="s">
        <v>9</v>
      </c>
      <c r="B356" t="s">
        <v>113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71</v>
      </c>
    </row>
    <row r="357" spans="1:13" x14ac:dyDescent="0.45">
      <c r="A357" t="s">
        <v>9</v>
      </c>
      <c r="B357" t="s">
        <v>113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71</v>
      </c>
    </row>
    <row r="358" spans="1:13" x14ac:dyDescent="0.45">
      <c r="A358" t="s">
        <v>9</v>
      </c>
      <c r="B358" t="s">
        <v>113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71</v>
      </c>
    </row>
    <row r="359" spans="1:13" x14ac:dyDescent="0.45">
      <c r="A359" t="s">
        <v>9</v>
      </c>
      <c r="B359" t="s">
        <v>113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71</v>
      </c>
    </row>
    <row r="360" spans="1:13" x14ac:dyDescent="0.45">
      <c r="A360" t="s">
        <v>9</v>
      </c>
      <c r="B360" t="s">
        <v>113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71</v>
      </c>
    </row>
    <row r="361" spans="1:13" x14ac:dyDescent="0.45">
      <c r="A361" t="s">
        <v>0</v>
      </c>
      <c r="B361" t="s">
        <v>113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113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113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113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72</v>
      </c>
    </row>
    <row r="365" spans="1:13" x14ac:dyDescent="0.45">
      <c r="A365" t="s">
        <v>0</v>
      </c>
      <c r="B365" t="s">
        <v>113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72</v>
      </c>
    </row>
    <row r="366" spans="1:13" x14ac:dyDescent="0.45">
      <c r="A366" t="s">
        <v>0</v>
      </c>
      <c r="B366" t="s">
        <v>113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72</v>
      </c>
    </row>
    <row r="367" spans="1:13" x14ac:dyDescent="0.45">
      <c r="A367" t="s">
        <v>0</v>
      </c>
      <c r="B367" t="s">
        <v>113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72</v>
      </c>
    </row>
    <row r="368" spans="1:13" x14ac:dyDescent="0.45">
      <c r="A368" t="s">
        <v>2</v>
      </c>
      <c r="B368" t="s">
        <v>113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113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113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113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72</v>
      </c>
    </row>
    <row r="372" spans="1:13" x14ac:dyDescent="0.45">
      <c r="A372" t="s">
        <v>2</v>
      </c>
      <c r="B372" t="s">
        <v>113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72</v>
      </c>
    </row>
    <row r="373" spans="1:13" x14ac:dyDescent="0.45">
      <c r="A373" t="s">
        <v>2</v>
      </c>
      <c r="B373" t="s">
        <v>113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72</v>
      </c>
    </row>
    <row r="374" spans="1:13" x14ac:dyDescent="0.45">
      <c r="A374" t="s">
        <v>2</v>
      </c>
      <c r="B374" t="s">
        <v>113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72</v>
      </c>
    </row>
    <row r="375" spans="1:13" x14ac:dyDescent="0.45">
      <c r="A375" t="s">
        <v>5</v>
      </c>
      <c r="B375" t="s">
        <v>113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113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72</v>
      </c>
    </row>
    <row r="377" spans="1:13" x14ac:dyDescent="0.45">
      <c r="A377" t="s">
        <v>5</v>
      </c>
      <c r="B377" t="s">
        <v>113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72</v>
      </c>
    </row>
    <row r="378" spans="1:13" x14ac:dyDescent="0.45">
      <c r="A378" t="s">
        <v>5</v>
      </c>
      <c r="B378" t="s">
        <v>113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72</v>
      </c>
    </row>
    <row r="379" spans="1:13" x14ac:dyDescent="0.45">
      <c r="A379" t="s">
        <v>5</v>
      </c>
      <c r="B379" t="s">
        <v>113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72</v>
      </c>
    </row>
    <row r="380" spans="1:13" x14ac:dyDescent="0.45">
      <c r="A380" t="s">
        <v>5</v>
      </c>
      <c r="B380" t="s">
        <v>113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72</v>
      </c>
    </row>
    <row r="381" spans="1:13" x14ac:dyDescent="0.45">
      <c r="A381" t="s">
        <v>5</v>
      </c>
      <c r="B381" t="s">
        <v>113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72</v>
      </c>
    </row>
    <row r="382" spans="1:13" x14ac:dyDescent="0.45">
      <c r="A382" t="s">
        <v>7</v>
      </c>
      <c r="B382" t="s">
        <v>113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113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72</v>
      </c>
    </row>
    <row r="384" spans="1:13" x14ac:dyDescent="0.45">
      <c r="A384" t="s">
        <v>7</v>
      </c>
      <c r="B384" t="s">
        <v>113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72</v>
      </c>
    </row>
    <row r="385" spans="1:13" x14ac:dyDescent="0.45">
      <c r="A385" t="s">
        <v>7</v>
      </c>
      <c r="B385" t="s">
        <v>113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72</v>
      </c>
    </row>
    <row r="386" spans="1:13" x14ac:dyDescent="0.45">
      <c r="A386" t="s">
        <v>7</v>
      </c>
      <c r="B386" t="s">
        <v>113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72</v>
      </c>
    </row>
    <row r="387" spans="1:13" x14ac:dyDescent="0.45">
      <c r="A387" t="s">
        <v>7</v>
      </c>
      <c r="B387" t="s">
        <v>113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72</v>
      </c>
    </row>
    <row r="388" spans="1:13" x14ac:dyDescent="0.45">
      <c r="A388" t="s">
        <v>7</v>
      </c>
      <c r="B388" t="s">
        <v>113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72</v>
      </c>
    </row>
    <row r="389" spans="1:13" x14ac:dyDescent="0.45">
      <c r="A389" t="s">
        <v>9</v>
      </c>
      <c r="B389" t="s">
        <v>113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113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72</v>
      </c>
    </row>
    <row r="391" spans="1:13" x14ac:dyDescent="0.45">
      <c r="A391" t="s">
        <v>9</v>
      </c>
      <c r="B391" t="s">
        <v>113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72</v>
      </c>
    </row>
    <row r="392" spans="1:13" x14ac:dyDescent="0.45">
      <c r="A392" t="s">
        <v>9</v>
      </c>
      <c r="B392" t="s">
        <v>113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72</v>
      </c>
    </row>
    <row r="393" spans="1:13" x14ac:dyDescent="0.45">
      <c r="A393" t="s">
        <v>9</v>
      </c>
      <c r="B393" t="s">
        <v>113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72</v>
      </c>
    </row>
    <row r="394" spans="1:13" x14ac:dyDescent="0.45">
      <c r="A394" t="s">
        <v>9</v>
      </c>
      <c r="B394" t="s">
        <v>113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72</v>
      </c>
    </row>
    <row r="395" spans="1:13" x14ac:dyDescent="0.45">
      <c r="A395" t="s">
        <v>9</v>
      </c>
      <c r="B395" t="s">
        <v>113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2026-06-10T11:10:22Z</dcterms:modified>
</cp:coreProperties>
</file>