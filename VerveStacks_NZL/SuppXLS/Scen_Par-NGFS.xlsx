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\SuppXLS\"/>
    </mc:Choice>
  </mc:AlternateContent>
  <xr:revisionPtr revIDLastSave="0" documentId="8_{AC18B970-A187-4FC0-B2E3-70DA9FB5747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<sst xmlns="http://schemas.openxmlformats.org/spreadsheetml/2006/main" count="58771" uniqueCount="92">
  <si>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</si>
  <si>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</si>
  <si>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</si>
  <si>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</si>
  <si>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</si>
  <si>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</si>
  <si>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</si>
  <si>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</si>
  <si>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</si>
  <si>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</si>
  <si>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</si>
  <si>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</si>
  <si>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</si>
  <si>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</si>
  <si>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</si>
  <si>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</si>
  <si>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</si>
  <si>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</si>
  <si>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</si>
  <si>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</si>
  <si>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</si>
  <si>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</si>
  <si>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</si>
  <si>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</si>
  <si>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</si>
  <si>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</si>
  <si>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</si>
  <si>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</si>
  <si>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</si>
  <si>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</si>
  <si>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</si>
  <si>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</si>
  <si>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</si>
  <si>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</si>
  <si>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</si>
  <si>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</si>
  <si>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</si>
  <si>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</si>
  <si>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</si>
  <si>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</si>
  <si>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</si>
  <si>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</si>
  <si>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</si>
  <si>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</si>
  <si>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</si>
  <si>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</si>
  <si>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</si>
  <si>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</si>
  <si>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</si>
  <si>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</si>
  <si>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</si>
  <si>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</si>
  <si>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</si>
  <si>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</si>
  <si>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</si>
  <si>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</si>
  <si>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</si>
  <si>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</si>
  <si>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</si>
  <si>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</si>
  <si>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</si>
  <si>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</si>
  <si>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</si>
  <si>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</si>
  <si>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</si>
  <si>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</si>
  <si>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</si>
  <si>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</si>
  <si>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</si>
  <si>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</si>
  <si>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</si>
  <si>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</si>
  <si>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</si>
  <si>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</si>
  <si>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</si>
  <si>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</si>
  <si>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</si>
  <si>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</si>
  <si>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</si>
  <si>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</si>
  <si>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</si>
  <si>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</si>
  <si>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</si>
  <si>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</si>
  <si>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NZL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</si>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</sst>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44.19</c:v>
                </c:pt>
                <c:pt idx="1">
                  <c:v>46.487197049525804</c:v>
                </c:pt>
                <c:pt idx="2">
                  <c:v>50.258946259220231</c:v>
                </c:pt>
                <c:pt idx="3">
                  <c:v>54.201433087460479</c:v>
                </c:pt>
                <c:pt idx="4">
                  <c:v>60.673940990516328</c:v>
                </c:pt>
                <c:pt idx="5">
                  <c:v>66.758408851422544</c:v>
                </c:pt>
                <c:pt idx="6">
                  <c:v>68.54339304531085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6.18</c:v>
                </c:pt>
                <c:pt idx="1">
                  <c:v>4.2820033112582774</c:v>
                </c:pt>
                <c:pt idx="2">
                  <c:v>3.9553169347209067</c:v>
                </c:pt>
                <c:pt idx="3">
                  <c:v>4.2081882686849568</c:v>
                </c:pt>
                <c:pt idx="4">
                  <c:v>5.5799787133396404</c:v>
                </c:pt>
                <c:pt idx="5">
                  <c:v>7.4173155156102153</c:v>
                </c:pt>
                <c:pt idx="6">
                  <c:v>10.098774834437085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44.19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44.19</v>
      </c>
      <c r="S12" s="8">
        <f t="shared" ref="S12:X12" si="0">SUM(S17:S20)</f>
        <v>46.487197049525804</v>
      </c>
      <c r="T12" s="8">
        <f t="shared" si="0"/>
        <v>50.258946259220231</v>
      </c>
      <c r="U12" s="8">
        <f t="shared" si="0"/>
        <v>54.201433087460479</v>
      </c>
      <c r="V12" s="8">
        <f t="shared" si="0"/>
        <v>60.673940990516328</v>
      </c>
      <c r="W12" s="8">
        <f t="shared" si="0"/>
        <v>66.758408851422544</v>
      </c>
      <c r="X12" s="8">
        <f t="shared" si="0"/>
        <v>68.54339304531085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8.9999999999999998E-4</v>
      </c>
      <c r="H16" s="10">
        <f>SUMIFS(ngfs_median!$J$2:$J$17119,ngfs_median!$B$2:$B$17119,Veda!$C$5,ngfs_median!$H$2:$H$17119,Veda!$Q16,ngfs_median!$I$2:$I$17119,Veda!H$15)</f>
        <v>4.8500000000000001E-3</v>
      </c>
      <c r="I16" s="10">
        <f>SUMIFS(ngfs_median!$J$2:$J$17119,ngfs_median!$B$2:$B$17119,Veda!$C$5,ngfs_median!$H$2:$H$17119,Veda!$Q16,ngfs_median!$I$2:$I$17119,Veda!I$15)</f>
        <v>8.0999999999999996E-3</v>
      </c>
      <c r="J16" s="10">
        <f>SUMIFS(ngfs_median!$J$2:$J$17119,ngfs_median!$B$2:$B$17119,Veda!$C$5,ngfs_median!$H$2:$H$17119,Veda!$Q16,ngfs_median!$I$2:$I$17119,Veda!J$15)</f>
        <v>1.0700000000000001E-2</v>
      </c>
      <c r="K16" s="10">
        <f>SUMIFS(ngfs_median!$J$2:$J$17119,ngfs_median!$B$2:$B$17119,Veda!$C$5,ngfs_median!$H$2:$H$17119,Veda!$Q16,ngfs_median!$I$2:$I$17119,Veda!K$15)</f>
        <v>1.2400000000000001E-2</v>
      </c>
      <c r="L16" s="10">
        <f>SUMIFS(ngfs_median!$J$2:$J$17119,ngfs_median!$B$2:$B$17119,Veda!$C$5,ngfs_median!$H$2:$H$17119,Veda!$Q16,ngfs_median!$I$2:$I$17119,Veda!L$15)</f>
        <v>1.37E-2</v>
      </c>
      <c r="M16" s="10">
        <f>SUMIFS(ngfs_median!$J$2:$J$17119,ngfs_median!$B$2:$B$17119,Veda!$C$5,ngfs_median!$H$2:$H$17119,Veda!$Q16,ngfs_median!$I$2:$I$17119,Veda!M$15)</f>
        <v>1.435E-2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0.90277777777777757</v>
      </c>
      <c r="U16" s="6">
        <f t="shared" si="2"/>
        <v>1.6250000000000002</v>
      </c>
      <c r="V16" s="6">
        <f t="shared" si="2"/>
        <v>2.0972222222222223</v>
      </c>
      <c r="W16" s="6">
        <f t="shared" si="2"/>
        <v>2.4583333333333335</v>
      </c>
      <c r="X16" s="6">
        <f t="shared" si="2"/>
        <v>2.6388888888888888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5.9999999999999995E-4</v>
      </c>
      <c r="H17" s="10">
        <f>SUMIFS(ngfs_median!$J$2:$J$17119,ngfs_median!$B$2:$B$17119,Veda!$C$5,ngfs_median!$H$2:$H$17119,Veda!$Q17,ngfs_median!$I$2:$I$17119,Veda!H$15)</f>
        <v>2.8500000000000001E-3</v>
      </c>
      <c r="I17" s="10">
        <f>SUMIFS(ngfs_median!$J$2:$J$17119,ngfs_median!$B$2:$B$17119,Veda!$C$5,ngfs_median!$H$2:$H$17119,Veda!$Q17,ngfs_median!$I$2:$I$17119,Veda!I$15)</f>
        <v>7.6500000000000005E-3</v>
      </c>
      <c r="J17" s="10">
        <f>SUMIFS(ngfs_median!$J$2:$J$17119,ngfs_median!$B$2:$B$17119,Veda!$C$5,ngfs_median!$H$2:$H$17119,Veda!$Q17,ngfs_median!$I$2:$I$17119,Veda!J$15)</f>
        <v>1.2400000000000001E-2</v>
      </c>
      <c r="K17" s="10">
        <f>SUMIFS(ngfs_median!$J$2:$J$17119,ngfs_median!$B$2:$B$17119,Veda!$C$5,ngfs_median!$H$2:$H$17119,Veda!$Q17,ngfs_median!$I$2:$I$17119,Veda!K$15)</f>
        <v>1.7399999999999999E-2</v>
      </c>
      <c r="L17" s="10">
        <f>SUMIFS(ngfs_median!$J$2:$J$17119,ngfs_median!$B$2:$B$17119,Veda!$C$5,ngfs_median!$H$2:$H$17119,Veda!$Q17,ngfs_median!$I$2:$I$17119,Veda!L$15)</f>
        <v>2.145E-2</v>
      </c>
      <c r="M17" s="10">
        <f>SUMIFS(ngfs_median!$J$2:$J$17119,ngfs_median!$B$2:$B$17119,Veda!$C$5,ngfs_median!$H$2:$H$17119,Veda!$Q17,ngfs_median!$I$2:$I$17119,Veda!M$15)</f>
        <v>2.5750000000000002E-2</v>
      </c>
      <c r="Q17" s="12" t="s">
        <v>10</v>
      </c>
      <c r="R17" s="6">
        <f>$Q$10*G17/SUM($G$17:$G$19)</f>
        <v>0.18625922023182293</v>
      </c>
      <c r="S17" s="6">
        <f>R17</f>
        <v>0.18625922023182293</v>
      </c>
      <c r="T17" s="6">
        <f t="shared" ref="T17:X17" si="3">S17</f>
        <v>0.18625922023182293</v>
      </c>
      <c r="U17" s="6">
        <f t="shared" si="3"/>
        <v>0.18625922023182293</v>
      </c>
      <c r="V17" s="6">
        <f t="shared" si="3"/>
        <v>0.18625922023182293</v>
      </c>
      <c r="W17" s="6">
        <f t="shared" si="3"/>
        <v>0.18625922023182293</v>
      </c>
      <c r="X17" s="6">
        <f t="shared" si="3"/>
        <v>0.18625922023182293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8.6300000000000002E-2</v>
      </c>
      <c r="H18" s="10">
        <f>SUMIFS(ngfs_median!$J$2:$J$17119,ngfs_median!$B$2:$B$17119,Veda!$C$5,ngfs_median!$H$2:$H$17119,Veda!$Q18,ngfs_median!$I$2:$I$17119,Veda!H$15)</f>
        <v>8.9749999999999996E-2</v>
      </c>
      <c r="I18" s="10">
        <f>SUMIFS(ngfs_median!$J$2:$J$17119,ngfs_median!$B$2:$B$17119,Veda!$C$5,ngfs_median!$H$2:$H$17119,Veda!$Q18,ngfs_median!$I$2:$I$17119,Veda!I$15)</f>
        <v>9.5350000000000004E-2</v>
      </c>
      <c r="J18" s="10">
        <f>SUMIFS(ngfs_median!$J$2:$J$17119,ngfs_median!$B$2:$B$17119,Veda!$C$5,ngfs_median!$H$2:$H$17119,Veda!$Q18,ngfs_median!$I$2:$I$17119,Veda!J$15)</f>
        <v>9.9449999999999997E-2</v>
      </c>
      <c r="K18" s="10">
        <f>SUMIFS(ngfs_median!$J$2:$J$17119,ngfs_median!$B$2:$B$17119,Veda!$C$5,ngfs_median!$H$2:$H$17119,Veda!$Q18,ngfs_median!$I$2:$I$17119,Veda!K$15)</f>
        <v>0.10630000000000001</v>
      </c>
      <c r="L18" s="10">
        <f>SUMIFS(ngfs_median!$J$2:$J$17119,ngfs_median!$B$2:$B$17119,Veda!$C$5,ngfs_median!$H$2:$H$17119,Veda!$Q18,ngfs_median!$I$2:$I$17119,Veda!L$15)</f>
        <v>0.11460000000000001</v>
      </c>
      <c r="M18" s="10">
        <f>SUMIFS(ngfs_median!$J$2:$J$17119,ngfs_median!$B$2:$B$17119,Veda!$C$5,ngfs_median!$H$2:$H$17119,Veda!$Q18,ngfs_median!$I$2:$I$17119,Veda!M$15)</f>
        <v>0.11260000000000001</v>
      </c>
      <c r="Q18" s="12" t="s">
        <v>12</v>
      </c>
      <c r="R18" s="6">
        <f>$Q$10*G18/SUM($G$17:$G$19)</f>
        <v>26.790284510010533</v>
      </c>
      <c r="S18" s="6">
        <f t="shared" ref="S18:X19" si="4">R18*H18/G18</f>
        <v>27.861275026343513</v>
      </c>
      <c r="T18" s="6">
        <f t="shared" si="4"/>
        <v>29.599694415173865</v>
      </c>
      <c r="U18" s="6">
        <f t="shared" si="4"/>
        <v>30.872465753424652</v>
      </c>
      <c r="V18" s="6">
        <f t="shared" si="4"/>
        <v>32.998925184404634</v>
      </c>
      <c r="W18" s="6">
        <f t="shared" si="4"/>
        <v>35.575511064278182</v>
      </c>
      <c r="X18" s="6">
        <f t="shared" si="4"/>
        <v>34.954646996838775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5.5449999999999999E-2</v>
      </c>
      <c r="H19" s="10">
        <f>SUMIFS(ngfs_median!$J$2:$J$17119,ngfs_median!$B$2:$B$17119,Veda!$C$5,ngfs_median!$H$2:$H$17119,Veda!$Q19,ngfs_median!$I$2:$I$17119,Veda!H$15)</f>
        <v>5.7149999999999999E-2</v>
      </c>
      <c r="I19" s="10">
        <f>SUMIFS(ngfs_median!$J$2:$J$17119,ngfs_median!$B$2:$B$17119,Veda!$C$5,ngfs_median!$H$2:$H$17119,Veda!$Q19,ngfs_median!$I$2:$I$17119,Veda!I$15)</f>
        <v>5.8900000000000001E-2</v>
      </c>
      <c r="J19" s="10">
        <f>SUMIFS(ngfs_median!$J$2:$J$17119,ngfs_median!$B$2:$B$17119,Veda!$C$5,ngfs_median!$H$2:$H$17119,Veda!$Q19,ngfs_median!$I$2:$I$17119,Veda!J$15)</f>
        <v>6.275E-2</v>
      </c>
      <c r="K19" s="10">
        <f>SUMIFS(ngfs_median!$J$2:$J$17119,ngfs_median!$B$2:$B$17119,Veda!$C$5,ngfs_median!$H$2:$H$17119,Veda!$Q19,ngfs_median!$I$2:$I$17119,Veda!K$15)</f>
        <v>7.1750000000000008E-2</v>
      </c>
      <c r="L19" s="10">
        <f>SUMIFS(ngfs_median!$J$2:$J$17119,ngfs_median!$B$2:$B$17119,Veda!$C$5,ngfs_median!$H$2:$H$17119,Veda!$Q19,ngfs_median!$I$2:$I$17119,Veda!L$15)</f>
        <v>7.9000000000000001E-2</v>
      </c>
      <c r="M19" s="10">
        <f>SUMIFS(ngfs_median!$J$2:$J$17119,ngfs_median!$B$2:$B$17119,Veda!$C$5,ngfs_median!$H$2:$H$17119,Veda!$Q19,ngfs_median!$I$2:$I$17119,Veda!M$15)</f>
        <v>8.2449999999999996E-2</v>
      </c>
      <c r="Q19" s="12" t="s">
        <v>13</v>
      </c>
      <c r="R19" s="6">
        <f>$Q$10*G19/SUM($G$17:$G$19)</f>
        <v>17.213456269757639</v>
      </c>
      <c r="S19" s="6">
        <f t="shared" si="4"/>
        <v>17.741190727081136</v>
      </c>
      <c r="T19" s="6">
        <f t="shared" si="4"/>
        <v>18.284446786090623</v>
      </c>
      <c r="U19" s="6">
        <f t="shared" si="4"/>
        <v>19.479610115911484</v>
      </c>
      <c r="V19" s="6">
        <f t="shared" si="4"/>
        <v>22.273498419388833</v>
      </c>
      <c r="W19" s="6">
        <f t="shared" si="4"/>
        <v>24.524130663856692</v>
      </c>
      <c r="X19" s="6">
        <f t="shared" si="4"/>
        <v>25.595121180189675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0.69847207586933624</v>
      </c>
      <c r="T20" s="6">
        <f t="shared" si="5"/>
        <v>2.18854583772392</v>
      </c>
      <c r="U20" s="6">
        <f t="shared" si="5"/>
        <v>3.6630979978925184</v>
      </c>
      <c r="V20" s="6">
        <f t="shared" si="5"/>
        <v>5.2152581664910427</v>
      </c>
      <c r="W20" s="6">
        <f t="shared" si="5"/>
        <v>6.4725079030558481</v>
      </c>
      <c r="X20" s="6">
        <f t="shared" si="5"/>
        <v>7.8073656480505793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6.18</v>
      </c>
      <c r="D22" s="12" t="s">
        <v>79</v>
      </c>
      <c r="G22" s="8">
        <f>G35/$G$35*$B22</f>
        <v>6.18</v>
      </c>
      <c r="H22" s="8">
        <f t="shared" ref="H22:M22" si="6">H35/$G$35*$B22</f>
        <v>4.2820033112582774</v>
      </c>
      <c r="I22" s="8">
        <f t="shared" si="6"/>
        <v>3.9553169347209067</v>
      </c>
      <c r="J22" s="8">
        <f t="shared" si="6"/>
        <v>4.2081882686849568</v>
      </c>
      <c r="K22" s="8">
        <f t="shared" si="6"/>
        <v>5.5799787133396404</v>
      </c>
      <c r="L22" s="8">
        <f t="shared" si="6"/>
        <v>7.4173155156102153</v>
      </c>
      <c r="M22" s="8">
        <f t="shared" si="6"/>
        <v>10.098774834437085</v>
      </c>
      <c r="Q22" t="s">
        <v>64</v>
      </c>
      <c r="T22" s="8">
        <f>I35*1000</f>
        <v>541.19999999999993</v>
      </c>
      <c r="U22" s="8">
        <f>J35*1000</f>
        <v>575.80000000000007</v>
      </c>
      <c r="V22" s="8">
        <f>K35*1000</f>
        <v>763.50000000000011</v>
      </c>
      <c r="W22" s="8">
        <f>L35*1000</f>
        <v>1014.8999999999999</v>
      </c>
      <c r="X22" s="8">
        <f>M35*1000</f>
        <v>1381.8000000000002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0.84560000000000013</v>
      </c>
      <c r="H35" s="11">
        <f>SUMIFS(ngfs_median!$J$2:$J$17119,ngfs_median!$B$2:$B$17119,Veda!$C$5,ngfs_median!$D$2:$D$17119,Veda!$D22,ngfs_median!$I$2:$I$17119,Veda!H$15)</f>
        <v>0.58589999999999998</v>
      </c>
      <c r="I35" s="11">
        <f>SUMIFS(ngfs_median!$J$2:$J$17119,ngfs_median!$B$2:$B$17119,Veda!$C$5,ngfs_median!$D$2:$D$17119,Veda!$D22,ngfs_median!$I$2:$I$17119,Veda!I$15)</f>
        <v>0.5411999999999999</v>
      </c>
      <c r="J35" s="11">
        <f>SUMIFS(ngfs_median!$J$2:$J$17119,ngfs_median!$B$2:$B$17119,Veda!$C$5,ngfs_median!$D$2:$D$17119,Veda!$D22,ngfs_median!$I$2:$I$17119,Veda!J$15)</f>
        <v>0.57580000000000009</v>
      </c>
      <c r="K35" s="11">
        <f>SUMIFS(ngfs_median!$J$2:$J$17119,ngfs_median!$B$2:$B$17119,Veda!$C$5,ngfs_median!$D$2:$D$17119,Veda!$D22,ngfs_median!$I$2:$I$17119,Veda!K$15)</f>
        <v>0.76350000000000007</v>
      </c>
      <c r="L35" s="11">
        <f>SUMIFS(ngfs_median!$J$2:$J$17119,ngfs_median!$B$2:$B$17119,Veda!$C$5,ngfs_median!$D$2:$D$17119,Veda!$D22,ngfs_median!$I$2:$I$17119,Veda!L$15)</f>
        <v>1.0148999999999999</v>
      </c>
      <c r="M35" s="11">
        <f>SUMIFS(ngfs_median!$J$2:$J$17119,ngfs_median!$B$2:$B$17119,Veda!$C$5,ngfs_median!$D$2:$D$17119,Veda!$D22,ngfs_median!$I$2:$I$17119,Veda!M$15)</f>
        <v>1.3818000000000001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0.85</v>
      </c>
    </row>
    <row r="3" spans="1:4" x14ac:dyDescent="0.45">
      <c r="A3" t="s">
        <v>34</v>
      </c>
      <c r="B3">
        <v>2000</v>
      </c>
      <c r="C3" t="s">
        <v>74</v>
      </c>
      <c r="D3">
        <v>1</v>
      </c>
    </row>
    <row r="4" spans="1:4" x14ac:dyDescent="0.45">
      <c r="A4" t="s">
        <v>36</v>
      </c>
      <c r="B4">
        <v>2000</v>
      </c>
      <c r="C4" t="s">
        <v>74</v>
      </c>
      <c r="D4">
        <v>9.4499999999999993</v>
      </c>
    </row>
    <row r="5" spans="1:4" x14ac:dyDescent="0.45">
      <c r="A5" t="s">
        <v>56</v>
      </c>
      <c r="B5">
        <v>2000</v>
      </c>
      <c r="C5" t="s">
        <v>74</v>
      </c>
      <c r="D5">
        <v>24.19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0.54</v>
      </c>
    </row>
    <row r="8" spans="1:4" x14ac:dyDescent="0.45">
      <c r="A8" t="s">
        <v>32</v>
      </c>
      <c r="B8">
        <v>2000</v>
      </c>
      <c r="C8" t="s">
        <v>74</v>
      </c>
      <c r="D8">
        <v>2.76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0.12</v>
      </c>
    </row>
    <row r="11" spans="1:4" x14ac:dyDescent="0.45">
      <c r="A11" t="s">
        <v>32</v>
      </c>
      <c r="B11">
        <v>2001</v>
      </c>
      <c r="C11" t="s">
        <v>74</v>
      </c>
      <c r="D11">
        <v>0.72</v>
      </c>
    </row>
    <row r="12" spans="1:4" x14ac:dyDescent="0.45">
      <c r="A12" t="s">
        <v>34</v>
      </c>
      <c r="B12">
        <v>2001</v>
      </c>
      <c r="C12" t="s">
        <v>74</v>
      </c>
      <c r="D12">
        <v>1.53</v>
      </c>
    </row>
    <row r="13" spans="1:4" x14ac:dyDescent="0.45">
      <c r="A13" t="s">
        <v>36</v>
      </c>
      <c r="B13">
        <v>2001</v>
      </c>
      <c r="C13" t="s">
        <v>74</v>
      </c>
      <c r="D13">
        <v>12.16</v>
      </c>
    </row>
    <row r="14" spans="1:4" x14ac:dyDescent="0.45">
      <c r="A14" t="s">
        <v>56</v>
      </c>
      <c r="B14">
        <v>2001</v>
      </c>
      <c r="C14" t="s">
        <v>74</v>
      </c>
      <c r="D14">
        <v>21.46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0.59</v>
      </c>
    </row>
    <row r="17" spans="1:4" x14ac:dyDescent="0.45">
      <c r="A17" t="s">
        <v>32</v>
      </c>
      <c r="B17">
        <v>2001</v>
      </c>
      <c r="C17" t="s">
        <v>74</v>
      </c>
      <c r="D17">
        <v>2.68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0.14000000000000001</v>
      </c>
    </row>
    <row r="20" spans="1:4" x14ac:dyDescent="0.45">
      <c r="A20" t="s">
        <v>32</v>
      </c>
      <c r="B20">
        <v>2002</v>
      </c>
      <c r="C20" t="s">
        <v>74</v>
      </c>
      <c r="D20">
        <v>0.57999999999999996</v>
      </c>
    </row>
    <row r="21" spans="1:4" x14ac:dyDescent="0.45">
      <c r="A21" t="s">
        <v>34</v>
      </c>
      <c r="B21">
        <v>2002</v>
      </c>
      <c r="C21" t="s">
        <v>74</v>
      </c>
      <c r="D21">
        <v>1.5</v>
      </c>
    </row>
    <row r="22" spans="1:4" x14ac:dyDescent="0.45">
      <c r="A22" t="s">
        <v>36</v>
      </c>
      <c r="B22">
        <v>2002</v>
      </c>
      <c r="C22" t="s">
        <v>74</v>
      </c>
      <c r="D22">
        <v>10.15</v>
      </c>
    </row>
    <row r="23" spans="1:4" x14ac:dyDescent="0.45">
      <c r="A23" t="s">
        <v>56</v>
      </c>
      <c r="B23">
        <v>2002</v>
      </c>
      <c r="C23" t="s">
        <v>74</v>
      </c>
      <c r="D23">
        <v>24.62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0.56000000000000005</v>
      </c>
    </row>
    <row r="26" spans="1:4" x14ac:dyDescent="0.45">
      <c r="A26" t="s">
        <v>32</v>
      </c>
      <c r="B26">
        <v>2002</v>
      </c>
      <c r="C26" t="s">
        <v>74</v>
      </c>
      <c r="D26">
        <v>2.65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0.15</v>
      </c>
    </row>
    <row r="29" spans="1:4" x14ac:dyDescent="0.45">
      <c r="A29" t="s">
        <v>32</v>
      </c>
      <c r="B29">
        <v>2003</v>
      </c>
      <c r="C29" t="s">
        <v>74</v>
      </c>
      <c r="D29">
        <v>0.55000000000000004</v>
      </c>
    </row>
    <row r="30" spans="1:4" x14ac:dyDescent="0.45">
      <c r="A30" t="s">
        <v>34</v>
      </c>
      <c r="B30">
        <v>2003</v>
      </c>
      <c r="C30" t="s">
        <v>74</v>
      </c>
      <c r="D30">
        <v>3.29</v>
      </c>
    </row>
    <row r="31" spans="1:4" x14ac:dyDescent="0.45">
      <c r="A31" t="s">
        <v>36</v>
      </c>
      <c r="B31">
        <v>2003</v>
      </c>
      <c r="C31" t="s">
        <v>74</v>
      </c>
      <c r="D31">
        <v>9.7100000000000009</v>
      </c>
    </row>
    <row r="32" spans="1:4" x14ac:dyDescent="0.45">
      <c r="A32" t="s">
        <v>56</v>
      </c>
      <c r="B32">
        <v>2003</v>
      </c>
      <c r="C32" t="s">
        <v>74</v>
      </c>
      <c r="D32">
        <v>23.39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2.59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0.15</v>
      </c>
    </row>
    <row r="38" spans="1:4" x14ac:dyDescent="0.45">
      <c r="A38" t="s">
        <v>32</v>
      </c>
      <c r="B38">
        <v>2004</v>
      </c>
      <c r="C38" t="s">
        <v>74</v>
      </c>
      <c r="D38">
        <v>0.64</v>
      </c>
    </row>
    <row r="39" spans="1:4" x14ac:dyDescent="0.45">
      <c r="A39" t="s">
        <v>34</v>
      </c>
      <c r="B39">
        <v>2004</v>
      </c>
      <c r="C39" t="s">
        <v>74</v>
      </c>
      <c r="D39">
        <v>4.13</v>
      </c>
    </row>
    <row r="40" spans="1:4" x14ac:dyDescent="0.45">
      <c r="A40" t="s">
        <v>36</v>
      </c>
      <c r="B40">
        <v>2004</v>
      </c>
      <c r="C40" t="s">
        <v>74</v>
      </c>
      <c r="D40">
        <v>6.86</v>
      </c>
    </row>
    <row r="41" spans="1:4" x14ac:dyDescent="0.45">
      <c r="A41" t="s">
        <v>56</v>
      </c>
      <c r="B41">
        <v>2004</v>
      </c>
      <c r="C41" t="s">
        <v>74</v>
      </c>
      <c r="D41">
        <v>26.97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0.68</v>
      </c>
    </row>
    <row r="44" spans="1:4" x14ac:dyDescent="0.45">
      <c r="A44" t="s">
        <v>32</v>
      </c>
      <c r="B44">
        <v>2004</v>
      </c>
      <c r="C44" t="s">
        <v>74</v>
      </c>
      <c r="D44">
        <v>2.63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0.36</v>
      </c>
    </row>
    <row r="47" spans="1:4" x14ac:dyDescent="0.45">
      <c r="A47" t="s">
        <v>32</v>
      </c>
      <c r="B47">
        <v>2005</v>
      </c>
      <c r="C47" t="s">
        <v>74</v>
      </c>
      <c r="D47">
        <v>0.68</v>
      </c>
    </row>
    <row r="48" spans="1:4" x14ac:dyDescent="0.45">
      <c r="A48" t="s">
        <v>34</v>
      </c>
      <c r="B48">
        <v>2005</v>
      </c>
      <c r="C48" t="s">
        <v>74</v>
      </c>
      <c r="D48">
        <v>5.25</v>
      </c>
    </row>
    <row r="49" spans="1:4" x14ac:dyDescent="0.45">
      <c r="A49" t="s">
        <v>36</v>
      </c>
      <c r="B49">
        <v>2005</v>
      </c>
      <c r="C49" t="s">
        <v>74</v>
      </c>
      <c r="D49">
        <v>9.26</v>
      </c>
    </row>
    <row r="50" spans="1:4" x14ac:dyDescent="0.45">
      <c r="A50" t="s">
        <v>56</v>
      </c>
      <c r="B50">
        <v>2005</v>
      </c>
      <c r="C50" t="s">
        <v>74</v>
      </c>
      <c r="D50">
        <v>23.09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0.61</v>
      </c>
    </row>
    <row r="53" spans="1:4" x14ac:dyDescent="0.45">
      <c r="A53" t="s">
        <v>32</v>
      </c>
      <c r="B53">
        <v>2005</v>
      </c>
      <c r="C53" t="s">
        <v>74</v>
      </c>
      <c r="D53">
        <v>2.98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0.61</v>
      </c>
    </row>
    <row r="56" spans="1:4" x14ac:dyDescent="0.45">
      <c r="A56" t="s">
        <v>32</v>
      </c>
      <c r="B56">
        <v>2006</v>
      </c>
      <c r="C56" t="s">
        <v>74</v>
      </c>
      <c r="D56">
        <v>0.74</v>
      </c>
    </row>
    <row r="57" spans="1:4" x14ac:dyDescent="0.45">
      <c r="A57" t="s">
        <v>34</v>
      </c>
      <c r="B57">
        <v>2006</v>
      </c>
      <c r="C57" t="s">
        <v>74</v>
      </c>
      <c r="D57">
        <v>4.8899999999999997</v>
      </c>
    </row>
    <row r="58" spans="1:4" x14ac:dyDescent="0.45">
      <c r="A58" t="s">
        <v>36</v>
      </c>
      <c r="B58">
        <v>2006</v>
      </c>
      <c r="C58" t="s">
        <v>74</v>
      </c>
      <c r="D58">
        <v>9.61</v>
      </c>
    </row>
    <row r="59" spans="1:4" x14ac:dyDescent="0.45">
      <c r="A59" t="s">
        <v>56</v>
      </c>
      <c r="B59">
        <v>2006</v>
      </c>
      <c r="C59" t="s">
        <v>74</v>
      </c>
      <c r="D59">
        <v>23.34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0.66</v>
      </c>
    </row>
    <row r="62" spans="1:4" x14ac:dyDescent="0.45">
      <c r="A62" t="s">
        <v>32</v>
      </c>
      <c r="B62">
        <v>2006</v>
      </c>
      <c r="C62" t="s">
        <v>74</v>
      </c>
      <c r="D62">
        <v>3.18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0.62</v>
      </c>
    </row>
    <row r="65" spans="1:4" x14ac:dyDescent="0.45">
      <c r="A65" t="s">
        <v>32</v>
      </c>
      <c r="B65">
        <v>2007</v>
      </c>
      <c r="C65" t="s">
        <v>74</v>
      </c>
      <c r="D65">
        <v>0.74</v>
      </c>
    </row>
    <row r="66" spans="1:4" x14ac:dyDescent="0.45">
      <c r="A66" t="s">
        <v>34</v>
      </c>
      <c r="B66">
        <v>2007</v>
      </c>
      <c r="C66" t="s">
        <v>74</v>
      </c>
      <c r="D66">
        <v>2.5499999999999998</v>
      </c>
    </row>
    <row r="67" spans="1:4" x14ac:dyDescent="0.45">
      <c r="A67" t="s">
        <v>36</v>
      </c>
      <c r="B67">
        <v>2007</v>
      </c>
      <c r="C67" t="s">
        <v>74</v>
      </c>
      <c r="D67">
        <v>11.81</v>
      </c>
    </row>
    <row r="68" spans="1:4" x14ac:dyDescent="0.45">
      <c r="A68" t="s">
        <v>56</v>
      </c>
      <c r="B68">
        <v>2007</v>
      </c>
      <c r="C68" t="s">
        <v>74</v>
      </c>
      <c r="D68">
        <v>23.4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0.61</v>
      </c>
    </row>
    <row r="71" spans="1:4" x14ac:dyDescent="0.45">
      <c r="A71" t="s">
        <v>32</v>
      </c>
      <c r="B71">
        <v>2007</v>
      </c>
      <c r="C71" t="s">
        <v>74</v>
      </c>
      <c r="D71">
        <v>3.35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0.92</v>
      </c>
    </row>
    <row r="74" spans="1:4" x14ac:dyDescent="0.45">
      <c r="A74" t="s">
        <v>32</v>
      </c>
      <c r="B74">
        <v>2008</v>
      </c>
      <c r="C74" t="s">
        <v>74</v>
      </c>
      <c r="D74">
        <v>0.73</v>
      </c>
    </row>
    <row r="75" spans="1:4" x14ac:dyDescent="0.45">
      <c r="A75" t="s">
        <v>34</v>
      </c>
      <c r="B75">
        <v>2008</v>
      </c>
      <c r="C75" t="s">
        <v>74</v>
      </c>
      <c r="D75">
        <v>4.24</v>
      </c>
    </row>
    <row r="76" spans="1:4" x14ac:dyDescent="0.45">
      <c r="A76" t="s">
        <v>36</v>
      </c>
      <c r="B76">
        <v>2008</v>
      </c>
      <c r="C76" t="s">
        <v>74</v>
      </c>
      <c r="D76">
        <v>10.56</v>
      </c>
    </row>
    <row r="77" spans="1:4" x14ac:dyDescent="0.45">
      <c r="A77" t="s">
        <v>56</v>
      </c>
      <c r="B77">
        <v>2008</v>
      </c>
      <c r="C77" t="s">
        <v>74</v>
      </c>
      <c r="D77">
        <v>22.12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0.72</v>
      </c>
    </row>
    <row r="80" spans="1:4" x14ac:dyDescent="0.45">
      <c r="A80" t="s">
        <v>32</v>
      </c>
      <c r="B80">
        <v>2008</v>
      </c>
      <c r="C80" t="s">
        <v>74</v>
      </c>
      <c r="D80">
        <v>3.97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1.05</v>
      </c>
    </row>
    <row r="83" spans="1:4" x14ac:dyDescent="0.45">
      <c r="A83" t="s">
        <v>32</v>
      </c>
      <c r="B83">
        <v>2009</v>
      </c>
      <c r="C83" t="s">
        <v>74</v>
      </c>
      <c r="D83">
        <v>0.76</v>
      </c>
    </row>
    <row r="84" spans="1:4" x14ac:dyDescent="0.45">
      <c r="A84" t="s">
        <v>34</v>
      </c>
      <c r="B84">
        <v>2009</v>
      </c>
      <c r="C84" t="s">
        <v>74</v>
      </c>
      <c r="D84">
        <v>2.73</v>
      </c>
    </row>
    <row r="85" spans="1:4" x14ac:dyDescent="0.45">
      <c r="A85" t="s">
        <v>36</v>
      </c>
      <c r="B85">
        <v>2009</v>
      </c>
      <c r="C85" t="s">
        <v>74</v>
      </c>
      <c r="D85">
        <v>8.86</v>
      </c>
    </row>
    <row r="86" spans="1:4" x14ac:dyDescent="0.45">
      <c r="A86" t="s">
        <v>56</v>
      </c>
      <c r="B86">
        <v>2009</v>
      </c>
      <c r="C86" t="s">
        <v>74</v>
      </c>
      <c r="D86">
        <v>23.98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0.56999999999999995</v>
      </c>
    </row>
    <row r="89" spans="1:4" x14ac:dyDescent="0.45">
      <c r="A89" t="s">
        <v>32</v>
      </c>
      <c r="B89">
        <v>2009</v>
      </c>
      <c r="C89" t="s">
        <v>74</v>
      </c>
      <c r="D89">
        <v>4.59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1.46</v>
      </c>
    </row>
    <row r="92" spans="1:4" x14ac:dyDescent="0.45">
      <c r="A92" t="s">
        <v>32</v>
      </c>
      <c r="B92">
        <v>2010</v>
      </c>
      <c r="C92" t="s">
        <v>74</v>
      </c>
      <c r="D92">
        <v>0.77</v>
      </c>
    </row>
    <row r="93" spans="1:4" x14ac:dyDescent="0.45">
      <c r="A93" t="s">
        <v>34</v>
      </c>
      <c r="B93">
        <v>2010</v>
      </c>
      <c r="C93" t="s">
        <v>74</v>
      </c>
      <c r="D93">
        <v>1.42</v>
      </c>
    </row>
    <row r="94" spans="1:4" x14ac:dyDescent="0.45">
      <c r="A94" t="s">
        <v>36</v>
      </c>
      <c r="B94">
        <v>2010</v>
      </c>
      <c r="C94" t="s">
        <v>74</v>
      </c>
      <c r="D94">
        <v>9.84</v>
      </c>
    </row>
    <row r="95" spans="1:4" x14ac:dyDescent="0.45">
      <c r="A95" t="s">
        <v>56</v>
      </c>
      <c r="B95">
        <v>2010</v>
      </c>
      <c r="C95" t="s">
        <v>74</v>
      </c>
      <c r="D95">
        <v>24.48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0.65</v>
      </c>
    </row>
    <row r="98" spans="1:4" x14ac:dyDescent="0.45">
      <c r="A98" t="s">
        <v>32</v>
      </c>
      <c r="B98">
        <v>2010</v>
      </c>
      <c r="C98" t="s">
        <v>74</v>
      </c>
      <c r="D98">
        <v>5.53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1.62</v>
      </c>
    </row>
    <row r="101" spans="1:4" x14ac:dyDescent="0.45">
      <c r="A101" t="s">
        <v>32</v>
      </c>
      <c r="B101">
        <v>2011</v>
      </c>
      <c r="C101" t="s">
        <v>74</v>
      </c>
      <c r="D101">
        <v>0.76</v>
      </c>
    </row>
    <row r="102" spans="1:4" x14ac:dyDescent="0.45">
      <c r="A102" t="s">
        <v>34</v>
      </c>
      <c r="B102">
        <v>2011</v>
      </c>
      <c r="C102" t="s">
        <v>74</v>
      </c>
      <c r="D102">
        <v>1.61</v>
      </c>
    </row>
    <row r="103" spans="1:4" x14ac:dyDescent="0.45">
      <c r="A103" t="s">
        <v>36</v>
      </c>
      <c r="B103">
        <v>2011</v>
      </c>
      <c r="C103" t="s">
        <v>74</v>
      </c>
      <c r="D103">
        <v>8.35</v>
      </c>
    </row>
    <row r="104" spans="1:4" x14ac:dyDescent="0.45">
      <c r="A104" t="s">
        <v>56</v>
      </c>
      <c r="B104">
        <v>2011</v>
      </c>
      <c r="C104" t="s">
        <v>74</v>
      </c>
      <c r="D104">
        <v>24.86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0.56999999999999995</v>
      </c>
    </row>
    <row r="107" spans="1:4" x14ac:dyDescent="0.45">
      <c r="A107" t="s">
        <v>32</v>
      </c>
      <c r="B107">
        <v>2011</v>
      </c>
      <c r="C107" t="s">
        <v>74</v>
      </c>
      <c r="D107">
        <v>5.77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1.94</v>
      </c>
    </row>
    <row r="110" spans="1:4" x14ac:dyDescent="0.45">
      <c r="A110" t="s">
        <v>32</v>
      </c>
      <c r="B110">
        <v>2012</v>
      </c>
      <c r="C110" t="s">
        <v>74</v>
      </c>
      <c r="D110">
        <v>0.8</v>
      </c>
    </row>
    <row r="111" spans="1:4" x14ac:dyDescent="0.45">
      <c r="A111" t="s">
        <v>34</v>
      </c>
      <c r="B111">
        <v>2012</v>
      </c>
      <c r="C111" t="s">
        <v>74</v>
      </c>
      <c r="D111">
        <v>2.94</v>
      </c>
    </row>
    <row r="112" spans="1:4" x14ac:dyDescent="0.45">
      <c r="A112" t="s">
        <v>36</v>
      </c>
      <c r="B112">
        <v>2012</v>
      </c>
      <c r="C112" t="s">
        <v>74</v>
      </c>
      <c r="D112">
        <v>8.81</v>
      </c>
    </row>
    <row r="113" spans="1:4" x14ac:dyDescent="0.45">
      <c r="A113" t="s">
        <v>56</v>
      </c>
      <c r="B113">
        <v>2012</v>
      </c>
      <c r="C113" t="s">
        <v>74</v>
      </c>
      <c r="D113">
        <v>22.67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0.62</v>
      </c>
    </row>
    <row r="116" spans="1:4" x14ac:dyDescent="0.45">
      <c r="A116" t="s">
        <v>32</v>
      </c>
      <c r="B116">
        <v>2012</v>
      </c>
      <c r="C116" t="s">
        <v>74</v>
      </c>
      <c r="D116">
        <v>5.85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2.06</v>
      </c>
    </row>
    <row r="119" spans="1:4" x14ac:dyDescent="0.45">
      <c r="A119" t="s">
        <v>32</v>
      </c>
      <c r="B119">
        <v>2013</v>
      </c>
      <c r="C119" t="s">
        <v>74</v>
      </c>
      <c r="D119">
        <v>0.8</v>
      </c>
    </row>
    <row r="120" spans="1:4" x14ac:dyDescent="0.45">
      <c r="A120" t="s">
        <v>34</v>
      </c>
      <c r="B120">
        <v>2013</v>
      </c>
      <c r="C120" t="s">
        <v>74</v>
      </c>
      <c r="D120">
        <v>1.75</v>
      </c>
    </row>
    <row r="121" spans="1:4" x14ac:dyDescent="0.45">
      <c r="A121" t="s">
        <v>36</v>
      </c>
      <c r="B121">
        <v>2013</v>
      </c>
      <c r="C121" t="s">
        <v>74</v>
      </c>
      <c r="D121">
        <v>8.6300000000000008</v>
      </c>
    </row>
    <row r="122" spans="1:4" x14ac:dyDescent="0.45">
      <c r="A122" t="s">
        <v>56</v>
      </c>
      <c r="B122">
        <v>2013</v>
      </c>
      <c r="C122" t="s">
        <v>74</v>
      </c>
      <c r="D122">
        <v>22.8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0.64</v>
      </c>
    </row>
    <row r="125" spans="1:4" x14ac:dyDescent="0.45">
      <c r="A125" t="s">
        <v>32</v>
      </c>
      <c r="B125">
        <v>2013</v>
      </c>
      <c r="C125" t="s">
        <v>74</v>
      </c>
      <c r="D125">
        <v>6.07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2</v>
      </c>
    </row>
    <row r="128" spans="1:4" x14ac:dyDescent="0.45">
      <c r="A128" t="s">
        <v>32</v>
      </c>
      <c r="B128">
        <v>2014</v>
      </c>
      <c r="C128" t="s">
        <v>74</v>
      </c>
      <c r="D128">
        <v>0.8</v>
      </c>
    </row>
    <row r="129" spans="1:4" x14ac:dyDescent="0.45">
      <c r="A129" t="s">
        <v>34</v>
      </c>
      <c r="B129">
        <v>2014</v>
      </c>
      <c r="C129" t="s">
        <v>74</v>
      </c>
      <c r="D129">
        <v>1.34</v>
      </c>
    </row>
    <row r="130" spans="1:4" x14ac:dyDescent="0.45">
      <c r="A130" t="s">
        <v>36</v>
      </c>
      <c r="B130">
        <v>2014</v>
      </c>
      <c r="C130" t="s">
        <v>74</v>
      </c>
      <c r="D130">
        <v>7</v>
      </c>
    </row>
    <row r="131" spans="1:4" x14ac:dyDescent="0.45">
      <c r="A131" t="s">
        <v>56</v>
      </c>
      <c r="B131">
        <v>2014</v>
      </c>
      <c r="C131" t="s">
        <v>74</v>
      </c>
      <c r="D131">
        <v>24.07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0.63</v>
      </c>
    </row>
    <row r="134" spans="1:4" x14ac:dyDescent="0.45">
      <c r="A134" t="s">
        <v>32</v>
      </c>
      <c r="B134">
        <v>2014</v>
      </c>
      <c r="C134" t="s">
        <v>74</v>
      </c>
      <c r="D134">
        <v>6.87</v>
      </c>
    </row>
    <row r="135" spans="1:4" x14ac:dyDescent="0.45">
      <c r="A135" t="s">
        <v>58</v>
      </c>
      <c r="B135">
        <v>2014</v>
      </c>
      <c r="C135" t="s">
        <v>74</v>
      </c>
      <c r="D135">
        <v>0.02</v>
      </c>
    </row>
    <row r="136" spans="1:4" x14ac:dyDescent="0.45">
      <c r="A136" t="s">
        <v>91</v>
      </c>
      <c r="B136">
        <v>2014</v>
      </c>
      <c r="C136" t="s">
        <v>74</v>
      </c>
      <c r="D136">
        <v>2.19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1.23</v>
      </c>
    </row>
    <row r="139" spans="1:4" x14ac:dyDescent="0.45">
      <c r="A139" t="s">
        <v>36</v>
      </c>
      <c r="B139">
        <v>2015</v>
      </c>
      <c r="C139" t="s">
        <v>74</v>
      </c>
      <c r="D139">
        <v>6.8</v>
      </c>
    </row>
    <row r="140" spans="1:4" x14ac:dyDescent="0.45">
      <c r="A140" t="s">
        <v>56</v>
      </c>
      <c r="B140">
        <v>2015</v>
      </c>
      <c r="C140" t="s">
        <v>74</v>
      </c>
      <c r="D140">
        <v>24.28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0.65</v>
      </c>
    </row>
    <row r="143" spans="1:4" x14ac:dyDescent="0.45">
      <c r="A143" t="s">
        <v>32</v>
      </c>
      <c r="B143">
        <v>2015</v>
      </c>
      <c r="C143" t="s">
        <v>74</v>
      </c>
      <c r="D143">
        <v>7.41</v>
      </c>
    </row>
    <row r="144" spans="1:4" x14ac:dyDescent="0.45">
      <c r="A144" t="s">
        <v>58</v>
      </c>
      <c r="B144">
        <v>2015</v>
      </c>
      <c r="C144" t="s">
        <v>74</v>
      </c>
      <c r="D144">
        <v>0.04</v>
      </c>
    </row>
    <row r="145" spans="1:4" x14ac:dyDescent="0.45">
      <c r="A145" t="s">
        <v>91</v>
      </c>
      <c r="B145">
        <v>2015</v>
      </c>
      <c r="C145" t="s">
        <v>74</v>
      </c>
      <c r="D145">
        <v>2.34</v>
      </c>
    </row>
    <row r="146" spans="1:4" x14ac:dyDescent="0.45">
      <c r="A146" t="s">
        <v>32</v>
      </c>
      <c r="B146">
        <v>2016</v>
      </c>
      <c r="C146" t="s">
        <v>74</v>
      </c>
      <c r="D146">
        <v>0.81</v>
      </c>
    </row>
    <row r="147" spans="1:4" x14ac:dyDescent="0.45">
      <c r="A147" t="s">
        <v>34</v>
      </c>
      <c r="B147">
        <v>2016</v>
      </c>
      <c r="C147" t="s">
        <v>74</v>
      </c>
      <c r="D147">
        <v>0.44</v>
      </c>
    </row>
    <row r="148" spans="1:4" x14ac:dyDescent="0.45">
      <c r="A148" t="s">
        <v>36</v>
      </c>
      <c r="B148">
        <v>2016</v>
      </c>
      <c r="C148" t="s">
        <v>74</v>
      </c>
      <c r="D148">
        <v>5.71</v>
      </c>
    </row>
    <row r="149" spans="1:4" x14ac:dyDescent="0.45">
      <c r="A149" t="s">
        <v>56</v>
      </c>
      <c r="B149">
        <v>2016</v>
      </c>
      <c r="C149" t="s">
        <v>74</v>
      </c>
      <c r="D149">
        <v>25.66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0.61</v>
      </c>
    </row>
    <row r="152" spans="1:4" x14ac:dyDescent="0.45">
      <c r="A152" t="s">
        <v>32</v>
      </c>
      <c r="B152">
        <v>2016</v>
      </c>
      <c r="C152" t="s">
        <v>74</v>
      </c>
      <c r="D152">
        <v>7.54</v>
      </c>
    </row>
    <row r="153" spans="1:4" x14ac:dyDescent="0.45">
      <c r="A153" t="s">
        <v>58</v>
      </c>
      <c r="B153">
        <v>2016</v>
      </c>
      <c r="C153" t="s">
        <v>74</v>
      </c>
      <c r="D153">
        <v>0.06</v>
      </c>
    </row>
    <row r="154" spans="1:4" x14ac:dyDescent="0.45">
      <c r="A154" t="s">
        <v>91</v>
      </c>
      <c r="B154">
        <v>2016</v>
      </c>
      <c r="C154" t="s">
        <v>74</v>
      </c>
      <c r="D154">
        <v>2.3199999999999998</v>
      </c>
    </row>
    <row r="155" spans="1:4" x14ac:dyDescent="0.45">
      <c r="A155" t="s">
        <v>32</v>
      </c>
      <c r="B155">
        <v>2017</v>
      </c>
      <c r="C155" t="s">
        <v>74</v>
      </c>
      <c r="D155">
        <v>0.8</v>
      </c>
    </row>
    <row r="156" spans="1:4" x14ac:dyDescent="0.45">
      <c r="A156" t="s">
        <v>34</v>
      </c>
      <c r="B156">
        <v>2017</v>
      </c>
      <c r="C156" t="s">
        <v>74</v>
      </c>
      <c r="D156">
        <v>0.57999999999999996</v>
      </c>
    </row>
    <row r="157" spans="1:4" x14ac:dyDescent="0.45">
      <c r="A157" t="s">
        <v>36</v>
      </c>
      <c r="B157">
        <v>2017</v>
      </c>
      <c r="C157" t="s">
        <v>74</v>
      </c>
      <c r="D157">
        <v>6.98</v>
      </c>
    </row>
    <row r="158" spans="1:4" x14ac:dyDescent="0.45">
      <c r="A158" t="s">
        <v>56</v>
      </c>
      <c r="B158">
        <v>2017</v>
      </c>
      <c r="C158" t="s">
        <v>74</v>
      </c>
      <c r="D158">
        <v>24.93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0.64</v>
      </c>
    </row>
    <row r="161" spans="1:4" x14ac:dyDescent="0.45">
      <c r="A161" t="s">
        <v>32</v>
      </c>
      <c r="B161">
        <v>2017</v>
      </c>
      <c r="C161" t="s">
        <v>74</v>
      </c>
      <c r="D161">
        <v>7.58</v>
      </c>
    </row>
    <row r="162" spans="1:4" x14ac:dyDescent="0.45">
      <c r="A162" t="s">
        <v>58</v>
      </c>
      <c r="B162">
        <v>2017</v>
      </c>
      <c r="C162" t="s">
        <v>74</v>
      </c>
      <c r="D162">
        <v>0.08</v>
      </c>
    </row>
    <row r="163" spans="1:4" x14ac:dyDescent="0.45">
      <c r="A163" t="s">
        <v>91</v>
      </c>
      <c r="B163">
        <v>2017</v>
      </c>
      <c r="C163" t="s">
        <v>74</v>
      </c>
      <c r="D163">
        <v>2.0699999999999998</v>
      </c>
    </row>
    <row r="164" spans="1:4" x14ac:dyDescent="0.45">
      <c r="A164" t="s">
        <v>32</v>
      </c>
      <c r="B164">
        <v>2018</v>
      </c>
      <c r="C164" t="s">
        <v>74</v>
      </c>
      <c r="D164">
        <v>0.77</v>
      </c>
    </row>
    <row r="165" spans="1:4" x14ac:dyDescent="0.45">
      <c r="A165" t="s">
        <v>34</v>
      </c>
      <c r="B165">
        <v>2018</v>
      </c>
      <c r="C165" t="s">
        <v>74</v>
      </c>
      <c r="D165">
        <v>0.98</v>
      </c>
    </row>
    <row r="166" spans="1:4" x14ac:dyDescent="0.45">
      <c r="A166" t="s">
        <v>36</v>
      </c>
      <c r="B166">
        <v>2018</v>
      </c>
      <c r="C166" t="s">
        <v>74</v>
      </c>
      <c r="D166">
        <v>5.66</v>
      </c>
    </row>
    <row r="167" spans="1:4" x14ac:dyDescent="0.45">
      <c r="A167" t="s">
        <v>56</v>
      </c>
      <c r="B167">
        <v>2018</v>
      </c>
      <c r="C167" t="s">
        <v>74</v>
      </c>
      <c r="D167">
        <v>26.03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0.62</v>
      </c>
    </row>
    <row r="170" spans="1:4" x14ac:dyDescent="0.45">
      <c r="A170" t="s">
        <v>32</v>
      </c>
      <c r="B170">
        <v>2018</v>
      </c>
      <c r="C170" t="s">
        <v>74</v>
      </c>
      <c r="D170">
        <v>7.52</v>
      </c>
    </row>
    <row r="171" spans="1:4" x14ac:dyDescent="0.45">
      <c r="A171" t="s">
        <v>58</v>
      </c>
      <c r="B171">
        <v>2018</v>
      </c>
      <c r="C171" t="s">
        <v>74</v>
      </c>
      <c r="D171">
        <v>0.1</v>
      </c>
    </row>
    <row r="172" spans="1:4" x14ac:dyDescent="0.45">
      <c r="A172" t="s">
        <v>91</v>
      </c>
      <c r="B172">
        <v>2018</v>
      </c>
      <c r="C172" t="s">
        <v>74</v>
      </c>
      <c r="D172">
        <v>2.0499999999999998</v>
      </c>
    </row>
    <row r="173" spans="1:4" x14ac:dyDescent="0.45">
      <c r="A173" t="s">
        <v>32</v>
      </c>
      <c r="B173">
        <v>2019</v>
      </c>
      <c r="C173" t="s">
        <v>74</v>
      </c>
      <c r="D173">
        <v>0.79</v>
      </c>
    </row>
    <row r="174" spans="1:4" x14ac:dyDescent="0.45">
      <c r="A174" t="s">
        <v>34</v>
      </c>
      <c r="B174">
        <v>2019</v>
      </c>
      <c r="C174" t="s">
        <v>74</v>
      </c>
      <c r="D174">
        <v>1.59</v>
      </c>
    </row>
    <row r="175" spans="1:4" x14ac:dyDescent="0.45">
      <c r="A175" t="s">
        <v>36</v>
      </c>
      <c r="B175">
        <v>2019</v>
      </c>
      <c r="C175" t="s">
        <v>74</v>
      </c>
      <c r="D175">
        <v>5.42</v>
      </c>
    </row>
    <row r="176" spans="1:4" x14ac:dyDescent="0.45">
      <c r="A176" t="s">
        <v>56</v>
      </c>
      <c r="B176">
        <v>2019</v>
      </c>
      <c r="C176" t="s">
        <v>74</v>
      </c>
      <c r="D176">
        <v>25.32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0.68</v>
      </c>
    </row>
    <row r="179" spans="1:4" x14ac:dyDescent="0.45">
      <c r="A179" t="s">
        <v>32</v>
      </c>
      <c r="B179">
        <v>2019</v>
      </c>
      <c r="C179" t="s">
        <v>74</v>
      </c>
      <c r="D179">
        <v>7.59</v>
      </c>
    </row>
    <row r="180" spans="1:4" x14ac:dyDescent="0.45">
      <c r="A180" t="s">
        <v>58</v>
      </c>
      <c r="B180">
        <v>2019</v>
      </c>
      <c r="C180" t="s">
        <v>74</v>
      </c>
      <c r="D180">
        <v>0.13</v>
      </c>
    </row>
    <row r="181" spans="1:4" x14ac:dyDescent="0.45">
      <c r="A181" t="s">
        <v>91</v>
      </c>
      <c r="B181">
        <v>2019</v>
      </c>
      <c r="C181" t="s">
        <v>74</v>
      </c>
      <c r="D181">
        <v>2.23</v>
      </c>
    </row>
    <row r="182" spans="1:4" x14ac:dyDescent="0.45">
      <c r="A182" t="s">
        <v>32</v>
      </c>
      <c r="B182">
        <v>2020</v>
      </c>
      <c r="C182" t="s">
        <v>74</v>
      </c>
      <c r="D182">
        <v>0.78</v>
      </c>
    </row>
    <row r="183" spans="1:4" x14ac:dyDescent="0.45">
      <c r="A183" t="s">
        <v>34</v>
      </c>
      <c r="B183">
        <v>2020</v>
      </c>
      <c r="C183" t="s">
        <v>74</v>
      </c>
      <c r="D183">
        <v>1.7</v>
      </c>
    </row>
    <row r="184" spans="1:4" x14ac:dyDescent="0.45">
      <c r="A184" t="s">
        <v>36</v>
      </c>
      <c r="B184">
        <v>2020</v>
      </c>
      <c r="C184" t="s">
        <v>74</v>
      </c>
      <c r="D184">
        <v>5.94</v>
      </c>
    </row>
    <row r="185" spans="1:4" x14ac:dyDescent="0.45">
      <c r="A185" t="s">
        <v>56</v>
      </c>
      <c r="B185">
        <v>2020</v>
      </c>
      <c r="C185" t="s">
        <v>74</v>
      </c>
      <c r="D185">
        <v>24.03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0.63</v>
      </c>
    </row>
    <row r="188" spans="1:4" x14ac:dyDescent="0.45">
      <c r="A188" t="s">
        <v>32</v>
      </c>
      <c r="B188">
        <v>2020</v>
      </c>
      <c r="C188" t="s">
        <v>74</v>
      </c>
      <c r="D188">
        <v>7.83</v>
      </c>
    </row>
    <row r="189" spans="1:4" x14ac:dyDescent="0.45">
      <c r="A189" t="s">
        <v>58</v>
      </c>
      <c r="B189">
        <v>2020</v>
      </c>
      <c r="C189" t="s">
        <v>74</v>
      </c>
      <c r="D189">
        <v>0.16</v>
      </c>
    </row>
    <row r="190" spans="1:4" x14ac:dyDescent="0.45">
      <c r="A190" t="s">
        <v>91</v>
      </c>
      <c r="B190">
        <v>2020</v>
      </c>
      <c r="C190" t="s">
        <v>74</v>
      </c>
      <c r="D190">
        <v>2.2799999999999998</v>
      </c>
    </row>
    <row r="191" spans="1:4" x14ac:dyDescent="0.45">
      <c r="A191" t="s">
        <v>32</v>
      </c>
      <c r="B191">
        <v>2021</v>
      </c>
      <c r="C191" t="s">
        <v>74</v>
      </c>
      <c r="D191">
        <v>1.73</v>
      </c>
    </row>
    <row r="192" spans="1:4" x14ac:dyDescent="0.45">
      <c r="A192" t="s">
        <v>34</v>
      </c>
      <c r="B192">
        <v>2021</v>
      </c>
      <c r="C192" t="s">
        <v>74</v>
      </c>
      <c r="D192">
        <v>2.6</v>
      </c>
    </row>
    <row r="193" spans="1:4" x14ac:dyDescent="0.45">
      <c r="A193" t="s">
        <v>36</v>
      </c>
      <c r="B193">
        <v>2021</v>
      </c>
      <c r="C193" t="s">
        <v>74</v>
      </c>
      <c r="D193">
        <v>4.6500000000000004</v>
      </c>
    </row>
    <row r="194" spans="1:4" x14ac:dyDescent="0.45">
      <c r="A194" t="s">
        <v>56</v>
      </c>
      <c r="B194">
        <v>2021</v>
      </c>
      <c r="C194" t="s">
        <v>74</v>
      </c>
      <c r="D194">
        <v>23.99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0.71</v>
      </c>
    </row>
    <row r="197" spans="1:4" x14ac:dyDescent="0.45">
      <c r="A197" t="s">
        <v>32</v>
      </c>
      <c r="B197">
        <v>2021</v>
      </c>
      <c r="C197" t="s">
        <v>74</v>
      </c>
      <c r="D197">
        <v>7.97</v>
      </c>
    </row>
    <row r="198" spans="1:4" x14ac:dyDescent="0.45">
      <c r="A198" t="s">
        <v>58</v>
      </c>
      <c r="B198">
        <v>2021</v>
      </c>
      <c r="C198" t="s">
        <v>74</v>
      </c>
      <c r="D198">
        <v>0.21</v>
      </c>
    </row>
    <row r="199" spans="1:4" x14ac:dyDescent="0.45">
      <c r="A199" t="s">
        <v>91</v>
      </c>
      <c r="B199">
        <v>2021</v>
      </c>
      <c r="C199" t="s">
        <v>74</v>
      </c>
      <c r="D199">
        <v>2.62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1.1399999999999999</v>
      </c>
    </row>
    <row r="202" spans="1:4" x14ac:dyDescent="0.45">
      <c r="A202" t="s">
        <v>36</v>
      </c>
      <c r="B202">
        <v>2022</v>
      </c>
      <c r="C202" t="s">
        <v>74</v>
      </c>
      <c r="D202">
        <v>4.08</v>
      </c>
    </row>
    <row r="203" spans="1:4" x14ac:dyDescent="0.45">
      <c r="A203" t="s">
        <v>56</v>
      </c>
      <c r="B203">
        <v>2022</v>
      </c>
      <c r="C203" t="s">
        <v>74</v>
      </c>
      <c r="D203">
        <v>25.86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0.62</v>
      </c>
    </row>
    <row r="206" spans="1:4" x14ac:dyDescent="0.45">
      <c r="A206" t="s">
        <v>32</v>
      </c>
      <c r="B206">
        <v>2022</v>
      </c>
      <c r="C206" t="s">
        <v>74</v>
      </c>
      <c r="D206">
        <v>7.82</v>
      </c>
    </row>
    <row r="207" spans="1:4" x14ac:dyDescent="0.45">
      <c r="A207" t="s">
        <v>58</v>
      </c>
      <c r="B207">
        <v>2022</v>
      </c>
      <c r="C207" t="s">
        <v>74</v>
      </c>
      <c r="D207">
        <v>0.21</v>
      </c>
    </row>
    <row r="208" spans="1:4" x14ac:dyDescent="0.45">
      <c r="A208" t="s">
        <v>91</v>
      </c>
      <c r="B208">
        <v>2022</v>
      </c>
      <c r="C208" t="s">
        <v>74</v>
      </c>
      <c r="D208">
        <v>2.89</v>
      </c>
    </row>
    <row r="209" spans="1:4" x14ac:dyDescent="0.45">
      <c r="A209" t="s">
        <v>32</v>
      </c>
      <c r="B209">
        <v>2023</v>
      </c>
      <c r="C209" t="s">
        <v>74</v>
      </c>
      <c r="D209">
        <v>1.55</v>
      </c>
    </row>
    <row r="210" spans="1:4" x14ac:dyDescent="0.45">
      <c r="A210" t="s">
        <v>34</v>
      </c>
      <c r="B210">
        <v>2023</v>
      </c>
      <c r="C210" t="s">
        <v>74</v>
      </c>
      <c r="D210">
        <v>1.77</v>
      </c>
    </row>
    <row r="211" spans="1:4" x14ac:dyDescent="0.45">
      <c r="A211" t="s">
        <v>36</v>
      </c>
      <c r="B211">
        <v>2023</v>
      </c>
      <c r="C211" t="s">
        <v>74</v>
      </c>
      <c r="D211">
        <v>3.25</v>
      </c>
    </row>
    <row r="212" spans="1:4" x14ac:dyDescent="0.45">
      <c r="A212" t="s">
        <v>56</v>
      </c>
      <c r="B212">
        <v>2023</v>
      </c>
      <c r="C212" t="s">
        <v>74</v>
      </c>
      <c r="D212">
        <v>26.04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0.62</v>
      </c>
    </row>
    <row r="215" spans="1:4" x14ac:dyDescent="0.45">
      <c r="A215" t="s">
        <v>32</v>
      </c>
      <c r="B215">
        <v>2023</v>
      </c>
      <c r="C215" t="s">
        <v>74</v>
      </c>
      <c r="D215">
        <v>7.61</v>
      </c>
    </row>
    <row r="216" spans="1:4" x14ac:dyDescent="0.45">
      <c r="A216" t="s">
        <v>58</v>
      </c>
      <c r="B216">
        <v>2023</v>
      </c>
      <c r="C216" t="s">
        <v>74</v>
      </c>
      <c r="D216">
        <v>0.21</v>
      </c>
    </row>
    <row r="217" spans="1:4" x14ac:dyDescent="0.45">
      <c r="A217" t="s">
        <v>91</v>
      </c>
      <c r="B217">
        <v>2023</v>
      </c>
      <c r="C217" t="s">
        <v>74</v>
      </c>
      <c r="D217">
        <v>3.47</v>
      </c>
    </row>
    <row r="218" spans="1:4" x14ac:dyDescent="0.45">
      <c r="A218" t="s">
        <v>32</v>
      </c>
      <c r="B218">
        <v>2000</v>
      </c>
      <c r="C218" t="s">
        <v>75</v>
      </c>
      <c r="D218">
        <v>0.09</v>
      </c>
    </row>
    <row r="219" spans="1:4" x14ac:dyDescent="0.45">
      <c r="A219" t="s">
        <v>34</v>
      </c>
      <c r="B219">
        <v>2000</v>
      </c>
      <c r="C219" t="s">
        <v>75</v>
      </c>
      <c r="D219">
        <v>1</v>
      </c>
    </row>
    <row r="220" spans="1:4" x14ac:dyDescent="0.45">
      <c r="A220" t="s">
        <v>36</v>
      </c>
      <c r="B220">
        <v>2000</v>
      </c>
      <c r="C220" t="s">
        <v>75</v>
      </c>
      <c r="D220">
        <v>1.06</v>
      </c>
    </row>
    <row r="221" spans="1:4" x14ac:dyDescent="0.45">
      <c r="A221" t="s">
        <v>56</v>
      </c>
      <c r="B221">
        <v>2000</v>
      </c>
      <c r="C221" t="s">
        <v>75</v>
      </c>
      <c r="D221">
        <v>5.19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</row>
    <row r="224" spans="1:4" x14ac:dyDescent="0.45">
      <c r="A224" t="s">
        <v>32</v>
      </c>
      <c r="B224">
        <v>2000</v>
      </c>
      <c r="C224" t="s">
        <v>75</v>
      </c>
      <c r="D224">
        <v>0.42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0.09</v>
      </c>
    </row>
    <row r="228" spans="1:4" x14ac:dyDescent="0.45">
      <c r="A228" t="s">
        <v>34</v>
      </c>
      <c r="B228">
        <v>2001</v>
      </c>
      <c r="C228" t="s">
        <v>75</v>
      </c>
      <c r="D228">
        <v>1</v>
      </c>
    </row>
    <row r="229" spans="1:4" x14ac:dyDescent="0.45">
      <c r="A229" t="s">
        <v>36</v>
      </c>
      <c r="B229">
        <v>2001</v>
      </c>
      <c r="C229" t="s">
        <v>75</v>
      </c>
      <c r="D229">
        <v>1.06</v>
      </c>
    </row>
    <row r="230" spans="1:4" x14ac:dyDescent="0.45">
      <c r="A230" t="s">
        <v>56</v>
      </c>
      <c r="B230">
        <v>2001</v>
      </c>
      <c r="C230" t="s">
        <v>75</v>
      </c>
      <c r="D230">
        <v>5.26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</row>
    <row r="233" spans="1:4" x14ac:dyDescent="0.45">
      <c r="A233" t="s">
        <v>32</v>
      </c>
      <c r="B233">
        <v>2001</v>
      </c>
      <c r="C233" t="s">
        <v>75</v>
      </c>
      <c r="D233">
        <v>0.42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0.12</v>
      </c>
    </row>
    <row r="237" spans="1:4" x14ac:dyDescent="0.45">
      <c r="A237" t="s">
        <v>34</v>
      </c>
      <c r="B237">
        <v>2002</v>
      </c>
      <c r="C237" t="s">
        <v>75</v>
      </c>
      <c r="D237">
        <v>1</v>
      </c>
    </row>
    <row r="238" spans="1:4" x14ac:dyDescent="0.45">
      <c r="A238" t="s">
        <v>36</v>
      </c>
      <c r="B238">
        <v>2002</v>
      </c>
      <c r="C238" t="s">
        <v>75</v>
      </c>
      <c r="D238">
        <v>1.06</v>
      </c>
    </row>
    <row r="239" spans="1:4" x14ac:dyDescent="0.45">
      <c r="A239" t="s">
        <v>56</v>
      </c>
      <c r="B239">
        <v>2002</v>
      </c>
      <c r="C239" t="s">
        <v>75</v>
      </c>
      <c r="D239">
        <v>5.36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</row>
    <row r="242" spans="1:4" x14ac:dyDescent="0.45">
      <c r="A242" t="s">
        <v>32</v>
      </c>
      <c r="B242">
        <v>2002</v>
      </c>
      <c r="C242" t="s">
        <v>75</v>
      </c>
      <c r="D242">
        <v>0.37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0.05</v>
      </c>
    </row>
    <row r="245" spans="1:4" x14ac:dyDescent="0.45">
      <c r="A245" t="s">
        <v>32</v>
      </c>
      <c r="B245">
        <v>2003</v>
      </c>
      <c r="C245" t="s">
        <v>75</v>
      </c>
      <c r="D245">
        <v>0.13</v>
      </c>
    </row>
    <row r="246" spans="1:4" x14ac:dyDescent="0.45">
      <c r="A246" t="s">
        <v>34</v>
      </c>
      <c r="B246">
        <v>2003</v>
      </c>
      <c r="C246" t="s">
        <v>75</v>
      </c>
      <c r="D246">
        <v>1</v>
      </c>
    </row>
    <row r="247" spans="1:4" x14ac:dyDescent="0.45">
      <c r="A247" t="s">
        <v>36</v>
      </c>
      <c r="B247">
        <v>2003</v>
      </c>
      <c r="C247" t="s">
        <v>75</v>
      </c>
      <c r="D247">
        <v>1.06</v>
      </c>
    </row>
    <row r="248" spans="1:4" x14ac:dyDescent="0.45">
      <c r="A248" t="s">
        <v>56</v>
      </c>
      <c r="B248">
        <v>2003</v>
      </c>
      <c r="C248" t="s">
        <v>75</v>
      </c>
      <c r="D248">
        <v>5.36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</row>
    <row r="251" spans="1:4" x14ac:dyDescent="0.45">
      <c r="A251" t="s">
        <v>32</v>
      </c>
      <c r="B251">
        <v>2003</v>
      </c>
      <c r="C251" t="s">
        <v>75</v>
      </c>
      <c r="D251">
        <v>0.38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7.0000000000000007E-2</v>
      </c>
    </row>
    <row r="254" spans="1:4" x14ac:dyDescent="0.45">
      <c r="A254" t="s">
        <v>32</v>
      </c>
      <c r="B254">
        <v>2004</v>
      </c>
      <c r="C254" t="s">
        <v>75</v>
      </c>
      <c r="D254">
        <v>0.13</v>
      </c>
    </row>
    <row r="255" spans="1:4" x14ac:dyDescent="0.45">
      <c r="A255" t="s">
        <v>34</v>
      </c>
      <c r="B255">
        <v>2004</v>
      </c>
      <c r="C255" t="s">
        <v>75</v>
      </c>
      <c r="D255">
        <v>1</v>
      </c>
    </row>
    <row r="256" spans="1:4" x14ac:dyDescent="0.45">
      <c r="A256" t="s">
        <v>36</v>
      </c>
      <c r="B256">
        <v>2004</v>
      </c>
      <c r="C256" t="s">
        <v>75</v>
      </c>
      <c r="D256">
        <v>1.1100000000000001</v>
      </c>
    </row>
    <row r="257" spans="1:4" x14ac:dyDescent="0.45">
      <c r="A257" t="s">
        <v>56</v>
      </c>
      <c r="B257">
        <v>2004</v>
      </c>
      <c r="C257" t="s">
        <v>75</v>
      </c>
      <c r="D257">
        <v>5.37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</row>
    <row r="260" spans="1:4" x14ac:dyDescent="0.45">
      <c r="A260" t="s">
        <v>32</v>
      </c>
      <c r="B260">
        <v>2004</v>
      </c>
      <c r="C260" t="s">
        <v>75</v>
      </c>
      <c r="D260">
        <v>0.38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0.17</v>
      </c>
    </row>
    <row r="263" spans="1:4" x14ac:dyDescent="0.45">
      <c r="A263" t="s">
        <v>32</v>
      </c>
      <c r="B263">
        <v>2005</v>
      </c>
      <c r="C263" t="s">
        <v>75</v>
      </c>
      <c r="D263">
        <v>0.14000000000000001</v>
      </c>
    </row>
    <row r="264" spans="1:4" x14ac:dyDescent="0.45">
      <c r="A264" t="s">
        <v>34</v>
      </c>
      <c r="B264">
        <v>2005</v>
      </c>
      <c r="C264" t="s">
        <v>75</v>
      </c>
      <c r="D264">
        <v>1</v>
      </c>
    </row>
    <row r="265" spans="1:4" x14ac:dyDescent="0.45">
      <c r="A265" t="s">
        <v>36</v>
      </c>
      <c r="B265">
        <v>2005</v>
      </c>
      <c r="C265" t="s">
        <v>75</v>
      </c>
      <c r="D265">
        <v>1.1100000000000001</v>
      </c>
    </row>
    <row r="266" spans="1:4" x14ac:dyDescent="0.45">
      <c r="A266" t="s">
        <v>56</v>
      </c>
      <c r="B266">
        <v>2005</v>
      </c>
      <c r="C266" t="s">
        <v>75</v>
      </c>
      <c r="D266">
        <v>5.37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</row>
    <row r="269" spans="1:4" x14ac:dyDescent="0.45">
      <c r="A269" t="s">
        <v>32</v>
      </c>
      <c r="B269">
        <v>2005</v>
      </c>
      <c r="C269" t="s">
        <v>75</v>
      </c>
      <c r="D269">
        <v>0.44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0.17</v>
      </c>
    </row>
    <row r="272" spans="1:4" x14ac:dyDescent="0.45">
      <c r="A272" t="s">
        <v>32</v>
      </c>
      <c r="B272">
        <v>2006</v>
      </c>
      <c r="C272" t="s">
        <v>75</v>
      </c>
      <c r="D272">
        <v>0.14000000000000001</v>
      </c>
    </row>
    <row r="273" spans="1:4" x14ac:dyDescent="0.45">
      <c r="A273" t="s">
        <v>34</v>
      </c>
      <c r="B273">
        <v>2006</v>
      </c>
      <c r="C273" t="s">
        <v>75</v>
      </c>
      <c r="D273">
        <v>1</v>
      </c>
    </row>
    <row r="274" spans="1:4" x14ac:dyDescent="0.45">
      <c r="A274" t="s">
        <v>36</v>
      </c>
      <c r="B274">
        <v>2006</v>
      </c>
      <c r="C274" t="s">
        <v>75</v>
      </c>
      <c r="D274">
        <v>1.1100000000000001</v>
      </c>
    </row>
    <row r="275" spans="1:4" x14ac:dyDescent="0.45">
      <c r="A275" t="s">
        <v>56</v>
      </c>
      <c r="B275">
        <v>2006</v>
      </c>
      <c r="C275" t="s">
        <v>75</v>
      </c>
      <c r="D275">
        <v>5.37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</row>
    <row r="278" spans="1:4" x14ac:dyDescent="0.45">
      <c r="A278" t="s">
        <v>32</v>
      </c>
      <c r="B278">
        <v>2006</v>
      </c>
      <c r="C278" t="s">
        <v>75</v>
      </c>
      <c r="D278">
        <v>0.44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0.17</v>
      </c>
    </row>
    <row r="281" spans="1:4" x14ac:dyDescent="0.45">
      <c r="A281" t="s">
        <v>32</v>
      </c>
      <c r="B281">
        <v>2007</v>
      </c>
      <c r="C281" t="s">
        <v>75</v>
      </c>
      <c r="D281">
        <v>0.14000000000000001</v>
      </c>
    </row>
    <row r="282" spans="1:4" x14ac:dyDescent="0.45">
      <c r="A282" t="s">
        <v>34</v>
      </c>
      <c r="B282">
        <v>2007</v>
      </c>
      <c r="C282" t="s">
        <v>75</v>
      </c>
      <c r="D282">
        <v>1</v>
      </c>
    </row>
    <row r="283" spans="1:4" x14ac:dyDescent="0.45">
      <c r="A283" t="s">
        <v>36</v>
      </c>
      <c r="B283">
        <v>2007</v>
      </c>
      <c r="C283" t="s">
        <v>75</v>
      </c>
      <c r="D283">
        <v>1.51</v>
      </c>
    </row>
    <row r="284" spans="1:4" x14ac:dyDescent="0.45">
      <c r="A284" t="s">
        <v>56</v>
      </c>
      <c r="B284">
        <v>2007</v>
      </c>
      <c r="C284" t="s">
        <v>75</v>
      </c>
      <c r="D284">
        <v>5.37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</row>
    <row r="287" spans="1:4" x14ac:dyDescent="0.45">
      <c r="A287" t="s">
        <v>32</v>
      </c>
      <c r="B287">
        <v>2007</v>
      </c>
      <c r="C287" t="s">
        <v>75</v>
      </c>
      <c r="D287">
        <v>0.46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0.32</v>
      </c>
    </row>
    <row r="290" spans="1:4" x14ac:dyDescent="0.45">
      <c r="A290" t="s">
        <v>32</v>
      </c>
      <c r="B290">
        <v>2008</v>
      </c>
      <c r="C290" t="s">
        <v>75</v>
      </c>
      <c r="D290">
        <v>0.14000000000000001</v>
      </c>
    </row>
    <row r="291" spans="1:4" x14ac:dyDescent="0.45">
      <c r="A291" t="s">
        <v>34</v>
      </c>
      <c r="B291">
        <v>2008</v>
      </c>
      <c r="C291" t="s">
        <v>75</v>
      </c>
      <c r="D291">
        <v>1</v>
      </c>
    </row>
    <row r="292" spans="1:4" x14ac:dyDescent="0.45">
      <c r="A292" t="s">
        <v>36</v>
      </c>
      <c r="B292">
        <v>2008</v>
      </c>
      <c r="C292" t="s">
        <v>75</v>
      </c>
      <c r="D292">
        <v>1.51</v>
      </c>
    </row>
    <row r="293" spans="1:4" x14ac:dyDescent="0.45">
      <c r="A293" t="s">
        <v>56</v>
      </c>
      <c r="B293">
        <v>2008</v>
      </c>
      <c r="C293" t="s">
        <v>75</v>
      </c>
      <c r="D293">
        <v>5.39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</row>
    <row r="296" spans="1:4" x14ac:dyDescent="0.45">
      <c r="A296" t="s">
        <v>32</v>
      </c>
      <c r="B296">
        <v>2008</v>
      </c>
      <c r="C296" t="s">
        <v>75</v>
      </c>
      <c r="D296">
        <v>0.57999999999999996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0.32</v>
      </c>
    </row>
    <row r="299" spans="1:4" x14ac:dyDescent="0.45">
      <c r="A299" t="s">
        <v>32</v>
      </c>
      <c r="B299">
        <v>2009</v>
      </c>
      <c r="C299" t="s">
        <v>75</v>
      </c>
      <c r="D299">
        <v>0.14000000000000001</v>
      </c>
    </row>
    <row r="300" spans="1:4" x14ac:dyDescent="0.45">
      <c r="A300" t="s">
        <v>34</v>
      </c>
      <c r="B300">
        <v>2009</v>
      </c>
      <c r="C300" t="s">
        <v>75</v>
      </c>
      <c r="D300">
        <v>1</v>
      </c>
    </row>
    <row r="301" spans="1:4" x14ac:dyDescent="0.45">
      <c r="A301" t="s">
        <v>36</v>
      </c>
      <c r="B301">
        <v>2009</v>
      </c>
      <c r="C301" t="s">
        <v>75</v>
      </c>
      <c r="D301">
        <v>1.51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</row>
    <row r="305" spans="1:4" x14ac:dyDescent="0.45">
      <c r="A305" t="s">
        <v>32</v>
      </c>
      <c r="B305">
        <v>2009</v>
      </c>
      <c r="C305" t="s">
        <v>75</v>
      </c>
      <c r="D305">
        <v>0.62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0.51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  <c r="D309">
        <v>1</v>
      </c>
    </row>
    <row r="310" spans="1:4" x14ac:dyDescent="0.45">
      <c r="A310" t="s">
        <v>36</v>
      </c>
      <c r="B310">
        <v>2010</v>
      </c>
      <c r="C310" t="s">
        <v>75</v>
      </c>
      <c r="D310">
        <v>1.51</v>
      </c>
    </row>
    <row r="311" spans="1:4" x14ac:dyDescent="0.45">
      <c r="A311" t="s">
        <v>56</v>
      </c>
      <c r="B311">
        <v>2010</v>
      </c>
      <c r="C311" t="s">
        <v>75</v>
      </c>
      <c r="D311">
        <v>5.33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</row>
    <row r="314" spans="1:4" x14ac:dyDescent="0.45">
      <c r="A314" t="s">
        <v>32</v>
      </c>
      <c r="B314">
        <v>2010</v>
      </c>
      <c r="C314" t="s">
        <v>75</v>
      </c>
      <c r="D314">
        <v>0.74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0.54</v>
      </c>
    </row>
    <row r="317" spans="1:4" x14ac:dyDescent="0.45">
      <c r="A317" t="s">
        <v>32</v>
      </c>
      <c r="B317">
        <v>2011</v>
      </c>
      <c r="C317" t="s">
        <v>75</v>
      </c>
      <c r="D317">
        <v>0.14000000000000001</v>
      </c>
    </row>
    <row r="318" spans="1:4" x14ac:dyDescent="0.45">
      <c r="A318" t="s">
        <v>34</v>
      </c>
      <c r="B318">
        <v>2011</v>
      </c>
      <c r="C318" t="s">
        <v>75</v>
      </c>
      <c r="D318">
        <v>1</v>
      </c>
    </row>
    <row r="319" spans="1:4" x14ac:dyDescent="0.45">
      <c r="A319" t="s">
        <v>36</v>
      </c>
      <c r="B319">
        <v>2011</v>
      </c>
      <c r="C319" t="s">
        <v>75</v>
      </c>
      <c r="D319">
        <v>1.72</v>
      </c>
    </row>
    <row r="320" spans="1:4" x14ac:dyDescent="0.45">
      <c r="A320" t="s">
        <v>56</v>
      </c>
      <c r="B320">
        <v>2011</v>
      </c>
      <c r="C320" t="s">
        <v>75</v>
      </c>
      <c r="D320">
        <v>5.41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</row>
    <row r="323" spans="1:4" x14ac:dyDescent="0.45">
      <c r="A323" t="s">
        <v>32</v>
      </c>
      <c r="B323">
        <v>2011</v>
      </c>
      <c r="C323" t="s">
        <v>75</v>
      </c>
      <c r="D323">
        <v>0.74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0.62</v>
      </c>
    </row>
    <row r="326" spans="1:4" x14ac:dyDescent="0.45">
      <c r="A326" t="s">
        <v>32</v>
      </c>
      <c r="B326">
        <v>2012</v>
      </c>
      <c r="C326" t="s">
        <v>75</v>
      </c>
      <c r="D326">
        <v>0.14000000000000001</v>
      </c>
    </row>
    <row r="327" spans="1:4" x14ac:dyDescent="0.45">
      <c r="A327" t="s">
        <v>34</v>
      </c>
      <c r="B327">
        <v>2012</v>
      </c>
      <c r="C327" t="s">
        <v>75</v>
      </c>
      <c r="D327">
        <v>0.75</v>
      </c>
    </row>
    <row r="328" spans="1:4" x14ac:dyDescent="0.45">
      <c r="A328" t="s">
        <v>36</v>
      </c>
      <c r="B328">
        <v>2012</v>
      </c>
      <c r="C328" t="s">
        <v>75</v>
      </c>
      <c r="D328">
        <v>1.72</v>
      </c>
    </row>
    <row r="329" spans="1:4" x14ac:dyDescent="0.45">
      <c r="A329" t="s">
        <v>56</v>
      </c>
      <c r="B329">
        <v>2012</v>
      </c>
      <c r="C329" t="s">
        <v>75</v>
      </c>
      <c r="D329">
        <v>5.42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</row>
    <row r="332" spans="1:4" x14ac:dyDescent="0.45">
      <c r="A332" t="s">
        <v>32</v>
      </c>
      <c r="B332">
        <v>2012</v>
      </c>
      <c r="C332" t="s">
        <v>75</v>
      </c>
      <c r="D332">
        <v>0.77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0.62</v>
      </c>
    </row>
    <row r="335" spans="1:4" x14ac:dyDescent="0.45">
      <c r="A335" t="s">
        <v>32</v>
      </c>
      <c r="B335">
        <v>2013</v>
      </c>
      <c r="C335" t="s">
        <v>75</v>
      </c>
      <c r="D335">
        <v>0.14000000000000001</v>
      </c>
    </row>
    <row r="336" spans="1:4" x14ac:dyDescent="0.45">
      <c r="A336" t="s">
        <v>34</v>
      </c>
      <c r="B336">
        <v>2013</v>
      </c>
      <c r="C336" t="s">
        <v>75</v>
      </c>
      <c r="D336">
        <v>0.5</v>
      </c>
    </row>
    <row r="337" spans="1:4" x14ac:dyDescent="0.45">
      <c r="A337" t="s">
        <v>36</v>
      </c>
      <c r="B337">
        <v>2013</v>
      </c>
      <c r="C337" t="s">
        <v>75</v>
      </c>
      <c r="D337">
        <v>1.82</v>
      </c>
    </row>
    <row r="338" spans="1:4" x14ac:dyDescent="0.45">
      <c r="A338" t="s">
        <v>56</v>
      </c>
      <c r="B338">
        <v>2013</v>
      </c>
      <c r="C338" t="s">
        <v>75</v>
      </c>
      <c r="D338">
        <v>5.44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</row>
    <row r="341" spans="1:4" x14ac:dyDescent="0.45">
      <c r="A341" t="s">
        <v>32</v>
      </c>
      <c r="B341">
        <v>2013</v>
      </c>
      <c r="C341" t="s">
        <v>75</v>
      </c>
      <c r="D341">
        <v>0.84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0.62</v>
      </c>
    </row>
    <row r="344" spans="1:4" x14ac:dyDescent="0.45">
      <c r="A344" t="s">
        <v>32</v>
      </c>
      <c r="B344">
        <v>2014</v>
      </c>
      <c r="C344" t="s">
        <v>75</v>
      </c>
      <c r="D344">
        <v>0.15</v>
      </c>
    </row>
    <row r="345" spans="1:4" x14ac:dyDescent="0.45">
      <c r="A345" t="s">
        <v>34</v>
      </c>
      <c r="B345">
        <v>2014</v>
      </c>
      <c r="C345" t="s">
        <v>75</v>
      </c>
      <c r="D345">
        <v>0.5</v>
      </c>
    </row>
    <row r="346" spans="1:4" x14ac:dyDescent="0.45">
      <c r="A346" t="s">
        <v>36</v>
      </c>
      <c r="B346">
        <v>2014</v>
      </c>
      <c r="C346" t="s">
        <v>75</v>
      </c>
      <c r="D346">
        <v>1.82</v>
      </c>
    </row>
    <row r="347" spans="1:4" x14ac:dyDescent="0.45">
      <c r="A347" t="s">
        <v>56</v>
      </c>
      <c r="B347">
        <v>2014</v>
      </c>
      <c r="C347" t="s">
        <v>75</v>
      </c>
      <c r="D347">
        <v>5.43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0.02</v>
      </c>
    </row>
    <row r="352" spans="1:4" x14ac:dyDescent="0.45">
      <c r="A352" t="s">
        <v>91</v>
      </c>
      <c r="B352">
        <v>2014</v>
      </c>
      <c r="C352" t="s">
        <v>75</v>
      </c>
      <c r="D352">
        <v>0.68</v>
      </c>
    </row>
    <row r="353" spans="1:4" x14ac:dyDescent="0.45">
      <c r="A353" t="s">
        <v>32</v>
      </c>
      <c r="B353">
        <v>2015</v>
      </c>
      <c r="C353" t="s">
        <v>75</v>
      </c>
      <c r="D353">
        <v>0.15</v>
      </c>
    </row>
    <row r="354" spans="1:4" x14ac:dyDescent="0.45">
      <c r="A354" t="s">
        <v>34</v>
      </c>
      <c r="B354">
        <v>2015</v>
      </c>
      <c r="C354" t="s">
        <v>75</v>
      </c>
      <c r="D354">
        <v>0.5</v>
      </c>
    </row>
    <row r="355" spans="1:4" x14ac:dyDescent="0.45">
      <c r="A355" t="s">
        <v>36</v>
      </c>
      <c r="B355">
        <v>2015</v>
      </c>
      <c r="C355" t="s">
        <v>75</v>
      </c>
      <c r="D355">
        <v>1.82</v>
      </c>
    </row>
    <row r="356" spans="1:4" x14ac:dyDescent="0.45">
      <c r="A356" t="s">
        <v>56</v>
      </c>
      <c r="B356">
        <v>2015</v>
      </c>
      <c r="C356" t="s">
        <v>75</v>
      </c>
      <c r="D356">
        <v>5.43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0.04</v>
      </c>
    </row>
    <row r="361" spans="1:4" x14ac:dyDescent="0.45">
      <c r="A361" t="s">
        <v>91</v>
      </c>
      <c r="B361">
        <v>2015</v>
      </c>
      <c r="C361" t="s">
        <v>75</v>
      </c>
      <c r="D361">
        <v>0.69</v>
      </c>
    </row>
    <row r="362" spans="1:4" x14ac:dyDescent="0.45">
      <c r="A362" t="s">
        <v>32</v>
      </c>
      <c r="B362">
        <v>2016</v>
      </c>
      <c r="C362" t="s">
        <v>75</v>
      </c>
      <c r="D362">
        <v>0.15</v>
      </c>
    </row>
    <row r="363" spans="1:4" x14ac:dyDescent="0.45">
      <c r="A363" t="s">
        <v>34</v>
      </c>
      <c r="B363">
        <v>2016</v>
      </c>
      <c r="C363" t="s">
        <v>75</v>
      </c>
      <c r="D363">
        <v>0.5</v>
      </c>
    </row>
    <row r="364" spans="1:4" x14ac:dyDescent="0.45">
      <c r="A364" t="s">
        <v>36</v>
      </c>
      <c r="B364">
        <v>2016</v>
      </c>
      <c r="C364" t="s">
        <v>75</v>
      </c>
      <c r="D364">
        <v>1.82</v>
      </c>
    </row>
    <row r="365" spans="1:4" x14ac:dyDescent="0.45">
      <c r="A365" t="s">
        <v>56</v>
      </c>
      <c r="B365">
        <v>2016</v>
      </c>
      <c r="C365" t="s">
        <v>75</v>
      </c>
      <c r="D365">
        <v>5.43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</row>
    <row r="368" spans="1:4" x14ac:dyDescent="0.45">
      <c r="A368" t="s">
        <v>32</v>
      </c>
      <c r="B368">
        <v>2016</v>
      </c>
      <c r="C368" t="s">
        <v>75</v>
      </c>
      <c r="D368">
        <v>0.99</v>
      </c>
    </row>
    <row r="369" spans="1:4" x14ac:dyDescent="0.45">
      <c r="A369" t="s">
        <v>58</v>
      </c>
      <c r="B369">
        <v>2016</v>
      </c>
      <c r="C369" t="s">
        <v>75</v>
      </c>
      <c r="D369">
        <v>0.05</v>
      </c>
    </row>
    <row r="370" spans="1:4" x14ac:dyDescent="0.45">
      <c r="A370" t="s">
        <v>91</v>
      </c>
      <c r="B370">
        <v>2016</v>
      </c>
      <c r="C370" t="s">
        <v>75</v>
      </c>
      <c r="D370">
        <v>0.69</v>
      </c>
    </row>
    <row r="371" spans="1:4" x14ac:dyDescent="0.45">
      <c r="A371" t="s">
        <v>32</v>
      </c>
      <c r="B371">
        <v>2017</v>
      </c>
      <c r="C371" t="s">
        <v>75</v>
      </c>
      <c r="D371">
        <v>0.15</v>
      </c>
    </row>
    <row r="372" spans="1:4" x14ac:dyDescent="0.45">
      <c r="A372" t="s">
        <v>34</v>
      </c>
      <c r="B372">
        <v>2017</v>
      </c>
      <c r="C372" t="s">
        <v>75</v>
      </c>
      <c r="D372">
        <v>0.5</v>
      </c>
    </row>
    <row r="373" spans="1:4" x14ac:dyDescent="0.45">
      <c r="A373" t="s">
        <v>36</v>
      </c>
      <c r="B373">
        <v>2017</v>
      </c>
      <c r="C373" t="s">
        <v>75</v>
      </c>
      <c r="D373">
        <v>1.82</v>
      </c>
    </row>
    <row r="374" spans="1:4" x14ac:dyDescent="0.45">
      <c r="A374" t="s">
        <v>56</v>
      </c>
      <c r="B374">
        <v>2017</v>
      </c>
      <c r="C374" t="s">
        <v>75</v>
      </c>
      <c r="D374">
        <v>5.43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</row>
    <row r="377" spans="1:4" x14ac:dyDescent="0.45">
      <c r="A377" t="s">
        <v>32</v>
      </c>
      <c r="B377">
        <v>2017</v>
      </c>
      <c r="C377" t="s">
        <v>75</v>
      </c>
      <c r="D377">
        <v>0.99</v>
      </c>
    </row>
    <row r="378" spans="1:4" x14ac:dyDescent="0.45">
      <c r="A378" t="s">
        <v>58</v>
      </c>
      <c r="B378">
        <v>2017</v>
      </c>
      <c r="C378" t="s">
        <v>75</v>
      </c>
      <c r="D378">
        <v>7.0000000000000007E-2</v>
      </c>
    </row>
    <row r="379" spans="1:4" x14ac:dyDescent="0.45">
      <c r="A379" t="s">
        <v>91</v>
      </c>
      <c r="B379">
        <v>2017</v>
      </c>
      <c r="C379" t="s">
        <v>75</v>
      </c>
      <c r="D379">
        <v>0.69</v>
      </c>
    </row>
    <row r="380" spans="1:4" x14ac:dyDescent="0.45">
      <c r="A380" t="s">
        <v>32</v>
      </c>
      <c r="B380">
        <v>2018</v>
      </c>
      <c r="C380" t="s">
        <v>75</v>
      </c>
      <c r="D380">
        <v>0.15</v>
      </c>
    </row>
    <row r="381" spans="1:4" x14ac:dyDescent="0.45">
      <c r="A381" t="s">
        <v>34</v>
      </c>
      <c r="B381">
        <v>2018</v>
      </c>
      <c r="C381" t="s">
        <v>75</v>
      </c>
      <c r="D381">
        <v>0.5</v>
      </c>
    </row>
    <row r="382" spans="1:4" x14ac:dyDescent="0.45">
      <c r="A382" t="s">
        <v>36</v>
      </c>
      <c r="B382">
        <v>2018</v>
      </c>
      <c r="C382" t="s">
        <v>75</v>
      </c>
      <c r="D382">
        <v>1.82</v>
      </c>
    </row>
    <row r="383" spans="1:4" x14ac:dyDescent="0.45">
      <c r="A383" t="s">
        <v>56</v>
      </c>
      <c r="B383">
        <v>2018</v>
      </c>
      <c r="C383" t="s">
        <v>75</v>
      </c>
      <c r="D383">
        <v>5.43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</row>
    <row r="386" spans="1:4" x14ac:dyDescent="0.45">
      <c r="A386" t="s">
        <v>32</v>
      </c>
      <c r="B386">
        <v>2018</v>
      </c>
      <c r="C386" t="s">
        <v>75</v>
      </c>
      <c r="D386">
        <v>1.01</v>
      </c>
    </row>
    <row r="387" spans="1:4" x14ac:dyDescent="0.45">
      <c r="A387" t="s">
        <v>58</v>
      </c>
      <c r="B387">
        <v>2018</v>
      </c>
      <c r="C387" t="s">
        <v>75</v>
      </c>
      <c r="D387">
        <v>0.09</v>
      </c>
    </row>
    <row r="388" spans="1:4" x14ac:dyDescent="0.45">
      <c r="A388" t="s">
        <v>91</v>
      </c>
      <c r="B388">
        <v>2018</v>
      </c>
      <c r="C388" t="s">
        <v>75</v>
      </c>
      <c r="D388">
        <v>0.69</v>
      </c>
    </row>
    <row r="389" spans="1:4" x14ac:dyDescent="0.45">
      <c r="A389" t="s">
        <v>32</v>
      </c>
      <c r="B389">
        <v>2019</v>
      </c>
      <c r="C389" t="s">
        <v>75</v>
      </c>
      <c r="D389">
        <v>0.15</v>
      </c>
    </row>
    <row r="390" spans="1:4" x14ac:dyDescent="0.45">
      <c r="A390" t="s">
        <v>34</v>
      </c>
      <c r="B390">
        <v>2019</v>
      </c>
      <c r="C390" t="s">
        <v>75</v>
      </c>
      <c r="D390">
        <v>0.5</v>
      </c>
    </row>
    <row r="391" spans="1:4" x14ac:dyDescent="0.45">
      <c r="A391" t="s">
        <v>36</v>
      </c>
      <c r="B391">
        <v>2019</v>
      </c>
      <c r="C391" t="s">
        <v>75</v>
      </c>
      <c r="D391">
        <v>1.82</v>
      </c>
    </row>
    <row r="392" spans="1:4" x14ac:dyDescent="0.45">
      <c r="A392" t="s">
        <v>56</v>
      </c>
      <c r="B392">
        <v>2019</v>
      </c>
      <c r="C392" t="s">
        <v>75</v>
      </c>
      <c r="D392">
        <v>5.44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</row>
    <row r="395" spans="1:4" x14ac:dyDescent="0.45">
      <c r="A395" t="s">
        <v>32</v>
      </c>
      <c r="B395">
        <v>2019</v>
      </c>
      <c r="C395" t="s">
        <v>75</v>
      </c>
      <c r="D395">
        <v>1.01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0.69</v>
      </c>
    </row>
    <row r="398" spans="1:4" x14ac:dyDescent="0.45">
      <c r="A398" t="s">
        <v>32</v>
      </c>
      <c r="B398">
        <v>2020</v>
      </c>
      <c r="C398" t="s">
        <v>75</v>
      </c>
      <c r="D398">
        <v>0.14000000000000001</v>
      </c>
    </row>
    <row r="399" spans="1:4" x14ac:dyDescent="0.45">
      <c r="A399" t="s">
        <v>34</v>
      </c>
      <c r="B399">
        <v>2020</v>
      </c>
      <c r="C399" t="s">
        <v>75</v>
      </c>
      <c r="D399">
        <v>0.5</v>
      </c>
    </row>
    <row r="400" spans="1:4" x14ac:dyDescent="0.45">
      <c r="A400" t="s">
        <v>36</v>
      </c>
      <c r="B400">
        <v>2020</v>
      </c>
      <c r="C400" t="s">
        <v>75</v>
      </c>
      <c r="D400">
        <v>1.92</v>
      </c>
    </row>
    <row r="401" spans="1:4" x14ac:dyDescent="0.45">
      <c r="A401" t="s">
        <v>56</v>
      </c>
      <c r="B401">
        <v>2020</v>
      </c>
      <c r="C401" t="s">
        <v>75</v>
      </c>
      <c r="D401">
        <v>5.44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</row>
    <row r="404" spans="1:4" x14ac:dyDescent="0.45">
      <c r="A404" t="s">
        <v>32</v>
      </c>
      <c r="B404">
        <v>2020</v>
      </c>
      <c r="C404" t="s">
        <v>75</v>
      </c>
      <c r="D404">
        <v>1.04</v>
      </c>
    </row>
    <row r="405" spans="1:4" x14ac:dyDescent="0.45">
      <c r="A405" t="s">
        <v>58</v>
      </c>
      <c r="B405">
        <v>2020</v>
      </c>
      <c r="C405" t="s">
        <v>75</v>
      </c>
      <c r="D405">
        <v>0.14000000000000001</v>
      </c>
    </row>
    <row r="406" spans="1:4" x14ac:dyDescent="0.45">
      <c r="A406" t="s">
        <v>91</v>
      </c>
      <c r="B406">
        <v>2020</v>
      </c>
      <c r="C406" t="s">
        <v>75</v>
      </c>
      <c r="D406">
        <v>0.69</v>
      </c>
    </row>
    <row r="407" spans="1:4" x14ac:dyDescent="0.45">
      <c r="A407" t="s">
        <v>32</v>
      </c>
      <c r="B407">
        <v>2021</v>
      </c>
      <c r="C407" t="s">
        <v>75</v>
      </c>
      <c r="D407">
        <v>0.14000000000000001</v>
      </c>
    </row>
    <row r="408" spans="1:4" x14ac:dyDescent="0.45">
      <c r="A408" t="s">
        <v>34</v>
      </c>
      <c r="B408">
        <v>2021</v>
      </c>
      <c r="C408" t="s">
        <v>75</v>
      </c>
      <c r="D408">
        <v>0.5</v>
      </c>
    </row>
    <row r="409" spans="1:4" x14ac:dyDescent="0.45">
      <c r="A409" t="s">
        <v>36</v>
      </c>
      <c r="B409">
        <v>2021</v>
      </c>
      <c r="C409" t="s">
        <v>75</v>
      </c>
      <c r="D409">
        <v>1.92</v>
      </c>
    </row>
    <row r="410" spans="1:4" x14ac:dyDescent="0.45">
      <c r="A410" t="s">
        <v>56</v>
      </c>
      <c r="B410">
        <v>2021</v>
      </c>
      <c r="C410" t="s">
        <v>75</v>
      </c>
      <c r="D410">
        <v>5.44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</row>
    <row r="413" spans="1:4" x14ac:dyDescent="0.45">
      <c r="A413" t="s">
        <v>32</v>
      </c>
      <c r="B413">
        <v>2021</v>
      </c>
      <c r="C413" t="s">
        <v>75</v>
      </c>
      <c r="D413">
        <v>1.04</v>
      </c>
    </row>
    <row r="414" spans="1:4" x14ac:dyDescent="0.45">
      <c r="A414" t="s">
        <v>58</v>
      </c>
      <c r="B414">
        <v>2021</v>
      </c>
      <c r="C414" t="s">
        <v>75</v>
      </c>
      <c r="D414">
        <v>0.19</v>
      </c>
    </row>
    <row r="415" spans="1:4" x14ac:dyDescent="0.45">
      <c r="A415" t="s">
        <v>91</v>
      </c>
      <c r="B415">
        <v>2021</v>
      </c>
      <c r="C415" t="s">
        <v>75</v>
      </c>
      <c r="D415">
        <v>0.91</v>
      </c>
    </row>
    <row r="416" spans="1:4" x14ac:dyDescent="0.45">
      <c r="A416" t="s">
        <v>32</v>
      </c>
      <c r="B416">
        <v>2022</v>
      </c>
      <c r="C416" t="s">
        <v>75</v>
      </c>
      <c r="D416">
        <v>0.14000000000000001</v>
      </c>
    </row>
    <row r="417" spans="1:4" x14ac:dyDescent="0.45">
      <c r="A417" t="s">
        <v>34</v>
      </c>
      <c r="B417">
        <v>2022</v>
      </c>
      <c r="C417" t="s">
        <v>75</v>
      </c>
      <c r="D417">
        <v>0.5</v>
      </c>
    </row>
    <row r="418" spans="1:4" x14ac:dyDescent="0.45">
      <c r="A418" t="s">
        <v>36</v>
      </c>
      <c r="B418">
        <v>2022</v>
      </c>
      <c r="C418" t="s">
        <v>75</v>
      </c>
      <c r="D418">
        <v>1.92</v>
      </c>
    </row>
    <row r="419" spans="1:4" x14ac:dyDescent="0.45">
      <c r="A419" t="s">
        <v>56</v>
      </c>
      <c r="B419">
        <v>2022</v>
      </c>
      <c r="C419" t="s">
        <v>75</v>
      </c>
      <c r="D419">
        <v>5.68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</row>
    <row r="422" spans="1:4" x14ac:dyDescent="0.45">
      <c r="A422" t="s">
        <v>32</v>
      </c>
      <c r="B422">
        <v>2022</v>
      </c>
      <c r="C422" t="s">
        <v>75</v>
      </c>
      <c r="D422">
        <v>1.05</v>
      </c>
    </row>
    <row r="423" spans="1:4" x14ac:dyDescent="0.45">
      <c r="A423" t="s">
        <v>58</v>
      </c>
      <c r="B423">
        <v>2022</v>
      </c>
      <c r="C423" t="s">
        <v>75</v>
      </c>
      <c r="D423">
        <v>0.27</v>
      </c>
    </row>
    <row r="424" spans="1:4" x14ac:dyDescent="0.45">
      <c r="A424" t="s">
        <v>91</v>
      </c>
      <c r="B424">
        <v>2022</v>
      </c>
      <c r="C424" t="s">
        <v>75</v>
      </c>
      <c r="D424">
        <v>0.99</v>
      </c>
    </row>
    <row r="425" spans="1:4" x14ac:dyDescent="0.45">
      <c r="A425" t="s">
        <v>32</v>
      </c>
      <c r="B425">
        <v>2023</v>
      </c>
      <c r="C425" t="s">
        <v>75</v>
      </c>
      <c r="D425">
        <v>0.14000000000000001</v>
      </c>
    </row>
    <row r="426" spans="1:4" x14ac:dyDescent="0.45">
      <c r="A426" t="s">
        <v>34</v>
      </c>
      <c r="B426">
        <v>2023</v>
      </c>
      <c r="C426" t="s">
        <v>75</v>
      </c>
      <c r="D426">
        <v>0.5</v>
      </c>
    </row>
    <row r="427" spans="1:4" x14ac:dyDescent="0.45">
      <c r="A427" t="s">
        <v>36</v>
      </c>
      <c r="B427">
        <v>2023</v>
      </c>
      <c r="C427" t="s">
        <v>75</v>
      </c>
      <c r="D427">
        <v>1.92</v>
      </c>
    </row>
    <row r="428" spans="1:4" x14ac:dyDescent="0.45">
      <c r="A428" t="s">
        <v>56</v>
      </c>
      <c r="B428">
        <v>2023</v>
      </c>
      <c r="C428" t="s">
        <v>75</v>
      </c>
      <c r="D428">
        <v>5.68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</row>
    <row r="431" spans="1:4" x14ac:dyDescent="0.45">
      <c r="A431" t="s">
        <v>32</v>
      </c>
      <c r="B431">
        <v>2023</v>
      </c>
      <c r="C431" t="s">
        <v>75</v>
      </c>
      <c r="D431">
        <v>1.05</v>
      </c>
    </row>
    <row r="432" spans="1:4" x14ac:dyDescent="0.45">
      <c r="A432" t="s">
        <v>58</v>
      </c>
      <c r="B432">
        <v>2023</v>
      </c>
      <c r="C432" t="s">
        <v>75</v>
      </c>
      <c r="D432">
        <v>0.37</v>
      </c>
    </row>
    <row r="433" spans="1:4" x14ac:dyDescent="0.45">
      <c r="A433" t="s">
        <v>91</v>
      </c>
      <c r="B433">
        <v>2023</v>
      </c>
      <c r="C433" t="s">
        <v>75</v>
      </c>
      <c r="D433">
        <v>1.06</v>
      </c>
    </row>
    <row r="434" spans="1:4" x14ac:dyDescent="0.45">
      <c r="A434" t="s">
        <v>32</v>
      </c>
      <c r="B434">
        <v>2000</v>
      </c>
      <c r="C434" t="s">
        <v>76</v>
      </c>
      <c r="D434">
        <v>0.18</v>
      </c>
    </row>
    <row r="435" spans="1:4" x14ac:dyDescent="0.45">
      <c r="A435" t="s">
        <v>34</v>
      </c>
      <c r="B435">
        <v>2000</v>
      </c>
      <c r="C435" t="s">
        <v>76</v>
      </c>
      <c r="D435">
        <v>0.89</v>
      </c>
    </row>
    <row r="436" spans="1:4" x14ac:dyDescent="0.45">
      <c r="A436" t="s">
        <v>36</v>
      </c>
      <c r="B436">
        <v>2000</v>
      </c>
      <c r="C436" t="s">
        <v>76</v>
      </c>
      <c r="D436">
        <v>5.09</v>
      </c>
    </row>
    <row r="437" spans="1:4" x14ac:dyDescent="0.45">
      <c r="A437" t="s">
        <v>56</v>
      </c>
      <c r="B437">
        <v>2000</v>
      </c>
      <c r="C437" t="s">
        <v>76</v>
      </c>
      <c r="D437">
        <v>0.56999999999999995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0.36</v>
      </c>
    </row>
    <row r="440" spans="1:4" x14ac:dyDescent="0.45">
      <c r="A440" t="s">
        <v>32</v>
      </c>
      <c r="B440">
        <v>2000</v>
      </c>
      <c r="C440" t="s">
        <v>76</v>
      </c>
      <c r="D440">
        <v>0.1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0.16</v>
      </c>
    </row>
    <row r="444" spans="1:4" x14ac:dyDescent="0.45">
      <c r="A444" t="s">
        <v>34</v>
      </c>
      <c r="B444">
        <v>2001</v>
      </c>
      <c r="C444" t="s">
        <v>76</v>
      </c>
      <c r="D444">
        <v>1.36</v>
      </c>
    </row>
    <row r="445" spans="1:4" x14ac:dyDescent="0.45">
      <c r="A445" t="s">
        <v>36</v>
      </c>
      <c r="B445">
        <v>2001</v>
      </c>
      <c r="C445" t="s">
        <v>76</v>
      </c>
      <c r="D445">
        <v>6.55</v>
      </c>
    </row>
    <row r="446" spans="1:4" x14ac:dyDescent="0.45">
      <c r="A446" t="s">
        <v>56</v>
      </c>
      <c r="B446">
        <v>2001</v>
      </c>
      <c r="C446" t="s">
        <v>76</v>
      </c>
      <c r="D446">
        <v>0.51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0.39</v>
      </c>
    </row>
    <row r="449" spans="1:4" x14ac:dyDescent="0.45">
      <c r="A449" t="s">
        <v>32</v>
      </c>
      <c r="B449">
        <v>2001</v>
      </c>
      <c r="C449" t="s">
        <v>76</v>
      </c>
      <c r="D449">
        <v>0.1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0.13</v>
      </c>
    </row>
    <row r="453" spans="1:4" x14ac:dyDescent="0.45">
      <c r="A453" t="s">
        <v>34</v>
      </c>
      <c r="B453">
        <v>2002</v>
      </c>
      <c r="C453" t="s">
        <v>76</v>
      </c>
      <c r="D453">
        <v>1.33</v>
      </c>
    </row>
    <row r="454" spans="1:4" x14ac:dyDescent="0.45">
      <c r="A454" t="s">
        <v>36</v>
      </c>
      <c r="B454">
        <v>2002</v>
      </c>
      <c r="C454" t="s">
        <v>76</v>
      </c>
      <c r="D454">
        <v>5.46</v>
      </c>
    </row>
    <row r="455" spans="1:4" x14ac:dyDescent="0.45">
      <c r="A455" t="s">
        <v>56</v>
      </c>
      <c r="B455">
        <v>2002</v>
      </c>
      <c r="C455" t="s">
        <v>76</v>
      </c>
      <c r="D455">
        <v>0.57999999999999996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0.37</v>
      </c>
    </row>
    <row r="458" spans="1:4" x14ac:dyDescent="0.45">
      <c r="A458" t="s">
        <v>32</v>
      </c>
      <c r="B458">
        <v>2002</v>
      </c>
      <c r="C458" t="s">
        <v>76</v>
      </c>
      <c r="D458">
        <v>0.1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0.12</v>
      </c>
    </row>
    <row r="462" spans="1:4" x14ac:dyDescent="0.45">
      <c r="A462" t="s">
        <v>34</v>
      </c>
      <c r="B462">
        <v>2003</v>
      </c>
      <c r="C462" t="s">
        <v>76</v>
      </c>
      <c r="D462">
        <v>2.92</v>
      </c>
    </row>
    <row r="463" spans="1:4" x14ac:dyDescent="0.45">
      <c r="A463" t="s">
        <v>36</v>
      </c>
      <c r="B463">
        <v>2003</v>
      </c>
      <c r="C463" t="s">
        <v>76</v>
      </c>
      <c r="D463">
        <v>5.23</v>
      </c>
    </row>
    <row r="464" spans="1:4" x14ac:dyDescent="0.45">
      <c r="A464" t="s">
        <v>56</v>
      </c>
      <c r="B464">
        <v>2003</v>
      </c>
      <c r="C464" t="s">
        <v>76</v>
      </c>
      <c r="D464">
        <v>0.56000000000000005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0.45</v>
      </c>
    </row>
    <row r="467" spans="1:4" x14ac:dyDescent="0.45">
      <c r="A467" t="s">
        <v>32</v>
      </c>
      <c r="B467">
        <v>2003</v>
      </c>
      <c r="C467" t="s">
        <v>76</v>
      </c>
      <c r="D467">
        <v>0.1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0.14000000000000001</v>
      </c>
    </row>
    <row r="471" spans="1:4" x14ac:dyDescent="0.45">
      <c r="A471" t="s">
        <v>34</v>
      </c>
      <c r="B471">
        <v>2004</v>
      </c>
      <c r="C471" t="s">
        <v>76</v>
      </c>
      <c r="D471">
        <v>3.66</v>
      </c>
    </row>
    <row r="472" spans="1:4" x14ac:dyDescent="0.45">
      <c r="A472" t="s">
        <v>36</v>
      </c>
      <c r="B472">
        <v>2004</v>
      </c>
      <c r="C472" t="s">
        <v>76</v>
      </c>
      <c r="D472">
        <v>3.69</v>
      </c>
    </row>
    <row r="473" spans="1:4" x14ac:dyDescent="0.45">
      <c r="A473" t="s">
        <v>56</v>
      </c>
      <c r="B473">
        <v>2004</v>
      </c>
      <c r="C473" t="s">
        <v>76</v>
      </c>
      <c r="D473">
        <v>0.64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0.45</v>
      </c>
    </row>
    <row r="476" spans="1:4" x14ac:dyDescent="0.45">
      <c r="A476" t="s">
        <v>32</v>
      </c>
      <c r="B476">
        <v>2004</v>
      </c>
      <c r="C476" t="s">
        <v>76</v>
      </c>
      <c r="D476">
        <v>0.1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0.15</v>
      </c>
    </row>
    <row r="480" spans="1:4" x14ac:dyDescent="0.45">
      <c r="A480" t="s">
        <v>34</v>
      </c>
      <c r="B480">
        <v>2005</v>
      </c>
      <c r="C480" t="s">
        <v>76</v>
      </c>
      <c r="D480">
        <v>4.6500000000000004</v>
      </c>
    </row>
    <row r="481" spans="1:4" x14ac:dyDescent="0.45">
      <c r="A481" t="s">
        <v>36</v>
      </c>
      <c r="B481">
        <v>2005</v>
      </c>
      <c r="C481" t="s">
        <v>76</v>
      </c>
      <c r="D481">
        <v>4.99</v>
      </c>
    </row>
    <row r="482" spans="1:4" x14ac:dyDescent="0.45">
      <c r="A482" t="s">
        <v>56</v>
      </c>
      <c r="B482">
        <v>2005</v>
      </c>
      <c r="C482" t="s">
        <v>76</v>
      </c>
      <c r="D482">
        <v>0.55000000000000004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0.4</v>
      </c>
    </row>
    <row r="485" spans="1:4" x14ac:dyDescent="0.45">
      <c r="A485" t="s">
        <v>32</v>
      </c>
      <c r="B485">
        <v>2005</v>
      </c>
      <c r="C485" t="s">
        <v>76</v>
      </c>
      <c r="D485">
        <v>0.11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0.16</v>
      </c>
    </row>
    <row r="489" spans="1:4" x14ac:dyDescent="0.45">
      <c r="A489" t="s">
        <v>34</v>
      </c>
      <c r="B489">
        <v>2006</v>
      </c>
      <c r="C489" t="s">
        <v>76</v>
      </c>
      <c r="D489">
        <v>4.33</v>
      </c>
    </row>
    <row r="490" spans="1:4" x14ac:dyDescent="0.45">
      <c r="A490" t="s">
        <v>36</v>
      </c>
      <c r="B490">
        <v>2006</v>
      </c>
      <c r="C490" t="s">
        <v>76</v>
      </c>
      <c r="D490">
        <v>5.17</v>
      </c>
    </row>
    <row r="491" spans="1:4" x14ac:dyDescent="0.45">
      <c r="A491" t="s">
        <v>56</v>
      </c>
      <c r="B491">
        <v>2006</v>
      </c>
      <c r="C491" t="s">
        <v>76</v>
      </c>
      <c r="D491">
        <v>0.55000000000000004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0.43</v>
      </c>
    </row>
    <row r="494" spans="1:4" x14ac:dyDescent="0.45">
      <c r="A494" t="s">
        <v>32</v>
      </c>
      <c r="B494">
        <v>2006</v>
      </c>
      <c r="C494" t="s">
        <v>76</v>
      </c>
      <c r="D494">
        <v>0.12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0.01</v>
      </c>
    </row>
    <row r="497" spans="1:4" x14ac:dyDescent="0.45">
      <c r="A497" t="s">
        <v>32</v>
      </c>
      <c r="B497">
        <v>2007</v>
      </c>
      <c r="C497" t="s">
        <v>76</v>
      </c>
      <c r="D497">
        <v>0.16</v>
      </c>
    </row>
    <row r="498" spans="1:4" x14ac:dyDescent="0.45">
      <c r="A498" t="s">
        <v>34</v>
      </c>
      <c r="B498">
        <v>2007</v>
      </c>
      <c r="C498" t="s">
        <v>76</v>
      </c>
      <c r="D498">
        <v>2.2599999999999998</v>
      </c>
    </row>
    <row r="499" spans="1:4" x14ac:dyDescent="0.45">
      <c r="A499" t="s">
        <v>36</v>
      </c>
      <c r="B499">
        <v>2007</v>
      </c>
      <c r="C499" t="s">
        <v>76</v>
      </c>
      <c r="D499">
        <v>6.36</v>
      </c>
    </row>
    <row r="500" spans="1:4" x14ac:dyDescent="0.45">
      <c r="A500" t="s">
        <v>56</v>
      </c>
      <c r="B500">
        <v>2007</v>
      </c>
      <c r="C500" t="s">
        <v>76</v>
      </c>
      <c r="D500">
        <v>0.56000000000000005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0.4</v>
      </c>
    </row>
    <row r="503" spans="1:4" x14ac:dyDescent="0.45">
      <c r="A503" t="s">
        <v>32</v>
      </c>
      <c r="B503">
        <v>2007</v>
      </c>
      <c r="C503" t="s">
        <v>76</v>
      </c>
      <c r="D503">
        <v>0.13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0.01</v>
      </c>
    </row>
    <row r="506" spans="1:4" x14ac:dyDescent="0.45">
      <c r="A506" t="s">
        <v>32</v>
      </c>
      <c r="B506">
        <v>2008</v>
      </c>
      <c r="C506" t="s">
        <v>76</v>
      </c>
      <c r="D506">
        <v>0.16</v>
      </c>
    </row>
    <row r="507" spans="1:4" x14ac:dyDescent="0.45">
      <c r="A507" t="s">
        <v>34</v>
      </c>
      <c r="B507">
        <v>2008</v>
      </c>
      <c r="C507" t="s">
        <v>76</v>
      </c>
      <c r="D507">
        <v>3.76</v>
      </c>
    </row>
    <row r="508" spans="1:4" x14ac:dyDescent="0.45">
      <c r="A508" t="s">
        <v>36</v>
      </c>
      <c r="B508">
        <v>2008</v>
      </c>
      <c r="C508" t="s">
        <v>76</v>
      </c>
      <c r="D508">
        <v>5.69</v>
      </c>
    </row>
    <row r="509" spans="1:4" x14ac:dyDescent="0.45">
      <c r="A509" t="s">
        <v>56</v>
      </c>
      <c r="B509">
        <v>2008</v>
      </c>
      <c r="C509" t="s">
        <v>76</v>
      </c>
      <c r="D509">
        <v>0.53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0.47</v>
      </c>
    </row>
    <row r="512" spans="1:4" x14ac:dyDescent="0.45">
      <c r="A512" t="s">
        <v>32</v>
      </c>
      <c r="B512">
        <v>2008</v>
      </c>
      <c r="C512" t="s">
        <v>76</v>
      </c>
      <c r="D512">
        <v>0.15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0.01</v>
      </c>
    </row>
    <row r="515" spans="1:4" x14ac:dyDescent="0.45">
      <c r="A515" t="s">
        <v>32</v>
      </c>
      <c r="B515">
        <v>2009</v>
      </c>
      <c r="C515" t="s">
        <v>76</v>
      </c>
      <c r="D515">
        <v>0.16</v>
      </c>
    </row>
    <row r="516" spans="1:4" x14ac:dyDescent="0.45">
      <c r="A516" t="s">
        <v>34</v>
      </c>
      <c r="B516">
        <v>2009</v>
      </c>
      <c r="C516" t="s">
        <v>76</v>
      </c>
      <c r="D516">
        <v>2.42</v>
      </c>
    </row>
    <row r="517" spans="1:4" x14ac:dyDescent="0.45">
      <c r="A517" t="s">
        <v>36</v>
      </c>
      <c r="B517">
        <v>2009</v>
      </c>
      <c r="C517" t="s">
        <v>76</v>
      </c>
      <c r="D517">
        <v>4.7699999999999996</v>
      </c>
    </row>
    <row r="518" spans="1:4" x14ac:dyDescent="0.45">
      <c r="A518" t="s">
        <v>56</v>
      </c>
      <c r="B518">
        <v>2009</v>
      </c>
      <c r="C518" t="s">
        <v>76</v>
      </c>
      <c r="D518">
        <v>0.56999999999999995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0.38</v>
      </c>
    </row>
    <row r="521" spans="1:4" x14ac:dyDescent="0.45">
      <c r="A521" t="s">
        <v>32</v>
      </c>
      <c r="B521">
        <v>2009</v>
      </c>
      <c r="C521" t="s">
        <v>76</v>
      </c>
      <c r="D521">
        <v>0.17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0.01</v>
      </c>
    </row>
    <row r="524" spans="1:4" x14ac:dyDescent="0.45">
      <c r="A524" t="s">
        <v>32</v>
      </c>
      <c r="B524">
        <v>2010</v>
      </c>
      <c r="C524" t="s">
        <v>76</v>
      </c>
      <c r="D524">
        <v>0.17</v>
      </c>
    </row>
    <row r="525" spans="1:4" x14ac:dyDescent="0.45">
      <c r="A525" t="s">
        <v>34</v>
      </c>
      <c r="B525">
        <v>2010</v>
      </c>
      <c r="C525" t="s">
        <v>76</v>
      </c>
      <c r="D525">
        <v>1.26</v>
      </c>
    </row>
    <row r="526" spans="1:4" x14ac:dyDescent="0.45">
      <c r="A526" t="s">
        <v>36</v>
      </c>
      <c r="B526">
        <v>2010</v>
      </c>
      <c r="C526" t="s">
        <v>76</v>
      </c>
      <c r="D526">
        <v>5.3</v>
      </c>
    </row>
    <row r="527" spans="1:4" x14ac:dyDescent="0.45">
      <c r="A527" t="s">
        <v>56</v>
      </c>
      <c r="B527">
        <v>2010</v>
      </c>
      <c r="C527" t="s">
        <v>76</v>
      </c>
      <c r="D527">
        <v>0.57999999999999996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0.43</v>
      </c>
    </row>
    <row r="530" spans="1:4" x14ac:dyDescent="0.45">
      <c r="A530" t="s">
        <v>32</v>
      </c>
      <c r="B530">
        <v>2010</v>
      </c>
      <c r="C530" t="s">
        <v>76</v>
      </c>
      <c r="D530">
        <v>0.21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0.02</v>
      </c>
    </row>
    <row r="533" spans="1:4" x14ac:dyDescent="0.45">
      <c r="A533" t="s">
        <v>32</v>
      </c>
      <c r="B533">
        <v>2011</v>
      </c>
      <c r="C533" t="s">
        <v>76</v>
      </c>
      <c r="D533">
        <v>0.16</v>
      </c>
    </row>
    <row r="534" spans="1:4" x14ac:dyDescent="0.45">
      <c r="A534" t="s">
        <v>34</v>
      </c>
      <c r="B534">
        <v>2011</v>
      </c>
      <c r="C534" t="s">
        <v>76</v>
      </c>
      <c r="D534">
        <v>1.43</v>
      </c>
    </row>
    <row r="535" spans="1:4" x14ac:dyDescent="0.45">
      <c r="A535" t="s">
        <v>36</v>
      </c>
      <c r="B535">
        <v>2011</v>
      </c>
      <c r="C535" t="s">
        <v>76</v>
      </c>
      <c r="D535">
        <v>4.5</v>
      </c>
    </row>
    <row r="536" spans="1:4" x14ac:dyDescent="0.45">
      <c r="A536" t="s">
        <v>56</v>
      </c>
      <c r="B536">
        <v>2011</v>
      </c>
      <c r="C536" t="s">
        <v>76</v>
      </c>
      <c r="D536">
        <v>0.59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0.38</v>
      </c>
    </row>
    <row r="539" spans="1:4" x14ac:dyDescent="0.45">
      <c r="A539" t="s">
        <v>32</v>
      </c>
      <c r="B539">
        <v>2011</v>
      </c>
      <c r="C539" t="s">
        <v>76</v>
      </c>
      <c r="D539">
        <v>0.22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0.02</v>
      </c>
    </row>
    <row r="542" spans="1:4" x14ac:dyDescent="0.45">
      <c r="A542" t="s">
        <v>32</v>
      </c>
      <c r="B542">
        <v>2012</v>
      </c>
      <c r="C542" t="s">
        <v>76</v>
      </c>
      <c r="D542">
        <v>0.17</v>
      </c>
    </row>
    <row r="543" spans="1:4" x14ac:dyDescent="0.45">
      <c r="A543" t="s">
        <v>34</v>
      </c>
      <c r="B543">
        <v>2012</v>
      </c>
      <c r="C543" t="s">
        <v>76</v>
      </c>
      <c r="D543">
        <v>2.61</v>
      </c>
    </row>
    <row r="544" spans="1:4" x14ac:dyDescent="0.45">
      <c r="A544" t="s">
        <v>36</v>
      </c>
      <c r="B544">
        <v>2012</v>
      </c>
      <c r="C544" t="s">
        <v>76</v>
      </c>
      <c r="D544">
        <v>4.74</v>
      </c>
    </row>
    <row r="545" spans="1:4" x14ac:dyDescent="0.45">
      <c r="A545" t="s">
        <v>56</v>
      </c>
      <c r="B545">
        <v>2012</v>
      </c>
      <c r="C545" t="s">
        <v>76</v>
      </c>
      <c r="D545">
        <v>0.54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0.41</v>
      </c>
    </row>
    <row r="548" spans="1:4" x14ac:dyDescent="0.45">
      <c r="A548" t="s">
        <v>32</v>
      </c>
      <c r="B548">
        <v>2012</v>
      </c>
      <c r="C548" t="s">
        <v>76</v>
      </c>
      <c r="D548">
        <v>0.22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0.02</v>
      </c>
    </row>
    <row r="551" spans="1:4" x14ac:dyDescent="0.45">
      <c r="A551" t="s">
        <v>32</v>
      </c>
      <c r="B551">
        <v>2013</v>
      </c>
      <c r="C551" t="s">
        <v>76</v>
      </c>
      <c r="D551">
        <v>0.17</v>
      </c>
    </row>
    <row r="552" spans="1:4" x14ac:dyDescent="0.45">
      <c r="A552" t="s">
        <v>34</v>
      </c>
      <c r="B552">
        <v>2013</v>
      </c>
      <c r="C552" t="s">
        <v>76</v>
      </c>
      <c r="D552">
        <v>1.55</v>
      </c>
    </row>
    <row r="553" spans="1:4" x14ac:dyDescent="0.45">
      <c r="A553" t="s">
        <v>36</v>
      </c>
      <c r="B553">
        <v>2013</v>
      </c>
      <c r="C553" t="s">
        <v>76</v>
      </c>
      <c r="D553">
        <v>4.6500000000000004</v>
      </c>
    </row>
    <row r="554" spans="1:4" x14ac:dyDescent="0.45">
      <c r="A554" t="s">
        <v>56</v>
      </c>
      <c r="B554">
        <v>2013</v>
      </c>
      <c r="C554" t="s">
        <v>76</v>
      </c>
      <c r="D554">
        <v>0.54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0.42</v>
      </c>
    </row>
    <row r="557" spans="1:4" x14ac:dyDescent="0.45">
      <c r="A557" t="s">
        <v>32</v>
      </c>
      <c r="B557">
        <v>2013</v>
      </c>
      <c r="C557" t="s">
        <v>76</v>
      </c>
      <c r="D557">
        <v>0.23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0.02</v>
      </c>
    </row>
    <row r="560" spans="1:4" x14ac:dyDescent="0.45">
      <c r="A560" t="s">
        <v>32</v>
      </c>
      <c r="B560">
        <v>2014</v>
      </c>
      <c r="C560" t="s">
        <v>76</v>
      </c>
      <c r="D560">
        <v>0.17</v>
      </c>
    </row>
    <row r="561" spans="1:4" x14ac:dyDescent="0.45">
      <c r="A561" t="s">
        <v>34</v>
      </c>
      <c r="B561">
        <v>2014</v>
      </c>
      <c r="C561" t="s">
        <v>76</v>
      </c>
      <c r="D561">
        <v>1.19</v>
      </c>
    </row>
    <row r="562" spans="1:4" x14ac:dyDescent="0.45">
      <c r="A562" t="s">
        <v>36</v>
      </c>
      <c r="B562">
        <v>2014</v>
      </c>
      <c r="C562" t="s">
        <v>76</v>
      </c>
      <c r="D562">
        <v>3.77</v>
      </c>
    </row>
    <row r="563" spans="1:4" x14ac:dyDescent="0.45">
      <c r="A563" t="s">
        <v>56</v>
      </c>
      <c r="B563">
        <v>2014</v>
      </c>
      <c r="C563" t="s">
        <v>76</v>
      </c>
      <c r="D563">
        <v>0.56999999999999995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0.41</v>
      </c>
    </row>
    <row r="566" spans="1:4" x14ac:dyDescent="0.45">
      <c r="A566" t="s">
        <v>32</v>
      </c>
      <c r="B566">
        <v>2014</v>
      </c>
      <c r="C566" t="s">
        <v>76</v>
      </c>
      <c r="D566">
        <v>0.26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0.02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1.0900000000000001</v>
      </c>
    </row>
    <row r="571" spans="1:4" x14ac:dyDescent="0.45">
      <c r="A571" t="s">
        <v>36</v>
      </c>
      <c r="B571">
        <v>2015</v>
      </c>
      <c r="C571" t="s">
        <v>76</v>
      </c>
      <c r="D571">
        <v>3.66</v>
      </c>
    </row>
    <row r="572" spans="1:4" x14ac:dyDescent="0.45">
      <c r="A572" t="s">
        <v>56</v>
      </c>
      <c r="B572">
        <v>2015</v>
      </c>
      <c r="C572" t="s">
        <v>76</v>
      </c>
      <c r="D572">
        <v>0.57999999999999996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0.43</v>
      </c>
    </row>
    <row r="575" spans="1:4" x14ac:dyDescent="0.45">
      <c r="A575" t="s">
        <v>32</v>
      </c>
      <c r="B575">
        <v>2015</v>
      </c>
      <c r="C575" t="s">
        <v>76</v>
      </c>
      <c r="D575">
        <v>0.28000000000000003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0.02</v>
      </c>
    </row>
    <row r="578" spans="1:4" x14ac:dyDescent="0.45">
      <c r="A578" t="s">
        <v>32</v>
      </c>
      <c r="B578">
        <v>2016</v>
      </c>
      <c r="C578" t="s">
        <v>76</v>
      </c>
      <c r="D578">
        <v>0.18</v>
      </c>
    </row>
    <row r="579" spans="1:4" x14ac:dyDescent="0.45">
      <c r="A579" t="s">
        <v>34</v>
      </c>
      <c r="B579">
        <v>2016</v>
      </c>
      <c r="C579" t="s">
        <v>76</v>
      </c>
      <c r="D579">
        <v>0.39</v>
      </c>
    </row>
    <row r="580" spans="1:4" x14ac:dyDescent="0.45">
      <c r="A580" t="s">
        <v>36</v>
      </c>
      <c r="B580">
        <v>2016</v>
      </c>
      <c r="C580" t="s">
        <v>76</v>
      </c>
      <c r="D580">
        <v>3.07</v>
      </c>
    </row>
    <row r="581" spans="1:4" x14ac:dyDescent="0.45">
      <c r="A581" t="s">
        <v>56</v>
      </c>
      <c r="B581">
        <v>2016</v>
      </c>
      <c r="C581" t="s">
        <v>76</v>
      </c>
      <c r="D581">
        <v>0.61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0.4</v>
      </c>
    </row>
    <row r="584" spans="1:4" x14ac:dyDescent="0.45">
      <c r="A584" t="s">
        <v>32</v>
      </c>
      <c r="B584">
        <v>2016</v>
      </c>
      <c r="C584" t="s">
        <v>76</v>
      </c>
      <c r="D584">
        <v>0.28000000000000003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0.02</v>
      </c>
    </row>
    <row r="587" spans="1:4" x14ac:dyDescent="0.45">
      <c r="A587" t="s">
        <v>32</v>
      </c>
      <c r="B587">
        <v>2017</v>
      </c>
      <c r="C587" t="s">
        <v>76</v>
      </c>
      <c r="D587">
        <v>0.17</v>
      </c>
    </row>
    <row r="588" spans="1:4" x14ac:dyDescent="0.45">
      <c r="A588" t="s">
        <v>34</v>
      </c>
      <c r="B588">
        <v>2017</v>
      </c>
      <c r="C588" t="s">
        <v>76</v>
      </c>
      <c r="D588">
        <v>0.51</v>
      </c>
    </row>
    <row r="589" spans="1:4" x14ac:dyDescent="0.45">
      <c r="A589" t="s">
        <v>36</v>
      </c>
      <c r="B589">
        <v>2017</v>
      </c>
      <c r="C589" t="s">
        <v>76</v>
      </c>
      <c r="D589">
        <v>3.76</v>
      </c>
    </row>
    <row r="590" spans="1:4" x14ac:dyDescent="0.45">
      <c r="A590" t="s">
        <v>56</v>
      </c>
      <c r="B590">
        <v>2017</v>
      </c>
      <c r="C590" t="s">
        <v>76</v>
      </c>
      <c r="D590">
        <v>0.59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0.42</v>
      </c>
    </row>
    <row r="593" spans="1:4" x14ac:dyDescent="0.45">
      <c r="A593" t="s">
        <v>32</v>
      </c>
      <c r="B593">
        <v>2017</v>
      </c>
      <c r="C593" t="s">
        <v>76</v>
      </c>
      <c r="D593">
        <v>0.28999999999999998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0.02</v>
      </c>
    </row>
    <row r="596" spans="1:4" x14ac:dyDescent="0.45">
      <c r="A596" t="s">
        <v>32</v>
      </c>
      <c r="B596">
        <v>2018</v>
      </c>
      <c r="C596" t="s">
        <v>76</v>
      </c>
      <c r="D596">
        <v>0.17</v>
      </c>
    </row>
    <row r="597" spans="1:4" x14ac:dyDescent="0.45">
      <c r="A597" t="s">
        <v>34</v>
      </c>
      <c r="B597">
        <v>2018</v>
      </c>
      <c r="C597" t="s">
        <v>76</v>
      </c>
      <c r="D597">
        <v>0.87</v>
      </c>
    </row>
    <row r="598" spans="1:4" x14ac:dyDescent="0.45">
      <c r="A598" t="s">
        <v>36</v>
      </c>
      <c r="B598">
        <v>2018</v>
      </c>
      <c r="C598" t="s">
        <v>76</v>
      </c>
      <c r="D598">
        <v>3.05</v>
      </c>
    </row>
    <row r="599" spans="1:4" x14ac:dyDescent="0.45">
      <c r="A599" t="s">
        <v>56</v>
      </c>
      <c r="B599">
        <v>2018</v>
      </c>
      <c r="C599" t="s">
        <v>76</v>
      </c>
      <c r="D599">
        <v>0.62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0.41</v>
      </c>
    </row>
    <row r="602" spans="1:4" x14ac:dyDescent="0.45">
      <c r="A602" t="s">
        <v>32</v>
      </c>
      <c r="B602">
        <v>2018</v>
      </c>
      <c r="C602" t="s">
        <v>76</v>
      </c>
      <c r="D602">
        <v>0.28000000000000003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0.02</v>
      </c>
    </row>
    <row r="605" spans="1:4" x14ac:dyDescent="0.45">
      <c r="A605" t="s">
        <v>32</v>
      </c>
      <c r="B605">
        <v>2019</v>
      </c>
      <c r="C605" t="s">
        <v>76</v>
      </c>
      <c r="D605">
        <v>0.17</v>
      </c>
    </row>
    <row r="606" spans="1:4" x14ac:dyDescent="0.45">
      <c r="A606" t="s">
        <v>34</v>
      </c>
      <c r="B606">
        <v>2019</v>
      </c>
      <c r="C606" t="s">
        <v>76</v>
      </c>
      <c r="D606">
        <v>1.41</v>
      </c>
    </row>
    <row r="607" spans="1:4" x14ac:dyDescent="0.45">
      <c r="A607" t="s">
        <v>36</v>
      </c>
      <c r="B607">
        <v>2019</v>
      </c>
      <c r="C607" t="s">
        <v>76</v>
      </c>
      <c r="D607">
        <v>2.92</v>
      </c>
    </row>
    <row r="608" spans="1:4" x14ac:dyDescent="0.45">
      <c r="A608" t="s">
        <v>56</v>
      </c>
      <c r="B608">
        <v>2019</v>
      </c>
      <c r="C608" t="s">
        <v>76</v>
      </c>
      <c r="D608">
        <v>0.6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0.45</v>
      </c>
    </row>
    <row r="611" spans="1:4" x14ac:dyDescent="0.45">
      <c r="A611" t="s">
        <v>32</v>
      </c>
      <c r="B611">
        <v>2019</v>
      </c>
      <c r="C611" t="s">
        <v>76</v>
      </c>
      <c r="D611">
        <v>0.28999999999999998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0.02</v>
      </c>
    </row>
    <row r="614" spans="1:4" x14ac:dyDescent="0.45">
      <c r="A614" t="s">
        <v>32</v>
      </c>
      <c r="B614">
        <v>2020</v>
      </c>
      <c r="C614" t="s">
        <v>76</v>
      </c>
      <c r="D614">
        <v>0.17</v>
      </c>
    </row>
    <row r="615" spans="1:4" x14ac:dyDescent="0.45">
      <c r="A615" t="s">
        <v>34</v>
      </c>
      <c r="B615">
        <v>2020</v>
      </c>
      <c r="C615" t="s">
        <v>76</v>
      </c>
      <c r="D615">
        <v>1.51</v>
      </c>
    </row>
    <row r="616" spans="1:4" x14ac:dyDescent="0.45">
      <c r="A616" t="s">
        <v>36</v>
      </c>
      <c r="B616">
        <v>2020</v>
      </c>
      <c r="C616" t="s">
        <v>76</v>
      </c>
      <c r="D616">
        <v>3.2</v>
      </c>
    </row>
    <row r="617" spans="1:4" x14ac:dyDescent="0.45">
      <c r="A617" t="s">
        <v>56</v>
      </c>
      <c r="B617">
        <v>2020</v>
      </c>
      <c r="C617" t="s">
        <v>76</v>
      </c>
      <c r="D617">
        <v>0.56999999999999995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0.41</v>
      </c>
    </row>
    <row r="620" spans="1:4" x14ac:dyDescent="0.45">
      <c r="A620" t="s">
        <v>32</v>
      </c>
      <c r="B620">
        <v>2020</v>
      </c>
      <c r="C620" t="s">
        <v>76</v>
      </c>
      <c r="D620">
        <v>0.28999999999999998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0.02</v>
      </c>
    </row>
    <row r="623" spans="1:4" x14ac:dyDescent="0.45">
      <c r="A623" t="s">
        <v>32</v>
      </c>
      <c r="B623">
        <v>2021</v>
      </c>
      <c r="C623" t="s">
        <v>76</v>
      </c>
      <c r="D623">
        <v>0.37</v>
      </c>
    </row>
    <row r="624" spans="1:4" x14ac:dyDescent="0.45">
      <c r="A624" t="s">
        <v>34</v>
      </c>
      <c r="B624">
        <v>2021</v>
      </c>
      <c r="C624" t="s">
        <v>76</v>
      </c>
      <c r="D624">
        <v>2.2999999999999998</v>
      </c>
    </row>
    <row r="625" spans="1:4" x14ac:dyDescent="0.45">
      <c r="A625" t="s">
        <v>36</v>
      </c>
      <c r="B625">
        <v>2021</v>
      </c>
      <c r="C625" t="s">
        <v>76</v>
      </c>
      <c r="D625">
        <v>2.5</v>
      </c>
    </row>
    <row r="626" spans="1:4" x14ac:dyDescent="0.45">
      <c r="A626" t="s">
        <v>56</v>
      </c>
      <c r="B626">
        <v>2021</v>
      </c>
      <c r="C626" t="s">
        <v>76</v>
      </c>
      <c r="D626">
        <v>0.56999999999999995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0.47</v>
      </c>
    </row>
    <row r="629" spans="1:4" x14ac:dyDescent="0.45">
      <c r="A629" t="s">
        <v>32</v>
      </c>
      <c r="B629">
        <v>2021</v>
      </c>
      <c r="C629" t="s">
        <v>76</v>
      </c>
      <c r="D629">
        <v>0.3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0.02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1.01</v>
      </c>
    </row>
    <row r="634" spans="1:4" x14ac:dyDescent="0.45">
      <c r="A634" t="s">
        <v>36</v>
      </c>
      <c r="B634">
        <v>2022</v>
      </c>
      <c r="C634" t="s">
        <v>76</v>
      </c>
      <c r="D634">
        <v>2.2000000000000002</v>
      </c>
    </row>
    <row r="635" spans="1:4" x14ac:dyDescent="0.45">
      <c r="A635" t="s">
        <v>56</v>
      </c>
      <c r="B635">
        <v>2022</v>
      </c>
      <c r="C635" t="s">
        <v>76</v>
      </c>
      <c r="D635">
        <v>0.61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0.41</v>
      </c>
    </row>
    <row r="638" spans="1:4" x14ac:dyDescent="0.45">
      <c r="A638" t="s">
        <v>32</v>
      </c>
      <c r="B638">
        <v>2022</v>
      </c>
      <c r="C638" t="s">
        <v>76</v>
      </c>
      <c r="D638">
        <v>0.28999999999999998</v>
      </c>
    </row>
    <row r="639" spans="1:4" x14ac:dyDescent="0.45">
      <c r="A639" t="s">
        <v>58</v>
      </c>
      <c r="B639">
        <v>2022</v>
      </c>
      <c r="C639" t="s">
        <v>76</v>
      </c>
      <c r="D639">
        <v>0.01</v>
      </c>
    </row>
    <row r="640" spans="1:4" x14ac:dyDescent="0.45">
      <c r="A640" t="s">
        <v>91</v>
      </c>
      <c r="B640">
        <v>2022</v>
      </c>
      <c r="C640" t="s">
        <v>76</v>
      </c>
      <c r="D640">
        <v>0.03</v>
      </c>
    </row>
    <row r="641" spans="1:4" x14ac:dyDescent="0.45">
      <c r="A641" t="s">
        <v>32</v>
      </c>
      <c r="B641">
        <v>2023</v>
      </c>
      <c r="C641" t="s">
        <v>76</v>
      </c>
      <c r="D641">
        <v>0.34</v>
      </c>
    </row>
    <row r="642" spans="1:4" x14ac:dyDescent="0.45">
      <c r="A642" t="s">
        <v>34</v>
      </c>
      <c r="B642">
        <v>2023</v>
      </c>
      <c r="C642" t="s">
        <v>76</v>
      </c>
      <c r="D642">
        <v>1.57</v>
      </c>
    </row>
    <row r="643" spans="1:4" x14ac:dyDescent="0.45">
      <c r="A643" t="s">
        <v>36</v>
      </c>
      <c r="B643">
        <v>2023</v>
      </c>
      <c r="C643" t="s">
        <v>76</v>
      </c>
      <c r="D643">
        <v>1.75</v>
      </c>
    </row>
    <row r="644" spans="1:4" x14ac:dyDescent="0.45">
      <c r="A644" t="s">
        <v>56</v>
      </c>
      <c r="B644">
        <v>2023</v>
      </c>
      <c r="C644" t="s">
        <v>76</v>
      </c>
      <c r="D644">
        <v>0.62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0.41</v>
      </c>
    </row>
    <row r="647" spans="1:4" x14ac:dyDescent="0.45">
      <c r="A647" t="s">
        <v>32</v>
      </c>
      <c r="B647">
        <v>2023</v>
      </c>
      <c r="C647" t="s">
        <v>76</v>
      </c>
      <c r="D647">
        <v>0.28999999999999998</v>
      </c>
    </row>
    <row r="648" spans="1:4" x14ac:dyDescent="0.45">
      <c r="A648" t="s">
        <v>58</v>
      </c>
      <c r="B648">
        <v>2023</v>
      </c>
      <c r="C648" t="s">
        <v>76</v>
      </c>
      <c r="D648">
        <v>0.01</v>
      </c>
    </row>
    <row r="649" spans="1:4" x14ac:dyDescent="0.45">
      <c r="A649" t="s">
        <v>91</v>
      </c>
      <c r="B649">
        <v>2023</v>
      </c>
      <c r="C649" t="s">
        <v>76</v>
      </c>
      <c r="D649">
        <v>0.03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0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0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0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0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0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0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0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0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0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0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0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0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0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0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0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0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0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0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0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0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0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0</v>
      </c>
    </row>
    <row r="694" spans="1:4" x14ac:dyDescent="0.45">
      <c r="A694" t="s">
        <v>60</v>
      </c>
      <c r="B694">
        <v>2022</v>
      </c>
      <c r="C694" t="s">
        <v>74</v>
      </c>
      <c r="D694">
        <v>0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0.28200000000000003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0.3196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0.30080000000000001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0.35720000000000002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0.3196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0.32900000000000001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0.30080000000000001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0.33839999999999998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0.30080000000000001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0.29139999999999999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0.44180000000000003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0.376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0.376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0.13159999999999999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0.31019999999999998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0.27259999999999995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0.25380000000000003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0.11279999999999998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0.30080000000000001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5.6399999999999992E-2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9.4E-2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0.30080000000000001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7.5200000000000003E-2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0.23500000000000001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8.4599999999999995E-2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0.27259999999999995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3.7600000000000001E-2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0.32900000000000001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1.8800000000000001E-2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0.13159999999999999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9.4000000000000004E-3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0.24439999999999998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0.33839999999999998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1.8800000000000001E-2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0.188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0.3478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0.48949999999999999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0.48400000000000004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0.47849999999999998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0.50050000000000006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0.50600000000000001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0.49499999999999994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0.49499999999999994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0.33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0.24749999999999997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0.24200000000000002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0.24200000000000002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0.35200000000000004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0.35200000000000004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0.34650000000000003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0.1925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0.23099999999999998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0.20350000000000001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0.19799999999999998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0.13750000000000001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0.23649999999999999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0.17600000000000002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0.23649999999999999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0.27500000000000002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0.39050000000000001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0.40700000000000003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0.14299999999999999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0.29700000000000004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9.8999999999999991E-2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0.34099999999999997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0.43450000000000005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0.47299999999999998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0.61599999999999999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0.41249999999999998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0.154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0.51149999999999995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0.67649999999999999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0.49499999999999994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0.95150000000000001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0.33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0.64900000000000002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1.1000000000000001E-2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0.60499999999999998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1.034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0.60499999999999998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1.1000000000000001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0.34099999999999997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1.012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4.1999999999999996E-2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4.1999999999999996E-2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4.1999999999999996E-2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4.1999999999999996E-2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4.1999999999999996E-2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4.1999999999999996E-2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4.1999999999999996E-2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2.8000000000000001E-2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0.20895000000000002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0.19869999999999999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0.20544999999999999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0.20555000000000001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0.21405000000000002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0.2069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0.21615000000000001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1.1167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1.02085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1.0403500000000001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1.0448500000000001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1.1953499999999999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1.1461000000000001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1.2197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2.5803500000000001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1.18675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1.2282999999999999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1.2513999999999998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2.79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3.3548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3.7315500000000004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5.4227999999999996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1.244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1.62005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1.3785500000000002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4.0733499999999996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6.1961500000000003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6.6483499999999998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7.8970500000000001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1.1221000000000001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6.1335499999999996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2.8944000000000001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5.2749500000000005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8.20655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8.9504999999999999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9.2476500000000001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1.0388999999999999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9.835799999999999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3.19625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6.3895499999999998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8.6885499999999993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9.4164500000000011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8.8496500000000005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0.92524999999999991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11.352600000000001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4.0709499999999998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6.2490000000000006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8.0791500000000003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9.2463000000000015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7.9641000000000002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0.83455000000000001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12.048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4.8670499999999999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8.7344000000000008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7.3857499999999998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8.6695999999999991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6.3194999999999997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0.66215000000000002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12.474049999999998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3.9782500000000001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9.0838999999999999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6.4704999999999995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6.9811499999999995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4.633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0.41234999999999999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12.61875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3.2508999999999997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8.7404499999999992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5.62995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5.6123500000000002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3.7746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0.21479999999999999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13.4748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2.8638500000000002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8.8622499999999995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5.3163999999999998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4.3325500000000003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2.86605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0.1125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13.17295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1.4653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8.1256500000000003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4.0597000000000003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3.919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2.0321499999999997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1.5199999999999998E-2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14.40375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1.1129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7.5183999999999997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2.8574000000000002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3.5769500000000001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1.6215000000000002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7.7000000000000002E-3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12.274850000000001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0.69094999999999995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6.9884000000000004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1.5888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3.5325500000000001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1.3472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10.874700000000001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0.2661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6.5750000000000002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0.42010000000000003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3.5260499999999997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1.2025999999999999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8.2222000000000008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0.17194999999999999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5.8432499999999994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0.2414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3.33955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1.0725500000000001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5.7698499999999999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7.5850000000000001E-2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5.2373000000000003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7.0849999999999996E-2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3.1755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-20.73715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-21.296599999999998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-21.160450000000001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-21.078400000000002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-18.990449999999999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-21.076599999999999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-20.409399999999998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-11.90795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-13.2165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-11.4137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-12.147349999999999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-11.1455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-13.72855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-12.149699999999999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-28.404200000000003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-26.347999999999999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-22.79815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-24.4331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-35.090850000000003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-36.47775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-35.071300000000001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-43.381599999999999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-33.639250000000004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-32.232500000000002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-35.018950000000004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-50.395349999999993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-51.418499999999995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-53.195049999999995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-56.189400000000006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-35.950749999999999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-58.930350000000004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-52.66245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-62.816699999999997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-61.296149999999997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-65.201850000000007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-62.978999999999999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-38.008650000000003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-72.101500000000001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-62.65155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-71.135999999999996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-65.571449999999999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-74.319450000000003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-64.54965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-38.407849999999996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-79.603049999999996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-65.965450000000004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-74.004800000000003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-65.325099999999992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-79.635800000000003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-63.445799999999998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-40.016549999999995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-82.596699999999998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-66.938549999999992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-74.203599999999994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-64.821349999999995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-82.197699999999998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-61.793549999999996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-41.965949999999999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-82.141800000000003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-64.408749999999998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-73.971100000000007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-65.056150000000002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-79.144049999999993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-61.889850000000003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-43.501899999999999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-81.977149999999995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-63.475749999999998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-71.405000000000001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-65.374449999999996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-73.258849999999995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-61.932500000000005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-44.874849999999995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-82.389600000000002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-62.441950000000006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-69.190799999999996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-66.050600000000003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-67.396600000000007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-61.886700000000005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-47.838700000000003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-81.238200000000006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-63.876800000000003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-71.895199999999988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-66.721599999999995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-68.918549999999996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-61.827849999999998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-50.601050000000001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-81.499400000000009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-65.095250000000007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-74.691800000000001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-67.268500000000003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-70.46405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-62.642800000000001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-51.855450000000005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-79.442450000000008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-65.979050000000001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-72.741549999999989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-65.720050000000001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-68.449100000000001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-63.468649999999997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-52.855499999999999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-78.097899999999996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-66.780049999999989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-70.875399999999999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-64.227649999999997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-66.456299999999999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-61.218499999999999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-51.684449999999998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-73.255400000000009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-64.581199999999995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-71.384050000000002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-60.932699999999997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-67.613950000000003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-58.953049999999998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-50.364699999999999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-68.615049999999997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-62.322299999999998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-71.975250000000003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-57.588749999999997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-68.798100000000005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31.953800000000001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31.388649999999998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31.524250000000002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31.609300000000001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33.65605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31.611899999999999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32.271100000000004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33.366150000000005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32.591899999999995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32.886899999999997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33.031750000000002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34.318399999999997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32.007899999999999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33.338850000000001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32.863349999999997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36.324649999999998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36.779949999999999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37.315449999999998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27.4069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26.053600000000003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26.93515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24.917900000000003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36.18045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37.770099999999999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37.546599999999998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20.610199999999999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18.393700000000003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16.139900000000001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13.930149999999999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35.972849999999994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15.579450000000001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28.46275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14.778849999999998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10.654900000000001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6.9765499999999996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6.7973999999999997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35.049399999999999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5.0024499999999996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22.407150000000001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7.7364999999999995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6.8900500000000005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0.37124999999999997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4.7223500000000005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35.774050000000003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-0.8325499999999999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20.198250000000002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2.1806999999999999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7.5863500000000004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-2.5633499999999998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4.5444499999999994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34.066050000000004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-4.9155499999999996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10.9574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-3.46475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6.6456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-4.8825500000000002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4.4919500000000001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31.646850000000001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-7.9536499999999997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9.9313500000000001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-4.9212499999999997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4.6998499999999996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-4.9763000000000002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3.76715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29.597650000000002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-9.5880499999999991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9.1000499999999995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-5.2360000000000007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3.2394499999999997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-4.2535999999999996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3.0979000000000001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27.7117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-11.7988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8.3723499999999991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-5.9016999999999999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1.4235000000000002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-3.5501500000000004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2.4278500000000003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25.420349999999999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-11.962199999999999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7.62195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-5.4441499999999996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1.32745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-3.5776500000000002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1.7741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23.32995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-13.53745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7.0904999999999996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-5.0779499999999995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1.3585499999999999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-3.6260500000000002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0.84979999999999989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20.972750000000001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-11.6052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6.234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-4.8610499999999996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2.2762000000000002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-3.6624499999999998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-8.2550000000000012E-2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18.869350000000001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-10.383600000000001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5.4642499999999998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-4.7274000000000003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3.1414499999999999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-3.7211999999999996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-0.224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16.565100000000001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-7.7263000000000002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4.8595999999999995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-4.2712500000000002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2.9070499999999999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-3.5680999999999998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-0.35315000000000002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14.4069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-5.2717499999999999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4.3124000000000002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-3.8965500000000004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2.7193499999999999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-3.44475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5.3699999999999998E-2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5.5449999999999999E-2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5.4099999999999995E-2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5.4349999999999996E-2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5.885E-2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5.4550000000000001E-2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5.4599999999999996E-2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5.645E-2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5.7149999999999999E-2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5.6349999999999997E-2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5.6300000000000003E-2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5.7450000000000001E-2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5.6800000000000003E-2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5.7999999999999996E-2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5.7099999999999998E-2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5.8900000000000001E-2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5.7499999999999996E-2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5.8499999999999996E-2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5.5349999999999996E-2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5.6250000000000001E-2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5.8700000000000002E-2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6.4349999999999991E-2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6.275E-2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6.0950000000000004E-2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6.1700000000000005E-2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5.4800000000000001E-2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6.9449999999999998E-2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7.7850000000000003E-2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8.4100000000000008E-2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7.1750000000000008E-2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8.660000000000001E-2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7.1500000000000008E-2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6.1800000000000001E-2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9.0150000000000008E-2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9.6149999999999999E-2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9.7700000000000009E-2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7.9000000000000001E-2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9.9650000000000002E-2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8.6050000000000001E-2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6.770000000000001E-2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0.1004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0.1133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0.10345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8.2449999999999996E-2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0.10155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8.7749999999999995E-2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7.0250000000000007E-2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0.10034999999999999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0.11785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0.10065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8.4749999999999992E-2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0.10339999999999999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9.0899999999999995E-2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6.5350000000000005E-2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9.1700000000000004E-2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0.11545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8.635000000000001E-2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8.2350000000000007E-2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9.2349999999999988E-2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8.3449999999999996E-2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6.0299999999999999E-2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8.2600000000000007E-2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0.10245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8.3449999999999996E-2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7.9050000000000009E-2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8.7150000000000005E-2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8.0999999999999989E-2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5.6249999999999994E-2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8.0549999999999997E-2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9.7500000000000003E-2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8.0399999999999999E-2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7.5600000000000001E-2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8.2350000000000007E-2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7.8199999999999992E-2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5.2049999999999999E-2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7.8200000000000006E-2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9.2499999999999999E-2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7.7050000000000007E-2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7.2649999999999992E-2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7.9250000000000001E-2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7.569999999999999E-2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4.8899999999999999E-2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7.5249999999999997E-2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8.8099999999999998E-2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7.4149999999999994E-2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6.9699999999999998E-2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7.6200000000000004E-2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7.3149999999999993E-2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4.5950000000000005E-2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7.22E-2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8.405E-2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7.0849999999999996E-2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6.6750000000000004E-2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7.2050000000000003E-2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6.9349999999999995E-2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4.3649999999999994E-2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6.8599999999999994E-2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8.0199999999999994E-2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6.7599999999999993E-2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6.3750000000000001E-2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6.8099999999999994E-2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6.5700000000000008E-2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4.1499999999999995E-2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6.5250000000000002E-2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7.6649999999999996E-2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6.3649999999999998E-2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6.0749999999999998E-2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6.4399999999999999E-2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6.2549999999999994E-2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3.8400000000000004E-2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6.2300000000000001E-2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7.195E-2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5.9950000000000003E-2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5.7999999999999996E-2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6.0950000000000004E-2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5.96E-2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3.5700000000000003E-2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5.9499999999999997E-2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6.7699999999999996E-2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8.4350000000000008E-2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8.6300000000000002E-2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8.5600000000000009E-2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8.6150000000000004E-2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8.8150000000000006E-2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8.5449999999999998E-2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8.5400000000000004E-2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8.6699999999999999E-2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8.9749999999999996E-2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8.8499999999999995E-2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8.9150000000000007E-2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9.5149999999999998E-2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8.8200000000000001E-2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8.7499999999999994E-2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9.1999999999999998E-2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9.5350000000000004E-2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9.3549999999999994E-2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9.4900000000000012E-2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9.4399999999999998E-2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9.2200000000000004E-2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9.085E-2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9.7449999999999995E-2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9.9449999999999997E-2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9.665E-2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9.955E-2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0.10115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0.10364999999999999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0.11219999999999999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0.11185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0.10630000000000001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0.10664999999999999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0.1076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0.11144999999999999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0.12265000000000001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0.13450000000000001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0.13105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0.11460000000000001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0.12640000000000001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0.11865000000000001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0.12445000000000001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0.13385000000000002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0.15229999999999999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0.13414999999999999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0.11260000000000001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0.13564999999999999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0.1195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0.12759999999999999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0.12535000000000002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0.15995000000000001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0.11945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0.1084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0.12540000000000001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0.11269999999999999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0.11929999999999999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0.1115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0.13545000000000001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0.11525000000000001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0.10869999999999999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0.1216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0.1116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0.1182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0.11025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0.13089999999999999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0.11565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0.1076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0.11924999999999999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0.1118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0.1152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0.11119999999999999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0.12940000000000002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0.1158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0.10635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0.1171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0.11169999999999999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0.1115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0.112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0.12739999999999999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0.1201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0.10979999999999999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0.12175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0.1164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0.1143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0.11615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0.13240000000000002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0.12405000000000001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0.1132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0.12620000000000001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0.12095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0.11660000000000001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0.12005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0.13719999999999999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0.12840000000000001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0.11735000000000001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0.12840000000000001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0.12375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0.11890000000000001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0.1234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0.14124999999999999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0.1326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0.12129999999999999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0.13055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0.12659999999999999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0.12075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0.12670000000000001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0.14510000000000001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0.13464999999999999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0.12459999999999999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0.13335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0.13005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0.12125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0.13040000000000002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0.14665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0.13690000000000002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0.12820000000000001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0.13645000000000002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0.13385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0.12215000000000001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0.13445000000000001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0.14845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5.9999999999999995E-4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5.9999999999999995E-4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5.9999999999999995E-4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5.9999999999999995E-4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5.9999999999999995E-4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5.9999999999999995E-4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5.9999999999999995E-4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2.5999999999999999E-3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2.8500000000000001E-3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2.9500000000000004E-3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3.15E-3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2.5999999999999999E-3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3.2000000000000002E-3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2.7000000000000001E-3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8.3999999999999995E-3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7.6500000000000005E-3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8.0499999999999999E-3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8.0999999999999996E-3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9.4999999999999998E-3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7.4999999999999997E-3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8.3999999999999995E-3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1.515E-2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1.2400000000000001E-2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1.345E-2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1.2549999999999999E-2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1.5800000000000002E-2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1.46E-2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1.8749999999999999E-2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2.6550000000000001E-2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1.7399999999999999E-2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2.1350000000000001E-2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2.035E-2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2.47E-2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2.3449999999999999E-2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3.1549999999999995E-2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3.4000000000000002E-2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2.145E-2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2.9850000000000002E-2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2.6700000000000002E-2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2.9899999999999999E-2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2.81E-2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3.95E-2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3.85E-2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2.5750000000000002E-2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3.4049999999999997E-2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3.0600000000000002E-2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3.2299999999999995E-2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3.1050000000000001E-2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4.3549999999999998E-2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4.1099999999999998E-2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3.005E-2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3.73E-2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3.4000000000000002E-2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3.8349999999999995E-2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3.27E-2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4.5850000000000002E-2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4.3249999999999997E-2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3.4099999999999998E-2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4.0349999999999997E-2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3.7000000000000005E-2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4.1249999999999995E-2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3.6000000000000004E-2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4.8850000000000005E-2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4.6300000000000001E-2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3.7250000000000005E-2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4.24E-2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3.9949999999999999E-2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4.2300000000000004E-2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3.9300000000000002E-2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5.1049999999999998E-2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4.9500000000000002E-2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4.0500000000000001E-2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4.4900000000000002E-2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4.2900000000000001E-2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4.3099999999999999E-2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4.2599999999999999E-2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5.33E-2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5.2500000000000005E-2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4.335E-2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4.7649999999999998E-2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4.5649999999999996E-2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4.4499999999999998E-2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4.5200000000000004E-2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5.6050000000000003E-2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5.57E-2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4.6350000000000002E-2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5.04E-2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4.845E-2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4.5850000000000002E-2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4.7850000000000004E-2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5.9150000000000001E-2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5.8900000000000001E-2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4.9449999999999994E-2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5.2749999999999998E-2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5.11E-2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4.7E-2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5.0599999999999999E-2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6.2200000000000005E-2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6.2100000000000002E-2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5.2449999999999997E-2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5.525E-2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5.3949999999999998E-2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4.8250000000000001E-2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5.3749999999999999E-2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6.5250000000000002E-2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6.5700000000000008E-2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5.595E-2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5.8249999999999996E-2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5.7499999999999996E-2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4.9799999999999997E-2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5.7149999999999999E-2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6.8750000000000006E-2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6.9349999999999995E-2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5.9399999999999994E-2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6.1249999999999999E-2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6.1199999999999997E-2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5.1449999999999996E-2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6.0499999999999998E-2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7.22E-2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7.7720500000000001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9.1586999999999996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6.6602499999999996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2.2931499999999998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2.3917000000000002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2.3685499999999999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1.5163500000000001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1.8179000000000001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1.52275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1.7825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5.2576499999999999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5.7725000000000009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5.1192500000000001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5.3309499999999996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5.21265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4.6886000000000001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5.0500000000000007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5.5383499999999994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5.3989500000000001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5.7312499999999993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5.3637499999999996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74.293300000000002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74.293300000000002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74.293300000000002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74.293300000000002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74.293300000000002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74.293300000000002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74.293300000000002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100.63615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100.30600000000001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100.30600000000001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100.30600000000001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34.24015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92.331250000000011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92.347399999999993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81.908249999999995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87.748149999999995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87.748149999999995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87.748149999999995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35.952500000000001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89.640350000000012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86.640299999999996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82.091899999999995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75.25415000000001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53.174350000000004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55.533199999999994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2.30355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92.385500000000008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92.847549999999998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90.412750000000003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88.014600000000002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98.822400000000002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92.234800000000007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1.4838499999999999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105.3052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92.438450000000003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92.622399999999999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99.351500000000001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124.02510000000001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108.12045000000001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3.6307999999999998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110.38435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98.306749999999994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118.21475000000001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113.07419999999999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126.8229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119.68615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1.2467999999999999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127.7315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108.36574999999999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134.30709999999999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122.97499999999999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165.49815000000001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141.904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78.421099999999996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145.02255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147.73585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201.67599999999999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190.70265000000001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255.15105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197.09139999999999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130.8836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225.43959999999998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225.85429999999999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245.5926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229.70760000000001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328.15460000000002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243.62145000000001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163.33404999999999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263.71559999999999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280.27679999999998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289.50925000000001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268.71249999999998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401.15819999999997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290.15139999999997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195.78455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301.99164999999999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334.69920000000002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302.67869999999999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265.19815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417.14115000000004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290.75750000000005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196.56639999999999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308.05250000000001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329.38329999999996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315.84815000000003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261.68380000000002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433.12400000000002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291.36365000000001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197.34829999999999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314.11329999999998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324.06735000000003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335.00319999999999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265.56029999999998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425.41969999999998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295.18164999999999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182.1729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301.22140000000002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320.14305000000002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354.15820000000002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269.43680000000001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417.71535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298.99959999999999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166.9975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288.32939999999996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316.21875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369.08179999999999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284.58394999999996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447.65665000000001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316.91060000000004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195.20920000000001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310.99599999999998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370.82939999999996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384.00545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299.73109999999997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477.59789999999998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334.82159999999999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223.42089999999999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333.66264999999999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425.44004999999999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2.5000000000000001E-3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2.7000000000000001E-3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2.5000000000000001E-3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2.5999999999999999E-3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3.3E-3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2.7000000000000001E-3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2.8999999999999998E-3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1.4E-3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1.6000000000000001E-3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1.4E-3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1.5E-3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1.8E-3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1.4E-3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1.6000000000000001E-3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1E-4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1.6000000000000001E-3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1.5E-3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1.6000000000000001E-3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1E-4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1E-4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1E-4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2.0000000000000001E-4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2.0000000000000001E-4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2.0000000000000001E-4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1E-4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1E-4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1E-4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1E-4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1.4999999999999999E-4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6.9999999999999999E-4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1.2000000000000001E-3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2.8500000000000001E-3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1.8E-3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1.9E-3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1.6999999999999999E-3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1.8E-3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2.3999999999999998E-3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1.9E-3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2.0999999999999999E-3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2.2000000000000001E-3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2.3999999999999998E-3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2.2000000000000001E-3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2.3999999999999998E-3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2.7000000000000001E-3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2.2000000000000001E-3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2.3E-3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1.6000000000000001E-3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3.3E-3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3.0000000000000001E-3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3.2000000000000002E-3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1.5E-3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1.1999999999999999E-3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1.1999999999999999E-3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2.0000000000000001E-4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3.3E-3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3.2000000000000002E-3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3.5999999999999999E-3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2.0000000000000001E-4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1E-4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2.0000000000000001E-4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1E-4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2.8999999999999998E-3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1.4E-3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1.6000000000000001E-3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0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1E-4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1E-4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2.9999999999999997E-4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2.3999999999999998E-3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2.0000000000000001E-4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6.9999999999999999E-4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2.0000000000000001E-4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2.0000000000000001E-4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2.0000000000000001E-4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1.6000000000000001E-3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2.0000000000000001E-4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1.6000000000000001E-3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1E-4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2.0000000000000001E-4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1E-4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1E-4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1.4E-3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1.5000000000000001E-4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1.3500000000000001E-3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5.0000000000000002E-5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1E-4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0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6.9999999999999999E-4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1E-4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0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8.0000000000000004E-4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5.0000000000000002E-5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1.5E-3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0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0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8.0000000000000004E-4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1.2999999999999999E-3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0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9.5E-4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9.5E-4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1.1000000000000001E-3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5.5000000000000003E-4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1.2499999999999998E-3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4.0000000000000002E-4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1.4E-3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1.4999999999999999E-4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1.5999999999999999E-3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2.5000000000000001E-4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1.8500000000000001E-3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2.5000000000000001E-4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4.0000000000000002E-4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4.0000000000000002E-4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4.0000000000000002E-4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4.0000000000000002E-4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4.0000000000000002E-4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4.0000000000000002E-4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4.0000000000000002E-4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2.9999999999999997E-4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2.9999999999999997E-4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2.9999999999999997E-4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2.9999999999999997E-4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2.9999999999999997E-4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0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8.9999999999999998E-4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8.9999999999999998E-4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8.9999999999999998E-4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8.9999999999999998E-4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1.1999999999999999E-3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8.9999999999999998E-4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1E-3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4.6499999999999996E-3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4.8500000000000001E-3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4.8999999999999998E-3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4.9499999999999995E-3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5.5499999999999994E-3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4.45E-3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5.1000000000000004E-3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9.7000000000000003E-3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8.0999999999999996E-3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8.150000000000001E-3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8.3000000000000001E-3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1.06E-2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1.0800000000000001E-2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1.345E-2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1.61E-2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1.0700000000000001E-2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1.1599999999999999E-2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1.0699999999999999E-2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1.5699999999999999E-2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1.9549999999999998E-2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2.4149999999999998E-2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2.0299999999999999E-2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1.2400000000000001E-2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1.7000000000000001E-2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1.3100000000000001E-2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2.1850000000000001E-2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2.495E-2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3.075E-2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2.1650000000000003E-2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1.37E-2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2.6099999999999998E-2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1.985E-2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2.0299999999999999E-2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2.845E-2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3.1899999999999998E-2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2.4050000000000002E-2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1.435E-2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3.7699999999999997E-2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2.7900000000000001E-2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1.8800000000000001E-2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3.5049999999999998E-2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3.5299999999999998E-2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2.8999999999999998E-2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1.355E-2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4.5950000000000005E-2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3.245E-2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1.83E-2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4.2499999999999996E-2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3.8900000000000004E-2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3.635E-2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1.4E-2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5.5750000000000001E-2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3.8599999999999995E-2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1.77E-2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4.82E-2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4.215E-2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3.3949999999999994E-2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1.5449999999999998E-2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5.8450000000000002E-2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3.7249999999999998E-2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1.6199999999999999E-2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4.58E-2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3.8400000000000004E-2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3.1099999999999999E-2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1.67E-2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6.2899999999999998E-2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3.5250000000000004E-2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1.5699999999999999E-2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4.6249999999999999E-2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3.3199999999999993E-2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2.9350000000000001E-2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2.18E-2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6.4950000000000008E-2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3.4350000000000006E-2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1.43E-2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4.6249999999999999E-2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3.2100000000000004E-2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2.7E-2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2.5950000000000001E-2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7.4450000000000002E-2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3.2799999999999996E-2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1.3100000000000001E-2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4.9750000000000003E-2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3.1449999999999999E-2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2.545E-2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3.09E-2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7.375000000000001E-2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3.1899999999999998E-2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1.2750000000000001E-2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4.725E-2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3.0849999999999999E-2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2.775E-2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3.4599999999999999E-2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7.7550000000000008E-2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3.0699999999999998E-2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1.24E-2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4.4549999999999999E-2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3.0599999999999999E-2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2.7049999999999998E-2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3.8150000000000003E-2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6.6799999999999998E-2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3.0199999999999998E-2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1.315E-2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4.1800000000000004E-2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2.8049999999999999E-2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2.6700000000000002E-2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4.0649999999999999E-2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5.6500000000000002E-2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3.0249999999999999E-2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1.38E-2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3.9300000000000002E-2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2.5849999999999998E-2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0.15920000000000001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0.4592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1.7038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3.4388000000000001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4.9157000000000002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5.1799999999999999E-2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4.87E-2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4.0899999999999999E-2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3.32E-2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2.86E-2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3.2599999999999997E-2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3.85E-2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8.7499999999999994E-2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8.7900000000000006E-2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8.9499999999999996E-2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9.2399999999999996E-2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0.1002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0.1118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0.13569999999999999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1.1000000000000001E-3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1.9E-3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3.3999999999999998E-3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5.5999999999999999E-3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1.49E-2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3.4599999999999999E-2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1.6000000000000001E-3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0.28200000000000003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0.30080000000000001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0.13159999999999999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0.48949999999999999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0.1925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0.23649999999999999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0.34099999999999997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0.51149999999999995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0.60499999999999998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4.1999999999999996E-2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-25.669899999999998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-7.0846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-14.2658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-14.997199999999999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-18.320399999999999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-27.259599999999999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-37.821399999999997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26.710699999999999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30.801100000000002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30.794899999999998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32.024999999999999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30.8355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23.407399999999999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14.057399999999999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5.2600000000000001E-2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4.8500000000000001E-2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4.0300000000000002E-2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3.4200000000000001E-2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2.9100000000000001E-2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3.0200000000000001E-2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3.0499999999999999E-2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8.7900000000000006E-2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9.0399999999999994E-2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9.0399999999999994E-2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9.3600000000000003E-2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0.10349999999999999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0.1152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0.13370000000000001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8.0000000000000004E-4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1.1000000000000001E-3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1.1999999999999999E-3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1.2999999999999999E-3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4.4000000000000003E-3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0.3196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0.33839999999999998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0.31019999999999998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0.30080000000000001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0.32900000000000001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0.33839999999999998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0.3478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0.48400000000000004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0.24749999999999997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0.23099999999999998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0.27500000000000002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0.43450000000000005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0.67649999999999999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1.034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4.1999999999999996E-2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-27.5793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-12.592499999999999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-17.167999999999999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-18.986499999999999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-19.072900000000001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-20.7668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-22.758500000000002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24.779199999999999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26.6812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29.900099999999998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30.595400000000001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33.125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34.526499999999999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35.507100000000001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0.4743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1.8164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3.1634000000000002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5.4230999999999998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5.3100000000000001E-2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4.9099999999999998E-2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4.0899999999999999E-2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3.2899999999999999E-2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2.7300000000000001E-2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3.2500000000000001E-2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4.0500000000000001E-2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8.8300000000000003E-2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9.11E-2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9.11E-2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9.1300000000000006E-2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9.9900000000000003E-2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0.1138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0.13730000000000001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8.0000000000000004E-4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1.1999999999999999E-3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3.0999999999999999E-3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1.01E-2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2.75E-2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5.0000000000000001E-4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8.0000000000000004E-4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3.0999999999999999E-3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0.30080000000000001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0.30080000000000001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0.27259999999999995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7.5200000000000003E-2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1.8800000000000001E-2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1.8800000000000001E-2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0.47849999999999998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0.24200000000000002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0.20350000000000001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0.39050000000000001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0.47299999999999998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0.49499999999999994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0.60499999999999998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4.1999999999999996E-2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-27.654900000000001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-11.5449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-14.9643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-7.9164000000000003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-9.4045000000000005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-18.363700000000001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-29.9404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24.696100000000001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26.544899999999998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29.7454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38.845300000000002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39.630099999999999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32.240600000000001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21.895199999999999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0.2006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0.65600000000000003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1.9555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4.3205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5.2900000000000003E-2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4.8599999999999997E-2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3.9800000000000002E-2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3.3599999999999998E-2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2.9100000000000001E-2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3.4799999999999998E-2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0.04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8.9499999999999996E-2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9.2100000000000001E-2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9.0899999999999995E-2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9.4600000000000004E-2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0.1067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0.1236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0.14319999999999999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1.1999999999999999E-3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1.1999999999999999E-3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1.9E-3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3.2000000000000002E-3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9.7999999999999997E-3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2.41E-2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2.9999999999999997E-4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2.9999999999999997E-4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0.30080000000000001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0.29139999999999999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0.25380000000000003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0.23500000000000001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0.50050000000000006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0.24200000000000002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0.19799999999999998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0.40700000000000003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0.61599999999999999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0.95150000000000001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1.1000000000000001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4.1999999999999996E-2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-27.286000000000001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-11.5334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-15.1654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-15.631500000000001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-14.3047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-18.596900000000002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-26.7364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25.075900000000001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27.157499999999999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30.719899999999999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32.867899999999999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36.854500000000002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35.145899999999997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29.461200000000002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1.4814000000000001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3.4565000000000001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5.3895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7.0606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6.7205000000000004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5.2600000000000001E-2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4.8599999999999997E-2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3.2300000000000002E-2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2.7400000000000001E-2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2.6800000000000001E-2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3.2599999999999997E-2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8.7999999999999995E-2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8.8200000000000001E-2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7.2599999999999998E-2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6.59E-2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7.17E-2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8.0299999999999996E-2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7.9899999999999999E-2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1.2999999999999999E-3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1.6999999999999999E-3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1.18E-2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2.64E-2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4.4900000000000002E-2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6.0000000000000001E-3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1.6500000000000001E-2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2.9000000000000001E-2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3.4299999999999997E-2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2.63E-2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0.35720000000000002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0.44180000000000003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0.11279999999999998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8.4599999999999995E-2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9.4000000000000004E-3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0.50600000000000001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0.35200000000000004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0.13750000000000001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0.14299999999999999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0.33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0.34099999999999997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4.1999999999999996E-2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-26.439900000000002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-8.3353000000000002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-19.895800000000001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-25.4621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-31.873200000000001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-40.314500000000002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-48.583300000000001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25.904599999999999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29.463899999999999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24.971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20.056000000000001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14.7845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7.7735000000000003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0.3332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0.21579999999999999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5.2499999999999998E-2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5.0099999999999999E-2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4.0800000000000003E-2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3.3300000000000003E-2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2.8299999999999999E-2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2.9700000000000001E-2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3.1699999999999999E-2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8.9300000000000004E-2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9.0899999999999995E-2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9.11E-2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9.3299999999999994E-2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0.1032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0.113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0.1283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1.1999999999999999E-3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1.2999999999999999E-3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1.2999999999999999E-3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6.0000000000000001E-3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0.3196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0.376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0.30080000000000001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0.27259999999999995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0.24439999999999998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0.188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0.49499999999999994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0.35200000000000004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0.23649999999999999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0.29700000000000004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0.41249999999999998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0.64900000000000002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1.012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4.1999999999999996E-2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-27.303999999999998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-10.815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-14.6976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-16.3172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-16.593399999999999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-18.1982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-20.4254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25.067599999999999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27.645199999999999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30.869700000000002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31.793600000000001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34.173400000000001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35.198599999999999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35.478200000000001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2.1857000000000002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4.4200999999999997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6.5533000000000001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5.4130000000000003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5.0503999999999998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5.0599999999999999E-2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4.7100000000000003E-2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3.9300000000000002E-2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4.19E-2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4.9000000000000002E-2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0.06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6.7699999999999996E-2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8.72E-2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8.7499999999999994E-2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8.4900000000000003E-2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9.8500000000000004E-2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0.12230000000000001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0.14430000000000001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0.17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8.9999999999999998E-4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7.0000000000000001E-3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1.7100000000000001E-2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2.4400000000000002E-2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6.7000000000000002E-3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2.0199999999999999E-2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3.5700000000000003E-2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3.4200000000000001E-2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3.5200000000000002E-2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0.32900000000000001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0.376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5.6399999999999992E-2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3.7600000000000001E-2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0.49499999999999994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0.34650000000000003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0.17600000000000002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9.8999999999999991E-2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0.154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1.1000000000000001E-2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4.1999999999999996E-2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-27.196000000000002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-10.2517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-21.319199999999999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-26.285900000000002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-33.095999999999997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-39.9465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-45.934699999999999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25.183399999999999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27.629300000000001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24.0139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19.971800000000002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14.321300000000001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8.4865999999999993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3.3559000000000001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0.20910000000000001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1.1113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2.5228000000000002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4.3667999999999996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6.2107000000000001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7.4328000000000003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7.7362000000000002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6.7282000000000002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5.3509000000000002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4.2705000000000002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3.3929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2.6113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1.9382999999999999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1.5705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1.2282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1.0993999999999999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0.98170000000000002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5.3800000000000001E-2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5.67E-2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5.74E-2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6.4899999999999999E-2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8.2699999999999996E-2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9.6500000000000002E-2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0.1026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8.5500000000000007E-2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8.2100000000000006E-2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7.8799999999999995E-2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7.6300000000000007E-2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7.3599999999999999E-2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7.0199999999999999E-2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6.6799999999999998E-2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6.2799999999999995E-2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5.8999999999999997E-2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8.4400000000000003E-2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8.6699999999999999E-2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9.2299999999999993E-2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9.7799999999999998E-2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0.1105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0.1288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0.1326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0.1193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0.115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0.1148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0.1145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0.11849999999999999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0.1222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0.12670000000000001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0.13109999999999999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0.13270000000000001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0.13450000000000001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5.9999999999999995E-4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2.5999999999999999E-3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8.3999999999999995E-3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1.4999999999999999E-2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2.58E-2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3.32E-2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3.8100000000000002E-2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4.0800000000000003E-2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4.2700000000000002E-2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4.5400000000000003E-2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4.8500000000000001E-2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5.16E-2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5.4800000000000001E-2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5.79E-2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6.1100000000000002E-2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6.4600000000000005E-2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6.8199999999999997E-2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8.9999999999999998E-4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1.9199999999999998E-2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2.06E-2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2.2800000000000001E-2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2.76E-2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3.56E-2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3.3799999999999997E-2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3.1399999999999997E-2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2.9100000000000001E-2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2.63E-2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2.4899999999999999E-2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2.4400000000000002E-2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2.4299999999999999E-2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2.47E-2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1.4E-3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1.6000000000000001E-3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4.0000000000000002E-4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-20.645499999999998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-11.9656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-28.726900000000001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-43.240099999999998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-55.255200000000002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-62.264200000000002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-64.445400000000006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-63.157699999999998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-60.6462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-60.625100000000003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-60.677399999999999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-61.428400000000003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-62.165799999999997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-62.783200000000001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-63.323399999999999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-61.1111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-58.880499999999998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32.044600000000003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33.424700000000001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32.664999999999999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25.138100000000001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15.045299999999999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7.8764000000000003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5.1378000000000004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4.9005999999999998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5.5888999999999998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4.9580000000000002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4.2557999999999998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2.7970999999999999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1.3557999999999999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0.6603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4.4499999999999998E-2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-0.11799999999999999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-0.26490000000000002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0.19869999999999999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1.0408999999999999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1.2690999999999999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1.3248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1.2010000000000001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1.0746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0.96560000000000001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0.85089999999999999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0.67130000000000001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0.41360000000000002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0.2127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0.1106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1.35E-2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6.8999999999999999E-3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5.57E-2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5.7299999999999997E-2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6.0299999999999999E-2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6.4899999999999999E-2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7.51E-2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8.2400000000000001E-2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8.5599999999999996E-2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8.4699999999999998E-2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8.2100000000000006E-2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7.8600000000000003E-2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7.4899999999999994E-2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7.17E-2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6.8400000000000002E-2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6.5199999999999994E-2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6.1800000000000001E-2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5.8700000000000002E-2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5.5899999999999998E-2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8.6400000000000005E-2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8.9899999999999994E-2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9.7100000000000006E-2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0.1023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0.10979999999999999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0.1148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0.11260000000000001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0.10829999999999999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0.1084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0.107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0.10539999999999999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0.10829999999999999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0.1111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0.11749999999999999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0.12039999999999999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0.1237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5.9999999999999995E-4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3.0000000000000001E-3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7.6E-3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1.23E-2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1.72E-2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2.12E-2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2.5399999999999999E-2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2.9600000000000001E-2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3.3599999999999998E-2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3.6600000000000001E-2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3.9699999999999999E-2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4.24E-2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4.5100000000000001E-2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4.7899999999999998E-2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5.3699999999999998E-2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5.6899999999999999E-2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8.9999999999999998E-4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5.0000000000000001E-3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8.3000000000000001E-3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1.0999999999999999E-2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1.2699999999999999E-2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1.4E-2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1.46E-2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1.46E-2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1.54E-2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1.95E-2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2.29E-2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2.7400000000000001E-2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3.4599999999999999E-2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3.73E-2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2.7000000000000001E-3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1.6000000000000001E-3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1.6000000000000001E-3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1.9E-3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3.3E-3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3.3E-3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1.5E-3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6.9999999999999999E-4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8.0000000000000004E-4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1.1000000000000001E-3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1.1999999999999999E-3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1.5E-3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1.6999999999999999E-3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4.0000000000000002E-4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2.9999999999999997E-4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-21.158200000000001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-13.1981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-26.511600000000001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-33.7836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-36.097999999999999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-38.061599999999999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-38.570099999999996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-40.264899999999997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-42.438000000000002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-43.927999999999997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-45.268099999999997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-48.270699999999998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-51.063400000000001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-52.224499999999999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-53.121699999999997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-51.953299999999999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-50.648000000000003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31.5289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32.905000000000001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36.683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36.726199999999999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36.544199999999996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35.596800000000002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36.040999999999997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33.840200000000003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31.168399999999998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29.155799999999999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27.293399999999998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24.962199999999999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22.8399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20.580100000000002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18.583500000000001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16.279299999999999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14.109400000000001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0.21199999999999999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1.0847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1.3676999999999999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1.7161999999999999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6.9287999999999998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10.1166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11.348800000000001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11.7639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11.960699999999999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12.1256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12.8352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12.5425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13.9267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11.8645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10.508699999999999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7.9984999999999999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5.6792999999999996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5.4199999999999998E-2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5.6500000000000002E-2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5.8999999999999997E-2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6.25E-2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8.77E-2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0.1009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0.10299999999999999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0.1031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9.0899999999999995E-2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8.5500000000000007E-2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8.1000000000000003E-2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7.8100000000000003E-2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7.5200000000000003E-2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7.0999999999999994E-2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6.7000000000000004E-2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6.3299999999999995E-2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5.9900000000000002E-2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8.5699999999999998E-2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8.8300000000000003E-2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9.5100000000000004E-2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9.8400000000000001E-2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0.10920000000000001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0.129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0.1353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0.1242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0.1202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0.1182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0.1162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0.12039999999999999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0.1244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0.12640000000000001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0.1283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0.13109999999999999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0.13420000000000001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5.9999999999999995E-4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3.2000000000000002E-3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8.0999999999999996E-3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1.34E-2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2.1100000000000001E-2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2.9600000000000001E-2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3.3700000000000001E-2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3.6900000000000002E-2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3.9800000000000002E-2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4.1700000000000001E-2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4.4400000000000002E-2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4.6899999999999997E-2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4.9500000000000002E-2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5.1799999999999999E-2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5.4199999999999998E-2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5.7200000000000001E-2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6.0100000000000001E-2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8.9999999999999998E-4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5.1000000000000004E-3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8.5000000000000006E-3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1.1900000000000001E-2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1.7299999999999999E-2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2.5899999999999999E-2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3.6999999999999998E-2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4.4900000000000002E-2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5.4699999999999999E-2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5.7500000000000002E-2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6.1199999999999997E-2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6.3E-2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7.3099999999999998E-2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7.2300000000000003E-2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7.5899999999999995E-2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6.5600000000000006E-2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5.5800000000000002E-2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1.5E-3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1.5E-3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1.6999999999999999E-3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2.2000000000000001E-3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3.0999999999999999E-3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3.2000000000000002E-3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2.0000000000000001E-4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2.0000000000000001E-4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4.0000000000000002E-4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-20.729800000000001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-11.270200000000001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-22.984100000000002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-32.349699999999999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-59.357399999999998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-72.198099999999997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-79.563299999999998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-82.194999999999993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-81.473500000000001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-81.524699999999996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-81.942300000000003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-80.715500000000006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-81.057100000000005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-79.039400000000001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-77.717699999999994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-73.0642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-68.601200000000006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31.954000000000001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33.6355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37.831000000000003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37.676900000000003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15.321400000000001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5.15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-0.55569999999999997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-4.5334000000000003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-7.3524000000000003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-9.2151999999999994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-11.444000000000001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-11.533799999999999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-13.1912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-11.2721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-10.0471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-7.5327000000000002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-5.2092999999999998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0.20880000000000001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1.0779000000000001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1.3513999999999999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1.5181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5.6710000000000003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6.7949999999999999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7.3883999999999999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6.0902000000000003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4.8577000000000004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4.3518999999999997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3.9723000000000002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2.2612999999999999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1.7441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1.105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0.47170000000000001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0.3125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0.1517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5.4699999999999999E-2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5.6899999999999999E-2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5.96E-2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7.8200000000000006E-2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9.0499999999999997E-2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9.7100000000000006E-2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9.4299999999999995E-2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8.43E-2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8.1699999999999995E-2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7.8799999999999995E-2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7.5999999999999998E-2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7.3200000000000001E-2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6.9199999999999998E-2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6.5299999999999997E-2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6.1899999999999997E-2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5.8799999999999998E-2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8.6199999999999999E-2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8.9099999999999999E-2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9.6100000000000005E-2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0.1013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0.1085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0.1187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0.12180000000000001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0.11459999999999999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0.1132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0.1132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0.1128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0.1169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0.1208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0.1232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0.12570000000000001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0.12839999999999999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0.13159999999999999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5.9999999999999995E-4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3.2000000000000002E-3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8.2000000000000007E-3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1.24E-2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2.1999999999999999E-2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3.3599999999999998E-2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3.49E-2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3.7400000000000003E-2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4.0399999999999998E-2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4.3299999999999998E-2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4.58E-2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4.8399999999999999E-2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5.0700000000000002E-2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5.2999999999999999E-2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5.6099999999999997E-2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5.9499999999999997E-2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8.9999999999999998E-4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5.0000000000000001E-3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8.3999999999999995E-3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1.1599999999999999E-2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1.9300000000000001E-2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2.93E-2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3.3300000000000003E-2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3.6799999999999999E-2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4.0899999999999999E-2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3.7499999999999999E-2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3.4099999999999998E-2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3.2300000000000002E-2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3.0099999999999998E-2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2.8899999999999999E-2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2.7199999999999998E-2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2.6599999999999999E-2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2.6200000000000001E-2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1.5E-3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2.3999999999999998E-3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3.2000000000000002E-3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3.5999999999999999E-3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1.6000000000000001E-3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4.0000000000000002E-4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2.9999999999999997E-4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-20.812100000000001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-12.0153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-24.435099999999998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-33.634900000000002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-55.686300000000003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-67.3934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-71.163700000000006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-70.106899999999996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-68.146600000000007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-66.959699999999998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-65.769400000000005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-66.754400000000004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-67.583600000000004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-67.868499999999997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-68.070499999999996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-66.098500000000001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-64.065299999999993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31.873799999999999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33.479799999999997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37.553199999999997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36.97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17.482800000000001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6.3430999999999997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2.9462999999999999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2.3325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2.5085999999999999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2.657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2.8108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2.9415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3.2303000000000002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3.3498999999999999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3.5587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3.0825999999999998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2.6650999999999998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0.21190000000000001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1.1911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2.7494999999999998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3.9411999999999998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4.7469000000000001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5.1878000000000002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5.3381999999999996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5.1471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4.6837999999999997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4.3855000000000004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4.1745000000000001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4.0286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3.9228999999999998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3.8811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3.9146000000000001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3.5430000000000001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3.2201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5.8700000000000002E-2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5.7299999999999997E-2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5.5599999999999997E-2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5.4800000000000001E-2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5.9499999999999997E-2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6.4600000000000005E-2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6.8000000000000005E-2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6.3700000000000007E-2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5.8799999999999998E-2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5.4699999999999999E-2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5.0500000000000003E-2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4.7300000000000002E-2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4.4299999999999999E-2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4.2299999999999997E-2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4.0399999999999998E-2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3.73E-2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3.4700000000000002E-2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8.8300000000000003E-2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9.5299999999999996E-2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9.4E-2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9.9000000000000005E-2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0.10680000000000001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0.11890000000000001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0.1225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0.1157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0.11550000000000001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0.11260000000000001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0.1119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0.1143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0.1171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0.11940000000000001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0.1198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0.1206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5.9999999999999995E-4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2.5999999999999999E-3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9.4999999999999998E-3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1.5599999999999999E-2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2.41E-2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2.8799999999999999E-2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2.9000000000000001E-2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3.6600000000000001E-2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3.9699999999999999E-2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4.07E-2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4.1599999999999998E-2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4.3200000000000002E-2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4.4699999999999997E-2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4.6100000000000002E-2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4.7600000000000003E-2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4.9299999999999997E-2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5.11E-2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5.4999999999999997E-3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1.0500000000000001E-2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1.44E-2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1.4500000000000001E-2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1.2999999999999999E-2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9.4000000000000004E-3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7.6E-3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6.4000000000000003E-3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5.4999999999999997E-3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5.1999999999999998E-3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4.8999999999999998E-3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5.1000000000000004E-3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5.1999999999999998E-3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7.0000000000000001E-3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8.5000000000000006E-3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1.8E-3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2.3999999999999998E-3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2.7000000000000001E-3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4.0000000000000002E-4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2.9999999999999997E-4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-19.090499999999999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-11.5951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-35.863500000000002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-51.412399999999998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-63.144500000000001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-72.096800000000002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-74.492900000000006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-73.117699999999999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-69.818700000000007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-66.403099999999995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-62.907899999999998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-65.688299999999998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-68.436400000000006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-67.248699999999999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-66.069999999999993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-67.491600000000005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-68.902799999999999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33.560499999999998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34.148400000000002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27.461099999999998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21.455100000000002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15.4175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9.3681999999999999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5.5846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3.4264999999999999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2.6415999999999999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1.9036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1.2462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0.85870000000000002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0.50419999999999998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-7.3300000000000004E-2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-0.65920000000000001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-0.7248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-0.77800000000000002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0.2072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1.1623000000000001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3.573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6.3798000000000004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8.3000000000000007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8.7698999999999998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8.1790000000000003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7.4867999999999997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6.5895999999999999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5.7392000000000003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5.4687999999999999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4.1657000000000002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2.9028999999999998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1.6434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0.4824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0.30769999999999997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0.14169999999999999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5.4699999999999999E-2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5.7200000000000001E-2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5.6899999999999999E-2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7.0300000000000001E-2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9.06E-2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9.98E-2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9.0999999999999998E-2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8.2400000000000001E-2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8.0199999999999994E-2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7.7700000000000005E-2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7.46E-2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7.1400000000000005E-2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6.7400000000000002E-2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6.3899999999999998E-2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6.0999999999999999E-2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5.8200000000000002E-2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8.5500000000000007E-2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8.8200000000000001E-2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9.2399999999999996E-2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0.1046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0.1235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0.1343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0.125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0.1114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0.1099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0.1106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0.1111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0.1149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0.11840000000000001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0.1237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0.12720000000000001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0.13100000000000001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5.9999999999999995E-4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3.2000000000000002E-3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7.4999999999999997E-3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1.47E-2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2.3400000000000001E-2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2.7900000000000001E-2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3.0700000000000002E-2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3.2199999999999999E-2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3.56E-2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3.8800000000000001E-2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4.2000000000000003E-2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4.4499999999999998E-2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4.7E-2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4.9299999999999997E-2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5.2299999999999999E-2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5.5599999999999997E-2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5.8900000000000001E-2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8.9999999999999998E-4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4.4999999999999997E-3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1.11E-2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2.0199999999999999E-2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2.5700000000000001E-2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2.9100000000000001E-2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3.5700000000000003E-2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4.2900000000000001E-2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4.8399999999999999E-2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4.5900000000000003E-2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4.6699999999999998E-2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4.6399999999999997E-2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4.6399999999999997E-2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4.36E-2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4.0899999999999999E-2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3.8399999999999997E-2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2.7000000000000001E-3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1.5E-3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1.9E-3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2.2000000000000001E-3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1.1999999999999999E-3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4.0000000000000002E-4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2.9999999999999997E-4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-20.939499999999999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-13.7529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-36.673900000000003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-51.934899999999999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-62.237099999999998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-66.886700000000005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-67.786799999999999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-65.760300000000001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-66.027299999999997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-66.262299999999996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-66.902799999999999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-67.354299999999995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-67.705200000000005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-66.113200000000006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-64.563299999999998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-61.241599999999998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-57.873199999999997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31.7484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32.127099999999999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25.825500000000002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17.8581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9.7751000000000001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5.6463999999999999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5.2060000000000004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5.7084000000000001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3.7376999999999998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2.3626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0.58450000000000002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0.70979999999999999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0.93859999999999999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1.8992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2.8212999999999999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2.6137000000000001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2.4504999999999999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0.2145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1.2501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3.6011000000000002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6.1856999999999998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8.1675000000000004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8.7028999999999996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8.6233000000000004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7.7126999999999999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6.1448999999999998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4.8757999999999999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3.6888000000000001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3.5956000000000001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3.5548999999999999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3.5284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3.5162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3.2679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3.0449999999999999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5.4399999999999997E-2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5.7599999999999998E-2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5.7299999999999997E-2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7.46E-2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9.1600000000000001E-2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0.1076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0.1123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0.10979999999999999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9.7299999999999998E-2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9.1899999999999996E-2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8.6499999999999994E-2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8.2400000000000001E-2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7.8799999999999995E-2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7.51E-2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7.1800000000000003E-2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6.7299999999999999E-2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6.3299999999999995E-2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8.4699999999999998E-2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8.6199999999999999E-2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8.9300000000000004E-2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0.1074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0.12670000000000001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0.14410000000000001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0.1431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0.12770000000000001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0.1239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0.122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0.1196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0.1245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0.1293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0.13339999999999999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0.13730000000000001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0.1386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0.14019999999999999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5.9999999999999995E-4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2.8E-3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8.5000000000000006E-3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1.8599999999999998E-2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3.1199999999999999E-2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3.9300000000000002E-2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4.3299999999999998E-2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4.5499999999999999E-2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5.1799999999999999E-2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5.4399999999999997E-2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5.74E-2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6.0299999999999999E-2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6.3200000000000006E-2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6.6400000000000001E-2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6.9500000000000006E-2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5.1000000000000004E-3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2.2800000000000001E-2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2.63E-2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2.6800000000000001E-2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3.5400000000000001E-2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3.9399999999999998E-2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3.6600000000000001E-2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3.2099999999999997E-2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3.1800000000000002E-2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3.1099999999999999E-2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3.0599999999999999E-2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2.7900000000000001E-2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2.5499999999999998E-2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2.3999999999999998E-3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1.2999999999999999E-3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1.6999999999999999E-3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1.9E-3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4.0000000000000002E-4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-20.504100000000001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-12.3154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-35.276200000000003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-53.429299999999998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-65.2423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-74.267600000000002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-79.184700000000007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-81.309399999999997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-77.908299999999997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-71.846000000000004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-65.814599999999999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-68.133799999999994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-70.410700000000006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-68.531599999999997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-66.646000000000001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-67.847800000000007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-69.059600000000003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32.180599999999998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33.306800000000003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27.441800000000001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17.0566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8.2700999999999993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1.4803999999999999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-1.5164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-3.0573000000000001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-3.2185000000000001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-2.4224999999999999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-1.6534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-2.4439000000000002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-3.1903000000000001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-3.3155999999999999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-3.4350999999999998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-3.3176999999999999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-3.2132999999999998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0.20880000000000001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1.1221000000000001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2.7645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6.4787999999999997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9.5833999999999993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11.0625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9.9631000000000007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9.1999999999999993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7.2881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4.9954999999999998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4.1562999999999999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3.1208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2.1259999999999999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1.6725000000000001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1.4661999999999999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1.3058000000000001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1.1634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5.3800000000000001E-2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5.6500000000000002E-2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5.7200000000000001E-2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6.4500000000000002E-2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8.5500000000000007E-2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9.8900000000000002E-2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0.1043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0.1009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8.72E-2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8.48E-2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8.2000000000000003E-2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7.7799999999999994E-2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7.4700000000000003E-2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7.1499999999999994E-2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6.8400000000000002E-2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6.4500000000000002E-2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6.0900000000000003E-2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8.43E-2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8.6699999999999999E-2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9.2200000000000004E-2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9.7699999999999995E-2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0.1132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0.1333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0.13370000000000001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0.1196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0.11550000000000001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0.11650000000000001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0.1171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0.1217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0.12590000000000001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0.13009999999999999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0.1341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0.1366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0.13930000000000001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5.9999999999999995E-4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2.5999999999999999E-3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8.3999999999999995E-3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1.54E-2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2.7300000000000001E-2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3.4799999999999998E-2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3.8899999999999997E-2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4.1399999999999999E-2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4.3799999999999999E-2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4.7199999999999999E-2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5.0500000000000003E-2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5.3400000000000003E-2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5.6599999999999998E-2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5.9900000000000002E-2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6.3100000000000003E-2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6.6799999999999998E-2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7.0499999999999993E-2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8.9999999999999998E-4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4.7000000000000002E-3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9.9000000000000008E-3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1.6799999999999999E-2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2.1399999999999999E-2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2.2700000000000001E-2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2.53E-2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3.7100000000000001E-2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3.4099999999999998E-2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3.0800000000000001E-2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2.9600000000000001E-2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2.7699999999999999E-2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2.5999999999999999E-2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3.1099999999999999E-2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2.98E-2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2.87E-2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2.5000000000000001E-3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1.6999999999999999E-3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4.0000000000000002E-4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-20.727900000000002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-11.850300000000001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-28.277100000000001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-43.523099999999999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-57.123600000000003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-63.693800000000003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-64.653899999999993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-63.733899999999998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-62.940899999999999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-63.154600000000002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-63.187600000000003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-62.344999999999999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-61.489899999999999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-62.502400000000002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-63.613900000000001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-61.325899999999997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-59.025599999999997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31.962399999999999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33.5458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33.084800000000001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24.697700000000001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12.815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5.7183999999999999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4.3068999999999997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4.1882999999999999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3.395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2.5762999999999998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1.94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2.0586000000000002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2.1924000000000001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1.0392999999999999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-0.20960000000000001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-0.44140000000000001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0.19869999999999999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1.0043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1.1801999999999999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1.2454000000000001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1.1133999999999999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1.0307999999999999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0.92259999999999998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0.81820000000000004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0.65300000000000002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0.41110000000000002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0.21690000000000001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0.1144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1.6899999999999998E-2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8.5000000000000006E-3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5.5500000000000001E-2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5.7099999999999998E-2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5.9900000000000002E-2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6.4500000000000002E-2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7.46E-2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8.2199999999999995E-2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8.5500000000000007E-2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8.48E-2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8.2600000000000007E-2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7.9500000000000001E-2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7.6300000000000007E-2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7.3599999999999999E-2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7.0999999999999994E-2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6.83E-2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6.5699999999999995E-2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6.2799999999999995E-2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6.0100000000000001E-2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8.6199999999999999E-2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8.9499999999999996E-2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9.6500000000000002E-2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0.1016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0.1091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0.1144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0.11260000000000001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0.1085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0.109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0.1082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0.10730000000000001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0.1113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0.1153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0.12509999999999999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0.1288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0.13270000000000001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5.9999999999999995E-4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3.0000000000000001E-3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7.7000000000000002E-3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1.2500000000000001E-2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1.7600000000000001E-2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2.1700000000000001E-2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2.6100000000000002E-2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3.0499999999999999E-2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3.4599999999999999E-2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3.7900000000000003E-2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4.1300000000000003E-2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4.4299999999999999E-2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4.7600000000000003E-2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5.0999999999999997E-2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5.4399999999999997E-2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5.8200000000000002E-2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6.1899999999999997E-2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8.9999999999999998E-4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4.8999999999999998E-3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8.2000000000000007E-3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1.09E-2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1.26E-2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1.3899999999999999E-2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1.46E-2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1.43E-2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1.6299999999999999E-2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1.7999999999999999E-2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2.41E-2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2.9000000000000001E-2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3.44E-2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3.8300000000000001E-2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4.1700000000000001E-2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4.3999999999999997E-2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2.7000000000000001E-3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1.6000000000000001E-3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1.6000000000000001E-3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2.0000000000000001E-4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2.9999999999999997E-4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1.1000000000000001E-3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3.0000000000000001E-3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4.1999999999999997E-3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1.9E-3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3.3E-3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3.3E-3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2.8999999999999998E-3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2.5999999999999999E-3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1.2999999999999999E-3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8.0000000000000004E-4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1.1000000000000001E-3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1.2999999999999999E-3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1.5E-3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1.6999999999999999E-3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4.0000000000000002E-4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2.9999999999999997E-4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-21.270499999999998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-13.2349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-26.1844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-33.494900000000001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-35.8035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-37.9557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-38.245600000000003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-39.7682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-41.493899999999996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-43.075800000000001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-44.4816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-47.406700000000001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-50.1387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-51.486400000000003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-52.589300000000001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-51.415599999999998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-50.081400000000002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31.418199999999999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32.750399999999999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36.812199999999997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36.798900000000003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36.6631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35.572299999999998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36.273099999999999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34.291899999999998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32.125300000000003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30.0395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28.13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25.878499999999999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23.82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21.365400000000001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19.155200000000001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16.850899999999999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14.7044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0.2117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1.0471999999999999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1.2723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1.6215999999999999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6.5922000000000001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10.0265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11.507899999999999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12.332100000000001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12.987399999999999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13.1119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14.1144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13.8034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14.880800000000001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12.6852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11.2407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8.4459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5.8604000000000003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5.3999999999999999E-2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5.6300000000000003E-2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5.8599999999999999E-2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6.2E-2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8.7999999999999995E-2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0.1011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0.1036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0.1037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9.3799999999999994E-2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8.8800000000000004E-2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8.3699999999999997E-2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8.0399999999999999E-2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7.7200000000000005E-2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7.3099999999999998E-2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6.9199999999999998E-2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6.5500000000000003E-2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6.2E-2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8.5500000000000007E-2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8.7900000000000006E-2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9.4500000000000001E-2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9.7799999999999998E-2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0.1089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0.1295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0.13600000000000001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0.12659999999999999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0.123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0.1203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0.11799999999999999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0.1231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0.128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0.13039999999999999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0.1328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0.1356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0.13869999999999999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5.9999999999999995E-4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3.2000000000000002E-3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8.2000000000000007E-3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1.35E-2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2.1600000000000001E-2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3.0099999999999998E-2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3.44E-2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3.7699999999999997E-2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4.0899999999999999E-2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4.3099999999999999E-2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4.5400000000000003E-2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4.8399999999999999E-2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5.1299999999999998E-2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5.3699999999999998E-2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5.6300000000000003E-2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5.9299999999999999E-2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6.2399999999999997E-2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8.9999999999999998E-4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5.0000000000000001E-3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8.3999999999999995E-3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1.17E-2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1.6899999999999998E-2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2.63E-2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3.8399999999999997E-2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4.7E-2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5.6800000000000003E-2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5.9400000000000001E-2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6.4600000000000005E-2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6.6900000000000001E-2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7.5800000000000006E-2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7.5200000000000003E-2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7.9200000000000007E-2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6.8000000000000005E-2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5.7200000000000001E-2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1.5E-3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1.6999999999999999E-3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2.2000000000000001E-3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3.0000000000000001E-3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3.2000000000000002E-3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2.0000000000000001E-4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2.0000000000000001E-4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4.0000000000000002E-4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-20.8322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-11.282500000000001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-22.612200000000001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-32.115299999999998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-59.551099999999998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-72.525700000000001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-80.148200000000003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-82.998400000000004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-82.810100000000006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-82.429599999999994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-82.8369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-81.760900000000007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-81.941699999999997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-79.845500000000001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-78.478099999999998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-73.446600000000004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-68.628900000000002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31.8523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33.505200000000002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38.003999999999998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37.863300000000002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15.168900000000001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4.8548999999999998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-1.1093999999999999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-5.2976999999999999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-8.5548999999999999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-9.9609000000000005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-12.153600000000001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-12.390599999999999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-13.883699999999999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-11.9383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-10.7201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-7.9199000000000002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-5.3342000000000001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0.2039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1.0281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1.2281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1.3726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3.5106999999999999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4.2398999999999996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3.8214000000000001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3.6438999999999999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3.0988000000000002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2.1499000000000001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1.7554000000000001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0.66930000000000001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0.48170000000000002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0.27689999999999998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6.0499999999999998E-2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3.1399999999999997E-2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5.5199999999999999E-2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5.7000000000000002E-2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5.9700000000000003E-2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6.3299999999999995E-2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7.3099999999999998E-2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8.6300000000000002E-2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8.9700000000000002E-2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8.7499999999999994E-2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8.2600000000000007E-2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8.0299999999999996E-2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7.7600000000000002E-2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7.5399999999999995E-2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7.3099999999999998E-2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6.9500000000000006E-2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6.6100000000000006E-2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6.3200000000000006E-2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6.0400000000000002E-2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8.6099999999999996E-2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8.9200000000000002E-2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9.6199999999999994E-2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0.10150000000000001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0.1085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0.1186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0.1172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0.1108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0.1104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0.1106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0.1159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0.1211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0.12429999999999999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0.1275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0.13170000000000001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0.1361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5.9999999999999995E-4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3.0999999999999999E-3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8.0000000000000002E-3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1.2699999999999999E-2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1.9300000000000001E-2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2.58E-2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2.9899999999999999E-2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3.3099999999999997E-2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3.6600000000000001E-2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3.95E-2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4.2500000000000003E-2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4.5499999999999999E-2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4.8500000000000001E-2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5.1499999999999997E-2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5.4899999999999997E-2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5.8900000000000001E-2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6.2899999999999998E-2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8.9999999999999998E-4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5.0000000000000001E-3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8.3000000000000001E-3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1.17E-2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1.5299999999999999E-2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2.2499999999999999E-2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2.81E-2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3.6299999999999999E-2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3.6999999999999998E-2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3.6400000000000002E-2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3.6400000000000002E-2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3.5499999999999997E-2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3.49E-2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3.4200000000000001E-2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3.3799999999999997E-2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3.4299999999999997E-2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1.5E-3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1.6000000000000001E-3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2.3999999999999998E-3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3.2000000000000002E-3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3.7000000000000002E-3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1.6999999999999999E-3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6.9999999999999999E-4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2.2000000000000001E-3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2.5000000000000001E-3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2.5999999999999999E-3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2.3999999999999998E-3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1.1000000000000001E-3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8.0000000000000004E-4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2.9999999999999997E-4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5.0000000000000001E-4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5.0000000000000001E-4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4.0000000000000002E-4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2.9999999999999997E-4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-21.0595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-12.279400000000001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-24.431100000000001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-36.402999999999999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-51.030200000000001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-60.321399999999997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-64.451499999999996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-63.770200000000003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-60.670900000000003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-59.991799999999998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-59.1145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-60.999200000000002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-62.606900000000003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-64.089600000000004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-65.489599999999996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-63.063899999999997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-60.579300000000003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31.625900000000001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33.107100000000003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37.372199999999999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38.123199999999997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29.868200000000002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24.832100000000001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22.5624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19.5823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17.354099999999999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15.543100000000001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13.9339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12.3024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10.950699999999999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9.1181000000000001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7.3697999999999997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6.6365999999999996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5.9596999999999998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0.21929999999999999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1.1996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3.3012000000000001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5.6984000000000004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8.8699999999999992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10.265499999999999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11.9114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12.3217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13.484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13.0954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13.55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12.2227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11.113899999999999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10.095700000000001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9.2354000000000003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8.1434999999999995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7.2545000000000002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5.8999999999999997E-2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5.7599999999999998E-2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5.5100000000000003E-2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5.4800000000000001E-2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6.4100000000000004E-2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7.0800000000000002E-2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7.2499999999999995E-2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6.7000000000000004E-2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6.1800000000000001E-2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5.7799999999999997E-2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5.3600000000000002E-2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5.0500000000000003E-2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4.7600000000000003E-2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4.4999999999999998E-2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4.2599999999999999E-2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3.95E-2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3.6700000000000003E-2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8.7400000000000005E-2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9.5000000000000001E-2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9.4799999999999995E-2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0.1033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0.11609999999999999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0.13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0.13270000000000001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0.1229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0.12089999999999999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0.1178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0.114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0.1167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0.11890000000000001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0.1207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0.1221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0.1227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0.1237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5.9999999999999995E-4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2.7000000000000001E-3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1.6E-2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2.81E-2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3.32E-2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4.0099999999999997E-2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4.2799999999999998E-2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4.3900000000000002E-2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4.4600000000000001E-2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4.58E-2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5.0299999999999997E-2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5.1799999999999999E-2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5.7000000000000002E-3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1.3299999999999999E-2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2.3599999999999999E-2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2.86E-2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2.7400000000000001E-2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2.7699999999999999E-2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2.7199999999999998E-2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2.7799999999999998E-2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2.5999999999999999E-2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2.5899999999999999E-2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2.3400000000000001E-2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2.1299999999999999E-2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1.9599999999999999E-2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1.9099999999999999E-2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1.8E-3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2.3999999999999998E-3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2.7000000000000001E-3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4.0000000000000002E-4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2.9999999999999997E-4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-18.8904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-10.6959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-34.415100000000002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-49.949599999999997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-63.673200000000001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-70.175200000000004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-73.5167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-75.289500000000004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-78.123500000000007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-76.406899999999993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-75.473699999999994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-78.102099999999993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-80.947199999999995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-78.234399999999994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-75.680800000000005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-75.276499999999999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-75.047700000000006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33.751600000000003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34.703099999999999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27.352699999999999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17.204599999999999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3.6404999999999998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-4.0423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-8.5974000000000004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-10.356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-12.4841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-12.3756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-13.0496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-11.747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-10.6601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-9.6487999999999996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-8.7956000000000003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-7.8177000000000003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-7.0151000000000003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0.2069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1.1298999999999999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3.2387999999999999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6.0125000000000002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8.1130999999999993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8.6072000000000006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7.9793000000000003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7.2847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6.3513999999999999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5.5206999999999997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5.1639999999999997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3.9537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2.8119000000000001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1.5342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0.35780000000000001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0.17510000000000001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5.4600000000000003E-2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5.6899999999999999E-2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5.6300000000000003E-2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6.9099999999999995E-2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8.9700000000000002E-2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0.1009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9.2399999999999996E-2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8.2799999999999999E-2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7.8700000000000006E-2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7.5899999999999995E-2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7.2999999999999995E-2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6.9800000000000001E-2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6.6600000000000006E-2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6.3600000000000004E-2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6.08E-2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8.5400000000000004E-2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8.8200000000000001E-2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9.2200000000000004E-2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0.1033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0.1222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0.13350000000000001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0.12540000000000001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0.1116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0.1106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0.1118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0.1129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0.1174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0.1217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0.1258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0.12970000000000001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0.1336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0.13789999999999999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5.9999999999999995E-4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3.2000000000000002E-3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7.4999999999999997E-3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1.4500000000000001E-2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2.35E-2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2.8299999999999999E-2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3.1399999999999997E-2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3.32E-2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3.6400000000000002E-2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3.9800000000000002E-2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4.3200000000000002E-2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4.5900000000000003E-2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4.87E-2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5.1900000000000002E-2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5.5199999999999999E-2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5.8700000000000002E-2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6.2100000000000002E-2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8.9999999999999998E-4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4.4000000000000003E-3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1.0500000000000001E-2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1.89E-2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2.4199999999999999E-2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2.7799999999999998E-2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3.44E-2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4.2099999999999999E-2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4.8000000000000001E-2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4.5699999999999998E-2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4.58E-2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4.6100000000000002E-2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5.0599999999999999E-2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4.8099999999999997E-2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4.2700000000000002E-2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4.02E-2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2.7000000000000001E-3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1.4E-3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1.9E-3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2.2000000000000001E-3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4.0000000000000002E-4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2.9999999999999997E-4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-21.052199999999999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-13.7042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-36.281599999999997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-50.902099999999997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-60.503399999999999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-64.731399999999994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-64.820700000000002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-63.882399999999997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-64.084999999999994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-64.486599999999996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-65.198400000000007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-66.088899999999995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-66.831800000000001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-65.326899999999995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-63.892000000000003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-60.623800000000003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-57.304299999999998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31.635999999999999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32.2361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26.281700000000001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18.929300000000001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11.534700000000001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7.8232999999999997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8.1858000000000004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7.5827999999999998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5.6619999999999999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4.1162999999999998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2.2625000000000002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1.9451000000000001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1.7785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2.6532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3.4615999999999998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3.2004000000000001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2.9882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0.21820000000000001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1.2293000000000001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3.8620000000000001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7.1109999999999998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9.7774000000000001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10.5382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10.7295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9.6265000000000001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7.8174000000000001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6.3489000000000004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4.9763000000000002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4.2423999999999999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3.5990000000000002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3.5367000000000002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3.5358999999999998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3.4112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3.306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5.4800000000000001E-2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5.8400000000000001E-2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6.0100000000000001E-2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8.1100000000000005E-2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0.1007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0.11899999999999999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0.1234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0.1211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0.1076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0.1031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9.8500000000000004E-2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9.3799999999999994E-2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8.9300000000000004E-2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8.5300000000000001E-2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8.1500000000000003E-2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7.6600000000000001E-2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7.2099999999999997E-2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8.5400000000000004E-2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8.7499999999999994E-2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9.2600000000000002E-2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0.11700000000000001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0.14230000000000001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0.1603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0.14319999999999999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0.13789999999999999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0.1368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0.13519999999999999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0.14030000000000001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0.14510000000000001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0.14910000000000001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0.15290000000000001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0.1547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0.15670000000000001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5.9999999999999995E-4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2.7000000000000001E-3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8.3999999999999995E-3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1.89E-2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3.1899999999999998E-2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3.9699999999999999E-2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4.3799999999999999E-2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4.6199999999999998E-2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4.9399999999999999E-2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5.21E-2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5.4800000000000001E-2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5.7700000000000001E-2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6.0900000000000003E-2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6.4100000000000004E-2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6.7299999999999999E-2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7.1099999999999997E-2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7.4899999999999994E-2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5.1000000000000004E-3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2.6499999999999999E-2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3.1800000000000002E-2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3.32E-2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3.7999999999999999E-2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4.24E-2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4.4900000000000002E-2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4.02E-2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3.4299999999999997E-2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3.2399999999999998E-2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3.1099999999999999E-2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3.0599999999999999E-2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3.0599999999999999E-2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2.8199999999999999E-2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2.6200000000000001E-2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2.8999999999999998E-3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1.6000000000000001E-3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2.0999999999999999E-3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1.1999999999999999E-3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2.0000000000000001E-4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4.0000000000000002E-4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2.9999999999999997E-4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-20.2926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-11.984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-34.866399999999999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-52.960799999999999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-65.1614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-74.371300000000005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-80.269300000000001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-83.085999999999999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-80.379800000000003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-74.671700000000001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-68.9786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-69.703299999999999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-70.517399999999995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-68.366600000000005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-66.266599999999997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-67.380099999999999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-68.536600000000007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32.383400000000002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33.454799999999999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27.0303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15.2018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5.0511999999999997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-2.0444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-5.375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-6.7077999999999998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-6.7340999999999998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-6.0846999999999998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-5.4469000000000003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-4.7114000000000003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-4.0617999999999999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-4.0092999999999996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-4.0072999999999999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-3.8184999999999998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-3.6762000000000001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0.20910000000000001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1.1521999999999999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2.6379000000000001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7.0388000000000002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10.3071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11.7492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10.8582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5.3600000000000002E-2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5.6399999999999999E-2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5.7000000000000002E-2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6.4199999999999993E-2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8.5500000000000007E-2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9.9299999999999999E-2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0.10489999999999999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8.4199999999999997E-2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8.6300000000000002E-2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9.1800000000000007E-2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9.7199999999999995E-2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0.11360000000000001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0.13400000000000001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0.1346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5.9999999999999995E-4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2.5999999999999999E-3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8.3999999999999995E-3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1.5299999999999999E-2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2.7300000000000001E-2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3.5099999999999999E-2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3.9199999999999999E-2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8.9999999999999998E-4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4.7000000000000002E-3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1.6799999999999999E-2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2.18E-2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2.6100000000000002E-2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2.5000000000000001E-3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1.6999999999999999E-3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2.0999999999999999E-3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1.6000000000000001E-3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4.0000000000000002E-4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-20.746400000000001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-12.976800000000001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-28.531300000000002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-43.619199999999999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-57.5623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-64.344300000000004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-65.282499999999999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31.9452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33.307600000000001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33.061700000000002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24.5379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12.2913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4.8912000000000004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3.4969999999999999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0.19980000000000001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1.0374000000000001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1.1933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1.2425999999999999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1.1308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1.0469999999999999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0.92789999999999995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5.5399999999999998E-2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5.7200000000000001E-2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5.79E-2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6.0999999999999999E-2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6.8900000000000003E-2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7.5800000000000006E-2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7.9399999999999998E-2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8.5999999999999993E-2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8.9599999999999999E-2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9.4200000000000006E-2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9.7299999999999998E-2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0.1028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0.10780000000000001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0.1066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5.0000000000000001E-4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2.7000000000000001E-3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7.9000000000000008E-3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1.4E-2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2.0299999999999999E-2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2.3699999999999999E-2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2.76E-2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8.9999999999999998E-4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4.7999999999999996E-3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8.0000000000000002E-3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1.0500000000000001E-2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1.2200000000000001E-2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2.5999999999999999E-3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1.5E-3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1.8E-3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3.2000000000000002E-3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3.2000000000000002E-3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2.8E-3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2.3999999999999998E-3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1.5E-3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4.0000000000000002E-4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-21.322700000000001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-14.651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-27.487200000000001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-34.7395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-36.9876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-39.014000000000003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-39.321800000000003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31.359100000000002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32.433399999999999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35.966299999999997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35.634700000000002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35.401499999999999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34.411900000000003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35.130600000000001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0.19919999999999999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1.0335000000000001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1.1842999999999999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1.6185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5.6749000000000001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9.6450999999999993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11.356400000000001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5.4899999999999997E-2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5.6399999999999999E-2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5.6399999999999999E-2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5.9900000000000002E-2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8.5500000000000007E-2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9.8400000000000001E-2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0.10009999999999999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8.5400000000000004E-2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8.8700000000000001E-2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9.2600000000000002E-2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9.5500000000000002E-2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0.10440000000000001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0.12379999999999999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0.13020000000000001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2.7000000000000001E-3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8.0000000000000002E-3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1.3599999999999999E-2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3.0499999999999999E-2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3.4799999999999998E-2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8.9999999999999998E-4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4.7999999999999996E-3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7.9000000000000008E-3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1.7100000000000001E-2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2.6800000000000001E-2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3.9300000000000002E-2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2.2000000000000001E-3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1.2999999999999999E-3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1.6000000000000001E-3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2.5999999999999999E-3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2.5999999999999999E-3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1.1000000000000001E-3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4.0000000000000002E-4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-21.488700000000001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-13.6487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-25.390599999999999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-32.6922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-58.503300000000003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-72.004900000000006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-79.642799999999994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31.196200000000001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32.268599999999999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35.728900000000003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37.1922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15.8375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4.7218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-1.5237000000000001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0.2072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1.0616000000000001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1.2746999999999999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1.3845000000000001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2.2780999999999998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2.1526000000000001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1.8956999999999999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5.3999999999999999E-2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5.57E-2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5.74E-2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6.0400000000000002E-2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6.9900000000000004E-2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8.5800000000000001E-2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8.5800000000000001E-2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8.5099999999999995E-2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8.7499999999999994E-2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9.3700000000000006E-2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9.7799999999999998E-2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0.1026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0.11219999999999999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0.1105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5.9999999999999995E-4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3.2000000000000002E-3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1.3299999999999999E-2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2.1399999999999999E-2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3.1300000000000001E-2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8.9999999999999998E-4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4.8999999999999998E-3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8.3000000000000001E-3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2.4400000000000002E-2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3.6799999999999999E-2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2.0999999999999999E-3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1.1999999999999999E-3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1.2999999999999999E-3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1.5E-3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1.8E-3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2.5000000000000001E-3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2.8999999999999998E-3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6.9999999999999999E-4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4.0000000000000002E-4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-21.097300000000001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-13.532299999999999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-24.990300000000001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-36.6965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-54.294699999999999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-64.981700000000004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-67.479399999999998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31.592700000000001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32.956400000000002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37.258699999999997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38.180300000000003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27.057300000000001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19.982199999999999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17.834099999999999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0.2162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1.1996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2.8304999999999998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4.2054999999999998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5.1604000000000001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5.7184999999999997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5.7774999999999999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6.0900000000000003E-2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0.06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5.9900000000000002E-2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6.2100000000000002E-2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6.8599999999999994E-2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7.5399999999999995E-2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7.8899999999999998E-2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9.0399999999999994E-2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9.9099999999999994E-2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0.1012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0.11260000000000001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0.1258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0.14219999999999999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0.1474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5.9999999999999995E-4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2.5999999999999999E-3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9.4999999999999998E-3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1.61E-2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2.53E-2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3.1399999999999997E-2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5.5999999999999999E-3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1.0699999999999999E-2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1.49E-2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1.5100000000000001E-2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3.8E-3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2.2000000000000001E-3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3.0000000000000001E-3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3.3E-3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2.0000000000000001E-4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4.0000000000000002E-4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2.9999999999999997E-4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-18.679099999999998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-12.207000000000001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-35.766599999999997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-50.841099999999997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-62.488900000000001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-73.8673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-78.709199999999996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33.950899999999997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34.488399999999999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27.673200000000001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21.164400000000001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14.773199999999999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7.6994999999999996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4.0282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0.2069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1.1695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3.4708000000000001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6.585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8.8773999999999997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9.4349000000000007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8.6426999999999996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5.45E-2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5.62E-2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6.9800000000000001E-2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9.06E-2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0.1011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0.1011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8.5300000000000001E-2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8.8099999999999998E-2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9.2200000000000004E-2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0.1231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0.13420000000000001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0.12529999999999999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5.9999999999999995E-4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3.2000000000000002E-3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7.6E-3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2.41E-2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2.8799999999999999E-2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3.1800000000000002E-2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8.9999999999999998E-4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4.4999999999999997E-3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1.11E-2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2.0400000000000001E-2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2.6100000000000002E-2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2.9700000000000001E-2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3.6200000000000003E-2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2.7000000000000001E-3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1.4E-3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1.9E-3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2.2000000000000001E-3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2.0000000000000001E-4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4.0000000000000002E-4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2.9999999999999997E-4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-21.100999999999999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-14.609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-37.07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-52.082500000000003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-62.088900000000002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-66.411500000000004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-65.829499999999996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31.587800000000001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31.8887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25.463000000000001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17.564599999999999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9.7650000000000006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5.9568000000000003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6.9869000000000003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0.21779999999999999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1.2101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4.0076999999999998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7.2525000000000004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9.7334999999999994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10.130000000000001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9.8693000000000008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5.4899999999999997E-2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5.8400000000000001E-2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6.0199999999999997E-2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8.1799999999999998E-2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0.1014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0.1196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0.124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8.5400000000000004E-2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8.7499999999999994E-2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9.2399999999999996E-2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0.1171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0.1426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0.16039999999999999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0.15890000000000001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5.9999999999999995E-4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2.7000000000000001E-3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8.3999999999999995E-3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1.9099999999999999E-2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3.2099999999999997E-2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3.9899999999999998E-2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4.3900000000000002E-2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5.1999999999999998E-3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2.5499999999999998E-2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2.9700000000000001E-2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3.0599999999999999E-2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3.5400000000000001E-2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2.8999999999999998E-3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1.6000000000000001E-3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2.0999999999999999E-3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1.1999999999999999E-3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2.0000000000000001E-4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4.0000000000000002E-4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2.9999999999999997E-4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-20.314699999999998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-13.1075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-36.237400000000001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-55.7014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-68.478099999999998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-76.716399999999993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-80.0869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32.361600000000003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33.370899999999999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26.84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15.2232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5.6829999999999998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-0.7379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-3.6103000000000001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2025-09-07T18:54:12Z</dcterms:modified>
</cp:coreProperties>
</file>