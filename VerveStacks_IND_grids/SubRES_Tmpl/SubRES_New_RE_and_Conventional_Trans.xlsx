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updateLinks="never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IND_grids\SubRES_Tmpl\"/>
    </mc:Choice>
  </mc:AlternateContent>
  <xr:revisionPtr revIDLastSave="0" documentId="8_{22794F69-EB90-4963-ACF5-BEB5B58B6724}" xr6:coauthVersionLast="47" xr6:coauthVersionMax="47" xr10:uidLastSave="{00000000-0000-0000-0000-000000000000}"/>
  <bookViews>
    <workbookView xWindow="-98" yWindow="-98" windowWidth="28996" windowHeight="17475" firstSheet="2" activeTab="2" xr2:uid="{00000000-000D-0000-FFFF-FFFF00000000}"/>
  </bookViews>
  <sheets>
    <sheet name="AVA" sheetId="6" r:id="rId1"/>
    <sheet name="weo_pg" sheetId="5" r:id="rId2"/>
    <sheet name="Misc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20" i="4" l="1"/>
  <c r="X24" i="4" s="1"/>
  <c r="W20" i="4"/>
  <c r="W24" i="4" s="1"/>
  <c r="X19" i="4"/>
  <c r="X23" i="4" s="1"/>
  <c r="W19" i="4"/>
  <c r="W23" i="4" s="1"/>
  <c r="X18" i="4"/>
  <c r="X22" i="4" s="1"/>
  <c r="W18" i="4"/>
  <c r="W22" i="4" s="1"/>
  <c r="X17" i="4"/>
  <c r="X21" i="4" s="1"/>
  <c r="W17" i="4"/>
  <c r="W21" i="4" s="1"/>
  <c r="T16" i="4"/>
  <c r="T20" i="4" s="1"/>
  <c r="T24" i="4" s="1"/>
  <c r="T15" i="4"/>
  <c r="T19" i="4" s="1"/>
  <c r="T23" i="4" s="1"/>
  <c r="T14" i="4"/>
  <c r="T18" i="4" s="1"/>
  <c r="T22" i="4" s="1"/>
  <c r="T13" i="4"/>
  <c r="T17" i="4" s="1"/>
  <c r="T21" i="4" s="1"/>
</calcChain>
</file>

<file path=xl/sharedStrings.xml><?xml version="1.0" encoding="utf-8"?>
<sst xmlns="http://schemas.openxmlformats.org/spreadsheetml/2006/main" count="1716" uniqueCount="417">
  <si>
    <t>PSET_PN</t>
  </si>
  <si>
    <t>Attribute</t>
  </si>
  <si>
    <t>Year</t>
  </si>
  <si>
    <t>LimType</t>
  </si>
  <si>
    <t>~TFM_INS</t>
  </si>
  <si>
    <t>AllRegions</t>
  </si>
  <si>
    <t>Cap2ACT</t>
  </si>
  <si>
    <t>LIFE</t>
  </si>
  <si>
    <t>EFF</t>
  </si>
  <si>
    <t>PEAK</t>
  </si>
  <si>
    <t>ELIFE</t>
  </si>
  <si>
    <t>UP</t>
  </si>
  <si>
    <t>CAP_BND</t>
  </si>
  <si>
    <t>NCAP_ILED</t>
  </si>
  <si>
    <t>ElcAgg_Solar</t>
  </si>
  <si>
    <t>ElcAgg_Wind</t>
  </si>
  <si>
    <t>PSET_SET</t>
  </si>
  <si>
    <t>ELE</t>
  </si>
  <si>
    <t>NCAP_DRATE</t>
  </si>
  <si>
    <t>EN[_]Hydro*</t>
  </si>
  <si>
    <t>~TFM_TOPINS</t>
  </si>
  <si>
    <t>process</t>
  </si>
  <si>
    <t>commodity</t>
  </si>
  <si>
    <t>io</t>
  </si>
  <si>
    <t>IN</t>
  </si>
  <si>
    <t>attribute</t>
  </si>
  <si>
    <t>value</t>
  </si>
  <si>
    <t>ncap_cost</t>
  </si>
  <si>
    <t>*1</t>
  </si>
  <si>
    <t>Hydropower - large-scale unit,Solar photovoltaics - Large scale unit,Wind offshore,Wind onshore</t>
  </si>
  <si>
    <t>ncap_fom</t>
  </si>
  <si>
    <t>ncap_iled</t>
  </si>
  <si>
    <t>scenario</t>
  </si>
  <si>
    <t>region</t>
  </si>
  <si>
    <t>lim_type</t>
  </si>
  <si>
    <t>time_slice</t>
  </si>
  <si>
    <t>commodity_group</t>
  </si>
  <si>
    <t>currency</t>
  </si>
  <si>
    <t>stage</t>
  </si>
  <si>
    <t>sow</t>
  </si>
  <si>
    <t>2023</t>
  </si>
  <si>
    <t>2030</t>
  </si>
  <si>
    <t>2050</t>
  </si>
  <si>
    <t>year2</t>
  </si>
  <si>
    <t>BASE</t>
  </si>
  <si>
    <t>MEX</t>
  </si>
  <si>
    <t>Hydropower - large-scale unit</t>
  </si>
  <si>
    <t>-</t>
  </si>
  <si>
    <t>USD25</t>
  </si>
  <si>
    <t>Solar photovoltaics - Large scale unit</t>
  </si>
  <si>
    <t>Wind offshore</t>
  </si>
  <si>
    <t>Wind onshore</t>
  </si>
  <si>
    <t>~TFM_INS-TS</t>
  </si>
  <si>
    <t>ELE,-STG</t>
  </si>
  <si>
    <t>E[_]W*</t>
  </si>
  <si>
    <t>E[_]WOF*</t>
  </si>
  <si>
    <t>E[_]WON*</t>
  </si>
  <si>
    <t>E[_]SPV*</t>
  </si>
  <si>
    <t>~TFM_AVA</t>
  </si>
  <si>
    <t>*</t>
  </si>
  <si>
    <t>allregions</t>
  </si>
  <si>
    <t>ELC_spv*</t>
  </si>
  <si>
    <t>Trd_elec*</t>
  </si>
  <si>
    <t>solar</t>
  </si>
  <si>
    <t>start</t>
  </si>
  <si>
    <t>pset_ci</t>
  </si>
  <si>
    <t>attrib_cond</t>
  </si>
  <si>
    <t>-pasti</t>
  </si>
  <si>
    <t>solar,wind,coal,gas,nuclear,hydro,bioenergy</t>
  </si>
  <si>
    <t>life</t>
  </si>
  <si>
    <t>-life</t>
  </si>
  <si>
    <t>coal,gas,nuclear,bioenergy</t>
  </si>
  <si>
    <t>windoff</t>
  </si>
  <si>
    <t>windon</t>
  </si>
  <si>
    <t>ELC_wo*</t>
  </si>
  <si>
    <t>~replicateinregions</t>
  </si>
  <si>
    <t>incode</t>
  </si>
  <si>
    <t>indesc</t>
  </si>
  <si>
    <t>IND</t>
  </si>
  <si>
    <t>w319423421-765</t>
  </si>
  <si>
    <t>at grid node - w319423421-765</t>
  </si>
  <si>
    <t>Bioenergy + CCUS,Bioenergy - Large scale unit,CCGT,CCGT + CCS,Coal + CCS,Gas turbine,IGCC,IGCC + CCS,Nuclear large,Oxyfuel + CCS,Steam Coal - SUBCRITICAL,Steam Coal - SUPERCRITICAL,Steam Coal - ULTRASUPERCRITICAL</t>
  </si>
  <si>
    <t>w311176519-765</t>
  </si>
  <si>
    <t>at grid node - w311176519-765</t>
  </si>
  <si>
    <t>w429459345-765</t>
  </si>
  <si>
    <t>at grid node - w429459345-765</t>
  </si>
  <si>
    <t>w331275940-765</t>
  </si>
  <si>
    <t>at grid node - w331275940-765</t>
  </si>
  <si>
    <t>w910151268-765</t>
  </si>
  <si>
    <t>at grid node - w910151268-765</t>
  </si>
  <si>
    <t>w409112085-765</t>
  </si>
  <si>
    <t>at grid node - w409112085-765</t>
  </si>
  <si>
    <t>w425401901-765</t>
  </si>
  <si>
    <t>at grid node - w425401901-765</t>
  </si>
  <si>
    <t>IN486-765</t>
  </si>
  <si>
    <t>at grid node - IN486-765</t>
  </si>
  <si>
    <t>IN121-765</t>
  </si>
  <si>
    <t>at grid node - IN121-765</t>
  </si>
  <si>
    <t>w311571096-765</t>
  </si>
  <si>
    <t>at grid node - w311571096-765</t>
  </si>
  <si>
    <t>w473902678-765</t>
  </si>
  <si>
    <t>at grid node - w473902678-765</t>
  </si>
  <si>
    <t>IN201-765</t>
  </si>
  <si>
    <t>at grid node - IN201-765</t>
  </si>
  <si>
    <t>w417569420-765</t>
  </si>
  <si>
    <t>at grid node - w417569420-765</t>
  </si>
  <si>
    <t>w1074489047-765</t>
  </si>
  <si>
    <t>at grid node - w1074489047-765</t>
  </si>
  <si>
    <t>w247861059-765</t>
  </si>
  <si>
    <t>at grid node - w247861059-765</t>
  </si>
  <si>
    <t>IN405-765</t>
  </si>
  <si>
    <t>at grid node - IN405-765</t>
  </si>
  <si>
    <t>IN325-400</t>
  </si>
  <si>
    <t>at grid node - IN325-400</t>
  </si>
  <si>
    <t>w1246177377-765</t>
  </si>
  <si>
    <t>at grid node - w1246177377-765</t>
  </si>
  <si>
    <t>IN607-765</t>
  </si>
  <si>
    <t>at grid node - IN607-765</t>
  </si>
  <si>
    <t>IN375-765</t>
  </si>
  <si>
    <t>at grid node - IN375-765</t>
  </si>
  <si>
    <t>w202980838-765</t>
  </si>
  <si>
    <t>at grid node - w202980838-765</t>
  </si>
  <si>
    <t>w315824842-765</t>
  </si>
  <si>
    <t>at grid node - w315824842-765</t>
  </si>
  <si>
    <t>w422204218-765</t>
  </si>
  <si>
    <t>at grid node - w422204218-765</t>
  </si>
  <si>
    <t>IN287-400</t>
  </si>
  <si>
    <t>at grid node - IN287-400</t>
  </si>
  <si>
    <t>w94199110-400</t>
  </si>
  <si>
    <t>at grid node - w94199110-400</t>
  </si>
  <si>
    <t>w354062412-765</t>
  </si>
  <si>
    <t>at grid node - w354062412-765</t>
  </si>
  <si>
    <t>w386018740-765</t>
  </si>
  <si>
    <t>at grid node - w386018740-765</t>
  </si>
  <si>
    <t>w318090288-765</t>
  </si>
  <si>
    <t>at grid node - w318090288-765</t>
  </si>
  <si>
    <t>IN317-400</t>
  </si>
  <si>
    <t>at grid node - IN317-400</t>
  </si>
  <si>
    <t>w545571850-765</t>
  </si>
  <si>
    <t>at grid node - w545571850-765</t>
  </si>
  <si>
    <t>w521570801-765</t>
  </si>
  <si>
    <t>at grid node - w521570801-765</t>
  </si>
  <si>
    <t>IN42-765</t>
  </si>
  <si>
    <t>at grid node - IN42-765</t>
  </si>
  <si>
    <t>w923365745-765</t>
  </si>
  <si>
    <t>at grid node - w923365745-765</t>
  </si>
  <si>
    <t>w118228036-400</t>
  </si>
  <si>
    <t>at grid node - w118228036-400</t>
  </si>
  <si>
    <t>w514344408-765</t>
  </si>
  <si>
    <t>at grid node - w514344408-765</t>
  </si>
  <si>
    <t>w688672798-765</t>
  </si>
  <si>
    <t>at grid node - w688672798-765</t>
  </si>
  <si>
    <t>IN267-765</t>
  </si>
  <si>
    <t>at grid node - IN267-765</t>
  </si>
  <si>
    <t>w311954703-765</t>
  </si>
  <si>
    <t>at grid node - w311954703-765</t>
  </si>
  <si>
    <t>IN128-765</t>
  </si>
  <si>
    <t>at grid node - IN128-765</t>
  </si>
  <si>
    <t>w353914865-765</t>
  </si>
  <si>
    <t>at grid node - w353914865-765</t>
  </si>
  <si>
    <t>IN578-765</t>
  </si>
  <si>
    <t>at grid node - IN578-765</t>
  </si>
  <si>
    <t>w1329624553-765</t>
  </si>
  <si>
    <t>at grid node - w1329624553-765</t>
  </si>
  <si>
    <t>IN388-765</t>
  </si>
  <si>
    <t>at grid node - IN388-765</t>
  </si>
  <si>
    <t>w688672711-765</t>
  </si>
  <si>
    <t>at grid node - w688672711-765</t>
  </si>
  <si>
    <t>w1207477934-765</t>
  </si>
  <si>
    <t>at grid node - w1207477934-765</t>
  </si>
  <si>
    <t>w698045832-765</t>
  </si>
  <si>
    <t>at grid node - w698045832-765</t>
  </si>
  <si>
    <t>w420797421-765</t>
  </si>
  <si>
    <t>at grid node - w420797421-765</t>
  </si>
  <si>
    <t>w209806650-400</t>
  </si>
  <si>
    <t>at grid node - w209806650-400</t>
  </si>
  <si>
    <t>w408924420-765</t>
  </si>
  <si>
    <t>at grid node - w408924420-765</t>
  </si>
  <si>
    <t>w492377703-765</t>
  </si>
  <si>
    <t>at grid node - w492377703-765</t>
  </si>
  <si>
    <t>w423702239-765</t>
  </si>
  <si>
    <t>at grid node - w423702239-765</t>
  </si>
  <si>
    <t>IN535-765</t>
  </si>
  <si>
    <t>at grid node - IN535-765</t>
  </si>
  <si>
    <t>IN412-765</t>
  </si>
  <si>
    <t>at grid node - IN412-765</t>
  </si>
  <si>
    <t>IN94-765</t>
  </si>
  <si>
    <t>at grid node - IN94-765</t>
  </si>
  <si>
    <t>w408924427-765</t>
  </si>
  <si>
    <t>at grid node - w408924427-765</t>
  </si>
  <si>
    <t>IN312-765</t>
  </si>
  <si>
    <t>at grid node - IN312-765</t>
  </si>
  <si>
    <t>w386153973-765</t>
  </si>
  <si>
    <t>at grid node - w386153973-765</t>
  </si>
  <si>
    <t>w409798382-400</t>
  </si>
  <si>
    <t>at grid node - w409798382-400</t>
  </si>
  <si>
    <t>w192782338-765</t>
  </si>
  <si>
    <t>at grid node - w192782338-765</t>
  </si>
  <si>
    <t>IN399-765</t>
  </si>
  <si>
    <t>at grid node - IN399-765</t>
  </si>
  <si>
    <t>w577176545-400</t>
  </si>
  <si>
    <t>at grid node - w577176545-400</t>
  </si>
  <si>
    <t>w1015325412-400</t>
  </si>
  <si>
    <t>at grid node - w1015325412-400</t>
  </si>
  <si>
    <t>w196933682-765</t>
  </si>
  <si>
    <t>at grid node - w196933682-765</t>
  </si>
  <si>
    <t>w105373531-765</t>
  </si>
  <si>
    <t>at grid node - w105373531-765</t>
  </si>
  <si>
    <t>w357515226-765</t>
  </si>
  <si>
    <t>at grid node - w357515226-765</t>
  </si>
  <si>
    <t>w248385304-765</t>
  </si>
  <si>
    <t>at grid node - w248385304-765</t>
  </si>
  <si>
    <t>w205942950-400</t>
  </si>
  <si>
    <t>at grid node - w205942950-400</t>
  </si>
  <si>
    <t>w311933111-765</t>
  </si>
  <si>
    <t>at grid node - w311933111-765</t>
  </si>
  <si>
    <t>w372701897-765</t>
  </si>
  <si>
    <t>at grid node - w372701897-765</t>
  </si>
  <si>
    <t>IN748-765</t>
  </si>
  <si>
    <t>at grid node - IN748-765</t>
  </si>
  <si>
    <t>IN336-400</t>
  </si>
  <si>
    <t>at grid node - IN336-400</t>
  </si>
  <si>
    <t>w328548895-765</t>
  </si>
  <si>
    <t>at grid node - w328548895-765</t>
  </si>
  <si>
    <t>w196563905-765</t>
  </si>
  <si>
    <t>at grid node - w196563905-765</t>
  </si>
  <si>
    <t>w423166766-765</t>
  </si>
  <si>
    <t>at grid node - w423166766-765</t>
  </si>
  <si>
    <t>w293597835-765</t>
  </si>
  <si>
    <t>at grid node - w293597835-765</t>
  </si>
  <si>
    <t>w654736039-765</t>
  </si>
  <si>
    <t>at grid node - w654736039-765</t>
  </si>
  <si>
    <t>w323266562-765</t>
  </si>
  <si>
    <t>at grid node - w323266562-765</t>
  </si>
  <si>
    <t>w353914761-765</t>
  </si>
  <si>
    <t>at grid node - w353914761-765</t>
  </si>
  <si>
    <t>w166692103-400</t>
  </si>
  <si>
    <t>at grid node - w166692103-400</t>
  </si>
  <si>
    <t>w355560316-765</t>
  </si>
  <si>
    <t>at grid node - w355560316-765</t>
  </si>
  <si>
    <t>w1206014676-765</t>
  </si>
  <si>
    <t>at grid node - w1206014676-765</t>
  </si>
  <si>
    <t>w409158116-765</t>
  </si>
  <si>
    <t>at grid node - w409158116-765</t>
  </si>
  <si>
    <t>IN529-765</t>
  </si>
  <si>
    <t>at grid node - IN529-765</t>
  </si>
  <si>
    <t>EN_Hydro_IND-1,EN_Hydro_IND-2,EN_Hydro_IND-3</t>
  </si>
  <si>
    <t>IN10-765</t>
  </si>
  <si>
    <t>at grid node - IN10-765</t>
  </si>
  <si>
    <t>IN145-400</t>
  </si>
  <si>
    <t>at grid node - IN145-400</t>
  </si>
  <si>
    <t>IN684-765</t>
  </si>
  <si>
    <t>at grid node - IN684-765</t>
  </si>
  <si>
    <t>w149822703-400</t>
  </si>
  <si>
    <t>at grid node - w149822703-400</t>
  </si>
  <si>
    <t>IN367-765</t>
  </si>
  <si>
    <t>at grid node - IN367-765</t>
  </si>
  <si>
    <t>IN617-765</t>
  </si>
  <si>
    <t>at grid node - IN617-765</t>
  </si>
  <si>
    <t>IN659-765</t>
  </si>
  <si>
    <t>at grid node - IN659-765</t>
  </si>
  <si>
    <t>w352619220-765</t>
  </si>
  <si>
    <t>at grid node - w352619220-765</t>
  </si>
  <si>
    <t>IN263-400</t>
  </si>
  <si>
    <t>at grid node - IN263-400</t>
  </si>
  <si>
    <t>w1072445901-400</t>
  </si>
  <si>
    <t>at grid node - w1072445901-400</t>
  </si>
  <si>
    <t>w375941438-400</t>
  </si>
  <si>
    <t>at grid node - w375941438-400</t>
  </si>
  <si>
    <t>IN599-765</t>
  </si>
  <si>
    <t>at grid node - IN599-765</t>
  </si>
  <si>
    <t>w610646823-400</t>
  </si>
  <si>
    <t>at grid node - w610646823-400</t>
  </si>
  <si>
    <t>IN685-765</t>
  </si>
  <si>
    <t>at grid node - IN685-765</t>
  </si>
  <si>
    <t>w324059200-400</t>
  </si>
  <si>
    <t>at grid node - w324059200-400</t>
  </si>
  <si>
    <t>IN583-765</t>
  </si>
  <si>
    <t>at grid node - IN583-765</t>
  </si>
  <si>
    <t>IN586-765</t>
  </si>
  <si>
    <t>at grid node - IN586-765</t>
  </si>
  <si>
    <t>IN806-765</t>
  </si>
  <si>
    <t>at grid node - IN806-765</t>
  </si>
  <si>
    <t>IN808-765</t>
  </si>
  <si>
    <t>at grid node - IN808-765</t>
  </si>
  <si>
    <t>IN798-765</t>
  </si>
  <si>
    <t>at grid node - IN798-765</t>
  </si>
  <si>
    <t>IN488-765</t>
  </si>
  <si>
    <t>at grid node - IN488-765</t>
  </si>
  <si>
    <t>w315823978-765</t>
  </si>
  <si>
    <t>at grid node - w315823978-765</t>
  </si>
  <si>
    <t>w375084335-400</t>
  </si>
  <si>
    <t>at grid node - w375084335-400</t>
  </si>
  <si>
    <t>w439006823-400</t>
  </si>
  <si>
    <t>at grid node - w439006823-400</t>
  </si>
  <si>
    <t>IN265-400</t>
  </si>
  <si>
    <t>at grid node - IN265-400</t>
  </si>
  <si>
    <t>w608461884-765</t>
  </si>
  <si>
    <t>at grid node - w608461884-765</t>
  </si>
  <si>
    <t>w374367235-400</t>
  </si>
  <si>
    <t>at grid node - w374367235-400</t>
  </si>
  <si>
    <t>IN610-765</t>
  </si>
  <si>
    <t>at grid node - IN610-765</t>
  </si>
  <si>
    <t>IN155-400</t>
  </si>
  <si>
    <t>at grid node - IN155-400</t>
  </si>
  <si>
    <t>w97392607-400</t>
  </si>
  <si>
    <t>at grid node - w97392607-400</t>
  </si>
  <si>
    <t>IN742-765</t>
  </si>
  <si>
    <t>at grid node - IN742-765</t>
  </si>
  <si>
    <t>w116541259-400</t>
  </si>
  <si>
    <t>at grid node - w116541259-400</t>
  </si>
  <si>
    <t>w245128370-765</t>
  </si>
  <si>
    <t>at grid node - w245128370-765</t>
  </si>
  <si>
    <t>IN749-765</t>
  </si>
  <si>
    <t>at grid node - IN749-765</t>
  </si>
  <si>
    <t>EN_STG8hbNREL,EN_STG4hbNREL</t>
  </si>
  <si>
    <t>w1341291951-765</t>
  </si>
  <si>
    <t>at grid node - w1341291951-765</t>
  </si>
  <si>
    <t>w1078426593-765</t>
  </si>
  <si>
    <t>at grid node - w1078426593-765</t>
  </si>
  <si>
    <t>IN803-765</t>
  </si>
  <si>
    <t>at grid node - IN803-765</t>
  </si>
  <si>
    <t>IN473-765</t>
  </si>
  <si>
    <t>at grid node - IN473-765</t>
  </si>
  <si>
    <t>w453513742-765</t>
  </si>
  <si>
    <t>at grid node - w453513742-765</t>
  </si>
  <si>
    <t>IN476-765</t>
  </si>
  <si>
    <t>at grid node - IN476-765</t>
  </si>
  <si>
    <t>w209826798-765</t>
  </si>
  <si>
    <t>at grid node - w209826798-765</t>
  </si>
  <si>
    <t>IN218-765</t>
  </si>
  <si>
    <t>at grid node - IN218-765</t>
  </si>
  <si>
    <t>w342204888-765</t>
  </si>
  <si>
    <t>at grid node - w342204888-765</t>
  </si>
  <si>
    <t>w686891085-765</t>
  </si>
  <si>
    <t>at grid node - w686891085-765</t>
  </si>
  <si>
    <t>IN148-765</t>
  </si>
  <si>
    <t>at grid node - IN148-765</t>
  </si>
  <si>
    <t>IN275-765</t>
  </si>
  <si>
    <t>at grid node - IN275-765</t>
  </si>
  <si>
    <t>IN191-765</t>
  </si>
  <si>
    <t>at grid node - IN191-765</t>
  </si>
  <si>
    <t>w466424134-765</t>
  </si>
  <si>
    <t>at grid node - w466424134-765</t>
  </si>
  <si>
    <t>w631917408-765</t>
  </si>
  <si>
    <t>at grid node - w631917408-765</t>
  </si>
  <si>
    <t>IN205-765</t>
  </si>
  <si>
    <t>at grid node - IN205-765</t>
  </si>
  <si>
    <t>IN404-765</t>
  </si>
  <si>
    <t>at grid node - IN404-765</t>
  </si>
  <si>
    <t>w315477169-765</t>
  </si>
  <si>
    <t>at grid node - w315477169-765</t>
  </si>
  <si>
    <t>IN283-765</t>
  </si>
  <si>
    <t>at grid node - IN283-765</t>
  </si>
  <si>
    <t>w1001700959-765</t>
  </si>
  <si>
    <t>at grid node - w1001700959-765</t>
  </si>
  <si>
    <t>w1336628403-765</t>
  </si>
  <si>
    <t>at grid node - w1336628403-765</t>
  </si>
  <si>
    <t>w1127651311-765</t>
  </si>
  <si>
    <t>at grid node - w1127651311-765</t>
  </si>
  <si>
    <t>IN187-765</t>
  </si>
  <si>
    <t>at grid node - IN187-765</t>
  </si>
  <si>
    <t>IN215-765</t>
  </si>
  <si>
    <t>at grid node - IN215-765</t>
  </si>
  <si>
    <t>IN199-765</t>
  </si>
  <si>
    <t>at grid node - IN199-765</t>
  </si>
  <si>
    <t>IN292-765</t>
  </si>
  <si>
    <t>at grid node - IN292-765</t>
  </si>
  <si>
    <t>IN253-765</t>
  </si>
  <si>
    <t>at grid node - IN253-765</t>
  </si>
  <si>
    <t>w318050929-765</t>
  </si>
  <si>
    <t>at grid node - w318050929-765</t>
  </si>
  <si>
    <t>IN246-765</t>
  </si>
  <si>
    <t>at grid node - IN246-765</t>
  </si>
  <si>
    <t>w1143180503-765</t>
  </si>
  <si>
    <t>at grid node - w1143180503-765</t>
  </si>
  <si>
    <t>IN373-765</t>
  </si>
  <si>
    <t>at grid node - IN373-765</t>
  </si>
  <si>
    <t>IN206-765</t>
  </si>
  <si>
    <t>at grid node - IN206-765</t>
  </si>
  <si>
    <t>IN180-765</t>
  </si>
  <si>
    <t>at grid node - IN180-765</t>
  </si>
  <si>
    <t>IN642-765</t>
  </si>
  <si>
    <t>at grid node - IN642-765</t>
  </si>
  <si>
    <t>IN809-765</t>
  </si>
  <si>
    <t>at grid node - IN809-765</t>
  </si>
  <si>
    <t>w1415199647-765</t>
  </si>
  <si>
    <t>at grid node - w1415199647-765</t>
  </si>
  <si>
    <t>w311103617-765</t>
  </si>
  <si>
    <t>at grid node - w311103617-765</t>
  </si>
  <si>
    <t>e_demand,ev_battery,H2prd_Elc_PEM,H2prd_Elc_ALK</t>
  </si>
  <si>
    <t>w274106872-765</t>
  </si>
  <si>
    <t>at grid node - w274106872-765</t>
  </si>
  <si>
    <t>w360424761-765</t>
  </si>
  <si>
    <t>at grid node - w360424761-765</t>
  </si>
  <si>
    <t>w369866141-765</t>
  </si>
  <si>
    <t>at grid node - w369866141-765</t>
  </si>
  <si>
    <t>w801704865-765</t>
  </si>
  <si>
    <t>at grid node - w801704865-765</t>
  </si>
  <si>
    <t>w655683221-765</t>
  </si>
  <si>
    <t>at grid node - w655683221-765</t>
  </si>
  <si>
    <t>w759521252-765</t>
  </si>
  <si>
    <t>at grid node - w759521252-765</t>
  </si>
  <si>
    <t>w793144832-765</t>
  </si>
  <si>
    <t>at grid node - w793144832-765</t>
  </si>
  <si>
    <t>IN302-765</t>
  </si>
  <si>
    <t>at grid node - IN302-765</t>
  </si>
  <si>
    <t>w93160503-400</t>
  </si>
  <si>
    <t>at grid node - w93160503-400</t>
  </si>
  <si>
    <t>w485873934-400</t>
  </si>
  <si>
    <t>at grid node - w485873934-400</t>
  </si>
  <si>
    <t>w1012817818-400</t>
  </si>
  <si>
    <t>at grid node - w1012817818-400</t>
  </si>
  <si>
    <t>IN285-400</t>
  </si>
  <si>
    <t>at grid node - IN285-400</t>
  </si>
  <si>
    <t>IN262-400</t>
  </si>
  <si>
    <t>at grid node - IN262-400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</si>
</sst>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0" xfId="0" applyNumberFormat="1"/>
    <xf numFmtId="0" fontId="1" fillId="0" borderId="0" xfId="0" applyFon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8E9BAB-B98F-4B82-9042-51EABC9ED525}">
  <dimension ref="B3:T164"/>
  <sheetViews>
    <sheetView workbookViewId="0"/>
  </sheetViews>
  <sheetFormatPr defaultRowHeight="14.25" x14ac:dyDescent="0.45"/>
  <sheetData>
    <row r="3" spans="2:20" x14ac:dyDescent="0.45">
      <c r="B3" t="s">
        <v>58</v>
      </c>
    </row>
    <row r="4" spans="2:20" x14ac:dyDescent="0.45">
      <c r="B4" t="s">
        <v>21</v>
      </c>
      <c r="C4" t="s">
        <v>60</v>
      </c>
    </row>
    <row r="5" spans="2:20" x14ac:dyDescent="0.45">
      <c r="B5" t="s">
        <v>59</v>
      </c>
      <c r="C5">
        <v>1</v>
      </c>
    </row>
    <row r="9" spans="2:20" x14ac:dyDescent="0.45">
      <c r="B9" t="s">
        <v>75</v>
      </c>
      <c r="G9" t="s">
        <v>75</v>
      </c>
      <c r="L9" t="s">
        <v>75</v>
      </c>
      <c r="Q9" t="s">
        <v>75</v>
      </c>
    </row>
    <row r="10" spans="2:20" x14ac:dyDescent="0.45">
      <c r="B10" t="s">
        <v>33</v>
      </c>
      <c r="C10" t="s">
        <v>76</v>
      </c>
      <c r="D10" t="s">
        <v>77</v>
      </c>
      <c r="E10" t="s">
        <v>21</v>
      </c>
      <c r="G10" t="s">
        <v>33</v>
      </c>
      <c r="H10" t="s">
        <v>76</v>
      </c>
      <c r="I10" t="s">
        <v>77</v>
      </c>
      <c r="J10" t="s">
        <v>21</v>
      </c>
      <c r="L10" t="s">
        <v>33</v>
      </c>
      <c r="M10" t="s">
        <v>76</v>
      </c>
      <c r="N10" t="s">
        <v>77</v>
      </c>
      <c r="O10" t="s">
        <v>21</v>
      </c>
      <c r="Q10" t="s">
        <v>33</v>
      </c>
      <c r="R10" t="s">
        <v>76</v>
      </c>
      <c r="S10" t="s">
        <v>77</v>
      </c>
      <c r="T10" t="s">
        <v>21</v>
      </c>
    </row>
    <row r="11" spans="2:20" x14ac:dyDescent="0.45">
      <c r="B11" t="s">
        <v>78</v>
      </c>
      <c r="C11" t="s">
        <v>79</v>
      </c>
      <c r="D11" t="s">
        <v>80</v>
      </c>
      <c r="E11" t="s">
        <v>81</v>
      </c>
      <c r="G11" t="s">
        <v>78</v>
      </c>
      <c r="H11" t="s">
        <v>142</v>
      </c>
      <c r="I11" t="s">
        <v>143</v>
      </c>
      <c r="J11" t="s">
        <v>246</v>
      </c>
      <c r="L11" t="s">
        <v>78</v>
      </c>
      <c r="M11" t="s">
        <v>79</v>
      </c>
      <c r="N11" t="s">
        <v>80</v>
      </c>
      <c r="O11" t="s">
        <v>315</v>
      </c>
      <c r="Q11" t="s">
        <v>78</v>
      </c>
      <c r="R11" t="s">
        <v>206</v>
      </c>
      <c r="S11" t="s">
        <v>207</v>
      </c>
      <c r="T11" t="s">
        <v>390</v>
      </c>
    </row>
    <row r="12" spans="2:20" x14ac:dyDescent="0.45">
      <c r="B12" t="s">
        <v>78</v>
      </c>
      <c r="C12" t="s">
        <v>82</v>
      </c>
      <c r="D12" t="s">
        <v>83</v>
      </c>
      <c r="E12" t="s">
        <v>81</v>
      </c>
      <c r="G12" t="s">
        <v>78</v>
      </c>
      <c r="H12" t="s">
        <v>247</v>
      </c>
      <c r="I12" t="s">
        <v>248</v>
      </c>
      <c r="J12" t="s">
        <v>246</v>
      </c>
      <c r="L12" t="s">
        <v>78</v>
      </c>
      <c r="M12" t="s">
        <v>82</v>
      </c>
      <c r="N12" t="s">
        <v>83</v>
      </c>
      <c r="O12" t="s">
        <v>315</v>
      </c>
      <c r="Q12" t="s">
        <v>78</v>
      </c>
      <c r="R12" t="s">
        <v>108</v>
      </c>
      <c r="S12" t="s">
        <v>109</v>
      </c>
      <c r="T12" t="s">
        <v>390</v>
      </c>
    </row>
    <row r="13" spans="2:20" x14ac:dyDescent="0.45">
      <c r="B13" t="s">
        <v>78</v>
      </c>
      <c r="C13" t="s">
        <v>84</v>
      </c>
      <c r="D13" t="s">
        <v>85</v>
      </c>
      <c r="E13" t="s">
        <v>81</v>
      </c>
      <c r="G13" t="s">
        <v>78</v>
      </c>
      <c r="H13" t="s">
        <v>178</v>
      </c>
      <c r="I13" t="s">
        <v>179</v>
      </c>
      <c r="J13" t="s">
        <v>246</v>
      </c>
      <c r="L13" t="s">
        <v>78</v>
      </c>
      <c r="M13" t="s">
        <v>84</v>
      </c>
      <c r="N13" t="s">
        <v>85</v>
      </c>
      <c r="O13" t="s">
        <v>315</v>
      </c>
      <c r="Q13" t="s">
        <v>78</v>
      </c>
      <c r="R13" t="s">
        <v>391</v>
      </c>
      <c r="S13" t="s">
        <v>392</v>
      </c>
      <c r="T13" t="s">
        <v>390</v>
      </c>
    </row>
    <row r="14" spans="2:20" x14ac:dyDescent="0.45">
      <c r="B14" t="s">
        <v>78</v>
      </c>
      <c r="C14" t="s">
        <v>86</v>
      </c>
      <c r="D14" t="s">
        <v>87</v>
      </c>
      <c r="E14" t="s">
        <v>81</v>
      </c>
      <c r="G14" t="s">
        <v>78</v>
      </c>
      <c r="H14" t="s">
        <v>249</v>
      </c>
      <c r="I14" t="s">
        <v>250</v>
      </c>
      <c r="J14" t="s">
        <v>246</v>
      </c>
      <c r="L14" t="s">
        <v>78</v>
      </c>
      <c r="M14" t="s">
        <v>86</v>
      </c>
      <c r="N14" t="s">
        <v>87</v>
      </c>
      <c r="O14" t="s">
        <v>315</v>
      </c>
      <c r="Q14" t="s">
        <v>78</v>
      </c>
      <c r="R14" t="s">
        <v>228</v>
      </c>
      <c r="S14" t="s">
        <v>229</v>
      </c>
      <c r="T14" t="s">
        <v>390</v>
      </c>
    </row>
    <row r="15" spans="2:20" x14ac:dyDescent="0.45">
      <c r="B15" t="s">
        <v>78</v>
      </c>
      <c r="C15" t="s">
        <v>88</v>
      </c>
      <c r="D15" t="s">
        <v>89</v>
      </c>
      <c r="E15" t="s">
        <v>81</v>
      </c>
      <c r="G15" t="s">
        <v>78</v>
      </c>
      <c r="H15" t="s">
        <v>216</v>
      </c>
      <c r="I15" t="s">
        <v>217</v>
      </c>
      <c r="J15" t="s">
        <v>246</v>
      </c>
      <c r="L15" t="s">
        <v>78</v>
      </c>
      <c r="M15" t="s">
        <v>88</v>
      </c>
      <c r="N15" t="s">
        <v>89</v>
      </c>
      <c r="O15" t="s">
        <v>315</v>
      </c>
      <c r="Q15" t="s">
        <v>78</v>
      </c>
      <c r="R15" t="s">
        <v>388</v>
      </c>
      <c r="S15" t="s">
        <v>389</v>
      </c>
      <c r="T15" t="s">
        <v>390</v>
      </c>
    </row>
    <row r="16" spans="2:20" x14ac:dyDescent="0.45">
      <c r="B16" t="s">
        <v>78</v>
      </c>
      <c r="C16" t="s">
        <v>90</v>
      </c>
      <c r="D16" t="s">
        <v>91</v>
      </c>
      <c r="E16" t="s">
        <v>81</v>
      </c>
      <c r="G16" t="s">
        <v>78</v>
      </c>
      <c r="H16" t="s">
        <v>232</v>
      </c>
      <c r="I16" t="s">
        <v>233</v>
      </c>
      <c r="J16" t="s">
        <v>246</v>
      </c>
      <c r="L16" t="s">
        <v>78</v>
      </c>
      <c r="M16" t="s">
        <v>90</v>
      </c>
      <c r="N16" t="s">
        <v>91</v>
      </c>
      <c r="O16" t="s">
        <v>315</v>
      </c>
      <c r="Q16" t="s">
        <v>78</v>
      </c>
      <c r="R16" t="s">
        <v>82</v>
      </c>
      <c r="S16" t="s">
        <v>83</v>
      </c>
      <c r="T16" t="s">
        <v>390</v>
      </c>
    </row>
    <row r="17" spans="2:20" x14ac:dyDescent="0.45">
      <c r="B17" t="s">
        <v>78</v>
      </c>
      <c r="C17" t="s">
        <v>92</v>
      </c>
      <c r="D17" t="s">
        <v>93</v>
      </c>
      <c r="E17" t="s">
        <v>81</v>
      </c>
      <c r="G17" t="s">
        <v>78</v>
      </c>
      <c r="H17" t="s">
        <v>251</v>
      </c>
      <c r="I17" t="s">
        <v>252</v>
      </c>
      <c r="J17" t="s">
        <v>246</v>
      </c>
      <c r="L17" t="s">
        <v>78</v>
      </c>
      <c r="M17" t="s">
        <v>92</v>
      </c>
      <c r="N17" t="s">
        <v>93</v>
      </c>
      <c r="O17" t="s">
        <v>315</v>
      </c>
      <c r="Q17" t="s">
        <v>78</v>
      </c>
      <c r="R17" t="s">
        <v>214</v>
      </c>
      <c r="S17" t="s">
        <v>215</v>
      </c>
      <c r="T17" t="s">
        <v>390</v>
      </c>
    </row>
    <row r="18" spans="2:20" x14ac:dyDescent="0.45">
      <c r="B18" t="s">
        <v>78</v>
      </c>
      <c r="C18" t="s">
        <v>94</v>
      </c>
      <c r="D18" t="s">
        <v>95</v>
      </c>
      <c r="E18" t="s">
        <v>81</v>
      </c>
      <c r="G18" t="s">
        <v>78</v>
      </c>
      <c r="H18" t="s">
        <v>253</v>
      </c>
      <c r="I18" t="s">
        <v>254</v>
      </c>
      <c r="J18" t="s">
        <v>246</v>
      </c>
      <c r="L18" t="s">
        <v>78</v>
      </c>
      <c r="M18" t="s">
        <v>94</v>
      </c>
      <c r="N18" t="s">
        <v>95</v>
      </c>
      <c r="O18" t="s">
        <v>315</v>
      </c>
      <c r="Q18" t="s">
        <v>78</v>
      </c>
      <c r="R18" t="s">
        <v>289</v>
      </c>
      <c r="S18" t="s">
        <v>290</v>
      </c>
      <c r="T18" t="s">
        <v>390</v>
      </c>
    </row>
    <row r="19" spans="2:20" x14ac:dyDescent="0.45">
      <c r="B19" t="s">
        <v>78</v>
      </c>
      <c r="C19" t="s">
        <v>96</v>
      </c>
      <c r="D19" t="s">
        <v>97</v>
      </c>
      <c r="E19" t="s">
        <v>81</v>
      </c>
      <c r="G19" t="s">
        <v>78</v>
      </c>
      <c r="H19" t="s">
        <v>255</v>
      </c>
      <c r="I19" t="s">
        <v>256</v>
      </c>
      <c r="J19" t="s">
        <v>246</v>
      </c>
      <c r="L19" t="s">
        <v>78</v>
      </c>
      <c r="M19" t="s">
        <v>96</v>
      </c>
      <c r="N19" t="s">
        <v>97</v>
      </c>
      <c r="O19" t="s">
        <v>315</v>
      </c>
      <c r="Q19" t="s">
        <v>78</v>
      </c>
      <c r="R19" t="s">
        <v>134</v>
      </c>
      <c r="S19" t="s">
        <v>135</v>
      </c>
      <c r="T19" t="s">
        <v>390</v>
      </c>
    </row>
    <row r="20" spans="2:20" x14ac:dyDescent="0.45">
      <c r="B20" t="s">
        <v>78</v>
      </c>
      <c r="C20" t="s">
        <v>98</v>
      </c>
      <c r="D20" t="s">
        <v>99</v>
      </c>
      <c r="E20" t="s">
        <v>81</v>
      </c>
      <c r="G20" t="s">
        <v>78</v>
      </c>
      <c r="H20" t="s">
        <v>257</v>
      </c>
      <c r="I20" t="s">
        <v>258</v>
      </c>
      <c r="J20" t="s">
        <v>246</v>
      </c>
      <c r="L20" t="s">
        <v>78</v>
      </c>
      <c r="M20" t="s">
        <v>98</v>
      </c>
      <c r="N20" t="s">
        <v>99</v>
      </c>
      <c r="O20" t="s">
        <v>315</v>
      </c>
      <c r="Q20" t="s">
        <v>78</v>
      </c>
      <c r="R20" t="s">
        <v>232</v>
      </c>
      <c r="S20" t="s">
        <v>233</v>
      </c>
      <c r="T20" t="s">
        <v>390</v>
      </c>
    </row>
    <row r="21" spans="2:20" x14ac:dyDescent="0.45">
      <c r="B21" t="s">
        <v>78</v>
      </c>
      <c r="C21" t="s">
        <v>100</v>
      </c>
      <c r="D21" t="s">
        <v>101</v>
      </c>
      <c r="E21" t="s">
        <v>81</v>
      </c>
      <c r="G21" t="s">
        <v>78</v>
      </c>
      <c r="H21" t="s">
        <v>100</v>
      </c>
      <c r="I21" t="s">
        <v>101</v>
      </c>
      <c r="J21" t="s">
        <v>246</v>
      </c>
      <c r="L21" t="s">
        <v>78</v>
      </c>
      <c r="M21" t="s">
        <v>100</v>
      </c>
      <c r="N21" t="s">
        <v>101</v>
      </c>
      <c r="O21" t="s">
        <v>315</v>
      </c>
      <c r="Q21" t="s">
        <v>78</v>
      </c>
      <c r="R21" t="s">
        <v>86</v>
      </c>
      <c r="S21" t="s">
        <v>87</v>
      </c>
      <c r="T21" t="s">
        <v>390</v>
      </c>
    </row>
    <row r="22" spans="2:20" x14ac:dyDescent="0.45">
      <c r="B22" t="s">
        <v>78</v>
      </c>
      <c r="C22" t="s">
        <v>102</v>
      </c>
      <c r="D22" t="s">
        <v>103</v>
      </c>
      <c r="E22" t="s">
        <v>81</v>
      </c>
      <c r="G22" t="s">
        <v>78</v>
      </c>
      <c r="H22" t="s">
        <v>259</v>
      </c>
      <c r="I22" t="s">
        <v>260</v>
      </c>
      <c r="J22" t="s">
        <v>246</v>
      </c>
      <c r="L22" t="s">
        <v>78</v>
      </c>
      <c r="M22" t="s">
        <v>316</v>
      </c>
      <c r="N22" t="s">
        <v>317</v>
      </c>
      <c r="O22" t="s">
        <v>315</v>
      </c>
      <c r="Q22" t="s">
        <v>78</v>
      </c>
      <c r="R22" t="s">
        <v>332</v>
      </c>
      <c r="S22" t="s">
        <v>333</v>
      </c>
      <c r="T22" t="s">
        <v>390</v>
      </c>
    </row>
    <row r="23" spans="2:20" x14ac:dyDescent="0.45">
      <c r="B23" t="s">
        <v>78</v>
      </c>
      <c r="C23" t="s">
        <v>104</v>
      </c>
      <c r="D23" t="s">
        <v>105</v>
      </c>
      <c r="E23" t="s">
        <v>81</v>
      </c>
      <c r="G23" t="s">
        <v>78</v>
      </c>
      <c r="H23" t="s">
        <v>218</v>
      </c>
      <c r="I23" t="s">
        <v>219</v>
      </c>
      <c r="J23" t="s">
        <v>246</v>
      </c>
      <c r="L23" t="s">
        <v>78</v>
      </c>
      <c r="M23" t="s">
        <v>178</v>
      </c>
      <c r="N23" t="s">
        <v>179</v>
      </c>
      <c r="O23" t="s">
        <v>315</v>
      </c>
      <c r="Q23" t="s">
        <v>78</v>
      </c>
      <c r="R23" t="s">
        <v>261</v>
      </c>
      <c r="S23" t="s">
        <v>262</v>
      </c>
      <c r="T23" t="s">
        <v>390</v>
      </c>
    </row>
    <row r="24" spans="2:20" x14ac:dyDescent="0.45">
      <c r="B24" t="s">
        <v>78</v>
      </c>
      <c r="C24" t="s">
        <v>106</v>
      </c>
      <c r="D24" t="s">
        <v>107</v>
      </c>
      <c r="E24" t="s">
        <v>81</v>
      </c>
      <c r="G24" t="s">
        <v>78</v>
      </c>
      <c r="H24" t="s">
        <v>242</v>
      </c>
      <c r="I24" t="s">
        <v>243</v>
      </c>
      <c r="J24" t="s">
        <v>246</v>
      </c>
      <c r="L24" t="s">
        <v>78</v>
      </c>
      <c r="M24" t="s">
        <v>102</v>
      </c>
      <c r="N24" t="s">
        <v>103</v>
      </c>
      <c r="O24" t="s">
        <v>315</v>
      </c>
      <c r="Q24" t="s">
        <v>78</v>
      </c>
      <c r="R24" t="s">
        <v>238</v>
      </c>
      <c r="S24" t="s">
        <v>239</v>
      </c>
      <c r="T24" t="s">
        <v>390</v>
      </c>
    </row>
    <row r="25" spans="2:20" x14ac:dyDescent="0.45">
      <c r="B25" t="s">
        <v>78</v>
      </c>
      <c r="C25" t="s">
        <v>108</v>
      </c>
      <c r="D25" t="s">
        <v>109</v>
      </c>
      <c r="E25" t="s">
        <v>81</v>
      </c>
      <c r="G25" t="s">
        <v>78</v>
      </c>
      <c r="H25" t="s">
        <v>261</v>
      </c>
      <c r="I25" t="s">
        <v>262</v>
      </c>
      <c r="J25" t="s">
        <v>246</v>
      </c>
      <c r="L25" t="s">
        <v>78</v>
      </c>
      <c r="M25" t="s">
        <v>104</v>
      </c>
      <c r="N25" t="s">
        <v>105</v>
      </c>
      <c r="O25" t="s">
        <v>315</v>
      </c>
      <c r="Q25" t="s">
        <v>78</v>
      </c>
      <c r="R25" t="s">
        <v>393</v>
      </c>
      <c r="S25" t="s">
        <v>394</v>
      </c>
      <c r="T25" t="s">
        <v>390</v>
      </c>
    </row>
    <row r="26" spans="2:20" x14ac:dyDescent="0.45">
      <c r="B26" t="s">
        <v>78</v>
      </c>
      <c r="C26" t="s">
        <v>110</v>
      </c>
      <c r="D26" t="s">
        <v>111</v>
      </c>
      <c r="E26" t="s">
        <v>81</v>
      </c>
      <c r="G26" t="s">
        <v>78</v>
      </c>
      <c r="H26" t="s">
        <v>263</v>
      </c>
      <c r="I26" t="s">
        <v>264</v>
      </c>
      <c r="J26" t="s">
        <v>246</v>
      </c>
      <c r="L26" t="s">
        <v>78</v>
      </c>
      <c r="M26" t="s">
        <v>106</v>
      </c>
      <c r="N26" t="s">
        <v>107</v>
      </c>
      <c r="O26" t="s">
        <v>315</v>
      </c>
      <c r="Q26" t="s">
        <v>78</v>
      </c>
      <c r="R26" t="s">
        <v>395</v>
      </c>
      <c r="S26" t="s">
        <v>396</v>
      </c>
      <c r="T26" t="s">
        <v>390</v>
      </c>
    </row>
    <row r="27" spans="2:20" x14ac:dyDescent="0.45">
      <c r="B27" t="s">
        <v>78</v>
      </c>
      <c r="C27" t="s">
        <v>112</v>
      </c>
      <c r="D27" t="s">
        <v>113</v>
      </c>
      <c r="E27" t="s">
        <v>81</v>
      </c>
      <c r="G27" t="s">
        <v>78</v>
      </c>
      <c r="H27" t="s">
        <v>265</v>
      </c>
      <c r="I27" t="s">
        <v>266</v>
      </c>
      <c r="J27" t="s">
        <v>246</v>
      </c>
      <c r="L27" t="s">
        <v>78</v>
      </c>
      <c r="M27" t="s">
        <v>108</v>
      </c>
      <c r="N27" t="s">
        <v>109</v>
      </c>
      <c r="O27" t="s">
        <v>315</v>
      </c>
      <c r="Q27" t="s">
        <v>78</v>
      </c>
      <c r="R27" t="s">
        <v>216</v>
      </c>
      <c r="S27" t="s">
        <v>217</v>
      </c>
      <c r="T27" t="s">
        <v>390</v>
      </c>
    </row>
    <row r="28" spans="2:20" x14ac:dyDescent="0.45">
      <c r="B28" t="s">
        <v>78</v>
      </c>
      <c r="C28" t="s">
        <v>114</v>
      </c>
      <c r="D28" t="s">
        <v>115</v>
      </c>
      <c r="E28" t="s">
        <v>81</v>
      </c>
      <c r="G28" t="s">
        <v>78</v>
      </c>
      <c r="H28" t="s">
        <v>148</v>
      </c>
      <c r="I28" t="s">
        <v>149</v>
      </c>
      <c r="J28" t="s">
        <v>246</v>
      </c>
      <c r="L28" t="s">
        <v>78</v>
      </c>
      <c r="M28" t="s">
        <v>110</v>
      </c>
      <c r="N28" t="s">
        <v>111</v>
      </c>
      <c r="O28" t="s">
        <v>315</v>
      </c>
      <c r="Q28" t="s">
        <v>78</v>
      </c>
      <c r="R28" t="s">
        <v>132</v>
      </c>
      <c r="S28" t="s">
        <v>133</v>
      </c>
      <c r="T28" t="s">
        <v>390</v>
      </c>
    </row>
    <row r="29" spans="2:20" x14ac:dyDescent="0.45">
      <c r="B29" t="s">
        <v>78</v>
      </c>
      <c r="C29" t="s">
        <v>116</v>
      </c>
      <c r="D29" t="s">
        <v>117</v>
      </c>
      <c r="E29" t="s">
        <v>81</v>
      </c>
      <c r="G29" t="s">
        <v>78</v>
      </c>
      <c r="H29" t="s">
        <v>267</v>
      </c>
      <c r="I29" t="s">
        <v>268</v>
      </c>
      <c r="J29" t="s">
        <v>246</v>
      </c>
      <c r="L29" t="s">
        <v>78</v>
      </c>
      <c r="M29" t="s">
        <v>112</v>
      </c>
      <c r="N29" t="s">
        <v>113</v>
      </c>
      <c r="O29" t="s">
        <v>315</v>
      </c>
      <c r="Q29" t="s">
        <v>78</v>
      </c>
      <c r="R29" t="s">
        <v>192</v>
      </c>
      <c r="S29" t="s">
        <v>193</v>
      </c>
      <c r="T29" t="s">
        <v>390</v>
      </c>
    </row>
    <row r="30" spans="2:20" x14ac:dyDescent="0.45">
      <c r="B30" t="s">
        <v>78</v>
      </c>
      <c r="C30" t="s">
        <v>118</v>
      </c>
      <c r="D30" t="s">
        <v>119</v>
      </c>
      <c r="E30" t="s">
        <v>81</v>
      </c>
      <c r="G30" t="s">
        <v>78</v>
      </c>
      <c r="H30" t="s">
        <v>98</v>
      </c>
      <c r="I30" t="s">
        <v>99</v>
      </c>
      <c r="J30" t="s">
        <v>246</v>
      </c>
      <c r="L30" t="s">
        <v>78</v>
      </c>
      <c r="M30" t="s">
        <v>114</v>
      </c>
      <c r="N30" t="s">
        <v>115</v>
      </c>
      <c r="O30" t="s">
        <v>315</v>
      </c>
      <c r="Q30" t="s">
        <v>78</v>
      </c>
      <c r="R30" t="s">
        <v>176</v>
      </c>
      <c r="S30" t="s">
        <v>177</v>
      </c>
      <c r="T30" t="s">
        <v>390</v>
      </c>
    </row>
    <row r="31" spans="2:20" x14ac:dyDescent="0.45">
      <c r="B31" t="s">
        <v>78</v>
      </c>
      <c r="C31" t="s">
        <v>120</v>
      </c>
      <c r="D31" t="s">
        <v>121</v>
      </c>
      <c r="E31" t="s">
        <v>81</v>
      </c>
      <c r="G31" t="s">
        <v>78</v>
      </c>
      <c r="H31" t="s">
        <v>238</v>
      </c>
      <c r="I31" t="s">
        <v>239</v>
      </c>
      <c r="J31" t="s">
        <v>246</v>
      </c>
      <c r="L31" t="s">
        <v>78</v>
      </c>
      <c r="M31" t="s">
        <v>116</v>
      </c>
      <c r="N31" t="s">
        <v>117</v>
      </c>
      <c r="O31" t="s">
        <v>315</v>
      </c>
      <c r="Q31" t="s">
        <v>78</v>
      </c>
      <c r="R31" t="s">
        <v>90</v>
      </c>
      <c r="S31" t="s">
        <v>91</v>
      </c>
      <c r="T31" t="s">
        <v>390</v>
      </c>
    </row>
    <row r="32" spans="2:20" x14ac:dyDescent="0.45">
      <c r="B32" t="s">
        <v>78</v>
      </c>
      <c r="C32" t="s">
        <v>122</v>
      </c>
      <c r="D32" t="s">
        <v>123</v>
      </c>
      <c r="E32" t="s">
        <v>81</v>
      </c>
      <c r="G32" t="s">
        <v>78</v>
      </c>
      <c r="H32" t="s">
        <v>269</v>
      </c>
      <c r="I32" t="s">
        <v>270</v>
      </c>
      <c r="J32" t="s">
        <v>246</v>
      </c>
      <c r="L32" t="s">
        <v>78</v>
      </c>
      <c r="M32" t="s">
        <v>118</v>
      </c>
      <c r="N32" t="s">
        <v>119</v>
      </c>
      <c r="O32" t="s">
        <v>315</v>
      </c>
      <c r="Q32" t="s">
        <v>78</v>
      </c>
      <c r="R32" t="s">
        <v>242</v>
      </c>
      <c r="S32" t="s">
        <v>243</v>
      </c>
      <c r="T32" t="s">
        <v>390</v>
      </c>
    </row>
    <row r="33" spans="2:20" x14ac:dyDescent="0.45">
      <c r="B33" t="s">
        <v>78</v>
      </c>
      <c r="C33" t="s">
        <v>124</v>
      </c>
      <c r="D33" t="s">
        <v>125</v>
      </c>
      <c r="E33" t="s">
        <v>81</v>
      </c>
      <c r="G33" t="s">
        <v>78</v>
      </c>
      <c r="H33" t="s">
        <v>271</v>
      </c>
      <c r="I33" t="s">
        <v>272</v>
      </c>
      <c r="J33" t="s">
        <v>246</v>
      </c>
      <c r="L33" t="s">
        <v>78</v>
      </c>
      <c r="M33" t="s">
        <v>120</v>
      </c>
      <c r="N33" t="s">
        <v>121</v>
      </c>
      <c r="O33" t="s">
        <v>315</v>
      </c>
      <c r="Q33" t="s">
        <v>78</v>
      </c>
      <c r="R33" t="s">
        <v>104</v>
      </c>
      <c r="S33" t="s">
        <v>105</v>
      </c>
      <c r="T33" t="s">
        <v>390</v>
      </c>
    </row>
    <row r="34" spans="2:20" x14ac:dyDescent="0.45">
      <c r="B34" t="s">
        <v>78</v>
      </c>
      <c r="C34" t="s">
        <v>126</v>
      </c>
      <c r="D34" t="s">
        <v>127</v>
      </c>
      <c r="E34" t="s">
        <v>81</v>
      </c>
      <c r="G34" t="s">
        <v>78</v>
      </c>
      <c r="H34" t="s">
        <v>273</v>
      </c>
      <c r="I34" t="s">
        <v>274</v>
      </c>
      <c r="J34" t="s">
        <v>246</v>
      </c>
      <c r="L34" t="s">
        <v>78</v>
      </c>
      <c r="M34" t="s">
        <v>122</v>
      </c>
      <c r="N34" t="s">
        <v>123</v>
      </c>
      <c r="O34" t="s">
        <v>315</v>
      </c>
      <c r="Q34" t="s">
        <v>78</v>
      </c>
      <c r="R34" t="s">
        <v>84</v>
      </c>
      <c r="S34" t="s">
        <v>85</v>
      </c>
      <c r="T34" t="s">
        <v>390</v>
      </c>
    </row>
    <row r="35" spans="2:20" x14ac:dyDescent="0.45">
      <c r="B35" t="s">
        <v>78</v>
      </c>
      <c r="C35" t="s">
        <v>128</v>
      </c>
      <c r="D35" t="s">
        <v>129</v>
      </c>
      <c r="E35" t="s">
        <v>81</v>
      </c>
      <c r="G35" t="s">
        <v>78</v>
      </c>
      <c r="H35" t="s">
        <v>158</v>
      </c>
      <c r="I35" t="s">
        <v>159</v>
      </c>
      <c r="J35" t="s">
        <v>246</v>
      </c>
      <c r="L35" t="s">
        <v>78</v>
      </c>
      <c r="M35" t="s">
        <v>124</v>
      </c>
      <c r="N35" t="s">
        <v>125</v>
      </c>
      <c r="O35" t="s">
        <v>315</v>
      </c>
      <c r="Q35" t="s">
        <v>78</v>
      </c>
      <c r="R35" t="s">
        <v>324</v>
      </c>
      <c r="S35" t="s">
        <v>325</v>
      </c>
      <c r="T35" t="s">
        <v>390</v>
      </c>
    </row>
    <row r="36" spans="2:20" x14ac:dyDescent="0.45">
      <c r="B36" t="s">
        <v>78</v>
      </c>
      <c r="C36" t="s">
        <v>130</v>
      </c>
      <c r="D36" t="s">
        <v>131</v>
      </c>
      <c r="E36" t="s">
        <v>81</v>
      </c>
      <c r="G36" t="s">
        <v>78</v>
      </c>
      <c r="H36" t="s">
        <v>275</v>
      </c>
      <c r="I36" t="s">
        <v>276</v>
      </c>
      <c r="J36" t="s">
        <v>246</v>
      </c>
      <c r="L36" t="s">
        <v>78</v>
      </c>
      <c r="M36" t="s">
        <v>126</v>
      </c>
      <c r="N36" t="s">
        <v>127</v>
      </c>
      <c r="O36" t="s">
        <v>315</v>
      </c>
      <c r="Q36" t="s">
        <v>78</v>
      </c>
      <c r="R36" t="s">
        <v>342</v>
      </c>
      <c r="S36" t="s">
        <v>343</v>
      </c>
      <c r="T36" t="s">
        <v>390</v>
      </c>
    </row>
    <row r="37" spans="2:20" x14ac:dyDescent="0.45">
      <c r="B37" t="s">
        <v>78</v>
      </c>
      <c r="C37" t="s">
        <v>132</v>
      </c>
      <c r="D37" t="s">
        <v>133</v>
      </c>
      <c r="E37" t="s">
        <v>81</v>
      </c>
      <c r="G37" t="s">
        <v>78</v>
      </c>
      <c r="H37" t="s">
        <v>277</v>
      </c>
      <c r="I37" t="s">
        <v>278</v>
      </c>
      <c r="J37" t="s">
        <v>246</v>
      </c>
      <c r="L37" t="s">
        <v>78</v>
      </c>
      <c r="M37" t="s">
        <v>128</v>
      </c>
      <c r="N37" t="s">
        <v>129</v>
      </c>
      <c r="O37" t="s">
        <v>315</v>
      </c>
      <c r="Q37" t="s">
        <v>78</v>
      </c>
      <c r="R37" t="s">
        <v>397</v>
      </c>
      <c r="S37" t="s">
        <v>398</v>
      </c>
      <c r="T37" t="s">
        <v>390</v>
      </c>
    </row>
    <row r="38" spans="2:20" x14ac:dyDescent="0.45">
      <c r="B38" t="s">
        <v>78</v>
      </c>
      <c r="C38" t="s">
        <v>134</v>
      </c>
      <c r="D38" t="s">
        <v>135</v>
      </c>
      <c r="E38" t="s">
        <v>81</v>
      </c>
      <c r="G38" t="s">
        <v>78</v>
      </c>
      <c r="H38" t="s">
        <v>279</v>
      </c>
      <c r="I38" t="s">
        <v>280</v>
      </c>
      <c r="J38" t="s">
        <v>246</v>
      </c>
      <c r="L38" t="s">
        <v>78</v>
      </c>
      <c r="M38" t="s">
        <v>130</v>
      </c>
      <c r="N38" t="s">
        <v>131</v>
      </c>
      <c r="O38" t="s">
        <v>315</v>
      </c>
      <c r="Q38" t="s">
        <v>78</v>
      </c>
      <c r="R38" t="s">
        <v>100</v>
      </c>
      <c r="S38" t="s">
        <v>101</v>
      </c>
      <c r="T38" t="s">
        <v>390</v>
      </c>
    </row>
    <row r="39" spans="2:20" x14ac:dyDescent="0.45">
      <c r="B39" t="s">
        <v>78</v>
      </c>
      <c r="C39" t="s">
        <v>136</v>
      </c>
      <c r="D39" t="s">
        <v>137</v>
      </c>
      <c r="E39" t="s">
        <v>81</v>
      </c>
      <c r="G39" t="s">
        <v>78</v>
      </c>
      <c r="H39" t="s">
        <v>84</v>
      </c>
      <c r="I39" t="s">
        <v>85</v>
      </c>
      <c r="J39" t="s">
        <v>246</v>
      </c>
      <c r="L39" t="s">
        <v>78</v>
      </c>
      <c r="M39" t="s">
        <v>132</v>
      </c>
      <c r="N39" t="s">
        <v>133</v>
      </c>
      <c r="O39" t="s">
        <v>315</v>
      </c>
      <c r="Q39" t="s">
        <v>78</v>
      </c>
      <c r="R39" t="s">
        <v>138</v>
      </c>
      <c r="S39" t="s">
        <v>139</v>
      </c>
      <c r="T39" t="s">
        <v>390</v>
      </c>
    </row>
    <row r="40" spans="2:20" x14ac:dyDescent="0.45">
      <c r="B40" t="s">
        <v>78</v>
      </c>
      <c r="C40" t="s">
        <v>138</v>
      </c>
      <c r="D40" t="s">
        <v>139</v>
      </c>
      <c r="E40" t="s">
        <v>81</v>
      </c>
      <c r="G40" t="s">
        <v>78</v>
      </c>
      <c r="H40" t="s">
        <v>281</v>
      </c>
      <c r="I40" t="s">
        <v>282</v>
      </c>
      <c r="J40" t="s">
        <v>246</v>
      </c>
      <c r="L40" t="s">
        <v>78</v>
      </c>
      <c r="M40" t="s">
        <v>134</v>
      </c>
      <c r="N40" t="s">
        <v>135</v>
      </c>
      <c r="O40" t="s">
        <v>315</v>
      </c>
      <c r="Q40" t="s">
        <v>78</v>
      </c>
      <c r="R40" t="s">
        <v>399</v>
      </c>
      <c r="S40" t="s">
        <v>400</v>
      </c>
      <c r="T40" t="s">
        <v>390</v>
      </c>
    </row>
    <row r="41" spans="2:20" x14ac:dyDescent="0.45">
      <c r="B41" t="s">
        <v>78</v>
      </c>
      <c r="C41" t="s">
        <v>140</v>
      </c>
      <c r="D41" t="s">
        <v>141</v>
      </c>
      <c r="E41" t="s">
        <v>81</v>
      </c>
      <c r="G41" t="s">
        <v>78</v>
      </c>
      <c r="H41" t="s">
        <v>283</v>
      </c>
      <c r="I41" t="s">
        <v>284</v>
      </c>
      <c r="J41" t="s">
        <v>246</v>
      </c>
      <c r="L41" t="s">
        <v>78</v>
      </c>
      <c r="M41" t="s">
        <v>136</v>
      </c>
      <c r="N41" t="s">
        <v>137</v>
      </c>
      <c r="O41" t="s">
        <v>315</v>
      </c>
      <c r="Q41" t="s">
        <v>78</v>
      </c>
      <c r="R41" t="s">
        <v>150</v>
      </c>
      <c r="S41" t="s">
        <v>151</v>
      </c>
      <c r="T41" t="s">
        <v>390</v>
      </c>
    </row>
    <row r="42" spans="2:20" x14ac:dyDescent="0.45">
      <c r="B42" t="s">
        <v>78</v>
      </c>
      <c r="C42" t="s">
        <v>142</v>
      </c>
      <c r="D42" t="s">
        <v>143</v>
      </c>
      <c r="E42" t="s">
        <v>81</v>
      </c>
      <c r="G42" t="s">
        <v>78</v>
      </c>
      <c r="H42" t="s">
        <v>170</v>
      </c>
      <c r="I42" t="s">
        <v>171</v>
      </c>
      <c r="J42" t="s">
        <v>246</v>
      </c>
      <c r="L42" t="s">
        <v>78</v>
      </c>
      <c r="M42" t="s">
        <v>138</v>
      </c>
      <c r="N42" t="s">
        <v>139</v>
      </c>
      <c r="O42" t="s">
        <v>315</v>
      </c>
      <c r="Q42" t="s">
        <v>78</v>
      </c>
      <c r="R42" t="s">
        <v>401</v>
      </c>
      <c r="S42" t="s">
        <v>402</v>
      </c>
      <c r="T42" t="s">
        <v>390</v>
      </c>
    </row>
    <row r="43" spans="2:20" x14ac:dyDescent="0.45">
      <c r="B43" t="s">
        <v>78</v>
      </c>
      <c r="C43" t="s">
        <v>144</v>
      </c>
      <c r="D43" t="s">
        <v>145</v>
      </c>
      <c r="E43" t="s">
        <v>81</v>
      </c>
      <c r="G43" t="s">
        <v>78</v>
      </c>
      <c r="H43" t="s">
        <v>285</v>
      </c>
      <c r="I43" t="s">
        <v>286</v>
      </c>
      <c r="J43" t="s">
        <v>246</v>
      </c>
      <c r="L43" t="s">
        <v>78</v>
      </c>
      <c r="M43" t="s">
        <v>140</v>
      </c>
      <c r="N43" t="s">
        <v>141</v>
      </c>
      <c r="O43" t="s">
        <v>315</v>
      </c>
      <c r="Q43" t="s">
        <v>78</v>
      </c>
      <c r="R43" t="s">
        <v>403</v>
      </c>
      <c r="S43" t="s">
        <v>404</v>
      </c>
      <c r="T43" t="s">
        <v>390</v>
      </c>
    </row>
    <row r="44" spans="2:20" x14ac:dyDescent="0.45">
      <c r="B44" t="s">
        <v>78</v>
      </c>
      <c r="C44" t="s">
        <v>146</v>
      </c>
      <c r="D44" t="s">
        <v>147</v>
      </c>
      <c r="E44" t="s">
        <v>81</v>
      </c>
      <c r="G44" t="s">
        <v>78</v>
      </c>
      <c r="H44" t="s">
        <v>287</v>
      </c>
      <c r="I44" t="s">
        <v>288</v>
      </c>
      <c r="J44" t="s">
        <v>246</v>
      </c>
      <c r="L44" t="s">
        <v>78</v>
      </c>
      <c r="M44" t="s">
        <v>142</v>
      </c>
      <c r="N44" t="s">
        <v>143</v>
      </c>
      <c r="O44" t="s">
        <v>315</v>
      </c>
      <c r="Q44" t="s">
        <v>78</v>
      </c>
      <c r="R44" t="s">
        <v>88</v>
      </c>
      <c r="S44" t="s">
        <v>89</v>
      </c>
      <c r="T44" t="s">
        <v>390</v>
      </c>
    </row>
    <row r="45" spans="2:20" x14ac:dyDescent="0.45">
      <c r="B45" t="s">
        <v>78</v>
      </c>
      <c r="C45" t="s">
        <v>148</v>
      </c>
      <c r="D45" t="s">
        <v>149</v>
      </c>
      <c r="E45" t="s">
        <v>81</v>
      </c>
      <c r="G45" t="s">
        <v>78</v>
      </c>
      <c r="H45" t="s">
        <v>289</v>
      </c>
      <c r="I45" t="s">
        <v>290</v>
      </c>
      <c r="J45" t="s">
        <v>246</v>
      </c>
      <c r="L45" t="s">
        <v>78</v>
      </c>
      <c r="M45" t="s">
        <v>144</v>
      </c>
      <c r="N45" t="s">
        <v>145</v>
      </c>
      <c r="O45" t="s">
        <v>315</v>
      </c>
      <c r="Q45" t="s">
        <v>78</v>
      </c>
      <c r="R45" t="s">
        <v>144</v>
      </c>
      <c r="S45" t="s">
        <v>145</v>
      </c>
      <c r="T45" t="s">
        <v>390</v>
      </c>
    </row>
    <row r="46" spans="2:20" x14ac:dyDescent="0.45">
      <c r="B46" t="s">
        <v>78</v>
      </c>
      <c r="C46" t="s">
        <v>150</v>
      </c>
      <c r="D46" t="s">
        <v>151</v>
      </c>
      <c r="E46" t="s">
        <v>81</v>
      </c>
      <c r="G46" t="s">
        <v>78</v>
      </c>
      <c r="H46" t="s">
        <v>291</v>
      </c>
      <c r="I46" t="s">
        <v>292</v>
      </c>
      <c r="J46" t="s">
        <v>246</v>
      </c>
      <c r="L46" t="s">
        <v>78</v>
      </c>
      <c r="M46" t="s">
        <v>146</v>
      </c>
      <c r="N46" t="s">
        <v>147</v>
      </c>
      <c r="O46" t="s">
        <v>315</v>
      </c>
      <c r="Q46" t="s">
        <v>78</v>
      </c>
      <c r="R46" t="s">
        <v>358</v>
      </c>
      <c r="S46" t="s">
        <v>359</v>
      </c>
      <c r="T46" t="s">
        <v>390</v>
      </c>
    </row>
    <row r="47" spans="2:20" x14ac:dyDescent="0.45">
      <c r="B47" t="s">
        <v>78</v>
      </c>
      <c r="C47" t="s">
        <v>152</v>
      </c>
      <c r="D47" t="s">
        <v>153</v>
      </c>
      <c r="E47" t="s">
        <v>81</v>
      </c>
      <c r="G47" t="s">
        <v>78</v>
      </c>
      <c r="H47" t="s">
        <v>204</v>
      </c>
      <c r="I47" t="s">
        <v>205</v>
      </c>
      <c r="J47" t="s">
        <v>246</v>
      </c>
      <c r="L47" t="s">
        <v>78</v>
      </c>
      <c r="M47" t="s">
        <v>148</v>
      </c>
      <c r="N47" t="s">
        <v>149</v>
      </c>
      <c r="O47" t="s">
        <v>315</v>
      </c>
      <c r="Q47" t="s">
        <v>78</v>
      </c>
      <c r="R47" t="s">
        <v>168</v>
      </c>
      <c r="S47" t="s">
        <v>169</v>
      </c>
      <c r="T47" t="s">
        <v>390</v>
      </c>
    </row>
    <row r="48" spans="2:20" x14ac:dyDescent="0.45">
      <c r="B48" t="s">
        <v>78</v>
      </c>
      <c r="C48" t="s">
        <v>154</v>
      </c>
      <c r="D48" t="s">
        <v>155</v>
      </c>
      <c r="E48" t="s">
        <v>81</v>
      </c>
      <c r="G48" t="s">
        <v>78</v>
      </c>
      <c r="H48" t="s">
        <v>90</v>
      </c>
      <c r="I48" t="s">
        <v>91</v>
      </c>
      <c r="J48" t="s">
        <v>246</v>
      </c>
      <c r="L48" t="s">
        <v>78</v>
      </c>
      <c r="M48" t="s">
        <v>150</v>
      </c>
      <c r="N48" t="s">
        <v>151</v>
      </c>
      <c r="O48" t="s">
        <v>315</v>
      </c>
      <c r="Q48" t="s">
        <v>78</v>
      </c>
      <c r="R48" t="s">
        <v>386</v>
      </c>
      <c r="S48" t="s">
        <v>387</v>
      </c>
      <c r="T48" t="s">
        <v>390</v>
      </c>
    </row>
    <row r="49" spans="2:20" x14ac:dyDescent="0.45">
      <c r="B49" t="s">
        <v>78</v>
      </c>
      <c r="C49" t="s">
        <v>156</v>
      </c>
      <c r="D49" t="s">
        <v>157</v>
      </c>
      <c r="E49" t="s">
        <v>81</v>
      </c>
      <c r="G49" t="s">
        <v>78</v>
      </c>
      <c r="H49" t="s">
        <v>293</v>
      </c>
      <c r="I49" t="s">
        <v>294</v>
      </c>
      <c r="J49" t="s">
        <v>246</v>
      </c>
      <c r="L49" t="s">
        <v>78</v>
      </c>
      <c r="M49" t="s">
        <v>152</v>
      </c>
      <c r="N49" t="s">
        <v>153</v>
      </c>
      <c r="O49" t="s">
        <v>315</v>
      </c>
      <c r="Q49" t="s">
        <v>78</v>
      </c>
      <c r="R49" t="s">
        <v>322</v>
      </c>
      <c r="S49" t="s">
        <v>323</v>
      </c>
      <c r="T49" t="s">
        <v>390</v>
      </c>
    </row>
    <row r="50" spans="2:20" x14ac:dyDescent="0.45">
      <c r="B50" t="s">
        <v>78</v>
      </c>
      <c r="C50" t="s">
        <v>158</v>
      </c>
      <c r="D50" t="s">
        <v>159</v>
      </c>
      <c r="E50" t="s">
        <v>81</v>
      </c>
      <c r="G50" t="s">
        <v>78</v>
      </c>
      <c r="H50" t="s">
        <v>295</v>
      </c>
      <c r="I50" t="s">
        <v>296</v>
      </c>
      <c r="J50" t="s">
        <v>246</v>
      </c>
      <c r="L50" t="s">
        <v>78</v>
      </c>
      <c r="M50" t="s">
        <v>154</v>
      </c>
      <c r="N50" t="s">
        <v>155</v>
      </c>
      <c r="O50" t="s">
        <v>315</v>
      </c>
      <c r="Q50" t="s">
        <v>78</v>
      </c>
      <c r="R50" t="s">
        <v>251</v>
      </c>
      <c r="S50" t="s">
        <v>252</v>
      </c>
      <c r="T50" t="s">
        <v>390</v>
      </c>
    </row>
    <row r="51" spans="2:20" x14ac:dyDescent="0.45">
      <c r="B51" t="s">
        <v>78</v>
      </c>
      <c r="C51" t="s">
        <v>160</v>
      </c>
      <c r="D51" t="s">
        <v>161</v>
      </c>
      <c r="E51" t="s">
        <v>81</v>
      </c>
      <c r="G51" t="s">
        <v>78</v>
      </c>
      <c r="H51" t="s">
        <v>132</v>
      </c>
      <c r="I51" t="s">
        <v>133</v>
      </c>
      <c r="J51" t="s">
        <v>246</v>
      </c>
      <c r="L51" t="s">
        <v>78</v>
      </c>
      <c r="M51" t="s">
        <v>156</v>
      </c>
      <c r="N51" t="s">
        <v>157</v>
      </c>
      <c r="O51" t="s">
        <v>315</v>
      </c>
      <c r="Q51" t="s">
        <v>78</v>
      </c>
      <c r="R51" t="s">
        <v>320</v>
      </c>
      <c r="S51" t="s">
        <v>321</v>
      </c>
      <c r="T51" t="s">
        <v>390</v>
      </c>
    </row>
    <row r="52" spans="2:20" x14ac:dyDescent="0.45">
      <c r="B52" t="s">
        <v>78</v>
      </c>
      <c r="C52" t="s">
        <v>162</v>
      </c>
      <c r="D52" t="s">
        <v>163</v>
      </c>
      <c r="E52" t="s">
        <v>81</v>
      </c>
      <c r="G52" t="s">
        <v>78</v>
      </c>
      <c r="H52" t="s">
        <v>297</v>
      </c>
      <c r="I52" t="s">
        <v>298</v>
      </c>
      <c r="J52" t="s">
        <v>246</v>
      </c>
      <c r="L52" t="s">
        <v>78</v>
      </c>
      <c r="M52" t="s">
        <v>158</v>
      </c>
      <c r="N52" t="s">
        <v>159</v>
      </c>
      <c r="O52" t="s">
        <v>315</v>
      </c>
      <c r="Q52" t="s">
        <v>78</v>
      </c>
      <c r="R52" t="s">
        <v>285</v>
      </c>
      <c r="S52" t="s">
        <v>286</v>
      </c>
      <c r="T52" t="s">
        <v>390</v>
      </c>
    </row>
    <row r="53" spans="2:20" x14ac:dyDescent="0.45">
      <c r="B53" t="s">
        <v>78</v>
      </c>
      <c r="C53" t="s">
        <v>164</v>
      </c>
      <c r="D53" t="s">
        <v>165</v>
      </c>
      <c r="E53" t="s">
        <v>81</v>
      </c>
      <c r="G53" t="s">
        <v>78</v>
      </c>
      <c r="H53" t="s">
        <v>192</v>
      </c>
      <c r="I53" t="s">
        <v>193</v>
      </c>
      <c r="J53" t="s">
        <v>246</v>
      </c>
      <c r="L53" t="s">
        <v>78</v>
      </c>
      <c r="M53" t="s">
        <v>160</v>
      </c>
      <c r="N53" t="s">
        <v>161</v>
      </c>
      <c r="O53" t="s">
        <v>315</v>
      </c>
      <c r="Q53" t="s">
        <v>78</v>
      </c>
      <c r="R53" t="s">
        <v>178</v>
      </c>
      <c r="S53" t="s">
        <v>179</v>
      </c>
      <c r="T53" t="s">
        <v>390</v>
      </c>
    </row>
    <row r="54" spans="2:20" x14ac:dyDescent="0.45">
      <c r="B54" t="s">
        <v>78</v>
      </c>
      <c r="C54" t="s">
        <v>166</v>
      </c>
      <c r="D54" t="s">
        <v>167</v>
      </c>
      <c r="E54" t="s">
        <v>81</v>
      </c>
      <c r="G54" t="s">
        <v>78</v>
      </c>
      <c r="H54" t="s">
        <v>299</v>
      </c>
      <c r="I54" t="s">
        <v>300</v>
      </c>
      <c r="J54" t="s">
        <v>246</v>
      </c>
      <c r="L54" t="s">
        <v>78</v>
      </c>
      <c r="M54" t="s">
        <v>162</v>
      </c>
      <c r="N54" t="s">
        <v>163</v>
      </c>
      <c r="O54" t="s">
        <v>315</v>
      </c>
      <c r="Q54" t="s">
        <v>78</v>
      </c>
      <c r="R54" t="s">
        <v>259</v>
      </c>
      <c r="S54" t="s">
        <v>260</v>
      </c>
      <c r="T54" t="s">
        <v>390</v>
      </c>
    </row>
    <row r="55" spans="2:20" x14ac:dyDescent="0.45">
      <c r="B55" t="s">
        <v>78</v>
      </c>
      <c r="C55" t="s">
        <v>168</v>
      </c>
      <c r="D55" t="s">
        <v>169</v>
      </c>
      <c r="E55" t="s">
        <v>81</v>
      </c>
      <c r="G55" t="s">
        <v>78</v>
      </c>
      <c r="H55" t="s">
        <v>144</v>
      </c>
      <c r="I55" t="s">
        <v>145</v>
      </c>
      <c r="J55" t="s">
        <v>246</v>
      </c>
      <c r="L55" t="s">
        <v>78</v>
      </c>
      <c r="M55" t="s">
        <v>164</v>
      </c>
      <c r="N55" t="s">
        <v>165</v>
      </c>
      <c r="O55" t="s">
        <v>315</v>
      </c>
      <c r="Q55" t="s">
        <v>78</v>
      </c>
      <c r="R55" t="s">
        <v>384</v>
      </c>
      <c r="S55" t="s">
        <v>385</v>
      </c>
      <c r="T55" t="s">
        <v>390</v>
      </c>
    </row>
    <row r="56" spans="2:20" x14ac:dyDescent="0.45">
      <c r="B56" t="s">
        <v>78</v>
      </c>
      <c r="C56" t="s">
        <v>170</v>
      </c>
      <c r="D56" t="s">
        <v>171</v>
      </c>
      <c r="E56" t="s">
        <v>81</v>
      </c>
      <c r="G56" t="s">
        <v>78</v>
      </c>
      <c r="H56" t="s">
        <v>301</v>
      </c>
      <c r="I56" t="s">
        <v>302</v>
      </c>
      <c r="J56" t="s">
        <v>246</v>
      </c>
      <c r="L56" t="s">
        <v>78</v>
      </c>
      <c r="M56" t="s">
        <v>166</v>
      </c>
      <c r="N56" t="s">
        <v>167</v>
      </c>
      <c r="O56" t="s">
        <v>315</v>
      </c>
      <c r="Q56" t="s">
        <v>78</v>
      </c>
      <c r="R56" t="s">
        <v>281</v>
      </c>
      <c r="S56" t="s">
        <v>282</v>
      </c>
      <c r="T56" t="s">
        <v>390</v>
      </c>
    </row>
    <row r="57" spans="2:20" x14ac:dyDescent="0.45">
      <c r="B57" t="s">
        <v>78</v>
      </c>
      <c r="C57" t="s">
        <v>172</v>
      </c>
      <c r="D57" t="s">
        <v>173</v>
      </c>
      <c r="E57" t="s">
        <v>81</v>
      </c>
      <c r="G57" t="s">
        <v>78</v>
      </c>
      <c r="H57" t="s">
        <v>303</v>
      </c>
      <c r="I57" t="s">
        <v>304</v>
      </c>
      <c r="J57" t="s">
        <v>246</v>
      </c>
      <c r="L57" t="s">
        <v>78</v>
      </c>
      <c r="M57" t="s">
        <v>168</v>
      </c>
      <c r="N57" t="s">
        <v>169</v>
      </c>
      <c r="O57" t="s">
        <v>315</v>
      </c>
      <c r="Q57" t="s">
        <v>78</v>
      </c>
      <c r="R57" t="s">
        <v>405</v>
      </c>
      <c r="S57" t="s">
        <v>406</v>
      </c>
      <c r="T57" t="s">
        <v>390</v>
      </c>
    </row>
    <row r="58" spans="2:20" x14ac:dyDescent="0.45">
      <c r="B58" t="s">
        <v>78</v>
      </c>
      <c r="C58" t="s">
        <v>174</v>
      </c>
      <c r="D58" t="s">
        <v>175</v>
      </c>
      <c r="E58" t="s">
        <v>81</v>
      </c>
      <c r="G58" t="s">
        <v>78</v>
      </c>
      <c r="H58" t="s">
        <v>305</v>
      </c>
      <c r="I58" t="s">
        <v>306</v>
      </c>
      <c r="J58" t="s">
        <v>246</v>
      </c>
      <c r="L58" t="s">
        <v>78</v>
      </c>
      <c r="M58" t="s">
        <v>170</v>
      </c>
      <c r="N58" t="s">
        <v>171</v>
      </c>
      <c r="O58" t="s">
        <v>315</v>
      </c>
      <c r="Q58" t="s">
        <v>78</v>
      </c>
      <c r="R58" t="s">
        <v>407</v>
      </c>
      <c r="S58" t="s">
        <v>408</v>
      </c>
      <c r="T58" t="s">
        <v>390</v>
      </c>
    </row>
    <row r="59" spans="2:20" x14ac:dyDescent="0.45">
      <c r="B59" t="s">
        <v>78</v>
      </c>
      <c r="C59" t="s">
        <v>176</v>
      </c>
      <c r="D59" t="s">
        <v>177</v>
      </c>
      <c r="E59" t="s">
        <v>81</v>
      </c>
      <c r="G59" t="s">
        <v>78</v>
      </c>
      <c r="H59" t="s">
        <v>176</v>
      </c>
      <c r="I59" t="s">
        <v>177</v>
      </c>
      <c r="J59" t="s">
        <v>246</v>
      </c>
      <c r="L59" t="s">
        <v>78</v>
      </c>
      <c r="M59" t="s">
        <v>172</v>
      </c>
      <c r="N59" t="s">
        <v>173</v>
      </c>
      <c r="O59" t="s">
        <v>315</v>
      </c>
      <c r="Q59" t="s">
        <v>78</v>
      </c>
      <c r="R59" t="s">
        <v>146</v>
      </c>
      <c r="S59" t="s">
        <v>147</v>
      </c>
      <c r="T59" t="s">
        <v>390</v>
      </c>
    </row>
    <row r="60" spans="2:20" x14ac:dyDescent="0.45">
      <c r="B60" t="s">
        <v>78</v>
      </c>
      <c r="C60" t="s">
        <v>178</v>
      </c>
      <c r="D60" t="s">
        <v>179</v>
      </c>
      <c r="E60" t="s">
        <v>81</v>
      </c>
      <c r="G60" t="s">
        <v>78</v>
      </c>
      <c r="H60" t="s">
        <v>116</v>
      </c>
      <c r="I60" t="s">
        <v>117</v>
      </c>
      <c r="J60" t="s">
        <v>246</v>
      </c>
      <c r="L60" t="s">
        <v>78</v>
      </c>
      <c r="M60" t="s">
        <v>174</v>
      </c>
      <c r="N60" t="s">
        <v>175</v>
      </c>
      <c r="O60" t="s">
        <v>315</v>
      </c>
      <c r="Q60" t="s">
        <v>78</v>
      </c>
      <c r="R60" t="s">
        <v>253</v>
      </c>
      <c r="S60" t="s">
        <v>254</v>
      </c>
      <c r="T60" t="s">
        <v>390</v>
      </c>
    </row>
    <row r="61" spans="2:20" x14ac:dyDescent="0.45">
      <c r="B61" t="s">
        <v>78</v>
      </c>
      <c r="C61" t="s">
        <v>180</v>
      </c>
      <c r="D61" t="s">
        <v>181</v>
      </c>
      <c r="E61" t="s">
        <v>81</v>
      </c>
      <c r="G61" t="s">
        <v>78</v>
      </c>
      <c r="H61" t="s">
        <v>240</v>
      </c>
      <c r="I61" t="s">
        <v>241</v>
      </c>
      <c r="J61" t="s">
        <v>246</v>
      </c>
      <c r="L61" t="s">
        <v>78</v>
      </c>
      <c r="M61" t="s">
        <v>176</v>
      </c>
      <c r="N61" t="s">
        <v>177</v>
      </c>
      <c r="O61" t="s">
        <v>315</v>
      </c>
      <c r="Q61" t="s">
        <v>78</v>
      </c>
      <c r="R61" t="s">
        <v>194</v>
      </c>
      <c r="S61" t="s">
        <v>195</v>
      </c>
      <c r="T61" t="s">
        <v>390</v>
      </c>
    </row>
    <row r="62" spans="2:20" x14ac:dyDescent="0.45">
      <c r="B62" t="s">
        <v>78</v>
      </c>
      <c r="C62" t="s">
        <v>182</v>
      </c>
      <c r="D62" t="s">
        <v>183</v>
      </c>
      <c r="E62" t="s">
        <v>81</v>
      </c>
      <c r="G62" t="s">
        <v>78</v>
      </c>
      <c r="H62" t="s">
        <v>244</v>
      </c>
      <c r="I62" t="s">
        <v>245</v>
      </c>
      <c r="J62" t="s">
        <v>246</v>
      </c>
      <c r="L62" t="s">
        <v>78</v>
      </c>
      <c r="M62" t="s">
        <v>180</v>
      </c>
      <c r="N62" t="s">
        <v>181</v>
      </c>
      <c r="O62" t="s">
        <v>315</v>
      </c>
      <c r="Q62" t="s">
        <v>78</v>
      </c>
      <c r="R62" t="s">
        <v>409</v>
      </c>
      <c r="S62" t="s">
        <v>410</v>
      </c>
      <c r="T62" t="s">
        <v>390</v>
      </c>
    </row>
    <row r="63" spans="2:20" x14ac:dyDescent="0.45">
      <c r="B63" t="s">
        <v>78</v>
      </c>
      <c r="C63" t="s">
        <v>184</v>
      </c>
      <c r="D63" t="s">
        <v>185</v>
      </c>
      <c r="E63" t="s">
        <v>81</v>
      </c>
      <c r="G63" t="s">
        <v>78</v>
      </c>
      <c r="H63" t="s">
        <v>150</v>
      </c>
      <c r="I63" t="s">
        <v>151</v>
      </c>
      <c r="J63" t="s">
        <v>246</v>
      </c>
      <c r="L63" t="s">
        <v>78</v>
      </c>
      <c r="M63" t="s">
        <v>182</v>
      </c>
      <c r="N63" t="s">
        <v>183</v>
      </c>
      <c r="O63" t="s">
        <v>315</v>
      </c>
      <c r="Q63" t="s">
        <v>78</v>
      </c>
      <c r="R63" t="s">
        <v>411</v>
      </c>
      <c r="S63" t="s">
        <v>412</v>
      </c>
      <c r="T63" t="s">
        <v>390</v>
      </c>
    </row>
    <row r="64" spans="2:20" x14ac:dyDescent="0.45">
      <c r="B64" t="s">
        <v>78</v>
      </c>
      <c r="C64" t="s">
        <v>186</v>
      </c>
      <c r="D64" t="s">
        <v>187</v>
      </c>
      <c r="E64" t="s">
        <v>81</v>
      </c>
      <c r="G64" t="s">
        <v>78</v>
      </c>
      <c r="H64" t="s">
        <v>307</v>
      </c>
      <c r="I64" t="s">
        <v>308</v>
      </c>
      <c r="J64" t="s">
        <v>246</v>
      </c>
      <c r="L64" t="s">
        <v>78</v>
      </c>
      <c r="M64" t="s">
        <v>184</v>
      </c>
      <c r="N64" t="s">
        <v>185</v>
      </c>
      <c r="O64" t="s">
        <v>315</v>
      </c>
      <c r="Q64" t="s">
        <v>78</v>
      </c>
      <c r="R64" t="s">
        <v>413</v>
      </c>
      <c r="S64" t="s">
        <v>414</v>
      </c>
      <c r="T64" t="s">
        <v>390</v>
      </c>
    </row>
    <row r="65" spans="2:20" x14ac:dyDescent="0.45">
      <c r="B65" t="s">
        <v>78</v>
      </c>
      <c r="C65" t="s">
        <v>188</v>
      </c>
      <c r="D65" t="s">
        <v>189</v>
      </c>
      <c r="E65" t="s">
        <v>81</v>
      </c>
      <c r="G65" t="s">
        <v>78</v>
      </c>
      <c r="H65" t="s">
        <v>309</v>
      </c>
      <c r="I65" t="s">
        <v>310</v>
      </c>
      <c r="J65" t="s">
        <v>246</v>
      </c>
      <c r="L65" t="s">
        <v>78</v>
      </c>
      <c r="M65" t="s">
        <v>186</v>
      </c>
      <c r="N65" t="s">
        <v>187</v>
      </c>
      <c r="O65" t="s">
        <v>315</v>
      </c>
      <c r="Q65" t="s">
        <v>78</v>
      </c>
      <c r="R65" t="s">
        <v>263</v>
      </c>
      <c r="S65" t="s">
        <v>264</v>
      </c>
      <c r="T65" t="s">
        <v>390</v>
      </c>
    </row>
    <row r="66" spans="2:20" x14ac:dyDescent="0.45">
      <c r="B66" t="s">
        <v>78</v>
      </c>
      <c r="C66" t="s">
        <v>190</v>
      </c>
      <c r="D66" t="s">
        <v>191</v>
      </c>
      <c r="E66" t="s">
        <v>81</v>
      </c>
      <c r="G66" t="s">
        <v>78</v>
      </c>
      <c r="H66" t="s">
        <v>86</v>
      </c>
      <c r="I66" t="s">
        <v>87</v>
      </c>
      <c r="J66" t="s">
        <v>246</v>
      </c>
      <c r="L66" t="s">
        <v>78</v>
      </c>
      <c r="M66" t="s">
        <v>188</v>
      </c>
      <c r="N66" t="s">
        <v>189</v>
      </c>
      <c r="O66" t="s">
        <v>315</v>
      </c>
      <c r="Q66" t="s">
        <v>78</v>
      </c>
      <c r="R66" t="s">
        <v>415</v>
      </c>
      <c r="S66" t="s">
        <v>416</v>
      </c>
      <c r="T66" t="s">
        <v>390</v>
      </c>
    </row>
    <row r="67" spans="2:20" x14ac:dyDescent="0.45">
      <c r="B67" t="s">
        <v>78</v>
      </c>
      <c r="C67" t="s">
        <v>192</v>
      </c>
      <c r="D67" t="s">
        <v>193</v>
      </c>
      <c r="E67" t="s">
        <v>81</v>
      </c>
      <c r="G67" t="s">
        <v>78</v>
      </c>
      <c r="H67" t="s">
        <v>311</v>
      </c>
      <c r="I67" t="s">
        <v>312</v>
      </c>
      <c r="J67" t="s">
        <v>246</v>
      </c>
      <c r="L67" t="s">
        <v>78</v>
      </c>
      <c r="M67" t="s">
        <v>190</v>
      </c>
      <c r="N67" t="s">
        <v>191</v>
      </c>
      <c r="O67" t="s">
        <v>315</v>
      </c>
    </row>
    <row r="68" spans="2:20" x14ac:dyDescent="0.45">
      <c r="B68" t="s">
        <v>78</v>
      </c>
      <c r="C68" t="s">
        <v>194</v>
      </c>
      <c r="D68" t="s">
        <v>195</v>
      </c>
      <c r="E68" t="s">
        <v>81</v>
      </c>
      <c r="G68" t="s">
        <v>78</v>
      </c>
      <c r="H68" t="s">
        <v>313</v>
      </c>
      <c r="I68" t="s">
        <v>314</v>
      </c>
      <c r="J68" t="s">
        <v>246</v>
      </c>
      <c r="L68" t="s">
        <v>78</v>
      </c>
      <c r="M68" t="s">
        <v>192</v>
      </c>
      <c r="N68" t="s">
        <v>193</v>
      </c>
      <c r="O68" t="s">
        <v>315</v>
      </c>
    </row>
    <row r="69" spans="2:20" x14ac:dyDescent="0.45">
      <c r="B69" t="s">
        <v>78</v>
      </c>
      <c r="C69" t="s">
        <v>196</v>
      </c>
      <c r="D69" t="s">
        <v>197</v>
      </c>
      <c r="E69" t="s">
        <v>81</v>
      </c>
      <c r="L69" t="s">
        <v>78</v>
      </c>
      <c r="M69" t="s">
        <v>194</v>
      </c>
      <c r="N69" t="s">
        <v>195</v>
      </c>
      <c r="O69" t="s">
        <v>315</v>
      </c>
    </row>
    <row r="70" spans="2:20" x14ac:dyDescent="0.45">
      <c r="B70" t="s">
        <v>78</v>
      </c>
      <c r="C70" t="s">
        <v>198</v>
      </c>
      <c r="D70" t="s">
        <v>199</v>
      </c>
      <c r="E70" t="s">
        <v>81</v>
      </c>
      <c r="L70" t="s">
        <v>78</v>
      </c>
      <c r="M70" t="s">
        <v>196</v>
      </c>
      <c r="N70" t="s">
        <v>197</v>
      </c>
      <c r="O70" t="s">
        <v>315</v>
      </c>
    </row>
    <row r="71" spans="2:20" x14ac:dyDescent="0.45">
      <c r="B71" t="s">
        <v>78</v>
      </c>
      <c r="C71" t="s">
        <v>200</v>
      </c>
      <c r="D71" t="s">
        <v>201</v>
      </c>
      <c r="E71" t="s">
        <v>81</v>
      </c>
      <c r="L71" t="s">
        <v>78</v>
      </c>
      <c r="M71" t="s">
        <v>198</v>
      </c>
      <c r="N71" t="s">
        <v>199</v>
      </c>
      <c r="O71" t="s">
        <v>315</v>
      </c>
    </row>
    <row r="72" spans="2:20" x14ac:dyDescent="0.45">
      <c r="B72" t="s">
        <v>78</v>
      </c>
      <c r="C72" t="s">
        <v>202</v>
      </c>
      <c r="D72" t="s">
        <v>203</v>
      </c>
      <c r="E72" t="s">
        <v>81</v>
      </c>
      <c r="L72" t="s">
        <v>78</v>
      </c>
      <c r="M72" t="s">
        <v>200</v>
      </c>
      <c r="N72" t="s">
        <v>201</v>
      </c>
      <c r="O72" t="s">
        <v>315</v>
      </c>
    </row>
    <row r="73" spans="2:20" x14ac:dyDescent="0.45">
      <c r="B73" t="s">
        <v>78</v>
      </c>
      <c r="C73" t="s">
        <v>204</v>
      </c>
      <c r="D73" t="s">
        <v>205</v>
      </c>
      <c r="E73" t="s">
        <v>81</v>
      </c>
      <c r="L73" t="s">
        <v>78</v>
      </c>
      <c r="M73" t="s">
        <v>202</v>
      </c>
      <c r="N73" t="s">
        <v>203</v>
      </c>
      <c r="O73" t="s">
        <v>315</v>
      </c>
    </row>
    <row r="74" spans="2:20" x14ac:dyDescent="0.45">
      <c r="B74" t="s">
        <v>78</v>
      </c>
      <c r="C74" t="s">
        <v>206</v>
      </c>
      <c r="D74" t="s">
        <v>207</v>
      </c>
      <c r="E74" t="s">
        <v>81</v>
      </c>
      <c r="L74" t="s">
        <v>78</v>
      </c>
      <c r="M74" t="s">
        <v>204</v>
      </c>
      <c r="N74" t="s">
        <v>205</v>
      </c>
      <c r="O74" t="s">
        <v>315</v>
      </c>
    </row>
    <row r="75" spans="2:20" x14ac:dyDescent="0.45">
      <c r="B75" t="s">
        <v>78</v>
      </c>
      <c r="C75" t="s">
        <v>208</v>
      </c>
      <c r="D75" t="s">
        <v>209</v>
      </c>
      <c r="E75" t="s">
        <v>81</v>
      </c>
      <c r="L75" t="s">
        <v>78</v>
      </c>
      <c r="M75" t="s">
        <v>206</v>
      </c>
      <c r="N75" t="s">
        <v>207</v>
      </c>
      <c r="O75" t="s">
        <v>315</v>
      </c>
    </row>
    <row r="76" spans="2:20" x14ac:dyDescent="0.45">
      <c r="B76" t="s">
        <v>78</v>
      </c>
      <c r="C76" t="s">
        <v>210</v>
      </c>
      <c r="D76" t="s">
        <v>211</v>
      </c>
      <c r="E76" t="s">
        <v>81</v>
      </c>
      <c r="L76" t="s">
        <v>78</v>
      </c>
      <c r="M76" t="s">
        <v>208</v>
      </c>
      <c r="N76" t="s">
        <v>209</v>
      </c>
      <c r="O76" t="s">
        <v>315</v>
      </c>
    </row>
    <row r="77" spans="2:20" x14ac:dyDescent="0.45">
      <c r="B77" t="s">
        <v>78</v>
      </c>
      <c r="C77" t="s">
        <v>212</v>
      </c>
      <c r="D77" t="s">
        <v>213</v>
      </c>
      <c r="E77" t="s">
        <v>81</v>
      </c>
      <c r="L77" t="s">
        <v>78</v>
      </c>
      <c r="M77" t="s">
        <v>210</v>
      </c>
      <c r="N77" t="s">
        <v>211</v>
      </c>
      <c r="O77" t="s">
        <v>315</v>
      </c>
    </row>
    <row r="78" spans="2:20" x14ac:dyDescent="0.45">
      <c r="B78" t="s">
        <v>78</v>
      </c>
      <c r="C78" t="s">
        <v>214</v>
      </c>
      <c r="D78" t="s">
        <v>215</v>
      </c>
      <c r="E78" t="s">
        <v>81</v>
      </c>
      <c r="L78" t="s">
        <v>78</v>
      </c>
      <c r="M78" t="s">
        <v>212</v>
      </c>
      <c r="N78" t="s">
        <v>213</v>
      </c>
      <c r="O78" t="s">
        <v>315</v>
      </c>
    </row>
    <row r="79" spans="2:20" x14ac:dyDescent="0.45">
      <c r="B79" t="s">
        <v>78</v>
      </c>
      <c r="C79" t="s">
        <v>216</v>
      </c>
      <c r="D79" t="s">
        <v>217</v>
      </c>
      <c r="E79" t="s">
        <v>81</v>
      </c>
      <c r="L79" t="s">
        <v>78</v>
      </c>
      <c r="M79" t="s">
        <v>214</v>
      </c>
      <c r="N79" t="s">
        <v>215</v>
      </c>
      <c r="O79" t="s">
        <v>315</v>
      </c>
    </row>
    <row r="80" spans="2:20" x14ac:dyDescent="0.45">
      <c r="B80" t="s">
        <v>78</v>
      </c>
      <c r="C80" t="s">
        <v>218</v>
      </c>
      <c r="D80" t="s">
        <v>219</v>
      </c>
      <c r="E80" t="s">
        <v>81</v>
      </c>
      <c r="L80" t="s">
        <v>78</v>
      </c>
      <c r="M80" t="s">
        <v>216</v>
      </c>
      <c r="N80" t="s">
        <v>217</v>
      </c>
      <c r="O80" t="s">
        <v>315</v>
      </c>
    </row>
    <row r="81" spans="2:15" x14ac:dyDescent="0.45">
      <c r="B81" t="s">
        <v>78</v>
      </c>
      <c r="C81" t="s">
        <v>220</v>
      </c>
      <c r="D81" t="s">
        <v>221</v>
      </c>
      <c r="E81" t="s">
        <v>81</v>
      </c>
      <c r="L81" t="s">
        <v>78</v>
      </c>
      <c r="M81" t="s">
        <v>218</v>
      </c>
      <c r="N81" t="s">
        <v>219</v>
      </c>
      <c r="O81" t="s">
        <v>315</v>
      </c>
    </row>
    <row r="82" spans="2:15" x14ac:dyDescent="0.45">
      <c r="B82" t="s">
        <v>78</v>
      </c>
      <c r="C82" t="s">
        <v>222</v>
      </c>
      <c r="D82" t="s">
        <v>223</v>
      </c>
      <c r="E82" t="s">
        <v>81</v>
      </c>
      <c r="L82" t="s">
        <v>78</v>
      </c>
      <c r="M82" t="s">
        <v>220</v>
      </c>
      <c r="N82" t="s">
        <v>221</v>
      </c>
      <c r="O82" t="s">
        <v>315</v>
      </c>
    </row>
    <row r="83" spans="2:15" x14ac:dyDescent="0.45">
      <c r="B83" t="s">
        <v>78</v>
      </c>
      <c r="C83" t="s">
        <v>224</v>
      </c>
      <c r="D83" t="s">
        <v>225</v>
      </c>
      <c r="E83" t="s">
        <v>81</v>
      </c>
      <c r="L83" t="s">
        <v>78</v>
      </c>
      <c r="M83" t="s">
        <v>222</v>
      </c>
      <c r="N83" t="s">
        <v>223</v>
      </c>
      <c r="O83" t="s">
        <v>315</v>
      </c>
    </row>
    <row r="84" spans="2:15" x14ac:dyDescent="0.45">
      <c r="B84" t="s">
        <v>78</v>
      </c>
      <c r="C84" t="s">
        <v>226</v>
      </c>
      <c r="D84" t="s">
        <v>227</v>
      </c>
      <c r="E84" t="s">
        <v>81</v>
      </c>
      <c r="L84" t="s">
        <v>78</v>
      </c>
      <c r="M84" t="s">
        <v>224</v>
      </c>
      <c r="N84" t="s">
        <v>225</v>
      </c>
      <c r="O84" t="s">
        <v>315</v>
      </c>
    </row>
    <row r="85" spans="2:15" x14ac:dyDescent="0.45">
      <c r="B85" t="s">
        <v>78</v>
      </c>
      <c r="C85" t="s">
        <v>228</v>
      </c>
      <c r="D85" t="s">
        <v>229</v>
      </c>
      <c r="E85" t="s">
        <v>81</v>
      </c>
      <c r="L85" t="s">
        <v>78</v>
      </c>
      <c r="M85" t="s">
        <v>226</v>
      </c>
      <c r="N85" t="s">
        <v>227</v>
      </c>
      <c r="O85" t="s">
        <v>315</v>
      </c>
    </row>
    <row r="86" spans="2:15" x14ac:dyDescent="0.45">
      <c r="B86" t="s">
        <v>78</v>
      </c>
      <c r="C86" t="s">
        <v>230</v>
      </c>
      <c r="D86" t="s">
        <v>231</v>
      </c>
      <c r="E86" t="s">
        <v>81</v>
      </c>
      <c r="L86" t="s">
        <v>78</v>
      </c>
      <c r="M86" t="s">
        <v>228</v>
      </c>
      <c r="N86" t="s">
        <v>229</v>
      </c>
      <c r="O86" t="s">
        <v>315</v>
      </c>
    </row>
    <row r="87" spans="2:15" x14ac:dyDescent="0.45">
      <c r="B87" t="s">
        <v>78</v>
      </c>
      <c r="C87" t="s">
        <v>232</v>
      </c>
      <c r="D87" t="s">
        <v>233</v>
      </c>
      <c r="E87" t="s">
        <v>81</v>
      </c>
      <c r="L87" t="s">
        <v>78</v>
      </c>
      <c r="M87" t="s">
        <v>230</v>
      </c>
      <c r="N87" t="s">
        <v>231</v>
      </c>
      <c r="O87" t="s">
        <v>315</v>
      </c>
    </row>
    <row r="88" spans="2:15" x14ac:dyDescent="0.45">
      <c r="B88" t="s">
        <v>78</v>
      </c>
      <c r="C88" t="s">
        <v>234</v>
      </c>
      <c r="D88" t="s">
        <v>235</v>
      </c>
      <c r="E88" t="s">
        <v>81</v>
      </c>
      <c r="L88" t="s">
        <v>78</v>
      </c>
      <c r="M88" t="s">
        <v>232</v>
      </c>
      <c r="N88" t="s">
        <v>233</v>
      </c>
      <c r="O88" t="s">
        <v>315</v>
      </c>
    </row>
    <row r="89" spans="2:15" x14ac:dyDescent="0.45">
      <c r="B89" t="s">
        <v>78</v>
      </c>
      <c r="C89" t="s">
        <v>236</v>
      </c>
      <c r="D89" t="s">
        <v>237</v>
      </c>
      <c r="E89" t="s">
        <v>81</v>
      </c>
      <c r="L89" t="s">
        <v>78</v>
      </c>
      <c r="M89" t="s">
        <v>234</v>
      </c>
      <c r="N89" t="s">
        <v>235</v>
      </c>
      <c r="O89" t="s">
        <v>315</v>
      </c>
    </row>
    <row r="90" spans="2:15" x14ac:dyDescent="0.45">
      <c r="B90" t="s">
        <v>78</v>
      </c>
      <c r="C90" t="s">
        <v>238</v>
      </c>
      <c r="D90" t="s">
        <v>239</v>
      </c>
      <c r="E90" t="s">
        <v>81</v>
      </c>
      <c r="L90" t="s">
        <v>78</v>
      </c>
      <c r="M90" t="s">
        <v>236</v>
      </c>
      <c r="N90" t="s">
        <v>237</v>
      </c>
      <c r="O90" t="s">
        <v>315</v>
      </c>
    </row>
    <row r="91" spans="2:15" x14ac:dyDescent="0.45">
      <c r="B91" t="s">
        <v>78</v>
      </c>
      <c r="C91" t="s">
        <v>240</v>
      </c>
      <c r="D91" t="s">
        <v>241</v>
      </c>
      <c r="E91" t="s">
        <v>81</v>
      </c>
      <c r="L91" t="s">
        <v>78</v>
      </c>
      <c r="M91" t="s">
        <v>238</v>
      </c>
      <c r="N91" t="s">
        <v>239</v>
      </c>
      <c r="O91" t="s">
        <v>315</v>
      </c>
    </row>
    <row r="92" spans="2:15" x14ac:dyDescent="0.45">
      <c r="B92" t="s">
        <v>78</v>
      </c>
      <c r="C92" t="s">
        <v>242</v>
      </c>
      <c r="D92" t="s">
        <v>243</v>
      </c>
      <c r="E92" t="s">
        <v>81</v>
      </c>
      <c r="L92" t="s">
        <v>78</v>
      </c>
      <c r="M92" t="s">
        <v>240</v>
      </c>
      <c r="N92" t="s">
        <v>241</v>
      </c>
      <c r="O92" t="s">
        <v>315</v>
      </c>
    </row>
    <row r="93" spans="2:15" x14ac:dyDescent="0.45">
      <c r="B93" t="s">
        <v>78</v>
      </c>
      <c r="C93" t="s">
        <v>244</v>
      </c>
      <c r="D93" t="s">
        <v>245</v>
      </c>
      <c r="E93" t="s">
        <v>81</v>
      </c>
      <c r="L93" t="s">
        <v>78</v>
      </c>
      <c r="M93" t="s">
        <v>242</v>
      </c>
      <c r="N93" t="s">
        <v>243</v>
      </c>
      <c r="O93" t="s">
        <v>315</v>
      </c>
    </row>
    <row r="94" spans="2:15" x14ac:dyDescent="0.45">
      <c r="L94" t="s">
        <v>78</v>
      </c>
      <c r="M94" t="s">
        <v>244</v>
      </c>
      <c r="N94" t="s">
        <v>245</v>
      </c>
      <c r="O94" t="s">
        <v>315</v>
      </c>
    </row>
    <row r="95" spans="2:15" x14ac:dyDescent="0.45">
      <c r="L95" t="s">
        <v>78</v>
      </c>
      <c r="M95" t="s">
        <v>318</v>
      </c>
      <c r="N95" t="s">
        <v>319</v>
      </c>
      <c r="O95" t="s">
        <v>315</v>
      </c>
    </row>
    <row r="96" spans="2:15" x14ac:dyDescent="0.45">
      <c r="L96" t="s">
        <v>78</v>
      </c>
      <c r="M96" t="s">
        <v>289</v>
      </c>
      <c r="N96" t="s">
        <v>290</v>
      </c>
      <c r="O96" t="s">
        <v>315</v>
      </c>
    </row>
    <row r="97" spans="12:15" x14ac:dyDescent="0.45">
      <c r="L97" t="s">
        <v>78</v>
      </c>
      <c r="M97" t="s">
        <v>285</v>
      </c>
      <c r="N97" t="s">
        <v>286</v>
      </c>
      <c r="O97" t="s">
        <v>315</v>
      </c>
    </row>
    <row r="98" spans="12:15" x14ac:dyDescent="0.45">
      <c r="L98" t="s">
        <v>78</v>
      </c>
      <c r="M98" t="s">
        <v>320</v>
      </c>
      <c r="N98" t="s">
        <v>321</v>
      </c>
      <c r="O98" t="s">
        <v>315</v>
      </c>
    </row>
    <row r="99" spans="12:15" x14ac:dyDescent="0.45">
      <c r="L99" t="s">
        <v>78</v>
      </c>
      <c r="M99" t="s">
        <v>281</v>
      </c>
      <c r="N99" t="s">
        <v>282</v>
      </c>
      <c r="O99" t="s">
        <v>315</v>
      </c>
    </row>
    <row r="100" spans="12:15" x14ac:dyDescent="0.45">
      <c r="L100" t="s">
        <v>78</v>
      </c>
      <c r="M100" t="s">
        <v>322</v>
      </c>
      <c r="N100" t="s">
        <v>323</v>
      </c>
      <c r="O100" t="s">
        <v>315</v>
      </c>
    </row>
    <row r="101" spans="12:15" x14ac:dyDescent="0.45">
      <c r="L101" t="s">
        <v>78</v>
      </c>
      <c r="M101" t="s">
        <v>297</v>
      </c>
      <c r="N101" t="s">
        <v>298</v>
      </c>
      <c r="O101" t="s">
        <v>315</v>
      </c>
    </row>
    <row r="102" spans="12:15" x14ac:dyDescent="0.45">
      <c r="L102" t="s">
        <v>78</v>
      </c>
      <c r="M102" t="s">
        <v>324</v>
      </c>
      <c r="N102" t="s">
        <v>325</v>
      </c>
      <c r="O102" t="s">
        <v>315</v>
      </c>
    </row>
    <row r="103" spans="12:15" x14ac:dyDescent="0.45">
      <c r="L103" t="s">
        <v>78</v>
      </c>
      <c r="M103" t="s">
        <v>326</v>
      </c>
      <c r="N103" t="s">
        <v>327</v>
      </c>
      <c r="O103" t="s">
        <v>315</v>
      </c>
    </row>
    <row r="104" spans="12:15" x14ac:dyDescent="0.45">
      <c r="L104" t="s">
        <v>78</v>
      </c>
      <c r="M104" t="s">
        <v>261</v>
      </c>
      <c r="N104" t="s">
        <v>262</v>
      </c>
      <c r="O104" t="s">
        <v>315</v>
      </c>
    </row>
    <row r="105" spans="12:15" x14ac:dyDescent="0.45">
      <c r="L105" t="s">
        <v>78</v>
      </c>
      <c r="M105" t="s">
        <v>328</v>
      </c>
      <c r="N105" t="s">
        <v>329</v>
      </c>
      <c r="O105" t="s">
        <v>315</v>
      </c>
    </row>
    <row r="106" spans="12:15" x14ac:dyDescent="0.45">
      <c r="L106" t="s">
        <v>78</v>
      </c>
      <c r="M106" t="s">
        <v>330</v>
      </c>
      <c r="N106" t="s">
        <v>331</v>
      </c>
      <c r="O106" t="s">
        <v>315</v>
      </c>
    </row>
    <row r="107" spans="12:15" x14ac:dyDescent="0.45">
      <c r="L107" t="s">
        <v>78</v>
      </c>
      <c r="M107" t="s">
        <v>332</v>
      </c>
      <c r="N107" t="s">
        <v>333</v>
      </c>
      <c r="O107" t="s">
        <v>315</v>
      </c>
    </row>
    <row r="108" spans="12:15" x14ac:dyDescent="0.45">
      <c r="L108" t="s">
        <v>78</v>
      </c>
      <c r="M108" t="s">
        <v>311</v>
      </c>
      <c r="N108" t="s">
        <v>312</v>
      </c>
      <c r="O108" t="s">
        <v>315</v>
      </c>
    </row>
    <row r="109" spans="12:15" x14ac:dyDescent="0.45">
      <c r="L109" t="s">
        <v>78</v>
      </c>
      <c r="M109" t="s">
        <v>293</v>
      </c>
      <c r="N109" t="s">
        <v>294</v>
      </c>
      <c r="O109" t="s">
        <v>315</v>
      </c>
    </row>
    <row r="110" spans="12:15" x14ac:dyDescent="0.45">
      <c r="L110" t="s">
        <v>78</v>
      </c>
      <c r="M110" t="s">
        <v>334</v>
      </c>
      <c r="N110" t="s">
        <v>335</v>
      </c>
      <c r="O110" t="s">
        <v>315</v>
      </c>
    </row>
    <row r="111" spans="12:15" x14ac:dyDescent="0.45">
      <c r="L111" t="s">
        <v>78</v>
      </c>
      <c r="M111" t="s">
        <v>336</v>
      </c>
      <c r="N111" t="s">
        <v>337</v>
      </c>
      <c r="O111" t="s">
        <v>315</v>
      </c>
    </row>
    <row r="112" spans="12:15" x14ac:dyDescent="0.45">
      <c r="L112" t="s">
        <v>78</v>
      </c>
      <c r="M112" t="s">
        <v>338</v>
      </c>
      <c r="N112" t="s">
        <v>339</v>
      </c>
      <c r="O112" t="s">
        <v>315</v>
      </c>
    </row>
    <row r="113" spans="12:15" x14ac:dyDescent="0.45">
      <c r="L113" t="s">
        <v>78</v>
      </c>
      <c r="M113" t="s">
        <v>340</v>
      </c>
      <c r="N113" t="s">
        <v>341</v>
      </c>
      <c r="O113" t="s">
        <v>315</v>
      </c>
    </row>
    <row r="114" spans="12:15" x14ac:dyDescent="0.45">
      <c r="L114" t="s">
        <v>78</v>
      </c>
      <c r="M114" t="s">
        <v>342</v>
      </c>
      <c r="N114" t="s">
        <v>343</v>
      </c>
      <c r="O114" t="s">
        <v>315</v>
      </c>
    </row>
    <row r="115" spans="12:15" x14ac:dyDescent="0.45">
      <c r="L115" t="s">
        <v>78</v>
      </c>
      <c r="M115" t="s">
        <v>344</v>
      </c>
      <c r="N115" t="s">
        <v>345</v>
      </c>
      <c r="O115" t="s">
        <v>315</v>
      </c>
    </row>
    <row r="116" spans="12:15" x14ac:dyDescent="0.45">
      <c r="L116" t="s">
        <v>78</v>
      </c>
      <c r="M116" t="s">
        <v>346</v>
      </c>
      <c r="N116" t="s">
        <v>347</v>
      </c>
      <c r="O116" t="s">
        <v>315</v>
      </c>
    </row>
    <row r="117" spans="12:15" x14ac:dyDescent="0.45">
      <c r="L117" t="s">
        <v>78</v>
      </c>
      <c r="M117" t="s">
        <v>348</v>
      </c>
      <c r="N117" t="s">
        <v>349</v>
      </c>
      <c r="O117" t="s">
        <v>315</v>
      </c>
    </row>
    <row r="118" spans="12:15" x14ac:dyDescent="0.45">
      <c r="L118" t="s">
        <v>78</v>
      </c>
      <c r="M118" t="s">
        <v>350</v>
      </c>
      <c r="N118" t="s">
        <v>351</v>
      </c>
      <c r="O118" t="s">
        <v>315</v>
      </c>
    </row>
    <row r="119" spans="12:15" x14ac:dyDescent="0.45">
      <c r="L119" t="s">
        <v>78</v>
      </c>
      <c r="M119" t="s">
        <v>352</v>
      </c>
      <c r="N119" t="s">
        <v>353</v>
      </c>
      <c r="O119" t="s">
        <v>315</v>
      </c>
    </row>
    <row r="120" spans="12:15" x14ac:dyDescent="0.45">
      <c r="L120" t="s">
        <v>78</v>
      </c>
      <c r="M120" t="s">
        <v>354</v>
      </c>
      <c r="N120" t="s">
        <v>355</v>
      </c>
      <c r="O120" t="s">
        <v>315</v>
      </c>
    </row>
    <row r="121" spans="12:15" x14ac:dyDescent="0.45">
      <c r="L121" t="s">
        <v>78</v>
      </c>
      <c r="M121" t="s">
        <v>356</v>
      </c>
      <c r="N121" t="s">
        <v>357</v>
      </c>
      <c r="O121" t="s">
        <v>315</v>
      </c>
    </row>
    <row r="122" spans="12:15" x14ac:dyDescent="0.45">
      <c r="L122" t="s">
        <v>78</v>
      </c>
      <c r="M122" t="s">
        <v>358</v>
      </c>
      <c r="N122" t="s">
        <v>359</v>
      </c>
      <c r="O122" t="s">
        <v>315</v>
      </c>
    </row>
    <row r="123" spans="12:15" x14ac:dyDescent="0.45">
      <c r="L123" t="s">
        <v>78</v>
      </c>
      <c r="M123" t="s">
        <v>360</v>
      </c>
      <c r="N123" t="s">
        <v>361</v>
      </c>
      <c r="O123" t="s">
        <v>315</v>
      </c>
    </row>
    <row r="124" spans="12:15" x14ac:dyDescent="0.45">
      <c r="L124" t="s">
        <v>78</v>
      </c>
      <c r="M124" t="s">
        <v>362</v>
      </c>
      <c r="N124" t="s">
        <v>363</v>
      </c>
      <c r="O124" t="s">
        <v>315</v>
      </c>
    </row>
    <row r="125" spans="12:15" x14ac:dyDescent="0.45">
      <c r="L125" t="s">
        <v>78</v>
      </c>
      <c r="M125" t="s">
        <v>364</v>
      </c>
      <c r="N125" t="s">
        <v>365</v>
      </c>
      <c r="O125" t="s">
        <v>315</v>
      </c>
    </row>
    <row r="126" spans="12:15" x14ac:dyDescent="0.45">
      <c r="L126" t="s">
        <v>78</v>
      </c>
      <c r="M126" t="s">
        <v>366</v>
      </c>
      <c r="N126" t="s">
        <v>367</v>
      </c>
      <c r="O126" t="s">
        <v>315</v>
      </c>
    </row>
    <row r="127" spans="12:15" x14ac:dyDescent="0.45">
      <c r="L127" t="s">
        <v>78</v>
      </c>
      <c r="M127" t="s">
        <v>368</v>
      </c>
      <c r="N127" t="s">
        <v>369</v>
      </c>
      <c r="O127" t="s">
        <v>315</v>
      </c>
    </row>
    <row r="128" spans="12:15" x14ac:dyDescent="0.45">
      <c r="L128" t="s">
        <v>78</v>
      </c>
      <c r="M128" t="s">
        <v>247</v>
      </c>
      <c r="N128" t="s">
        <v>248</v>
      </c>
      <c r="O128" t="s">
        <v>315</v>
      </c>
    </row>
    <row r="129" spans="12:15" x14ac:dyDescent="0.45">
      <c r="L129" t="s">
        <v>78</v>
      </c>
      <c r="M129" t="s">
        <v>370</v>
      </c>
      <c r="N129" t="s">
        <v>371</v>
      </c>
      <c r="O129" t="s">
        <v>315</v>
      </c>
    </row>
    <row r="130" spans="12:15" x14ac:dyDescent="0.45">
      <c r="L130" t="s">
        <v>78</v>
      </c>
      <c r="M130" t="s">
        <v>372</v>
      </c>
      <c r="N130" t="s">
        <v>373</v>
      </c>
      <c r="O130" t="s">
        <v>315</v>
      </c>
    </row>
    <row r="131" spans="12:15" x14ac:dyDescent="0.45">
      <c r="L131" t="s">
        <v>78</v>
      </c>
      <c r="M131" t="s">
        <v>374</v>
      </c>
      <c r="N131" t="s">
        <v>375</v>
      </c>
      <c r="O131" t="s">
        <v>315</v>
      </c>
    </row>
    <row r="132" spans="12:15" x14ac:dyDescent="0.45">
      <c r="L132" t="s">
        <v>78</v>
      </c>
      <c r="M132" t="s">
        <v>376</v>
      </c>
      <c r="N132" t="s">
        <v>377</v>
      </c>
      <c r="O132" t="s">
        <v>315</v>
      </c>
    </row>
    <row r="133" spans="12:15" x14ac:dyDescent="0.45">
      <c r="L133" t="s">
        <v>78</v>
      </c>
      <c r="M133" t="s">
        <v>378</v>
      </c>
      <c r="N133" t="s">
        <v>379</v>
      </c>
      <c r="O133" t="s">
        <v>315</v>
      </c>
    </row>
    <row r="134" spans="12:15" x14ac:dyDescent="0.45">
      <c r="L134" t="s">
        <v>78</v>
      </c>
      <c r="M134" t="s">
        <v>249</v>
      </c>
      <c r="N134" t="s">
        <v>250</v>
      </c>
      <c r="O134" t="s">
        <v>315</v>
      </c>
    </row>
    <row r="135" spans="12:15" x14ac:dyDescent="0.45">
      <c r="L135" t="s">
        <v>78</v>
      </c>
      <c r="M135" t="s">
        <v>251</v>
      </c>
      <c r="N135" t="s">
        <v>252</v>
      </c>
      <c r="O135" t="s">
        <v>315</v>
      </c>
    </row>
    <row r="136" spans="12:15" x14ac:dyDescent="0.45">
      <c r="L136" t="s">
        <v>78</v>
      </c>
      <c r="M136" t="s">
        <v>253</v>
      </c>
      <c r="N136" t="s">
        <v>254</v>
      </c>
      <c r="O136" t="s">
        <v>315</v>
      </c>
    </row>
    <row r="137" spans="12:15" x14ac:dyDescent="0.45">
      <c r="L137" t="s">
        <v>78</v>
      </c>
      <c r="M137" t="s">
        <v>255</v>
      </c>
      <c r="N137" t="s">
        <v>256</v>
      </c>
      <c r="O137" t="s">
        <v>315</v>
      </c>
    </row>
    <row r="138" spans="12:15" x14ac:dyDescent="0.45">
      <c r="L138" t="s">
        <v>78</v>
      </c>
      <c r="M138" t="s">
        <v>257</v>
      </c>
      <c r="N138" t="s">
        <v>258</v>
      </c>
      <c r="O138" t="s">
        <v>315</v>
      </c>
    </row>
    <row r="139" spans="12:15" x14ac:dyDescent="0.45">
      <c r="L139" t="s">
        <v>78</v>
      </c>
      <c r="M139" t="s">
        <v>259</v>
      </c>
      <c r="N139" t="s">
        <v>260</v>
      </c>
      <c r="O139" t="s">
        <v>315</v>
      </c>
    </row>
    <row r="140" spans="12:15" x14ac:dyDescent="0.45">
      <c r="L140" t="s">
        <v>78</v>
      </c>
      <c r="M140" t="s">
        <v>263</v>
      </c>
      <c r="N140" t="s">
        <v>264</v>
      </c>
      <c r="O140" t="s">
        <v>315</v>
      </c>
    </row>
    <row r="141" spans="12:15" x14ac:dyDescent="0.45">
      <c r="L141" t="s">
        <v>78</v>
      </c>
      <c r="M141" t="s">
        <v>265</v>
      </c>
      <c r="N141" t="s">
        <v>266</v>
      </c>
      <c r="O141" t="s">
        <v>315</v>
      </c>
    </row>
    <row r="142" spans="12:15" x14ac:dyDescent="0.45">
      <c r="L142" t="s">
        <v>78</v>
      </c>
      <c r="M142" t="s">
        <v>267</v>
      </c>
      <c r="N142" t="s">
        <v>268</v>
      </c>
      <c r="O142" t="s">
        <v>315</v>
      </c>
    </row>
    <row r="143" spans="12:15" x14ac:dyDescent="0.45">
      <c r="L143" t="s">
        <v>78</v>
      </c>
      <c r="M143" t="s">
        <v>269</v>
      </c>
      <c r="N143" t="s">
        <v>270</v>
      </c>
      <c r="O143" t="s">
        <v>315</v>
      </c>
    </row>
    <row r="144" spans="12:15" x14ac:dyDescent="0.45">
      <c r="L144" t="s">
        <v>78</v>
      </c>
      <c r="M144" t="s">
        <v>271</v>
      </c>
      <c r="N144" t="s">
        <v>272</v>
      </c>
      <c r="O144" t="s">
        <v>315</v>
      </c>
    </row>
    <row r="145" spans="12:15" x14ac:dyDescent="0.45">
      <c r="L145" t="s">
        <v>78</v>
      </c>
      <c r="M145" t="s">
        <v>273</v>
      </c>
      <c r="N145" t="s">
        <v>274</v>
      </c>
      <c r="O145" t="s">
        <v>315</v>
      </c>
    </row>
    <row r="146" spans="12:15" x14ac:dyDescent="0.45">
      <c r="L146" t="s">
        <v>78</v>
      </c>
      <c r="M146" t="s">
        <v>275</v>
      </c>
      <c r="N146" t="s">
        <v>276</v>
      </c>
      <c r="O146" t="s">
        <v>315</v>
      </c>
    </row>
    <row r="147" spans="12:15" x14ac:dyDescent="0.45">
      <c r="L147" t="s">
        <v>78</v>
      </c>
      <c r="M147" t="s">
        <v>277</v>
      </c>
      <c r="N147" t="s">
        <v>278</v>
      </c>
      <c r="O147" t="s">
        <v>315</v>
      </c>
    </row>
    <row r="148" spans="12:15" x14ac:dyDescent="0.45">
      <c r="L148" t="s">
        <v>78</v>
      </c>
      <c r="M148" t="s">
        <v>279</v>
      </c>
      <c r="N148" t="s">
        <v>280</v>
      </c>
      <c r="O148" t="s">
        <v>315</v>
      </c>
    </row>
    <row r="149" spans="12:15" x14ac:dyDescent="0.45">
      <c r="L149" t="s">
        <v>78</v>
      </c>
      <c r="M149" t="s">
        <v>283</v>
      </c>
      <c r="N149" t="s">
        <v>284</v>
      </c>
      <c r="O149" t="s">
        <v>315</v>
      </c>
    </row>
    <row r="150" spans="12:15" x14ac:dyDescent="0.45">
      <c r="L150" t="s">
        <v>78</v>
      </c>
      <c r="M150" t="s">
        <v>287</v>
      </c>
      <c r="N150" t="s">
        <v>288</v>
      </c>
      <c r="O150" t="s">
        <v>315</v>
      </c>
    </row>
    <row r="151" spans="12:15" x14ac:dyDescent="0.45">
      <c r="L151" t="s">
        <v>78</v>
      </c>
      <c r="M151" t="s">
        <v>291</v>
      </c>
      <c r="N151" t="s">
        <v>292</v>
      </c>
      <c r="O151" t="s">
        <v>315</v>
      </c>
    </row>
    <row r="152" spans="12:15" x14ac:dyDescent="0.45">
      <c r="L152" t="s">
        <v>78</v>
      </c>
      <c r="M152" t="s">
        <v>295</v>
      </c>
      <c r="N152" t="s">
        <v>296</v>
      </c>
      <c r="O152" t="s">
        <v>315</v>
      </c>
    </row>
    <row r="153" spans="12:15" x14ac:dyDescent="0.45">
      <c r="L153" t="s">
        <v>78</v>
      </c>
      <c r="M153" t="s">
        <v>299</v>
      </c>
      <c r="N153" t="s">
        <v>300</v>
      </c>
      <c r="O153" t="s">
        <v>315</v>
      </c>
    </row>
    <row r="154" spans="12:15" x14ac:dyDescent="0.45">
      <c r="L154" t="s">
        <v>78</v>
      </c>
      <c r="M154" t="s">
        <v>301</v>
      </c>
      <c r="N154" t="s">
        <v>302</v>
      </c>
      <c r="O154" t="s">
        <v>315</v>
      </c>
    </row>
    <row r="155" spans="12:15" x14ac:dyDescent="0.45">
      <c r="L155" t="s">
        <v>78</v>
      </c>
      <c r="M155" t="s">
        <v>303</v>
      </c>
      <c r="N155" t="s">
        <v>304</v>
      </c>
      <c r="O155" t="s">
        <v>315</v>
      </c>
    </row>
    <row r="156" spans="12:15" x14ac:dyDescent="0.45">
      <c r="L156" t="s">
        <v>78</v>
      </c>
      <c r="M156" t="s">
        <v>305</v>
      </c>
      <c r="N156" t="s">
        <v>306</v>
      </c>
      <c r="O156" t="s">
        <v>315</v>
      </c>
    </row>
    <row r="157" spans="12:15" x14ac:dyDescent="0.45">
      <c r="L157" t="s">
        <v>78</v>
      </c>
      <c r="M157" t="s">
        <v>307</v>
      </c>
      <c r="N157" t="s">
        <v>308</v>
      </c>
      <c r="O157" t="s">
        <v>315</v>
      </c>
    </row>
    <row r="158" spans="12:15" x14ac:dyDescent="0.45">
      <c r="L158" t="s">
        <v>78</v>
      </c>
      <c r="M158" t="s">
        <v>309</v>
      </c>
      <c r="N158" t="s">
        <v>310</v>
      </c>
      <c r="O158" t="s">
        <v>315</v>
      </c>
    </row>
    <row r="159" spans="12:15" x14ac:dyDescent="0.45">
      <c r="L159" t="s">
        <v>78</v>
      </c>
      <c r="M159" t="s">
        <v>313</v>
      </c>
      <c r="N159" t="s">
        <v>314</v>
      </c>
      <c r="O159" t="s">
        <v>315</v>
      </c>
    </row>
    <row r="160" spans="12:15" x14ac:dyDescent="0.45">
      <c r="L160" t="s">
        <v>78</v>
      </c>
      <c r="M160" t="s">
        <v>380</v>
      </c>
      <c r="N160" t="s">
        <v>381</v>
      </c>
      <c r="O160" t="s">
        <v>315</v>
      </c>
    </row>
    <row r="161" spans="12:15" x14ac:dyDescent="0.45">
      <c r="L161" t="s">
        <v>78</v>
      </c>
      <c r="M161" t="s">
        <v>382</v>
      </c>
      <c r="N161" t="s">
        <v>383</v>
      </c>
      <c r="O161" t="s">
        <v>315</v>
      </c>
    </row>
    <row r="162" spans="12:15" x14ac:dyDescent="0.45">
      <c r="L162" t="s">
        <v>78</v>
      </c>
      <c r="M162" t="s">
        <v>384</v>
      </c>
      <c r="N162" t="s">
        <v>385</v>
      </c>
      <c r="O162" t="s">
        <v>315</v>
      </c>
    </row>
    <row r="163" spans="12:15" x14ac:dyDescent="0.45">
      <c r="L163" t="s">
        <v>78</v>
      </c>
      <c r="M163" t="s">
        <v>386</v>
      </c>
      <c r="N163" t="s">
        <v>387</v>
      </c>
      <c r="O163" t="s">
        <v>315</v>
      </c>
    </row>
    <row r="164" spans="12:15" x14ac:dyDescent="0.45">
      <c r="L164" t="s">
        <v>78</v>
      </c>
      <c r="M164" t="s">
        <v>388</v>
      </c>
      <c r="N164" t="s">
        <v>389</v>
      </c>
      <c r="O164" t="s">
        <v>315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954DD3-0F24-46DF-B268-7A98442D0282}">
  <dimension ref="A1:O13"/>
  <sheetViews>
    <sheetView workbookViewId="0"/>
  </sheetViews>
  <sheetFormatPr defaultRowHeight="14.25" x14ac:dyDescent="0.45"/>
  <cols>
    <col min="1" max="1" width="7.265625" bestFit="1" customWidth="1"/>
    <col min="2" max="2" width="5.73046875" bestFit="1" customWidth="1"/>
    <col min="3" max="3" width="8.59765625" bestFit="1" customWidth="1"/>
    <col min="4" max="4" width="29.796875" bestFit="1" customWidth="1"/>
    <col min="5" max="5" width="9.59765625" bestFit="1" customWidth="1"/>
    <col min="6" max="6" width="7.59765625" bestFit="1" customWidth="1"/>
    <col min="7" max="7" width="8.6640625" bestFit="1" customWidth="1"/>
    <col min="8" max="8" width="15.19921875" bestFit="1" customWidth="1"/>
    <col min="9" max="9" width="7.46484375" bestFit="1" customWidth="1"/>
    <col min="10" max="10" width="4.9296875" bestFit="1" customWidth="1"/>
    <col min="11" max="11" width="3.86328125" bestFit="1" customWidth="1"/>
    <col min="12" max="14" width="4.73046875" bestFit="1" customWidth="1"/>
    <col min="15" max="15" width="5.1328125" bestFit="1" customWidth="1"/>
  </cols>
  <sheetData>
    <row r="1" spans="1:15" x14ac:dyDescent="0.45">
      <c r="A1" t="s">
        <v>32</v>
      </c>
      <c r="B1" t="s">
        <v>33</v>
      </c>
      <c r="C1" t="s">
        <v>25</v>
      </c>
      <c r="D1" t="s">
        <v>21</v>
      </c>
      <c r="E1" t="s">
        <v>22</v>
      </c>
      <c r="F1" t="s">
        <v>34</v>
      </c>
      <c r="G1" t="s">
        <v>35</v>
      </c>
      <c r="H1" t="s">
        <v>36</v>
      </c>
      <c r="I1" t="s">
        <v>37</v>
      </c>
      <c r="J1" t="s">
        <v>38</v>
      </c>
      <c r="K1" t="s">
        <v>39</v>
      </c>
      <c r="L1" t="s">
        <v>40</v>
      </c>
      <c r="M1" t="s">
        <v>41</v>
      </c>
      <c r="N1" t="s">
        <v>42</v>
      </c>
      <c r="O1" t="s">
        <v>43</v>
      </c>
    </row>
    <row r="2" spans="1:15" x14ac:dyDescent="0.45">
      <c r="A2" t="s">
        <v>44</v>
      </c>
      <c r="B2" t="s">
        <v>45</v>
      </c>
      <c r="C2" t="s">
        <v>27</v>
      </c>
      <c r="D2" t="s">
        <v>46</v>
      </c>
      <c r="E2" t="s">
        <v>47</v>
      </c>
      <c r="F2" t="s">
        <v>47</v>
      </c>
      <c r="G2" t="s">
        <v>47</v>
      </c>
      <c r="H2" t="s">
        <v>47</v>
      </c>
      <c r="I2" t="s">
        <v>48</v>
      </c>
      <c r="J2" t="s">
        <v>47</v>
      </c>
      <c r="K2" t="s">
        <v>47</v>
      </c>
      <c r="L2">
        <v>2700</v>
      </c>
      <c r="M2">
        <v>2700</v>
      </c>
      <c r="N2">
        <v>2700</v>
      </c>
      <c r="O2" t="s">
        <v>47</v>
      </c>
    </row>
    <row r="3" spans="1:15" x14ac:dyDescent="0.45">
      <c r="A3" t="s">
        <v>44</v>
      </c>
      <c r="B3" t="s">
        <v>45</v>
      </c>
      <c r="C3" t="s">
        <v>27</v>
      </c>
      <c r="D3" t="s">
        <v>49</v>
      </c>
      <c r="E3" t="s">
        <v>47</v>
      </c>
      <c r="F3" t="s">
        <v>47</v>
      </c>
      <c r="G3" t="s">
        <v>47</v>
      </c>
      <c r="H3" t="s">
        <v>47</v>
      </c>
      <c r="I3" t="s">
        <v>48</v>
      </c>
      <c r="J3" t="s">
        <v>47</v>
      </c>
      <c r="K3" t="s">
        <v>47</v>
      </c>
      <c r="L3">
        <v>1110</v>
      </c>
      <c r="M3">
        <v>690</v>
      </c>
      <c r="N3">
        <v>480</v>
      </c>
      <c r="O3" t="s">
        <v>47</v>
      </c>
    </row>
    <row r="4" spans="1:15" x14ac:dyDescent="0.45">
      <c r="A4" t="s">
        <v>44</v>
      </c>
      <c r="B4" t="s">
        <v>45</v>
      </c>
      <c r="C4" t="s">
        <v>27</v>
      </c>
      <c r="D4" t="s">
        <v>50</v>
      </c>
      <c r="E4" t="s">
        <v>47</v>
      </c>
      <c r="F4" t="s">
        <v>47</v>
      </c>
      <c r="G4" t="s">
        <v>47</v>
      </c>
      <c r="H4" t="s">
        <v>47</v>
      </c>
      <c r="I4" t="s">
        <v>48</v>
      </c>
      <c r="J4" t="s">
        <v>47</v>
      </c>
      <c r="K4" t="s">
        <v>47</v>
      </c>
      <c r="L4">
        <v>4060</v>
      </c>
      <c r="M4">
        <v>2760</v>
      </c>
      <c r="N4">
        <v>1980</v>
      </c>
      <c r="O4" t="s">
        <v>47</v>
      </c>
    </row>
    <row r="5" spans="1:15" x14ac:dyDescent="0.45">
      <c r="A5" t="s">
        <v>44</v>
      </c>
      <c r="B5" t="s">
        <v>45</v>
      </c>
      <c r="C5" t="s">
        <v>27</v>
      </c>
      <c r="D5" t="s">
        <v>51</v>
      </c>
      <c r="E5" t="s">
        <v>47</v>
      </c>
      <c r="F5" t="s">
        <v>47</v>
      </c>
      <c r="G5" t="s">
        <v>47</v>
      </c>
      <c r="H5" t="s">
        <v>47</v>
      </c>
      <c r="I5" t="s">
        <v>48</v>
      </c>
      <c r="J5" t="s">
        <v>47</v>
      </c>
      <c r="K5" t="s">
        <v>47</v>
      </c>
      <c r="L5">
        <v>1500</v>
      </c>
      <c r="M5">
        <v>1430</v>
      </c>
      <c r="N5">
        <v>1370</v>
      </c>
      <c r="O5" t="s">
        <v>47</v>
      </c>
    </row>
    <row r="6" spans="1:15" x14ac:dyDescent="0.45">
      <c r="A6" t="s">
        <v>44</v>
      </c>
      <c r="B6" t="s">
        <v>45</v>
      </c>
      <c r="C6" t="s">
        <v>30</v>
      </c>
      <c r="D6" t="s">
        <v>46</v>
      </c>
      <c r="E6" t="s">
        <v>47</v>
      </c>
      <c r="F6" t="s">
        <v>47</v>
      </c>
      <c r="G6" t="s">
        <v>47</v>
      </c>
      <c r="H6" t="s">
        <v>47</v>
      </c>
      <c r="I6" t="s">
        <v>48</v>
      </c>
      <c r="J6" t="s">
        <v>47</v>
      </c>
      <c r="K6" t="s">
        <v>47</v>
      </c>
      <c r="L6">
        <v>70</v>
      </c>
      <c r="M6">
        <v>65</v>
      </c>
      <c r="N6">
        <v>65</v>
      </c>
      <c r="O6" t="s">
        <v>47</v>
      </c>
    </row>
    <row r="7" spans="1:15" x14ac:dyDescent="0.45">
      <c r="A7" t="s">
        <v>44</v>
      </c>
      <c r="B7" t="s">
        <v>45</v>
      </c>
      <c r="C7" t="s">
        <v>30</v>
      </c>
      <c r="D7" t="s">
        <v>49</v>
      </c>
      <c r="E7" t="s">
        <v>47</v>
      </c>
      <c r="F7" t="s">
        <v>47</v>
      </c>
      <c r="G7" t="s">
        <v>47</v>
      </c>
      <c r="H7" t="s">
        <v>47</v>
      </c>
      <c r="I7" t="s">
        <v>48</v>
      </c>
      <c r="J7" t="s">
        <v>47</v>
      </c>
      <c r="K7" t="s">
        <v>47</v>
      </c>
      <c r="L7">
        <v>16</v>
      </c>
      <c r="M7">
        <v>16</v>
      </c>
      <c r="N7">
        <v>16</v>
      </c>
      <c r="O7" t="s">
        <v>47</v>
      </c>
    </row>
    <row r="8" spans="1:15" x14ac:dyDescent="0.45">
      <c r="A8" t="s">
        <v>44</v>
      </c>
      <c r="B8" t="s">
        <v>45</v>
      </c>
      <c r="C8" t="s">
        <v>30</v>
      </c>
      <c r="D8" t="s">
        <v>50</v>
      </c>
      <c r="E8" t="s">
        <v>47</v>
      </c>
      <c r="F8" t="s">
        <v>47</v>
      </c>
      <c r="G8" t="s">
        <v>47</v>
      </c>
      <c r="H8" t="s">
        <v>47</v>
      </c>
      <c r="I8" t="s">
        <v>48</v>
      </c>
      <c r="J8" t="s">
        <v>47</v>
      </c>
      <c r="K8" t="s">
        <v>47</v>
      </c>
      <c r="L8">
        <v>120</v>
      </c>
      <c r="M8">
        <v>95</v>
      </c>
      <c r="N8">
        <v>70</v>
      </c>
      <c r="O8" t="s">
        <v>47</v>
      </c>
    </row>
    <row r="9" spans="1:15" x14ac:dyDescent="0.45">
      <c r="A9" t="s">
        <v>44</v>
      </c>
      <c r="B9" t="s">
        <v>45</v>
      </c>
      <c r="C9" t="s">
        <v>30</v>
      </c>
      <c r="D9" t="s">
        <v>51</v>
      </c>
      <c r="E9" t="s">
        <v>47</v>
      </c>
      <c r="F9" t="s">
        <v>47</v>
      </c>
      <c r="G9" t="s">
        <v>47</v>
      </c>
      <c r="H9" t="s">
        <v>47</v>
      </c>
      <c r="I9" t="s">
        <v>48</v>
      </c>
      <c r="J9" t="s">
        <v>47</v>
      </c>
      <c r="K9" t="s">
        <v>47</v>
      </c>
      <c r="L9">
        <v>38</v>
      </c>
      <c r="M9">
        <v>36</v>
      </c>
      <c r="N9">
        <v>36</v>
      </c>
      <c r="O9" t="s">
        <v>47</v>
      </c>
    </row>
    <row r="10" spans="1:15" x14ac:dyDescent="0.45">
      <c r="A10" t="s">
        <v>44</v>
      </c>
      <c r="B10" t="s">
        <v>45</v>
      </c>
      <c r="C10" t="s">
        <v>31</v>
      </c>
      <c r="D10" t="s">
        <v>46</v>
      </c>
      <c r="E10" t="s">
        <v>47</v>
      </c>
      <c r="F10" t="s">
        <v>47</v>
      </c>
      <c r="G10" t="s">
        <v>47</v>
      </c>
      <c r="H10" t="s">
        <v>47</v>
      </c>
      <c r="I10" t="s">
        <v>47</v>
      </c>
      <c r="J10" t="s">
        <v>47</v>
      </c>
      <c r="K10" t="s">
        <v>47</v>
      </c>
      <c r="L10">
        <v>4</v>
      </c>
      <c r="M10">
        <v>4</v>
      </c>
      <c r="N10">
        <v>4</v>
      </c>
      <c r="O10" t="s">
        <v>47</v>
      </c>
    </row>
    <row r="11" spans="1:15" x14ac:dyDescent="0.45">
      <c r="A11" t="s">
        <v>44</v>
      </c>
      <c r="B11" t="s">
        <v>45</v>
      </c>
      <c r="C11" t="s">
        <v>31</v>
      </c>
      <c r="D11" t="s">
        <v>49</v>
      </c>
      <c r="E11" t="s">
        <v>47</v>
      </c>
      <c r="F11" t="s">
        <v>47</v>
      </c>
      <c r="G11" t="s">
        <v>47</v>
      </c>
      <c r="H11" t="s">
        <v>47</v>
      </c>
      <c r="I11" t="s">
        <v>47</v>
      </c>
      <c r="J11" t="s">
        <v>47</v>
      </c>
      <c r="K11" t="s">
        <v>47</v>
      </c>
      <c r="L11">
        <v>1.5</v>
      </c>
      <c r="M11">
        <v>1.5</v>
      </c>
      <c r="N11">
        <v>1.5</v>
      </c>
      <c r="O11" t="s">
        <v>47</v>
      </c>
    </row>
    <row r="12" spans="1:15" x14ac:dyDescent="0.45">
      <c r="A12" t="s">
        <v>44</v>
      </c>
      <c r="B12" t="s">
        <v>45</v>
      </c>
      <c r="C12" t="s">
        <v>31</v>
      </c>
      <c r="D12" t="s">
        <v>50</v>
      </c>
      <c r="E12" t="s">
        <v>47</v>
      </c>
      <c r="F12" t="s">
        <v>47</v>
      </c>
      <c r="G12" t="s">
        <v>47</v>
      </c>
      <c r="H12" t="s">
        <v>47</v>
      </c>
      <c r="I12" t="s">
        <v>47</v>
      </c>
      <c r="J12" t="s">
        <v>47</v>
      </c>
      <c r="K12" t="s">
        <v>47</v>
      </c>
      <c r="L12">
        <v>3</v>
      </c>
      <c r="M12">
        <v>3</v>
      </c>
      <c r="N12">
        <v>3</v>
      </c>
      <c r="O12" t="s">
        <v>47</v>
      </c>
    </row>
    <row r="13" spans="1:15" x14ac:dyDescent="0.45">
      <c r="A13" t="s">
        <v>44</v>
      </c>
      <c r="B13" t="s">
        <v>45</v>
      </c>
      <c r="C13" t="s">
        <v>31</v>
      </c>
      <c r="D13" t="s">
        <v>51</v>
      </c>
      <c r="E13" t="s">
        <v>47</v>
      </c>
      <c r="F13" t="s">
        <v>47</v>
      </c>
      <c r="G13" t="s">
        <v>47</v>
      </c>
      <c r="H13" t="s">
        <v>47</v>
      </c>
      <c r="I13" t="s">
        <v>47</v>
      </c>
      <c r="J13" t="s">
        <v>47</v>
      </c>
      <c r="K13" t="s">
        <v>47</v>
      </c>
      <c r="L13">
        <v>1.5</v>
      </c>
      <c r="M13">
        <v>1.5</v>
      </c>
      <c r="N13">
        <v>1.5</v>
      </c>
      <c r="O13" t="s">
        <v>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4:X50"/>
  <sheetViews>
    <sheetView tabSelected="1" topLeftCell="A10" workbookViewId="0">
      <selection activeCell="D42" sqref="D42"/>
    </sheetView>
  </sheetViews>
  <sheetFormatPr defaultColWidth="8.86328125" defaultRowHeight="14.25" x14ac:dyDescent="0.45"/>
  <cols>
    <col min="3" max="3" width="13.3984375" bestFit="1" customWidth="1"/>
    <col min="4" max="4" width="10.73046875" bestFit="1" customWidth="1"/>
    <col min="5" max="5" width="11" bestFit="1" customWidth="1"/>
    <col min="6" max="6" width="4.86328125" bestFit="1" customWidth="1"/>
    <col min="7" max="7" width="10.3984375" bestFit="1" customWidth="1"/>
    <col min="9" max="9" width="5.3984375" bestFit="1" customWidth="1"/>
    <col min="10" max="10" width="5.73046875" bestFit="1" customWidth="1"/>
    <col min="11" max="11" width="5" bestFit="1" customWidth="1"/>
    <col min="13" max="13" width="6.265625" bestFit="1" customWidth="1"/>
    <col min="14" max="14" width="4.265625" bestFit="1" customWidth="1"/>
  </cols>
  <sheetData>
    <row r="4" spans="3:24" x14ac:dyDescent="0.45">
      <c r="C4" t="s">
        <v>4</v>
      </c>
      <c r="L4" t="s">
        <v>25</v>
      </c>
      <c r="M4" t="s">
        <v>26</v>
      </c>
      <c r="N4" t="s">
        <v>21</v>
      </c>
    </row>
    <row r="5" spans="3:24" x14ac:dyDescent="0.45">
      <c r="C5" t="s">
        <v>3</v>
      </c>
      <c r="D5" t="s">
        <v>1</v>
      </c>
      <c r="E5" t="s">
        <v>0</v>
      </c>
      <c r="F5" t="s">
        <v>2</v>
      </c>
      <c r="G5" t="s">
        <v>5</v>
      </c>
      <c r="L5" t="s">
        <v>27</v>
      </c>
      <c r="M5" t="s">
        <v>28</v>
      </c>
      <c r="N5" t="s">
        <v>29</v>
      </c>
    </row>
    <row r="6" spans="3:24" x14ac:dyDescent="0.45">
      <c r="D6" t="s">
        <v>6</v>
      </c>
      <c r="E6" t="s">
        <v>57</v>
      </c>
      <c r="G6" s="1">
        <v>8.76</v>
      </c>
      <c r="L6" t="s">
        <v>30</v>
      </c>
      <c r="M6" t="s">
        <v>28</v>
      </c>
      <c r="N6" t="s">
        <v>29</v>
      </c>
    </row>
    <row r="7" spans="3:24" x14ac:dyDescent="0.45">
      <c r="D7" t="s">
        <v>7</v>
      </c>
      <c r="E7" t="s">
        <v>57</v>
      </c>
      <c r="G7">
        <v>25</v>
      </c>
      <c r="L7" t="s">
        <v>31</v>
      </c>
      <c r="M7" t="s">
        <v>28</v>
      </c>
      <c r="N7" t="s">
        <v>29</v>
      </c>
    </row>
    <row r="8" spans="3:24" x14ac:dyDescent="0.45">
      <c r="D8" t="s">
        <v>8</v>
      </c>
      <c r="E8" t="s">
        <v>57</v>
      </c>
      <c r="G8" s="1">
        <v>1</v>
      </c>
    </row>
    <row r="9" spans="3:24" x14ac:dyDescent="0.45">
      <c r="D9" t="s">
        <v>9</v>
      </c>
      <c r="E9" t="s">
        <v>14</v>
      </c>
      <c r="G9">
        <v>0.1</v>
      </c>
    </row>
    <row r="10" spans="3:24" x14ac:dyDescent="0.45">
      <c r="D10" t="s">
        <v>10</v>
      </c>
      <c r="E10" t="s">
        <v>57</v>
      </c>
      <c r="G10">
        <v>20</v>
      </c>
    </row>
    <row r="11" spans="3:24" x14ac:dyDescent="0.45">
      <c r="D11" t="s">
        <v>6</v>
      </c>
      <c r="E11" t="s">
        <v>62</v>
      </c>
      <c r="G11" s="1">
        <v>8.76</v>
      </c>
      <c r="P11" t="s">
        <v>52</v>
      </c>
    </row>
    <row r="12" spans="3:24" x14ac:dyDescent="0.45">
      <c r="P12" s="2" t="s">
        <v>25</v>
      </c>
      <c r="Q12" s="2" t="s">
        <v>40</v>
      </c>
      <c r="R12" s="2" t="s">
        <v>41</v>
      </c>
      <c r="S12" s="2" t="s">
        <v>42</v>
      </c>
      <c r="T12" t="s">
        <v>21</v>
      </c>
    </row>
    <row r="13" spans="3:24" x14ac:dyDescent="0.45">
      <c r="C13" t="s">
        <v>4</v>
      </c>
      <c r="P13" s="2" t="s">
        <v>27</v>
      </c>
      <c r="Q13" s="2">
        <v>2700</v>
      </c>
      <c r="R13" s="2">
        <v>2700</v>
      </c>
      <c r="S13" s="2">
        <v>2700</v>
      </c>
      <c r="T13" t="str">
        <f>X13</f>
        <v>EN[_]Hydro*</v>
      </c>
      <c r="W13" t="s">
        <v>46</v>
      </c>
      <c r="X13" t="s">
        <v>19</v>
      </c>
    </row>
    <row r="14" spans="3:24" x14ac:dyDescent="0.45">
      <c r="C14" t="s">
        <v>3</v>
      </c>
      <c r="D14" t="s">
        <v>1</v>
      </c>
      <c r="E14" t="s">
        <v>0</v>
      </c>
      <c r="F14" t="s">
        <v>2</v>
      </c>
      <c r="G14" t="s">
        <v>5</v>
      </c>
      <c r="P14" s="2" t="s">
        <v>27</v>
      </c>
      <c r="Q14" s="2">
        <v>1110</v>
      </c>
      <c r="R14" s="2">
        <v>690</v>
      </c>
      <c r="S14" s="2">
        <v>480</v>
      </c>
      <c r="T14" t="str">
        <f t="shared" ref="T14:T16" si="0">X14</f>
        <v>E[_]SPV*</v>
      </c>
      <c r="W14" t="s">
        <v>49</v>
      </c>
      <c r="X14" t="s">
        <v>57</v>
      </c>
    </row>
    <row r="15" spans="3:24" x14ac:dyDescent="0.45">
      <c r="C15" t="s">
        <v>11</v>
      </c>
      <c r="D15" t="s">
        <v>12</v>
      </c>
      <c r="E15" t="s">
        <v>54</v>
      </c>
      <c r="F15">
        <v>0</v>
      </c>
      <c r="G15">
        <v>3</v>
      </c>
      <c r="P15" s="2" t="s">
        <v>27</v>
      </c>
      <c r="Q15" s="2">
        <v>4060</v>
      </c>
      <c r="R15" s="2">
        <v>2760</v>
      </c>
      <c r="S15" s="2">
        <v>1980</v>
      </c>
      <c r="T15" t="str">
        <f t="shared" si="0"/>
        <v>E[_]WOF*</v>
      </c>
      <c r="W15" t="s">
        <v>50</v>
      </c>
      <c r="X15" t="s">
        <v>55</v>
      </c>
    </row>
    <row r="16" spans="3:24" x14ac:dyDescent="0.45">
      <c r="D16" t="s">
        <v>6</v>
      </c>
      <c r="E16" t="s">
        <v>54</v>
      </c>
      <c r="G16" s="1">
        <v>8.76</v>
      </c>
      <c r="P16" s="2" t="s">
        <v>27</v>
      </c>
      <c r="Q16" s="2">
        <v>1500</v>
      </c>
      <c r="R16" s="2">
        <v>1430</v>
      </c>
      <c r="S16" s="2">
        <v>1370</v>
      </c>
      <c r="T16" t="str">
        <f t="shared" si="0"/>
        <v>E[_]WON*</v>
      </c>
      <c r="W16" t="s">
        <v>51</v>
      </c>
      <c r="X16" t="s">
        <v>56</v>
      </c>
    </row>
    <row r="17" spans="3:24" x14ac:dyDescent="0.45">
      <c r="D17" t="s">
        <v>13</v>
      </c>
      <c r="E17" t="s">
        <v>55</v>
      </c>
      <c r="G17">
        <v>4</v>
      </c>
      <c r="P17" s="2" t="s">
        <v>30</v>
      </c>
      <c r="Q17" s="2">
        <v>70</v>
      </c>
      <c r="R17" s="2">
        <v>65</v>
      </c>
      <c r="S17" s="2">
        <v>65</v>
      </c>
      <c r="T17" t="str">
        <f>T13</f>
        <v>EN[_]Hydro*</v>
      </c>
      <c r="W17" t="str">
        <f>W13</f>
        <v>Hydropower - large-scale unit</v>
      </c>
      <c r="X17" t="str">
        <f t="shared" ref="X17:X24" si="1">X13</f>
        <v>EN[_]Hydro*</v>
      </c>
    </row>
    <row r="18" spans="3:24" x14ac:dyDescent="0.45">
      <c r="D18" t="s">
        <v>13</v>
      </c>
      <c r="E18" t="s">
        <v>56</v>
      </c>
      <c r="G18">
        <v>2</v>
      </c>
      <c r="P18" s="2" t="s">
        <v>30</v>
      </c>
      <c r="Q18" s="2">
        <v>16</v>
      </c>
      <c r="R18" s="2">
        <v>16</v>
      </c>
      <c r="S18" s="2">
        <v>16</v>
      </c>
      <c r="T18" t="str">
        <f t="shared" ref="T18:T24" si="2">T14</f>
        <v>E[_]SPV*</v>
      </c>
      <c r="W18" t="str">
        <f t="shared" ref="W18" si="3">W14</f>
        <v>Solar photovoltaics - Large scale unit</v>
      </c>
      <c r="X18" t="str">
        <f t="shared" si="1"/>
        <v>E[_]SPV*</v>
      </c>
    </row>
    <row r="19" spans="3:24" x14ac:dyDescent="0.45">
      <c r="D19" t="s">
        <v>7</v>
      </c>
      <c r="E19" t="s">
        <v>54</v>
      </c>
      <c r="G19">
        <v>30</v>
      </c>
      <c r="P19" s="2" t="s">
        <v>30</v>
      </c>
      <c r="Q19" s="2">
        <v>120</v>
      </c>
      <c r="R19" s="2">
        <v>95</v>
      </c>
      <c r="S19" s="2">
        <v>70</v>
      </c>
      <c r="T19" t="str">
        <f t="shared" si="2"/>
        <v>E[_]WOF*</v>
      </c>
      <c r="W19" t="str">
        <f t="shared" ref="W19" si="4">W15</f>
        <v>Wind offshore</v>
      </c>
      <c r="X19" t="str">
        <f t="shared" si="1"/>
        <v>E[_]WOF*</v>
      </c>
    </row>
    <row r="20" spans="3:24" x14ac:dyDescent="0.45">
      <c r="D20" t="s">
        <v>8</v>
      </c>
      <c r="E20" t="s">
        <v>54</v>
      </c>
      <c r="G20">
        <v>1</v>
      </c>
      <c r="P20" s="2" t="s">
        <v>30</v>
      </c>
      <c r="Q20" s="2">
        <v>38</v>
      </c>
      <c r="R20" s="2">
        <v>36</v>
      </c>
      <c r="S20" s="2">
        <v>36</v>
      </c>
      <c r="T20" t="str">
        <f t="shared" si="2"/>
        <v>E[_]WON*</v>
      </c>
      <c r="W20" t="str">
        <f t="shared" ref="W20" si="5">W16</f>
        <v>Wind onshore</v>
      </c>
      <c r="X20" t="str">
        <f t="shared" si="1"/>
        <v>E[_]WON*</v>
      </c>
    </row>
    <row r="21" spans="3:24" x14ac:dyDescent="0.45">
      <c r="D21" t="s">
        <v>9</v>
      </c>
      <c r="E21" t="s">
        <v>15</v>
      </c>
      <c r="G21">
        <v>0.25</v>
      </c>
      <c r="P21" s="2" t="s">
        <v>31</v>
      </c>
      <c r="Q21" s="2">
        <v>4</v>
      </c>
      <c r="R21" s="2">
        <v>4</v>
      </c>
      <c r="S21" s="2">
        <v>4</v>
      </c>
      <c r="T21" t="str">
        <f t="shared" si="2"/>
        <v>EN[_]Hydro*</v>
      </c>
      <c r="W21" t="str">
        <f t="shared" ref="W21" si="6">W17</f>
        <v>Hydropower - large-scale unit</v>
      </c>
      <c r="X21" t="str">
        <f t="shared" si="1"/>
        <v>EN[_]Hydro*</v>
      </c>
    </row>
    <row r="22" spans="3:24" x14ac:dyDescent="0.45">
      <c r="D22" t="s">
        <v>10</v>
      </c>
      <c r="E22" t="s">
        <v>54</v>
      </c>
      <c r="G22">
        <v>20</v>
      </c>
      <c r="P22" s="2" t="s">
        <v>31</v>
      </c>
      <c r="Q22" s="2">
        <v>1.5</v>
      </c>
      <c r="R22" s="2">
        <v>1.5</v>
      </c>
      <c r="S22" s="2">
        <v>1.5</v>
      </c>
      <c r="T22" t="str">
        <f t="shared" si="2"/>
        <v>E[_]SPV*</v>
      </c>
      <c r="W22" t="str">
        <f t="shared" ref="W22" si="7">W18</f>
        <v>Solar photovoltaics - Large scale unit</v>
      </c>
      <c r="X22" t="str">
        <f t="shared" si="1"/>
        <v>E[_]SPV*</v>
      </c>
    </row>
    <row r="23" spans="3:24" x14ac:dyDescent="0.45">
      <c r="P23" s="2" t="s">
        <v>31</v>
      </c>
      <c r="Q23" s="2">
        <v>3</v>
      </c>
      <c r="R23" s="2">
        <v>3</v>
      </c>
      <c r="S23" s="2">
        <v>3</v>
      </c>
      <c r="T23" t="str">
        <f t="shared" si="2"/>
        <v>E[_]WOF*</v>
      </c>
      <c r="W23" t="str">
        <f t="shared" ref="W23" si="8">W19</f>
        <v>Wind offshore</v>
      </c>
      <c r="X23" t="str">
        <f t="shared" si="1"/>
        <v>E[_]WOF*</v>
      </c>
    </row>
    <row r="24" spans="3:24" x14ac:dyDescent="0.45">
      <c r="P24" s="2" t="s">
        <v>31</v>
      </c>
      <c r="Q24" s="2">
        <v>1.5</v>
      </c>
      <c r="R24" s="2">
        <v>1.5</v>
      </c>
      <c r="S24" s="2">
        <v>1.5</v>
      </c>
      <c r="T24" t="str">
        <f t="shared" si="2"/>
        <v>E[_]WON*</v>
      </c>
      <c r="W24" t="str">
        <f t="shared" ref="W24" si="9">W20</f>
        <v>Wind onshore</v>
      </c>
      <c r="X24" t="str">
        <f t="shared" si="1"/>
        <v>E[_]WON*</v>
      </c>
    </row>
    <row r="27" spans="3:24" x14ac:dyDescent="0.45">
      <c r="C27" t="s">
        <v>4</v>
      </c>
    </row>
    <row r="28" spans="3:24" x14ac:dyDescent="0.45">
      <c r="C28" t="s">
        <v>16</v>
      </c>
      <c r="D28" t="s">
        <v>1</v>
      </c>
      <c r="E28" t="s">
        <v>0</v>
      </c>
      <c r="F28" t="s">
        <v>2</v>
      </c>
      <c r="G28" t="s">
        <v>5</v>
      </c>
    </row>
    <row r="29" spans="3:24" x14ac:dyDescent="0.45">
      <c r="C29" t="s">
        <v>17</v>
      </c>
      <c r="D29" t="s">
        <v>6</v>
      </c>
      <c r="G29" s="1">
        <v>8.76</v>
      </c>
    </row>
    <row r="30" spans="3:24" x14ac:dyDescent="0.45">
      <c r="C30" t="s">
        <v>53</v>
      </c>
      <c r="D30" t="s">
        <v>8</v>
      </c>
      <c r="G30" s="1">
        <v>1</v>
      </c>
    </row>
    <row r="31" spans="3:24" x14ac:dyDescent="0.45">
      <c r="C31" t="s">
        <v>17</v>
      </c>
      <c r="D31" t="s">
        <v>18</v>
      </c>
      <c r="G31" s="1">
        <v>0.1</v>
      </c>
    </row>
    <row r="32" spans="3:24" x14ac:dyDescent="0.45">
      <c r="D32" t="s">
        <v>7</v>
      </c>
      <c r="E32" t="s">
        <v>19</v>
      </c>
      <c r="G32">
        <v>200</v>
      </c>
    </row>
    <row r="33" spans="3:7" x14ac:dyDescent="0.45">
      <c r="D33" t="s">
        <v>10</v>
      </c>
      <c r="E33" t="s">
        <v>19</v>
      </c>
      <c r="G33">
        <v>30</v>
      </c>
    </row>
    <row r="34" spans="3:7" x14ac:dyDescent="0.45">
      <c r="D34" t="s">
        <v>9</v>
      </c>
      <c r="E34" t="s">
        <v>19</v>
      </c>
      <c r="G34">
        <v>1</v>
      </c>
    </row>
    <row r="35" spans="3:7" x14ac:dyDescent="0.45">
      <c r="C35" t="s">
        <v>17</v>
      </c>
      <c r="D35" t="s">
        <v>12</v>
      </c>
      <c r="F35">
        <v>0</v>
      </c>
      <c r="G35">
        <v>3</v>
      </c>
    </row>
    <row r="38" spans="3:7" x14ac:dyDescent="0.45">
      <c r="C38" t="s">
        <v>20</v>
      </c>
    </row>
    <row r="39" spans="3:7" x14ac:dyDescent="0.45">
      <c r="C39" t="s">
        <v>21</v>
      </c>
      <c r="D39" t="s">
        <v>22</v>
      </c>
      <c r="E39" t="s">
        <v>23</v>
      </c>
    </row>
    <row r="40" spans="3:7" x14ac:dyDescent="0.45">
      <c r="C40" t="s">
        <v>14</v>
      </c>
      <c r="D40" t="s">
        <v>61</v>
      </c>
      <c r="E40" t="s">
        <v>24</v>
      </c>
    </row>
    <row r="41" spans="3:7" x14ac:dyDescent="0.45">
      <c r="C41" t="s">
        <v>15</v>
      </c>
      <c r="D41" t="s">
        <v>74</v>
      </c>
      <c r="E41" t="s">
        <v>24</v>
      </c>
    </row>
    <row r="42" spans="3:7" x14ac:dyDescent="0.45">
      <c r="C42" t="s">
        <v>57</v>
      </c>
      <c r="D42" t="s">
        <v>63</v>
      </c>
      <c r="E42" t="s">
        <v>24</v>
      </c>
    </row>
    <row r="43" spans="3:7" x14ac:dyDescent="0.45">
      <c r="C43" t="s">
        <v>55</v>
      </c>
      <c r="D43" t="s">
        <v>72</v>
      </c>
      <c r="E43" t="s">
        <v>24</v>
      </c>
    </row>
    <row r="44" spans="3:7" x14ac:dyDescent="0.45">
      <c r="C44" t="s">
        <v>56</v>
      </c>
      <c r="D44" t="s">
        <v>73</v>
      </c>
      <c r="E44" t="s">
        <v>24</v>
      </c>
    </row>
    <row r="47" spans="3:7" x14ac:dyDescent="0.45">
      <c r="C47" t="s">
        <v>4</v>
      </c>
    </row>
    <row r="48" spans="3:7" x14ac:dyDescent="0.45">
      <c r="C48" t="s">
        <v>1</v>
      </c>
      <c r="D48" t="s">
        <v>26</v>
      </c>
      <c r="E48" t="s">
        <v>66</v>
      </c>
      <c r="F48" t="s">
        <v>65</v>
      </c>
    </row>
    <row r="49" spans="3:6" x14ac:dyDescent="0.45">
      <c r="C49" t="s">
        <v>64</v>
      </c>
      <c r="D49">
        <v>2025</v>
      </c>
      <c r="E49" s="3" t="s">
        <v>67</v>
      </c>
      <c r="F49" t="s">
        <v>68</v>
      </c>
    </row>
    <row r="50" spans="3:6" x14ac:dyDescent="0.45">
      <c r="C50" t="s">
        <v>69</v>
      </c>
      <c r="D50">
        <v>40</v>
      </c>
      <c r="E50" s="3" t="s">
        <v>70</v>
      </c>
      <c r="F50" t="s">
        <v>71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B1F8354-0998-4CD8-8716-28F6AD8F8D03}">
  <ds:schemaRefs>
    <ds:schemaRef ds:uri="http://schemas.microsoft.com/PowerBIAdd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AVA</vt:lpstr>
      <vt:lpstr>weo_pg</vt:lpstr>
      <vt:lpstr>Misc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Amit Kanudia</dc:creator>
  <cp:keywords/>
  <dc:description/>
  <cp:lastModifiedBy>Amit Kanudia</cp:lastModifiedBy>
  <dcterms:created xsi:type="dcterms:W3CDTF">2016-10-05T11:02:08Z</dcterms:created>
  <dcterms:modified xsi:type="dcterms:W3CDTF">2025-10-04T07:27:27Z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273153185844421</vt:r8>
  </property>
  <property fmtid="{D5CDD505-2E9C-101B-9397-08002B2CF9AE}" pid="3" name="{A44787D4-0540-4523-9961-78E4036D8C6D}">
    <vt:lpwstr>{0E588E8C-D9B2-472E-8D6A-B5564BD29317}</vt:lpwstr>
  </property>
</Properties>
</file>