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3E64A5B3-F06E-4F90-A415-72180EE0F1F6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" i="8" l="1"/>
  <c r="AB9" i="8"/>
  <c r="X9" i="8"/>
  <c r="A10" i="6"/>
  <c r="S9" i="8"/>
  <c r="N9" i="8"/>
  <c r="I9" i="8"/>
  <c r="A11" i="8"/>
  <c r="C9" i="8" s="1"/>
  <c r="AF9" i="7"/>
  <c r="AB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<sst xmlns="http://schemas.openxmlformats.org/spreadsheetml/2006/main" count="3733" uniqueCount="237">
  <si>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</si>
  <si>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</si>
  <si>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</si>
  <si>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</si>
  <si>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</si>
  <si>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</si>
  <si>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</si>
  <si>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</si>
  <si>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</si>
  <si>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</si>
  <si>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</si>
  <si>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</si>
  <si>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</si>
  <si>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</si>
  <si>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</si>
  <si>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</si>
  <si>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</si>
  <si>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</si>
  <si>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</si>
  <si>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</si>
  <si>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</si>
  <si>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</si>
  <si>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</si>
  <si>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</si>
  <si>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</si>
  <si>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</si>
  <si>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</si>
  <si>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</si>
  <si>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</si>
  <si>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</si>
  <si>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</si>
  <si>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</si>
  <si>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</si>
  <si>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</si>
  <si>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</si>
  <si>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</si>
  <si>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</si>
  <si>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</si>
  <si>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</si>
  <si>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</si>
  <si>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</si>
  <si>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</si>
  <si>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</si>
  <si>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</si>
  <si>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</si>
  <si>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</si>
  <si>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</si>
  <si>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</si>
  <si>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</si>
  <si>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</si>
  <si>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</si>
  <si>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</si>
  <si>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</si>
  <si>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</si>
  <si>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</si>
  <si>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</si>
  <si>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</si>
  <si>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</si>
  <si>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</si>
  <si>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</si>
  <si>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</si>
  <si>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</si>
  <si>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</si>
  <si>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</si>
  <si>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</si>
  <si>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</si>
  <si>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</si>
  <si>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</si>
  <si>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</si>
  <si>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</si>
  <si>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</si>
  <si>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</si>
  <si>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</si>
  <si>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</si>
  <si>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</si>
  <si>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</si>
  <si>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</si>
  <si>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</si>
  <si>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</si>
  <si>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</si>
  <si>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</si>
  <si>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</si>
  <si>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</si>
  <si>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</si>
  <si>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</si>
  <si>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</si>
  <si>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</si>
  <si>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</si>
  <si>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</si>
  <si>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</si>
  <si>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</si>
  <si>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</si>
  <si>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</si>
  <si>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</si>
  <si>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</si>
  <si>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</si>
  <si>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</si>
  <si>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</si>
  <si>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</si>
  <si>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</si>
  <si>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</si>
  <si>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</si>
  <si>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</si>
  <si>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</si>
  <si>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</si>
  <si>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</si>
  <si>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</si>
  <si>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</si>
  <si>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</si>
  <si>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</si>
  <si>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</si>
  <si>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</si>
  <si>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</si>
  <si>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</si>
  <si>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</si>
  <si>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</si>
  <si>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</si>
  <si>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</si>
  <si>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</si>
  <si>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</si>
  <si>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</si>
  <si>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</si>
  <si>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</si>
  <si>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</si>
  <si>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</si>
  <si>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</si>
  <si>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</si>
  <si>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</si>
  <si>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</si>
  <si>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</si>
  <si>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</si>
  <si>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</si>
  <si>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</si>
  <si>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</si>
  <si>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</si>
  <si>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</si>
  <si>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</si>
  <si>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</si>
  <si>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</si>
  <si>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</si>
  <si>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</si>
  <si>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</si>
  <si>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</si>
  <si>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</si>
  <si>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</si>
  <si>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1-45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</si>
  <si>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</si>
  <si>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</si>
  <si>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</si>
  <si>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</si>
  <si>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</si>
  <si>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</si>
  <si>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</si>
  <si>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</si>
  <si>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</si>
  <si>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</si>
  <si>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</si>
  <si>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</si>
  <si>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</si>
  <si>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</si>
  <si>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</si>
  <si>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</si>
  <si>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</si>
  <si>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</si>
  <si>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</si>
  <si>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</si>
  <si>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</si>
  <si>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</si>
  <si>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</si>
  <si>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</si>
  <si>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</si>
  <si>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</si>
  <si>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</si>
  <si>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</si>
  <si>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</si>
  <si>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</si>
  <si>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</si>
  <si>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</si>
  <si>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</si>
  <si>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</si>
  <si>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</si>
  <si>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</si>
  <si>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</si>
  <si>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</si>
  <si>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</si>
  <si>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</si>
  <si>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</si>
  <si>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</si>
  <si>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</si>
  <si>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</si>
  <si>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</si>
  <si>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</si>
  <si>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</si>
  <si>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</si>
  <si>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</si>
  <si>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</si>
  <si>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</si>
  <si>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</si>
  <si>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</si>
  <si>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</si>
  <si>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</si>
  <si>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</si>
  <si>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</si>
  <si>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</si>
  <si>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</si>
  <si>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</si>
  <si>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</si>
  <si>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</si>
  <si>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</si>
  <si>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</si>
  <si>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g_yrfr</t>
  </si>
  <si>
    <t>day_night</t>
  </si>
  <si>
    <t>D</t>
  </si>
  <si>
    <t>N</t>
  </si>
  <si>
    <t>com_pkflx</t>
  </si>
  <si>
    <t>ncap_afs</t>
  </si>
  <si>
    <t>pset_ci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</si>
  <si>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</si>
  <si>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</si>
  <si>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</si>
  <si>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</si>
  <si>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</si>
  <si>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</si>
  <si>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</si>
  <si>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</si>
  <si>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</si>
  <si>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</si>
  <si>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</si>
  <si>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</si>
  <si>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</si>
  <si>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</si>
  <si>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</si>
  <si>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</si>
  <si>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</si>
  <si>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</si>
  <si>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WaP,RaD,RaP,FaP,SaP,WaD,SaD,FaD</t>
  </si>
  <si>
    <t>SaN,WaN,RaN,WaP,FaN,FaP,SaP,RaP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</si>
</sst>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1-45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1.5049999999999999</v>
      </c>
      <c r="D80">
        <v>2.5049999999999999</v>
      </c>
      <c r="E80">
        <v>3.93</v>
      </c>
      <c r="F80" t="s">
        <v>148</v>
      </c>
    </row>
    <row r="81" spans="1:6" x14ac:dyDescent="0.45">
      <c r="A81" t="s">
        <v>32</v>
      </c>
      <c r="B81" t="s">
        <v>147</v>
      </c>
      <c r="C81">
        <v>10.647</v>
      </c>
      <c r="D81">
        <v>11.752000000000001</v>
      </c>
      <c r="E81">
        <v>13.252000000000001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211</v>
      </c>
      <c r="D10" t="s">
        <v>107</v>
      </c>
      <c r="F10" t="s">
        <v>211</v>
      </c>
      <c r="G10" t="s">
        <v>132</v>
      </c>
    </row>
    <row r="11" spans="1:7" x14ac:dyDescent="0.45">
      <c r="B11" s="15"/>
      <c r="C11" s="15" t="s">
        <v>212</v>
      </c>
      <c r="D11" t="s">
        <v>159</v>
      </c>
      <c r="F11" t="s">
        <v>212</v>
      </c>
      <c r="G11" t="s">
        <v>235</v>
      </c>
    </row>
    <row r="12" spans="1:7" x14ac:dyDescent="0.45">
      <c r="B12" s="15"/>
      <c r="C12" s="15" t="s">
        <v>213</v>
      </c>
      <c r="D12" t="s">
        <v>159</v>
      </c>
      <c r="F12" t="s">
        <v>213</v>
      </c>
      <c r="G12" t="s">
        <v>236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76638-8EB7-4C2B-A2C0-14981921AE60}">
  <dimension ref="A9:AI35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B9" t="str">
        <f>IF(A11="x","DeActivated","~TFM_DINS-AT")</f>
        <v>~TFM_DINS-AT</v>
      </c>
      <c r="AF9" t="str">
        <f>IF(A11="x","DeActivated","~TFM_INS-AT")</f>
        <v>~TFM_INS-AT</v>
      </c>
    </row>
    <row r="10" spans="1:35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210</v>
      </c>
      <c r="T10" t="s">
        <v>157</v>
      </c>
      <c r="U10" t="s">
        <v>122</v>
      </c>
      <c r="V10" t="s">
        <v>13</v>
      </c>
      <c r="X10" t="s">
        <v>13</v>
      </c>
      <c r="Y10" t="s">
        <v>122</v>
      </c>
      <c r="Z10" t="s">
        <v>157</v>
      </c>
      <c r="AB10" t="s">
        <v>13</v>
      </c>
      <c r="AC10" t="s">
        <v>122</v>
      </c>
      <c r="AD10" t="s">
        <v>214</v>
      </c>
      <c r="AF10" t="s">
        <v>47</v>
      </c>
      <c r="AG10" t="s">
        <v>122</v>
      </c>
      <c r="AH10" t="s">
        <v>215</v>
      </c>
      <c r="AI10" t="s">
        <v>216</v>
      </c>
    </row>
    <row r="11" spans="1:35" x14ac:dyDescent="0.45">
      <c r="A11" t="str">
        <f>IFERROR(IF(Veda!D5=A10,"ok","x"),"")</f>
        <v>ok</v>
      </c>
      <c r="C11" t="s">
        <v>154</v>
      </c>
      <c r="D11" t="s">
        <v>155</v>
      </c>
      <c r="E11" t="s">
        <v>156</v>
      </c>
      <c r="F11" t="s">
        <v>154</v>
      </c>
      <c r="G11" t="s">
        <v>155</v>
      </c>
      <c r="I11" t="s">
        <v>158</v>
      </c>
      <c r="J11" t="s">
        <v>159</v>
      </c>
      <c r="K11">
        <v>1.0000000000000029</v>
      </c>
      <c r="L11" t="s">
        <v>160</v>
      </c>
      <c r="N11" t="s">
        <v>185</v>
      </c>
      <c r="O11" t="s">
        <v>159</v>
      </c>
      <c r="P11">
        <v>0.99999999999999989</v>
      </c>
      <c r="Q11" t="s">
        <v>160</v>
      </c>
      <c r="S11">
        <v>1</v>
      </c>
      <c r="T11">
        <v>1.0000000000000002</v>
      </c>
      <c r="U11" t="s">
        <v>159</v>
      </c>
      <c r="V11" t="s">
        <v>25</v>
      </c>
      <c r="X11" t="s">
        <v>22</v>
      </c>
      <c r="Y11" t="s">
        <v>159</v>
      </c>
      <c r="Z11">
        <v>1</v>
      </c>
      <c r="AB11" t="s">
        <v>97</v>
      </c>
      <c r="AC11" t="s">
        <v>159</v>
      </c>
      <c r="AD11">
        <v>0.29960038929139898</v>
      </c>
    </row>
    <row r="12" spans="1:35" x14ac:dyDescent="0.45">
      <c r="I12" t="s">
        <v>161</v>
      </c>
      <c r="J12" t="s">
        <v>159</v>
      </c>
      <c r="K12">
        <v>1.0000000000000018</v>
      </c>
      <c r="L12" t="s">
        <v>160</v>
      </c>
      <c r="N12" t="s">
        <v>186</v>
      </c>
      <c r="O12" t="s">
        <v>159</v>
      </c>
      <c r="P12">
        <v>1.0000000000000042</v>
      </c>
      <c r="Q12" t="s">
        <v>160</v>
      </c>
      <c r="X12" t="s">
        <v>19</v>
      </c>
      <c r="Y12" t="s">
        <v>159</v>
      </c>
      <c r="Z12">
        <v>1</v>
      </c>
    </row>
    <row r="13" spans="1:35" x14ac:dyDescent="0.45">
      <c r="I13" t="s">
        <v>162</v>
      </c>
      <c r="J13" t="s">
        <v>159</v>
      </c>
      <c r="K13">
        <v>0.99999999999999944</v>
      </c>
      <c r="L13" t="s">
        <v>160</v>
      </c>
      <c r="N13" t="s">
        <v>187</v>
      </c>
      <c r="O13" t="s">
        <v>159</v>
      </c>
      <c r="P13">
        <v>1.0000000000000029</v>
      </c>
      <c r="Q13" t="s">
        <v>160</v>
      </c>
    </row>
    <row r="14" spans="1:35" x14ac:dyDescent="0.45">
      <c r="I14" t="s">
        <v>163</v>
      </c>
      <c r="J14" t="s">
        <v>159</v>
      </c>
      <c r="K14">
        <v>1.0000000000000013</v>
      </c>
      <c r="L14" t="s">
        <v>160</v>
      </c>
      <c r="N14" t="s">
        <v>188</v>
      </c>
      <c r="O14" t="s">
        <v>159</v>
      </c>
      <c r="P14">
        <v>0.99999999999999822</v>
      </c>
      <c r="Q14" t="s">
        <v>160</v>
      </c>
    </row>
    <row r="15" spans="1:35" x14ac:dyDescent="0.45">
      <c r="I15" t="s">
        <v>164</v>
      </c>
      <c r="J15" t="s">
        <v>159</v>
      </c>
      <c r="K15">
        <v>1.0000000000000033</v>
      </c>
      <c r="L15" t="s">
        <v>160</v>
      </c>
      <c r="N15" t="s">
        <v>189</v>
      </c>
      <c r="O15" t="s">
        <v>159</v>
      </c>
      <c r="P15">
        <v>0.99999999999999989</v>
      </c>
      <c r="Q15" t="s">
        <v>160</v>
      </c>
    </row>
    <row r="16" spans="1:35" x14ac:dyDescent="0.45">
      <c r="I16" t="s">
        <v>165</v>
      </c>
      <c r="J16" t="s">
        <v>159</v>
      </c>
      <c r="K16">
        <v>0.99999999999999933</v>
      </c>
      <c r="L16" t="s">
        <v>160</v>
      </c>
      <c r="N16" t="s">
        <v>190</v>
      </c>
      <c r="O16" t="s">
        <v>159</v>
      </c>
      <c r="P16">
        <v>0.99999999999999978</v>
      </c>
      <c r="Q16" t="s">
        <v>160</v>
      </c>
    </row>
    <row r="17" spans="9:17" x14ac:dyDescent="0.45">
      <c r="I17" t="s">
        <v>166</v>
      </c>
      <c r="J17" t="s">
        <v>159</v>
      </c>
      <c r="K17">
        <v>0.99999999999999745</v>
      </c>
      <c r="L17" t="s">
        <v>160</v>
      </c>
      <c r="N17" t="s">
        <v>191</v>
      </c>
      <c r="O17" t="s">
        <v>159</v>
      </c>
      <c r="P17">
        <v>0.99999999999999811</v>
      </c>
      <c r="Q17" t="s">
        <v>160</v>
      </c>
    </row>
    <row r="18" spans="9:17" x14ac:dyDescent="0.45">
      <c r="I18" t="s">
        <v>167</v>
      </c>
      <c r="J18" t="s">
        <v>159</v>
      </c>
      <c r="K18">
        <v>0.99999999999999845</v>
      </c>
      <c r="L18" t="s">
        <v>160</v>
      </c>
      <c r="N18" t="s">
        <v>192</v>
      </c>
      <c r="O18" t="s">
        <v>159</v>
      </c>
      <c r="P18">
        <v>1.0000000000000004</v>
      </c>
      <c r="Q18" t="s">
        <v>160</v>
      </c>
    </row>
    <row r="19" spans="9:17" x14ac:dyDescent="0.45">
      <c r="I19" t="s">
        <v>168</v>
      </c>
      <c r="J19" t="s">
        <v>159</v>
      </c>
      <c r="K19">
        <v>0.99999999999999911</v>
      </c>
      <c r="L19" t="s">
        <v>160</v>
      </c>
      <c r="N19" t="s">
        <v>193</v>
      </c>
      <c r="O19" t="s">
        <v>159</v>
      </c>
      <c r="P19">
        <v>0.99999999999999689</v>
      </c>
      <c r="Q19" t="s">
        <v>160</v>
      </c>
    </row>
    <row r="20" spans="9:17" x14ac:dyDescent="0.45">
      <c r="I20" t="s">
        <v>169</v>
      </c>
      <c r="J20" t="s">
        <v>159</v>
      </c>
      <c r="K20">
        <v>1.0000000000000027</v>
      </c>
      <c r="L20" t="s">
        <v>160</v>
      </c>
      <c r="N20" t="s">
        <v>194</v>
      </c>
      <c r="O20" t="s">
        <v>159</v>
      </c>
      <c r="P20">
        <v>1.000000000000002</v>
      </c>
      <c r="Q20" t="s">
        <v>160</v>
      </c>
    </row>
    <row r="21" spans="9:17" x14ac:dyDescent="0.45">
      <c r="I21" t="s">
        <v>170</v>
      </c>
      <c r="J21" t="s">
        <v>159</v>
      </c>
      <c r="K21">
        <v>0.99999999999999956</v>
      </c>
      <c r="L21" t="s">
        <v>160</v>
      </c>
      <c r="N21" t="s">
        <v>195</v>
      </c>
      <c r="O21" t="s">
        <v>159</v>
      </c>
      <c r="P21">
        <v>1</v>
      </c>
      <c r="Q21" t="s">
        <v>160</v>
      </c>
    </row>
    <row r="22" spans="9:17" x14ac:dyDescent="0.45">
      <c r="I22" t="s">
        <v>171</v>
      </c>
      <c r="J22" t="s">
        <v>159</v>
      </c>
      <c r="K22">
        <v>0.99999999999999745</v>
      </c>
      <c r="L22" t="s">
        <v>160</v>
      </c>
      <c r="N22" t="s">
        <v>196</v>
      </c>
      <c r="O22" t="s">
        <v>159</v>
      </c>
      <c r="P22">
        <v>0.99999999999999856</v>
      </c>
      <c r="Q22" t="s">
        <v>160</v>
      </c>
    </row>
    <row r="23" spans="9:17" x14ac:dyDescent="0.45">
      <c r="I23" t="s">
        <v>172</v>
      </c>
      <c r="J23" t="s">
        <v>159</v>
      </c>
      <c r="K23">
        <v>0.99999999999999944</v>
      </c>
      <c r="L23" t="s">
        <v>160</v>
      </c>
      <c r="N23" t="s">
        <v>197</v>
      </c>
      <c r="O23" t="s">
        <v>159</v>
      </c>
      <c r="P23">
        <v>0.99999999999999634</v>
      </c>
      <c r="Q23" t="s">
        <v>160</v>
      </c>
    </row>
    <row r="24" spans="9:17" x14ac:dyDescent="0.45">
      <c r="I24" t="s">
        <v>173</v>
      </c>
      <c r="J24" t="s">
        <v>159</v>
      </c>
      <c r="K24">
        <v>0.99999999999999656</v>
      </c>
      <c r="L24" t="s">
        <v>160</v>
      </c>
      <c r="N24" t="s">
        <v>198</v>
      </c>
      <c r="O24" t="s">
        <v>159</v>
      </c>
      <c r="P24">
        <v>0.99999999999999889</v>
      </c>
      <c r="Q24" t="s">
        <v>160</v>
      </c>
    </row>
    <row r="25" spans="9:17" x14ac:dyDescent="0.45">
      <c r="I25" t="s">
        <v>174</v>
      </c>
      <c r="J25" t="s">
        <v>159</v>
      </c>
      <c r="K25">
        <v>1.0000000000000029</v>
      </c>
      <c r="L25" t="s">
        <v>160</v>
      </c>
      <c r="N25" t="s">
        <v>199</v>
      </c>
      <c r="O25" t="s">
        <v>159</v>
      </c>
      <c r="P25">
        <v>0.99999999999999534</v>
      </c>
      <c r="Q25" t="s">
        <v>160</v>
      </c>
    </row>
    <row r="26" spans="9:17" x14ac:dyDescent="0.45">
      <c r="I26" t="s">
        <v>175</v>
      </c>
      <c r="J26" t="s">
        <v>159</v>
      </c>
      <c r="K26">
        <v>1.0000000000000007</v>
      </c>
      <c r="L26" t="s">
        <v>160</v>
      </c>
      <c r="N26" t="s">
        <v>200</v>
      </c>
      <c r="O26" t="s">
        <v>159</v>
      </c>
      <c r="P26">
        <v>1.0000000000000033</v>
      </c>
      <c r="Q26" t="s">
        <v>160</v>
      </c>
    </row>
    <row r="27" spans="9:17" x14ac:dyDescent="0.45">
      <c r="I27" t="s">
        <v>176</v>
      </c>
      <c r="J27" t="s">
        <v>159</v>
      </c>
      <c r="K27">
        <v>0.99999999999999611</v>
      </c>
      <c r="L27" t="s">
        <v>160</v>
      </c>
      <c r="N27" t="s">
        <v>201</v>
      </c>
      <c r="O27" t="s">
        <v>159</v>
      </c>
      <c r="P27">
        <v>0.99999999999999956</v>
      </c>
      <c r="Q27" t="s">
        <v>160</v>
      </c>
    </row>
    <row r="28" spans="9:17" x14ac:dyDescent="0.45">
      <c r="I28" t="s">
        <v>177</v>
      </c>
      <c r="J28" t="s">
        <v>159</v>
      </c>
      <c r="K28">
        <v>0.99999999999999822</v>
      </c>
      <c r="L28" t="s">
        <v>160</v>
      </c>
      <c r="N28" t="s">
        <v>202</v>
      </c>
      <c r="O28" t="s">
        <v>159</v>
      </c>
      <c r="P28">
        <v>1.0000000000000016</v>
      </c>
      <c r="Q28" t="s">
        <v>160</v>
      </c>
    </row>
    <row r="29" spans="9:17" x14ac:dyDescent="0.45">
      <c r="I29" t="s">
        <v>178</v>
      </c>
      <c r="J29" t="s">
        <v>159</v>
      </c>
      <c r="K29">
        <v>1.0000000000000018</v>
      </c>
      <c r="L29" t="s">
        <v>160</v>
      </c>
      <c r="N29" t="s">
        <v>203</v>
      </c>
      <c r="O29" t="s">
        <v>159</v>
      </c>
      <c r="P29">
        <v>1.000000000000002</v>
      </c>
      <c r="Q29" t="s">
        <v>160</v>
      </c>
    </row>
    <row r="30" spans="9:17" x14ac:dyDescent="0.45">
      <c r="I30" t="s">
        <v>179</v>
      </c>
      <c r="J30" t="s">
        <v>159</v>
      </c>
      <c r="K30">
        <v>1.0000000000000007</v>
      </c>
      <c r="L30" t="s">
        <v>160</v>
      </c>
      <c r="N30" t="s">
        <v>204</v>
      </c>
      <c r="O30" t="s">
        <v>159</v>
      </c>
      <c r="P30">
        <v>1.0000000000000007</v>
      </c>
      <c r="Q30" t="s">
        <v>160</v>
      </c>
    </row>
    <row r="31" spans="9:17" x14ac:dyDescent="0.45">
      <c r="I31" t="s">
        <v>180</v>
      </c>
      <c r="J31" t="s">
        <v>159</v>
      </c>
      <c r="K31">
        <v>1.0000000000000007</v>
      </c>
      <c r="L31" t="s">
        <v>160</v>
      </c>
      <c r="N31" t="s">
        <v>205</v>
      </c>
      <c r="O31" t="s">
        <v>159</v>
      </c>
      <c r="P31">
        <v>1.000000000000004</v>
      </c>
      <c r="Q31" t="s">
        <v>160</v>
      </c>
    </row>
    <row r="32" spans="9:17" x14ac:dyDescent="0.45">
      <c r="I32" t="s">
        <v>181</v>
      </c>
      <c r="J32" t="s">
        <v>159</v>
      </c>
      <c r="K32">
        <v>1</v>
      </c>
      <c r="L32" t="s">
        <v>160</v>
      </c>
      <c r="N32" t="s">
        <v>206</v>
      </c>
      <c r="O32" t="s">
        <v>159</v>
      </c>
      <c r="P32">
        <v>0.99999999999999967</v>
      </c>
      <c r="Q32" t="s">
        <v>160</v>
      </c>
    </row>
    <row r="33" spans="9:17" x14ac:dyDescent="0.45">
      <c r="I33" t="s">
        <v>182</v>
      </c>
      <c r="J33" t="s">
        <v>159</v>
      </c>
      <c r="K33">
        <v>1.0000000000000011</v>
      </c>
      <c r="L33" t="s">
        <v>160</v>
      </c>
      <c r="N33" t="s">
        <v>207</v>
      </c>
      <c r="O33" t="s">
        <v>159</v>
      </c>
      <c r="P33">
        <v>0.99999999999999722</v>
      </c>
      <c r="Q33" t="s">
        <v>160</v>
      </c>
    </row>
    <row r="34" spans="9:17" x14ac:dyDescent="0.45">
      <c r="I34" t="s">
        <v>183</v>
      </c>
      <c r="J34" t="s">
        <v>159</v>
      </c>
      <c r="K34">
        <v>1.0000000000000042</v>
      </c>
      <c r="L34" t="s">
        <v>160</v>
      </c>
      <c r="N34" t="s">
        <v>208</v>
      </c>
      <c r="O34" t="s">
        <v>159</v>
      </c>
      <c r="P34">
        <v>0.99999999999999811</v>
      </c>
      <c r="Q34" t="s">
        <v>160</v>
      </c>
    </row>
    <row r="35" spans="9:17" x14ac:dyDescent="0.45">
      <c r="I35" t="s">
        <v>184</v>
      </c>
      <c r="J35" t="s">
        <v>159</v>
      </c>
      <c r="K35">
        <v>0.99999999999999989</v>
      </c>
      <c r="L35" t="s">
        <v>160</v>
      </c>
      <c r="N35" t="s">
        <v>209</v>
      </c>
      <c r="O35" t="s">
        <v>159</v>
      </c>
      <c r="P35">
        <v>1.0000000000000004</v>
      </c>
      <c r="Q35" t="s">
        <v>160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2F455-F2C4-46C7-8F56-D1F6E3EB2DB2}">
  <dimension ref="A9:AI310"/>
  <sheetViews>
    <sheetView tabSelected="1"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210</v>
      </c>
      <c r="T10" t="s">
        <v>157</v>
      </c>
      <c r="U10" t="s">
        <v>122</v>
      </c>
      <c r="V10" t="s">
        <v>13</v>
      </c>
      <c r="X10" t="s">
        <v>13</v>
      </c>
      <c r="Y10" t="s">
        <v>122</v>
      </c>
      <c r="Z10" t="s">
        <v>157</v>
      </c>
      <c r="AB10" t="s">
        <v>13</v>
      </c>
      <c r="AC10" t="s">
        <v>122</v>
      </c>
      <c r="AD10" t="s">
        <v>214</v>
      </c>
      <c r="AF10" t="s">
        <v>47</v>
      </c>
      <c r="AG10" t="s">
        <v>122</v>
      </c>
      <c r="AH10" t="s">
        <v>215</v>
      </c>
      <c r="AI10" t="s">
        <v>216</v>
      </c>
    </row>
    <row r="11" spans="1:35" x14ac:dyDescent="0.45">
      <c r="A11" t="str">
        <f>IFERROR(IF(Veda!D5=A10,"ok","x"),"")</f>
        <v>x</v>
      </c>
      <c r="C11" t="s">
        <v>217</v>
      </c>
      <c r="D11" t="s">
        <v>155</v>
      </c>
      <c r="E11" t="s">
        <v>212</v>
      </c>
      <c r="F11" t="s">
        <v>218</v>
      </c>
      <c r="G11" t="s">
        <v>155</v>
      </c>
      <c r="I11" t="s">
        <v>158</v>
      </c>
      <c r="J11" t="s">
        <v>223</v>
      </c>
      <c r="K11">
        <v>0.18116567210109996</v>
      </c>
      <c r="L11" t="s">
        <v>160</v>
      </c>
      <c r="N11" t="s">
        <v>185</v>
      </c>
      <c r="O11" t="s">
        <v>223</v>
      </c>
      <c r="P11">
        <v>0.13028195463036429</v>
      </c>
      <c r="Q11" t="s">
        <v>160</v>
      </c>
      <c r="S11">
        <v>0.11426940639269406</v>
      </c>
      <c r="T11">
        <v>0.16087081189037786</v>
      </c>
      <c r="U11" t="s">
        <v>223</v>
      </c>
      <c r="V11" t="s">
        <v>25</v>
      </c>
      <c r="X11" t="s">
        <v>22</v>
      </c>
      <c r="Y11" t="s">
        <v>223</v>
      </c>
      <c r="Z11">
        <v>0.11819115625337555</v>
      </c>
      <c r="AB11" t="s">
        <v>97</v>
      </c>
      <c r="AC11" t="s">
        <v>223</v>
      </c>
      <c r="AD11">
        <v>0.18444393583567309</v>
      </c>
    </row>
    <row r="12" spans="1:35" x14ac:dyDescent="0.45">
      <c r="C12" t="s">
        <v>219</v>
      </c>
      <c r="E12" t="s">
        <v>213</v>
      </c>
      <c r="G12" t="s">
        <v>155</v>
      </c>
      <c r="I12" t="s">
        <v>158</v>
      </c>
      <c r="J12" t="s">
        <v>224</v>
      </c>
      <c r="K12">
        <v>0</v>
      </c>
      <c r="L12" t="s">
        <v>160</v>
      </c>
      <c r="N12" t="s">
        <v>185</v>
      </c>
      <c r="O12" t="s">
        <v>224</v>
      </c>
      <c r="P12">
        <v>0.14974164168177898</v>
      </c>
      <c r="Q12" t="s">
        <v>160</v>
      </c>
      <c r="S12">
        <v>0.11426940639269406</v>
      </c>
      <c r="T12">
        <v>5.2547713165767528E-2</v>
      </c>
      <c r="U12" t="s">
        <v>224</v>
      </c>
      <c r="V12" t="s">
        <v>25</v>
      </c>
      <c r="X12" t="s">
        <v>22</v>
      </c>
      <c r="Y12" t="s">
        <v>224</v>
      </c>
      <c r="Z12">
        <v>9.764364422569162E-2</v>
      </c>
      <c r="AB12" t="s">
        <v>97</v>
      </c>
      <c r="AC12" t="s">
        <v>224</v>
      </c>
      <c r="AD12">
        <v>0.33632064062675737</v>
      </c>
    </row>
    <row r="13" spans="1:35" x14ac:dyDescent="0.45">
      <c r="C13" t="s">
        <v>220</v>
      </c>
      <c r="E13" t="s">
        <v>221</v>
      </c>
      <c r="G13" t="s">
        <v>155</v>
      </c>
      <c r="I13" t="s">
        <v>158</v>
      </c>
      <c r="J13" t="s">
        <v>225</v>
      </c>
      <c r="K13">
        <v>6.0753545966120582E-3</v>
      </c>
      <c r="L13" t="s">
        <v>160</v>
      </c>
      <c r="N13" t="s">
        <v>185</v>
      </c>
      <c r="O13" t="s">
        <v>225</v>
      </c>
      <c r="P13">
        <v>2.5648019900903506E-2</v>
      </c>
      <c r="Q13" t="s">
        <v>160</v>
      </c>
      <c r="S13">
        <v>2.0776255707762557E-2</v>
      </c>
      <c r="T13">
        <v>3.5896543437005365E-2</v>
      </c>
      <c r="U13" t="s">
        <v>225</v>
      </c>
      <c r="V13" t="s">
        <v>25</v>
      </c>
      <c r="X13" t="s">
        <v>22</v>
      </c>
      <c r="Y13" t="s">
        <v>225</v>
      </c>
      <c r="Z13">
        <v>2.2218061012861254E-2</v>
      </c>
      <c r="AB13" t="s">
        <v>97</v>
      </c>
      <c r="AC13" t="s">
        <v>225</v>
      </c>
      <c r="AD13">
        <v>0.16828062521923326</v>
      </c>
    </row>
    <row r="14" spans="1:35" x14ac:dyDescent="0.45">
      <c r="C14" t="s">
        <v>222</v>
      </c>
      <c r="I14" t="s">
        <v>158</v>
      </c>
      <c r="J14" t="s">
        <v>226</v>
      </c>
      <c r="K14">
        <v>0.2493711356386554</v>
      </c>
      <c r="L14" t="s">
        <v>160</v>
      </c>
      <c r="N14" t="s">
        <v>185</v>
      </c>
      <c r="O14" t="s">
        <v>226</v>
      </c>
      <c r="P14">
        <v>0.13293486881909952</v>
      </c>
      <c r="Q14" t="s">
        <v>160</v>
      </c>
      <c r="S14">
        <v>0.11552511415525114</v>
      </c>
      <c r="T14">
        <v>0.16263862301005233</v>
      </c>
      <c r="U14" t="s">
        <v>226</v>
      </c>
      <c r="V14" t="s">
        <v>25</v>
      </c>
      <c r="X14" t="s">
        <v>22</v>
      </c>
      <c r="Y14" t="s">
        <v>226</v>
      </c>
      <c r="Z14">
        <v>0.12251447003662695</v>
      </c>
      <c r="AB14" t="s">
        <v>97</v>
      </c>
      <c r="AC14" t="s">
        <v>226</v>
      </c>
      <c r="AD14">
        <v>0.19174320375688136</v>
      </c>
    </row>
    <row r="15" spans="1:35" x14ac:dyDescent="0.45">
      <c r="I15" t="s">
        <v>158</v>
      </c>
      <c r="J15" t="s">
        <v>227</v>
      </c>
      <c r="K15">
        <v>3.4088699526408314E-3</v>
      </c>
      <c r="L15" t="s">
        <v>160</v>
      </c>
      <c r="N15" t="s">
        <v>185</v>
      </c>
      <c r="O15" t="s">
        <v>227</v>
      </c>
      <c r="P15">
        <v>0.14369926175060274</v>
      </c>
      <c r="Q15" t="s">
        <v>160</v>
      </c>
      <c r="S15">
        <v>0.11552511415525114</v>
      </c>
      <c r="T15">
        <v>5.3125160563193538E-2</v>
      </c>
      <c r="U15" t="s">
        <v>227</v>
      </c>
      <c r="V15" t="s">
        <v>25</v>
      </c>
      <c r="X15" t="s">
        <v>22</v>
      </c>
      <c r="Y15" t="s">
        <v>227</v>
      </c>
      <c r="Z15">
        <v>9.9430561690573876E-2</v>
      </c>
      <c r="AB15" t="s">
        <v>97</v>
      </c>
      <c r="AC15" t="s">
        <v>227</v>
      </c>
      <c r="AD15">
        <v>0.37712195612715815</v>
      </c>
    </row>
    <row r="16" spans="1:35" x14ac:dyDescent="0.45">
      <c r="I16" t="s">
        <v>158</v>
      </c>
      <c r="J16" t="s">
        <v>228</v>
      </c>
      <c r="K16">
        <v>1.9117749965630891E-2</v>
      </c>
      <c r="L16" t="s">
        <v>160</v>
      </c>
      <c r="N16" t="s">
        <v>185</v>
      </c>
      <c r="O16" t="s">
        <v>228</v>
      </c>
      <c r="P16">
        <v>2.6491121351641892E-2</v>
      </c>
      <c r="Q16" t="s">
        <v>160</v>
      </c>
      <c r="S16">
        <v>2.1004566210045664E-2</v>
      </c>
      <c r="T16">
        <v>3.6291010947302131E-2</v>
      </c>
      <c r="U16" t="s">
        <v>228</v>
      </c>
      <c r="V16" t="s">
        <v>25</v>
      </c>
      <c r="X16" t="s">
        <v>22</v>
      </c>
      <c r="Y16" t="s">
        <v>228</v>
      </c>
      <c r="Z16">
        <v>2.2965271391870858E-2</v>
      </c>
      <c r="AB16" t="s">
        <v>97</v>
      </c>
      <c r="AC16" t="s">
        <v>228</v>
      </c>
      <c r="AD16">
        <v>0.1680616153557668</v>
      </c>
    </row>
    <row r="17" spans="9:30" x14ac:dyDescent="0.45">
      <c r="I17" t="s">
        <v>158</v>
      </c>
      <c r="J17" t="s">
        <v>229</v>
      </c>
      <c r="K17">
        <v>0.35017399383420861</v>
      </c>
      <c r="L17" t="s">
        <v>160</v>
      </c>
      <c r="N17" t="s">
        <v>185</v>
      </c>
      <c r="O17" t="s">
        <v>229</v>
      </c>
      <c r="P17">
        <v>4.7331713982363993E-2</v>
      </c>
      <c r="Q17" t="s">
        <v>160</v>
      </c>
      <c r="S17">
        <v>0.11552511415525114</v>
      </c>
      <c r="T17">
        <v>0.16263862301005233</v>
      </c>
      <c r="U17" t="s">
        <v>229</v>
      </c>
      <c r="V17" t="s">
        <v>25</v>
      </c>
      <c r="X17" t="s">
        <v>22</v>
      </c>
      <c r="Y17" t="s">
        <v>229</v>
      </c>
      <c r="Z17">
        <v>0.12264326156561349</v>
      </c>
      <c r="AB17" t="s">
        <v>97</v>
      </c>
      <c r="AC17" t="s">
        <v>229</v>
      </c>
      <c r="AD17">
        <v>0.14769495408386679</v>
      </c>
    </row>
    <row r="18" spans="9:30" x14ac:dyDescent="0.45">
      <c r="I18" t="s">
        <v>158</v>
      </c>
      <c r="J18" t="s">
        <v>230</v>
      </c>
      <c r="K18">
        <v>1.2552322934877491E-2</v>
      </c>
      <c r="L18" t="s">
        <v>160</v>
      </c>
      <c r="N18" t="s">
        <v>185</v>
      </c>
      <c r="O18" t="s">
        <v>230</v>
      </c>
      <c r="P18">
        <v>5.5303260646083291E-2</v>
      </c>
      <c r="Q18" t="s">
        <v>160</v>
      </c>
      <c r="S18">
        <v>0.11552511415525114</v>
      </c>
      <c r="T18">
        <v>5.3125160563193538E-2</v>
      </c>
      <c r="U18" t="s">
        <v>230</v>
      </c>
      <c r="V18" t="s">
        <v>25</v>
      </c>
      <c r="X18" t="s">
        <v>22</v>
      </c>
      <c r="Y18" t="s">
        <v>230</v>
      </c>
      <c r="Z18">
        <v>0.10045386194730507</v>
      </c>
      <c r="AB18" t="s">
        <v>97</v>
      </c>
      <c r="AC18" t="s">
        <v>230</v>
      </c>
      <c r="AD18">
        <v>0.31451538907064003</v>
      </c>
    </row>
    <row r="19" spans="9:30" x14ac:dyDescent="0.45">
      <c r="I19" t="s">
        <v>158</v>
      </c>
      <c r="J19" t="s">
        <v>231</v>
      </c>
      <c r="K19">
        <v>3.3868616874859182E-2</v>
      </c>
      <c r="L19" t="s">
        <v>160</v>
      </c>
      <c r="N19" t="s">
        <v>185</v>
      </c>
      <c r="O19" t="s">
        <v>231</v>
      </c>
      <c r="P19">
        <v>8.2181127409838069E-3</v>
      </c>
      <c r="Q19" t="s">
        <v>160</v>
      </c>
      <c r="S19">
        <v>2.1004566210045664E-2</v>
      </c>
      <c r="T19">
        <v>3.6291010947302131E-2</v>
      </c>
      <c r="U19" t="s">
        <v>231</v>
      </c>
      <c r="V19" t="s">
        <v>25</v>
      </c>
      <c r="X19" t="s">
        <v>22</v>
      </c>
      <c r="Y19" t="s">
        <v>231</v>
      </c>
      <c r="Z19">
        <v>2.2611873364752143E-2</v>
      </c>
      <c r="AB19" t="s">
        <v>97</v>
      </c>
      <c r="AC19" t="s">
        <v>231</v>
      </c>
      <c r="AD19">
        <v>0.1070148299237299</v>
      </c>
    </row>
    <row r="20" spans="9:30" x14ac:dyDescent="0.45">
      <c r="I20" t="s">
        <v>158</v>
      </c>
      <c r="J20" t="s">
        <v>232</v>
      </c>
      <c r="K20">
        <v>0.14242724663260661</v>
      </c>
      <c r="L20" t="s">
        <v>160</v>
      </c>
      <c r="N20" t="s">
        <v>185</v>
      </c>
      <c r="O20" t="s">
        <v>232</v>
      </c>
      <c r="P20">
        <v>0.11969143148996375</v>
      </c>
      <c r="Q20" t="s">
        <v>160</v>
      </c>
      <c r="S20">
        <v>0.11301369863013698</v>
      </c>
      <c r="T20">
        <v>0.15910300077070333</v>
      </c>
      <c r="U20" t="s">
        <v>232</v>
      </c>
      <c r="V20" t="s">
        <v>25</v>
      </c>
      <c r="X20" t="s">
        <v>22</v>
      </c>
      <c r="Y20" t="s">
        <v>232</v>
      </c>
      <c r="Z20">
        <v>0.13762287724714475</v>
      </c>
      <c r="AB20" t="s">
        <v>97</v>
      </c>
      <c r="AC20" t="s">
        <v>232</v>
      </c>
      <c r="AD20">
        <v>0.10814855721490635</v>
      </c>
    </row>
    <row r="21" spans="9:30" x14ac:dyDescent="0.45">
      <c r="I21" t="s">
        <v>158</v>
      </c>
      <c r="J21" t="s">
        <v>233</v>
      </c>
      <c r="K21">
        <v>0</v>
      </c>
      <c r="L21" t="s">
        <v>160</v>
      </c>
      <c r="N21" t="s">
        <v>185</v>
      </c>
      <c r="O21" t="s">
        <v>233</v>
      </c>
      <c r="P21">
        <v>0.13609277058890706</v>
      </c>
      <c r="Q21" t="s">
        <v>160</v>
      </c>
      <c r="S21">
        <v>0.11301369863013698</v>
      </c>
      <c r="T21">
        <v>5.197026576834151E-2</v>
      </c>
      <c r="U21" t="s">
        <v>233</v>
      </c>
      <c r="V21" t="s">
        <v>25</v>
      </c>
      <c r="X21" t="s">
        <v>22</v>
      </c>
      <c r="Y21" t="s">
        <v>233</v>
      </c>
      <c r="Z21">
        <v>0.10709107236508457</v>
      </c>
      <c r="AB21" t="s">
        <v>97</v>
      </c>
      <c r="AC21" t="s">
        <v>233</v>
      </c>
      <c r="AD21">
        <v>0.30643668094329723</v>
      </c>
    </row>
    <row r="22" spans="9:30" x14ac:dyDescent="0.45">
      <c r="I22" t="s">
        <v>158</v>
      </c>
      <c r="J22" t="s">
        <v>234</v>
      </c>
      <c r="K22">
        <v>1.8390374688117832E-3</v>
      </c>
      <c r="L22" t="s">
        <v>160</v>
      </c>
      <c r="N22" t="s">
        <v>185</v>
      </c>
      <c r="O22" t="s">
        <v>234</v>
      </c>
      <c r="P22">
        <v>2.4565842417307096E-2</v>
      </c>
      <c r="Q22" t="s">
        <v>160</v>
      </c>
      <c r="S22">
        <v>2.0547945205479451E-2</v>
      </c>
      <c r="T22">
        <v>3.5502075926708607E-2</v>
      </c>
      <c r="U22" t="s">
        <v>234</v>
      </c>
      <c r="V22" t="s">
        <v>25</v>
      </c>
      <c r="X22" t="s">
        <v>22</v>
      </c>
      <c r="Y22" t="s">
        <v>234</v>
      </c>
      <c r="Z22">
        <v>2.6613888899099897E-2</v>
      </c>
      <c r="AB22" t="s">
        <v>97</v>
      </c>
      <c r="AC22" t="s">
        <v>234</v>
      </c>
      <c r="AD22">
        <v>5.2768244206291559E-2</v>
      </c>
    </row>
    <row r="23" spans="9:30" x14ac:dyDescent="0.45">
      <c r="I23" t="s">
        <v>161</v>
      </c>
      <c r="J23" t="s">
        <v>223</v>
      </c>
      <c r="K23">
        <v>0.19044321994579025</v>
      </c>
      <c r="L23" t="s">
        <v>160</v>
      </c>
      <c r="N23" t="s">
        <v>186</v>
      </c>
      <c r="O23" t="s">
        <v>223</v>
      </c>
      <c r="P23">
        <v>0.13924265643947534</v>
      </c>
      <c r="Q23" t="s">
        <v>160</v>
      </c>
      <c r="X23" t="s">
        <v>19</v>
      </c>
      <c r="Y23" t="s">
        <v>223</v>
      </c>
      <c r="Z23">
        <v>0.11495523261944324</v>
      </c>
    </row>
    <row r="24" spans="9:30" x14ac:dyDescent="0.45">
      <c r="I24" t="s">
        <v>161</v>
      </c>
      <c r="J24" t="s">
        <v>224</v>
      </c>
      <c r="K24">
        <v>0</v>
      </c>
      <c r="L24" t="s">
        <v>160</v>
      </c>
      <c r="N24" t="s">
        <v>186</v>
      </c>
      <c r="O24" t="s">
        <v>224</v>
      </c>
      <c r="P24">
        <v>0.1330871821325447</v>
      </c>
      <c r="Q24" t="s">
        <v>160</v>
      </c>
      <c r="X24" t="s">
        <v>19</v>
      </c>
      <c r="Y24" t="s">
        <v>224</v>
      </c>
      <c r="Z24">
        <v>0.11331233725982839</v>
      </c>
    </row>
    <row r="25" spans="9:30" x14ac:dyDescent="0.45">
      <c r="I25" t="s">
        <v>161</v>
      </c>
      <c r="J25" t="s">
        <v>225</v>
      </c>
      <c r="K25">
        <v>6.1435452944973903E-3</v>
      </c>
      <c r="L25" t="s">
        <v>160</v>
      </c>
      <c r="N25" t="s">
        <v>186</v>
      </c>
      <c r="O25" t="s">
        <v>225</v>
      </c>
      <c r="P25">
        <v>2.7016932672493724E-2</v>
      </c>
      <c r="Q25" t="s">
        <v>160</v>
      </c>
      <c r="X25" t="s">
        <v>19</v>
      </c>
      <c r="Y25" t="s">
        <v>225</v>
      </c>
      <c r="Z25">
        <v>2.0959220056360785E-2</v>
      </c>
    </row>
    <row r="26" spans="9:30" x14ac:dyDescent="0.45">
      <c r="I26" t="s">
        <v>161</v>
      </c>
      <c r="J26" t="s">
        <v>226</v>
      </c>
      <c r="K26">
        <v>0.25979762285838431</v>
      </c>
      <c r="L26" t="s">
        <v>160</v>
      </c>
      <c r="N26" t="s">
        <v>186</v>
      </c>
      <c r="O26" t="s">
        <v>226</v>
      </c>
      <c r="P26">
        <v>0.14489617808765343</v>
      </c>
      <c r="Q26" t="s">
        <v>160</v>
      </c>
      <c r="X26" t="s">
        <v>19</v>
      </c>
      <c r="Y26" t="s">
        <v>226</v>
      </c>
      <c r="Z26">
        <v>0.11632010738895902</v>
      </c>
    </row>
    <row r="27" spans="9:30" x14ac:dyDescent="0.45">
      <c r="I27" t="s">
        <v>161</v>
      </c>
      <c r="J27" t="s">
        <v>227</v>
      </c>
      <c r="K27">
        <v>2.6553819766315574E-3</v>
      </c>
      <c r="L27" t="s">
        <v>160</v>
      </c>
      <c r="N27" t="s">
        <v>186</v>
      </c>
      <c r="O27" t="s">
        <v>227</v>
      </c>
      <c r="P27">
        <v>0.11746378798624833</v>
      </c>
      <c r="Q27" t="s">
        <v>160</v>
      </c>
      <c r="X27" t="s">
        <v>19</v>
      </c>
      <c r="Y27" t="s">
        <v>227</v>
      </c>
      <c r="Z27">
        <v>0.11447441211196349</v>
      </c>
    </row>
    <row r="28" spans="9:30" x14ac:dyDescent="0.45">
      <c r="I28" t="s">
        <v>161</v>
      </c>
      <c r="J28" t="s">
        <v>228</v>
      </c>
      <c r="K28">
        <v>2.1882189469554378E-2</v>
      </c>
      <c r="L28" t="s">
        <v>160</v>
      </c>
      <c r="N28" t="s">
        <v>186</v>
      </c>
      <c r="O28" t="s">
        <v>228</v>
      </c>
      <c r="P28">
        <v>2.3327564876687565E-2</v>
      </c>
      <c r="Q28" t="s">
        <v>160</v>
      </c>
      <c r="X28" t="s">
        <v>19</v>
      </c>
      <c r="Y28" t="s">
        <v>228</v>
      </c>
      <c r="Z28">
        <v>2.1204273083676676E-2</v>
      </c>
    </row>
    <row r="29" spans="9:30" x14ac:dyDescent="0.45">
      <c r="I29" t="s">
        <v>161</v>
      </c>
      <c r="J29" t="s">
        <v>229</v>
      </c>
      <c r="K29">
        <v>0.32576651652835092</v>
      </c>
      <c r="L29" t="s">
        <v>160</v>
      </c>
      <c r="N29" t="s">
        <v>186</v>
      </c>
      <c r="O29" t="s">
        <v>229</v>
      </c>
      <c r="P29">
        <v>4.9408595104961171E-2</v>
      </c>
      <c r="Q29" t="s">
        <v>160</v>
      </c>
      <c r="X29" t="s">
        <v>19</v>
      </c>
      <c r="Y29" t="s">
        <v>229</v>
      </c>
      <c r="Z29">
        <v>0.11630400514669803</v>
      </c>
    </row>
    <row r="30" spans="9:30" x14ac:dyDescent="0.45">
      <c r="I30" t="s">
        <v>161</v>
      </c>
      <c r="J30" t="s">
        <v>230</v>
      </c>
      <c r="K30">
        <v>1.0402357500765598E-2</v>
      </c>
      <c r="L30" t="s">
        <v>160</v>
      </c>
      <c r="N30" t="s">
        <v>186</v>
      </c>
      <c r="O30" t="s">
        <v>230</v>
      </c>
      <c r="P30">
        <v>5.060359691134881E-2</v>
      </c>
      <c r="Q30" t="s">
        <v>160</v>
      </c>
      <c r="X30" t="s">
        <v>19</v>
      </c>
      <c r="Y30" t="s">
        <v>230</v>
      </c>
      <c r="Z30">
        <v>0.11452983114371207</v>
      </c>
    </row>
    <row r="31" spans="9:30" x14ac:dyDescent="0.45">
      <c r="I31" t="s">
        <v>161</v>
      </c>
      <c r="J31" t="s">
        <v>231</v>
      </c>
      <c r="K31">
        <v>3.3460687247464073E-2</v>
      </c>
      <c r="L31" t="s">
        <v>160</v>
      </c>
      <c r="N31" t="s">
        <v>186</v>
      </c>
      <c r="O31" t="s">
        <v>231</v>
      </c>
      <c r="P31">
        <v>1.2679766522254068E-2</v>
      </c>
      <c r="Q31" t="s">
        <v>160</v>
      </c>
      <c r="X31" t="s">
        <v>19</v>
      </c>
      <c r="Y31" t="s">
        <v>231</v>
      </c>
      <c r="Z31">
        <v>2.1171216837340218E-2</v>
      </c>
    </row>
    <row r="32" spans="9:30" x14ac:dyDescent="0.45">
      <c r="I32" t="s">
        <v>161</v>
      </c>
      <c r="J32" t="s">
        <v>232</v>
      </c>
      <c r="K32">
        <v>0.14705039208828835</v>
      </c>
      <c r="L32" t="s">
        <v>160</v>
      </c>
      <c r="N32" t="s">
        <v>186</v>
      </c>
      <c r="O32" t="s">
        <v>232</v>
      </c>
      <c r="P32">
        <v>0.13955087899901555</v>
      </c>
      <c r="Q32" t="s">
        <v>160</v>
      </c>
      <c r="X32" t="s">
        <v>19</v>
      </c>
      <c r="Y32" t="s">
        <v>232</v>
      </c>
      <c r="Z32">
        <v>0.11416318349107028</v>
      </c>
    </row>
    <row r="33" spans="9:26" x14ac:dyDescent="0.45">
      <c r="I33" t="s">
        <v>161</v>
      </c>
      <c r="J33" t="s">
        <v>233</v>
      </c>
      <c r="K33">
        <v>0</v>
      </c>
      <c r="L33" t="s">
        <v>160</v>
      </c>
      <c r="N33" t="s">
        <v>186</v>
      </c>
      <c r="O33" t="s">
        <v>233</v>
      </c>
      <c r="P33">
        <v>0.13843738356107338</v>
      </c>
      <c r="Q33" t="s">
        <v>160</v>
      </c>
      <c r="X33" t="s">
        <v>19</v>
      </c>
      <c r="Y33" t="s">
        <v>233</v>
      </c>
      <c r="Z33">
        <v>0.11172198474672497</v>
      </c>
    </row>
    <row r="34" spans="9:26" x14ac:dyDescent="0.45">
      <c r="I34" t="s">
        <v>161</v>
      </c>
      <c r="J34" t="s">
        <v>234</v>
      </c>
      <c r="K34">
        <v>2.3980870902749539E-3</v>
      </c>
      <c r="L34" t="s">
        <v>160</v>
      </c>
      <c r="N34" t="s">
        <v>186</v>
      </c>
      <c r="O34" t="s">
        <v>234</v>
      </c>
      <c r="P34">
        <v>2.4285476706248095E-2</v>
      </c>
      <c r="Q34" t="s">
        <v>160</v>
      </c>
      <c r="X34" t="s">
        <v>19</v>
      </c>
      <c r="Y34" t="s">
        <v>234</v>
      </c>
      <c r="Z34">
        <v>2.0884196114222889E-2</v>
      </c>
    </row>
    <row r="35" spans="9:26" x14ac:dyDescent="0.45">
      <c r="I35" t="s">
        <v>162</v>
      </c>
      <c r="J35" t="s">
        <v>223</v>
      </c>
      <c r="K35">
        <v>0.18485151822789181</v>
      </c>
      <c r="L35" t="s">
        <v>160</v>
      </c>
      <c r="N35" t="s">
        <v>187</v>
      </c>
      <c r="O35" t="s">
        <v>223</v>
      </c>
      <c r="P35">
        <v>0.14834405334077588</v>
      </c>
      <c r="Q35" t="s">
        <v>160</v>
      </c>
    </row>
    <row r="36" spans="9:26" x14ac:dyDescent="0.45">
      <c r="I36" t="s">
        <v>162</v>
      </c>
      <c r="J36" t="s">
        <v>224</v>
      </c>
      <c r="K36">
        <v>0</v>
      </c>
      <c r="L36" t="s">
        <v>160</v>
      </c>
      <c r="N36" t="s">
        <v>187</v>
      </c>
      <c r="O36" t="s">
        <v>224</v>
      </c>
      <c r="P36">
        <v>0.14023246628302544</v>
      </c>
      <c r="Q36" t="s">
        <v>160</v>
      </c>
    </row>
    <row r="37" spans="9:26" x14ac:dyDescent="0.45">
      <c r="I37" t="s">
        <v>162</v>
      </c>
      <c r="J37" t="s">
        <v>225</v>
      </c>
      <c r="K37">
        <v>6.0072018407211804E-3</v>
      </c>
      <c r="L37" t="s">
        <v>160</v>
      </c>
      <c r="N37" t="s">
        <v>187</v>
      </c>
      <c r="O37" t="s">
        <v>225</v>
      </c>
      <c r="P37">
        <v>2.8884889636354487E-2</v>
      </c>
      <c r="Q37" t="s">
        <v>160</v>
      </c>
    </row>
    <row r="38" spans="9:26" x14ac:dyDescent="0.45">
      <c r="I38" t="s">
        <v>162</v>
      </c>
      <c r="J38" t="s">
        <v>226</v>
      </c>
      <c r="K38">
        <v>0.25232383861440677</v>
      </c>
      <c r="L38" t="s">
        <v>160</v>
      </c>
      <c r="N38" t="s">
        <v>187</v>
      </c>
      <c r="O38" t="s">
        <v>226</v>
      </c>
      <c r="P38">
        <v>0.15822953693694505</v>
      </c>
      <c r="Q38" t="s">
        <v>160</v>
      </c>
    </row>
    <row r="39" spans="9:26" x14ac:dyDescent="0.45">
      <c r="I39" t="s">
        <v>162</v>
      </c>
      <c r="J39" t="s">
        <v>227</v>
      </c>
      <c r="K39">
        <v>2.6474413221339497E-3</v>
      </c>
      <c r="L39" t="s">
        <v>160</v>
      </c>
      <c r="N39" t="s">
        <v>187</v>
      </c>
      <c r="O39" t="s">
        <v>227</v>
      </c>
      <c r="P39">
        <v>0.11018313960707503</v>
      </c>
      <c r="Q39" t="s">
        <v>160</v>
      </c>
    </row>
    <row r="40" spans="9:26" x14ac:dyDescent="0.45">
      <c r="I40" t="s">
        <v>162</v>
      </c>
      <c r="J40" t="s">
        <v>228</v>
      </c>
      <c r="K40">
        <v>2.1269089510963866E-2</v>
      </c>
      <c r="L40" t="s">
        <v>160</v>
      </c>
      <c r="N40" t="s">
        <v>187</v>
      </c>
      <c r="O40" t="s">
        <v>228</v>
      </c>
      <c r="P40">
        <v>2.2052451765723454E-2</v>
      </c>
      <c r="Q40" t="s">
        <v>160</v>
      </c>
    </row>
    <row r="41" spans="9:26" x14ac:dyDescent="0.45">
      <c r="I41" t="s">
        <v>162</v>
      </c>
      <c r="J41" t="s">
        <v>229</v>
      </c>
      <c r="K41">
        <v>0.34110556196328984</v>
      </c>
      <c r="L41" t="s">
        <v>160</v>
      </c>
      <c r="N41" t="s">
        <v>187</v>
      </c>
      <c r="O41" t="s">
        <v>229</v>
      </c>
      <c r="P41">
        <v>5.6959356391498107E-2</v>
      </c>
      <c r="Q41" t="s">
        <v>160</v>
      </c>
    </row>
    <row r="42" spans="9:26" x14ac:dyDescent="0.45">
      <c r="I42" t="s">
        <v>162</v>
      </c>
      <c r="J42" t="s">
        <v>230</v>
      </c>
      <c r="K42">
        <v>1.108865941659214E-2</v>
      </c>
      <c r="L42" t="s">
        <v>160</v>
      </c>
      <c r="N42" t="s">
        <v>187</v>
      </c>
      <c r="O42" t="s">
        <v>230</v>
      </c>
      <c r="P42">
        <v>3.539989117676013E-2</v>
      </c>
      <c r="Q42" t="s">
        <v>160</v>
      </c>
    </row>
    <row r="43" spans="9:26" x14ac:dyDescent="0.45">
      <c r="I43" t="s">
        <v>162</v>
      </c>
      <c r="J43" t="s">
        <v>231</v>
      </c>
      <c r="K43">
        <v>3.4128284769155956E-2</v>
      </c>
      <c r="L43" t="s">
        <v>160</v>
      </c>
      <c r="N43" t="s">
        <v>187</v>
      </c>
      <c r="O43" t="s">
        <v>231</v>
      </c>
      <c r="P43">
        <v>1.3177539223112751E-2</v>
      </c>
      <c r="Q43" t="s">
        <v>160</v>
      </c>
    </row>
    <row r="44" spans="9:26" x14ac:dyDescent="0.45">
      <c r="I44" t="s">
        <v>162</v>
      </c>
      <c r="J44" t="s">
        <v>232</v>
      </c>
      <c r="K44">
        <v>0.14454280741193179</v>
      </c>
      <c r="L44" t="s">
        <v>160</v>
      </c>
      <c r="N44" t="s">
        <v>187</v>
      </c>
      <c r="O44" t="s">
        <v>232</v>
      </c>
      <c r="P44">
        <v>0.13252164945389214</v>
      </c>
      <c r="Q44" t="s">
        <v>160</v>
      </c>
    </row>
    <row r="45" spans="9:26" x14ac:dyDescent="0.45">
      <c r="I45" t="s">
        <v>162</v>
      </c>
      <c r="J45" t="s">
        <v>233</v>
      </c>
      <c r="K45">
        <v>0</v>
      </c>
      <c r="L45" t="s">
        <v>160</v>
      </c>
      <c r="N45" t="s">
        <v>187</v>
      </c>
      <c r="O45" t="s">
        <v>233</v>
      </c>
      <c r="P45">
        <v>0.131892807271352</v>
      </c>
      <c r="Q45" t="s">
        <v>160</v>
      </c>
    </row>
    <row r="46" spans="9:26" x14ac:dyDescent="0.45">
      <c r="I46" t="s">
        <v>162</v>
      </c>
      <c r="J46" t="s">
        <v>234</v>
      </c>
      <c r="K46">
        <v>2.0355969229121354E-3</v>
      </c>
      <c r="L46" t="s">
        <v>160</v>
      </c>
      <c r="N46" t="s">
        <v>187</v>
      </c>
      <c r="O46" t="s">
        <v>234</v>
      </c>
      <c r="P46">
        <v>2.212221891348835E-2</v>
      </c>
      <c r="Q46" t="s">
        <v>160</v>
      </c>
    </row>
    <row r="47" spans="9:26" x14ac:dyDescent="0.45">
      <c r="I47" t="s">
        <v>163</v>
      </c>
      <c r="J47" t="s">
        <v>223</v>
      </c>
      <c r="K47">
        <v>0.18973531220173262</v>
      </c>
      <c r="L47" t="s">
        <v>160</v>
      </c>
      <c r="N47" t="s">
        <v>188</v>
      </c>
      <c r="O47" t="s">
        <v>223</v>
      </c>
      <c r="P47">
        <v>9.6184419463297741E-2</v>
      </c>
      <c r="Q47" t="s">
        <v>160</v>
      </c>
    </row>
    <row r="48" spans="9:26" x14ac:dyDescent="0.45">
      <c r="I48" t="s">
        <v>163</v>
      </c>
      <c r="J48" t="s">
        <v>224</v>
      </c>
      <c r="K48">
        <v>0</v>
      </c>
      <c r="L48" t="s">
        <v>160</v>
      </c>
      <c r="N48" t="s">
        <v>188</v>
      </c>
      <c r="O48" t="s">
        <v>224</v>
      </c>
      <c r="P48">
        <v>0.11476574201042061</v>
      </c>
      <c r="Q48" t="s">
        <v>160</v>
      </c>
    </row>
    <row r="49" spans="9:17" x14ac:dyDescent="0.45">
      <c r="I49" t="s">
        <v>163</v>
      </c>
      <c r="J49" t="s">
        <v>225</v>
      </c>
      <c r="K49">
        <v>5.4443031939856645E-3</v>
      </c>
      <c r="L49" t="s">
        <v>160</v>
      </c>
      <c r="N49" t="s">
        <v>188</v>
      </c>
      <c r="O49" t="s">
        <v>225</v>
      </c>
      <c r="P49">
        <v>1.6972105332656241E-2</v>
      </c>
      <c r="Q49" t="s">
        <v>160</v>
      </c>
    </row>
    <row r="50" spans="9:17" x14ac:dyDescent="0.45">
      <c r="I50" t="s">
        <v>163</v>
      </c>
      <c r="J50" t="s">
        <v>226</v>
      </c>
      <c r="K50">
        <v>0.27824168647936615</v>
      </c>
      <c r="L50" t="s">
        <v>160</v>
      </c>
      <c r="N50" t="s">
        <v>188</v>
      </c>
      <c r="O50" t="s">
        <v>226</v>
      </c>
      <c r="P50">
        <v>0.12361199827071241</v>
      </c>
      <c r="Q50" t="s">
        <v>160</v>
      </c>
    </row>
    <row r="51" spans="9:17" x14ac:dyDescent="0.45">
      <c r="I51" t="s">
        <v>163</v>
      </c>
      <c r="J51" t="s">
        <v>227</v>
      </c>
      <c r="K51">
        <v>2.7234009083816771E-3</v>
      </c>
      <c r="L51" t="s">
        <v>160</v>
      </c>
      <c r="N51" t="s">
        <v>188</v>
      </c>
      <c r="O51" t="s">
        <v>227</v>
      </c>
      <c r="P51">
        <v>9.8834940753476E-2</v>
      </c>
      <c r="Q51" t="s">
        <v>160</v>
      </c>
    </row>
    <row r="52" spans="9:17" x14ac:dyDescent="0.45">
      <c r="I52" t="s">
        <v>163</v>
      </c>
      <c r="J52" t="s">
        <v>228</v>
      </c>
      <c r="K52">
        <v>1.9564342521577394E-2</v>
      </c>
      <c r="L52" t="s">
        <v>160</v>
      </c>
      <c r="N52" t="s">
        <v>188</v>
      </c>
      <c r="O52" t="s">
        <v>228</v>
      </c>
      <c r="P52">
        <v>1.9138900800100989E-2</v>
      </c>
      <c r="Q52" t="s">
        <v>160</v>
      </c>
    </row>
    <row r="53" spans="9:17" x14ac:dyDescent="0.45">
      <c r="I53" t="s">
        <v>163</v>
      </c>
      <c r="J53" t="s">
        <v>229</v>
      </c>
      <c r="K53">
        <v>0.29834673564774933</v>
      </c>
      <c r="L53" t="s">
        <v>160</v>
      </c>
      <c r="N53" t="s">
        <v>188</v>
      </c>
      <c r="O53" t="s">
        <v>229</v>
      </c>
      <c r="P53">
        <v>9.3651343568297241E-2</v>
      </c>
      <c r="Q53" t="s">
        <v>160</v>
      </c>
    </row>
    <row r="54" spans="9:17" x14ac:dyDescent="0.45">
      <c r="I54" t="s">
        <v>163</v>
      </c>
      <c r="J54" t="s">
        <v>230</v>
      </c>
      <c r="K54">
        <v>1.0426298737260788E-2</v>
      </c>
      <c r="L54" t="s">
        <v>160</v>
      </c>
      <c r="N54" t="s">
        <v>188</v>
      </c>
      <c r="O54" t="s">
        <v>230</v>
      </c>
      <c r="P54">
        <v>5.0740616609580277E-2</v>
      </c>
      <c r="Q54" t="s">
        <v>160</v>
      </c>
    </row>
    <row r="55" spans="9:17" x14ac:dyDescent="0.45">
      <c r="I55" t="s">
        <v>163</v>
      </c>
      <c r="J55" t="s">
        <v>231</v>
      </c>
      <c r="K55">
        <v>2.6481948858621616E-2</v>
      </c>
      <c r="L55" t="s">
        <v>160</v>
      </c>
      <c r="N55" t="s">
        <v>188</v>
      </c>
      <c r="O55" t="s">
        <v>231</v>
      </c>
      <c r="P55">
        <v>1.3083369347004631E-2</v>
      </c>
      <c r="Q55" t="s">
        <v>160</v>
      </c>
    </row>
    <row r="56" spans="9:17" x14ac:dyDescent="0.45">
      <c r="I56" t="s">
        <v>163</v>
      </c>
      <c r="J56" t="s">
        <v>232</v>
      </c>
      <c r="K56">
        <v>0.16720136139079195</v>
      </c>
      <c r="L56" t="s">
        <v>160</v>
      </c>
      <c r="N56" t="s">
        <v>188</v>
      </c>
      <c r="O56" t="s">
        <v>232</v>
      </c>
      <c r="P56">
        <v>0.16301158358074261</v>
      </c>
      <c r="Q56" t="s">
        <v>160</v>
      </c>
    </row>
    <row r="57" spans="9:17" x14ac:dyDescent="0.45">
      <c r="I57" t="s">
        <v>163</v>
      </c>
      <c r="J57" t="s">
        <v>233</v>
      </c>
      <c r="K57">
        <v>0</v>
      </c>
      <c r="L57" t="s">
        <v>160</v>
      </c>
      <c r="N57" t="s">
        <v>188</v>
      </c>
      <c r="O57" t="s">
        <v>233</v>
      </c>
      <c r="P57">
        <v>0.17832019249753997</v>
      </c>
      <c r="Q57" t="s">
        <v>160</v>
      </c>
    </row>
    <row r="58" spans="9:17" x14ac:dyDescent="0.45">
      <c r="I58" t="s">
        <v>163</v>
      </c>
      <c r="J58" t="s">
        <v>234</v>
      </c>
      <c r="K58">
        <v>1.8346100605340498E-3</v>
      </c>
      <c r="L58" t="s">
        <v>160</v>
      </c>
      <c r="N58" t="s">
        <v>188</v>
      </c>
      <c r="O58" t="s">
        <v>234</v>
      </c>
      <c r="P58">
        <v>3.1684787766169509E-2</v>
      </c>
      <c r="Q58" t="s">
        <v>160</v>
      </c>
    </row>
    <row r="59" spans="9:17" x14ac:dyDescent="0.45">
      <c r="I59" t="s">
        <v>164</v>
      </c>
      <c r="J59" t="s">
        <v>223</v>
      </c>
      <c r="K59">
        <v>0.18186984933274089</v>
      </c>
      <c r="L59" t="s">
        <v>160</v>
      </c>
      <c r="N59" t="s">
        <v>189</v>
      </c>
      <c r="O59" t="s">
        <v>223</v>
      </c>
      <c r="P59">
        <v>0.11278789603753973</v>
      </c>
      <c r="Q59" t="s">
        <v>160</v>
      </c>
    </row>
    <row r="60" spans="9:17" x14ac:dyDescent="0.45">
      <c r="I60" t="s">
        <v>164</v>
      </c>
      <c r="J60" t="s">
        <v>224</v>
      </c>
      <c r="K60">
        <v>0</v>
      </c>
      <c r="L60" t="s">
        <v>160</v>
      </c>
      <c r="N60" t="s">
        <v>189</v>
      </c>
      <c r="O60" t="s">
        <v>224</v>
      </c>
      <c r="P60">
        <v>0.13540637594034577</v>
      </c>
      <c r="Q60" t="s">
        <v>160</v>
      </c>
    </row>
    <row r="61" spans="9:17" x14ac:dyDescent="0.45">
      <c r="I61" t="s">
        <v>164</v>
      </c>
      <c r="J61" t="s">
        <v>225</v>
      </c>
      <c r="K61">
        <v>6.2811759799880429E-3</v>
      </c>
      <c r="L61" t="s">
        <v>160</v>
      </c>
      <c r="N61" t="s">
        <v>189</v>
      </c>
      <c r="O61" t="s">
        <v>225</v>
      </c>
      <c r="P61">
        <v>1.8873216652678781E-2</v>
      </c>
      <c r="Q61" t="s">
        <v>160</v>
      </c>
    </row>
    <row r="62" spans="9:17" x14ac:dyDescent="0.45">
      <c r="I62" t="s">
        <v>164</v>
      </c>
      <c r="J62" t="s">
        <v>226</v>
      </c>
      <c r="K62">
        <v>0.25082278278484715</v>
      </c>
      <c r="L62" t="s">
        <v>160</v>
      </c>
      <c r="N62" t="s">
        <v>189</v>
      </c>
      <c r="O62" t="s">
        <v>226</v>
      </c>
      <c r="P62">
        <v>0.1469776039089925</v>
      </c>
      <c r="Q62" t="s">
        <v>160</v>
      </c>
    </row>
    <row r="63" spans="9:17" x14ac:dyDescent="0.45">
      <c r="I63" t="s">
        <v>164</v>
      </c>
      <c r="J63" t="s">
        <v>227</v>
      </c>
      <c r="K63">
        <v>3.5851097040916933E-3</v>
      </c>
      <c r="L63" t="s">
        <v>160</v>
      </c>
      <c r="N63" t="s">
        <v>189</v>
      </c>
      <c r="O63" t="s">
        <v>227</v>
      </c>
      <c r="P63">
        <v>0.14183304048878606</v>
      </c>
      <c r="Q63" t="s">
        <v>160</v>
      </c>
    </row>
    <row r="64" spans="9:17" x14ac:dyDescent="0.45">
      <c r="I64" t="s">
        <v>164</v>
      </c>
      <c r="J64" t="s">
        <v>228</v>
      </c>
      <c r="K64">
        <v>1.8543979934694612E-2</v>
      </c>
      <c r="L64" t="s">
        <v>160</v>
      </c>
      <c r="N64" t="s">
        <v>189</v>
      </c>
      <c r="O64" t="s">
        <v>228</v>
      </c>
      <c r="P64">
        <v>2.3317261038297319E-2</v>
      </c>
      <c r="Q64" t="s">
        <v>160</v>
      </c>
    </row>
    <row r="65" spans="9:17" x14ac:dyDescent="0.45">
      <c r="I65" t="s">
        <v>164</v>
      </c>
      <c r="J65" t="s">
        <v>229</v>
      </c>
      <c r="K65">
        <v>0.33047489502797761</v>
      </c>
      <c r="L65" t="s">
        <v>160</v>
      </c>
      <c r="N65" t="s">
        <v>189</v>
      </c>
      <c r="O65" t="s">
        <v>229</v>
      </c>
      <c r="P65">
        <v>6.2539357302675957E-2</v>
      </c>
      <c r="Q65" t="s">
        <v>160</v>
      </c>
    </row>
    <row r="66" spans="9:17" x14ac:dyDescent="0.45">
      <c r="I66" t="s">
        <v>164</v>
      </c>
      <c r="J66" t="s">
        <v>230</v>
      </c>
      <c r="K66">
        <v>1.223807320446749E-2</v>
      </c>
      <c r="L66" t="s">
        <v>160</v>
      </c>
      <c r="N66" t="s">
        <v>189</v>
      </c>
      <c r="O66" t="s">
        <v>230</v>
      </c>
      <c r="P66">
        <v>6.1964685904190263E-2</v>
      </c>
      <c r="Q66" t="s">
        <v>160</v>
      </c>
    </row>
    <row r="67" spans="9:17" x14ac:dyDescent="0.45">
      <c r="I67" t="s">
        <v>164</v>
      </c>
      <c r="J67" t="s">
        <v>231</v>
      </c>
      <c r="K67">
        <v>3.1285545942933E-2</v>
      </c>
      <c r="L67" t="s">
        <v>160</v>
      </c>
      <c r="N67" t="s">
        <v>189</v>
      </c>
      <c r="O67" t="s">
        <v>231</v>
      </c>
      <c r="P67">
        <v>7.9802249345083658E-3</v>
      </c>
      <c r="Q67" t="s">
        <v>160</v>
      </c>
    </row>
    <row r="68" spans="9:17" x14ac:dyDescent="0.45">
      <c r="I68" t="s">
        <v>164</v>
      </c>
      <c r="J68" t="s">
        <v>232</v>
      </c>
      <c r="K68">
        <v>0.16276726251795473</v>
      </c>
      <c r="L68" t="s">
        <v>160</v>
      </c>
      <c r="N68" t="s">
        <v>189</v>
      </c>
      <c r="O68" t="s">
        <v>232</v>
      </c>
      <c r="P68">
        <v>0.12386953682174286</v>
      </c>
      <c r="Q68" t="s">
        <v>160</v>
      </c>
    </row>
    <row r="69" spans="9:17" x14ac:dyDescent="0.45">
      <c r="I69" t="s">
        <v>164</v>
      </c>
      <c r="J69" t="s">
        <v>233</v>
      </c>
      <c r="K69">
        <v>0</v>
      </c>
      <c r="L69" t="s">
        <v>160</v>
      </c>
      <c r="N69" t="s">
        <v>189</v>
      </c>
      <c r="O69" t="s">
        <v>233</v>
      </c>
      <c r="P69">
        <v>0.13790762218651442</v>
      </c>
      <c r="Q69" t="s">
        <v>160</v>
      </c>
    </row>
    <row r="70" spans="9:17" x14ac:dyDescent="0.45">
      <c r="I70" t="s">
        <v>164</v>
      </c>
      <c r="J70" t="s">
        <v>234</v>
      </c>
      <c r="K70">
        <v>2.1313255703081465E-3</v>
      </c>
      <c r="L70" t="s">
        <v>160</v>
      </c>
      <c r="N70" t="s">
        <v>189</v>
      </c>
      <c r="O70" t="s">
        <v>234</v>
      </c>
      <c r="P70">
        <v>2.6543178783727788E-2</v>
      </c>
      <c r="Q70" t="s">
        <v>160</v>
      </c>
    </row>
    <row r="71" spans="9:17" x14ac:dyDescent="0.45">
      <c r="I71" t="s">
        <v>165</v>
      </c>
      <c r="J71" t="s">
        <v>223</v>
      </c>
      <c r="K71">
        <v>0.17472383678009817</v>
      </c>
      <c r="L71" t="s">
        <v>160</v>
      </c>
      <c r="N71" t="s">
        <v>190</v>
      </c>
      <c r="O71" t="s">
        <v>223</v>
      </c>
      <c r="P71">
        <v>8.9218641309565944E-2</v>
      </c>
      <c r="Q71" t="s">
        <v>160</v>
      </c>
    </row>
    <row r="72" spans="9:17" x14ac:dyDescent="0.45">
      <c r="I72" t="s">
        <v>165</v>
      </c>
      <c r="J72" t="s">
        <v>224</v>
      </c>
      <c r="K72">
        <v>0</v>
      </c>
      <c r="L72" t="s">
        <v>160</v>
      </c>
      <c r="N72" t="s">
        <v>190</v>
      </c>
      <c r="O72" t="s">
        <v>224</v>
      </c>
      <c r="P72">
        <v>0.12721536774927231</v>
      </c>
      <c r="Q72" t="s">
        <v>160</v>
      </c>
    </row>
    <row r="73" spans="9:17" x14ac:dyDescent="0.45">
      <c r="I73" t="s">
        <v>165</v>
      </c>
      <c r="J73" t="s">
        <v>225</v>
      </c>
      <c r="K73">
        <v>7.1655750513953216E-3</v>
      </c>
      <c r="L73" t="s">
        <v>160</v>
      </c>
      <c r="N73" t="s">
        <v>190</v>
      </c>
      <c r="O73" t="s">
        <v>225</v>
      </c>
      <c r="P73">
        <v>2.0795139678223544E-2</v>
      </c>
      <c r="Q73" t="s">
        <v>160</v>
      </c>
    </row>
    <row r="74" spans="9:17" x14ac:dyDescent="0.45">
      <c r="I74" t="s">
        <v>165</v>
      </c>
      <c r="J74" t="s">
        <v>226</v>
      </c>
      <c r="K74">
        <v>0.2532761478313551</v>
      </c>
      <c r="L74" t="s">
        <v>160</v>
      </c>
      <c r="N74" t="s">
        <v>190</v>
      </c>
      <c r="O74" t="s">
        <v>226</v>
      </c>
      <c r="P74">
        <v>9.3988195232690044E-2</v>
      </c>
      <c r="Q74" t="s">
        <v>160</v>
      </c>
    </row>
    <row r="75" spans="9:17" x14ac:dyDescent="0.45">
      <c r="I75" t="s">
        <v>165</v>
      </c>
      <c r="J75" t="s">
        <v>227</v>
      </c>
      <c r="K75">
        <v>3.3946766871177053E-3</v>
      </c>
      <c r="L75" t="s">
        <v>160</v>
      </c>
      <c r="N75" t="s">
        <v>190</v>
      </c>
      <c r="O75" t="s">
        <v>227</v>
      </c>
      <c r="P75">
        <v>0.11666749768203365</v>
      </c>
      <c r="Q75" t="s">
        <v>160</v>
      </c>
    </row>
    <row r="76" spans="9:17" x14ac:dyDescent="0.45">
      <c r="I76" t="s">
        <v>165</v>
      </c>
      <c r="J76" t="s">
        <v>228</v>
      </c>
      <c r="K76">
        <v>2.2340769305704961E-2</v>
      </c>
      <c r="L76" t="s">
        <v>160</v>
      </c>
      <c r="N76" t="s">
        <v>190</v>
      </c>
      <c r="O76" t="s">
        <v>228</v>
      </c>
      <c r="P76">
        <v>1.9753985740459213E-2</v>
      </c>
      <c r="Q76" t="s">
        <v>160</v>
      </c>
    </row>
    <row r="77" spans="9:17" x14ac:dyDescent="0.45">
      <c r="I77" t="s">
        <v>165</v>
      </c>
      <c r="J77" t="s">
        <v>229</v>
      </c>
      <c r="K77">
        <v>0.32873777390109171</v>
      </c>
      <c r="L77" t="s">
        <v>160</v>
      </c>
      <c r="N77" t="s">
        <v>190</v>
      </c>
      <c r="O77" t="s">
        <v>229</v>
      </c>
      <c r="P77">
        <v>4.9368364491952227E-2</v>
      </c>
      <c r="Q77" t="s">
        <v>160</v>
      </c>
    </row>
    <row r="78" spans="9:17" x14ac:dyDescent="0.45">
      <c r="I78" t="s">
        <v>165</v>
      </c>
      <c r="J78" t="s">
        <v>230</v>
      </c>
      <c r="K78">
        <v>1.1410273609173145E-2</v>
      </c>
      <c r="L78" t="s">
        <v>160</v>
      </c>
      <c r="N78" t="s">
        <v>190</v>
      </c>
      <c r="O78" t="s">
        <v>230</v>
      </c>
      <c r="P78">
        <v>5.427384953227949E-2</v>
      </c>
      <c r="Q78" t="s">
        <v>160</v>
      </c>
    </row>
    <row r="79" spans="9:17" x14ac:dyDescent="0.45">
      <c r="I79" t="s">
        <v>165</v>
      </c>
      <c r="J79" t="s">
        <v>231</v>
      </c>
      <c r="K79">
        <v>3.4412500138188563E-2</v>
      </c>
      <c r="L79" t="s">
        <v>160</v>
      </c>
      <c r="N79" t="s">
        <v>190</v>
      </c>
      <c r="O79" t="s">
        <v>231</v>
      </c>
      <c r="P79">
        <v>8.4508084325383894E-3</v>
      </c>
      <c r="Q79" t="s">
        <v>160</v>
      </c>
    </row>
    <row r="80" spans="9:17" x14ac:dyDescent="0.45">
      <c r="I80" t="s">
        <v>165</v>
      </c>
      <c r="J80" t="s">
        <v>232</v>
      </c>
      <c r="K80">
        <v>0.16190852799507643</v>
      </c>
      <c r="L80" t="s">
        <v>160</v>
      </c>
      <c r="N80" t="s">
        <v>190</v>
      </c>
      <c r="O80" t="s">
        <v>232</v>
      </c>
      <c r="P80">
        <v>0.17708569536789301</v>
      </c>
      <c r="Q80" t="s">
        <v>160</v>
      </c>
    </row>
    <row r="81" spans="9:17" x14ac:dyDescent="0.45">
      <c r="I81" t="s">
        <v>165</v>
      </c>
      <c r="J81" t="s">
        <v>233</v>
      </c>
      <c r="K81">
        <v>0</v>
      </c>
      <c r="L81" t="s">
        <v>160</v>
      </c>
      <c r="N81" t="s">
        <v>190</v>
      </c>
      <c r="O81" t="s">
        <v>233</v>
      </c>
      <c r="P81">
        <v>0.20581419998169337</v>
      </c>
      <c r="Q81" t="s">
        <v>160</v>
      </c>
    </row>
    <row r="82" spans="9:17" x14ac:dyDescent="0.45">
      <c r="I82" t="s">
        <v>165</v>
      </c>
      <c r="J82" t="s">
        <v>234</v>
      </c>
      <c r="K82">
        <v>2.6299187007982113E-3</v>
      </c>
      <c r="L82" t="s">
        <v>160</v>
      </c>
      <c r="N82" t="s">
        <v>190</v>
      </c>
      <c r="O82" t="s">
        <v>234</v>
      </c>
      <c r="P82">
        <v>3.7368254801398645E-2</v>
      </c>
      <c r="Q82" t="s">
        <v>160</v>
      </c>
    </row>
    <row r="83" spans="9:17" x14ac:dyDescent="0.45">
      <c r="I83" t="s">
        <v>166</v>
      </c>
      <c r="J83" t="s">
        <v>223</v>
      </c>
      <c r="K83">
        <v>0.17560359677864493</v>
      </c>
      <c r="L83" t="s">
        <v>160</v>
      </c>
      <c r="N83" t="s">
        <v>191</v>
      </c>
      <c r="O83" t="s">
        <v>223</v>
      </c>
      <c r="P83">
        <v>0.12403737007922445</v>
      </c>
      <c r="Q83" t="s">
        <v>160</v>
      </c>
    </row>
    <row r="84" spans="9:17" x14ac:dyDescent="0.45">
      <c r="I84" t="s">
        <v>166</v>
      </c>
      <c r="J84" t="s">
        <v>224</v>
      </c>
      <c r="K84">
        <v>0</v>
      </c>
      <c r="L84" t="s">
        <v>160</v>
      </c>
      <c r="N84" t="s">
        <v>191</v>
      </c>
      <c r="O84" t="s">
        <v>224</v>
      </c>
      <c r="P84">
        <v>0.12308066525218739</v>
      </c>
      <c r="Q84" t="s">
        <v>160</v>
      </c>
    </row>
    <row r="85" spans="9:17" x14ac:dyDescent="0.45">
      <c r="I85" t="s">
        <v>166</v>
      </c>
      <c r="J85" t="s">
        <v>225</v>
      </c>
      <c r="K85">
        <v>7.7127610991951263E-3</v>
      </c>
      <c r="L85" t="s">
        <v>160</v>
      </c>
      <c r="N85" t="s">
        <v>191</v>
      </c>
      <c r="O85" t="s">
        <v>225</v>
      </c>
      <c r="P85">
        <v>2.5083566902100618E-2</v>
      </c>
      <c r="Q85" t="s">
        <v>160</v>
      </c>
    </row>
    <row r="86" spans="9:17" x14ac:dyDescent="0.45">
      <c r="I86" t="s">
        <v>166</v>
      </c>
      <c r="J86" t="s">
        <v>226</v>
      </c>
      <c r="K86">
        <v>0.24738661341308532</v>
      </c>
      <c r="L86" t="s">
        <v>160</v>
      </c>
      <c r="N86" t="s">
        <v>191</v>
      </c>
      <c r="O86" t="s">
        <v>226</v>
      </c>
      <c r="P86">
        <v>0.1408920443296639</v>
      </c>
      <c r="Q86" t="s">
        <v>160</v>
      </c>
    </row>
    <row r="87" spans="9:17" x14ac:dyDescent="0.45">
      <c r="I87" t="s">
        <v>166</v>
      </c>
      <c r="J87" t="s">
        <v>227</v>
      </c>
      <c r="K87">
        <v>3.2916467127719344E-3</v>
      </c>
      <c r="L87" t="s">
        <v>160</v>
      </c>
      <c r="N87" t="s">
        <v>191</v>
      </c>
      <c r="O87" t="s">
        <v>227</v>
      </c>
      <c r="P87">
        <v>0.13568472158584727</v>
      </c>
      <c r="Q87" t="s">
        <v>160</v>
      </c>
    </row>
    <row r="88" spans="9:17" x14ac:dyDescent="0.45">
      <c r="I88" t="s">
        <v>166</v>
      </c>
      <c r="J88" t="s">
        <v>228</v>
      </c>
      <c r="K88">
        <v>2.2163648422490349E-2</v>
      </c>
      <c r="L88" t="s">
        <v>160</v>
      </c>
      <c r="N88" t="s">
        <v>191</v>
      </c>
      <c r="O88" t="s">
        <v>228</v>
      </c>
      <c r="P88">
        <v>2.7843925874942568E-2</v>
      </c>
      <c r="Q88" t="s">
        <v>160</v>
      </c>
    </row>
    <row r="89" spans="9:17" x14ac:dyDescent="0.45">
      <c r="I89" t="s">
        <v>166</v>
      </c>
      <c r="J89" t="s">
        <v>229</v>
      </c>
      <c r="K89">
        <v>0.34044840069575338</v>
      </c>
      <c r="L89" t="s">
        <v>160</v>
      </c>
      <c r="N89" t="s">
        <v>191</v>
      </c>
      <c r="O89" t="s">
        <v>229</v>
      </c>
      <c r="P89">
        <v>5.9373897843835448E-2</v>
      </c>
      <c r="Q89" t="s">
        <v>160</v>
      </c>
    </row>
    <row r="90" spans="9:17" x14ac:dyDescent="0.45">
      <c r="I90" t="s">
        <v>166</v>
      </c>
      <c r="J90" t="s">
        <v>230</v>
      </c>
      <c r="K90">
        <v>1.2246698088398027E-2</v>
      </c>
      <c r="L90" t="s">
        <v>160</v>
      </c>
      <c r="N90" t="s">
        <v>191</v>
      </c>
      <c r="O90" t="s">
        <v>230</v>
      </c>
      <c r="P90">
        <v>4.9173956970834154E-2</v>
      </c>
      <c r="Q90" t="s">
        <v>160</v>
      </c>
    </row>
    <row r="91" spans="9:17" x14ac:dyDescent="0.45">
      <c r="I91" t="s">
        <v>166</v>
      </c>
      <c r="J91" t="s">
        <v>231</v>
      </c>
      <c r="K91">
        <v>3.5889151571721609E-2</v>
      </c>
      <c r="L91" t="s">
        <v>160</v>
      </c>
      <c r="N91" t="s">
        <v>191</v>
      </c>
      <c r="O91" t="s">
        <v>231</v>
      </c>
      <c r="P91">
        <v>9.7503648968128905E-3</v>
      </c>
      <c r="Q91" t="s">
        <v>160</v>
      </c>
    </row>
    <row r="92" spans="9:17" x14ac:dyDescent="0.45">
      <c r="I92" t="s">
        <v>166</v>
      </c>
      <c r="J92" t="s">
        <v>232</v>
      </c>
      <c r="K92">
        <v>0.15269675491417553</v>
      </c>
      <c r="L92" t="s">
        <v>160</v>
      </c>
      <c r="N92" t="s">
        <v>191</v>
      </c>
      <c r="O92" t="s">
        <v>232</v>
      </c>
      <c r="P92">
        <v>0.13678741293478344</v>
      </c>
      <c r="Q92" t="s">
        <v>160</v>
      </c>
    </row>
    <row r="93" spans="9:17" x14ac:dyDescent="0.45">
      <c r="I93" t="s">
        <v>166</v>
      </c>
      <c r="J93" t="s">
        <v>233</v>
      </c>
      <c r="K93">
        <v>0</v>
      </c>
      <c r="L93" t="s">
        <v>160</v>
      </c>
      <c r="N93" t="s">
        <v>191</v>
      </c>
      <c r="O93" t="s">
        <v>233</v>
      </c>
      <c r="P93">
        <v>0.14020054331612156</v>
      </c>
      <c r="Q93" t="s">
        <v>160</v>
      </c>
    </row>
    <row r="94" spans="9:17" x14ac:dyDescent="0.45">
      <c r="I94" t="s">
        <v>166</v>
      </c>
      <c r="J94" t="s">
        <v>234</v>
      </c>
      <c r="K94">
        <v>2.5607283037612769E-3</v>
      </c>
      <c r="L94" t="s">
        <v>160</v>
      </c>
      <c r="N94" t="s">
        <v>191</v>
      </c>
      <c r="O94" t="s">
        <v>234</v>
      </c>
      <c r="P94">
        <v>2.8091530013644415E-2</v>
      </c>
      <c r="Q94" t="s">
        <v>160</v>
      </c>
    </row>
    <row r="95" spans="9:17" x14ac:dyDescent="0.45">
      <c r="I95" t="s">
        <v>167</v>
      </c>
      <c r="J95" t="s">
        <v>223</v>
      </c>
      <c r="K95">
        <v>0.19484471532513634</v>
      </c>
      <c r="L95" t="s">
        <v>160</v>
      </c>
      <c r="N95" t="s">
        <v>192</v>
      </c>
      <c r="O95" t="s">
        <v>223</v>
      </c>
      <c r="P95">
        <v>0.13557350614955668</v>
      </c>
      <c r="Q95" t="s">
        <v>160</v>
      </c>
    </row>
    <row r="96" spans="9:17" x14ac:dyDescent="0.45">
      <c r="I96" t="s">
        <v>167</v>
      </c>
      <c r="J96" t="s">
        <v>224</v>
      </c>
      <c r="K96">
        <v>0</v>
      </c>
      <c r="L96" t="s">
        <v>160</v>
      </c>
      <c r="N96" t="s">
        <v>192</v>
      </c>
      <c r="O96" t="s">
        <v>224</v>
      </c>
      <c r="P96">
        <v>0.14955143086282108</v>
      </c>
      <c r="Q96" t="s">
        <v>160</v>
      </c>
    </row>
    <row r="97" spans="9:17" x14ac:dyDescent="0.45">
      <c r="I97" t="s">
        <v>167</v>
      </c>
      <c r="J97" t="s">
        <v>225</v>
      </c>
      <c r="K97">
        <v>7.9775081703743495E-3</v>
      </c>
      <c r="L97" t="s">
        <v>160</v>
      </c>
      <c r="N97" t="s">
        <v>192</v>
      </c>
      <c r="O97" t="s">
        <v>225</v>
      </c>
      <c r="P97">
        <v>2.5896443596498519E-2</v>
      </c>
      <c r="Q97" t="s">
        <v>160</v>
      </c>
    </row>
    <row r="98" spans="9:17" x14ac:dyDescent="0.45">
      <c r="I98" t="s">
        <v>167</v>
      </c>
      <c r="J98" t="s">
        <v>226</v>
      </c>
      <c r="K98">
        <v>0.25590771648521893</v>
      </c>
      <c r="L98" t="s">
        <v>160</v>
      </c>
      <c r="N98" t="s">
        <v>192</v>
      </c>
      <c r="O98" t="s">
        <v>226</v>
      </c>
      <c r="P98">
        <v>0.13780261675097302</v>
      </c>
      <c r="Q98" t="s">
        <v>160</v>
      </c>
    </row>
    <row r="99" spans="9:17" x14ac:dyDescent="0.45">
      <c r="I99" t="s">
        <v>167</v>
      </c>
      <c r="J99" t="s">
        <v>227</v>
      </c>
      <c r="K99">
        <v>3.5070757514903115E-3</v>
      </c>
      <c r="L99" t="s">
        <v>160</v>
      </c>
      <c r="N99" t="s">
        <v>192</v>
      </c>
      <c r="O99" t="s">
        <v>227</v>
      </c>
      <c r="P99">
        <v>0.12862697820829344</v>
      </c>
      <c r="Q99" t="s">
        <v>160</v>
      </c>
    </row>
    <row r="100" spans="9:17" x14ac:dyDescent="0.45">
      <c r="I100" t="s">
        <v>167</v>
      </c>
      <c r="J100" t="s">
        <v>228</v>
      </c>
      <c r="K100">
        <v>2.4386732933537082E-2</v>
      </c>
      <c r="L100" t="s">
        <v>160</v>
      </c>
      <c r="N100" t="s">
        <v>192</v>
      </c>
      <c r="O100" t="s">
        <v>228</v>
      </c>
      <c r="P100">
        <v>2.5010553290677705E-2</v>
      </c>
      <c r="Q100" t="s">
        <v>160</v>
      </c>
    </row>
    <row r="101" spans="9:17" x14ac:dyDescent="0.45">
      <c r="I101" t="s">
        <v>167</v>
      </c>
      <c r="J101" t="s">
        <v>229</v>
      </c>
      <c r="K101">
        <v>0.31001961279315543</v>
      </c>
      <c r="L101" t="s">
        <v>160</v>
      </c>
      <c r="N101" t="s">
        <v>192</v>
      </c>
      <c r="O101" t="s">
        <v>229</v>
      </c>
      <c r="P101">
        <v>3.7247605425453759E-2</v>
      </c>
      <c r="Q101" t="s">
        <v>160</v>
      </c>
    </row>
    <row r="102" spans="9:17" x14ac:dyDescent="0.45">
      <c r="I102" t="s">
        <v>167</v>
      </c>
      <c r="J102" t="s">
        <v>230</v>
      </c>
      <c r="K102">
        <v>1.0785096866706544E-2</v>
      </c>
      <c r="L102" t="s">
        <v>160</v>
      </c>
      <c r="N102" t="s">
        <v>192</v>
      </c>
      <c r="O102" t="s">
        <v>230</v>
      </c>
      <c r="P102">
        <v>3.0671889364571447E-2</v>
      </c>
      <c r="Q102" t="s">
        <v>160</v>
      </c>
    </row>
    <row r="103" spans="9:17" x14ac:dyDescent="0.45">
      <c r="I103" t="s">
        <v>167</v>
      </c>
      <c r="J103" t="s">
        <v>231</v>
      </c>
      <c r="K103">
        <v>3.3063297618607185E-2</v>
      </c>
      <c r="L103" t="s">
        <v>160</v>
      </c>
      <c r="N103" t="s">
        <v>192</v>
      </c>
      <c r="O103" t="s">
        <v>231</v>
      </c>
      <c r="P103">
        <v>2.5204107616969861E-3</v>
      </c>
      <c r="Q103" t="s">
        <v>160</v>
      </c>
    </row>
    <row r="104" spans="9:17" x14ac:dyDescent="0.45">
      <c r="I104" t="s">
        <v>167</v>
      </c>
      <c r="J104" t="s">
        <v>232</v>
      </c>
      <c r="K104">
        <v>0.15652269851010214</v>
      </c>
      <c r="L104" t="s">
        <v>160</v>
      </c>
      <c r="N104" t="s">
        <v>192</v>
      </c>
      <c r="O104" t="s">
        <v>232</v>
      </c>
      <c r="P104">
        <v>0.14962606786905649</v>
      </c>
      <c r="Q104" t="s">
        <v>160</v>
      </c>
    </row>
    <row r="105" spans="9:17" x14ac:dyDescent="0.45">
      <c r="I105" t="s">
        <v>167</v>
      </c>
      <c r="J105" t="s">
        <v>233</v>
      </c>
      <c r="K105">
        <v>0</v>
      </c>
      <c r="L105" t="s">
        <v>160</v>
      </c>
      <c r="N105" t="s">
        <v>192</v>
      </c>
      <c r="O105" t="s">
        <v>233</v>
      </c>
      <c r="P105">
        <v>0.15065209614192732</v>
      </c>
      <c r="Q105" t="s">
        <v>160</v>
      </c>
    </row>
    <row r="106" spans="9:17" x14ac:dyDescent="0.45">
      <c r="I106" t="s">
        <v>167</v>
      </c>
      <c r="J106" t="s">
        <v>234</v>
      </c>
      <c r="K106">
        <v>2.9855455456700595E-3</v>
      </c>
      <c r="L106" t="s">
        <v>160</v>
      </c>
      <c r="N106" t="s">
        <v>192</v>
      </c>
      <c r="O106" t="s">
        <v>234</v>
      </c>
      <c r="P106">
        <v>2.6820401578473936E-2</v>
      </c>
      <c r="Q106" t="s">
        <v>160</v>
      </c>
    </row>
    <row r="107" spans="9:17" x14ac:dyDescent="0.45">
      <c r="I107" t="s">
        <v>168</v>
      </c>
      <c r="J107" t="s">
        <v>223</v>
      </c>
      <c r="K107">
        <v>0.17355238229322911</v>
      </c>
      <c r="L107" t="s">
        <v>160</v>
      </c>
      <c r="N107" t="s">
        <v>193</v>
      </c>
      <c r="O107" t="s">
        <v>223</v>
      </c>
      <c r="P107">
        <v>0.10801039034759928</v>
      </c>
      <c r="Q107" t="s">
        <v>160</v>
      </c>
    </row>
    <row r="108" spans="9:17" x14ac:dyDescent="0.45">
      <c r="I108" t="s">
        <v>168</v>
      </c>
      <c r="J108" t="s">
        <v>224</v>
      </c>
      <c r="K108">
        <v>0</v>
      </c>
      <c r="L108" t="s">
        <v>160</v>
      </c>
      <c r="N108" t="s">
        <v>193</v>
      </c>
      <c r="O108" t="s">
        <v>224</v>
      </c>
      <c r="P108">
        <v>0.19785956743730676</v>
      </c>
      <c r="Q108" t="s">
        <v>160</v>
      </c>
    </row>
    <row r="109" spans="9:17" x14ac:dyDescent="0.45">
      <c r="I109" t="s">
        <v>168</v>
      </c>
      <c r="J109" t="s">
        <v>225</v>
      </c>
      <c r="K109">
        <v>7.8029741728043618E-3</v>
      </c>
      <c r="L109" t="s">
        <v>160</v>
      </c>
      <c r="N109" t="s">
        <v>193</v>
      </c>
      <c r="O109" t="s">
        <v>225</v>
      </c>
      <c r="P109">
        <v>2.527458895635842E-2</v>
      </c>
      <c r="Q109" t="s">
        <v>160</v>
      </c>
    </row>
    <row r="110" spans="9:17" x14ac:dyDescent="0.45">
      <c r="I110" t="s">
        <v>168</v>
      </c>
      <c r="J110" t="s">
        <v>226</v>
      </c>
      <c r="K110">
        <v>0.24653433027882721</v>
      </c>
      <c r="L110" t="s">
        <v>160</v>
      </c>
      <c r="N110" t="s">
        <v>193</v>
      </c>
      <c r="O110" t="s">
        <v>226</v>
      </c>
      <c r="P110">
        <v>7.8936839359216041E-2</v>
      </c>
      <c r="Q110" t="s">
        <v>160</v>
      </c>
    </row>
    <row r="111" spans="9:17" x14ac:dyDescent="0.45">
      <c r="I111" t="s">
        <v>168</v>
      </c>
      <c r="J111" t="s">
        <v>227</v>
      </c>
      <c r="K111">
        <v>3.4859355333958369E-3</v>
      </c>
      <c r="L111" t="s">
        <v>160</v>
      </c>
      <c r="N111" t="s">
        <v>193</v>
      </c>
      <c r="O111" t="s">
        <v>227</v>
      </c>
      <c r="P111">
        <v>0.13311913251161678</v>
      </c>
      <c r="Q111" t="s">
        <v>160</v>
      </c>
    </row>
    <row r="112" spans="9:17" x14ac:dyDescent="0.45">
      <c r="I112" t="s">
        <v>168</v>
      </c>
      <c r="J112" t="s">
        <v>228</v>
      </c>
      <c r="K112">
        <v>2.3487808740940832E-2</v>
      </c>
      <c r="L112" t="s">
        <v>160</v>
      </c>
      <c r="N112" t="s">
        <v>193</v>
      </c>
      <c r="O112" t="s">
        <v>228</v>
      </c>
      <c r="P112">
        <v>1.5215854440838636E-2</v>
      </c>
      <c r="Q112" t="s">
        <v>160</v>
      </c>
    </row>
    <row r="113" spans="9:17" x14ac:dyDescent="0.45">
      <c r="I113" t="s">
        <v>168</v>
      </c>
      <c r="J113" t="s">
        <v>229</v>
      </c>
      <c r="K113">
        <v>0.32119927730812087</v>
      </c>
      <c r="L113" t="s">
        <v>160</v>
      </c>
      <c r="N113" t="s">
        <v>193</v>
      </c>
      <c r="O113" t="s">
        <v>229</v>
      </c>
      <c r="P113">
        <v>3.8354946919327088E-2</v>
      </c>
      <c r="Q113" t="s">
        <v>160</v>
      </c>
    </row>
    <row r="114" spans="9:17" x14ac:dyDescent="0.45">
      <c r="I114" t="s">
        <v>168</v>
      </c>
      <c r="J114" t="s">
        <v>230</v>
      </c>
      <c r="K114">
        <v>1.1652017634603084E-2</v>
      </c>
      <c r="L114" t="s">
        <v>160</v>
      </c>
      <c r="N114" t="s">
        <v>193</v>
      </c>
      <c r="O114" t="s">
        <v>230</v>
      </c>
      <c r="P114">
        <v>2.5748566303158561E-2</v>
      </c>
      <c r="Q114" t="s">
        <v>160</v>
      </c>
    </row>
    <row r="115" spans="9:17" x14ac:dyDescent="0.45">
      <c r="I115" t="s">
        <v>168</v>
      </c>
      <c r="J115" t="s">
        <v>231</v>
      </c>
      <c r="K115">
        <v>3.4426563653106368E-2</v>
      </c>
      <c r="L115" t="s">
        <v>160</v>
      </c>
      <c r="N115" t="s">
        <v>193</v>
      </c>
      <c r="O115" t="s">
        <v>231</v>
      </c>
      <c r="P115">
        <v>1.6872820388740375E-3</v>
      </c>
      <c r="Q115" t="s">
        <v>160</v>
      </c>
    </row>
    <row r="116" spans="9:17" x14ac:dyDescent="0.45">
      <c r="I116" t="s">
        <v>168</v>
      </c>
      <c r="J116" t="s">
        <v>232</v>
      </c>
      <c r="K116">
        <v>0.17478041750669787</v>
      </c>
      <c r="L116" t="s">
        <v>160</v>
      </c>
      <c r="N116" t="s">
        <v>193</v>
      </c>
      <c r="O116" t="s">
        <v>232</v>
      </c>
      <c r="P116">
        <v>0.15725425532733603</v>
      </c>
      <c r="Q116" t="s">
        <v>160</v>
      </c>
    </row>
    <row r="117" spans="9:17" x14ac:dyDescent="0.45">
      <c r="I117" t="s">
        <v>168</v>
      </c>
      <c r="J117" t="s">
        <v>233</v>
      </c>
      <c r="K117">
        <v>0</v>
      </c>
      <c r="L117" t="s">
        <v>160</v>
      </c>
      <c r="N117" t="s">
        <v>193</v>
      </c>
      <c r="O117" t="s">
        <v>233</v>
      </c>
      <c r="P117">
        <v>0.18536290196499655</v>
      </c>
      <c r="Q117" t="s">
        <v>160</v>
      </c>
    </row>
    <row r="118" spans="9:17" x14ac:dyDescent="0.45">
      <c r="I118" t="s">
        <v>168</v>
      </c>
      <c r="J118" t="s">
        <v>234</v>
      </c>
      <c r="K118">
        <v>3.0782928782736294E-3</v>
      </c>
      <c r="L118" t="s">
        <v>160</v>
      </c>
      <c r="N118" t="s">
        <v>193</v>
      </c>
      <c r="O118" t="s">
        <v>234</v>
      </c>
      <c r="P118">
        <v>3.3175674393368666E-2</v>
      </c>
      <c r="Q118" t="s">
        <v>160</v>
      </c>
    </row>
    <row r="119" spans="9:17" x14ac:dyDescent="0.45">
      <c r="I119" t="s">
        <v>169</v>
      </c>
      <c r="J119" t="s">
        <v>223</v>
      </c>
      <c r="K119">
        <v>0.18677015872846126</v>
      </c>
      <c r="L119" t="s">
        <v>160</v>
      </c>
      <c r="N119" t="s">
        <v>194</v>
      </c>
      <c r="O119" t="s">
        <v>223</v>
      </c>
      <c r="P119">
        <v>0.12162601774876305</v>
      </c>
      <c r="Q119" t="s">
        <v>160</v>
      </c>
    </row>
    <row r="120" spans="9:17" x14ac:dyDescent="0.45">
      <c r="I120" t="s">
        <v>169</v>
      </c>
      <c r="J120" t="s">
        <v>224</v>
      </c>
      <c r="K120">
        <v>1.5443848820624904E-4</v>
      </c>
      <c r="L120" t="s">
        <v>160</v>
      </c>
      <c r="N120" t="s">
        <v>194</v>
      </c>
      <c r="O120" t="s">
        <v>224</v>
      </c>
      <c r="P120">
        <v>0.11111171962258243</v>
      </c>
      <c r="Q120" t="s">
        <v>160</v>
      </c>
    </row>
    <row r="121" spans="9:17" x14ac:dyDescent="0.45">
      <c r="I121" t="s">
        <v>169</v>
      </c>
      <c r="J121" t="s">
        <v>225</v>
      </c>
      <c r="K121">
        <v>1.5621512986330899E-2</v>
      </c>
      <c r="L121" t="s">
        <v>160</v>
      </c>
      <c r="N121" t="s">
        <v>194</v>
      </c>
      <c r="O121" t="s">
        <v>225</v>
      </c>
      <c r="P121">
        <v>2.2533986391119143E-2</v>
      </c>
      <c r="Q121" t="s">
        <v>160</v>
      </c>
    </row>
    <row r="122" spans="9:17" x14ac:dyDescent="0.45">
      <c r="I122" t="s">
        <v>169</v>
      </c>
      <c r="J122" t="s">
        <v>226</v>
      </c>
      <c r="K122">
        <v>0.25270404823564468</v>
      </c>
      <c r="L122" t="s">
        <v>160</v>
      </c>
      <c r="N122" t="s">
        <v>194</v>
      </c>
      <c r="O122" t="s">
        <v>226</v>
      </c>
      <c r="P122">
        <v>0.16180391447117765</v>
      </c>
      <c r="Q122" t="s">
        <v>160</v>
      </c>
    </row>
    <row r="123" spans="9:17" x14ac:dyDescent="0.45">
      <c r="I123" t="s">
        <v>169</v>
      </c>
      <c r="J123" t="s">
        <v>227</v>
      </c>
      <c r="K123">
        <v>4.8424760514646451E-3</v>
      </c>
      <c r="L123" t="s">
        <v>160</v>
      </c>
      <c r="N123" t="s">
        <v>194</v>
      </c>
      <c r="O123" t="s">
        <v>227</v>
      </c>
      <c r="P123">
        <v>0.13804394062581882</v>
      </c>
      <c r="Q123" t="s">
        <v>160</v>
      </c>
    </row>
    <row r="124" spans="9:17" x14ac:dyDescent="0.45">
      <c r="I124" t="s">
        <v>169</v>
      </c>
      <c r="J124" t="s">
        <v>228</v>
      </c>
      <c r="K124">
        <v>3.1126763976918763E-2</v>
      </c>
      <c r="L124" t="s">
        <v>160</v>
      </c>
      <c r="N124" t="s">
        <v>194</v>
      </c>
      <c r="O124" t="s">
        <v>228</v>
      </c>
      <c r="P124">
        <v>2.9236472768881243E-2</v>
      </c>
      <c r="Q124" t="s">
        <v>160</v>
      </c>
    </row>
    <row r="125" spans="9:17" x14ac:dyDescent="0.45">
      <c r="I125" t="s">
        <v>169</v>
      </c>
      <c r="J125" t="s">
        <v>229</v>
      </c>
      <c r="K125">
        <v>0.31546573352536195</v>
      </c>
      <c r="L125" t="s">
        <v>160</v>
      </c>
      <c r="N125" t="s">
        <v>194</v>
      </c>
      <c r="O125" t="s">
        <v>229</v>
      </c>
      <c r="P125">
        <v>5.7049999397872649E-2</v>
      </c>
      <c r="Q125" t="s">
        <v>160</v>
      </c>
    </row>
    <row r="126" spans="9:17" x14ac:dyDescent="0.45">
      <c r="I126" t="s">
        <v>169</v>
      </c>
      <c r="J126" t="s">
        <v>230</v>
      </c>
      <c r="K126">
        <v>1.3736204544742876E-2</v>
      </c>
      <c r="L126" t="s">
        <v>160</v>
      </c>
      <c r="N126" t="s">
        <v>194</v>
      </c>
      <c r="O126" t="s">
        <v>230</v>
      </c>
      <c r="P126">
        <v>5.8074990278767065E-2</v>
      </c>
      <c r="Q126" t="s">
        <v>160</v>
      </c>
    </row>
    <row r="127" spans="9:17" x14ac:dyDescent="0.45">
      <c r="I127" t="s">
        <v>169</v>
      </c>
      <c r="J127" t="s">
        <v>231</v>
      </c>
      <c r="K127">
        <v>4.3956514593792247E-2</v>
      </c>
      <c r="L127" t="s">
        <v>160</v>
      </c>
      <c r="N127" t="s">
        <v>194</v>
      </c>
      <c r="O127" t="s">
        <v>231</v>
      </c>
      <c r="P127">
        <v>8.742181056442427E-3</v>
      </c>
      <c r="Q127" t="s">
        <v>160</v>
      </c>
    </row>
    <row r="128" spans="9:17" x14ac:dyDescent="0.45">
      <c r="I128" t="s">
        <v>169</v>
      </c>
      <c r="J128" t="s">
        <v>232</v>
      </c>
      <c r="K128">
        <v>0.12939936011891148</v>
      </c>
      <c r="L128" t="s">
        <v>160</v>
      </c>
      <c r="N128" t="s">
        <v>194</v>
      </c>
      <c r="O128" t="s">
        <v>232</v>
      </c>
      <c r="P128">
        <v>0.14160312203404632</v>
      </c>
      <c r="Q128" t="s">
        <v>160</v>
      </c>
    </row>
    <row r="129" spans="9:17" x14ac:dyDescent="0.45">
      <c r="I129" t="s">
        <v>169</v>
      </c>
      <c r="J129" t="s">
        <v>233</v>
      </c>
      <c r="K129">
        <v>0</v>
      </c>
      <c r="L129" t="s">
        <v>160</v>
      </c>
      <c r="N129" t="s">
        <v>194</v>
      </c>
      <c r="O129" t="s">
        <v>233</v>
      </c>
      <c r="P129">
        <v>0.12803760743679418</v>
      </c>
      <c r="Q129" t="s">
        <v>160</v>
      </c>
    </row>
    <row r="130" spans="9:17" x14ac:dyDescent="0.45">
      <c r="I130" t="s">
        <v>169</v>
      </c>
      <c r="J130" t="s">
        <v>234</v>
      </c>
      <c r="K130">
        <v>6.2227887501676129E-3</v>
      </c>
      <c r="L130" t="s">
        <v>160</v>
      </c>
      <c r="N130" t="s">
        <v>194</v>
      </c>
      <c r="O130" t="s">
        <v>234</v>
      </c>
      <c r="P130">
        <v>2.2136048167737052E-2</v>
      </c>
      <c r="Q130" t="s">
        <v>160</v>
      </c>
    </row>
    <row r="131" spans="9:17" x14ac:dyDescent="0.45">
      <c r="I131" t="s">
        <v>170</v>
      </c>
      <c r="J131" t="s">
        <v>223</v>
      </c>
      <c r="K131">
        <v>0.17795525780255161</v>
      </c>
      <c r="L131" t="s">
        <v>160</v>
      </c>
      <c r="N131" t="s">
        <v>195</v>
      </c>
      <c r="O131" t="s">
        <v>223</v>
      </c>
      <c r="P131">
        <v>0.14082638337394304</v>
      </c>
      <c r="Q131" t="s">
        <v>160</v>
      </c>
    </row>
    <row r="132" spans="9:17" x14ac:dyDescent="0.45">
      <c r="I132" t="s">
        <v>170</v>
      </c>
      <c r="J132" t="s">
        <v>224</v>
      </c>
      <c r="K132">
        <v>5.2759950725556602E-4</v>
      </c>
      <c r="L132" t="s">
        <v>160</v>
      </c>
      <c r="N132" t="s">
        <v>195</v>
      </c>
      <c r="O132" t="s">
        <v>224</v>
      </c>
      <c r="P132">
        <v>0.13001499891000884</v>
      </c>
      <c r="Q132" t="s">
        <v>160</v>
      </c>
    </row>
    <row r="133" spans="9:17" x14ac:dyDescent="0.45">
      <c r="I133" t="s">
        <v>170</v>
      </c>
      <c r="J133" t="s">
        <v>225</v>
      </c>
      <c r="K133">
        <v>1.5619312742793802E-2</v>
      </c>
      <c r="L133" t="s">
        <v>160</v>
      </c>
      <c r="N133" t="s">
        <v>195</v>
      </c>
      <c r="O133" t="s">
        <v>225</v>
      </c>
      <c r="P133">
        <v>2.7188670915415047E-2</v>
      </c>
      <c r="Q133" t="s">
        <v>160</v>
      </c>
    </row>
    <row r="134" spans="9:17" x14ac:dyDescent="0.45">
      <c r="I134" t="s">
        <v>170</v>
      </c>
      <c r="J134" t="s">
        <v>226</v>
      </c>
      <c r="K134">
        <v>0.24416530757059568</v>
      </c>
      <c r="L134" t="s">
        <v>160</v>
      </c>
      <c r="N134" t="s">
        <v>195</v>
      </c>
      <c r="O134" t="s">
        <v>226</v>
      </c>
      <c r="P134">
        <v>0.15830539103558502</v>
      </c>
      <c r="Q134" t="s">
        <v>160</v>
      </c>
    </row>
    <row r="135" spans="9:17" x14ac:dyDescent="0.45">
      <c r="I135" t="s">
        <v>170</v>
      </c>
      <c r="J135" t="s">
        <v>227</v>
      </c>
      <c r="K135">
        <v>5.7646716918362921E-3</v>
      </c>
      <c r="L135" t="s">
        <v>160</v>
      </c>
      <c r="N135" t="s">
        <v>195</v>
      </c>
      <c r="O135" t="s">
        <v>227</v>
      </c>
      <c r="P135">
        <v>0.12090384406222873</v>
      </c>
      <c r="Q135" t="s">
        <v>160</v>
      </c>
    </row>
    <row r="136" spans="9:17" x14ac:dyDescent="0.45">
      <c r="I136" t="s">
        <v>170</v>
      </c>
      <c r="J136" t="s">
        <v>228</v>
      </c>
      <c r="K136">
        <v>3.2041517753714124E-2</v>
      </c>
      <c r="L136" t="s">
        <v>160</v>
      </c>
      <c r="N136" t="s">
        <v>195</v>
      </c>
      <c r="O136" t="s">
        <v>228</v>
      </c>
      <c r="P136">
        <v>2.7502082603622274E-2</v>
      </c>
      <c r="Q136" t="s">
        <v>160</v>
      </c>
    </row>
    <row r="137" spans="9:17" x14ac:dyDescent="0.45">
      <c r="I137" t="s">
        <v>170</v>
      </c>
      <c r="J137" t="s">
        <v>229</v>
      </c>
      <c r="K137">
        <v>0.32649695615811419</v>
      </c>
      <c r="L137" t="s">
        <v>160</v>
      </c>
      <c r="N137" t="s">
        <v>195</v>
      </c>
      <c r="O137" t="s">
        <v>229</v>
      </c>
      <c r="P137">
        <v>5.3058963839536136E-2</v>
      </c>
      <c r="Q137" t="s">
        <v>160</v>
      </c>
    </row>
    <row r="138" spans="9:17" x14ac:dyDescent="0.45">
      <c r="I138" t="s">
        <v>170</v>
      </c>
      <c r="J138" t="s">
        <v>230</v>
      </c>
      <c r="K138">
        <v>1.5549371002721727E-2</v>
      </c>
      <c r="L138" t="s">
        <v>160</v>
      </c>
      <c r="N138" t="s">
        <v>195</v>
      </c>
      <c r="O138" t="s">
        <v>230</v>
      </c>
      <c r="P138">
        <v>4.6108140687473938E-2</v>
      </c>
      <c r="Q138" t="s">
        <v>160</v>
      </c>
    </row>
    <row r="139" spans="9:17" x14ac:dyDescent="0.45">
      <c r="I139" t="s">
        <v>170</v>
      </c>
      <c r="J139" t="s">
        <v>231</v>
      </c>
      <c r="K139">
        <v>4.6044979131462799E-2</v>
      </c>
      <c r="L139" t="s">
        <v>160</v>
      </c>
      <c r="N139" t="s">
        <v>195</v>
      </c>
      <c r="O139" t="s">
        <v>231</v>
      </c>
      <c r="P139">
        <v>1.1381606302843615E-2</v>
      </c>
      <c r="Q139" t="s">
        <v>160</v>
      </c>
    </row>
    <row r="140" spans="9:17" x14ac:dyDescent="0.45">
      <c r="I140" t="s">
        <v>170</v>
      </c>
      <c r="J140" t="s">
        <v>232</v>
      </c>
      <c r="K140">
        <v>0.12876009730035423</v>
      </c>
      <c r="L140" t="s">
        <v>160</v>
      </c>
      <c r="N140" t="s">
        <v>195</v>
      </c>
      <c r="O140" t="s">
        <v>232</v>
      </c>
      <c r="P140">
        <v>0.13539018211775211</v>
      </c>
      <c r="Q140" t="s">
        <v>160</v>
      </c>
    </row>
    <row r="141" spans="9:17" x14ac:dyDescent="0.45">
      <c r="I141" t="s">
        <v>170</v>
      </c>
      <c r="J141" t="s">
        <v>233</v>
      </c>
      <c r="K141">
        <v>0</v>
      </c>
      <c r="L141" t="s">
        <v>160</v>
      </c>
      <c r="N141" t="s">
        <v>195</v>
      </c>
      <c r="O141" t="s">
        <v>233</v>
      </c>
      <c r="P141">
        <v>0.12803001592425645</v>
      </c>
      <c r="Q141" t="s">
        <v>160</v>
      </c>
    </row>
    <row r="142" spans="9:17" x14ac:dyDescent="0.45">
      <c r="I142" t="s">
        <v>170</v>
      </c>
      <c r="J142" t="s">
        <v>234</v>
      </c>
      <c r="K142">
        <v>7.0749293385995301E-3</v>
      </c>
      <c r="L142" t="s">
        <v>160</v>
      </c>
      <c r="N142" t="s">
        <v>195</v>
      </c>
      <c r="O142" t="s">
        <v>234</v>
      </c>
      <c r="P142">
        <v>2.1289720227334833E-2</v>
      </c>
      <c r="Q142" t="s">
        <v>160</v>
      </c>
    </row>
    <row r="143" spans="9:17" x14ac:dyDescent="0.45">
      <c r="I143" t="s">
        <v>171</v>
      </c>
      <c r="J143" t="s">
        <v>223</v>
      </c>
      <c r="K143">
        <v>0.18995078351424036</v>
      </c>
      <c r="L143" t="s">
        <v>160</v>
      </c>
      <c r="N143" t="s">
        <v>196</v>
      </c>
      <c r="O143" t="s">
        <v>223</v>
      </c>
      <c r="P143">
        <v>0.13583245373375874</v>
      </c>
      <c r="Q143" t="s">
        <v>160</v>
      </c>
    </row>
    <row r="144" spans="9:17" x14ac:dyDescent="0.45">
      <c r="I144" t="s">
        <v>171</v>
      </c>
      <c r="J144" t="s">
        <v>224</v>
      </c>
      <c r="K144">
        <v>1.9833735655149323E-4</v>
      </c>
      <c r="L144" t="s">
        <v>160</v>
      </c>
      <c r="N144" t="s">
        <v>196</v>
      </c>
      <c r="O144" t="s">
        <v>224</v>
      </c>
      <c r="P144">
        <v>0.10860185311271134</v>
      </c>
      <c r="Q144" t="s">
        <v>160</v>
      </c>
    </row>
    <row r="145" spans="9:17" x14ac:dyDescent="0.45">
      <c r="I145" t="s">
        <v>171</v>
      </c>
      <c r="J145" t="s">
        <v>225</v>
      </c>
      <c r="K145">
        <v>1.5597772663256687E-2</v>
      </c>
      <c r="L145" t="s">
        <v>160</v>
      </c>
      <c r="N145" t="s">
        <v>196</v>
      </c>
      <c r="O145" t="s">
        <v>225</v>
      </c>
      <c r="P145">
        <v>2.7184608601182873E-2</v>
      </c>
      <c r="Q145" t="s">
        <v>160</v>
      </c>
    </row>
    <row r="146" spans="9:17" x14ac:dyDescent="0.45">
      <c r="I146" t="s">
        <v>171</v>
      </c>
      <c r="J146" t="s">
        <v>226</v>
      </c>
      <c r="K146">
        <v>0.24444654269170549</v>
      </c>
      <c r="L146" t="s">
        <v>160</v>
      </c>
      <c r="N146" t="s">
        <v>196</v>
      </c>
      <c r="O146" t="s">
        <v>226</v>
      </c>
      <c r="P146">
        <v>0.17588162247181741</v>
      </c>
      <c r="Q146" t="s">
        <v>160</v>
      </c>
    </row>
    <row r="147" spans="9:17" x14ac:dyDescent="0.45">
      <c r="I147" t="s">
        <v>171</v>
      </c>
      <c r="J147" t="s">
        <v>227</v>
      </c>
      <c r="K147">
        <v>4.9310957953419563E-3</v>
      </c>
      <c r="L147" t="s">
        <v>160</v>
      </c>
      <c r="N147" t="s">
        <v>196</v>
      </c>
      <c r="O147" t="s">
        <v>227</v>
      </c>
      <c r="P147">
        <v>0.10992297675954721</v>
      </c>
      <c r="Q147" t="s">
        <v>160</v>
      </c>
    </row>
    <row r="148" spans="9:17" x14ac:dyDescent="0.45">
      <c r="I148" t="s">
        <v>171</v>
      </c>
      <c r="J148" t="s">
        <v>228</v>
      </c>
      <c r="K148">
        <v>3.1340174973391928E-2</v>
      </c>
      <c r="L148" t="s">
        <v>160</v>
      </c>
      <c r="N148" t="s">
        <v>196</v>
      </c>
      <c r="O148" t="s">
        <v>228</v>
      </c>
      <c r="P148">
        <v>3.0034242111199188E-2</v>
      </c>
      <c r="Q148" t="s">
        <v>160</v>
      </c>
    </row>
    <row r="149" spans="9:17" x14ac:dyDescent="0.45">
      <c r="I149" t="s">
        <v>171</v>
      </c>
      <c r="J149" t="s">
        <v>229</v>
      </c>
      <c r="K149">
        <v>0.3096066472189426</v>
      </c>
      <c r="L149" t="s">
        <v>160</v>
      </c>
      <c r="N149" t="s">
        <v>196</v>
      </c>
      <c r="O149" t="s">
        <v>229</v>
      </c>
      <c r="P149">
        <v>5.2024458325946786E-2</v>
      </c>
      <c r="Q149" t="s">
        <v>160</v>
      </c>
    </row>
    <row r="150" spans="9:17" x14ac:dyDescent="0.45">
      <c r="I150" t="s">
        <v>171</v>
      </c>
      <c r="J150" t="s">
        <v>230</v>
      </c>
      <c r="K150">
        <v>1.2477187110083228E-2</v>
      </c>
      <c r="L150" t="s">
        <v>160</v>
      </c>
      <c r="N150" t="s">
        <v>196</v>
      </c>
      <c r="O150" t="s">
        <v>230</v>
      </c>
      <c r="P150">
        <v>3.193683364578679E-2</v>
      </c>
      <c r="Q150" t="s">
        <v>160</v>
      </c>
    </row>
    <row r="151" spans="9:17" x14ac:dyDescent="0.45">
      <c r="I151" t="s">
        <v>171</v>
      </c>
      <c r="J151" t="s">
        <v>231</v>
      </c>
      <c r="K151">
        <v>3.9851339084410291E-2</v>
      </c>
      <c r="L151" t="s">
        <v>160</v>
      </c>
      <c r="N151" t="s">
        <v>196</v>
      </c>
      <c r="O151" t="s">
        <v>231</v>
      </c>
      <c r="P151">
        <v>1.3434366439448404E-2</v>
      </c>
      <c r="Q151" t="s">
        <v>160</v>
      </c>
    </row>
    <row r="152" spans="9:17" x14ac:dyDescent="0.45">
      <c r="I152" t="s">
        <v>171</v>
      </c>
      <c r="J152" t="s">
        <v>232</v>
      </c>
      <c r="K152">
        <v>0.14361090491775835</v>
      </c>
      <c r="L152" t="s">
        <v>160</v>
      </c>
      <c r="N152" t="s">
        <v>196</v>
      </c>
      <c r="O152" t="s">
        <v>232</v>
      </c>
      <c r="P152">
        <v>0.15248051154178691</v>
      </c>
      <c r="Q152" t="s">
        <v>160</v>
      </c>
    </row>
    <row r="153" spans="9:17" x14ac:dyDescent="0.45">
      <c r="I153" t="s">
        <v>171</v>
      </c>
      <c r="J153" t="s">
        <v>233</v>
      </c>
      <c r="K153">
        <v>0</v>
      </c>
      <c r="L153" t="s">
        <v>160</v>
      </c>
      <c r="N153" t="s">
        <v>196</v>
      </c>
      <c r="O153" t="s">
        <v>233</v>
      </c>
      <c r="P153">
        <v>0.13589591709211635</v>
      </c>
      <c r="Q153" t="s">
        <v>160</v>
      </c>
    </row>
    <row r="154" spans="9:17" x14ac:dyDescent="0.45">
      <c r="I154" t="s">
        <v>171</v>
      </c>
      <c r="J154" t="s">
        <v>234</v>
      </c>
      <c r="K154">
        <v>7.9892146743150462E-3</v>
      </c>
      <c r="L154" t="s">
        <v>160</v>
      </c>
      <c r="N154" t="s">
        <v>196</v>
      </c>
      <c r="O154" t="s">
        <v>234</v>
      </c>
      <c r="P154">
        <v>2.6770156164696544E-2</v>
      </c>
      <c r="Q154" t="s">
        <v>160</v>
      </c>
    </row>
    <row r="155" spans="9:17" x14ac:dyDescent="0.45">
      <c r="I155" t="s">
        <v>172</v>
      </c>
      <c r="J155" t="s">
        <v>223</v>
      </c>
      <c r="K155">
        <v>0.18406216383872334</v>
      </c>
      <c r="L155" t="s">
        <v>160</v>
      </c>
      <c r="N155" t="s">
        <v>197</v>
      </c>
      <c r="O155" t="s">
        <v>223</v>
      </c>
      <c r="P155">
        <v>0.12994867815061087</v>
      </c>
      <c r="Q155" t="s">
        <v>160</v>
      </c>
    </row>
    <row r="156" spans="9:17" x14ac:dyDescent="0.45">
      <c r="I156" t="s">
        <v>172</v>
      </c>
      <c r="J156" t="s">
        <v>224</v>
      </c>
      <c r="K156">
        <v>4.9493984156466009E-4</v>
      </c>
      <c r="L156" t="s">
        <v>160</v>
      </c>
      <c r="N156" t="s">
        <v>197</v>
      </c>
      <c r="O156" t="s">
        <v>224</v>
      </c>
      <c r="P156">
        <v>0.11886459983539385</v>
      </c>
      <c r="Q156" t="s">
        <v>160</v>
      </c>
    </row>
    <row r="157" spans="9:17" x14ac:dyDescent="0.45">
      <c r="I157" t="s">
        <v>172</v>
      </c>
      <c r="J157" t="s">
        <v>225</v>
      </c>
      <c r="K157">
        <v>1.7028222595467515E-2</v>
      </c>
      <c r="L157" t="s">
        <v>160</v>
      </c>
      <c r="N157" t="s">
        <v>197</v>
      </c>
      <c r="O157" t="s">
        <v>225</v>
      </c>
      <c r="P157">
        <v>2.6874820227629544E-2</v>
      </c>
      <c r="Q157" t="s">
        <v>160</v>
      </c>
    </row>
    <row r="158" spans="9:17" x14ac:dyDescent="0.45">
      <c r="I158" t="s">
        <v>172</v>
      </c>
      <c r="J158" t="s">
        <v>226</v>
      </c>
      <c r="K158">
        <v>0.24290071255988405</v>
      </c>
      <c r="L158" t="s">
        <v>160</v>
      </c>
      <c r="N158" t="s">
        <v>197</v>
      </c>
      <c r="O158" t="s">
        <v>226</v>
      </c>
      <c r="P158">
        <v>0.15062024011183117</v>
      </c>
      <c r="Q158" t="s">
        <v>160</v>
      </c>
    </row>
    <row r="159" spans="9:17" x14ac:dyDescent="0.45">
      <c r="I159" t="s">
        <v>172</v>
      </c>
      <c r="J159" t="s">
        <v>227</v>
      </c>
      <c r="K159">
        <v>5.7889431030309999E-3</v>
      </c>
      <c r="L159" t="s">
        <v>160</v>
      </c>
      <c r="N159" t="s">
        <v>197</v>
      </c>
      <c r="O159" t="s">
        <v>227</v>
      </c>
      <c r="P159">
        <v>0.11370681573334189</v>
      </c>
      <c r="Q159" t="s">
        <v>160</v>
      </c>
    </row>
    <row r="160" spans="9:17" x14ac:dyDescent="0.45">
      <c r="I160" t="s">
        <v>172</v>
      </c>
      <c r="J160" t="s">
        <v>228</v>
      </c>
      <c r="K160">
        <v>3.3833363500025082E-2</v>
      </c>
      <c r="L160" t="s">
        <v>160</v>
      </c>
      <c r="N160" t="s">
        <v>197</v>
      </c>
      <c r="O160" t="s">
        <v>228</v>
      </c>
      <c r="P160">
        <v>2.8548282347502167E-2</v>
      </c>
      <c r="Q160" t="s">
        <v>160</v>
      </c>
    </row>
    <row r="161" spans="9:17" x14ac:dyDescent="0.45">
      <c r="I161" t="s">
        <v>172</v>
      </c>
      <c r="J161" t="s">
        <v>229</v>
      </c>
      <c r="K161">
        <v>0.31009813210185011</v>
      </c>
      <c r="L161" t="s">
        <v>160</v>
      </c>
      <c r="N161" t="s">
        <v>197</v>
      </c>
      <c r="O161" t="s">
        <v>229</v>
      </c>
      <c r="P161">
        <v>4.9466223479071605E-2</v>
      </c>
      <c r="Q161" t="s">
        <v>160</v>
      </c>
    </row>
    <row r="162" spans="9:17" x14ac:dyDescent="0.45">
      <c r="I162" t="s">
        <v>172</v>
      </c>
      <c r="J162" t="s">
        <v>230</v>
      </c>
      <c r="K162">
        <v>1.430179437818949E-2</v>
      </c>
      <c r="L162" t="s">
        <v>160</v>
      </c>
      <c r="N162" t="s">
        <v>197</v>
      </c>
      <c r="O162" t="s">
        <v>230</v>
      </c>
      <c r="P162">
        <v>4.575889255061423E-2</v>
      </c>
      <c r="Q162" t="s">
        <v>160</v>
      </c>
    </row>
    <row r="163" spans="9:17" x14ac:dyDescent="0.45">
      <c r="I163" t="s">
        <v>172</v>
      </c>
      <c r="J163" t="s">
        <v>231</v>
      </c>
      <c r="K163">
        <v>4.3479617110637976E-2</v>
      </c>
      <c r="L163" t="s">
        <v>160</v>
      </c>
      <c r="N163" t="s">
        <v>197</v>
      </c>
      <c r="O163" t="s">
        <v>231</v>
      </c>
      <c r="P163">
        <v>1.3898563612825567E-2</v>
      </c>
      <c r="Q163" t="s">
        <v>160</v>
      </c>
    </row>
    <row r="164" spans="9:17" x14ac:dyDescent="0.45">
      <c r="I164" t="s">
        <v>172</v>
      </c>
      <c r="J164" t="s">
        <v>232</v>
      </c>
      <c r="K164">
        <v>0.13836078882854963</v>
      </c>
      <c r="L164" t="s">
        <v>160</v>
      </c>
      <c r="N164" t="s">
        <v>197</v>
      </c>
      <c r="O164" t="s">
        <v>232</v>
      </c>
      <c r="P164">
        <v>0.15149021215706254</v>
      </c>
      <c r="Q164" t="s">
        <v>160</v>
      </c>
    </row>
    <row r="165" spans="9:17" x14ac:dyDescent="0.45">
      <c r="I165" t="s">
        <v>172</v>
      </c>
      <c r="J165" t="s">
        <v>233</v>
      </c>
      <c r="K165">
        <v>0</v>
      </c>
      <c r="L165" t="s">
        <v>160</v>
      </c>
      <c r="N165" t="s">
        <v>197</v>
      </c>
      <c r="O165" t="s">
        <v>233</v>
      </c>
      <c r="P165">
        <v>0.1444594838260238</v>
      </c>
      <c r="Q165" t="s">
        <v>160</v>
      </c>
    </row>
    <row r="166" spans="9:17" x14ac:dyDescent="0.45">
      <c r="I166" t="s">
        <v>172</v>
      </c>
      <c r="J166" t="s">
        <v>234</v>
      </c>
      <c r="K166">
        <v>9.6513221420765835E-3</v>
      </c>
      <c r="L166" t="s">
        <v>160</v>
      </c>
      <c r="N166" t="s">
        <v>197</v>
      </c>
      <c r="O166" t="s">
        <v>234</v>
      </c>
      <c r="P166">
        <v>2.6363187968089143E-2</v>
      </c>
      <c r="Q166" t="s">
        <v>160</v>
      </c>
    </row>
    <row r="167" spans="9:17" x14ac:dyDescent="0.45">
      <c r="I167" t="s">
        <v>173</v>
      </c>
      <c r="J167" t="s">
        <v>223</v>
      </c>
      <c r="K167">
        <v>0.1721385150984997</v>
      </c>
      <c r="L167" t="s">
        <v>160</v>
      </c>
      <c r="N167" t="s">
        <v>198</v>
      </c>
      <c r="O167" t="s">
        <v>223</v>
      </c>
      <c r="P167">
        <v>0.10920671826373402</v>
      </c>
      <c r="Q167" t="s">
        <v>160</v>
      </c>
    </row>
    <row r="168" spans="9:17" x14ac:dyDescent="0.45">
      <c r="I168" t="s">
        <v>173</v>
      </c>
      <c r="J168" t="s">
        <v>224</v>
      </c>
      <c r="K168">
        <v>6.5202015683768477E-4</v>
      </c>
      <c r="L168" t="s">
        <v>160</v>
      </c>
      <c r="N168" t="s">
        <v>198</v>
      </c>
      <c r="O168" t="s">
        <v>224</v>
      </c>
      <c r="P168">
        <v>0.15376876516319893</v>
      </c>
      <c r="Q168" t="s">
        <v>160</v>
      </c>
    </row>
    <row r="169" spans="9:17" x14ac:dyDescent="0.45">
      <c r="I169" t="s">
        <v>173</v>
      </c>
      <c r="J169" t="s">
        <v>225</v>
      </c>
      <c r="K169">
        <v>1.5292439430165481E-2</v>
      </c>
      <c r="L169" t="s">
        <v>160</v>
      </c>
      <c r="N169" t="s">
        <v>198</v>
      </c>
      <c r="O169" t="s">
        <v>225</v>
      </c>
      <c r="P169">
        <v>2.5729890152475707E-2</v>
      </c>
      <c r="Q169" t="s">
        <v>160</v>
      </c>
    </row>
    <row r="170" spans="9:17" x14ac:dyDescent="0.45">
      <c r="I170" t="s">
        <v>173</v>
      </c>
      <c r="J170" t="s">
        <v>226</v>
      </c>
      <c r="K170">
        <v>0.24027167915072742</v>
      </c>
      <c r="L170" t="s">
        <v>160</v>
      </c>
      <c r="N170" t="s">
        <v>198</v>
      </c>
      <c r="O170" t="s">
        <v>226</v>
      </c>
      <c r="P170">
        <v>0.12328711756428566</v>
      </c>
      <c r="Q170" t="s">
        <v>160</v>
      </c>
    </row>
    <row r="171" spans="9:17" x14ac:dyDescent="0.45">
      <c r="I171" t="s">
        <v>173</v>
      </c>
      <c r="J171" t="s">
        <v>227</v>
      </c>
      <c r="K171">
        <v>6.0930711449916769E-3</v>
      </c>
      <c r="L171" t="s">
        <v>160</v>
      </c>
      <c r="N171" t="s">
        <v>198</v>
      </c>
      <c r="O171" t="s">
        <v>227</v>
      </c>
      <c r="P171">
        <v>0.16670586492397757</v>
      </c>
      <c r="Q171" t="s">
        <v>160</v>
      </c>
    </row>
    <row r="172" spans="9:17" x14ac:dyDescent="0.45">
      <c r="I172" t="s">
        <v>173</v>
      </c>
      <c r="J172" t="s">
        <v>228</v>
      </c>
      <c r="K172">
        <v>3.2156124497458541E-2</v>
      </c>
      <c r="L172" t="s">
        <v>160</v>
      </c>
      <c r="N172" t="s">
        <v>198</v>
      </c>
      <c r="O172" t="s">
        <v>228</v>
      </c>
      <c r="P172">
        <v>2.7575317913400281E-2</v>
      </c>
      <c r="Q172" t="s">
        <v>160</v>
      </c>
    </row>
    <row r="173" spans="9:17" x14ac:dyDescent="0.45">
      <c r="I173" t="s">
        <v>173</v>
      </c>
      <c r="J173" t="s">
        <v>229</v>
      </c>
      <c r="K173">
        <v>0.32897344529642464</v>
      </c>
      <c r="L173" t="s">
        <v>160</v>
      </c>
      <c r="N173" t="s">
        <v>198</v>
      </c>
      <c r="O173" t="s">
        <v>229</v>
      </c>
      <c r="P173">
        <v>4.8776115236694693E-2</v>
      </c>
      <c r="Q173" t="s">
        <v>160</v>
      </c>
    </row>
    <row r="174" spans="9:17" x14ac:dyDescent="0.45">
      <c r="I174" t="s">
        <v>173</v>
      </c>
      <c r="J174" t="s">
        <v>230</v>
      </c>
      <c r="K174">
        <v>1.6041676733916072E-2</v>
      </c>
      <c r="L174" t="s">
        <v>160</v>
      </c>
      <c r="N174" t="s">
        <v>198</v>
      </c>
      <c r="O174" t="s">
        <v>230</v>
      </c>
      <c r="P174">
        <v>8.6524991852851757E-2</v>
      </c>
      <c r="Q174" t="s">
        <v>160</v>
      </c>
    </row>
    <row r="175" spans="9:17" x14ac:dyDescent="0.45">
      <c r="I175" t="s">
        <v>173</v>
      </c>
      <c r="J175" t="s">
        <v>231</v>
      </c>
      <c r="K175">
        <v>4.7895169222924749E-2</v>
      </c>
      <c r="L175" t="s">
        <v>160</v>
      </c>
      <c r="N175" t="s">
        <v>198</v>
      </c>
      <c r="O175" t="s">
        <v>231</v>
      </c>
      <c r="P175">
        <v>1.0002225290752067E-2</v>
      </c>
      <c r="Q175" t="s">
        <v>160</v>
      </c>
    </row>
    <row r="176" spans="9:17" x14ac:dyDescent="0.45">
      <c r="I176" t="s">
        <v>173</v>
      </c>
      <c r="J176" t="s">
        <v>232</v>
      </c>
      <c r="K176">
        <v>0.13294256422141748</v>
      </c>
      <c r="L176" t="s">
        <v>160</v>
      </c>
      <c r="N176" t="s">
        <v>198</v>
      </c>
      <c r="O176" t="s">
        <v>232</v>
      </c>
      <c r="P176">
        <v>0.1036130830725905</v>
      </c>
      <c r="Q176" t="s">
        <v>160</v>
      </c>
    </row>
    <row r="177" spans="9:17" x14ac:dyDescent="0.45">
      <c r="I177" t="s">
        <v>173</v>
      </c>
      <c r="J177" t="s">
        <v>233</v>
      </c>
      <c r="K177">
        <v>0</v>
      </c>
      <c r="L177" t="s">
        <v>160</v>
      </c>
      <c r="N177" t="s">
        <v>198</v>
      </c>
      <c r="O177" t="s">
        <v>233</v>
      </c>
      <c r="P177">
        <v>0.12391396965826088</v>
      </c>
      <c r="Q177" t="s">
        <v>160</v>
      </c>
    </row>
    <row r="178" spans="9:17" x14ac:dyDescent="0.45">
      <c r="I178" t="s">
        <v>173</v>
      </c>
      <c r="J178" t="s">
        <v>234</v>
      </c>
      <c r="K178">
        <v>7.5432950466331264E-3</v>
      </c>
      <c r="L178" t="s">
        <v>160</v>
      </c>
      <c r="N178" t="s">
        <v>198</v>
      </c>
      <c r="O178" t="s">
        <v>234</v>
      </c>
      <c r="P178">
        <v>2.0895940907776803E-2</v>
      </c>
      <c r="Q178" t="s">
        <v>160</v>
      </c>
    </row>
    <row r="179" spans="9:17" x14ac:dyDescent="0.45">
      <c r="I179" t="s">
        <v>174</v>
      </c>
      <c r="J179" t="s">
        <v>223</v>
      </c>
      <c r="K179">
        <v>0.16798215134657829</v>
      </c>
      <c r="L179" t="s">
        <v>160</v>
      </c>
      <c r="N179" t="s">
        <v>199</v>
      </c>
      <c r="O179" t="s">
        <v>223</v>
      </c>
      <c r="P179">
        <v>0.14979525379266334</v>
      </c>
      <c r="Q179" t="s">
        <v>160</v>
      </c>
    </row>
    <row r="180" spans="9:17" x14ac:dyDescent="0.45">
      <c r="I180" t="s">
        <v>174</v>
      </c>
      <c r="J180" t="s">
        <v>224</v>
      </c>
      <c r="K180">
        <v>3.1721857222453151E-4</v>
      </c>
      <c r="L180" t="s">
        <v>160</v>
      </c>
      <c r="N180" t="s">
        <v>199</v>
      </c>
      <c r="O180" t="s">
        <v>224</v>
      </c>
      <c r="P180">
        <v>0.14968600079741845</v>
      </c>
      <c r="Q180" t="s">
        <v>160</v>
      </c>
    </row>
    <row r="181" spans="9:17" x14ac:dyDescent="0.45">
      <c r="I181" t="s">
        <v>174</v>
      </c>
      <c r="J181" t="s">
        <v>225</v>
      </c>
      <c r="K181">
        <v>1.362271659720141E-2</v>
      </c>
      <c r="L181" t="s">
        <v>160</v>
      </c>
      <c r="N181" t="s">
        <v>199</v>
      </c>
      <c r="O181" t="s">
        <v>225</v>
      </c>
      <c r="P181">
        <v>2.4655423346528683E-2</v>
      </c>
      <c r="Q181" t="s">
        <v>160</v>
      </c>
    </row>
    <row r="182" spans="9:17" x14ac:dyDescent="0.45">
      <c r="I182" t="s">
        <v>174</v>
      </c>
      <c r="J182" t="s">
        <v>226</v>
      </c>
      <c r="K182">
        <v>0.23995502884678976</v>
      </c>
      <c r="L182" t="s">
        <v>160</v>
      </c>
      <c r="N182" t="s">
        <v>199</v>
      </c>
      <c r="O182" t="s">
        <v>226</v>
      </c>
      <c r="P182">
        <v>0.1147797760984397</v>
      </c>
      <c r="Q182" t="s">
        <v>160</v>
      </c>
    </row>
    <row r="183" spans="9:17" x14ac:dyDescent="0.45">
      <c r="I183" t="s">
        <v>174</v>
      </c>
      <c r="J183" t="s">
        <v>227</v>
      </c>
      <c r="K183">
        <v>4.8510204210759269E-3</v>
      </c>
      <c r="L183" t="s">
        <v>160</v>
      </c>
      <c r="N183" t="s">
        <v>199</v>
      </c>
      <c r="O183" t="s">
        <v>227</v>
      </c>
      <c r="P183">
        <v>0.10122967594455065</v>
      </c>
      <c r="Q183" t="s">
        <v>160</v>
      </c>
    </row>
    <row r="184" spans="9:17" x14ac:dyDescent="0.45">
      <c r="I184" t="s">
        <v>174</v>
      </c>
      <c r="J184" t="s">
        <v>228</v>
      </c>
      <c r="K184">
        <v>3.0036751872442886E-2</v>
      </c>
      <c r="L184" t="s">
        <v>160</v>
      </c>
      <c r="N184" t="s">
        <v>199</v>
      </c>
      <c r="O184" t="s">
        <v>228</v>
      </c>
      <c r="P184">
        <v>1.8366514795557592E-2</v>
      </c>
      <c r="Q184" t="s">
        <v>160</v>
      </c>
    </row>
    <row r="185" spans="9:17" x14ac:dyDescent="0.45">
      <c r="I185" t="s">
        <v>174</v>
      </c>
      <c r="J185" t="s">
        <v>229</v>
      </c>
      <c r="K185">
        <v>0.34146829285006908</v>
      </c>
      <c r="L185" t="s">
        <v>160</v>
      </c>
      <c r="N185" t="s">
        <v>199</v>
      </c>
      <c r="O185" t="s">
        <v>229</v>
      </c>
      <c r="P185">
        <v>6.6634174203092894E-2</v>
      </c>
      <c r="Q185" t="s">
        <v>160</v>
      </c>
    </row>
    <row r="186" spans="9:17" x14ac:dyDescent="0.45">
      <c r="I186" t="s">
        <v>174</v>
      </c>
      <c r="J186" t="s">
        <v>230</v>
      </c>
      <c r="K186">
        <v>1.6798620508360639E-2</v>
      </c>
      <c r="L186" t="s">
        <v>160</v>
      </c>
      <c r="N186" t="s">
        <v>199</v>
      </c>
      <c r="O186" t="s">
        <v>230</v>
      </c>
      <c r="P186">
        <v>5.6148235951325169E-2</v>
      </c>
      <c r="Q186" t="s">
        <v>160</v>
      </c>
    </row>
    <row r="187" spans="9:17" x14ac:dyDescent="0.45">
      <c r="I187" t="s">
        <v>174</v>
      </c>
      <c r="J187" t="s">
        <v>231</v>
      </c>
      <c r="K187">
        <v>4.6415426649832191E-2</v>
      </c>
      <c r="L187" t="s">
        <v>160</v>
      </c>
      <c r="N187" t="s">
        <v>199</v>
      </c>
      <c r="O187" t="s">
        <v>231</v>
      </c>
      <c r="P187">
        <v>1.0339860978485363E-2</v>
      </c>
      <c r="Q187" t="s">
        <v>160</v>
      </c>
    </row>
    <row r="188" spans="9:17" x14ac:dyDescent="0.45">
      <c r="I188" t="s">
        <v>174</v>
      </c>
      <c r="J188" t="s">
        <v>232</v>
      </c>
      <c r="K188">
        <v>0.13284798005111276</v>
      </c>
      <c r="L188" t="s">
        <v>160</v>
      </c>
      <c r="N188" t="s">
        <v>199</v>
      </c>
      <c r="O188" t="s">
        <v>232</v>
      </c>
      <c r="P188">
        <v>0.13283519061934795</v>
      </c>
      <c r="Q188" t="s">
        <v>160</v>
      </c>
    </row>
    <row r="189" spans="9:17" x14ac:dyDescent="0.45">
      <c r="I189" t="s">
        <v>174</v>
      </c>
      <c r="J189" t="s">
        <v>233</v>
      </c>
      <c r="K189">
        <v>0</v>
      </c>
      <c r="L189" t="s">
        <v>160</v>
      </c>
      <c r="N189" t="s">
        <v>199</v>
      </c>
      <c r="O189" t="s">
        <v>233</v>
      </c>
      <c r="P189">
        <v>0.1506416139991115</v>
      </c>
      <c r="Q189" t="s">
        <v>160</v>
      </c>
    </row>
    <row r="190" spans="9:17" x14ac:dyDescent="0.45">
      <c r="I190" t="s">
        <v>174</v>
      </c>
      <c r="J190" t="s">
        <v>234</v>
      </c>
      <c r="K190">
        <v>5.7047922843154863E-3</v>
      </c>
      <c r="L190" t="s">
        <v>160</v>
      </c>
      <c r="N190" t="s">
        <v>199</v>
      </c>
      <c r="O190" t="s">
        <v>234</v>
      </c>
      <c r="P190">
        <v>2.4888279473474061E-2</v>
      </c>
      <c r="Q190" t="s">
        <v>160</v>
      </c>
    </row>
    <row r="191" spans="9:17" x14ac:dyDescent="0.45">
      <c r="I191" t="s">
        <v>175</v>
      </c>
      <c r="J191" t="s">
        <v>223</v>
      </c>
      <c r="K191">
        <v>0.17079997509292064</v>
      </c>
      <c r="L191" t="s">
        <v>160</v>
      </c>
      <c r="N191" t="s">
        <v>200</v>
      </c>
      <c r="O191" t="s">
        <v>223</v>
      </c>
      <c r="P191">
        <v>0.13085628559532611</v>
      </c>
      <c r="Q191" t="s">
        <v>160</v>
      </c>
    </row>
    <row r="192" spans="9:17" x14ac:dyDescent="0.45">
      <c r="I192" t="s">
        <v>175</v>
      </c>
      <c r="J192" t="s">
        <v>224</v>
      </c>
      <c r="K192">
        <v>5.9480397696019198E-4</v>
      </c>
      <c r="L192" t="s">
        <v>160</v>
      </c>
      <c r="N192" t="s">
        <v>200</v>
      </c>
      <c r="O192" t="s">
        <v>224</v>
      </c>
      <c r="P192">
        <v>0.15618867994891622</v>
      </c>
      <c r="Q192" t="s">
        <v>160</v>
      </c>
    </row>
    <row r="193" spans="9:17" x14ac:dyDescent="0.45">
      <c r="I193" t="s">
        <v>175</v>
      </c>
      <c r="J193" t="s">
        <v>225</v>
      </c>
      <c r="K193">
        <v>1.4103179501276347E-2</v>
      </c>
      <c r="L193" t="s">
        <v>160</v>
      </c>
      <c r="N193" t="s">
        <v>200</v>
      </c>
      <c r="O193" t="s">
        <v>225</v>
      </c>
      <c r="P193">
        <v>2.28759929899351E-2</v>
      </c>
      <c r="Q193" t="s">
        <v>160</v>
      </c>
    </row>
    <row r="194" spans="9:17" x14ac:dyDescent="0.45">
      <c r="I194" t="s">
        <v>175</v>
      </c>
      <c r="J194" t="s">
        <v>226</v>
      </c>
      <c r="K194">
        <v>0.2336429671495196</v>
      </c>
      <c r="L194" t="s">
        <v>160</v>
      </c>
      <c r="N194" t="s">
        <v>200</v>
      </c>
      <c r="O194" t="s">
        <v>226</v>
      </c>
      <c r="P194">
        <v>0.12292066220237664</v>
      </c>
      <c r="Q194" t="s">
        <v>160</v>
      </c>
    </row>
    <row r="195" spans="9:17" x14ac:dyDescent="0.45">
      <c r="I195" t="s">
        <v>175</v>
      </c>
      <c r="J195" t="s">
        <v>227</v>
      </c>
      <c r="K195">
        <v>4.8216422659349435E-3</v>
      </c>
      <c r="L195" t="s">
        <v>160</v>
      </c>
      <c r="N195" t="s">
        <v>200</v>
      </c>
      <c r="O195" t="s">
        <v>227</v>
      </c>
      <c r="P195">
        <v>0.12428580515108201</v>
      </c>
      <c r="Q195" t="s">
        <v>160</v>
      </c>
    </row>
    <row r="196" spans="9:17" x14ac:dyDescent="0.45">
      <c r="I196" t="s">
        <v>175</v>
      </c>
      <c r="J196" t="s">
        <v>228</v>
      </c>
      <c r="K196">
        <v>2.8975641072137046E-2</v>
      </c>
      <c r="L196" t="s">
        <v>160</v>
      </c>
      <c r="N196" t="s">
        <v>200</v>
      </c>
      <c r="O196" t="s">
        <v>228</v>
      </c>
      <c r="P196">
        <v>2.0315337157212995E-2</v>
      </c>
      <c r="Q196" t="s">
        <v>160</v>
      </c>
    </row>
    <row r="197" spans="9:17" x14ac:dyDescent="0.45">
      <c r="I197" t="s">
        <v>175</v>
      </c>
      <c r="J197" t="s">
        <v>229</v>
      </c>
      <c r="K197">
        <v>0.33567836629281639</v>
      </c>
      <c r="L197" t="s">
        <v>160</v>
      </c>
      <c r="N197" t="s">
        <v>200</v>
      </c>
      <c r="O197" t="s">
        <v>229</v>
      </c>
      <c r="P197">
        <v>6.5852120945331133E-2</v>
      </c>
      <c r="Q197" t="s">
        <v>160</v>
      </c>
    </row>
    <row r="198" spans="9:17" x14ac:dyDescent="0.45">
      <c r="I198" t="s">
        <v>175</v>
      </c>
      <c r="J198" t="s">
        <v>230</v>
      </c>
      <c r="K198">
        <v>1.5938224963341869E-2</v>
      </c>
      <c r="L198" t="s">
        <v>160</v>
      </c>
      <c r="N198" t="s">
        <v>200</v>
      </c>
      <c r="O198" t="s">
        <v>230</v>
      </c>
      <c r="P198">
        <v>7.1633084282431037E-2</v>
      </c>
      <c r="Q198" t="s">
        <v>160</v>
      </c>
    </row>
    <row r="199" spans="9:17" x14ac:dyDescent="0.45">
      <c r="I199" t="s">
        <v>175</v>
      </c>
      <c r="J199" t="s">
        <v>231</v>
      </c>
      <c r="K199">
        <v>4.5956995450442677E-2</v>
      </c>
      <c r="L199" t="s">
        <v>160</v>
      </c>
      <c r="N199" t="s">
        <v>200</v>
      </c>
      <c r="O199" t="s">
        <v>231</v>
      </c>
      <c r="P199">
        <v>8.71121033932141E-3</v>
      </c>
      <c r="Q199" t="s">
        <v>160</v>
      </c>
    </row>
    <row r="200" spans="9:17" x14ac:dyDescent="0.45">
      <c r="I200" t="s">
        <v>175</v>
      </c>
      <c r="J200" t="s">
        <v>232</v>
      </c>
      <c r="K200">
        <v>0.14294075391694203</v>
      </c>
      <c r="L200" t="s">
        <v>160</v>
      </c>
      <c r="N200" t="s">
        <v>200</v>
      </c>
      <c r="O200" t="s">
        <v>232</v>
      </c>
      <c r="P200">
        <v>0.11770857465563088</v>
      </c>
      <c r="Q200" t="s">
        <v>160</v>
      </c>
    </row>
    <row r="201" spans="9:17" x14ac:dyDescent="0.45">
      <c r="I201" t="s">
        <v>175</v>
      </c>
      <c r="J201" t="s">
        <v>233</v>
      </c>
      <c r="K201">
        <v>0</v>
      </c>
      <c r="L201" t="s">
        <v>160</v>
      </c>
      <c r="N201" t="s">
        <v>200</v>
      </c>
      <c r="O201" t="s">
        <v>233</v>
      </c>
      <c r="P201">
        <v>0.13775177008297451</v>
      </c>
      <c r="Q201" t="s">
        <v>160</v>
      </c>
    </row>
    <row r="202" spans="9:17" x14ac:dyDescent="0.45">
      <c r="I202" t="s">
        <v>175</v>
      </c>
      <c r="J202" t="s">
        <v>234</v>
      </c>
      <c r="K202">
        <v>6.5474503177090212E-3</v>
      </c>
      <c r="L202" t="s">
        <v>160</v>
      </c>
      <c r="N202" t="s">
        <v>200</v>
      </c>
      <c r="O202" t="s">
        <v>234</v>
      </c>
      <c r="P202">
        <v>2.0900476649465323E-2</v>
      </c>
      <c r="Q202" t="s">
        <v>160</v>
      </c>
    </row>
    <row r="203" spans="9:17" x14ac:dyDescent="0.45">
      <c r="I203" t="s">
        <v>176</v>
      </c>
      <c r="J203" t="s">
        <v>223</v>
      </c>
      <c r="K203">
        <v>0.20832089949146745</v>
      </c>
      <c r="L203" t="s">
        <v>160</v>
      </c>
      <c r="N203" t="s">
        <v>201</v>
      </c>
      <c r="O203" t="s">
        <v>223</v>
      </c>
      <c r="P203">
        <v>0.1077276321797261</v>
      </c>
      <c r="Q203" t="s">
        <v>160</v>
      </c>
    </row>
    <row r="204" spans="9:17" x14ac:dyDescent="0.45">
      <c r="I204" t="s">
        <v>176</v>
      </c>
      <c r="J204" t="s">
        <v>224</v>
      </c>
      <c r="K204">
        <v>0</v>
      </c>
      <c r="L204" t="s">
        <v>160</v>
      </c>
      <c r="N204" t="s">
        <v>201</v>
      </c>
      <c r="O204" t="s">
        <v>224</v>
      </c>
      <c r="P204">
        <v>9.6502573418938281E-2</v>
      </c>
      <c r="Q204" t="s">
        <v>160</v>
      </c>
    </row>
    <row r="205" spans="9:17" x14ac:dyDescent="0.45">
      <c r="I205" t="s">
        <v>176</v>
      </c>
      <c r="J205" t="s">
        <v>225</v>
      </c>
      <c r="K205">
        <v>6.3965773497137229E-3</v>
      </c>
      <c r="L205" t="s">
        <v>160</v>
      </c>
      <c r="N205" t="s">
        <v>201</v>
      </c>
      <c r="O205" t="s">
        <v>225</v>
      </c>
      <c r="P205">
        <v>1.9918610029696471E-2</v>
      </c>
      <c r="Q205" t="s">
        <v>160</v>
      </c>
    </row>
    <row r="206" spans="9:17" x14ac:dyDescent="0.45">
      <c r="I206" t="s">
        <v>176</v>
      </c>
      <c r="J206" t="s">
        <v>226</v>
      </c>
      <c r="K206">
        <v>0.26457024796016293</v>
      </c>
      <c r="L206" t="s">
        <v>160</v>
      </c>
      <c r="N206" t="s">
        <v>201</v>
      </c>
      <c r="O206" t="s">
        <v>226</v>
      </c>
      <c r="P206">
        <v>0.1599024557160964</v>
      </c>
      <c r="Q206" t="s">
        <v>160</v>
      </c>
    </row>
    <row r="207" spans="9:17" x14ac:dyDescent="0.45">
      <c r="I207" t="s">
        <v>176</v>
      </c>
      <c r="J207" t="s">
        <v>227</v>
      </c>
      <c r="K207">
        <v>1.7250367321232909E-3</v>
      </c>
      <c r="L207" t="s">
        <v>160</v>
      </c>
      <c r="N207" t="s">
        <v>201</v>
      </c>
      <c r="O207" t="s">
        <v>227</v>
      </c>
      <c r="P207">
        <v>0.13524527255925434</v>
      </c>
      <c r="Q207" t="s">
        <v>160</v>
      </c>
    </row>
    <row r="208" spans="9:17" x14ac:dyDescent="0.45">
      <c r="I208" t="s">
        <v>176</v>
      </c>
      <c r="J208" t="s">
        <v>228</v>
      </c>
      <c r="K208">
        <v>2.3482601895607278E-2</v>
      </c>
      <c r="L208" t="s">
        <v>160</v>
      </c>
      <c r="N208" t="s">
        <v>201</v>
      </c>
      <c r="O208" t="s">
        <v>228</v>
      </c>
      <c r="P208">
        <v>3.0037549319589067E-2</v>
      </c>
      <c r="Q208" t="s">
        <v>160</v>
      </c>
    </row>
    <row r="209" spans="9:17" x14ac:dyDescent="0.45">
      <c r="I209" t="s">
        <v>176</v>
      </c>
      <c r="J209" t="s">
        <v>229</v>
      </c>
      <c r="K209">
        <v>0.30207052214034341</v>
      </c>
      <c r="L209" t="s">
        <v>160</v>
      </c>
      <c r="N209" t="s">
        <v>201</v>
      </c>
      <c r="O209" t="s">
        <v>229</v>
      </c>
      <c r="P209">
        <v>7.7318222585904275E-2</v>
      </c>
      <c r="Q209" t="s">
        <v>160</v>
      </c>
    </row>
    <row r="210" spans="9:17" x14ac:dyDescent="0.45">
      <c r="I210" t="s">
        <v>176</v>
      </c>
      <c r="J210" t="s">
        <v>230</v>
      </c>
      <c r="K210">
        <v>7.0833584578164624E-3</v>
      </c>
      <c r="L210" t="s">
        <v>160</v>
      </c>
      <c r="N210" t="s">
        <v>201</v>
      </c>
      <c r="O210" t="s">
        <v>230</v>
      </c>
      <c r="P210">
        <v>5.9773177518948395E-2</v>
      </c>
      <c r="Q210" t="s">
        <v>160</v>
      </c>
    </row>
    <row r="211" spans="9:17" x14ac:dyDescent="0.45">
      <c r="I211" t="s">
        <v>176</v>
      </c>
      <c r="J211" t="s">
        <v>231</v>
      </c>
      <c r="K211">
        <v>3.2312810383120512E-2</v>
      </c>
      <c r="L211" t="s">
        <v>160</v>
      </c>
      <c r="N211" t="s">
        <v>201</v>
      </c>
      <c r="O211" t="s">
        <v>231</v>
      </c>
      <c r="P211">
        <v>1.6444145115829038E-2</v>
      </c>
      <c r="Q211" t="s">
        <v>160</v>
      </c>
    </row>
    <row r="212" spans="9:17" x14ac:dyDescent="0.45">
      <c r="I212" t="s">
        <v>176</v>
      </c>
      <c r="J212" t="s">
        <v>232</v>
      </c>
      <c r="K212">
        <v>0.15111750980222685</v>
      </c>
      <c r="L212" t="s">
        <v>160</v>
      </c>
      <c r="N212" t="s">
        <v>201</v>
      </c>
      <c r="O212" t="s">
        <v>232</v>
      </c>
      <c r="P212">
        <v>0.141425164162399</v>
      </c>
      <c r="Q212" t="s">
        <v>160</v>
      </c>
    </row>
    <row r="213" spans="9:17" x14ac:dyDescent="0.45">
      <c r="I213" t="s">
        <v>176</v>
      </c>
      <c r="J213" t="s">
        <v>233</v>
      </c>
      <c r="K213">
        <v>0</v>
      </c>
      <c r="L213" t="s">
        <v>160</v>
      </c>
      <c r="N213" t="s">
        <v>201</v>
      </c>
      <c r="O213" t="s">
        <v>233</v>
      </c>
      <c r="P213">
        <v>0.13167056634422766</v>
      </c>
      <c r="Q213" t="s">
        <v>160</v>
      </c>
    </row>
    <row r="214" spans="9:17" x14ac:dyDescent="0.45">
      <c r="I214" t="s">
        <v>176</v>
      </c>
      <c r="J214" t="s">
        <v>234</v>
      </c>
      <c r="K214">
        <v>2.9204357874142157E-3</v>
      </c>
      <c r="L214" t="s">
        <v>160</v>
      </c>
      <c r="N214" t="s">
        <v>201</v>
      </c>
      <c r="O214" t="s">
        <v>234</v>
      </c>
      <c r="P214">
        <v>2.4034631049390544E-2</v>
      </c>
      <c r="Q214" t="s">
        <v>160</v>
      </c>
    </row>
    <row r="215" spans="9:17" x14ac:dyDescent="0.45">
      <c r="I215" t="s">
        <v>177</v>
      </c>
      <c r="J215" t="s">
        <v>223</v>
      </c>
      <c r="K215">
        <v>0.20472984928265728</v>
      </c>
      <c r="L215" t="s">
        <v>160</v>
      </c>
      <c r="N215" t="s">
        <v>202</v>
      </c>
      <c r="O215" t="s">
        <v>223</v>
      </c>
      <c r="P215">
        <v>0.12297081930267841</v>
      </c>
      <c r="Q215" t="s">
        <v>160</v>
      </c>
    </row>
    <row r="216" spans="9:17" x14ac:dyDescent="0.45">
      <c r="I216" t="s">
        <v>177</v>
      </c>
      <c r="J216" t="s">
        <v>224</v>
      </c>
      <c r="K216">
        <v>0</v>
      </c>
      <c r="L216" t="s">
        <v>160</v>
      </c>
      <c r="N216" t="s">
        <v>202</v>
      </c>
      <c r="O216" t="s">
        <v>224</v>
      </c>
      <c r="P216">
        <v>0.10604268225238413</v>
      </c>
      <c r="Q216" t="s">
        <v>160</v>
      </c>
    </row>
    <row r="217" spans="9:17" x14ac:dyDescent="0.45">
      <c r="I217" t="s">
        <v>177</v>
      </c>
      <c r="J217" t="s">
        <v>225</v>
      </c>
      <c r="K217">
        <v>7.26649988852865E-3</v>
      </c>
      <c r="L217" t="s">
        <v>160</v>
      </c>
      <c r="N217" t="s">
        <v>202</v>
      </c>
      <c r="O217" t="s">
        <v>225</v>
      </c>
      <c r="P217">
        <v>2.0474834816355755E-2</v>
      </c>
      <c r="Q217" t="s">
        <v>160</v>
      </c>
    </row>
    <row r="218" spans="9:17" x14ac:dyDescent="0.45">
      <c r="I218" t="s">
        <v>177</v>
      </c>
      <c r="J218" t="s">
        <v>226</v>
      </c>
      <c r="K218">
        <v>0.25577222910741898</v>
      </c>
      <c r="L218" t="s">
        <v>160</v>
      </c>
      <c r="N218" t="s">
        <v>202</v>
      </c>
      <c r="O218" t="s">
        <v>226</v>
      </c>
      <c r="P218">
        <v>0.16957161014704525</v>
      </c>
      <c r="Q218" t="s">
        <v>160</v>
      </c>
    </row>
    <row r="219" spans="9:17" x14ac:dyDescent="0.45">
      <c r="I219" t="s">
        <v>177</v>
      </c>
      <c r="J219" t="s">
        <v>227</v>
      </c>
      <c r="K219">
        <v>1.8524246509999695E-3</v>
      </c>
      <c r="L219" t="s">
        <v>160</v>
      </c>
      <c r="N219" t="s">
        <v>202</v>
      </c>
      <c r="O219" t="s">
        <v>227</v>
      </c>
      <c r="P219">
        <v>0.14806437091505967</v>
      </c>
      <c r="Q219" t="s">
        <v>160</v>
      </c>
    </row>
    <row r="220" spans="9:17" x14ac:dyDescent="0.45">
      <c r="I220" t="s">
        <v>177</v>
      </c>
      <c r="J220" t="s">
        <v>228</v>
      </c>
      <c r="K220">
        <v>2.3762021202587282E-2</v>
      </c>
      <c r="L220" t="s">
        <v>160</v>
      </c>
      <c r="N220" t="s">
        <v>202</v>
      </c>
      <c r="O220" t="s">
        <v>228</v>
      </c>
      <c r="P220">
        <v>3.033213215774621E-2</v>
      </c>
      <c r="Q220" t="s">
        <v>160</v>
      </c>
    </row>
    <row r="221" spans="9:17" x14ac:dyDescent="0.45">
      <c r="I221" t="s">
        <v>177</v>
      </c>
      <c r="J221" t="s">
        <v>229</v>
      </c>
      <c r="K221">
        <v>0.31109324834694768</v>
      </c>
      <c r="L221" t="s">
        <v>160</v>
      </c>
      <c r="N221" t="s">
        <v>202</v>
      </c>
      <c r="O221" t="s">
        <v>229</v>
      </c>
      <c r="P221">
        <v>5.7117741866578427E-2</v>
      </c>
      <c r="Q221" t="s">
        <v>160</v>
      </c>
    </row>
    <row r="222" spans="9:17" x14ac:dyDescent="0.45">
      <c r="I222" t="s">
        <v>177</v>
      </c>
      <c r="J222" t="s">
        <v>230</v>
      </c>
      <c r="K222">
        <v>8.5690608421178129E-3</v>
      </c>
      <c r="L222" t="s">
        <v>160</v>
      </c>
      <c r="N222" t="s">
        <v>202</v>
      </c>
      <c r="O222" t="s">
        <v>230</v>
      </c>
      <c r="P222">
        <v>3.9433858472560507E-2</v>
      </c>
      <c r="Q222" t="s">
        <v>160</v>
      </c>
    </row>
    <row r="223" spans="9:17" x14ac:dyDescent="0.45">
      <c r="I223" t="s">
        <v>177</v>
      </c>
      <c r="J223" t="s">
        <v>231</v>
      </c>
      <c r="K223">
        <v>3.4475517208864388E-2</v>
      </c>
      <c r="L223" t="s">
        <v>160</v>
      </c>
      <c r="N223" t="s">
        <v>202</v>
      </c>
      <c r="O223" t="s">
        <v>231</v>
      </c>
      <c r="P223">
        <v>1.0967795772846132E-2</v>
      </c>
      <c r="Q223" t="s">
        <v>160</v>
      </c>
    </row>
    <row r="224" spans="9:17" x14ac:dyDescent="0.45">
      <c r="I224" t="s">
        <v>177</v>
      </c>
      <c r="J224" t="s">
        <v>232</v>
      </c>
      <c r="K224">
        <v>0.14960472464848365</v>
      </c>
      <c r="L224" t="s">
        <v>160</v>
      </c>
      <c r="N224" t="s">
        <v>202</v>
      </c>
      <c r="O224" t="s">
        <v>232</v>
      </c>
      <c r="P224">
        <v>0.14025600281761497</v>
      </c>
      <c r="Q224" t="s">
        <v>160</v>
      </c>
    </row>
    <row r="225" spans="9:17" x14ac:dyDescent="0.45">
      <c r="I225" t="s">
        <v>177</v>
      </c>
      <c r="J225" t="s">
        <v>233</v>
      </c>
      <c r="K225">
        <v>0</v>
      </c>
      <c r="L225" t="s">
        <v>160</v>
      </c>
      <c r="N225" t="s">
        <v>202</v>
      </c>
      <c r="O225" t="s">
        <v>233</v>
      </c>
      <c r="P225">
        <v>0.13051580893320075</v>
      </c>
      <c r="Q225" t="s">
        <v>160</v>
      </c>
    </row>
    <row r="226" spans="9:17" x14ac:dyDescent="0.45">
      <c r="I226" t="s">
        <v>177</v>
      </c>
      <c r="J226" t="s">
        <v>234</v>
      </c>
      <c r="K226">
        <v>2.87442482139251E-3</v>
      </c>
      <c r="L226" t="s">
        <v>160</v>
      </c>
      <c r="N226" t="s">
        <v>202</v>
      </c>
      <c r="O226" t="s">
        <v>234</v>
      </c>
      <c r="P226">
        <v>2.4252342545931418E-2</v>
      </c>
      <c r="Q226" t="s">
        <v>160</v>
      </c>
    </row>
    <row r="227" spans="9:17" x14ac:dyDescent="0.45">
      <c r="I227" t="s">
        <v>178</v>
      </c>
      <c r="J227" t="s">
        <v>223</v>
      </c>
      <c r="K227">
        <v>0.19075515143163976</v>
      </c>
      <c r="L227" t="s">
        <v>160</v>
      </c>
      <c r="N227" t="s">
        <v>203</v>
      </c>
      <c r="O227" t="s">
        <v>223</v>
      </c>
      <c r="P227">
        <v>9.6669309180275428E-2</v>
      </c>
      <c r="Q227" t="s">
        <v>160</v>
      </c>
    </row>
    <row r="228" spans="9:17" x14ac:dyDescent="0.45">
      <c r="I228" t="s">
        <v>178</v>
      </c>
      <c r="J228" t="s">
        <v>224</v>
      </c>
      <c r="K228">
        <v>5.2092943700574127E-6</v>
      </c>
      <c r="L228" t="s">
        <v>160</v>
      </c>
      <c r="N228" t="s">
        <v>203</v>
      </c>
      <c r="O228" t="s">
        <v>224</v>
      </c>
      <c r="P228">
        <v>7.1716653439775277E-2</v>
      </c>
      <c r="Q228" t="s">
        <v>160</v>
      </c>
    </row>
    <row r="229" spans="9:17" x14ac:dyDescent="0.45">
      <c r="I229" t="s">
        <v>178</v>
      </c>
      <c r="J229" t="s">
        <v>225</v>
      </c>
      <c r="K229">
        <v>1.5770810230537231E-2</v>
      </c>
      <c r="L229" t="s">
        <v>160</v>
      </c>
      <c r="N229" t="s">
        <v>203</v>
      </c>
      <c r="O229" t="s">
        <v>225</v>
      </c>
      <c r="P229">
        <v>1.7082537600958209E-2</v>
      </c>
      <c r="Q229" t="s">
        <v>160</v>
      </c>
    </row>
    <row r="230" spans="9:17" x14ac:dyDescent="0.45">
      <c r="I230" t="s">
        <v>178</v>
      </c>
      <c r="J230" t="s">
        <v>226</v>
      </c>
      <c r="K230">
        <v>0.25595160124851085</v>
      </c>
      <c r="L230" t="s">
        <v>160</v>
      </c>
      <c r="N230" t="s">
        <v>203</v>
      </c>
      <c r="O230" t="s">
        <v>226</v>
      </c>
      <c r="P230">
        <v>0.1852724835791123</v>
      </c>
      <c r="Q230" t="s">
        <v>160</v>
      </c>
    </row>
    <row r="231" spans="9:17" x14ac:dyDescent="0.45">
      <c r="I231" t="s">
        <v>178</v>
      </c>
      <c r="J231" t="s">
        <v>227</v>
      </c>
      <c r="K231">
        <v>4.1069885271664691E-3</v>
      </c>
      <c r="L231" t="s">
        <v>160</v>
      </c>
      <c r="N231" t="s">
        <v>203</v>
      </c>
      <c r="O231" t="s">
        <v>227</v>
      </c>
      <c r="P231">
        <v>0.16147185119796587</v>
      </c>
      <c r="Q231" t="s">
        <v>160</v>
      </c>
    </row>
    <row r="232" spans="9:17" x14ac:dyDescent="0.45">
      <c r="I232" t="s">
        <v>178</v>
      </c>
      <c r="J232" t="s">
        <v>228</v>
      </c>
      <c r="K232">
        <v>3.6073406376815401E-2</v>
      </c>
      <c r="L232" t="s">
        <v>160</v>
      </c>
      <c r="N232" t="s">
        <v>203</v>
      </c>
      <c r="O232" t="s">
        <v>228</v>
      </c>
      <c r="P232">
        <v>3.6538081996723461E-2</v>
      </c>
      <c r="Q232" t="s">
        <v>160</v>
      </c>
    </row>
    <row r="233" spans="9:17" x14ac:dyDescent="0.45">
      <c r="I233" t="s">
        <v>178</v>
      </c>
      <c r="J233" t="s">
        <v>229</v>
      </c>
      <c r="K233">
        <v>0.28762443108110541</v>
      </c>
      <c r="L233" t="s">
        <v>160</v>
      </c>
      <c r="N233" t="s">
        <v>203</v>
      </c>
      <c r="O233" t="s">
        <v>229</v>
      </c>
      <c r="P233">
        <v>5.6093882035320855E-2</v>
      </c>
      <c r="Q233" t="s">
        <v>160</v>
      </c>
    </row>
    <row r="234" spans="9:17" x14ac:dyDescent="0.45">
      <c r="I234" t="s">
        <v>178</v>
      </c>
      <c r="J234" t="s">
        <v>230</v>
      </c>
      <c r="K234">
        <v>9.7346113491097695E-3</v>
      </c>
      <c r="L234" t="s">
        <v>160</v>
      </c>
      <c r="N234" t="s">
        <v>203</v>
      </c>
      <c r="O234" t="s">
        <v>230</v>
      </c>
      <c r="P234">
        <v>4.3369080106548254E-2</v>
      </c>
      <c r="Q234" t="s">
        <v>160</v>
      </c>
    </row>
    <row r="235" spans="9:17" x14ac:dyDescent="0.45">
      <c r="I235" t="s">
        <v>178</v>
      </c>
      <c r="J235" t="s">
        <v>231</v>
      </c>
      <c r="K235">
        <v>4.1541732974105836E-2</v>
      </c>
      <c r="L235" t="s">
        <v>160</v>
      </c>
      <c r="N235" t="s">
        <v>203</v>
      </c>
      <c r="O235" t="s">
        <v>231</v>
      </c>
      <c r="P235">
        <v>1.6618943200459802E-2</v>
      </c>
      <c r="Q235" t="s">
        <v>160</v>
      </c>
    </row>
    <row r="236" spans="9:17" x14ac:dyDescent="0.45">
      <c r="I236" t="s">
        <v>178</v>
      </c>
      <c r="J236" t="s">
        <v>232</v>
      </c>
      <c r="K236">
        <v>0.14724712583015936</v>
      </c>
      <c r="L236" t="s">
        <v>160</v>
      </c>
      <c r="N236" t="s">
        <v>203</v>
      </c>
      <c r="O236" t="s">
        <v>232</v>
      </c>
      <c r="P236">
        <v>0.15101798211430914</v>
      </c>
      <c r="Q236" t="s">
        <v>160</v>
      </c>
    </row>
    <row r="237" spans="9:17" x14ac:dyDescent="0.45">
      <c r="I237" t="s">
        <v>178</v>
      </c>
      <c r="J237" t="s">
        <v>233</v>
      </c>
      <c r="K237">
        <v>0</v>
      </c>
      <c r="L237" t="s">
        <v>160</v>
      </c>
      <c r="N237" t="s">
        <v>203</v>
      </c>
      <c r="O237" t="s">
        <v>233</v>
      </c>
      <c r="P237">
        <v>0.13491771499824246</v>
      </c>
      <c r="Q237" t="s">
        <v>160</v>
      </c>
    </row>
    <row r="238" spans="9:17" x14ac:dyDescent="0.45">
      <c r="I238" t="s">
        <v>178</v>
      </c>
      <c r="J238" t="s">
        <v>234</v>
      </c>
      <c r="K238">
        <v>1.1188931656481542E-2</v>
      </c>
      <c r="L238" t="s">
        <v>160</v>
      </c>
      <c r="N238" t="s">
        <v>203</v>
      </c>
      <c r="O238" t="s">
        <v>234</v>
      </c>
      <c r="P238">
        <v>2.923148055031086E-2</v>
      </c>
      <c r="Q238" t="s">
        <v>160</v>
      </c>
    </row>
    <row r="239" spans="9:17" x14ac:dyDescent="0.45">
      <c r="I239" t="s">
        <v>179</v>
      </c>
      <c r="J239" t="s">
        <v>223</v>
      </c>
      <c r="K239">
        <v>0.19339796336772996</v>
      </c>
      <c r="L239" t="s">
        <v>160</v>
      </c>
      <c r="N239" t="s">
        <v>204</v>
      </c>
      <c r="O239" t="s">
        <v>223</v>
      </c>
      <c r="P239">
        <v>7.9794224007055284E-2</v>
      </c>
      <c r="Q239" t="s">
        <v>160</v>
      </c>
    </row>
    <row r="240" spans="9:17" x14ac:dyDescent="0.45">
      <c r="I240" t="s">
        <v>179</v>
      </c>
      <c r="J240" t="s">
        <v>224</v>
      </c>
      <c r="K240">
        <v>0</v>
      </c>
      <c r="L240" t="s">
        <v>160</v>
      </c>
      <c r="N240" t="s">
        <v>204</v>
      </c>
      <c r="O240" t="s">
        <v>224</v>
      </c>
      <c r="P240">
        <v>7.1176658829595202E-2</v>
      </c>
      <c r="Q240" t="s">
        <v>160</v>
      </c>
    </row>
    <row r="241" spans="9:17" x14ac:dyDescent="0.45">
      <c r="I241" t="s">
        <v>179</v>
      </c>
      <c r="J241" t="s">
        <v>225</v>
      </c>
      <c r="K241">
        <v>1.2629279320894145E-2</v>
      </c>
      <c r="L241" t="s">
        <v>160</v>
      </c>
      <c r="N241" t="s">
        <v>204</v>
      </c>
      <c r="O241" t="s">
        <v>225</v>
      </c>
      <c r="P241">
        <v>1.3632779300707887E-2</v>
      </c>
      <c r="Q241" t="s">
        <v>160</v>
      </c>
    </row>
    <row r="242" spans="9:17" x14ac:dyDescent="0.45">
      <c r="I242" t="s">
        <v>179</v>
      </c>
      <c r="J242" t="s">
        <v>226</v>
      </c>
      <c r="K242">
        <v>0.2634030449533003</v>
      </c>
      <c r="L242" t="s">
        <v>160</v>
      </c>
      <c r="N242" t="s">
        <v>204</v>
      </c>
      <c r="O242" t="s">
        <v>226</v>
      </c>
      <c r="P242">
        <v>0.1930377889827736</v>
      </c>
      <c r="Q242" t="s">
        <v>160</v>
      </c>
    </row>
    <row r="243" spans="9:17" x14ac:dyDescent="0.45">
      <c r="I243" t="s">
        <v>179</v>
      </c>
      <c r="J243" t="s">
        <v>227</v>
      </c>
      <c r="K243">
        <v>2.7100114142994259E-3</v>
      </c>
      <c r="L243" t="s">
        <v>160</v>
      </c>
      <c r="N243" t="s">
        <v>204</v>
      </c>
      <c r="O243" t="s">
        <v>227</v>
      </c>
      <c r="P243">
        <v>0.16926847801943615</v>
      </c>
      <c r="Q243" t="s">
        <v>160</v>
      </c>
    </row>
    <row r="244" spans="9:17" x14ac:dyDescent="0.45">
      <c r="I244" t="s">
        <v>179</v>
      </c>
      <c r="J244" t="s">
        <v>228</v>
      </c>
      <c r="K244">
        <v>3.1486758530564228E-2</v>
      </c>
      <c r="L244" t="s">
        <v>160</v>
      </c>
      <c r="N244" t="s">
        <v>204</v>
      </c>
      <c r="O244" t="s">
        <v>228</v>
      </c>
      <c r="P244">
        <v>3.340686846315169E-2</v>
      </c>
      <c r="Q244" t="s">
        <v>160</v>
      </c>
    </row>
    <row r="245" spans="9:17" x14ac:dyDescent="0.45">
      <c r="I245" t="s">
        <v>179</v>
      </c>
      <c r="J245" t="s">
        <v>229</v>
      </c>
      <c r="K245">
        <v>0.29485363770921647</v>
      </c>
      <c r="L245" t="s">
        <v>160</v>
      </c>
      <c r="N245" t="s">
        <v>204</v>
      </c>
      <c r="O245" t="s">
        <v>229</v>
      </c>
      <c r="P245">
        <v>5.0466450158398554E-2</v>
      </c>
      <c r="Q245" t="s">
        <v>160</v>
      </c>
    </row>
    <row r="246" spans="9:17" x14ac:dyDescent="0.45">
      <c r="I246" t="s">
        <v>179</v>
      </c>
      <c r="J246" t="s">
        <v>230</v>
      </c>
      <c r="K246">
        <v>7.850877550112394E-3</v>
      </c>
      <c r="L246" t="s">
        <v>160</v>
      </c>
      <c r="N246" t="s">
        <v>204</v>
      </c>
      <c r="O246" t="s">
        <v>230</v>
      </c>
      <c r="P246">
        <v>5.9114692458898561E-2</v>
      </c>
      <c r="Q246" t="s">
        <v>160</v>
      </c>
    </row>
    <row r="247" spans="9:17" x14ac:dyDescent="0.45">
      <c r="I247" t="s">
        <v>179</v>
      </c>
      <c r="J247" t="s">
        <v>231</v>
      </c>
      <c r="K247">
        <v>3.7824098185151873E-2</v>
      </c>
      <c r="L247" t="s">
        <v>160</v>
      </c>
      <c r="N247" t="s">
        <v>204</v>
      </c>
      <c r="O247" t="s">
        <v>231</v>
      </c>
      <c r="P247">
        <v>9.1514650157338978E-3</v>
      </c>
      <c r="Q247" t="s">
        <v>160</v>
      </c>
    </row>
    <row r="248" spans="9:17" x14ac:dyDescent="0.45">
      <c r="I248" t="s">
        <v>179</v>
      </c>
      <c r="J248" t="s">
        <v>232</v>
      </c>
      <c r="K248">
        <v>0.14889856579641406</v>
      </c>
      <c r="L248" t="s">
        <v>160</v>
      </c>
      <c r="N248" t="s">
        <v>204</v>
      </c>
      <c r="O248" t="s">
        <v>232</v>
      </c>
      <c r="P248">
        <v>0.1509533520372898</v>
      </c>
      <c r="Q248" t="s">
        <v>160</v>
      </c>
    </row>
    <row r="249" spans="9:17" x14ac:dyDescent="0.45">
      <c r="I249" t="s">
        <v>179</v>
      </c>
      <c r="J249" t="s">
        <v>233</v>
      </c>
      <c r="K249">
        <v>0</v>
      </c>
      <c r="L249" t="s">
        <v>160</v>
      </c>
      <c r="N249" t="s">
        <v>204</v>
      </c>
      <c r="O249" t="s">
        <v>233</v>
      </c>
      <c r="P249">
        <v>0.14144183436768676</v>
      </c>
      <c r="Q249" t="s">
        <v>160</v>
      </c>
    </row>
    <row r="250" spans="9:17" x14ac:dyDescent="0.45">
      <c r="I250" t="s">
        <v>179</v>
      </c>
      <c r="J250" t="s">
        <v>234</v>
      </c>
      <c r="K250">
        <v>6.9457631723177597E-3</v>
      </c>
      <c r="L250" t="s">
        <v>160</v>
      </c>
      <c r="N250" t="s">
        <v>204</v>
      </c>
      <c r="O250" t="s">
        <v>234</v>
      </c>
      <c r="P250">
        <v>2.8555408359273286E-2</v>
      </c>
      <c r="Q250" t="s">
        <v>160</v>
      </c>
    </row>
    <row r="251" spans="9:17" x14ac:dyDescent="0.45">
      <c r="I251" t="s">
        <v>180</v>
      </c>
      <c r="J251" t="s">
        <v>223</v>
      </c>
      <c r="K251">
        <v>0.19286268292957362</v>
      </c>
      <c r="L251" t="s">
        <v>160</v>
      </c>
      <c r="N251" t="s">
        <v>205</v>
      </c>
      <c r="O251" t="s">
        <v>223</v>
      </c>
      <c r="P251">
        <v>9.0592790352836697E-2</v>
      </c>
      <c r="Q251" t="s">
        <v>160</v>
      </c>
    </row>
    <row r="252" spans="9:17" x14ac:dyDescent="0.45">
      <c r="I252" t="s">
        <v>180</v>
      </c>
      <c r="J252" t="s">
        <v>224</v>
      </c>
      <c r="K252">
        <v>0</v>
      </c>
      <c r="L252" t="s">
        <v>160</v>
      </c>
      <c r="N252" t="s">
        <v>205</v>
      </c>
      <c r="O252" t="s">
        <v>224</v>
      </c>
      <c r="P252">
        <v>6.6857779184068017E-2</v>
      </c>
      <c r="Q252" t="s">
        <v>160</v>
      </c>
    </row>
    <row r="253" spans="9:17" x14ac:dyDescent="0.45">
      <c r="I253" t="s">
        <v>180</v>
      </c>
      <c r="J253" t="s">
        <v>225</v>
      </c>
      <c r="K253">
        <v>1.4173940360741547E-2</v>
      </c>
      <c r="L253" t="s">
        <v>160</v>
      </c>
      <c r="N253" t="s">
        <v>205</v>
      </c>
      <c r="O253" t="s">
        <v>225</v>
      </c>
      <c r="P253">
        <v>1.6777842763076586E-2</v>
      </c>
      <c r="Q253" t="s">
        <v>160</v>
      </c>
    </row>
    <row r="254" spans="9:17" x14ac:dyDescent="0.45">
      <c r="I254" t="s">
        <v>180</v>
      </c>
      <c r="J254" t="s">
        <v>226</v>
      </c>
      <c r="K254">
        <v>0.2601426969073572</v>
      </c>
      <c r="L254" t="s">
        <v>160</v>
      </c>
      <c r="N254" t="s">
        <v>205</v>
      </c>
      <c r="O254" t="s">
        <v>226</v>
      </c>
      <c r="P254">
        <v>0.1854738522001903</v>
      </c>
      <c r="Q254" t="s">
        <v>160</v>
      </c>
    </row>
    <row r="255" spans="9:17" x14ac:dyDescent="0.45">
      <c r="I255" t="s">
        <v>180</v>
      </c>
      <c r="J255" t="s">
        <v>227</v>
      </c>
      <c r="K255">
        <v>2.889099505152001E-3</v>
      </c>
      <c r="L255" t="s">
        <v>160</v>
      </c>
      <c r="N255" t="s">
        <v>205</v>
      </c>
      <c r="O255" t="s">
        <v>227</v>
      </c>
      <c r="P255">
        <v>0.16235736549947022</v>
      </c>
      <c r="Q255" t="s">
        <v>160</v>
      </c>
    </row>
    <row r="256" spans="9:17" x14ac:dyDescent="0.45">
      <c r="I256" t="s">
        <v>180</v>
      </c>
      <c r="J256" t="s">
        <v>228</v>
      </c>
      <c r="K256">
        <v>3.3642836411153315E-2</v>
      </c>
      <c r="L256" t="s">
        <v>160</v>
      </c>
      <c r="N256" t="s">
        <v>205</v>
      </c>
      <c r="O256" t="s">
        <v>228</v>
      </c>
      <c r="P256">
        <v>3.6060884686022823E-2</v>
      </c>
      <c r="Q256" t="s">
        <v>160</v>
      </c>
    </row>
    <row r="257" spans="9:17" x14ac:dyDescent="0.45">
      <c r="I257" t="s">
        <v>180</v>
      </c>
      <c r="J257" t="s">
        <v>229</v>
      </c>
      <c r="K257">
        <v>0.28304825930260252</v>
      </c>
      <c r="L257" t="s">
        <v>160</v>
      </c>
      <c r="N257" t="s">
        <v>205</v>
      </c>
      <c r="O257" t="s">
        <v>229</v>
      </c>
      <c r="P257">
        <v>4.4875979492878477E-2</v>
      </c>
      <c r="Q257" t="s">
        <v>160</v>
      </c>
    </row>
    <row r="258" spans="9:17" x14ac:dyDescent="0.45">
      <c r="I258" t="s">
        <v>180</v>
      </c>
      <c r="J258" t="s">
        <v>230</v>
      </c>
      <c r="K258">
        <v>8.2768016520499629E-3</v>
      </c>
      <c r="L258" t="s">
        <v>160</v>
      </c>
      <c r="N258" t="s">
        <v>205</v>
      </c>
      <c r="O258" t="s">
        <v>230</v>
      </c>
      <c r="P258">
        <v>4.5083391802595289E-2</v>
      </c>
      <c r="Q258" t="s">
        <v>160</v>
      </c>
    </row>
    <row r="259" spans="9:17" x14ac:dyDescent="0.45">
      <c r="I259" t="s">
        <v>180</v>
      </c>
      <c r="J259" t="s">
        <v>231</v>
      </c>
      <c r="K259">
        <v>3.8369315099836834E-2</v>
      </c>
      <c r="L259" t="s">
        <v>160</v>
      </c>
      <c r="N259" t="s">
        <v>205</v>
      </c>
      <c r="O259" t="s">
        <v>231</v>
      </c>
      <c r="P259">
        <v>1.1065521302992133E-2</v>
      </c>
      <c r="Q259" t="s">
        <v>160</v>
      </c>
    </row>
    <row r="260" spans="9:17" x14ac:dyDescent="0.45">
      <c r="I260" t="s">
        <v>180</v>
      </c>
      <c r="J260" t="s">
        <v>232</v>
      </c>
      <c r="K260">
        <v>0.15647823093882046</v>
      </c>
      <c r="L260" t="s">
        <v>160</v>
      </c>
      <c r="N260" t="s">
        <v>205</v>
      </c>
      <c r="O260" t="s">
        <v>232</v>
      </c>
      <c r="P260">
        <v>0.15814667501375332</v>
      </c>
      <c r="Q260" t="s">
        <v>160</v>
      </c>
    </row>
    <row r="261" spans="9:17" x14ac:dyDescent="0.45">
      <c r="I261" t="s">
        <v>180</v>
      </c>
      <c r="J261" t="s">
        <v>233</v>
      </c>
      <c r="K261">
        <v>0</v>
      </c>
      <c r="L261" t="s">
        <v>160</v>
      </c>
      <c r="N261" t="s">
        <v>205</v>
      </c>
      <c r="O261" t="s">
        <v>233</v>
      </c>
      <c r="P261">
        <v>0.15194095797962684</v>
      </c>
      <c r="Q261" t="s">
        <v>160</v>
      </c>
    </row>
    <row r="262" spans="9:17" x14ac:dyDescent="0.45">
      <c r="I262" t="s">
        <v>180</v>
      </c>
      <c r="J262" t="s">
        <v>234</v>
      </c>
      <c r="K262">
        <v>1.0116136892713292E-2</v>
      </c>
      <c r="L262" t="s">
        <v>160</v>
      </c>
      <c r="N262" t="s">
        <v>205</v>
      </c>
      <c r="O262" t="s">
        <v>234</v>
      </c>
      <c r="P262">
        <v>3.0766959722493291E-2</v>
      </c>
      <c r="Q262" t="s">
        <v>160</v>
      </c>
    </row>
    <row r="263" spans="9:17" x14ac:dyDescent="0.45">
      <c r="I263" t="s">
        <v>181</v>
      </c>
      <c r="J263" t="s">
        <v>223</v>
      </c>
      <c r="K263">
        <v>0.19243014263786956</v>
      </c>
      <c r="L263" t="s">
        <v>160</v>
      </c>
      <c r="N263" t="s">
        <v>206</v>
      </c>
      <c r="O263" t="s">
        <v>223</v>
      </c>
      <c r="P263">
        <v>9.5865867518199074E-2</v>
      </c>
      <c r="Q263" t="s">
        <v>160</v>
      </c>
    </row>
    <row r="264" spans="9:17" x14ac:dyDescent="0.45">
      <c r="I264" t="s">
        <v>181</v>
      </c>
      <c r="J264" t="s">
        <v>224</v>
      </c>
      <c r="K264">
        <v>0</v>
      </c>
      <c r="L264" t="s">
        <v>160</v>
      </c>
      <c r="N264" t="s">
        <v>206</v>
      </c>
      <c r="O264" t="s">
        <v>224</v>
      </c>
      <c r="P264">
        <v>9.4298363607097549E-2</v>
      </c>
      <c r="Q264" t="s">
        <v>160</v>
      </c>
    </row>
    <row r="265" spans="9:17" x14ac:dyDescent="0.45">
      <c r="I265" t="s">
        <v>181</v>
      </c>
      <c r="J265" t="s">
        <v>225</v>
      </c>
      <c r="K265">
        <v>1.3060462869406902E-2</v>
      </c>
      <c r="L265" t="s">
        <v>160</v>
      </c>
      <c r="N265" t="s">
        <v>206</v>
      </c>
      <c r="O265" t="s">
        <v>225</v>
      </c>
      <c r="P265">
        <v>1.9233981078751631E-2</v>
      </c>
      <c r="Q265" t="s">
        <v>160</v>
      </c>
    </row>
    <row r="266" spans="9:17" x14ac:dyDescent="0.45">
      <c r="I266" t="s">
        <v>181</v>
      </c>
      <c r="J266" t="s">
        <v>226</v>
      </c>
      <c r="K266">
        <v>0.26694842862843693</v>
      </c>
      <c r="L266" t="s">
        <v>160</v>
      </c>
      <c r="N266" t="s">
        <v>206</v>
      </c>
      <c r="O266" t="s">
        <v>226</v>
      </c>
      <c r="P266">
        <v>0.14456309853640792</v>
      </c>
      <c r="Q266" t="s">
        <v>160</v>
      </c>
    </row>
    <row r="267" spans="9:17" x14ac:dyDescent="0.45">
      <c r="I267" t="s">
        <v>181</v>
      </c>
      <c r="J267" t="s">
        <v>227</v>
      </c>
      <c r="K267">
        <v>2.8948056777882572E-3</v>
      </c>
      <c r="L267" t="s">
        <v>160</v>
      </c>
      <c r="N267" t="s">
        <v>206</v>
      </c>
      <c r="O267" t="s">
        <v>227</v>
      </c>
      <c r="P267">
        <v>0.13818720254406558</v>
      </c>
      <c r="Q267" t="s">
        <v>160</v>
      </c>
    </row>
    <row r="268" spans="9:17" x14ac:dyDescent="0.45">
      <c r="I268" t="s">
        <v>181</v>
      </c>
      <c r="J268" t="s">
        <v>228</v>
      </c>
      <c r="K268">
        <v>3.165980181044814E-2</v>
      </c>
      <c r="L268" t="s">
        <v>160</v>
      </c>
      <c r="N268" t="s">
        <v>206</v>
      </c>
      <c r="O268" t="s">
        <v>228</v>
      </c>
      <c r="P268">
        <v>2.8131568656212802E-2</v>
      </c>
      <c r="Q268" t="s">
        <v>160</v>
      </c>
    </row>
    <row r="269" spans="9:17" x14ac:dyDescent="0.45">
      <c r="I269" t="s">
        <v>181</v>
      </c>
      <c r="J269" t="s">
        <v>229</v>
      </c>
      <c r="K269">
        <v>0.29947311040195268</v>
      </c>
      <c r="L269" t="s">
        <v>160</v>
      </c>
      <c r="N269" t="s">
        <v>206</v>
      </c>
      <c r="O269" t="s">
        <v>229</v>
      </c>
      <c r="P269">
        <v>8.5875217639974438E-2</v>
      </c>
      <c r="Q269" t="s">
        <v>160</v>
      </c>
    </row>
    <row r="270" spans="9:17" x14ac:dyDescent="0.45">
      <c r="I270" t="s">
        <v>181</v>
      </c>
      <c r="J270" t="s">
        <v>230</v>
      </c>
      <c r="K270">
        <v>8.4406317646453701E-3</v>
      </c>
      <c r="L270" t="s">
        <v>160</v>
      </c>
      <c r="N270" t="s">
        <v>206</v>
      </c>
      <c r="O270" t="s">
        <v>230</v>
      </c>
      <c r="P270">
        <v>8.5609831590028995E-2</v>
      </c>
      <c r="Q270" t="s">
        <v>160</v>
      </c>
    </row>
    <row r="271" spans="9:17" x14ac:dyDescent="0.45">
      <c r="I271" t="s">
        <v>181</v>
      </c>
      <c r="J271" t="s">
        <v>231</v>
      </c>
      <c r="K271">
        <v>3.7509995518822233E-2</v>
      </c>
      <c r="L271" t="s">
        <v>160</v>
      </c>
      <c r="N271" t="s">
        <v>206</v>
      </c>
      <c r="O271" t="s">
        <v>231</v>
      </c>
      <c r="P271">
        <v>1.5636606421812086E-2</v>
      </c>
      <c r="Q271" t="s">
        <v>160</v>
      </c>
    </row>
    <row r="272" spans="9:17" x14ac:dyDescent="0.45">
      <c r="I272" t="s">
        <v>181</v>
      </c>
      <c r="J272" t="s">
        <v>232</v>
      </c>
      <c r="K272">
        <v>0.14275428249842351</v>
      </c>
      <c r="L272" t="s">
        <v>160</v>
      </c>
      <c r="N272" t="s">
        <v>206</v>
      </c>
      <c r="O272" t="s">
        <v>232</v>
      </c>
      <c r="P272">
        <v>0.13066894399657694</v>
      </c>
      <c r="Q272" t="s">
        <v>160</v>
      </c>
    </row>
    <row r="273" spans="9:17" x14ac:dyDescent="0.45">
      <c r="I273" t="s">
        <v>181</v>
      </c>
      <c r="J273" t="s">
        <v>233</v>
      </c>
      <c r="K273">
        <v>0</v>
      </c>
      <c r="L273" t="s">
        <v>160</v>
      </c>
      <c r="N273" t="s">
        <v>206</v>
      </c>
      <c r="O273" t="s">
        <v>233</v>
      </c>
      <c r="P273">
        <v>0.13740961708898433</v>
      </c>
      <c r="Q273" t="s">
        <v>160</v>
      </c>
    </row>
    <row r="274" spans="9:17" x14ac:dyDescent="0.45">
      <c r="I274" t="s">
        <v>181</v>
      </c>
      <c r="J274" t="s">
        <v>234</v>
      </c>
      <c r="K274">
        <v>4.8283381922065161E-3</v>
      </c>
      <c r="L274" t="s">
        <v>160</v>
      </c>
      <c r="N274" t="s">
        <v>206</v>
      </c>
      <c r="O274" t="s">
        <v>234</v>
      </c>
      <c r="P274">
        <v>2.4519701321888368E-2</v>
      </c>
      <c r="Q274" t="s">
        <v>160</v>
      </c>
    </row>
    <row r="275" spans="9:17" x14ac:dyDescent="0.45">
      <c r="I275" t="s">
        <v>182</v>
      </c>
      <c r="J275" t="s">
        <v>223</v>
      </c>
      <c r="K275">
        <v>0.18962785385748587</v>
      </c>
      <c r="L275" t="s">
        <v>160</v>
      </c>
      <c r="N275" t="s">
        <v>207</v>
      </c>
      <c r="O275" t="s">
        <v>223</v>
      </c>
      <c r="P275">
        <v>0.10244551966952246</v>
      </c>
      <c r="Q275" t="s">
        <v>160</v>
      </c>
    </row>
    <row r="276" spans="9:17" x14ac:dyDescent="0.45">
      <c r="I276" t="s">
        <v>182</v>
      </c>
      <c r="J276" t="s">
        <v>224</v>
      </c>
      <c r="K276">
        <v>2.6742253353487074E-5</v>
      </c>
      <c r="L276" t="s">
        <v>160</v>
      </c>
      <c r="N276" t="s">
        <v>207</v>
      </c>
      <c r="O276" t="s">
        <v>224</v>
      </c>
      <c r="P276">
        <v>0.10684637405693675</v>
      </c>
      <c r="Q276" t="s">
        <v>160</v>
      </c>
    </row>
    <row r="277" spans="9:17" x14ac:dyDescent="0.45">
      <c r="I277" t="s">
        <v>182</v>
      </c>
      <c r="J277" t="s">
        <v>225</v>
      </c>
      <c r="K277">
        <v>1.5247336071103922E-2</v>
      </c>
      <c r="L277" t="s">
        <v>160</v>
      </c>
      <c r="N277" t="s">
        <v>207</v>
      </c>
      <c r="O277" t="s">
        <v>225</v>
      </c>
      <c r="P277">
        <v>2.1501509762503916E-2</v>
      </c>
      <c r="Q277" t="s">
        <v>160</v>
      </c>
    </row>
    <row r="278" spans="9:17" x14ac:dyDescent="0.45">
      <c r="I278" t="s">
        <v>182</v>
      </c>
      <c r="J278" t="s">
        <v>226</v>
      </c>
      <c r="K278">
        <v>0.25330058792321836</v>
      </c>
      <c r="L278" t="s">
        <v>160</v>
      </c>
      <c r="N278" t="s">
        <v>207</v>
      </c>
      <c r="O278" t="s">
        <v>226</v>
      </c>
      <c r="P278">
        <v>0.19338661996541326</v>
      </c>
      <c r="Q278" t="s">
        <v>160</v>
      </c>
    </row>
    <row r="279" spans="9:17" x14ac:dyDescent="0.45">
      <c r="I279" t="s">
        <v>182</v>
      </c>
      <c r="J279" t="s">
        <v>227</v>
      </c>
      <c r="K279">
        <v>4.3366310246435082E-3</v>
      </c>
      <c r="L279" t="s">
        <v>160</v>
      </c>
      <c r="N279" t="s">
        <v>207</v>
      </c>
      <c r="O279" t="s">
        <v>227</v>
      </c>
      <c r="P279">
        <v>0.1538397540105465</v>
      </c>
      <c r="Q279" t="s">
        <v>160</v>
      </c>
    </row>
    <row r="280" spans="9:17" x14ac:dyDescent="0.45">
      <c r="I280" t="s">
        <v>182</v>
      </c>
      <c r="J280" t="s">
        <v>228</v>
      </c>
      <c r="K280">
        <v>3.2449995515615782E-2</v>
      </c>
      <c r="L280" t="s">
        <v>160</v>
      </c>
      <c r="N280" t="s">
        <v>207</v>
      </c>
      <c r="O280" t="s">
        <v>228</v>
      </c>
      <c r="P280">
        <v>3.6486626292119545E-2</v>
      </c>
      <c r="Q280" t="s">
        <v>160</v>
      </c>
    </row>
    <row r="281" spans="9:17" x14ac:dyDescent="0.45">
      <c r="I281" t="s">
        <v>182</v>
      </c>
      <c r="J281" t="s">
        <v>229</v>
      </c>
      <c r="K281">
        <v>0.30296790538202389</v>
      </c>
      <c r="L281" t="s">
        <v>160</v>
      </c>
      <c r="N281" t="s">
        <v>207</v>
      </c>
      <c r="O281" t="s">
        <v>229</v>
      </c>
      <c r="P281">
        <v>4.8002410566674959E-2</v>
      </c>
      <c r="Q281" t="s">
        <v>160</v>
      </c>
    </row>
    <row r="282" spans="9:17" x14ac:dyDescent="0.45">
      <c r="I282" t="s">
        <v>182</v>
      </c>
      <c r="J282" t="s">
        <v>230</v>
      </c>
      <c r="K282">
        <v>1.0033947589030107E-2</v>
      </c>
      <c r="L282" t="s">
        <v>160</v>
      </c>
      <c r="N282" t="s">
        <v>207</v>
      </c>
      <c r="O282" t="s">
        <v>230</v>
      </c>
      <c r="P282">
        <v>2.8977070643456927E-2</v>
      </c>
      <c r="Q282" t="s">
        <v>160</v>
      </c>
    </row>
    <row r="283" spans="9:17" x14ac:dyDescent="0.45">
      <c r="I283" t="s">
        <v>182</v>
      </c>
      <c r="J283" t="s">
        <v>231</v>
      </c>
      <c r="K283">
        <v>3.9667274325165036E-2</v>
      </c>
      <c r="L283" t="s">
        <v>160</v>
      </c>
      <c r="N283" t="s">
        <v>207</v>
      </c>
      <c r="O283" t="s">
        <v>231</v>
      </c>
      <c r="P283">
        <v>1.4715021616350368E-2</v>
      </c>
      <c r="Q283" t="s">
        <v>160</v>
      </c>
    </row>
    <row r="284" spans="9:17" x14ac:dyDescent="0.45">
      <c r="I284" t="s">
        <v>182</v>
      </c>
      <c r="J284" t="s">
        <v>232</v>
      </c>
      <c r="K284">
        <v>0.14379309715290878</v>
      </c>
      <c r="L284" t="s">
        <v>160</v>
      </c>
      <c r="N284" t="s">
        <v>207</v>
      </c>
      <c r="O284" t="s">
        <v>232</v>
      </c>
      <c r="P284">
        <v>0.13844956162914107</v>
      </c>
      <c r="Q284" t="s">
        <v>160</v>
      </c>
    </row>
    <row r="285" spans="9:17" x14ac:dyDescent="0.45">
      <c r="I285" t="s">
        <v>182</v>
      </c>
      <c r="J285" t="s">
        <v>233</v>
      </c>
      <c r="K285">
        <v>0</v>
      </c>
      <c r="L285" t="s">
        <v>160</v>
      </c>
      <c r="N285" t="s">
        <v>207</v>
      </c>
      <c r="O285" t="s">
        <v>233</v>
      </c>
      <c r="P285">
        <v>0.12773607170303816</v>
      </c>
      <c r="Q285" t="s">
        <v>160</v>
      </c>
    </row>
    <row r="286" spans="9:17" x14ac:dyDescent="0.45">
      <c r="I286" t="s">
        <v>182</v>
      </c>
      <c r="J286" t="s">
        <v>234</v>
      </c>
      <c r="K286">
        <v>8.548628905452299E-3</v>
      </c>
      <c r="L286" t="s">
        <v>160</v>
      </c>
      <c r="N286" t="s">
        <v>207</v>
      </c>
      <c r="O286" t="s">
        <v>234</v>
      </c>
      <c r="P286">
        <v>2.7613460084293346E-2</v>
      </c>
      <c r="Q286" t="s">
        <v>160</v>
      </c>
    </row>
    <row r="287" spans="9:17" x14ac:dyDescent="0.45">
      <c r="I287" t="s">
        <v>183</v>
      </c>
      <c r="J287" t="s">
        <v>223</v>
      </c>
      <c r="K287">
        <v>0.19277284133543504</v>
      </c>
      <c r="L287" t="s">
        <v>160</v>
      </c>
      <c r="N287" t="s">
        <v>208</v>
      </c>
      <c r="O287" t="s">
        <v>223</v>
      </c>
      <c r="P287">
        <v>0.109470317509666</v>
      </c>
      <c r="Q287" t="s">
        <v>160</v>
      </c>
    </row>
    <row r="288" spans="9:17" x14ac:dyDescent="0.45">
      <c r="I288" t="s">
        <v>183</v>
      </c>
      <c r="J288" t="s">
        <v>224</v>
      </c>
      <c r="K288">
        <v>0</v>
      </c>
      <c r="L288" t="s">
        <v>160</v>
      </c>
      <c r="N288" t="s">
        <v>208</v>
      </c>
      <c r="O288" t="s">
        <v>224</v>
      </c>
      <c r="P288">
        <v>8.8474950472975336E-2</v>
      </c>
      <c r="Q288" t="s">
        <v>160</v>
      </c>
    </row>
    <row r="289" spans="9:17" x14ac:dyDescent="0.45">
      <c r="I289" t="s">
        <v>183</v>
      </c>
      <c r="J289" t="s">
        <v>225</v>
      </c>
      <c r="K289">
        <v>1.4544897964973921E-2</v>
      </c>
      <c r="L289" t="s">
        <v>160</v>
      </c>
      <c r="N289" t="s">
        <v>208</v>
      </c>
      <c r="O289" t="s">
        <v>225</v>
      </c>
      <c r="P289">
        <v>2.0683332408777396E-2</v>
      </c>
      <c r="Q289" t="s">
        <v>160</v>
      </c>
    </row>
    <row r="290" spans="9:17" x14ac:dyDescent="0.45">
      <c r="I290" t="s">
        <v>183</v>
      </c>
      <c r="J290" t="s">
        <v>226</v>
      </c>
      <c r="K290">
        <v>0.26402669141286322</v>
      </c>
      <c r="L290" t="s">
        <v>160</v>
      </c>
      <c r="N290" t="s">
        <v>208</v>
      </c>
      <c r="O290" t="s">
        <v>226</v>
      </c>
      <c r="P290">
        <v>0.20474825160238813</v>
      </c>
      <c r="Q290" t="s">
        <v>160</v>
      </c>
    </row>
    <row r="291" spans="9:17" x14ac:dyDescent="0.45">
      <c r="I291" t="s">
        <v>183</v>
      </c>
      <c r="J291" t="s">
        <v>227</v>
      </c>
      <c r="K291">
        <v>3.6947266770021958E-3</v>
      </c>
      <c r="L291" t="s">
        <v>160</v>
      </c>
      <c r="N291" t="s">
        <v>208</v>
      </c>
      <c r="O291" t="s">
        <v>227</v>
      </c>
      <c r="P291">
        <v>0.12574614160545991</v>
      </c>
      <c r="Q291" t="s">
        <v>160</v>
      </c>
    </row>
    <row r="292" spans="9:17" x14ac:dyDescent="0.45">
      <c r="I292" t="s">
        <v>183</v>
      </c>
      <c r="J292" t="s">
        <v>228</v>
      </c>
      <c r="K292">
        <v>3.260989014588582E-2</v>
      </c>
      <c r="L292" t="s">
        <v>160</v>
      </c>
      <c r="N292" t="s">
        <v>208</v>
      </c>
      <c r="O292" t="s">
        <v>228</v>
      </c>
      <c r="P292">
        <v>3.5086644211944906E-2</v>
      </c>
      <c r="Q292" t="s">
        <v>160</v>
      </c>
    </row>
    <row r="293" spans="9:17" x14ac:dyDescent="0.45">
      <c r="I293" t="s">
        <v>183</v>
      </c>
      <c r="J293" t="s">
        <v>229</v>
      </c>
      <c r="K293">
        <v>0.30602642404607389</v>
      </c>
      <c r="L293" t="s">
        <v>160</v>
      </c>
      <c r="N293" t="s">
        <v>208</v>
      </c>
      <c r="O293" t="s">
        <v>229</v>
      </c>
      <c r="P293">
        <v>6.7973003743511201E-2</v>
      </c>
      <c r="Q293" t="s">
        <v>160</v>
      </c>
    </row>
    <row r="294" spans="9:17" x14ac:dyDescent="0.45">
      <c r="I294" t="s">
        <v>183</v>
      </c>
      <c r="J294" t="s">
        <v>230</v>
      </c>
      <c r="K294">
        <v>8.8972161067272758E-3</v>
      </c>
      <c r="L294" t="s">
        <v>160</v>
      </c>
      <c r="N294" t="s">
        <v>208</v>
      </c>
      <c r="O294" t="s">
        <v>230</v>
      </c>
      <c r="P294">
        <v>3.8122659388744061E-2</v>
      </c>
      <c r="Q294" t="s">
        <v>160</v>
      </c>
    </row>
    <row r="295" spans="9:17" x14ac:dyDescent="0.45">
      <c r="I295" t="s">
        <v>183</v>
      </c>
      <c r="J295" t="s">
        <v>231</v>
      </c>
      <c r="K295">
        <v>3.7687858338126476E-2</v>
      </c>
      <c r="L295" t="s">
        <v>160</v>
      </c>
      <c r="N295" t="s">
        <v>208</v>
      </c>
      <c r="O295" t="s">
        <v>231</v>
      </c>
      <c r="P295">
        <v>1.4157226789863765E-2</v>
      </c>
      <c r="Q295" t="s">
        <v>160</v>
      </c>
    </row>
    <row r="296" spans="9:17" x14ac:dyDescent="0.45">
      <c r="I296" t="s">
        <v>183</v>
      </c>
      <c r="J296" t="s">
        <v>232</v>
      </c>
      <c r="K296">
        <v>0.13349545066515955</v>
      </c>
      <c r="L296" t="s">
        <v>160</v>
      </c>
      <c r="N296" t="s">
        <v>208</v>
      </c>
      <c r="O296" t="s">
        <v>232</v>
      </c>
      <c r="P296">
        <v>0.14441589062945526</v>
      </c>
      <c r="Q296" t="s">
        <v>160</v>
      </c>
    </row>
    <row r="297" spans="9:17" x14ac:dyDescent="0.45">
      <c r="I297" t="s">
        <v>183</v>
      </c>
      <c r="J297" t="s">
        <v>233</v>
      </c>
      <c r="K297">
        <v>0</v>
      </c>
      <c r="L297" t="s">
        <v>160</v>
      </c>
      <c r="N297" t="s">
        <v>208</v>
      </c>
      <c r="O297" t="s">
        <v>233</v>
      </c>
      <c r="P297">
        <v>0.12584809521449819</v>
      </c>
      <c r="Q297" t="s">
        <v>160</v>
      </c>
    </row>
    <row r="298" spans="9:17" x14ac:dyDescent="0.45">
      <c r="I298" t="s">
        <v>183</v>
      </c>
      <c r="J298" t="s">
        <v>234</v>
      </c>
      <c r="K298">
        <v>6.2440033077568631E-3</v>
      </c>
      <c r="L298" t="s">
        <v>160</v>
      </c>
      <c r="N298" t="s">
        <v>208</v>
      </c>
      <c r="O298" t="s">
        <v>234</v>
      </c>
      <c r="P298">
        <v>2.5273486422713945E-2</v>
      </c>
      <c r="Q298" t="s">
        <v>160</v>
      </c>
    </row>
    <row r="299" spans="9:17" x14ac:dyDescent="0.45">
      <c r="I299" t="s">
        <v>184</v>
      </c>
      <c r="J299" t="s">
        <v>223</v>
      </c>
      <c r="K299">
        <v>0.19370461165469391</v>
      </c>
      <c r="L299" t="s">
        <v>160</v>
      </c>
      <c r="N299" t="s">
        <v>209</v>
      </c>
      <c r="O299" t="s">
        <v>223</v>
      </c>
      <c r="P299">
        <v>0.10480451872793359</v>
      </c>
      <c r="Q299" t="s">
        <v>160</v>
      </c>
    </row>
    <row r="300" spans="9:17" x14ac:dyDescent="0.45">
      <c r="I300" t="s">
        <v>184</v>
      </c>
      <c r="J300" t="s">
        <v>224</v>
      </c>
      <c r="K300">
        <v>6.1921695580312823E-6</v>
      </c>
      <c r="L300" t="s">
        <v>160</v>
      </c>
      <c r="N300" t="s">
        <v>209</v>
      </c>
      <c r="O300" t="s">
        <v>224</v>
      </c>
      <c r="P300">
        <v>9.8433043641103363E-2</v>
      </c>
      <c r="Q300" t="s">
        <v>160</v>
      </c>
    </row>
    <row r="301" spans="9:17" x14ac:dyDescent="0.45">
      <c r="I301" t="s">
        <v>184</v>
      </c>
      <c r="J301" t="s">
        <v>225</v>
      </c>
      <c r="K301">
        <v>1.4641761543654996E-2</v>
      </c>
      <c r="L301" t="s">
        <v>160</v>
      </c>
      <c r="N301" t="s">
        <v>209</v>
      </c>
      <c r="O301" t="s">
        <v>225</v>
      </c>
      <c r="P301">
        <v>2.1875010509261422E-2</v>
      </c>
      <c r="Q301" t="s">
        <v>160</v>
      </c>
    </row>
    <row r="302" spans="9:17" x14ac:dyDescent="0.45">
      <c r="I302" t="s">
        <v>184</v>
      </c>
      <c r="J302" t="s">
        <v>226</v>
      </c>
      <c r="K302">
        <v>0.26251553369009517</v>
      </c>
      <c r="L302" t="s">
        <v>160</v>
      </c>
      <c r="N302" t="s">
        <v>209</v>
      </c>
      <c r="O302" t="s">
        <v>226</v>
      </c>
      <c r="P302">
        <v>0.14539927086959492</v>
      </c>
      <c r="Q302" t="s">
        <v>160</v>
      </c>
    </row>
    <row r="303" spans="9:17" x14ac:dyDescent="0.45">
      <c r="I303" t="s">
        <v>184</v>
      </c>
      <c r="J303" t="s">
        <v>227</v>
      </c>
      <c r="K303">
        <v>4.0953748260950376E-3</v>
      </c>
      <c r="L303" t="s">
        <v>160</v>
      </c>
      <c r="N303" t="s">
        <v>209</v>
      </c>
      <c r="O303" t="s">
        <v>227</v>
      </c>
      <c r="P303">
        <v>0.13035097371359375</v>
      </c>
      <c r="Q303" t="s">
        <v>160</v>
      </c>
    </row>
    <row r="304" spans="9:17" x14ac:dyDescent="0.45">
      <c r="I304" t="s">
        <v>184</v>
      </c>
      <c r="J304" t="s">
        <v>228</v>
      </c>
      <c r="K304">
        <v>3.2213391573191412E-2</v>
      </c>
      <c r="L304" t="s">
        <v>160</v>
      </c>
      <c r="N304" t="s">
        <v>209</v>
      </c>
      <c r="O304" t="s">
        <v>228</v>
      </c>
      <c r="P304">
        <v>3.0633819401554151E-2</v>
      </c>
      <c r="Q304" t="s">
        <v>160</v>
      </c>
    </row>
    <row r="305" spans="9:17" x14ac:dyDescent="0.45">
      <c r="I305" t="s">
        <v>184</v>
      </c>
      <c r="J305" t="s">
        <v>229</v>
      </c>
      <c r="K305">
        <v>0.30011740877134752</v>
      </c>
      <c r="L305" t="s">
        <v>160</v>
      </c>
      <c r="N305" t="s">
        <v>209</v>
      </c>
      <c r="O305" t="s">
        <v>229</v>
      </c>
      <c r="P305">
        <v>8.3568689388759762E-2</v>
      </c>
      <c r="Q305" t="s">
        <v>160</v>
      </c>
    </row>
    <row r="306" spans="9:17" x14ac:dyDescent="0.45">
      <c r="I306" t="s">
        <v>184</v>
      </c>
      <c r="J306" t="s">
        <v>230</v>
      </c>
      <c r="K306">
        <v>9.7891213186412709E-3</v>
      </c>
      <c r="L306" t="s">
        <v>160</v>
      </c>
      <c r="N306" t="s">
        <v>209</v>
      </c>
      <c r="O306" t="s">
        <v>230</v>
      </c>
      <c r="P306">
        <v>7.0025528061724365E-2</v>
      </c>
      <c r="Q306" t="s">
        <v>160</v>
      </c>
    </row>
    <row r="307" spans="9:17" x14ac:dyDescent="0.45">
      <c r="I307" t="s">
        <v>184</v>
      </c>
      <c r="J307" t="s">
        <v>231</v>
      </c>
      <c r="K307">
        <v>3.9031162598655633E-2</v>
      </c>
      <c r="L307" t="s">
        <v>160</v>
      </c>
      <c r="N307" t="s">
        <v>209</v>
      </c>
      <c r="O307" t="s">
        <v>231</v>
      </c>
      <c r="P307">
        <v>1.4951615920665228E-2</v>
      </c>
      <c r="Q307" t="s">
        <v>160</v>
      </c>
    </row>
    <row r="308" spans="9:17" x14ac:dyDescent="0.45">
      <c r="I308" t="s">
        <v>184</v>
      </c>
      <c r="J308" t="s">
        <v>232</v>
      </c>
      <c r="K308">
        <v>0.13748999623183109</v>
      </c>
      <c r="L308" t="s">
        <v>160</v>
      </c>
      <c r="N308" t="s">
        <v>209</v>
      </c>
      <c r="O308" t="s">
        <v>232</v>
      </c>
      <c r="P308">
        <v>0.13854672702949919</v>
      </c>
      <c r="Q308" t="s">
        <v>160</v>
      </c>
    </row>
    <row r="309" spans="9:17" x14ac:dyDescent="0.45">
      <c r="I309" t="s">
        <v>184</v>
      </c>
      <c r="J309" t="s">
        <v>233</v>
      </c>
      <c r="K309">
        <v>0</v>
      </c>
      <c r="L309" t="s">
        <v>160</v>
      </c>
      <c r="N309" t="s">
        <v>209</v>
      </c>
      <c r="O309" t="s">
        <v>233</v>
      </c>
      <c r="P309">
        <v>0.13613798784242931</v>
      </c>
      <c r="Q309" t="s">
        <v>160</v>
      </c>
    </row>
    <row r="310" spans="9:17" x14ac:dyDescent="0.45">
      <c r="I310" t="s">
        <v>184</v>
      </c>
      <c r="J310" t="s">
        <v>234</v>
      </c>
      <c r="K310">
        <v>6.3954456222357712E-3</v>
      </c>
      <c r="L310" t="s">
        <v>160</v>
      </c>
      <c r="N310" t="s">
        <v>209</v>
      </c>
      <c r="O310" t="s">
        <v>234</v>
      </c>
      <c r="P310">
        <v>2.527281489388139E-2</v>
      </c>
      <c r="Q310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2025-09-14T18:54:09Z</dcterms:modified>
</cp:coreProperties>
</file>