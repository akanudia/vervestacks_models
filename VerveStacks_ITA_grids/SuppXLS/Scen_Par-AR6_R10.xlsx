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ppXLS\"/>
    </mc:Choice>
  </mc:AlternateContent>
  <xr:revisionPtr revIDLastSave="0" documentId="8_{072B87C8-17D7-4716-B14A-02C6DCC78BED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<sst xmlns="http://schemas.openxmlformats.org/spreadsheetml/2006/main" count="4499" uniqueCount="250">
  <si>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</si>
  <si>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</si>
  <si>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</si>
  <si>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</si>
  <si>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</si>
  <si>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</si>
  <si>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</si>
  <si>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</si>
  <si>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</si>
  <si>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</si>
  <si>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</si>
  <si>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</si>
  <si>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</si>
  <si>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</si>
  <si>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</si>
  <si>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</si>
  <si>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</si>
  <si>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</si>
  <si>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</si>
  <si>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</si>
  <si>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</si>
  <si>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</si>
  <si>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</si>
  <si>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</si>
  <si>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</si>
  <si>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</si>
  <si>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</si>
  <si>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</si>
  <si>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</si>
  <si>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</si>
  <si>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</si>
  <si>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</si>
  <si>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</si>
  <si>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</si>
  <si>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</si>
  <si>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</si>
  <si>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</si>
  <si>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</si>
  <si>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</si>
  <si>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</si>
  <si>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</si>
  <si>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</si>
  <si>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</si>
  <si>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</si>
  <si>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</si>
  <si>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</si>
  <si>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</si>
  <si>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</si>
  <si>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</si>
  <si>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</si>
  <si>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</si>
  <si>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</si>
  <si>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</si>
  <si>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</si>
  <si>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</si>
  <si>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</si>
  <si>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</si>
  <si>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</si>
  <si>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</si>
  <si>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</si>
  <si>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</si>
  <si>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</si>
  <si>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</si>
  <si>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</si>
  <si>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</si>
  <si>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</si>
  <si>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</si>
  <si>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</si>
  <si>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</si>
  <si>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</si>
  <si>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</si>
  <si>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</si>
  <si>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</si>
  <si>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</si>
  <si>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</si>
  <si>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</si>
  <si>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</si>
  <si>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</si>
  <si>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</si>
  <si>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</si>
  <si>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</si>
  <si>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</si>
  <si>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</si>
  <si>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</si>
  <si>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</si>
  <si>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</si>
  <si>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</si>
  <si>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</si>
  <si>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</si>
  <si>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</si>
  <si>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</si>
  <si>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</si>
  <si>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</si>
  <si>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</si>
  <si>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</si>
  <si>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</si>
  <si>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</si>
  <si>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</si>
  <si>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</si>
  <si>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</si>
  <si>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</si>
  <si>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</si>
  <si>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</si>
  <si>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</si>
  <si>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</si>
  <si>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</si>
  <si>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</si>
  <si>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</si>
  <si>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</si>
  <si>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</si>
  <si>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</si>
  <si>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</si>
  <si>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</si>
  <si>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</si>
  <si>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</si>
  <si>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</si>
  <si>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</si>
  <si>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</si>
  <si>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</si>
  <si>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</si>
  <si>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</si>
  <si>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</si>
  <si>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</si>
  <si>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</si>
  <si>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</si>
  <si>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</si>
  <si>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</si>
  <si>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</si>
  <si>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</si>
  <si>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</si>
  <si>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</si>
  <si>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</si>
  <si>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</si>
  <si>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</si>
  <si>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</si>
  <si>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</si>
  <si>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</si>
  <si>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</si>
  <si>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</si>
  <si>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</si>
  <si>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</si>
  <si>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</si>
  <si>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ITA</t>
  </si>
  <si>
    <t>R10EUROPE</t>
  </si>
  <si>
    <t>Pipeline gas, Mediterranean pellet imports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</si>
  <si>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</si>
  <si>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</si>
  <si>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</si>
  <si>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</si>
  <si>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</si>
  <si>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</si>
  <si>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</si>
  <si>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</si>
  <si>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</si>
  <si>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</si>
  <si>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</si>
  <si>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</si>
  <si>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</si>
  <si>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</si>
  <si>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</si>
  <si>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</si>
  <si>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</si>
  <si>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</si>
  <si>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</si>
  <si>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</si>
  <si>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</si>
  <si>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</si>
  <si>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</si>
  <si>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</si>
  <si>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</si>
  <si>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</si>
  <si>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</si>
  <si>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</si>
  <si>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</si>
  <si>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</si>
  <si>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</si>
  <si>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</si>
  <si>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</si>
  <si>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</si>
  <si>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</si>
  <si>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</si>
  <si>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</si>
  <si>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</si>
  <si>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</si>
  <si>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</si>
  <si>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</si>
  <si>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</si>
  <si>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</si>
  <si>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</si>
  <si>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</si>
  <si>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</si>
  <si>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</si>
  <si>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</si>
  <si>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</si>
  <si>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</si>
  <si>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</si>
  <si>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</si>
  <si>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</si>
  <si>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</si>
  <si>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</si>
  <si>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</si>
  <si>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</si>
  <si>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</si>
  <si>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</si>
  <si>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</si>
  <si>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</si>
  <si>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</si>
  <si>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</si>
  <si>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</si>
  <si>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</si>
  <si>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</si>
  <si>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</si>
  <si>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</si>
  <si>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</si>
  <si>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</si>
  <si>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</si>
  <si>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</si>
  <si>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</si>
  <si>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</si>
  <si>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</si>
  <si>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</si>
  <si>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</si>
  <si>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</si>
  <si>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</si>
  <si>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</si>
  <si>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</si>
  <si>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</si>
  <si>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</si>
  <si>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</si>
  <si>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</si>
  <si>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</si>
  <si>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</si>
  <si>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</si>
  <si>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</si>
  <si>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</si>
  <si>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</si>
  <si>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</si>
  <si>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</si>
  <si>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</si>
  <si>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</si>
  <si>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</si>
  <si>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</si>
  <si>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</si>
  <si>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</si>
  <si>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</si>
  <si>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</si>
  <si>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</si>
  <si>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</si>
  <si>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RaD,WaD,RaP,FaD,WaP,FaP,SaP,SaD</t>
  </si>
  <si>
    <t>SaN,WaN,RaP,RaN,FaN,WaP,FaP,SaP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</si>
</sst>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429.05280000000005</c:v>
                </c:pt>
                <c:pt idx="4">
                  <c:v>487.56000000000006</c:v>
                </c:pt>
                <c:pt idx="5">
                  <c:v>546.06720000000007</c:v>
                </c:pt>
                <c:pt idx="6">
                  <c:v>588.32240000000002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325.04000000000002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325.04000000000002</v>
      </c>
      <c r="U14" s="8">
        <f t="shared" ref="U14:Z14" si="3">$S$12*J15</f>
        <v>341.29200000000003</v>
      </c>
      <c r="V14" s="8">
        <f t="shared" si="3"/>
        <v>380.29680000000002</v>
      </c>
      <c r="W14" s="8">
        <f t="shared" si="3"/>
        <v>429.05280000000005</v>
      </c>
      <c r="X14" s="8">
        <f t="shared" si="3"/>
        <v>487.56000000000006</v>
      </c>
      <c r="Y14" s="8">
        <f t="shared" si="3"/>
        <v>546.06720000000007</v>
      </c>
      <c r="Z14" s="8">
        <f t="shared" si="3"/>
        <v>588.32240000000002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3.8029680000000003</v>
      </c>
      <c r="W18" s="6">
        <f t="shared" si="7"/>
        <v>4.290528000000001</v>
      </c>
      <c r="X18" s="6">
        <f t="shared" si="7"/>
        <v>4.8756000000000004</v>
      </c>
      <c r="Y18" s="6">
        <f t="shared" si="7"/>
        <v>10.921344000000001</v>
      </c>
      <c r="Z18" s="6">
        <f t="shared" si="7"/>
        <v>17.649671999999999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117.01440000000001</v>
      </c>
      <c r="U19" s="6">
        <f t="shared" si="7"/>
        <v>109.21344000000001</v>
      </c>
      <c r="V19" s="6">
        <f t="shared" si="7"/>
        <v>117.892008</v>
      </c>
      <c r="W19" s="6">
        <f t="shared" si="7"/>
        <v>124.42531200000001</v>
      </c>
      <c r="X19" s="6">
        <f t="shared" si="7"/>
        <v>141.39240000000001</v>
      </c>
      <c r="Y19" s="6">
        <f t="shared" si="7"/>
        <v>158.359488</v>
      </c>
      <c r="Z19" s="6">
        <f t="shared" si="7"/>
        <v>176.49672000000001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195.024</v>
      </c>
      <c r="U20" s="6">
        <f t="shared" si="7"/>
        <v>204.77520000000001</v>
      </c>
      <c r="V20" s="6">
        <f t="shared" si="7"/>
        <v>228.17807999999999</v>
      </c>
      <c r="W20" s="6">
        <f t="shared" si="7"/>
        <v>244.56009600000002</v>
      </c>
      <c r="X20" s="6">
        <f t="shared" si="7"/>
        <v>263.28240000000005</v>
      </c>
      <c r="Y20" s="6">
        <f t="shared" si="7"/>
        <v>283.95494400000007</v>
      </c>
      <c r="Z20" s="6">
        <f t="shared" si="7"/>
        <v>311.81087200000002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3.2504000000000133</v>
      </c>
      <c r="U22" s="6">
        <f t="shared" si="9"/>
        <v>17.552160000000015</v>
      </c>
      <c r="V22" s="6">
        <f t="shared" si="9"/>
        <v>24.475512000000037</v>
      </c>
      <c r="W22" s="6">
        <f t="shared" si="9"/>
        <v>50.316192000000058</v>
      </c>
      <c r="X22" s="6">
        <f t="shared" si="9"/>
        <v>73.134000000000015</v>
      </c>
      <c r="Y22" s="6">
        <f t="shared" si="9"/>
        <v>94.00156800000002</v>
      </c>
      <c r="Z22" s="6">
        <f t="shared" si="9"/>
        <v>90.263608000000033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47.39</v>
      </c>
      <c r="S28" t="s">
        <v>32</v>
      </c>
      <c r="T28" s="3">
        <f>Q28</f>
        <v>47.39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-4.4000000000000004</v>
      </c>
      <c r="S29" t="s">
        <v>35</v>
      </c>
      <c r="T29" s="3">
        <f>-1*Q29</f>
        <v>4.4000000000000004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29</v>
      </c>
      <c r="J48">
        <f t="shared" si="12"/>
        <v>27.84</v>
      </c>
      <c r="K48">
        <f t="shared" si="12"/>
        <v>30.16</v>
      </c>
      <c r="L48">
        <f t="shared" si="12"/>
        <v>30.16</v>
      </c>
      <c r="M48">
        <f t="shared" si="12"/>
        <v>28.419999999999998</v>
      </c>
      <c r="N48">
        <f t="shared" si="12"/>
        <v>28.71</v>
      </c>
      <c r="O48">
        <f t="shared" si="12"/>
        <v>29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147</v>
      </c>
      <c r="C84">
        <v>1.5049999999999999</v>
      </c>
      <c r="D84">
        <v>2.5049999999999999</v>
      </c>
      <c r="E84">
        <v>3.93</v>
      </c>
      <c r="F84" t="s">
        <v>148</v>
      </c>
    </row>
    <row r="85" spans="1:6" x14ac:dyDescent="0.45">
      <c r="A85" t="s">
        <v>32</v>
      </c>
      <c r="B85" t="s">
        <v>147</v>
      </c>
      <c r="C85">
        <v>10.647</v>
      </c>
      <c r="D85">
        <v>11.752000000000001</v>
      </c>
      <c r="E85">
        <v>13.252000000000001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</row>
    <row r="12" spans="1:9" x14ac:dyDescent="0.45">
      <c r="A12" t="s">
        <v>142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</row>
    <row r="13" spans="1:9" x14ac:dyDescent="0.45">
      <c r="A13" t="s">
        <v>142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</row>
    <row r="14" spans="1:9" x14ac:dyDescent="0.45">
      <c r="A14" t="s">
        <v>142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</row>
    <row r="15" spans="1:9" x14ac:dyDescent="0.45">
      <c r="A15" t="s">
        <v>142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</row>
    <row r="16" spans="1:9" x14ac:dyDescent="0.45">
      <c r="A16" t="s">
        <v>142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</row>
    <row r="17" spans="1:9" x14ac:dyDescent="0.45">
      <c r="A17" t="s">
        <v>142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</row>
    <row r="18" spans="1:9" x14ac:dyDescent="0.45">
      <c r="A18" t="s">
        <v>142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</row>
    <row r="19" spans="1:9" x14ac:dyDescent="0.45">
      <c r="A19" t="s">
        <v>142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</row>
    <row r="20" spans="1:9" x14ac:dyDescent="0.45">
      <c r="A20" t="s">
        <v>142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</row>
    <row r="21" spans="1:9" x14ac:dyDescent="0.45">
      <c r="A21" t="s">
        <v>142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</row>
    <row r="22" spans="1:9" x14ac:dyDescent="0.45">
      <c r="A22" t="s">
        <v>142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</row>
    <row r="23" spans="1:9" x14ac:dyDescent="0.45">
      <c r="A23" t="s">
        <v>142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</row>
    <row r="24" spans="1:9" x14ac:dyDescent="0.45">
      <c r="A24" t="s">
        <v>142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</row>
    <row r="25" spans="1:9" x14ac:dyDescent="0.45">
      <c r="A25" t="s">
        <v>142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</row>
    <row r="26" spans="1:9" x14ac:dyDescent="0.45">
      <c r="A26" t="s">
        <v>142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</row>
    <row r="27" spans="1:9" x14ac:dyDescent="0.45">
      <c r="A27" t="s">
        <v>142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</row>
    <row r="28" spans="1:9" x14ac:dyDescent="0.45">
      <c r="A28" t="s">
        <v>142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</row>
    <row r="29" spans="1:9" x14ac:dyDescent="0.45">
      <c r="A29" t="s">
        <v>142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</row>
    <row r="30" spans="1:9" x14ac:dyDescent="0.45">
      <c r="A30" t="s">
        <v>142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</row>
    <row r="31" spans="1:9" x14ac:dyDescent="0.45">
      <c r="A31" t="s">
        <v>142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</row>
    <row r="32" spans="1:9" x14ac:dyDescent="0.45">
      <c r="A32" t="s">
        <v>142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</row>
    <row r="33" spans="1:9" x14ac:dyDescent="0.45">
      <c r="A33" t="s">
        <v>142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223</v>
      </c>
      <c r="D10" t="s">
        <v>107</v>
      </c>
      <c r="F10" t="s">
        <v>223</v>
      </c>
      <c r="G10" t="s">
        <v>132</v>
      </c>
    </row>
    <row r="11" spans="1:7" x14ac:dyDescent="0.45">
      <c r="B11" s="15"/>
      <c r="C11" s="15" t="s">
        <v>224</v>
      </c>
      <c r="D11" t="s">
        <v>159</v>
      </c>
      <c r="F11" t="s">
        <v>224</v>
      </c>
      <c r="G11" t="s">
        <v>248</v>
      </c>
    </row>
    <row r="12" spans="1:7" x14ac:dyDescent="0.45">
      <c r="B12" s="15"/>
      <c r="C12" s="15" t="s">
        <v>225</v>
      </c>
      <c r="D12" t="s">
        <v>159</v>
      </c>
      <c r="F12" t="s">
        <v>225</v>
      </c>
      <c r="G12" t="s">
        <v>249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5A8C-6197-4C80-9079-6E4FE627ECC9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157</v>
      </c>
      <c r="L10" t="s">
        <v>30</v>
      </c>
      <c r="N10" t="s">
        <v>13</v>
      </c>
      <c r="O10" t="s">
        <v>122</v>
      </c>
      <c r="P10" t="s">
        <v>157</v>
      </c>
      <c r="Q10" t="s">
        <v>30</v>
      </c>
      <c r="S10" t="s">
        <v>13</v>
      </c>
      <c r="T10" t="s">
        <v>122</v>
      </c>
      <c r="U10" t="s">
        <v>157</v>
      </c>
      <c r="V10" t="s">
        <v>30</v>
      </c>
      <c r="X10" t="s">
        <v>222</v>
      </c>
      <c r="Y10" t="s">
        <v>157</v>
      </c>
      <c r="Z10" t="s">
        <v>122</v>
      </c>
      <c r="AA10" t="s">
        <v>13</v>
      </c>
      <c r="AC10" t="s">
        <v>13</v>
      </c>
      <c r="AD10" t="s">
        <v>122</v>
      </c>
      <c r="AE10" t="s">
        <v>157</v>
      </c>
      <c r="AG10" t="s">
        <v>13</v>
      </c>
      <c r="AH10" t="s">
        <v>122</v>
      </c>
      <c r="AI10" t="s">
        <v>226</v>
      </c>
      <c r="AK10" t="s">
        <v>47</v>
      </c>
      <c r="AL10" t="s">
        <v>122</v>
      </c>
      <c r="AM10" t="s">
        <v>227</v>
      </c>
      <c r="AN10" t="s">
        <v>228</v>
      </c>
    </row>
    <row r="11" spans="1:40" x14ac:dyDescent="0.45">
      <c r="A11" t="str">
        <f>IFERROR(IF(Veda!D5=A10,"ok","x"),"")</f>
        <v>ok</v>
      </c>
      <c r="C11" t="s">
        <v>154</v>
      </c>
      <c r="D11" t="s">
        <v>155</v>
      </c>
      <c r="E11" t="s">
        <v>156</v>
      </c>
      <c r="F11" t="s">
        <v>154</v>
      </c>
      <c r="G11" t="s">
        <v>155</v>
      </c>
      <c r="I11" t="s">
        <v>158</v>
      </c>
      <c r="J11" t="s">
        <v>159</v>
      </c>
      <c r="K11">
        <v>1.0000000000000004</v>
      </c>
      <c r="L11" t="s">
        <v>160</v>
      </c>
      <c r="N11" t="s">
        <v>184</v>
      </c>
      <c r="O11" t="s">
        <v>159</v>
      </c>
      <c r="P11">
        <v>0.999999999999998</v>
      </c>
      <c r="Q11" t="s">
        <v>160</v>
      </c>
      <c r="S11" t="s">
        <v>203</v>
      </c>
      <c r="T11" t="s">
        <v>159</v>
      </c>
      <c r="U11">
        <v>1.0000000000000007</v>
      </c>
      <c r="V11" t="s">
        <v>160</v>
      </c>
      <c r="X11">
        <v>1</v>
      </c>
      <c r="Y11">
        <v>1.0000000000000002</v>
      </c>
      <c r="Z11" t="s">
        <v>159</v>
      </c>
      <c r="AA11" t="s">
        <v>25</v>
      </c>
      <c r="AC11" t="s">
        <v>22</v>
      </c>
      <c r="AD11" t="s">
        <v>159</v>
      </c>
      <c r="AE11">
        <v>1</v>
      </c>
      <c r="AG11" t="s">
        <v>97</v>
      </c>
      <c r="AH11" t="s">
        <v>159</v>
      </c>
      <c r="AI11">
        <v>0.29960038929139898</v>
      </c>
      <c r="AK11">
        <v>2020</v>
      </c>
      <c r="AL11" t="s">
        <v>154</v>
      </c>
      <c r="AM11">
        <v>0.26517207047611197</v>
      </c>
      <c r="AN11" t="s">
        <v>229</v>
      </c>
    </row>
    <row r="12" spans="1:40" x14ac:dyDescent="0.45">
      <c r="I12" t="s">
        <v>161</v>
      </c>
      <c r="J12" t="s">
        <v>159</v>
      </c>
      <c r="K12">
        <v>0.99999999999999722</v>
      </c>
      <c r="L12" t="s">
        <v>160</v>
      </c>
      <c r="N12" t="s">
        <v>185</v>
      </c>
      <c r="O12" t="s">
        <v>159</v>
      </c>
      <c r="P12">
        <v>0.99999999999999978</v>
      </c>
      <c r="Q12" t="s">
        <v>160</v>
      </c>
      <c r="S12" t="s">
        <v>204</v>
      </c>
      <c r="T12" t="s">
        <v>159</v>
      </c>
      <c r="U12">
        <v>0.99999999999999967</v>
      </c>
      <c r="V12" t="s">
        <v>160</v>
      </c>
      <c r="AC12" t="s">
        <v>19</v>
      </c>
      <c r="AD12" t="s">
        <v>159</v>
      </c>
      <c r="AE12">
        <v>1</v>
      </c>
      <c r="AK12">
        <v>2021</v>
      </c>
      <c r="AL12" t="s">
        <v>154</v>
      </c>
      <c r="AM12">
        <v>0.24868903323440203</v>
      </c>
      <c r="AN12" t="s">
        <v>229</v>
      </c>
    </row>
    <row r="13" spans="1:40" x14ac:dyDescent="0.45">
      <c r="I13" t="s">
        <v>162</v>
      </c>
      <c r="J13" t="s">
        <v>159</v>
      </c>
      <c r="K13">
        <v>1.0000000000000038</v>
      </c>
      <c r="L13" t="s">
        <v>160</v>
      </c>
      <c r="N13" t="s">
        <v>186</v>
      </c>
      <c r="O13" t="s">
        <v>159</v>
      </c>
      <c r="P13">
        <v>0.999999999999997</v>
      </c>
      <c r="Q13" t="s">
        <v>160</v>
      </c>
      <c r="S13" t="s">
        <v>205</v>
      </c>
      <c r="T13" t="s">
        <v>159</v>
      </c>
      <c r="U13">
        <v>1.0000000000000067</v>
      </c>
      <c r="V13" t="s">
        <v>160</v>
      </c>
      <c r="AK13">
        <v>2022</v>
      </c>
      <c r="AL13" t="s">
        <v>154</v>
      </c>
      <c r="AM13">
        <v>0.15871711334515723</v>
      </c>
      <c r="AN13" t="s">
        <v>229</v>
      </c>
    </row>
    <row r="14" spans="1:40" x14ac:dyDescent="0.45">
      <c r="I14" t="s">
        <v>163</v>
      </c>
      <c r="J14" t="s">
        <v>159</v>
      </c>
      <c r="K14">
        <v>0.99999999999999956</v>
      </c>
      <c r="L14" t="s">
        <v>160</v>
      </c>
      <c r="N14" t="s">
        <v>187</v>
      </c>
      <c r="O14" t="s">
        <v>159</v>
      </c>
      <c r="P14">
        <v>0.99999999999999711</v>
      </c>
      <c r="Q14" t="s">
        <v>160</v>
      </c>
      <c r="S14" t="s">
        <v>206</v>
      </c>
      <c r="T14" t="s">
        <v>159</v>
      </c>
      <c r="U14">
        <v>1</v>
      </c>
      <c r="V14" t="s">
        <v>160</v>
      </c>
      <c r="AK14">
        <v>2025</v>
      </c>
      <c r="AL14" t="s">
        <v>154</v>
      </c>
      <c r="AM14">
        <v>0.26771666666666666</v>
      </c>
      <c r="AN14" t="s">
        <v>229</v>
      </c>
    </row>
    <row r="15" spans="1:40" x14ac:dyDescent="0.45">
      <c r="I15" t="s">
        <v>164</v>
      </c>
      <c r="J15" t="s">
        <v>159</v>
      </c>
      <c r="K15">
        <v>1</v>
      </c>
      <c r="L15" t="s">
        <v>160</v>
      </c>
      <c r="N15" t="s">
        <v>188</v>
      </c>
      <c r="O15" t="s">
        <v>159</v>
      </c>
      <c r="P15">
        <v>1</v>
      </c>
      <c r="Q15" t="s">
        <v>160</v>
      </c>
      <c r="S15" t="s">
        <v>207</v>
      </c>
      <c r="T15" t="s">
        <v>159</v>
      </c>
      <c r="U15">
        <v>1.000000000000004</v>
      </c>
      <c r="V15" t="s">
        <v>160</v>
      </c>
      <c r="AK15">
        <v>2026</v>
      </c>
      <c r="AL15" t="s">
        <v>154</v>
      </c>
      <c r="AM15">
        <v>0.199875</v>
      </c>
      <c r="AN15" t="s">
        <v>229</v>
      </c>
    </row>
    <row r="16" spans="1:40" x14ac:dyDescent="0.45">
      <c r="I16" t="s">
        <v>165</v>
      </c>
      <c r="J16" t="s">
        <v>159</v>
      </c>
      <c r="K16">
        <v>1.0000000000000029</v>
      </c>
      <c r="L16" t="s">
        <v>160</v>
      </c>
      <c r="N16" t="s">
        <v>189</v>
      </c>
      <c r="O16" t="s">
        <v>159</v>
      </c>
      <c r="P16">
        <v>0.99999999999999911</v>
      </c>
      <c r="Q16" t="s">
        <v>160</v>
      </c>
      <c r="S16" t="s">
        <v>208</v>
      </c>
      <c r="T16" t="s">
        <v>159</v>
      </c>
      <c r="U16">
        <v>0.99999999999999989</v>
      </c>
      <c r="V16" t="s">
        <v>160</v>
      </c>
      <c r="AK16">
        <v>2027</v>
      </c>
      <c r="AL16" t="s">
        <v>154</v>
      </c>
      <c r="AM16">
        <v>0.20223333333333335</v>
      </c>
      <c r="AN16" t="s">
        <v>229</v>
      </c>
    </row>
    <row r="17" spans="9:40" x14ac:dyDescent="0.45">
      <c r="I17" t="s">
        <v>166</v>
      </c>
      <c r="J17" t="s">
        <v>159</v>
      </c>
      <c r="K17">
        <v>1.0000000000000022</v>
      </c>
      <c r="L17" t="s">
        <v>160</v>
      </c>
      <c r="N17" t="s">
        <v>190</v>
      </c>
      <c r="O17" t="s">
        <v>159</v>
      </c>
      <c r="P17">
        <v>0.99999999999999778</v>
      </c>
      <c r="Q17" t="s">
        <v>160</v>
      </c>
      <c r="S17" t="s">
        <v>209</v>
      </c>
      <c r="T17" t="s">
        <v>159</v>
      </c>
      <c r="U17">
        <v>1.0000000000000013</v>
      </c>
      <c r="V17" t="s">
        <v>160</v>
      </c>
      <c r="AK17">
        <v>2028</v>
      </c>
      <c r="AL17" t="s">
        <v>154</v>
      </c>
      <c r="AM17">
        <v>0.236175</v>
      </c>
      <c r="AN17" t="s">
        <v>229</v>
      </c>
    </row>
    <row r="18" spans="9:40" x14ac:dyDescent="0.45">
      <c r="I18" t="s">
        <v>167</v>
      </c>
      <c r="J18" t="s">
        <v>159</v>
      </c>
      <c r="K18">
        <v>1.0000000000000009</v>
      </c>
      <c r="L18" t="s">
        <v>160</v>
      </c>
      <c r="N18" t="s">
        <v>191</v>
      </c>
      <c r="O18" t="s">
        <v>159</v>
      </c>
      <c r="P18">
        <v>1.0000000000000004</v>
      </c>
      <c r="Q18" t="s">
        <v>160</v>
      </c>
      <c r="S18" t="s">
        <v>210</v>
      </c>
      <c r="T18" t="s">
        <v>159</v>
      </c>
      <c r="U18">
        <v>1.000000000000002</v>
      </c>
      <c r="V18" t="s">
        <v>160</v>
      </c>
      <c r="AK18">
        <v>2029</v>
      </c>
      <c r="AL18" t="s">
        <v>154</v>
      </c>
      <c r="AM18">
        <v>0.22822500000000001</v>
      </c>
      <c r="AN18" t="s">
        <v>229</v>
      </c>
    </row>
    <row r="19" spans="9:40" x14ac:dyDescent="0.45">
      <c r="I19" t="s">
        <v>168</v>
      </c>
      <c r="J19" t="s">
        <v>159</v>
      </c>
      <c r="K19">
        <v>1.0000000000000029</v>
      </c>
      <c r="L19" t="s">
        <v>160</v>
      </c>
      <c r="N19" t="s">
        <v>192</v>
      </c>
      <c r="O19" t="s">
        <v>159</v>
      </c>
      <c r="P19">
        <v>0.99999999999999645</v>
      </c>
      <c r="Q19" t="s">
        <v>160</v>
      </c>
      <c r="S19" t="s">
        <v>211</v>
      </c>
      <c r="T19" t="s">
        <v>159</v>
      </c>
      <c r="U19">
        <v>0.99999999999999756</v>
      </c>
      <c r="V19" t="s">
        <v>160</v>
      </c>
      <c r="AK19">
        <v>2030</v>
      </c>
      <c r="AL19" t="s">
        <v>154</v>
      </c>
      <c r="AM19">
        <v>0.23554166666666668</v>
      </c>
      <c r="AN19" t="s">
        <v>229</v>
      </c>
    </row>
    <row r="20" spans="9:40" x14ac:dyDescent="0.45">
      <c r="I20" t="s">
        <v>169</v>
      </c>
      <c r="J20" t="s">
        <v>159</v>
      </c>
      <c r="K20">
        <v>0.99999999999999878</v>
      </c>
      <c r="L20" t="s">
        <v>160</v>
      </c>
      <c r="N20" t="s">
        <v>193</v>
      </c>
      <c r="O20" t="s">
        <v>159</v>
      </c>
      <c r="P20">
        <v>0.999999999999998</v>
      </c>
      <c r="Q20" t="s">
        <v>160</v>
      </c>
      <c r="S20" t="s">
        <v>212</v>
      </c>
      <c r="T20" t="s">
        <v>159</v>
      </c>
      <c r="U20">
        <v>0.99999999999999967</v>
      </c>
      <c r="V20" t="s">
        <v>160</v>
      </c>
      <c r="AK20">
        <v>2031</v>
      </c>
      <c r="AL20" t="s">
        <v>154</v>
      </c>
      <c r="AM20">
        <v>0.23180000000000001</v>
      </c>
      <c r="AN20" t="s">
        <v>229</v>
      </c>
    </row>
    <row r="21" spans="9:40" x14ac:dyDescent="0.45">
      <c r="I21" t="s">
        <v>170</v>
      </c>
      <c r="J21" t="s">
        <v>159</v>
      </c>
      <c r="K21">
        <v>1.0000000000000016</v>
      </c>
      <c r="L21" t="s">
        <v>160</v>
      </c>
      <c r="N21" t="s">
        <v>194</v>
      </c>
      <c r="O21" t="s">
        <v>159</v>
      </c>
      <c r="P21">
        <v>1.0000000000000018</v>
      </c>
      <c r="Q21" t="s">
        <v>160</v>
      </c>
      <c r="S21" t="s">
        <v>213</v>
      </c>
      <c r="T21" t="s">
        <v>159</v>
      </c>
      <c r="U21">
        <v>1.0000000000000022</v>
      </c>
      <c r="V21" t="s">
        <v>160</v>
      </c>
      <c r="AK21">
        <v>2032</v>
      </c>
      <c r="AL21" t="s">
        <v>154</v>
      </c>
      <c r="AM21">
        <v>0.23264166666666666</v>
      </c>
      <c r="AN21" t="s">
        <v>229</v>
      </c>
    </row>
    <row r="22" spans="9:40" x14ac:dyDescent="0.45">
      <c r="I22" t="s">
        <v>171</v>
      </c>
      <c r="J22" t="s">
        <v>159</v>
      </c>
      <c r="K22">
        <v>1.0000000000000002</v>
      </c>
      <c r="L22" t="s">
        <v>160</v>
      </c>
      <c r="N22" t="s">
        <v>195</v>
      </c>
      <c r="O22" t="s">
        <v>159</v>
      </c>
      <c r="P22">
        <v>1.0000000000000004</v>
      </c>
      <c r="Q22" t="s">
        <v>160</v>
      </c>
      <c r="S22" t="s">
        <v>214</v>
      </c>
      <c r="T22" t="s">
        <v>159</v>
      </c>
      <c r="U22">
        <v>1.0000000000000033</v>
      </c>
      <c r="V22" t="s">
        <v>160</v>
      </c>
      <c r="AK22">
        <v>2033</v>
      </c>
      <c r="AL22" t="s">
        <v>154</v>
      </c>
      <c r="AM22">
        <v>0.22911666666666666</v>
      </c>
      <c r="AN22" t="s">
        <v>229</v>
      </c>
    </row>
    <row r="23" spans="9:40" x14ac:dyDescent="0.45">
      <c r="I23" t="s">
        <v>172</v>
      </c>
      <c r="J23" t="s">
        <v>159</v>
      </c>
      <c r="K23">
        <v>0.99999999999999867</v>
      </c>
      <c r="L23" t="s">
        <v>160</v>
      </c>
      <c r="N23" t="s">
        <v>196</v>
      </c>
      <c r="O23" t="s">
        <v>159</v>
      </c>
      <c r="P23">
        <v>0.99999999999999423</v>
      </c>
      <c r="Q23" t="s">
        <v>160</v>
      </c>
      <c r="S23" t="s">
        <v>215</v>
      </c>
      <c r="T23" t="s">
        <v>159</v>
      </c>
      <c r="U23">
        <v>0.99999999999999867</v>
      </c>
      <c r="V23" t="s">
        <v>160</v>
      </c>
      <c r="AK23">
        <v>2034</v>
      </c>
      <c r="AL23" t="s">
        <v>154</v>
      </c>
      <c r="AM23">
        <v>0.23709999999999998</v>
      </c>
      <c r="AN23" t="s">
        <v>229</v>
      </c>
    </row>
    <row r="24" spans="9:40" x14ac:dyDescent="0.45">
      <c r="I24" t="s">
        <v>173</v>
      </c>
      <c r="J24" t="s">
        <v>159</v>
      </c>
      <c r="K24">
        <v>1.0000000000000004</v>
      </c>
      <c r="L24" t="s">
        <v>160</v>
      </c>
      <c r="N24" t="s">
        <v>197</v>
      </c>
      <c r="O24" t="s">
        <v>159</v>
      </c>
      <c r="P24">
        <v>0.99999999999999323</v>
      </c>
      <c r="Q24" t="s">
        <v>160</v>
      </c>
      <c r="S24" t="s">
        <v>216</v>
      </c>
      <c r="T24" t="s">
        <v>159</v>
      </c>
      <c r="U24">
        <v>0.99999999999999634</v>
      </c>
      <c r="V24" t="s">
        <v>160</v>
      </c>
      <c r="AK24">
        <v>2035</v>
      </c>
      <c r="AL24" t="s">
        <v>154</v>
      </c>
      <c r="AM24">
        <v>0.23117500000000002</v>
      </c>
      <c r="AN24" t="s">
        <v>229</v>
      </c>
    </row>
    <row r="25" spans="9:40" x14ac:dyDescent="0.45">
      <c r="I25" t="s">
        <v>174</v>
      </c>
      <c r="J25" t="s">
        <v>159</v>
      </c>
      <c r="K25">
        <v>0.99999999999999878</v>
      </c>
      <c r="L25" t="s">
        <v>160</v>
      </c>
      <c r="N25" t="s">
        <v>198</v>
      </c>
      <c r="O25" t="s">
        <v>159</v>
      </c>
      <c r="P25">
        <v>1.0000000000000044</v>
      </c>
      <c r="Q25" t="s">
        <v>160</v>
      </c>
      <c r="S25" t="s">
        <v>217</v>
      </c>
      <c r="T25" t="s">
        <v>159</v>
      </c>
      <c r="U25">
        <v>1.0000000000000011</v>
      </c>
      <c r="V25" t="s">
        <v>160</v>
      </c>
      <c r="AK25">
        <v>2036</v>
      </c>
      <c r="AL25" t="s">
        <v>154</v>
      </c>
      <c r="AM25">
        <v>0.22721666666666665</v>
      </c>
      <c r="AN25" t="s">
        <v>229</v>
      </c>
    </row>
    <row r="26" spans="9:40" x14ac:dyDescent="0.45">
      <c r="I26" t="s">
        <v>175</v>
      </c>
      <c r="J26" t="s">
        <v>159</v>
      </c>
      <c r="K26">
        <v>1.0000000000000027</v>
      </c>
      <c r="L26" t="s">
        <v>160</v>
      </c>
      <c r="N26" t="s">
        <v>199</v>
      </c>
      <c r="O26" t="s">
        <v>159</v>
      </c>
      <c r="P26">
        <v>1.0000000000000022</v>
      </c>
      <c r="Q26" t="s">
        <v>160</v>
      </c>
      <c r="S26" t="s">
        <v>218</v>
      </c>
      <c r="T26" t="s">
        <v>159</v>
      </c>
      <c r="U26">
        <v>1.0000000000000062</v>
      </c>
      <c r="V26" t="s">
        <v>160</v>
      </c>
      <c r="AK26">
        <v>2037</v>
      </c>
      <c r="AL26" t="s">
        <v>154</v>
      </c>
      <c r="AM26">
        <v>0.23520833333333335</v>
      </c>
      <c r="AN26" t="s">
        <v>229</v>
      </c>
    </row>
    <row r="27" spans="9:40" x14ac:dyDescent="0.45">
      <c r="I27" t="s">
        <v>176</v>
      </c>
      <c r="J27" t="s">
        <v>159</v>
      </c>
      <c r="K27">
        <v>0.99999999999999878</v>
      </c>
      <c r="L27" t="s">
        <v>160</v>
      </c>
      <c r="N27" t="s">
        <v>200</v>
      </c>
      <c r="O27" t="s">
        <v>159</v>
      </c>
      <c r="P27">
        <v>0.999999999999997</v>
      </c>
      <c r="Q27" t="s">
        <v>160</v>
      </c>
      <c r="S27" t="s">
        <v>219</v>
      </c>
      <c r="T27" t="s">
        <v>159</v>
      </c>
      <c r="U27">
        <v>1.0000000000000007</v>
      </c>
      <c r="V27" t="s">
        <v>160</v>
      </c>
      <c r="AK27">
        <v>2038</v>
      </c>
      <c r="AL27" t="s">
        <v>154</v>
      </c>
      <c r="AM27">
        <v>0.23154999999999995</v>
      </c>
      <c r="AN27" t="s">
        <v>229</v>
      </c>
    </row>
    <row r="28" spans="9:40" x14ac:dyDescent="0.45">
      <c r="I28" t="s">
        <v>177</v>
      </c>
      <c r="J28" t="s">
        <v>159</v>
      </c>
      <c r="K28">
        <v>1.0000000000000007</v>
      </c>
      <c r="L28" t="s">
        <v>160</v>
      </c>
      <c r="N28" t="s">
        <v>201</v>
      </c>
      <c r="O28" t="s">
        <v>159</v>
      </c>
      <c r="P28">
        <v>1.0000000000000004</v>
      </c>
      <c r="Q28" t="s">
        <v>160</v>
      </c>
      <c r="S28" t="s">
        <v>220</v>
      </c>
      <c r="T28" t="s">
        <v>159</v>
      </c>
      <c r="U28">
        <v>1.000000000000004</v>
      </c>
      <c r="V28" t="s">
        <v>160</v>
      </c>
      <c r="AK28">
        <v>2039</v>
      </c>
      <c r="AL28" t="s">
        <v>154</v>
      </c>
      <c r="AM28">
        <v>0.2262666666666667</v>
      </c>
      <c r="AN28" t="s">
        <v>229</v>
      </c>
    </row>
    <row r="29" spans="9:40" x14ac:dyDescent="0.45">
      <c r="I29" t="s">
        <v>178</v>
      </c>
      <c r="J29" t="s">
        <v>159</v>
      </c>
      <c r="K29">
        <v>0.99999999999999856</v>
      </c>
      <c r="L29" t="s">
        <v>160</v>
      </c>
      <c r="N29" t="s">
        <v>202</v>
      </c>
      <c r="O29" t="s">
        <v>159</v>
      </c>
      <c r="P29">
        <v>1.0000000000000027</v>
      </c>
      <c r="Q29" t="s">
        <v>160</v>
      </c>
      <c r="S29" t="s">
        <v>221</v>
      </c>
      <c r="T29" t="s">
        <v>159</v>
      </c>
      <c r="U29">
        <v>1.0000000000000027</v>
      </c>
      <c r="V29" t="s">
        <v>160</v>
      </c>
      <c r="AK29">
        <v>2040</v>
      </c>
      <c r="AL29" t="s">
        <v>154</v>
      </c>
      <c r="AM29">
        <v>0.22933333333333331</v>
      </c>
      <c r="AN29" t="s">
        <v>229</v>
      </c>
    </row>
    <row r="30" spans="9:40" x14ac:dyDescent="0.45">
      <c r="I30" t="s">
        <v>179</v>
      </c>
      <c r="J30" t="s">
        <v>159</v>
      </c>
      <c r="K30">
        <v>0.99999999999999678</v>
      </c>
      <c r="L30" t="s">
        <v>160</v>
      </c>
      <c r="AK30">
        <v>2041</v>
      </c>
      <c r="AL30" t="s">
        <v>154</v>
      </c>
      <c r="AM30">
        <v>0.22550833333333334</v>
      </c>
      <c r="AN30" t="s">
        <v>229</v>
      </c>
    </row>
    <row r="31" spans="9:40" x14ac:dyDescent="0.45">
      <c r="I31" t="s">
        <v>180</v>
      </c>
      <c r="J31" t="s">
        <v>159</v>
      </c>
      <c r="K31">
        <v>1.0000000000000018</v>
      </c>
      <c r="L31" t="s">
        <v>160</v>
      </c>
      <c r="AK31">
        <v>2042</v>
      </c>
      <c r="AL31" t="s">
        <v>154</v>
      </c>
      <c r="AM31">
        <v>0.23632500000000001</v>
      </c>
      <c r="AN31" t="s">
        <v>229</v>
      </c>
    </row>
    <row r="32" spans="9:40" x14ac:dyDescent="0.45">
      <c r="I32" t="s">
        <v>181</v>
      </c>
      <c r="J32" t="s">
        <v>159</v>
      </c>
      <c r="K32">
        <v>0.99999999999999911</v>
      </c>
      <c r="L32" t="s">
        <v>160</v>
      </c>
      <c r="AK32">
        <v>2043</v>
      </c>
      <c r="AL32" t="s">
        <v>154</v>
      </c>
      <c r="AM32">
        <v>0.22925000000000004</v>
      </c>
      <c r="AN32" t="s">
        <v>229</v>
      </c>
    </row>
    <row r="33" spans="9:40" x14ac:dyDescent="0.45">
      <c r="I33" t="s">
        <v>182</v>
      </c>
      <c r="J33" t="s">
        <v>159</v>
      </c>
      <c r="K33">
        <v>0.99999999999999878</v>
      </c>
      <c r="L33" t="s">
        <v>160</v>
      </c>
      <c r="AK33">
        <v>2044</v>
      </c>
      <c r="AL33" t="s">
        <v>154</v>
      </c>
      <c r="AM33">
        <v>0.23615</v>
      </c>
      <c r="AN33" t="s">
        <v>229</v>
      </c>
    </row>
    <row r="34" spans="9:40" x14ac:dyDescent="0.45">
      <c r="I34" t="s">
        <v>183</v>
      </c>
      <c r="J34" t="s">
        <v>159</v>
      </c>
      <c r="K34">
        <v>0.99999999999999878</v>
      </c>
      <c r="L34" t="s">
        <v>160</v>
      </c>
      <c r="AK34">
        <v>2045</v>
      </c>
      <c r="AL34" t="s">
        <v>154</v>
      </c>
      <c r="AM34">
        <v>0.23394166666666669</v>
      </c>
      <c r="AN34" t="s">
        <v>229</v>
      </c>
    </row>
    <row r="35" spans="9:40" x14ac:dyDescent="0.45">
      <c r="AK35">
        <v>2046</v>
      </c>
      <c r="AL35" t="s">
        <v>154</v>
      </c>
      <c r="AM35">
        <v>0.22216666666666665</v>
      </c>
      <c r="AN35" t="s">
        <v>229</v>
      </c>
    </row>
    <row r="36" spans="9:40" x14ac:dyDescent="0.45">
      <c r="AK36">
        <v>2047</v>
      </c>
      <c r="AL36" t="s">
        <v>154</v>
      </c>
      <c r="AM36">
        <v>0.2347083333333333</v>
      </c>
      <c r="AN36" t="s">
        <v>229</v>
      </c>
    </row>
    <row r="37" spans="9:40" x14ac:dyDescent="0.45">
      <c r="AK37">
        <v>2048</v>
      </c>
      <c r="AL37" t="s">
        <v>154</v>
      </c>
      <c r="AM37">
        <v>0.22973333333333332</v>
      </c>
      <c r="AN37" t="s">
        <v>229</v>
      </c>
    </row>
    <row r="38" spans="9:40" x14ac:dyDescent="0.45">
      <c r="AK38">
        <v>2049</v>
      </c>
      <c r="AL38" t="s">
        <v>154</v>
      </c>
      <c r="AM38">
        <v>0.23582500000000003</v>
      </c>
      <c r="AN38" t="s">
        <v>229</v>
      </c>
    </row>
    <row r="39" spans="9:40" x14ac:dyDescent="0.45">
      <c r="AK39">
        <v>2050</v>
      </c>
      <c r="AL39" t="s">
        <v>154</v>
      </c>
      <c r="AM39">
        <v>0.22640000000000002</v>
      </c>
      <c r="AN39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5FB2-B3F3-4270-B4CE-0F2F69FA70B1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157</v>
      </c>
      <c r="L10" t="s">
        <v>30</v>
      </c>
      <c r="N10" t="s">
        <v>13</v>
      </c>
      <c r="O10" t="s">
        <v>122</v>
      </c>
      <c r="P10" t="s">
        <v>157</v>
      </c>
      <c r="Q10" t="s">
        <v>30</v>
      </c>
      <c r="S10" t="s">
        <v>13</v>
      </c>
      <c r="T10" t="s">
        <v>122</v>
      </c>
      <c r="U10" t="s">
        <v>157</v>
      </c>
      <c r="V10" t="s">
        <v>30</v>
      </c>
      <c r="X10" t="s">
        <v>222</v>
      </c>
      <c r="Y10" t="s">
        <v>157</v>
      </c>
      <c r="Z10" t="s">
        <v>122</v>
      </c>
      <c r="AA10" t="s">
        <v>13</v>
      </c>
      <c r="AC10" t="s">
        <v>13</v>
      </c>
      <c r="AD10" t="s">
        <v>122</v>
      </c>
      <c r="AE10" t="s">
        <v>157</v>
      </c>
      <c r="AG10" t="s">
        <v>13</v>
      </c>
      <c r="AH10" t="s">
        <v>122</v>
      </c>
      <c r="AI10" t="s">
        <v>226</v>
      </c>
      <c r="AK10" t="s">
        <v>47</v>
      </c>
      <c r="AL10" t="s">
        <v>122</v>
      </c>
      <c r="AM10" t="s">
        <v>227</v>
      </c>
      <c r="AN10" t="s">
        <v>228</v>
      </c>
    </row>
    <row r="11" spans="1:40" x14ac:dyDescent="0.45">
      <c r="A11" t="str">
        <f>IFERROR(IF(Veda!D5=A10,"ok","x"),"")</f>
        <v>x</v>
      </c>
      <c r="C11" t="s">
        <v>230</v>
      </c>
      <c r="D11" t="s">
        <v>155</v>
      </c>
      <c r="E11" t="s">
        <v>224</v>
      </c>
      <c r="F11" t="s">
        <v>231</v>
      </c>
      <c r="G11" t="s">
        <v>155</v>
      </c>
      <c r="I11" t="s">
        <v>158</v>
      </c>
      <c r="J11" t="s">
        <v>236</v>
      </c>
      <c r="K11">
        <v>0.18030244890058381</v>
      </c>
      <c r="L11" t="s">
        <v>160</v>
      </c>
      <c r="N11" t="s">
        <v>184</v>
      </c>
      <c r="O11" t="s">
        <v>236</v>
      </c>
      <c r="P11">
        <v>0.12679564460401607</v>
      </c>
      <c r="Q11" t="s">
        <v>160</v>
      </c>
      <c r="S11" t="s">
        <v>203</v>
      </c>
      <c r="T11" t="s">
        <v>236</v>
      </c>
      <c r="U11">
        <v>0.10377296270056627</v>
      </c>
      <c r="V11" t="s">
        <v>160</v>
      </c>
      <c r="X11">
        <v>0.11426940639269406</v>
      </c>
      <c r="Y11">
        <v>0.16087081189037786</v>
      </c>
      <c r="Z11" t="s">
        <v>236</v>
      </c>
      <c r="AA11" t="s">
        <v>25</v>
      </c>
      <c r="AC11" t="s">
        <v>22</v>
      </c>
      <c r="AD11" t="s">
        <v>236</v>
      </c>
      <c r="AE11">
        <v>0.11819115625337555</v>
      </c>
      <c r="AG11" t="s">
        <v>97</v>
      </c>
      <c r="AH11" t="s">
        <v>236</v>
      </c>
      <c r="AI11">
        <v>0.18444393583567309</v>
      </c>
      <c r="AK11">
        <v>2020</v>
      </c>
      <c r="AL11" t="s">
        <v>230</v>
      </c>
      <c r="AM11">
        <v>0.25956192751891671</v>
      </c>
      <c r="AN11" t="s">
        <v>229</v>
      </c>
    </row>
    <row r="12" spans="1:40" x14ac:dyDescent="0.45">
      <c r="C12" t="s">
        <v>232</v>
      </c>
      <c r="E12" t="s">
        <v>225</v>
      </c>
      <c r="G12" t="s">
        <v>155</v>
      </c>
      <c r="I12" t="s">
        <v>158</v>
      </c>
      <c r="J12" t="s">
        <v>237</v>
      </c>
      <c r="K12">
        <v>0</v>
      </c>
      <c r="L12" t="s">
        <v>160</v>
      </c>
      <c r="N12" t="s">
        <v>184</v>
      </c>
      <c r="O12" t="s">
        <v>237</v>
      </c>
      <c r="P12">
        <v>0.15478134194884366</v>
      </c>
      <c r="Q12" t="s">
        <v>160</v>
      </c>
      <c r="S12" t="s">
        <v>203</v>
      </c>
      <c r="T12" t="s">
        <v>237</v>
      </c>
      <c r="U12">
        <v>0.11413670043658376</v>
      </c>
      <c r="V12" t="s">
        <v>160</v>
      </c>
      <c r="X12">
        <v>0.11426940639269406</v>
      </c>
      <c r="Y12">
        <v>5.2547713165767528E-2</v>
      </c>
      <c r="Z12" t="s">
        <v>237</v>
      </c>
      <c r="AA12" t="s">
        <v>25</v>
      </c>
      <c r="AC12" t="s">
        <v>22</v>
      </c>
      <c r="AD12" t="s">
        <v>237</v>
      </c>
      <c r="AE12">
        <v>9.764364422569162E-2</v>
      </c>
      <c r="AG12" t="s">
        <v>97</v>
      </c>
      <c r="AH12" t="s">
        <v>237</v>
      </c>
      <c r="AI12">
        <v>0.33632064062675737</v>
      </c>
      <c r="AK12">
        <v>2020</v>
      </c>
      <c r="AL12" t="s">
        <v>232</v>
      </c>
      <c r="AM12">
        <v>0.26168857029072085</v>
      </c>
      <c r="AN12" t="s">
        <v>229</v>
      </c>
    </row>
    <row r="13" spans="1:40" x14ac:dyDescent="0.45">
      <c r="C13" t="s">
        <v>233</v>
      </c>
      <c r="E13" t="s">
        <v>234</v>
      </c>
      <c r="G13" t="s">
        <v>155</v>
      </c>
      <c r="I13" t="s">
        <v>158</v>
      </c>
      <c r="J13" t="s">
        <v>238</v>
      </c>
      <c r="K13">
        <v>6.899666662235137E-3</v>
      </c>
      <c r="L13" t="s">
        <v>160</v>
      </c>
      <c r="N13" t="s">
        <v>184</v>
      </c>
      <c r="O13" t="s">
        <v>238</v>
      </c>
      <c r="P13">
        <v>2.4231785901520923E-2</v>
      </c>
      <c r="Q13" t="s">
        <v>160</v>
      </c>
      <c r="S13" t="s">
        <v>203</v>
      </c>
      <c r="T13" t="s">
        <v>238</v>
      </c>
      <c r="U13">
        <v>2.3585988793125193E-2</v>
      </c>
      <c r="V13" t="s">
        <v>160</v>
      </c>
      <c r="X13">
        <v>2.0776255707762557E-2</v>
      </c>
      <c r="Y13">
        <v>3.5896543437005365E-2</v>
      </c>
      <c r="Z13" t="s">
        <v>238</v>
      </c>
      <c r="AA13" t="s">
        <v>25</v>
      </c>
      <c r="AC13" t="s">
        <v>22</v>
      </c>
      <c r="AD13" t="s">
        <v>238</v>
      </c>
      <c r="AE13">
        <v>2.2218061012861254E-2</v>
      </c>
      <c r="AG13" t="s">
        <v>97</v>
      </c>
      <c r="AH13" t="s">
        <v>238</v>
      </c>
      <c r="AI13">
        <v>0.16828062521923326</v>
      </c>
      <c r="AK13">
        <v>2020</v>
      </c>
      <c r="AL13" t="s">
        <v>233</v>
      </c>
      <c r="AM13">
        <v>0.32595778574273199</v>
      </c>
      <c r="AN13" t="s">
        <v>229</v>
      </c>
    </row>
    <row r="14" spans="1:40" x14ac:dyDescent="0.45">
      <c r="C14" t="s">
        <v>235</v>
      </c>
      <c r="I14" t="s">
        <v>158</v>
      </c>
      <c r="J14" t="s">
        <v>239</v>
      </c>
      <c r="K14">
        <v>0.26911982160636416</v>
      </c>
      <c r="L14" t="s">
        <v>160</v>
      </c>
      <c r="N14" t="s">
        <v>184</v>
      </c>
      <c r="O14" t="s">
        <v>239</v>
      </c>
      <c r="P14">
        <v>0.11443031506546844</v>
      </c>
      <c r="Q14" t="s">
        <v>160</v>
      </c>
      <c r="S14" t="s">
        <v>203</v>
      </c>
      <c r="T14" t="s">
        <v>239</v>
      </c>
      <c r="U14">
        <v>0.11892081879238772</v>
      </c>
      <c r="V14" t="s">
        <v>160</v>
      </c>
      <c r="X14">
        <v>0.11552511415525114</v>
      </c>
      <c r="Y14">
        <v>0.16263862301005233</v>
      </c>
      <c r="Z14" t="s">
        <v>239</v>
      </c>
      <c r="AA14" t="s">
        <v>25</v>
      </c>
      <c r="AC14" t="s">
        <v>22</v>
      </c>
      <c r="AD14" t="s">
        <v>239</v>
      </c>
      <c r="AE14">
        <v>0.12251447003662695</v>
      </c>
      <c r="AG14" t="s">
        <v>97</v>
      </c>
      <c r="AH14" t="s">
        <v>239</v>
      </c>
      <c r="AI14">
        <v>0.19174320375688136</v>
      </c>
      <c r="AK14">
        <v>2020</v>
      </c>
      <c r="AL14" t="s">
        <v>235</v>
      </c>
      <c r="AM14">
        <v>0.2134799983520784</v>
      </c>
      <c r="AN14" t="s">
        <v>229</v>
      </c>
    </row>
    <row r="15" spans="1:40" x14ac:dyDescent="0.45">
      <c r="I15" t="s">
        <v>158</v>
      </c>
      <c r="J15" t="s">
        <v>240</v>
      </c>
      <c r="K15">
        <v>2.8457955124799291E-3</v>
      </c>
      <c r="L15" t="s">
        <v>160</v>
      </c>
      <c r="N15" t="s">
        <v>184</v>
      </c>
      <c r="O15" t="s">
        <v>240</v>
      </c>
      <c r="P15">
        <v>0.13857091466167004</v>
      </c>
      <c r="Q15" t="s">
        <v>160</v>
      </c>
      <c r="S15" t="s">
        <v>203</v>
      </c>
      <c r="T15" t="s">
        <v>240</v>
      </c>
      <c r="U15">
        <v>0.14523463513515086</v>
      </c>
      <c r="V15" t="s">
        <v>160</v>
      </c>
      <c r="X15">
        <v>0.11552511415525114</v>
      </c>
      <c r="Y15">
        <v>5.3125160563193538E-2</v>
      </c>
      <c r="Z15" t="s">
        <v>240</v>
      </c>
      <c r="AA15" t="s">
        <v>25</v>
      </c>
      <c r="AC15" t="s">
        <v>22</v>
      </c>
      <c r="AD15" t="s">
        <v>240</v>
      </c>
      <c r="AE15">
        <v>9.9430561690573876E-2</v>
      </c>
      <c r="AG15" t="s">
        <v>97</v>
      </c>
      <c r="AH15" t="s">
        <v>240</v>
      </c>
      <c r="AI15">
        <v>0.37712195612715815</v>
      </c>
      <c r="AK15">
        <v>2021</v>
      </c>
      <c r="AL15" t="s">
        <v>230</v>
      </c>
      <c r="AM15">
        <v>0.19475710383086345</v>
      </c>
      <c r="AN15" t="s">
        <v>229</v>
      </c>
    </row>
    <row r="16" spans="1:40" x14ac:dyDescent="0.45">
      <c r="I16" t="s">
        <v>158</v>
      </c>
      <c r="J16" t="s">
        <v>241</v>
      </c>
      <c r="K16">
        <v>2.4278533768006209E-2</v>
      </c>
      <c r="L16" t="s">
        <v>160</v>
      </c>
      <c r="N16" t="s">
        <v>184</v>
      </c>
      <c r="O16" t="s">
        <v>241</v>
      </c>
      <c r="P16">
        <v>2.1750952246668884E-2</v>
      </c>
      <c r="Q16" t="s">
        <v>160</v>
      </c>
      <c r="S16" t="s">
        <v>203</v>
      </c>
      <c r="T16" t="s">
        <v>241</v>
      </c>
      <c r="U16">
        <v>2.9127079410696151E-2</v>
      </c>
      <c r="V16" t="s">
        <v>160</v>
      </c>
      <c r="X16">
        <v>2.1004566210045664E-2</v>
      </c>
      <c r="Y16">
        <v>3.6291010947302131E-2</v>
      </c>
      <c r="Z16" t="s">
        <v>241</v>
      </c>
      <c r="AA16" t="s">
        <v>25</v>
      </c>
      <c r="AC16" t="s">
        <v>22</v>
      </c>
      <c r="AD16" t="s">
        <v>241</v>
      </c>
      <c r="AE16">
        <v>2.2965271391870858E-2</v>
      </c>
      <c r="AG16" t="s">
        <v>97</v>
      </c>
      <c r="AH16" t="s">
        <v>241</v>
      </c>
      <c r="AI16">
        <v>0.1680616153557668</v>
      </c>
      <c r="AK16">
        <v>2021</v>
      </c>
      <c r="AL16" t="s">
        <v>232</v>
      </c>
      <c r="AM16">
        <v>0.23614596572529031</v>
      </c>
      <c r="AN16" t="s">
        <v>229</v>
      </c>
    </row>
    <row r="17" spans="9:40" x14ac:dyDescent="0.45">
      <c r="I17" t="s">
        <v>158</v>
      </c>
      <c r="J17" t="s">
        <v>242</v>
      </c>
      <c r="K17">
        <v>0.29992853670961939</v>
      </c>
      <c r="L17" t="s">
        <v>160</v>
      </c>
      <c r="N17" t="s">
        <v>184</v>
      </c>
      <c r="O17" t="s">
        <v>242</v>
      </c>
      <c r="P17">
        <v>5.9076456259950234E-2</v>
      </c>
      <c r="Q17" t="s">
        <v>160</v>
      </c>
      <c r="S17" t="s">
        <v>203</v>
      </c>
      <c r="T17" t="s">
        <v>242</v>
      </c>
      <c r="U17">
        <v>7.4956088637450055E-2</v>
      </c>
      <c r="V17" t="s">
        <v>160</v>
      </c>
      <c r="X17">
        <v>0.11552511415525114</v>
      </c>
      <c r="Y17">
        <v>0.16263862301005233</v>
      </c>
      <c r="Z17" t="s">
        <v>242</v>
      </c>
      <c r="AA17" t="s">
        <v>25</v>
      </c>
      <c r="AC17" t="s">
        <v>22</v>
      </c>
      <c r="AD17" t="s">
        <v>242</v>
      </c>
      <c r="AE17">
        <v>0.12264326156561349</v>
      </c>
      <c r="AG17" t="s">
        <v>97</v>
      </c>
      <c r="AH17" t="s">
        <v>242</v>
      </c>
      <c r="AI17">
        <v>0.14769495408386679</v>
      </c>
      <c r="AK17">
        <v>2021</v>
      </c>
      <c r="AL17" t="s">
        <v>233</v>
      </c>
      <c r="AM17">
        <v>0.33718464910692791</v>
      </c>
      <c r="AN17" t="s">
        <v>229</v>
      </c>
    </row>
    <row r="18" spans="9:40" x14ac:dyDescent="0.45">
      <c r="I18" t="s">
        <v>158</v>
      </c>
      <c r="J18" t="s">
        <v>243</v>
      </c>
      <c r="K18">
        <v>1.0251001267775077E-2</v>
      </c>
      <c r="L18" t="s">
        <v>160</v>
      </c>
      <c r="N18" t="s">
        <v>184</v>
      </c>
      <c r="O18" t="s">
        <v>243</v>
      </c>
      <c r="P18">
        <v>7.8285858701281602E-2</v>
      </c>
      <c r="Q18" t="s">
        <v>160</v>
      </c>
      <c r="S18" t="s">
        <v>203</v>
      </c>
      <c r="T18" t="s">
        <v>243</v>
      </c>
      <c r="U18">
        <v>8.9547619482852378E-2</v>
      </c>
      <c r="V18" t="s">
        <v>160</v>
      </c>
      <c r="X18">
        <v>0.11552511415525114</v>
      </c>
      <c r="Y18">
        <v>5.3125160563193538E-2</v>
      </c>
      <c r="Z18" t="s">
        <v>243</v>
      </c>
      <c r="AA18" t="s">
        <v>25</v>
      </c>
      <c r="AC18" t="s">
        <v>22</v>
      </c>
      <c r="AD18" t="s">
        <v>243</v>
      </c>
      <c r="AE18">
        <v>0.10045386194730507</v>
      </c>
      <c r="AG18" t="s">
        <v>97</v>
      </c>
      <c r="AH18" t="s">
        <v>243</v>
      </c>
      <c r="AI18">
        <v>0.31451538907064003</v>
      </c>
      <c r="AK18">
        <v>2021</v>
      </c>
      <c r="AL18" t="s">
        <v>235</v>
      </c>
      <c r="AM18">
        <v>0.2266684142745263</v>
      </c>
      <c r="AN18" t="s">
        <v>229</v>
      </c>
    </row>
    <row r="19" spans="9:40" x14ac:dyDescent="0.45">
      <c r="I19" t="s">
        <v>158</v>
      </c>
      <c r="J19" t="s">
        <v>244</v>
      </c>
      <c r="K19">
        <v>3.1451806046485321E-2</v>
      </c>
      <c r="L19" t="s">
        <v>160</v>
      </c>
      <c r="N19" t="s">
        <v>184</v>
      </c>
      <c r="O19" t="s">
        <v>244</v>
      </c>
      <c r="P19">
        <v>8.5903250051629128E-3</v>
      </c>
      <c r="Q19" t="s">
        <v>160</v>
      </c>
      <c r="S19" t="s">
        <v>203</v>
      </c>
      <c r="T19" t="s">
        <v>244</v>
      </c>
      <c r="U19">
        <v>1.8615680030583399E-2</v>
      </c>
      <c r="V19" t="s">
        <v>160</v>
      </c>
      <c r="X19">
        <v>2.1004566210045664E-2</v>
      </c>
      <c r="Y19">
        <v>3.6291010947302131E-2</v>
      </c>
      <c r="Z19" t="s">
        <v>244</v>
      </c>
      <c r="AA19" t="s">
        <v>25</v>
      </c>
      <c r="AC19" t="s">
        <v>22</v>
      </c>
      <c r="AD19" t="s">
        <v>244</v>
      </c>
      <c r="AE19">
        <v>2.2611873364752143E-2</v>
      </c>
      <c r="AG19" t="s">
        <v>97</v>
      </c>
      <c r="AH19" t="s">
        <v>244</v>
      </c>
      <c r="AI19">
        <v>0.1070148299237299</v>
      </c>
      <c r="AK19">
        <v>2022</v>
      </c>
      <c r="AL19" t="s">
        <v>230</v>
      </c>
      <c r="AM19">
        <v>0.13758795688826528</v>
      </c>
      <c r="AN19" t="s">
        <v>229</v>
      </c>
    </row>
    <row r="20" spans="9:40" x14ac:dyDescent="0.45">
      <c r="I20" t="s">
        <v>158</v>
      </c>
      <c r="J20" t="s">
        <v>245</v>
      </c>
      <c r="K20">
        <v>0.17207619233408997</v>
      </c>
      <c r="L20" t="s">
        <v>160</v>
      </c>
      <c r="N20" t="s">
        <v>184</v>
      </c>
      <c r="O20" t="s">
        <v>245</v>
      </c>
      <c r="P20">
        <v>0.11593882206091109</v>
      </c>
      <c r="Q20" t="s">
        <v>160</v>
      </c>
      <c r="S20" t="s">
        <v>203</v>
      </c>
      <c r="T20" t="s">
        <v>245</v>
      </c>
      <c r="U20">
        <v>0.12871656095401485</v>
      </c>
      <c r="V20" t="s">
        <v>160</v>
      </c>
      <c r="X20">
        <v>0.11301369863013698</v>
      </c>
      <c r="Y20">
        <v>0.15910300077070333</v>
      </c>
      <c r="Z20" t="s">
        <v>245</v>
      </c>
      <c r="AA20" t="s">
        <v>25</v>
      </c>
      <c r="AC20" t="s">
        <v>22</v>
      </c>
      <c r="AD20" t="s">
        <v>245</v>
      </c>
      <c r="AE20">
        <v>0.13762287724714475</v>
      </c>
      <c r="AG20" t="s">
        <v>97</v>
      </c>
      <c r="AH20" t="s">
        <v>245</v>
      </c>
      <c r="AI20">
        <v>0.10814855721490635</v>
      </c>
      <c r="AK20">
        <v>2022</v>
      </c>
      <c r="AL20" t="s">
        <v>232</v>
      </c>
      <c r="AM20">
        <v>0.14520894119755798</v>
      </c>
      <c r="AN20" t="s">
        <v>229</v>
      </c>
    </row>
    <row r="21" spans="9:40" x14ac:dyDescent="0.45">
      <c r="I21" t="s">
        <v>158</v>
      </c>
      <c r="J21" t="s">
        <v>246</v>
      </c>
      <c r="K21">
        <v>0</v>
      </c>
      <c r="L21" t="s">
        <v>160</v>
      </c>
      <c r="N21" t="s">
        <v>184</v>
      </c>
      <c r="O21" t="s">
        <v>246</v>
      </c>
      <c r="P21">
        <v>0.1360794441701238</v>
      </c>
      <c r="Q21" t="s">
        <v>160</v>
      </c>
      <c r="S21" t="s">
        <v>203</v>
      </c>
      <c r="T21" t="s">
        <v>246</v>
      </c>
      <c r="U21">
        <v>0.12941953381337595</v>
      </c>
      <c r="V21" t="s">
        <v>160</v>
      </c>
      <c r="X21">
        <v>0.11301369863013698</v>
      </c>
      <c r="Y21">
        <v>5.197026576834151E-2</v>
      </c>
      <c r="Z21" t="s">
        <v>246</v>
      </c>
      <c r="AA21" t="s">
        <v>25</v>
      </c>
      <c r="AC21" t="s">
        <v>22</v>
      </c>
      <c r="AD21" t="s">
        <v>246</v>
      </c>
      <c r="AE21">
        <v>0.10709107236508457</v>
      </c>
      <c r="AG21" t="s">
        <v>97</v>
      </c>
      <c r="AH21" t="s">
        <v>246</v>
      </c>
      <c r="AI21">
        <v>0.30643668094329723</v>
      </c>
      <c r="AK21">
        <v>2022</v>
      </c>
      <c r="AL21" t="s">
        <v>233</v>
      </c>
      <c r="AM21">
        <v>0.2086540300333051</v>
      </c>
      <c r="AN21" t="s">
        <v>229</v>
      </c>
    </row>
    <row r="22" spans="9:40" x14ac:dyDescent="0.45">
      <c r="I22" t="s">
        <v>158</v>
      </c>
      <c r="J22" t="s">
        <v>247</v>
      </c>
      <c r="K22">
        <v>2.8461971923613616E-3</v>
      </c>
      <c r="L22" t="s">
        <v>160</v>
      </c>
      <c r="N22" t="s">
        <v>184</v>
      </c>
      <c r="O22" t="s">
        <v>247</v>
      </c>
      <c r="P22">
        <v>2.1468139374380368E-2</v>
      </c>
      <c r="Q22" t="s">
        <v>160</v>
      </c>
      <c r="S22" t="s">
        <v>203</v>
      </c>
      <c r="T22" t="s">
        <v>247</v>
      </c>
      <c r="U22">
        <v>2.3966331813214187E-2</v>
      </c>
      <c r="V22" t="s">
        <v>160</v>
      </c>
      <c r="X22">
        <v>2.0547945205479451E-2</v>
      </c>
      <c r="Y22">
        <v>3.5502075926708607E-2</v>
      </c>
      <c r="Z22" t="s">
        <v>247</v>
      </c>
      <c r="AA22" t="s">
        <v>25</v>
      </c>
      <c r="AC22" t="s">
        <v>22</v>
      </c>
      <c r="AD22" t="s">
        <v>247</v>
      </c>
      <c r="AE22">
        <v>2.6613888899099897E-2</v>
      </c>
      <c r="AG22" t="s">
        <v>97</v>
      </c>
      <c r="AH22" t="s">
        <v>247</v>
      </c>
      <c r="AI22">
        <v>5.2768244206291559E-2</v>
      </c>
      <c r="AK22">
        <v>2022</v>
      </c>
      <c r="AL22" t="s">
        <v>235</v>
      </c>
      <c r="AM22">
        <v>0.14341752526150051</v>
      </c>
      <c r="AN22" t="s">
        <v>229</v>
      </c>
    </row>
    <row r="23" spans="9:40" x14ac:dyDescent="0.45">
      <c r="I23" t="s">
        <v>161</v>
      </c>
      <c r="J23" t="s">
        <v>236</v>
      </c>
      <c r="K23">
        <v>0.17644920749643755</v>
      </c>
      <c r="L23" t="s">
        <v>160</v>
      </c>
      <c r="N23" t="s">
        <v>185</v>
      </c>
      <c r="O23" t="s">
        <v>236</v>
      </c>
      <c r="P23">
        <v>0.13056666014806387</v>
      </c>
      <c r="Q23" t="s">
        <v>160</v>
      </c>
      <c r="S23" t="s">
        <v>204</v>
      </c>
      <c r="T23" t="s">
        <v>236</v>
      </c>
      <c r="U23">
        <v>0.12249313578911611</v>
      </c>
      <c r="V23" t="s">
        <v>160</v>
      </c>
      <c r="AC23" t="s">
        <v>19</v>
      </c>
      <c r="AD23" t="s">
        <v>236</v>
      </c>
      <c r="AE23">
        <v>0.11495523261944324</v>
      </c>
      <c r="AK23">
        <v>2025</v>
      </c>
      <c r="AL23" t="s">
        <v>230</v>
      </c>
      <c r="AM23">
        <v>0.2397</v>
      </c>
      <c r="AN23" t="s">
        <v>229</v>
      </c>
    </row>
    <row r="24" spans="9:40" x14ac:dyDescent="0.45">
      <c r="I24" t="s">
        <v>161</v>
      </c>
      <c r="J24" t="s">
        <v>237</v>
      </c>
      <c r="K24">
        <v>0</v>
      </c>
      <c r="L24" t="s">
        <v>160</v>
      </c>
      <c r="N24" t="s">
        <v>185</v>
      </c>
      <c r="O24" t="s">
        <v>237</v>
      </c>
      <c r="P24">
        <v>0.13653238540169152</v>
      </c>
      <c r="Q24" t="s">
        <v>160</v>
      </c>
      <c r="S24" t="s">
        <v>204</v>
      </c>
      <c r="T24" t="s">
        <v>237</v>
      </c>
      <c r="U24">
        <v>0.13243094329614849</v>
      </c>
      <c r="V24" t="s">
        <v>160</v>
      </c>
      <c r="AC24" t="s">
        <v>19</v>
      </c>
      <c r="AD24" t="s">
        <v>237</v>
      </c>
      <c r="AE24">
        <v>0.11331233725982839</v>
      </c>
      <c r="AK24">
        <v>2025</v>
      </c>
      <c r="AL24" t="s">
        <v>232</v>
      </c>
      <c r="AM24">
        <v>0.2588333333333333</v>
      </c>
      <c r="AN24" t="s">
        <v>229</v>
      </c>
    </row>
    <row r="25" spans="9:40" x14ac:dyDescent="0.45">
      <c r="I25" t="s">
        <v>161</v>
      </c>
      <c r="J25" t="s">
        <v>238</v>
      </c>
      <c r="K25">
        <v>7.827357553146088E-3</v>
      </c>
      <c r="L25" t="s">
        <v>160</v>
      </c>
      <c r="N25" t="s">
        <v>185</v>
      </c>
      <c r="O25" t="s">
        <v>238</v>
      </c>
      <c r="P25">
        <v>2.602999496019328E-2</v>
      </c>
      <c r="Q25" t="s">
        <v>160</v>
      </c>
      <c r="S25" t="s">
        <v>204</v>
      </c>
      <c r="T25" t="s">
        <v>238</v>
      </c>
      <c r="U25">
        <v>2.2169951647495981E-2</v>
      </c>
      <c r="V25" t="s">
        <v>160</v>
      </c>
      <c r="AC25" t="s">
        <v>19</v>
      </c>
      <c r="AD25" t="s">
        <v>238</v>
      </c>
      <c r="AE25">
        <v>2.0959220056360785E-2</v>
      </c>
      <c r="AK25">
        <v>2025</v>
      </c>
      <c r="AL25" t="s">
        <v>233</v>
      </c>
      <c r="AM25">
        <v>0.36296666666666666</v>
      </c>
      <c r="AN25" t="s">
        <v>229</v>
      </c>
    </row>
    <row r="26" spans="9:40" x14ac:dyDescent="0.45">
      <c r="I26" t="s">
        <v>161</v>
      </c>
      <c r="J26" t="s">
        <v>239</v>
      </c>
      <c r="K26">
        <v>0.24748958942427146</v>
      </c>
      <c r="L26" t="s">
        <v>160</v>
      </c>
      <c r="N26" t="s">
        <v>185</v>
      </c>
      <c r="O26" t="s">
        <v>239</v>
      </c>
      <c r="P26">
        <v>0.14748702830544547</v>
      </c>
      <c r="Q26" t="s">
        <v>160</v>
      </c>
      <c r="S26" t="s">
        <v>204</v>
      </c>
      <c r="T26" t="s">
        <v>239</v>
      </c>
      <c r="U26">
        <v>0.12215896981750889</v>
      </c>
      <c r="V26" t="s">
        <v>160</v>
      </c>
      <c r="AC26" t="s">
        <v>19</v>
      </c>
      <c r="AD26" t="s">
        <v>239</v>
      </c>
      <c r="AE26">
        <v>0.11632010738895902</v>
      </c>
      <c r="AK26">
        <v>2025</v>
      </c>
      <c r="AL26" t="s">
        <v>235</v>
      </c>
      <c r="AM26">
        <v>0.20936666666666667</v>
      </c>
      <c r="AN26" t="s">
        <v>229</v>
      </c>
    </row>
    <row r="27" spans="9:40" x14ac:dyDescent="0.45">
      <c r="I27" t="s">
        <v>161</v>
      </c>
      <c r="J27" t="s">
        <v>240</v>
      </c>
      <c r="K27">
        <v>3.279955176275353E-3</v>
      </c>
      <c r="L27" t="s">
        <v>160</v>
      </c>
      <c r="N27" t="s">
        <v>185</v>
      </c>
      <c r="O27" t="s">
        <v>240</v>
      </c>
      <c r="P27">
        <v>0.13119302078591979</v>
      </c>
      <c r="Q27" t="s">
        <v>160</v>
      </c>
      <c r="S27" t="s">
        <v>204</v>
      </c>
      <c r="T27" t="s">
        <v>240</v>
      </c>
      <c r="U27">
        <v>0.14109521424487528</v>
      </c>
      <c r="V27" t="s">
        <v>160</v>
      </c>
      <c r="AC27" t="s">
        <v>19</v>
      </c>
      <c r="AD27" t="s">
        <v>240</v>
      </c>
      <c r="AE27">
        <v>0.11447441211196349</v>
      </c>
      <c r="AK27">
        <v>2026</v>
      </c>
      <c r="AL27" t="s">
        <v>230</v>
      </c>
      <c r="AM27">
        <v>0.18663333333333335</v>
      </c>
      <c r="AN27" t="s">
        <v>229</v>
      </c>
    </row>
    <row r="28" spans="9:40" x14ac:dyDescent="0.45">
      <c r="I28" t="s">
        <v>161</v>
      </c>
      <c r="J28" t="s">
        <v>241</v>
      </c>
      <c r="K28">
        <v>2.2511453047495952E-2</v>
      </c>
      <c r="L28" t="s">
        <v>160</v>
      </c>
      <c r="N28" t="s">
        <v>185</v>
      </c>
      <c r="O28" t="s">
        <v>241</v>
      </c>
      <c r="P28">
        <v>2.7025300507589046E-2</v>
      </c>
      <c r="Q28" t="s">
        <v>160</v>
      </c>
      <c r="S28" t="s">
        <v>204</v>
      </c>
      <c r="T28" t="s">
        <v>241</v>
      </c>
      <c r="U28">
        <v>2.5371983694879946E-2</v>
      </c>
      <c r="V28" t="s">
        <v>160</v>
      </c>
      <c r="AC28" t="s">
        <v>19</v>
      </c>
      <c r="AD28" t="s">
        <v>241</v>
      </c>
      <c r="AE28">
        <v>2.1204273083676676E-2</v>
      </c>
      <c r="AK28">
        <v>2026</v>
      </c>
      <c r="AL28" t="s">
        <v>232</v>
      </c>
      <c r="AM28">
        <v>0.19436666666666666</v>
      </c>
      <c r="AN28" t="s">
        <v>229</v>
      </c>
    </row>
    <row r="29" spans="9:40" x14ac:dyDescent="0.45">
      <c r="I29" t="s">
        <v>161</v>
      </c>
      <c r="J29" t="s">
        <v>242</v>
      </c>
      <c r="K29">
        <v>0.33880134884834273</v>
      </c>
      <c r="L29" t="s">
        <v>160</v>
      </c>
      <c r="N29" t="s">
        <v>185</v>
      </c>
      <c r="O29" t="s">
        <v>242</v>
      </c>
      <c r="P29">
        <v>4.965791734764767E-2</v>
      </c>
      <c r="Q29" t="s">
        <v>160</v>
      </c>
      <c r="S29" t="s">
        <v>204</v>
      </c>
      <c r="T29" t="s">
        <v>242</v>
      </c>
      <c r="U29">
        <v>6.1624041852605033E-2</v>
      </c>
      <c r="V29" t="s">
        <v>160</v>
      </c>
      <c r="AC29" t="s">
        <v>19</v>
      </c>
      <c r="AD29" t="s">
        <v>242</v>
      </c>
      <c r="AE29">
        <v>0.11630400514669803</v>
      </c>
      <c r="AK29">
        <v>2026</v>
      </c>
      <c r="AL29" t="s">
        <v>233</v>
      </c>
      <c r="AM29">
        <v>0.27333333333333337</v>
      </c>
      <c r="AN29" t="s">
        <v>229</v>
      </c>
    </row>
    <row r="30" spans="9:40" x14ac:dyDescent="0.45">
      <c r="I30" t="s">
        <v>161</v>
      </c>
      <c r="J30" t="s">
        <v>243</v>
      </c>
      <c r="K30">
        <v>1.2058375099891543E-2</v>
      </c>
      <c r="L30" t="s">
        <v>160</v>
      </c>
      <c r="N30" t="s">
        <v>185</v>
      </c>
      <c r="O30" t="s">
        <v>243</v>
      </c>
      <c r="P30">
        <v>5.5346436430336016E-2</v>
      </c>
      <c r="Q30" t="s">
        <v>160</v>
      </c>
      <c r="S30" t="s">
        <v>204</v>
      </c>
      <c r="T30" t="s">
        <v>243</v>
      </c>
      <c r="U30">
        <v>7.7130666748338642E-2</v>
      </c>
      <c r="V30" t="s">
        <v>160</v>
      </c>
      <c r="AC30" t="s">
        <v>19</v>
      </c>
      <c r="AD30" t="s">
        <v>243</v>
      </c>
      <c r="AE30">
        <v>0.11452983114371207</v>
      </c>
      <c r="AK30">
        <v>2026</v>
      </c>
      <c r="AL30" t="s">
        <v>235</v>
      </c>
      <c r="AM30">
        <v>0.14516666666666667</v>
      </c>
      <c r="AN30" t="s">
        <v>229</v>
      </c>
    </row>
    <row r="31" spans="9:40" x14ac:dyDescent="0.45">
      <c r="I31" t="s">
        <v>161</v>
      </c>
      <c r="J31" t="s">
        <v>244</v>
      </c>
      <c r="K31">
        <v>3.5985686491694063E-2</v>
      </c>
      <c r="L31" t="s">
        <v>160</v>
      </c>
      <c r="N31" t="s">
        <v>185</v>
      </c>
      <c r="O31" t="s">
        <v>244</v>
      </c>
      <c r="P31">
        <v>1.3630798221471573E-2</v>
      </c>
      <c r="Q31" t="s">
        <v>160</v>
      </c>
      <c r="S31" t="s">
        <v>204</v>
      </c>
      <c r="T31" t="s">
        <v>244</v>
      </c>
      <c r="U31">
        <v>1.3776265251552971E-2</v>
      </c>
      <c r="V31" t="s">
        <v>160</v>
      </c>
      <c r="AC31" t="s">
        <v>19</v>
      </c>
      <c r="AD31" t="s">
        <v>244</v>
      </c>
      <c r="AE31">
        <v>2.1171216837340218E-2</v>
      </c>
      <c r="AK31">
        <v>2027</v>
      </c>
      <c r="AL31" t="s">
        <v>230</v>
      </c>
      <c r="AM31">
        <v>0.18623333333333333</v>
      </c>
      <c r="AN31" t="s">
        <v>229</v>
      </c>
    </row>
    <row r="32" spans="9:40" x14ac:dyDescent="0.45">
      <c r="I32" t="s">
        <v>161</v>
      </c>
      <c r="J32" t="s">
        <v>245</v>
      </c>
      <c r="K32">
        <v>0.15303433929252713</v>
      </c>
      <c r="L32" t="s">
        <v>160</v>
      </c>
      <c r="N32" t="s">
        <v>185</v>
      </c>
      <c r="O32" t="s">
        <v>245</v>
      </c>
      <c r="P32">
        <v>0.12875232664863784</v>
      </c>
      <c r="Q32" t="s">
        <v>160</v>
      </c>
      <c r="S32" t="s">
        <v>204</v>
      </c>
      <c r="T32" t="s">
        <v>245</v>
      </c>
      <c r="U32">
        <v>0.1257884580383242</v>
      </c>
      <c r="V32" t="s">
        <v>160</v>
      </c>
      <c r="AC32" t="s">
        <v>19</v>
      </c>
      <c r="AD32" t="s">
        <v>245</v>
      </c>
      <c r="AE32">
        <v>0.11416318349107028</v>
      </c>
      <c r="AK32">
        <v>2027</v>
      </c>
      <c r="AL32" t="s">
        <v>232</v>
      </c>
      <c r="AM32">
        <v>0.1996</v>
      </c>
      <c r="AN32" t="s">
        <v>229</v>
      </c>
    </row>
    <row r="33" spans="9:40" x14ac:dyDescent="0.45">
      <c r="I33" t="s">
        <v>161</v>
      </c>
      <c r="J33" t="s">
        <v>246</v>
      </c>
      <c r="K33">
        <v>0</v>
      </c>
      <c r="L33" t="s">
        <v>160</v>
      </c>
      <c r="N33" t="s">
        <v>185</v>
      </c>
      <c r="O33" t="s">
        <v>246</v>
      </c>
      <c r="P33">
        <v>0.12984191592957986</v>
      </c>
      <c r="Q33" t="s">
        <v>160</v>
      </c>
      <c r="S33" t="s">
        <v>204</v>
      </c>
      <c r="T33" t="s">
        <v>246</v>
      </c>
      <c r="U33">
        <v>0.13267519274694647</v>
      </c>
      <c r="V33" t="s">
        <v>160</v>
      </c>
      <c r="AC33" t="s">
        <v>19</v>
      </c>
      <c r="AD33" t="s">
        <v>246</v>
      </c>
      <c r="AE33">
        <v>0.11172198474672497</v>
      </c>
      <c r="AK33">
        <v>2027</v>
      </c>
      <c r="AL33" t="s">
        <v>233</v>
      </c>
      <c r="AM33">
        <v>0.26099999999999995</v>
      </c>
      <c r="AN33" t="s">
        <v>229</v>
      </c>
    </row>
    <row r="34" spans="9:40" x14ac:dyDescent="0.45">
      <c r="I34" t="s">
        <v>161</v>
      </c>
      <c r="J34" t="s">
        <v>247</v>
      </c>
      <c r="K34">
        <v>2.562687569915401E-3</v>
      </c>
      <c r="L34" t="s">
        <v>160</v>
      </c>
      <c r="N34" t="s">
        <v>185</v>
      </c>
      <c r="O34" t="s">
        <v>247</v>
      </c>
      <c r="P34">
        <v>2.3936215313423822E-2</v>
      </c>
      <c r="Q34" t="s">
        <v>160</v>
      </c>
      <c r="S34" t="s">
        <v>204</v>
      </c>
      <c r="T34" t="s">
        <v>247</v>
      </c>
      <c r="U34">
        <v>2.3285176872207613E-2</v>
      </c>
      <c r="V34" t="s">
        <v>160</v>
      </c>
      <c r="AC34" t="s">
        <v>19</v>
      </c>
      <c r="AD34" t="s">
        <v>247</v>
      </c>
      <c r="AE34">
        <v>2.0884196114222889E-2</v>
      </c>
      <c r="AK34">
        <v>2027</v>
      </c>
      <c r="AL34" t="s">
        <v>235</v>
      </c>
      <c r="AM34">
        <v>0.16209999999999999</v>
      </c>
      <c r="AN34" t="s">
        <v>229</v>
      </c>
    </row>
    <row r="35" spans="9:40" x14ac:dyDescent="0.45">
      <c r="I35" t="s">
        <v>162</v>
      </c>
      <c r="J35" t="s">
        <v>236</v>
      </c>
      <c r="K35">
        <v>0.19459495617702249</v>
      </c>
      <c r="L35" t="s">
        <v>160</v>
      </c>
      <c r="N35" t="s">
        <v>186</v>
      </c>
      <c r="O35" t="s">
        <v>236</v>
      </c>
      <c r="P35">
        <v>0.12711657336911472</v>
      </c>
      <c r="Q35" t="s">
        <v>160</v>
      </c>
      <c r="S35" t="s">
        <v>205</v>
      </c>
      <c r="T35" t="s">
        <v>236</v>
      </c>
      <c r="U35">
        <v>9.8176680006863998E-2</v>
      </c>
      <c r="V35" t="s">
        <v>160</v>
      </c>
      <c r="AK35">
        <v>2028</v>
      </c>
      <c r="AL35" t="s">
        <v>230</v>
      </c>
      <c r="AM35">
        <v>0.21579999999999999</v>
      </c>
      <c r="AN35" t="s">
        <v>229</v>
      </c>
    </row>
    <row r="36" spans="9:40" x14ac:dyDescent="0.45">
      <c r="I36" t="s">
        <v>162</v>
      </c>
      <c r="J36" t="s">
        <v>237</v>
      </c>
      <c r="K36">
        <v>0</v>
      </c>
      <c r="L36" t="s">
        <v>160</v>
      </c>
      <c r="N36" t="s">
        <v>186</v>
      </c>
      <c r="O36" t="s">
        <v>237</v>
      </c>
      <c r="P36">
        <v>0.12522575979531264</v>
      </c>
      <c r="Q36" t="s">
        <v>160</v>
      </c>
      <c r="S36" t="s">
        <v>205</v>
      </c>
      <c r="T36" t="s">
        <v>237</v>
      </c>
      <c r="U36">
        <v>0.10789251960963051</v>
      </c>
      <c r="V36" t="s">
        <v>160</v>
      </c>
      <c r="AK36">
        <v>2028</v>
      </c>
      <c r="AL36" t="s">
        <v>232</v>
      </c>
      <c r="AM36">
        <v>0.23303333333333334</v>
      </c>
      <c r="AN36" t="s">
        <v>229</v>
      </c>
    </row>
    <row r="37" spans="9:40" x14ac:dyDescent="0.45">
      <c r="I37" t="s">
        <v>162</v>
      </c>
      <c r="J37" t="s">
        <v>238</v>
      </c>
      <c r="K37">
        <v>8.0081154751807035E-3</v>
      </c>
      <c r="L37" t="s">
        <v>160</v>
      </c>
      <c r="N37" t="s">
        <v>186</v>
      </c>
      <c r="O37" t="s">
        <v>238</v>
      </c>
      <c r="P37">
        <v>2.5521826937079464E-2</v>
      </c>
      <c r="Q37" t="s">
        <v>160</v>
      </c>
      <c r="S37" t="s">
        <v>205</v>
      </c>
      <c r="T37" t="s">
        <v>238</v>
      </c>
      <c r="U37">
        <v>2.0657634674127581E-2</v>
      </c>
      <c r="V37" t="s">
        <v>160</v>
      </c>
      <c r="AK37">
        <v>2028</v>
      </c>
      <c r="AL37" t="s">
        <v>233</v>
      </c>
      <c r="AM37">
        <v>0.32106666666666667</v>
      </c>
      <c r="AN37" t="s">
        <v>229</v>
      </c>
    </row>
    <row r="38" spans="9:40" x14ac:dyDescent="0.45">
      <c r="I38" t="s">
        <v>162</v>
      </c>
      <c r="J38" t="s">
        <v>239</v>
      </c>
      <c r="K38">
        <v>0.25562007391699693</v>
      </c>
      <c r="L38" t="s">
        <v>160</v>
      </c>
      <c r="N38" t="s">
        <v>186</v>
      </c>
      <c r="O38" t="s">
        <v>239</v>
      </c>
      <c r="P38">
        <v>0.14743920602788835</v>
      </c>
      <c r="Q38" t="s">
        <v>160</v>
      </c>
      <c r="S38" t="s">
        <v>205</v>
      </c>
      <c r="T38" t="s">
        <v>239</v>
      </c>
      <c r="U38">
        <v>0.120458239394928</v>
      </c>
      <c r="V38" t="s">
        <v>160</v>
      </c>
      <c r="AK38">
        <v>2028</v>
      </c>
      <c r="AL38" t="s">
        <v>235</v>
      </c>
      <c r="AM38">
        <v>0.17479999999999998</v>
      </c>
      <c r="AN38" t="s">
        <v>229</v>
      </c>
    </row>
    <row r="39" spans="9:40" x14ac:dyDescent="0.45">
      <c r="I39" t="s">
        <v>162</v>
      </c>
      <c r="J39" t="s">
        <v>240</v>
      </c>
      <c r="K39">
        <v>3.5611384157117169E-3</v>
      </c>
      <c r="L39" t="s">
        <v>160</v>
      </c>
      <c r="N39" t="s">
        <v>186</v>
      </c>
      <c r="O39" t="s">
        <v>240</v>
      </c>
      <c r="P39">
        <v>0.12435863315167088</v>
      </c>
      <c r="Q39" t="s">
        <v>160</v>
      </c>
      <c r="S39" t="s">
        <v>205</v>
      </c>
      <c r="T39" t="s">
        <v>240</v>
      </c>
      <c r="U39">
        <v>0.15047783823838956</v>
      </c>
      <c r="V39" t="s">
        <v>160</v>
      </c>
      <c r="AK39">
        <v>2029</v>
      </c>
      <c r="AL39" t="s">
        <v>230</v>
      </c>
      <c r="AM39">
        <v>0.19823333333333334</v>
      </c>
      <c r="AN39" t="s">
        <v>229</v>
      </c>
    </row>
    <row r="40" spans="9:40" x14ac:dyDescent="0.45">
      <c r="I40" t="s">
        <v>162</v>
      </c>
      <c r="J40" t="s">
        <v>241</v>
      </c>
      <c r="K40">
        <v>2.4247303594511674E-2</v>
      </c>
      <c r="L40" t="s">
        <v>160</v>
      </c>
      <c r="N40" t="s">
        <v>186</v>
      </c>
      <c r="O40" t="s">
        <v>241</v>
      </c>
      <c r="P40">
        <v>2.8464220348391741E-2</v>
      </c>
      <c r="Q40" t="s">
        <v>160</v>
      </c>
      <c r="S40" t="s">
        <v>205</v>
      </c>
      <c r="T40" t="s">
        <v>241</v>
      </c>
      <c r="U40">
        <v>2.5514230103279197E-2</v>
      </c>
      <c r="V40" t="s">
        <v>160</v>
      </c>
      <c r="AK40">
        <v>2029</v>
      </c>
      <c r="AL40" t="s">
        <v>232</v>
      </c>
      <c r="AM40">
        <v>0.2213333333333333</v>
      </c>
      <c r="AN40" t="s">
        <v>229</v>
      </c>
    </row>
    <row r="41" spans="9:40" x14ac:dyDescent="0.45">
      <c r="I41" t="s">
        <v>162</v>
      </c>
      <c r="J41" t="s">
        <v>242</v>
      </c>
      <c r="K41">
        <v>0.30581155265700521</v>
      </c>
      <c r="L41" t="s">
        <v>160</v>
      </c>
      <c r="N41" t="s">
        <v>186</v>
      </c>
      <c r="O41" t="s">
        <v>242</v>
      </c>
      <c r="P41">
        <v>4.8227032806178155E-2</v>
      </c>
      <c r="Q41" t="s">
        <v>160</v>
      </c>
      <c r="S41" t="s">
        <v>205</v>
      </c>
      <c r="T41" t="s">
        <v>242</v>
      </c>
      <c r="U41">
        <v>8.402163182622617E-2</v>
      </c>
      <c r="V41" t="s">
        <v>160</v>
      </c>
      <c r="AK41">
        <v>2029</v>
      </c>
      <c r="AL41" t="s">
        <v>233</v>
      </c>
      <c r="AM41">
        <v>0.311</v>
      </c>
      <c r="AN41" t="s">
        <v>229</v>
      </c>
    </row>
    <row r="42" spans="9:40" x14ac:dyDescent="0.45">
      <c r="I42" t="s">
        <v>162</v>
      </c>
      <c r="J42" t="s">
        <v>243</v>
      </c>
      <c r="K42">
        <v>1.0722873491446901E-2</v>
      </c>
      <c r="L42" t="s">
        <v>160</v>
      </c>
      <c r="N42" t="s">
        <v>186</v>
      </c>
      <c r="O42" t="s">
        <v>243</v>
      </c>
      <c r="P42">
        <v>4.9717943815655703E-2</v>
      </c>
      <c r="Q42" t="s">
        <v>160</v>
      </c>
      <c r="S42" t="s">
        <v>205</v>
      </c>
      <c r="T42" t="s">
        <v>243</v>
      </c>
      <c r="U42">
        <v>0.10152805935195404</v>
      </c>
      <c r="V42" t="s">
        <v>160</v>
      </c>
      <c r="AK42">
        <v>2029</v>
      </c>
      <c r="AL42" t="s">
        <v>235</v>
      </c>
      <c r="AM42">
        <v>0.18233333333333335</v>
      </c>
      <c r="AN42" t="s">
        <v>229</v>
      </c>
    </row>
    <row r="43" spans="9:40" x14ac:dyDescent="0.45">
      <c r="I43" t="s">
        <v>162</v>
      </c>
      <c r="J43" t="s">
        <v>244</v>
      </c>
      <c r="K43">
        <v>3.2464939983957782E-2</v>
      </c>
      <c r="L43" t="s">
        <v>160</v>
      </c>
      <c r="N43" t="s">
        <v>186</v>
      </c>
      <c r="O43" t="s">
        <v>244</v>
      </c>
      <c r="P43">
        <v>1.3749011502971713E-2</v>
      </c>
      <c r="Q43" t="s">
        <v>160</v>
      </c>
      <c r="S43" t="s">
        <v>205</v>
      </c>
      <c r="T43" t="s">
        <v>244</v>
      </c>
      <c r="U43">
        <v>1.9410366408402088E-2</v>
      </c>
      <c r="V43" t="s">
        <v>160</v>
      </c>
      <c r="AK43">
        <v>2030</v>
      </c>
      <c r="AL43" t="s">
        <v>230</v>
      </c>
      <c r="AM43">
        <v>0.22030000000000002</v>
      </c>
      <c r="AN43" t="s">
        <v>229</v>
      </c>
    </row>
    <row r="44" spans="9:40" x14ac:dyDescent="0.45">
      <c r="I44" t="s">
        <v>162</v>
      </c>
      <c r="J44" t="s">
        <v>245</v>
      </c>
      <c r="K44">
        <v>0.16186826622294023</v>
      </c>
      <c r="L44" t="s">
        <v>160</v>
      </c>
      <c r="N44" t="s">
        <v>186</v>
      </c>
      <c r="O44" t="s">
        <v>245</v>
      </c>
      <c r="P44">
        <v>0.14258757098213748</v>
      </c>
      <c r="Q44" t="s">
        <v>160</v>
      </c>
      <c r="S44" t="s">
        <v>205</v>
      </c>
      <c r="T44" t="s">
        <v>245</v>
      </c>
      <c r="U44">
        <v>0.11931999515982915</v>
      </c>
      <c r="V44" t="s">
        <v>160</v>
      </c>
      <c r="AK44">
        <v>2030</v>
      </c>
      <c r="AL44" t="s">
        <v>232</v>
      </c>
      <c r="AM44">
        <v>0.23766666666666669</v>
      </c>
      <c r="AN44" t="s">
        <v>229</v>
      </c>
    </row>
    <row r="45" spans="9:40" x14ac:dyDescent="0.45">
      <c r="I45" t="s">
        <v>162</v>
      </c>
      <c r="J45" t="s">
        <v>246</v>
      </c>
      <c r="K45">
        <v>0</v>
      </c>
      <c r="L45" t="s">
        <v>160</v>
      </c>
      <c r="N45" t="s">
        <v>186</v>
      </c>
      <c r="O45" t="s">
        <v>246</v>
      </c>
      <c r="P45">
        <v>0.14235972041252545</v>
      </c>
      <c r="Q45" t="s">
        <v>160</v>
      </c>
      <c r="S45" t="s">
        <v>205</v>
      </c>
      <c r="T45" t="s">
        <v>246</v>
      </c>
      <c r="U45">
        <v>0.12974735088427772</v>
      </c>
      <c r="V45" t="s">
        <v>160</v>
      </c>
      <c r="AK45">
        <v>2030</v>
      </c>
      <c r="AL45" t="s">
        <v>233</v>
      </c>
      <c r="AM45">
        <v>0.30509999999999998</v>
      </c>
      <c r="AN45" t="s">
        <v>229</v>
      </c>
    </row>
    <row r="46" spans="9:40" x14ac:dyDescent="0.45">
      <c r="I46" t="s">
        <v>162</v>
      </c>
      <c r="J46" t="s">
        <v>247</v>
      </c>
      <c r="K46">
        <v>3.1007800652300579E-3</v>
      </c>
      <c r="L46" t="s">
        <v>160</v>
      </c>
      <c r="N46" t="s">
        <v>186</v>
      </c>
      <c r="O46" t="s">
        <v>247</v>
      </c>
      <c r="P46">
        <v>2.5232500851070729E-2</v>
      </c>
      <c r="Q46" t="s">
        <v>160</v>
      </c>
      <c r="S46" t="s">
        <v>205</v>
      </c>
      <c r="T46" t="s">
        <v>247</v>
      </c>
      <c r="U46">
        <v>2.2795454342098571E-2</v>
      </c>
      <c r="V46" t="s">
        <v>160</v>
      </c>
      <c r="AK46">
        <v>2030</v>
      </c>
      <c r="AL46" t="s">
        <v>235</v>
      </c>
      <c r="AM46">
        <v>0.17910000000000001</v>
      </c>
      <c r="AN46" t="s">
        <v>229</v>
      </c>
    </row>
    <row r="47" spans="9:40" x14ac:dyDescent="0.45">
      <c r="I47" t="s">
        <v>163</v>
      </c>
      <c r="J47" t="s">
        <v>236</v>
      </c>
      <c r="K47">
        <v>0.17671857587606279</v>
      </c>
      <c r="L47" t="s">
        <v>160</v>
      </c>
      <c r="N47" t="s">
        <v>187</v>
      </c>
      <c r="O47" t="s">
        <v>236</v>
      </c>
      <c r="P47">
        <v>0.13889209889004328</v>
      </c>
      <c r="Q47" t="s">
        <v>160</v>
      </c>
      <c r="S47" t="s">
        <v>206</v>
      </c>
      <c r="T47" t="s">
        <v>236</v>
      </c>
      <c r="U47">
        <v>8.9793813042268286E-2</v>
      </c>
      <c r="V47" t="s">
        <v>160</v>
      </c>
      <c r="AK47">
        <v>2031</v>
      </c>
      <c r="AL47" t="s">
        <v>230</v>
      </c>
      <c r="AM47">
        <v>0.20273333333333335</v>
      </c>
      <c r="AN47" t="s">
        <v>229</v>
      </c>
    </row>
    <row r="48" spans="9:40" x14ac:dyDescent="0.45">
      <c r="I48" t="s">
        <v>163</v>
      </c>
      <c r="J48" t="s">
        <v>237</v>
      </c>
      <c r="K48">
        <v>0</v>
      </c>
      <c r="L48" t="s">
        <v>160</v>
      </c>
      <c r="N48" t="s">
        <v>187</v>
      </c>
      <c r="O48" t="s">
        <v>237</v>
      </c>
      <c r="P48">
        <v>0.14187085756184334</v>
      </c>
      <c r="Q48" t="s">
        <v>160</v>
      </c>
      <c r="S48" t="s">
        <v>206</v>
      </c>
      <c r="T48" t="s">
        <v>237</v>
      </c>
      <c r="U48">
        <v>9.304882151518129E-2</v>
      </c>
      <c r="V48" t="s">
        <v>160</v>
      </c>
      <c r="AK48">
        <v>2031</v>
      </c>
      <c r="AL48" t="s">
        <v>232</v>
      </c>
      <c r="AM48">
        <v>0.2167</v>
      </c>
      <c r="AN48" t="s">
        <v>229</v>
      </c>
    </row>
    <row r="49" spans="9:40" x14ac:dyDescent="0.45">
      <c r="I49" t="s">
        <v>163</v>
      </c>
      <c r="J49" t="s">
        <v>238</v>
      </c>
      <c r="K49">
        <v>7.9017219997273465E-3</v>
      </c>
      <c r="L49" t="s">
        <v>160</v>
      </c>
      <c r="N49" t="s">
        <v>187</v>
      </c>
      <c r="O49" t="s">
        <v>238</v>
      </c>
      <c r="P49">
        <v>2.6142548642177889E-2</v>
      </c>
      <c r="Q49" t="s">
        <v>160</v>
      </c>
      <c r="S49" t="s">
        <v>206</v>
      </c>
      <c r="T49" t="s">
        <v>238</v>
      </c>
      <c r="U49">
        <v>1.7183508503271543E-2</v>
      </c>
      <c r="V49" t="s">
        <v>160</v>
      </c>
      <c r="AK49">
        <v>2031</v>
      </c>
      <c r="AL49" t="s">
        <v>233</v>
      </c>
      <c r="AM49">
        <v>0.31953333333333334</v>
      </c>
      <c r="AN49" t="s">
        <v>229</v>
      </c>
    </row>
    <row r="50" spans="9:40" x14ac:dyDescent="0.45">
      <c r="I50" t="s">
        <v>163</v>
      </c>
      <c r="J50" t="s">
        <v>239</v>
      </c>
      <c r="K50">
        <v>0.25392253228684852</v>
      </c>
      <c r="L50" t="s">
        <v>160</v>
      </c>
      <c r="N50" t="s">
        <v>187</v>
      </c>
      <c r="O50" t="s">
        <v>239</v>
      </c>
      <c r="P50">
        <v>0.13764603553961613</v>
      </c>
      <c r="Q50" t="s">
        <v>160</v>
      </c>
      <c r="S50" t="s">
        <v>206</v>
      </c>
      <c r="T50" t="s">
        <v>239</v>
      </c>
      <c r="U50">
        <v>0.13424437191025365</v>
      </c>
      <c r="V50" t="s">
        <v>160</v>
      </c>
      <c r="AK50">
        <v>2031</v>
      </c>
      <c r="AL50" t="s">
        <v>235</v>
      </c>
      <c r="AM50">
        <v>0.18823333333333334</v>
      </c>
      <c r="AN50" t="s">
        <v>229</v>
      </c>
    </row>
    <row r="51" spans="9:40" x14ac:dyDescent="0.45">
      <c r="I51" t="s">
        <v>163</v>
      </c>
      <c r="J51" t="s">
        <v>240</v>
      </c>
      <c r="K51">
        <v>3.4634092392453017E-3</v>
      </c>
      <c r="L51" t="s">
        <v>160</v>
      </c>
      <c r="N51" t="s">
        <v>187</v>
      </c>
      <c r="O51" t="s">
        <v>240</v>
      </c>
      <c r="P51">
        <v>0.12485691447094706</v>
      </c>
      <c r="Q51" t="s">
        <v>160</v>
      </c>
      <c r="S51" t="s">
        <v>206</v>
      </c>
      <c r="T51" t="s">
        <v>240</v>
      </c>
      <c r="U51">
        <v>0.14352923730362449</v>
      </c>
      <c r="V51" t="s">
        <v>160</v>
      </c>
      <c r="AK51">
        <v>2032</v>
      </c>
      <c r="AL51" t="s">
        <v>230</v>
      </c>
      <c r="AM51">
        <v>0.21560000000000001</v>
      </c>
      <c r="AN51" t="s">
        <v>229</v>
      </c>
    </row>
    <row r="52" spans="9:40" x14ac:dyDescent="0.45">
      <c r="I52" t="s">
        <v>163</v>
      </c>
      <c r="J52" t="s">
        <v>241</v>
      </c>
      <c r="K52">
        <v>2.4432003295148136E-2</v>
      </c>
      <c r="L52" t="s">
        <v>160</v>
      </c>
      <c r="N52" t="s">
        <v>187</v>
      </c>
      <c r="O52" t="s">
        <v>241</v>
      </c>
      <c r="P52">
        <v>2.4668845393099832E-2</v>
      </c>
      <c r="Q52" t="s">
        <v>160</v>
      </c>
      <c r="S52" t="s">
        <v>206</v>
      </c>
      <c r="T52" t="s">
        <v>241</v>
      </c>
      <c r="U52">
        <v>2.6378796453725702E-2</v>
      </c>
      <c r="V52" t="s">
        <v>160</v>
      </c>
      <c r="AK52">
        <v>2032</v>
      </c>
      <c r="AL52" t="s">
        <v>232</v>
      </c>
      <c r="AM52">
        <v>0.22623333333333337</v>
      </c>
      <c r="AN52" t="s">
        <v>229</v>
      </c>
    </row>
    <row r="53" spans="9:40" x14ac:dyDescent="0.45">
      <c r="I53" t="s">
        <v>163</v>
      </c>
      <c r="J53" t="s">
        <v>242</v>
      </c>
      <c r="K53">
        <v>0.30902781498525345</v>
      </c>
      <c r="L53" t="s">
        <v>160</v>
      </c>
      <c r="N53" t="s">
        <v>187</v>
      </c>
      <c r="O53" t="s">
        <v>242</v>
      </c>
      <c r="P53">
        <v>4.7078369182401075E-2</v>
      </c>
      <c r="Q53" t="s">
        <v>160</v>
      </c>
      <c r="S53" t="s">
        <v>206</v>
      </c>
      <c r="T53" t="s">
        <v>242</v>
      </c>
      <c r="U53">
        <v>6.993247965270559E-2</v>
      </c>
      <c r="V53" t="s">
        <v>160</v>
      </c>
      <c r="AK53">
        <v>2032</v>
      </c>
      <c r="AL53" t="s">
        <v>233</v>
      </c>
      <c r="AM53">
        <v>0.3039</v>
      </c>
      <c r="AN53" t="s">
        <v>229</v>
      </c>
    </row>
    <row r="54" spans="9:40" x14ac:dyDescent="0.45">
      <c r="I54" t="s">
        <v>163</v>
      </c>
      <c r="J54" t="s">
        <v>243</v>
      </c>
      <c r="K54">
        <v>1.1122227493745664E-2</v>
      </c>
      <c r="L54" t="s">
        <v>160</v>
      </c>
      <c r="N54" t="s">
        <v>187</v>
      </c>
      <c r="O54" t="s">
        <v>243</v>
      </c>
      <c r="P54">
        <v>3.6420126140006538E-2</v>
      </c>
      <c r="Q54" t="s">
        <v>160</v>
      </c>
      <c r="S54" t="s">
        <v>206</v>
      </c>
      <c r="T54" t="s">
        <v>243</v>
      </c>
      <c r="U54">
        <v>8.3226092965558288E-2</v>
      </c>
      <c r="V54" t="s">
        <v>160</v>
      </c>
      <c r="AK54">
        <v>2032</v>
      </c>
      <c r="AL54" t="s">
        <v>235</v>
      </c>
      <c r="AM54">
        <v>0.18483333333333332</v>
      </c>
      <c r="AN54" t="s">
        <v>229</v>
      </c>
    </row>
    <row r="55" spans="9:40" x14ac:dyDescent="0.45">
      <c r="I55" t="s">
        <v>163</v>
      </c>
      <c r="J55" t="s">
        <v>244</v>
      </c>
      <c r="K55">
        <v>3.323549399704176E-2</v>
      </c>
      <c r="L55" t="s">
        <v>160</v>
      </c>
      <c r="N55" t="s">
        <v>187</v>
      </c>
      <c r="O55" t="s">
        <v>244</v>
      </c>
      <c r="P55">
        <v>5.1221410779996434E-3</v>
      </c>
      <c r="Q55" t="s">
        <v>160</v>
      </c>
      <c r="S55" t="s">
        <v>206</v>
      </c>
      <c r="T55" t="s">
        <v>244</v>
      </c>
      <c r="U55">
        <v>1.0419268194928387E-2</v>
      </c>
      <c r="V55" t="s">
        <v>160</v>
      </c>
      <c r="AK55">
        <v>2033</v>
      </c>
      <c r="AL55" t="s">
        <v>230</v>
      </c>
      <c r="AM55">
        <v>0.20766666666666667</v>
      </c>
      <c r="AN55" t="s">
        <v>229</v>
      </c>
    </row>
    <row r="56" spans="9:40" x14ac:dyDescent="0.45">
      <c r="I56" t="s">
        <v>163</v>
      </c>
      <c r="J56" t="s">
        <v>245</v>
      </c>
      <c r="K56">
        <v>0.17692881430891313</v>
      </c>
      <c r="L56" t="s">
        <v>160</v>
      </c>
      <c r="N56" t="s">
        <v>187</v>
      </c>
      <c r="O56" t="s">
        <v>245</v>
      </c>
      <c r="P56">
        <v>0.14157440172914973</v>
      </c>
      <c r="Q56" t="s">
        <v>160</v>
      </c>
      <c r="S56" t="s">
        <v>206</v>
      </c>
      <c r="T56" t="s">
        <v>245</v>
      </c>
      <c r="U56">
        <v>0.15071463236712776</v>
      </c>
      <c r="V56" t="s">
        <v>160</v>
      </c>
      <c r="AK56">
        <v>2033</v>
      </c>
      <c r="AL56" t="s">
        <v>232</v>
      </c>
      <c r="AM56">
        <v>0.22276666666666667</v>
      </c>
      <c r="AN56" t="s">
        <v>229</v>
      </c>
    </row>
    <row r="57" spans="9:40" x14ac:dyDescent="0.45">
      <c r="I57" t="s">
        <v>163</v>
      </c>
      <c r="J57" t="s">
        <v>246</v>
      </c>
      <c r="K57">
        <v>0</v>
      </c>
      <c r="L57" t="s">
        <v>160</v>
      </c>
      <c r="N57" t="s">
        <v>187</v>
      </c>
      <c r="O57" t="s">
        <v>246</v>
      </c>
      <c r="P57">
        <v>0.14841428380562191</v>
      </c>
      <c r="Q57" t="s">
        <v>160</v>
      </c>
      <c r="S57" t="s">
        <v>206</v>
      </c>
      <c r="T57" t="s">
        <v>246</v>
      </c>
      <c r="U57">
        <v>0.15192555695543783</v>
      </c>
      <c r="V57" t="s">
        <v>160</v>
      </c>
      <c r="AK57">
        <v>2033</v>
      </c>
      <c r="AL57" t="s">
        <v>233</v>
      </c>
      <c r="AM57">
        <v>0.29526666666666662</v>
      </c>
      <c r="AN57" t="s">
        <v>229</v>
      </c>
    </row>
    <row r="58" spans="9:40" x14ac:dyDescent="0.45">
      <c r="I58" t="s">
        <v>163</v>
      </c>
      <c r="J58" t="s">
        <v>247</v>
      </c>
      <c r="K58">
        <v>3.2474065180134264E-3</v>
      </c>
      <c r="L58" t="s">
        <v>160</v>
      </c>
      <c r="N58" t="s">
        <v>187</v>
      </c>
      <c r="O58" t="s">
        <v>247</v>
      </c>
      <c r="P58">
        <v>2.7313377567090659E-2</v>
      </c>
      <c r="Q58" t="s">
        <v>160</v>
      </c>
      <c r="S58" t="s">
        <v>206</v>
      </c>
      <c r="T58" t="s">
        <v>247</v>
      </c>
      <c r="U58">
        <v>2.9603421135917244E-2</v>
      </c>
      <c r="V58" t="s">
        <v>160</v>
      </c>
      <c r="AK58">
        <v>2033</v>
      </c>
      <c r="AL58" t="s">
        <v>235</v>
      </c>
      <c r="AM58">
        <v>0.19076666666666667</v>
      </c>
      <c r="AN58" t="s">
        <v>229</v>
      </c>
    </row>
    <row r="59" spans="9:40" x14ac:dyDescent="0.45">
      <c r="I59" t="s">
        <v>164</v>
      </c>
      <c r="J59" t="s">
        <v>236</v>
      </c>
      <c r="K59">
        <v>0.18971189612386211</v>
      </c>
      <c r="L59" t="s">
        <v>160</v>
      </c>
      <c r="N59" t="s">
        <v>188</v>
      </c>
      <c r="O59" t="s">
        <v>236</v>
      </c>
      <c r="P59">
        <v>0.14527024553039236</v>
      </c>
      <c r="Q59" t="s">
        <v>160</v>
      </c>
      <c r="S59" t="s">
        <v>207</v>
      </c>
      <c r="T59" t="s">
        <v>236</v>
      </c>
      <c r="U59">
        <v>9.1371564229255145E-2</v>
      </c>
      <c r="V59" t="s">
        <v>160</v>
      </c>
      <c r="AK59">
        <v>2034</v>
      </c>
      <c r="AL59" t="s">
        <v>230</v>
      </c>
      <c r="AM59">
        <v>0.21490000000000001</v>
      </c>
      <c r="AN59" t="s">
        <v>229</v>
      </c>
    </row>
    <row r="60" spans="9:40" x14ac:dyDescent="0.45">
      <c r="I60" t="s">
        <v>164</v>
      </c>
      <c r="J60" t="s">
        <v>237</v>
      </c>
      <c r="K60">
        <v>0</v>
      </c>
      <c r="L60" t="s">
        <v>160</v>
      </c>
      <c r="N60" t="s">
        <v>188</v>
      </c>
      <c r="O60" t="s">
        <v>237</v>
      </c>
      <c r="P60">
        <v>0.1511823653640699</v>
      </c>
      <c r="Q60" t="s">
        <v>160</v>
      </c>
      <c r="S60" t="s">
        <v>207</v>
      </c>
      <c r="T60" t="s">
        <v>237</v>
      </c>
      <c r="U60">
        <v>0.10138911564481028</v>
      </c>
      <c r="V60" t="s">
        <v>160</v>
      </c>
      <c r="AK60">
        <v>2034</v>
      </c>
      <c r="AL60" t="s">
        <v>232</v>
      </c>
      <c r="AM60">
        <v>0.2261</v>
      </c>
      <c r="AN60" t="s">
        <v>229</v>
      </c>
    </row>
    <row r="61" spans="9:40" x14ac:dyDescent="0.45">
      <c r="I61" t="s">
        <v>164</v>
      </c>
      <c r="J61" t="s">
        <v>238</v>
      </c>
      <c r="K61">
        <v>5.6349734917946577E-3</v>
      </c>
      <c r="L61" t="s">
        <v>160</v>
      </c>
      <c r="N61" t="s">
        <v>188</v>
      </c>
      <c r="O61" t="s">
        <v>238</v>
      </c>
      <c r="P61">
        <v>2.8236807991897508E-2</v>
      </c>
      <c r="Q61" t="s">
        <v>160</v>
      </c>
      <c r="S61" t="s">
        <v>207</v>
      </c>
      <c r="T61" t="s">
        <v>238</v>
      </c>
      <c r="U61">
        <v>1.83696203888217E-2</v>
      </c>
      <c r="V61" t="s">
        <v>160</v>
      </c>
      <c r="AK61">
        <v>2034</v>
      </c>
      <c r="AL61" t="s">
        <v>233</v>
      </c>
      <c r="AM61">
        <v>0.32619999999999999</v>
      </c>
      <c r="AN61" t="s">
        <v>229</v>
      </c>
    </row>
    <row r="62" spans="9:40" x14ac:dyDescent="0.45">
      <c r="I62" t="s">
        <v>164</v>
      </c>
      <c r="J62" t="s">
        <v>239</v>
      </c>
      <c r="K62">
        <v>0.27917997287836227</v>
      </c>
      <c r="L62" t="s">
        <v>160</v>
      </c>
      <c r="N62" t="s">
        <v>188</v>
      </c>
      <c r="O62" t="s">
        <v>239</v>
      </c>
      <c r="P62">
        <v>0.15833333506962358</v>
      </c>
      <c r="Q62" t="s">
        <v>160</v>
      </c>
      <c r="S62" t="s">
        <v>207</v>
      </c>
      <c r="T62" t="s">
        <v>239</v>
      </c>
      <c r="U62">
        <v>0.12524118048336277</v>
      </c>
      <c r="V62" t="s">
        <v>160</v>
      </c>
      <c r="AK62">
        <v>2034</v>
      </c>
      <c r="AL62" t="s">
        <v>235</v>
      </c>
      <c r="AM62">
        <v>0.1812</v>
      </c>
      <c r="AN62" t="s">
        <v>229</v>
      </c>
    </row>
    <row r="63" spans="9:40" x14ac:dyDescent="0.45">
      <c r="I63" t="s">
        <v>164</v>
      </c>
      <c r="J63" t="s">
        <v>240</v>
      </c>
      <c r="K63">
        <v>2.7403213354616927E-3</v>
      </c>
      <c r="L63" t="s">
        <v>160</v>
      </c>
      <c r="N63" t="s">
        <v>188</v>
      </c>
      <c r="O63" t="s">
        <v>240</v>
      </c>
      <c r="P63">
        <v>0.13594183590213099</v>
      </c>
      <c r="Q63" t="s">
        <v>160</v>
      </c>
      <c r="S63" t="s">
        <v>207</v>
      </c>
      <c r="T63" t="s">
        <v>240</v>
      </c>
      <c r="U63">
        <v>0.14540719986864872</v>
      </c>
      <c r="V63" t="s">
        <v>160</v>
      </c>
      <c r="AK63">
        <v>2035</v>
      </c>
      <c r="AL63" t="s">
        <v>230</v>
      </c>
      <c r="AM63">
        <v>0.20979999999999999</v>
      </c>
      <c r="AN63" t="s">
        <v>229</v>
      </c>
    </row>
    <row r="64" spans="9:40" x14ac:dyDescent="0.45">
      <c r="I64" t="s">
        <v>164</v>
      </c>
      <c r="J64" t="s">
        <v>241</v>
      </c>
      <c r="K64">
        <v>2.0072526434213603E-2</v>
      </c>
      <c r="L64" t="s">
        <v>160</v>
      </c>
      <c r="N64" t="s">
        <v>188</v>
      </c>
      <c r="O64" t="s">
        <v>241</v>
      </c>
      <c r="P64">
        <v>2.4620450092869194E-2</v>
      </c>
      <c r="Q64" t="s">
        <v>160</v>
      </c>
      <c r="S64" t="s">
        <v>207</v>
      </c>
      <c r="T64" t="s">
        <v>241</v>
      </c>
      <c r="U64">
        <v>2.5049546926477734E-2</v>
      </c>
      <c r="V64" t="s">
        <v>160</v>
      </c>
      <c r="AK64">
        <v>2035</v>
      </c>
      <c r="AL64" t="s">
        <v>232</v>
      </c>
      <c r="AM64">
        <v>0.21226666666666669</v>
      </c>
      <c r="AN64" t="s">
        <v>229</v>
      </c>
    </row>
    <row r="65" spans="9:40" x14ac:dyDescent="0.45">
      <c r="I65" t="s">
        <v>164</v>
      </c>
      <c r="J65" t="s">
        <v>242</v>
      </c>
      <c r="K65">
        <v>0.2956298617722613</v>
      </c>
      <c r="L65" t="s">
        <v>160</v>
      </c>
      <c r="N65" t="s">
        <v>188</v>
      </c>
      <c r="O65" t="s">
        <v>242</v>
      </c>
      <c r="P65">
        <v>4.2851484504464077E-2</v>
      </c>
      <c r="Q65" t="s">
        <v>160</v>
      </c>
      <c r="S65" t="s">
        <v>207</v>
      </c>
      <c r="T65" t="s">
        <v>242</v>
      </c>
      <c r="U65">
        <v>8.273490052694206E-2</v>
      </c>
      <c r="V65" t="s">
        <v>160</v>
      </c>
      <c r="AK65">
        <v>2035</v>
      </c>
      <c r="AL65" t="s">
        <v>233</v>
      </c>
      <c r="AM65">
        <v>0.31743333333333335</v>
      </c>
      <c r="AN65" t="s">
        <v>229</v>
      </c>
    </row>
    <row r="66" spans="9:40" x14ac:dyDescent="0.45">
      <c r="I66" t="s">
        <v>164</v>
      </c>
      <c r="J66" t="s">
        <v>243</v>
      </c>
      <c r="K66">
        <v>1.0016333788463522E-2</v>
      </c>
      <c r="L66" t="s">
        <v>160</v>
      </c>
      <c r="N66" t="s">
        <v>188</v>
      </c>
      <c r="O66" t="s">
        <v>243</v>
      </c>
      <c r="P66">
        <v>3.6916542282360347E-2</v>
      </c>
      <c r="Q66" t="s">
        <v>160</v>
      </c>
      <c r="S66" t="s">
        <v>207</v>
      </c>
      <c r="T66" t="s">
        <v>243</v>
      </c>
      <c r="U66">
        <v>9.2183094165493848E-2</v>
      </c>
      <c r="V66" t="s">
        <v>160</v>
      </c>
      <c r="AK66">
        <v>2035</v>
      </c>
      <c r="AL66" t="s">
        <v>235</v>
      </c>
      <c r="AM66">
        <v>0.18520000000000003</v>
      </c>
      <c r="AN66" t="s">
        <v>229</v>
      </c>
    </row>
    <row r="67" spans="9:40" x14ac:dyDescent="0.45">
      <c r="I67" t="s">
        <v>164</v>
      </c>
      <c r="J67" t="s">
        <v>244</v>
      </c>
      <c r="K67">
        <v>2.6826797637608323E-2</v>
      </c>
      <c r="L67" t="s">
        <v>160</v>
      </c>
      <c r="N67" t="s">
        <v>188</v>
      </c>
      <c r="O67" t="s">
        <v>244</v>
      </c>
      <c r="P67">
        <v>9.8072760082053567E-3</v>
      </c>
      <c r="Q67" t="s">
        <v>160</v>
      </c>
      <c r="S67" t="s">
        <v>207</v>
      </c>
      <c r="T67" t="s">
        <v>244</v>
      </c>
      <c r="U67">
        <v>1.4995473539040759E-2</v>
      </c>
      <c r="V67" t="s">
        <v>160</v>
      </c>
      <c r="AK67">
        <v>2036</v>
      </c>
      <c r="AL67" t="s">
        <v>230</v>
      </c>
      <c r="AM67">
        <v>0.19973333333333332</v>
      </c>
      <c r="AN67" t="s">
        <v>229</v>
      </c>
    </row>
    <row r="68" spans="9:40" x14ac:dyDescent="0.45">
      <c r="I68" t="s">
        <v>164</v>
      </c>
      <c r="J68" t="s">
        <v>245</v>
      </c>
      <c r="K68">
        <v>0.16825970353361175</v>
      </c>
      <c r="L68" t="s">
        <v>160</v>
      </c>
      <c r="N68" t="s">
        <v>188</v>
      </c>
      <c r="O68" t="s">
        <v>245</v>
      </c>
      <c r="P68">
        <v>0.12405636934317413</v>
      </c>
      <c r="Q68" t="s">
        <v>160</v>
      </c>
      <c r="S68" t="s">
        <v>207</v>
      </c>
      <c r="T68" t="s">
        <v>245</v>
      </c>
      <c r="U68">
        <v>0.13379447889215254</v>
      </c>
      <c r="V68" t="s">
        <v>160</v>
      </c>
      <c r="AK68">
        <v>2036</v>
      </c>
      <c r="AL68" t="s">
        <v>232</v>
      </c>
      <c r="AM68">
        <v>0.21996666666666664</v>
      </c>
      <c r="AN68" t="s">
        <v>229</v>
      </c>
    </row>
    <row r="69" spans="9:40" x14ac:dyDescent="0.45">
      <c r="I69" t="s">
        <v>164</v>
      </c>
      <c r="J69" t="s">
        <v>246</v>
      </c>
      <c r="K69">
        <v>0</v>
      </c>
      <c r="L69" t="s">
        <v>160</v>
      </c>
      <c r="N69" t="s">
        <v>188</v>
      </c>
      <c r="O69" t="s">
        <v>246</v>
      </c>
      <c r="P69">
        <v>0.12238903305836064</v>
      </c>
      <c r="Q69" t="s">
        <v>160</v>
      </c>
      <c r="S69" t="s">
        <v>207</v>
      </c>
      <c r="T69" t="s">
        <v>246</v>
      </c>
      <c r="U69">
        <v>0.14336963908168388</v>
      </c>
      <c r="V69" t="s">
        <v>160</v>
      </c>
      <c r="AK69">
        <v>2036</v>
      </c>
      <c r="AL69" t="s">
        <v>233</v>
      </c>
      <c r="AM69">
        <v>0.30590000000000001</v>
      </c>
      <c r="AN69" t="s">
        <v>229</v>
      </c>
    </row>
    <row r="70" spans="9:40" x14ac:dyDescent="0.45">
      <c r="I70" t="s">
        <v>164</v>
      </c>
      <c r="J70" t="s">
        <v>247</v>
      </c>
      <c r="K70">
        <v>1.9276130043607369E-3</v>
      </c>
      <c r="L70" t="s">
        <v>160</v>
      </c>
      <c r="N70" t="s">
        <v>188</v>
      </c>
      <c r="O70" t="s">
        <v>247</v>
      </c>
      <c r="P70">
        <v>2.0394254852452019E-2</v>
      </c>
      <c r="Q70" t="s">
        <v>160</v>
      </c>
      <c r="S70" t="s">
        <v>207</v>
      </c>
      <c r="T70" t="s">
        <v>247</v>
      </c>
      <c r="U70">
        <v>2.6094186253314628E-2</v>
      </c>
      <c r="V70" t="s">
        <v>160</v>
      </c>
      <c r="AK70">
        <v>2036</v>
      </c>
      <c r="AL70" t="s">
        <v>235</v>
      </c>
      <c r="AM70">
        <v>0.18326666666666669</v>
      </c>
      <c r="AN70" t="s">
        <v>229</v>
      </c>
    </row>
    <row r="71" spans="9:40" x14ac:dyDescent="0.45">
      <c r="I71" t="s">
        <v>165</v>
      </c>
      <c r="J71" t="s">
        <v>236</v>
      </c>
      <c r="K71">
        <v>0.18686815943331808</v>
      </c>
      <c r="L71" t="s">
        <v>160</v>
      </c>
      <c r="N71" t="s">
        <v>189</v>
      </c>
      <c r="O71" t="s">
        <v>236</v>
      </c>
      <c r="P71">
        <v>0.15317616366529344</v>
      </c>
      <c r="Q71" t="s">
        <v>160</v>
      </c>
      <c r="S71" t="s">
        <v>208</v>
      </c>
      <c r="T71" t="s">
        <v>236</v>
      </c>
      <c r="U71">
        <v>0.1201473609812827</v>
      </c>
      <c r="V71" t="s">
        <v>160</v>
      </c>
      <c r="AK71">
        <v>2037</v>
      </c>
      <c r="AL71" t="s">
        <v>230</v>
      </c>
      <c r="AM71">
        <v>0.21493333333333334</v>
      </c>
      <c r="AN71" t="s">
        <v>229</v>
      </c>
    </row>
    <row r="72" spans="9:40" x14ac:dyDescent="0.45">
      <c r="I72" t="s">
        <v>165</v>
      </c>
      <c r="J72" t="s">
        <v>237</v>
      </c>
      <c r="K72">
        <v>0</v>
      </c>
      <c r="L72" t="s">
        <v>160</v>
      </c>
      <c r="N72" t="s">
        <v>189</v>
      </c>
      <c r="O72" t="s">
        <v>237</v>
      </c>
      <c r="P72">
        <v>0.14141797372232387</v>
      </c>
      <c r="Q72" t="s">
        <v>160</v>
      </c>
      <c r="S72" t="s">
        <v>208</v>
      </c>
      <c r="T72" t="s">
        <v>237</v>
      </c>
      <c r="U72">
        <v>0.11863526671642451</v>
      </c>
      <c r="V72" t="s">
        <v>160</v>
      </c>
      <c r="AK72">
        <v>2037</v>
      </c>
      <c r="AL72" t="s">
        <v>232</v>
      </c>
      <c r="AM72">
        <v>0.24016666666666667</v>
      </c>
      <c r="AN72" t="s">
        <v>229</v>
      </c>
    </row>
    <row r="73" spans="9:40" x14ac:dyDescent="0.45">
      <c r="I73" t="s">
        <v>165</v>
      </c>
      <c r="J73" t="s">
        <v>238</v>
      </c>
      <c r="K73">
        <v>5.5846060597347924E-3</v>
      </c>
      <c r="L73" t="s">
        <v>160</v>
      </c>
      <c r="N73" t="s">
        <v>189</v>
      </c>
      <c r="O73" t="s">
        <v>238</v>
      </c>
      <c r="P73">
        <v>2.9023005536516096E-2</v>
      </c>
      <c r="Q73" t="s">
        <v>160</v>
      </c>
      <c r="S73" t="s">
        <v>208</v>
      </c>
      <c r="T73" t="s">
        <v>238</v>
      </c>
      <c r="U73">
        <v>2.0978249773479809E-2</v>
      </c>
      <c r="V73" t="s">
        <v>160</v>
      </c>
      <c r="AK73">
        <v>2037</v>
      </c>
      <c r="AL73" t="s">
        <v>233</v>
      </c>
      <c r="AM73">
        <v>0.30233333333333334</v>
      </c>
      <c r="AN73" t="s">
        <v>229</v>
      </c>
    </row>
    <row r="74" spans="9:40" x14ac:dyDescent="0.45">
      <c r="I74" t="s">
        <v>165</v>
      </c>
      <c r="J74" t="s">
        <v>239</v>
      </c>
      <c r="K74">
        <v>0.25879822403571273</v>
      </c>
      <c r="L74" t="s">
        <v>160</v>
      </c>
      <c r="N74" t="s">
        <v>189</v>
      </c>
      <c r="O74" t="s">
        <v>239</v>
      </c>
      <c r="P74">
        <v>0.15938552813094073</v>
      </c>
      <c r="Q74" t="s">
        <v>160</v>
      </c>
      <c r="S74" t="s">
        <v>208</v>
      </c>
      <c r="T74" t="s">
        <v>239</v>
      </c>
      <c r="U74">
        <v>0.15923272233583802</v>
      </c>
      <c r="V74" t="s">
        <v>160</v>
      </c>
      <c r="AK74">
        <v>2037</v>
      </c>
      <c r="AL74" t="s">
        <v>235</v>
      </c>
      <c r="AM74">
        <v>0.18340000000000001</v>
      </c>
      <c r="AN74" t="s">
        <v>229</v>
      </c>
    </row>
    <row r="75" spans="9:40" x14ac:dyDescent="0.45">
      <c r="I75" t="s">
        <v>165</v>
      </c>
      <c r="J75" t="s">
        <v>240</v>
      </c>
      <c r="K75">
        <v>3.2300659970525879E-3</v>
      </c>
      <c r="L75" t="s">
        <v>160</v>
      </c>
      <c r="N75" t="s">
        <v>189</v>
      </c>
      <c r="O75" t="s">
        <v>240</v>
      </c>
      <c r="P75">
        <v>0.10911564147457202</v>
      </c>
      <c r="Q75" t="s">
        <v>160</v>
      </c>
      <c r="S75" t="s">
        <v>208</v>
      </c>
      <c r="T75" t="s">
        <v>240</v>
      </c>
      <c r="U75">
        <v>0.15425331465819936</v>
      </c>
      <c r="V75" t="s">
        <v>160</v>
      </c>
      <c r="AK75">
        <v>2038</v>
      </c>
      <c r="AL75" t="s">
        <v>230</v>
      </c>
      <c r="AM75">
        <v>0.20746666666666669</v>
      </c>
      <c r="AN75" t="s">
        <v>229</v>
      </c>
    </row>
    <row r="76" spans="9:40" x14ac:dyDescent="0.45">
      <c r="I76" t="s">
        <v>165</v>
      </c>
      <c r="J76" t="s">
        <v>241</v>
      </c>
      <c r="K76">
        <v>1.8032557531977314E-2</v>
      </c>
      <c r="L76" t="s">
        <v>160</v>
      </c>
      <c r="N76" t="s">
        <v>189</v>
      </c>
      <c r="O76" t="s">
        <v>241</v>
      </c>
      <c r="P76">
        <v>2.8061436929399126E-2</v>
      </c>
      <c r="Q76" t="s">
        <v>160</v>
      </c>
      <c r="S76" t="s">
        <v>208</v>
      </c>
      <c r="T76" t="s">
        <v>241</v>
      </c>
      <c r="U76">
        <v>3.0302473895418156E-2</v>
      </c>
      <c r="V76" t="s">
        <v>160</v>
      </c>
      <c r="AK76">
        <v>2038</v>
      </c>
      <c r="AL76" t="s">
        <v>232</v>
      </c>
      <c r="AM76">
        <v>0.23093333333333332</v>
      </c>
      <c r="AN76" t="s">
        <v>229</v>
      </c>
    </row>
    <row r="77" spans="9:40" x14ac:dyDescent="0.45">
      <c r="I77" t="s">
        <v>165</v>
      </c>
      <c r="J77" t="s">
        <v>242</v>
      </c>
      <c r="K77">
        <v>0.31676074192292181</v>
      </c>
      <c r="L77" t="s">
        <v>160</v>
      </c>
      <c r="N77" t="s">
        <v>189</v>
      </c>
      <c r="O77" t="s">
        <v>242</v>
      </c>
      <c r="P77">
        <v>5.6262555369782828E-2</v>
      </c>
      <c r="Q77" t="s">
        <v>160</v>
      </c>
      <c r="S77" t="s">
        <v>208</v>
      </c>
      <c r="T77" t="s">
        <v>242</v>
      </c>
      <c r="U77">
        <v>4.8484458273117599E-2</v>
      </c>
      <c r="V77" t="s">
        <v>160</v>
      </c>
      <c r="AK77">
        <v>2038</v>
      </c>
      <c r="AL77" t="s">
        <v>233</v>
      </c>
      <c r="AM77">
        <v>0.30306666666666665</v>
      </c>
      <c r="AN77" t="s">
        <v>229</v>
      </c>
    </row>
    <row r="78" spans="9:40" x14ac:dyDescent="0.45">
      <c r="I78" t="s">
        <v>165</v>
      </c>
      <c r="J78" t="s">
        <v>243</v>
      </c>
      <c r="K78">
        <v>1.1672146747138498E-2</v>
      </c>
      <c r="L78" t="s">
        <v>160</v>
      </c>
      <c r="N78" t="s">
        <v>189</v>
      </c>
      <c r="O78" t="s">
        <v>243</v>
      </c>
      <c r="P78">
        <v>4.7289957274799267E-2</v>
      </c>
      <c r="Q78" t="s">
        <v>160</v>
      </c>
      <c r="S78" t="s">
        <v>208</v>
      </c>
      <c r="T78" t="s">
        <v>243</v>
      </c>
      <c r="U78">
        <v>4.129379892464264E-2</v>
      </c>
      <c r="V78" t="s">
        <v>160</v>
      </c>
      <c r="AK78">
        <v>2038</v>
      </c>
      <c r="AL78" t="s">
        <v>235</v>
      </c>
      <c r="AM78">
        <v>0.18473333333333333</v>
      </c>
      <c r="AN78" t="s">
        <v>229</v>
      </c>
    </row>
    <row r="79" spans="9:40" x14ac:dyDescent="0.45">
      <c r="I79" t="s">
        <v>165</v>
      </c>
      <c r="J79" t="s">
        <v>244</v>
      </c>
      <c r="K79">
        <v>2.851949587801815E-2</v>
      </c>
      <c r="L79" t="s">
        <v>160</v>
      </c>
      <c r="N79" t="s">
        <v>189</v>
      </c>
      <c r="O79" t="s">
        <v>244</v>
      </c>
      <c r="P79">
        <v>1.4726363330270118E-2</v>
      </c>
      <c r="Q79" t="s">
        <v>160</v>
      </c>
      <c r="S79" t="s">
        <v>208</v>
      </c>
      <c r="T79" t="s">
        <v>244</v>
      </c>
      <c r="U79">
        <v>1.0081962669025743E-2</v>
      </c>
      <c r="V79" t="s">
        <v>160</v>
      </c>
      <c r="AK79">
        <v>2039</v>
      </c>
      <c r="AL79" t="s">
        <v>230</v>
      </c>
      <c r="AM79">
        <v>0.20520000000000002</v>
      </c>
      <c r="AN79" t="s">
        <v>229</v>
      </c>
    </row>
    <row r="80" spans="9:40" x14ac:dyDescent="0.45">
      <c r="I80" t="s">
        <v>165</v>
      </c>
      <c r="J80" t="s">
        <v>245</v>
      </c>
      <c r="K80">
        <v>0.16864938885304817</v>
      </c>
      <c r="L80" t="s">
        <v>160</v>
      </c>
      <c r="N80" t="s">
        <v>189</v>
      </c>
      <c r="O80" t="s">
        <v>245</v>
      </c>
      <c r="P80">
        <v>0.12217024238290233</v>
      </c>
      <c r="Q80" t="s">
        <v>160</v>
      </c>
      <c r="S80" t="s">
        <v>208</v>
      </c>
      <c r="T80" t="s">
        <v>245</v>
      </c>
      <c r="U80">
        <v>0.13826154481915237</v>
      </c>
      <c r="V80" t="s">
        <v>160</v>
      </c>
      <c r="AK80">
        <v>2039</v>
      </c>
      <c r="AL80" t="s">
        <v>232</v>
      </c>
      <c r="AM80">
        <v>0.21623333333333336</v>
      </c>
      <c r="AN80" t="s">
        <v>229</v>
      </c>
    </row>
    <row r="81" spans="9:40" x14ac:dyDescent="0.45">
      <c r="I81" t="s">
        <v>165</v>
      </c>
      <c r="J81" t="s">
        <v>246</v>
      </c>
      <c r="K81">
        <v>0</v>
      </c>
      <c r="L81" t="s">
        <v>160</v>
      </c>
      <c r="N81" t="s">
        <v>189</v>
      </c>
      <c r="O81" t="s">
        <v>246</v>
      </c>
      <c r="P81">
        <v>0.12040891725786922</v>
      </c>
      <c r="Q81" t="s">
        <v>160</v>
      </c>
      <c r="S81" t="s">
        <v>208</v>
      </c>
      <c r="T81" t="s">
        <v>246</v>
      </c>
      <c r="U81">
        <v>0.13252109541139501</v>
      </c>
      <c r="V81" t="s">
        <v>160</v>
      </c>
      <c r="AK81">
        <v>2039</v>
      </c>
      <c r="AL81" t="s">
        <v>233</v>
      </c>
      <c r="AM81">
        <v>0.30213333333333336</v>
      </c>
      <c r="AN81" t="s">
        <v>229</v>
      </c>
    </row>
    <row r="82" spans="9:40" x14ac:dyDescent="0.45">
      <c r="I82" t="s">
        <v>165</v>
      </c>
      <c r="J82" t="s">
        <v>247</v>
      </c>
      <c r="K82">
        <v>1.884613541080854E-3</v>
      </c>
      <c r="L82" t="s">
        <v>160</v>
      </c>
      <c r="N82" t="s">
        <v>189</v>
      </c>
      <c r="O82" t="s">
        <v>247</v>
      </c>
      <c r="P82">
        <v>1.8962214925330095E-2</v>
      </c>
      <c r="Q82" t="s">
        <v>160</v>
      </c>
      <c r="S82" t="s">
        <v>208</v>
      </c>
      <c r="T82" t="s">
        <v>247</v>
      </c>
      <c r="U82">
        <v>2.5807751542024051E-2</v>
      </c>
      <c r="V82" t="s">
        <v>160</v>
      </c>
      <c r="AK82">
        <v>2039</v>
      </c>
      <c r="AL82" t="s">
        <v>235</v>
      </c>
      <c r="AM82">
        <v>0.18149999999999999</v>
      </c>
      <c r="AN82" t="s">
        <v>229</v>
      </c>
    </row>
    <row r="83" spans="9:40" x14ac:dyDescent="0.45">
      <c r="I83" t="s">
        <v>166</v>
      </c>
      <c r="J83" t="s">
        <v>236</v>
      </c>
      <c r="K83">
        <v>0.18172750445107461</v>
      </c>
      <c r="L83" t="s">
        <v>160</v>
      </c>
      <c r="N83" t="s">
        <v>190</v>
      </c>
      <c r="O83" t="s">
        <v>236</v>
      </c>
      <c r="P83">
        <v>0.1419483993261087</v>
      </c>
      <c r="Q83" t="s">
        <v>160</v>
      </c>
      <c r="S83" t="s">
        <v>209</v>
      </c>
      <c r="T83" t="s">
        <v>236</v>
      </c>
      <c r="U83">
        <v>0.12535963461322511</v>
      </c>
      <c r="V83" t="s">
        <v>160</v>
      </c>
      <c r="AK83">
        <v>2040</v>
      </c>
      <c r="AL83" t="s">
        <v>230</v>
      </c>
      <c r="AM83">
        <v>0.21253333333333332</v>
      </c>
      <c r="AN83" t="s">
        <v>229</v>
      </c>
    </row>
    <row r="84" spans="9:40" x14ac:dyDescent="0.45">
      <c r="I84" t="s">
        <v>166</v>
      </c>
      <c r="J84" t="s">
        <v>237</v>
      </c>
      <c r="K84">
        <v>0</v>
      </c>
      <c r="L84" t="s">
        <v>160</v>
      </c>
      <c r="N84" t="s">
        <v>190</v>
      </c>
      <c r="O84" t="s">
        <v>237</v>
      </c>
      <c r="P84">
        <v>0.1174822284849687</v>
      </c>
      <c r="Q84" t="s">
        <v>160</v>
      </c>
      <c r="S84" t="s">
        <v>209</v>
      </c>
      <c r="T84" t="s">
        <v>237</v>
      </c>
      <c r="U84">
        <v>0.1270469655242181</v>
      </c>
      <c r="V84" t="s">
        <v>160</v>
      </c>
      <c r="AK84">
        <v>2040</v>
      </c>
      <c r="AL84" t="s">
        <v>232</v>
      </c>
      <c r="AM84">
        <v>0.22776666666666667</v>
      </c>
      <c r="AN84" t="s">
        <v>229</v>
      </c>
    </row>
    <row r="85" spans="9:40" x14ac:dyDescent="0.45">
      <c r="I85" t="s">
        <v>166</v>
      </c>
      <c r="J85" t="s">
        <v>238</v>
      </c>
      <c r="K85">
        <v>6.1993287222899107E-3</v>
      </c>
      <c r="L85" t="s">
        <v>160</v>
      </c>
      <c r="N85" t="s">
        <v>190</v>
      </c>
      <c r="O85" t="s">
        <v>238</v>
      </c>
      <c r="P85">
        <v>2.8825839909546718E-2</v>
      </c>
      <c r="Q85" t="s">
        <v>160</v>
      </c>
      <c r="S85" t="s">
        <v>209</v>
      </c>
      <c r="T85" t="s">
        <v>238</v>
      </c>
      <c r="U85">
        <v>2.3961951056395942E-2</v>
      </c>
      <c r="V85" t="s">
        <v>160</v>
      </c>
      <c r="AK85">
        <v>2040</v>
      </c>
      <c r="AL85" t="s">
        <v>233</v>
      </c>
      <c r="AM85">
        <v>0.30069999999999997</v>
      </c>
      <c r="AN85" t="s">
        <v>229</v>
      </c>
    </row>
    <row r="86" spans="9:40" x14ac:dyDescent="0.45">
      <c r="I86" t="s">
        <v>166</v>
      </c>
      <c r="J86" t="s">
        <v>239</v>
      </c>
      <c r="K86">
        <v>0.24887425669020188</v>
      </c>
      <c r="L86" t="s">
        <v>160</v>
      </c>
      <c r="N86" t="s">
        <v>190</v>
      </c>
      <c r="O86" t="s">
        <v>239</v>
      </c>
      <c r="P86">
        <v>0.16196028898034667</v>
      </c>
      <c r="Q86" t="s">
        <v>160</v>
      </c>
      <c r="S86" t="s">
        <v>209</v>
      </c>
      <c r="T86" t="s">
        <v>239</v>
      </c>
      <c r="U86">
        <v>0.14745472227690576</v>
      </c>
      <c r="V86" t="s">
        <v>160</v>
      </c>
      <c r="AK86">
        <v>2040</v>
      </c>
      <c r="AL86" t="s">
        <v>235</v>
      </c>
      <c r="AM86">
        <v>0.17633333333333334</v>
      </c>
      <c r="AN86" t="s">
        <v>229</v>
      </c>
    </row>
    <row r="87" spans="9:40" x14ac:dyDescent="0.45">
      <c r="I87" t="s">
        <v>166</v>
      </c>
      <c r="J87" t="s">
        <v>240</v>
      </c>
      <c r="K87">
        <v>3.2937057873938511E-3</v>
      </c>
      <c r="L87" t="s">
        <v>160</v>
      </c>
      <c r="N87" t="s">
        <v>190</v>
      </c>
      <c r="O87" t="s">
        <v>240</v>
      </c>
      <c r="P87">
        <v>0.10864484471828195</v>
      </c>
      <c r="Q87" t="s">
        <v>160</v>
      </c>
      <c r="S87" t="s">
        <v>209</v>
      </c>
      <c r="T87" t="s">
        <v>240</v>
      </c>
      <c r="U87">
        <v>0.15318502282827465</v>
      </c>
      <c r="V87" t="s">
        <v>160</v>
      </c>
      <c r="AK87">
        <v>2041</v>
      </c>
      <c r="AL87" t="s">
        <v>230</v>
      </c>
      <c r="AM87">
        <v>0.2039</v>
      </c>
      <c r="AN87" t="s">
        <v>229</v>
      </c>
    </row>
    <row r="88" spans="9:40" x14ac:dyDescent="0.45">
      <c r="I88" t="s">
        <v>166</v>
      </c>
      <c r="J88" t="s">
        <v>241</v>
      </c>
      <c r="K88">
        <v>1.9593469614529967E-2</v>
      </c>
      <c r="L88" t="s">
        <v>160</v>
      </c>
      <c r="N88" t="s">
        <v>190</v>
      </c>
      <c r="O88" t="s">
        <v>241</v>
      </c>
      <c r="P88">
        <v>2.7334025446244789E-2</v>
      </c>
      <c r="Q88" t="s">
        <v>160</v>
      </c>
      <c r="S88" t="s">
        <v>209</v>
      </c>
      <c r="T88" t="s">
        <v>241</v>
      </c>
      <c r="U88">
        <v>2.9049710653147518E-2</v>
      </c>
      <c r="V88" t="s">
        <v>160</v>
      </c>
      <c r="AK88">
        <v>2041</v>
      </c>
      <c r="AL88" t="s">
        <v>232</v>
      </c>
      <c r="AM88">
        <v>0.22096666666666667</v>
      </c>
      <c r="AN88" t="s">
        <v>229</v>
      </c>
    </row>
    <row r="89" spans="9:40" x14ac:dyDescent="0.45">
      <c r="I89" t="s">
        <v>166</v>
      </c>
      <c r="J89" t="s">
        <v>242</v>
      </c>
      <c r="K89">
        <v>0.34741509556818817</v>
      </c>
      <c r="L89" t="s">
        <v>160</v>
      </c>
      <c r="N89" t="s">
        <v>190</v>
      </c>
      <c r="O89" t="s">
        <v>242</v>
      </c>
      <c r="P89">
        <v>5.2255794876999349E-2</v>
      </c>
      <c r="Q89" t="s">
        <v>160</v>
      </c>
      <c r="S89" t="s">
        <v>209</v>
      </c>
      <c r="T89" t="s">
        <v>242</v>
      </c>
      <c r="U89">
        <v>4.5803279318070357E-2</v>
      </c>
      <c r="V89" t="s">
        <v>160</v>
      </c>
      <c r="AK89">
        <v>2041</v>
      </c>
      <c r="AL89" t="s">
        <v>233</v>
      </c>
      <c r="AM89">
        <v>0.29353333333333337</v>
      </c>
      <c r="AN89" t="s">
        <v>229</v>
      </c>
    </row>
    <row r="90" spans="9:40" x14ac:dyDescent="0.45">
      <c r="I90" t="s">
        <v>166</v>
      </c>
      <c r="J90" t="s">
        <v>243</v>
      </c>
      <c r="K90">
        <v>1.2382139380387855E-2</v>
      </c>
      <c r="L90" t="s">
        <v>160</v>
      </c>
      <c r="N90" t="s">
        <v>190</v>
      </c>
      <c r="O90" t="s">
        <v>243</v>
      </c>
      <c r="P90">
        <v>4.0450008718176035E-2</v>
      </c>
      <c r="Q90" t="s">
        <v>160</v>
      </c>
      <c r="S90" t="s">
        <v>209</v>
      </c>
      <c r="T90" t="s">
        <v>243</v>
      </c>
      <c r="U90">
        <v>5.6628416191982299E-2</v>
      </c>
      <c r="V90" t="s">
        <v>160</v>
      </c>
      <c r="AK90">
        <v>2041</v>
      </c>
      <c r="AL90" t="s">
        <v>235</v>
      </c>
      <c r="AM90">
        <v>0.18363333333333332</v>
      </c>
      <c r="AN90" t="s">
        <v>229</v>
      </c>
    </row>
    <row r="91" spans="9:40" x14ac:dyDescent="0.45">
      <c r="I91" t="s">
        <v>166</v>
      </c>
      <c r="J91" t="s">
        <v>244</v>
      </c>
      <c r="K91">
        <v>3.4104171704599472E-2</v>
      </c>
      <c r="L91" t="s">
        <v>160</v>
      </c>
      <c r="N91" t="s">
        <v>190</v>
      </c>
      <c r="O91" t="s">
        <v>244</v>
      </c>
      <c r="P91">
        <v>1.2168812605643871E-2</v>
      </c>
      <c r="Q91" t="s">
        <v>160</v>
      </c>
      <c r="S91" t="s">
        <v>209</v>
      </c>
      <c r="T91" t="s">
        <v>244</v>
      </c>
      <c r="U91">
        <v>9.8724576960324741E-3</v>
      </c>
      <c r="V91" t="s">
        <v>160</v>
      </c>
      <c r="AK91">
        <v>2042</v>
      </c>
      <c r="AL91" t="s">
        <v>230</v>
      </c>
      <c r="AM91">
        <v>0.20793333333333333</v>
      </c>
      <c r="AN91" t="s">
        <v>229</v>
      </c>
    </row>
    <row r="92" spans="9:40" x14ac:dyDescent="0.45">
      <c r="I92" t="s">
        <v>166</v>
      </c>
      <c r="J92" t="s">
        <v>245</v>
      </c>
      <c r="K92">
        <v>0.1445197441960468</v>
      </c>
      <c r="L92" t="s">
        <v>160</v>
      </c>
      <c r="N92" t="s">
        <v>190</v>
      </c>
      <c r="O92" t="s">
        <v>245</v>
      </c>
      <c r="P92">
        <v>0.14922431666845562</v>
      </c>
      <c r="Q92" t="s">
        <v>160</v>
      </c>
      <c r="S92" t="s">
        <v>209</v>
      </c>
      <c r="T92" t="s">
        <v>245</v>
      </c>
      <c r="U92">
        <v>0.12713292647406849</v>
      </c>
      <c r="V92" t="s">
        <v>160</v>
      </c>
      <c r="AK92">
        <v>2042</v>
      </c>
      <c r="AL92" t="s">
        <v>232</v>
      </c>
      <c r="AM92">
        <v>0.23263333333333333</v>
      </c>
      <c r="AN92" t="s">
        <v>229</v>
      </c>
    </row>
    <row r="93" spans="9:40" x14ac:dyDescent="0.45">
      <c r="I93" t="s">
        <v>166</v>
      </c>
      <c r="J93" t="s">
        <v>246</v>
      </c>
      <c r="K93">
        <v>0</v>
      </c>
      <c r="L93" t="s">
        <v>160</v>
      </c>
      <c r="N93" t="s">
        <v>190</v>
      </c>
      <c r="O93" t="s">
        <v>246</v>
      </c>
      <c r="P93">
        <v>0.13430932109946042</v>
      </c>
      <c r="Q93" t="s">
        <v>160</v>
      </c>
      <c r="S93" t="s">
        <v>209</v>
      </c>
      <c r="T93" t="s">
        <v>246</v>
      </c>
      <c r="U93">
        <v>0.13144274717860016</v>
      </c>
      <c r="V93" t="s">
        <v>160</v>
      </c>
      <c r="AK93">
        <v>2042</v>
      </c>
      <c r="AL93" t="s">
        <v>233</v>
      </c>
      <c r="AM93">
        <v>0.32769999999999994</v>
      </c>
      <c r="AN93" t="s">
        <v>229</v>
      </c>
    </row>
    <row r="94" spans="9:40" x14ac:dyDescent="0.45">
      <c r="I94" t="s">
        <v>166</v>
      </c>
      <c r="J94" t="s">
        <v>247</v>
      </c>
      <c r="K94">
        <v>1.8905838852896781E-3</v>
      </c>
      <c r="L94" t="s">
        <v>160</v>
      </c>
      <c r="N94" t="s">
        <v>190</v>
      </c>
      <c r="O94" t="s">
        <v>247</v>
      </c>
      <c r="P94">
        <v>2.5396119165764904E-2</v>
      </c>
      <c r="Q94" t="s">
        <v>160</v>
      </c>
      <c r="S94" t="s">
        <v>209</v>
      </c>
      <c r="T94" t="s">
        <v>247</v>
      </c>
      <c r="U94">
        <v>2.306216618908042E-2</v>
      </c>
      <c r="V94" t="s">
        <v>160</v>
      </c>
      <c r="AK94">
        <v>2042</v>
      </c>
      <c r="AL94" t="s">
        <v>235</v>
      </c>
      <c r="AM94">
        <v>0.17703333333333335</v>
      </c>
      <c r="AN94" t="s">
        <v>229</v>
      </c>
    </row>
    <row r="95" spans="9:40" x14ac:dyDescent="0.45">
      <c r="I95" t="s">
        <v>167</v>
      </c>
      <c r="J95" t="s">
        <v>236</v>
      </c>
      <c r="K95">
        <v>0.19227457209189136</v>
      </c>
      <c r="L95" t="s">
        <v>160</v>
      </c>
      <c r="N95" t="s">
        <v>191</v>
      </c>
      <c r="O95" t="s">
        <v>236</v>
      </c>
      <c r="P95">
        <v>0.10256723033046147</v>
      </c>
      <c r="Q95" t="s">
        <v>160</v>
      </c>
      <c r="S95" t="s">
        <v>210</v>
      </c>
      <c r="T95" t="s">
        <v>236</v>
      </c>
      <c r="U95">
        <v>0.11953770804997355</v>
      </c>
      <c r="V95" t="s">
        <v>160</v>
      </c>
      <c r="AK95">
        <v>2043</v>
      </c>
      <c r="AL95" t="s">
        <v>230</v>
      </c>
      <c r="AM95">
        <v>0.20673333333333332</v>
      </c>
      <c r="AN95" t="s">
        <v>229</v>
      </c>
    </row>
    <row r="96" spans="9:40" x14ac:dyDescent="0.45">
      <c r="I96" t="s">
        <v>167</v>
      </c>
      <c r="J96" t="s">
        <v>237</v>
      </c>
      <c r="K96">
        <v>0</v>
      </c>
      <c r="L96" t="s">
        <v>160</v>
      </c>
      <c r="N96" t="s">
        <v>191</v>
      </c>
      <c r="O96" t="s">
        <v>237</v>
      </c>
      <c r="P96">
        <v>9.7598332638898375E-2</v>
      </c>
      <c r="Q96" t="s">
        <v>160</v>
      </c>
      <c r="S96" t="s">
        <v>210</v>
      </c>
      <c r="T96" t="s">
        <v>237</v>
      </c>
      <c r="U96">
        <v>0.12593992124372921</v>
      </c>
      <c r="V96" t="s">
        <v>160</v>
      </c>
      <c r="AK96">
        <v>2043</v>
      </c>
      <c r="AL96" t="s">
        <v>232</v>
      </c>
      <c r="AM96">
        <v>0.22589999999999999</v>
      </c>
      <c r="AN96" t="s">
        <v>229</v>
      </c>
    </row>
    <row r="97" spans="9:40" x14ac:dyDescent="0.45">
      <c r="I97" t="s">
        <v>167</v>
      </c>
      <c r="J97" t="s">
        <v>238</v>
      </c>
      <c r="K97">
        <v>6.3068403131019595E-3</v>
      </c>
      <c r="L97" t="s">
        <v>160</v>
      </c>
      <c r="N97" t="s">
        <v>191</v>
      </c>
      <c r="O97" t="s">
        <v>238</v>
      </c>
      <c r="P97">
        <v>2.139804177527577E-2</v>
      </c>
      <c r="Q97" t="s">
        <v>160</v>
      </c>
      <c r="S97" t="s">
        <v>210</v>
      </c>
      <c r="T97" t="s">
        <v>238</v>
      </c>
      <c r="U97">
        <v>2.3332690751967759E-2</v>
      </c>
      <c r="V97" t="s">
        <v>160</v>
      </c>
      <c r="AK97">
        <v>2043</v>
      </c>
      <c r="AL97" t="s">
        <v>233</v>
      </c>
      <c r="AM97">
        <v>0.30316666666666664</v>
      </c>
      <c r="AN97" t="s">
        <v>229</v>
      </c>
    </row>
    <row r="98" spans="9:40" x14ac:dyDescent="0.45">
      <c r="I98" t="s">
        <v>167</v>
      </c>
      <c r="J98" t="s">
        <v>239</v>
      </c>
      <c r="K98">
        <v>0.26104438751057302</v>
      </c>
      <c r="L98" t="s">
        <v>160</v>
      </c>
      <c r="N98" t="s">
        <v>191</v>
      </c>
      <c r="O98" t="s">
        <v>239</v>
      </c>
      <c r="P98">
        <v>0.1381219552323055</v>
      </c>
      <c r="Q98" t="s">
        <v>160</v>
      </c>
      <c r="S98" t="s">
        <v>210</v>
      </c>
      <c r="T98" t="s">
        <v>239</v>
      </c>
      <c r="U98">
        <v>0.15608595826033636</v>
      </c>
      <c r="V98" t="s">
        <v>160</v>
      </c>
      <c r="AK98">
        <v>2043</v>
      </c>
      <c r="AL98" t="s">
        <v>235</v>
      </c>
      <c r="AM98">
        <v>0.1812</v>
      </c>
      <c r="AN98" t="s">
        <v>229</v>
      </c>
    </row>
    <row r="99" spans="9:40" x14ac:dyDescent="0.45">
      <c r="I99" t="s">
        <v>167</v>
      </c>
      <c r="J99" t="s">
        <v>240</v>
      </c>
      <c r="K99">
        <v>2.7166646444448531E-3</v>
      </c>
      <c r="L99" t="s">
        <v>160</v>
      </c>
      <c r="N99" t="s">
        <v>191</v>
      </c>
      <c r="O99" t="s">
        <v>240</v>
      </c>
      <c r="P99">
        <v>0.12349356666091582</v>
      </c>
      <c r="Q99" t="s">
        <v>160</v>
      </c>
      <c r="S99" t="s">
        <v>210</v>
      </c>
      <c r="T99" t="s">
        <v>240</v>
      </c>
      <c r="U99">
        <v>0.15329212030709508</v>
      </c>
      <c r="V99" t="s">
        <v>160</v>
      </c>
      <c r="AK99">
        <v>2044</v>
      </c>
      <c r="AL99" t="s">
        <v>230</v>
      </c>
      <c r="AM99">
        <v>0.21386666666666665</v>
      </c>
      <c r="AN99" t="s">
        <v>229</v>
      </c>
    </row>
    <row r="100" spans="9:40" x14ac:dyDescent="0.45">
      <c r="I100" t="s">
        <v>167</v>
      </c>
      <c r="J100" t="s">
        <v>241</v>
      </c>
      <c r="K100">
        <v>2.2343564568333408E-2</v>
      </c>
      <c r="L100" t="s">
        <v>160</v>
      </c>
      <c r="N100" t="s">
        <v>191</v>
      </c>
      <c r="O100" t="s">
        <v>241</v>
      </c>
      <c r="P100">
        <v>3.0635903220240106E-2</v>
      </c>
      <c r="Q100" t="s">
        <v>160</v>
      </c>
      <c r="S100" t="s">
        <v>210</v>
      </c>
      <c r="T100" t="s">
        <v>241</v>
      </c>
      <c r="U100">
        <v>3.0681710942904034E-2</v>
      </c>
      <c r="V100" t="s">
        <v>160</v>
      </c>
      <c r="AK100">
        <v>2044</v>
      </c>
      <c r="AL100" t="s">
        <v>232</v>
      </c>
      <c r="AM100">
        <v>0.22770000000000001</v>
      </c>
      <c r="AN100" t="s">
        <v>229</v>
      </c>
    </row>
    <row r="101" spans="9:40" x14ac:dyDescent="0.45">
      <c r="I101" t="s">
        <v>167</v>
      </c>
      <c r="J101" t="s">
        <v>242</v>
      </c>
      <c r="K101">
        <v>0.32097135792536408</v>
      </c>
      <c r="L101" t="s">
        <v>160</v>
      </c>
      <c r="N101" t="s">
        <v>191</v>
      </c>
      <c r="O101" t="s">
        <v>242</v>
      </c>
      <c r="P101">
        <v>7.5826807347844485E-2</v>
      </c>
      <c r="Q101" t="s">
        <v>160</v>
      </c>
      <c r="S101" t="s">
        <v>210</v>
      </c>
      <c r="T101" t="s">
        <v>242</v>
      </c>
      <c r="U101">
        <v>4.0237448256541665E-2</v>
      </c>
      <c r="V101" t="s">
        <v>160</v>
      </c>
      <c r="AK101">
        <v>2044</v>
      </c>
      <c r="AL101" t="s">
        <v>233</v>
      </c>
      <c r="AM101">
        <v>0.31549999999999995</v>
      </c>
      <c r="AN101" t="s">
        <v>229</v>
      </c>
    </row>
    <row r="102" spans="9:40" x14ac:dyDescent="0.45">
      <c r="I102" t="s">
        <v>167</v>
      </c>
      <c r="J102" t="s">
        <v>243</v>
      </c>
      <c r="K102">
        <v>1.0046592863154119E-2</v>
      </c>
      <c r="L102" t="s">
        <v>160</v>
      </c>
      <c r="N102" t="s">
        <v>191</v>
      </c>
      <c r="O102" t="s">
        <v>243</v>
      </c>
      <c r="P102">
        <v>8.0463004985795936E-2</v>
      </c>
      <c r="Q102" t="s">
        <v>160</v>
      </c>
      <c r="S102" t="s">
        <v>210</v>
      </c>
      <c r="T102" t="s">
        <v>243</v>
      </c>
      <c r="U102">
        <v>5.1049874742507363E-2</v>
      </c>
      <c r="V102" t="s">
        <v>160</v>
      </c>
      <c r="AK102">
        <v>2044</v>
      </c>
      <c r="AL102" t="s">
        <v>235</v>
      </c>
      <c r="AM102">
        <v>0.18753333333333333</v>
      </c>
      <c r="AN102" t="s">
        <v>229</v>
      </c>
    </row>
    <row r="103" spans="9:40" x14ac:dyDescent="0.45">
      <c r="I103" t="s">
        <v>167</v>
      </c>
      <c r="J103" t="s">
        <v>244</v>
      </c>
      <c r="K103">
        <v>3.3671987621726455E-2</v>
      </c>
      <c r="L103" t="s">
        <v>160</v>
      </c>
      <c r="N103" t="s">
        <v>191</v>
      </c>
      <c r="O103" t="s">
        <v>244</v>
      </c>
      <c r="P103">
        <v>1.3345766968756528E-2</v>
      </c>
      <c r="Q103" t="s">
        <v>160</v>
      </c>
      <c r="S103" t="s">
        <v>210</v>
      </c>
      <c r="T103" t="s">
        <v>244</v>
      </c>
      <c r="U103">
        <v>1.1771737868744582E-2</v>
      </c>
      <c r="V103" t="s">
        <v>160</v>
      </c>
      <c r="AK103">
        <v>2045</v>
      </c>
      <c r="AL103" t="s">
        <v>230</v>
      </c>
      <c r="AM103">
        <v>0.2059</v>
      </c>
      <c r="AN103" t="s">
        <v>229</v>
      </c>
    </row>
    <row r="104" spans="9:40" x14ac:dyDescent="0.45">
      <c r="I104" t="s">
        <v>167</v>
      </c>
      <c r="J104" t="s">
        <v>245</v>
      </c>
      <c r="K104">
        <v>0.14814347993363577</v>
      </c>
      <c r="L104" t="s">
        <v>160</v>
      </c>
      <c r="N104" t="s">
        <v>191</v>
      </c>
      <c r="O104" t="s">
        <v>245</v>
      </c>
      <c r="P104">
        <v>0.14865951523621934</v>
      </c>
      <c r="Q104" t="s">
        <v>160</v>
      </c>
      <c r="S104" t="s">
        <v>210</v>
      </c>
      <c r="T104" t="s">
        <v>245</v>
      </c>
      <c r="U104">
        <v>0.12850262998356826</v>
      </c>
      <c r="V104" t="s">
        <v>160</v>
      </c>
      <c r="AK104">
        <v>2045</v>
      </c>
      <c r="AL104" t="s">
        <v>232</v>
      </c>
      <c r="AM104">
        <v>0.23340000000000002</v>
      </c>
      <c r="AN104" t="s">
        <v>229</v>
      </c>
    </row>
    <row r="105" spans="9:40" x14ac:dyDescent="0.45">
      <c r="I105" t="s">
        <v>167</v>
      </c>
      <c r="J105" t="s">
        <v>246</v>
      </c>
      <c r="K105">
        <v>0</v>
      </c>
      <c r="L105" t="s">
        <v>160</v>
      </c>
      <c r="N105" t="s">
        <v>191</v>
      </c>
      <c r="O105" t="s">
        <v>246</v>
      </c>
      <c r="P105">
        <v>0.14093317277055176</v>
      </c>
      <c r="Q105" t="s">
        <v>160</v>
      </c>
      <c r="S105" t="s">
        <v>210</v>
      </c>
      <c r="T105" t="s">
        <v>246</v>
      </c>
      <c r="U105">
        <v>0.13505484465499135</v>
      </c>
      <c r="V105" t="s">
        <v>160</v>
      </c>
      <c r="AK105">
        <v>2045</v>
      </c>
      <c r="AL105" t="s">
        <v>233</v>
      </c>
      <c r="AM105">
        <v>0.31616666666666665</v>
      </c>
      <c r="AN105" t="s">
        <v>229</v>
      </c>
    </row>
    <row r="106" spans="9:40" x14ac:dyDescent="0.45">
      <c r="I106" t="s">
        <v>167</v>
      </c>
      <c r="J106" t="s">
        <v>247</v>
      </c>
      <c r="K106">
        <v>2.4805525277758339E-3</v>
      </c>
      <c r="L106" t="s">
        <v>160</v>
      </c>
      <c r="N106" t="s">
        <v>191</v>
      </c>
      <c r="O106" t="s">
        <v>247</v>
      </c>
      <c r="P106">
        <v>2.6956702832735286E-2</v>
      </c>
      <c r="Q106" t="s">
        <v>160</v>
      </c>
      <c r="S106" t="s">
        <v>210</v>
      </c>
      <c r="T106" t="s">
        <v>247</v>
      </c>
      <c r="U106">
        <v>2.451335493764269E-2</v>
      </c>
      <c r="V106" t="s">
        <v>160</v>
      </c>
      <c r="AK106">
        <v>2045</v>
      </c>
      <c r="AL106" t="s">
        <v>235</v>
      </c>
      <c r="AM106">
        <v>0.18029999999999999</v>
      </c>
      <c r="AN106" t="s">
        <v>229</v>
      </c>
    </row>
    <row r="107" spans="9:40" x14ac:dyDescent="0.45">
      <c r="I107" t="s">
        <v>168</v>
      </c>
      <c r="J107" t="s">
        <v>236</v>
      </c>
      <c r="K107">
        <v>0.18578062692988223</v>
      </c>
      <c r="L107" t="s">
        <v>160</v>
      </c>
      <c r="N107" t="s">
        <v>192</v>
      </c>
      <c r="O107" t="s">
        <v>236</v>
      </c>
      <c r="P107">
        <v>0.12139471091502035</v>
      </c>
      <c r="Q107" t="s">
        <v>160</v>
      </c>
      <c r="S107" t="s">
        <v>211</v>
      </c>
      <c r="T107" t="s">
        <v>236</v>
      </c>
      <c r="U107">
        <v>0.12983409859486983</v>
      </c>
      <c r="V107" t="s">
        <v>160</v>
      </c>
      <c r="AK107">
        <v>2046</v>
      </c>
      <c r="AL107" t="s">
        <v>230</v>
      </c>
      <c r="AM107">
        <v>0.19999999999999998</v>
      </c>
      <c r="AN107" t="s">
        <v>229</v>
      </c>
    </row>
    <row r="108" spans="9:40" x14ac:dyDescent="0.45">
      <c r="I108" t="s">
        <v>168</v>
      </c>
      <c r="J108" t="s">
        <v>237</v>
      </c>
      <c r="K108">
        <v>0</v>
      </c>
      <c r="L108" t="s">
        <v>160</v>
      </c>
      <c r="N108" t="s">
        <v>192</v>
      </c>
      <c r="O108" t="s">
        <v>237</v>
      </c>
      <c r="P108">
        <v>0.13660646848930857</v>
      </c>
      <c r="Q108" t="s">
        <v>160</v>
      </c>
      <c r="S108" t="s">
        <v>211</v>
      </c>
      <c r="T108" t="s">
        <v>237</v>
      </c>
      <c r="U108">
        <v>0.13370043360817438</v>
      </c>
      <c r="V108" t="s">
        <v>160</v>
      </c>
      <c r="AK108">
        <v>2046</v>
      </c>
      <c r="AL108" t="s">
        <v>232</v>
      </c>
      <c r="AM108">
        <v>0.22303333333333333</v>
      </c>
      <c r="AN108" t="s">
        <v>229</v>
      </c>
    </row>
    <row r="109" spans="9:40" x14ac:dyDescent="0.45">
      <c r="I109" t="s">
        <v>168</v>
      </c>
      <c r="J109" t="s">
        <v>238</v>
      </c>
      <c r="K109">
        <v>6.1195355644251851E-3</v>
      </c>
      <c r="L109" t="s">
        <v>160</v>
      </c>
      <c r="N109" t="s">
        <v>192</v>
      </c>
      <c r="O109" t="s">
        <v>238</v>
      </c>
      <c r="P109">
        <v>2.4443063002567145E-2</v>
      </c>
      <c r="Q109" t="s">
        <v>160</v>
      </c>
      <c r="S109" t="s">
        <v>211</v>
      </c>
      <c r="T109" t="s">
        <v>238</v>
      </c>
      <c r="U109">
        <v>2.5763564867417328E-2</v>
      </c>
      <c r="V109" t="s">
        <v>160</v>
      </c>
      <c r="AK109">
        <v>2046</v>
      </c>
      <c r="AL109" t="s">
        <v>233</v>
      </c>
      <c r="AM109">
        <v>0.28106666666666663</v>
      </c>
      <c r="AN109" t="s">
        <v>229</v>
      </c>
    </row>
    <row r="110" spans="9:40" x14ac:dyDescent="0.45">
      <c r="I110" t="s">
        <v>168</v>
      </c>
      <c r="J110" t="s">
        <v>239</v>
      </c>
      <c r="K110">
        <v>0.25168674068216457</v>
      </c>
      <c r="L110" t="s">
        <v>160</v>
      </c>
      <c r="N110" t="s">
        <v>192</v>
      </c>
      <c r="O110" t="s">
        <v>239</v>
      </c>
      <c r="P110">
        <v>0.13229635448439309</v>
      </c>
      <c r="Q110" t="s">
        <v>160</v>
      </c>
      <c r="S110" t="s">
        <v>211</v>
      </c>
      <c r="T110" t="s">
        <v>239</v>
      </c>
      <c r="U110">
        <v>0.15063663770069569</v>
      </c>
      <c r="V110" t="s">
        <v>160</v>
      </c>
      <c r="AK110">
        <v>2046</v>
      </c>
      <c r="AL110" t="s">
        <v>235</v>
      </c>
      <c r="AM110">
        <v>0.18456666666666666</v>
      </c>
      <c r="AN110" t="s">
        <v>229</v>
      </c>
    </row>
    <row r="111" spans="9:40" x14ac:dyDescent="0.45">
      <c r="I111" t="s">
        <v>168</v>
      </c>
      <c r="J111" t="s">
        <v>240</v>
      </c>
      <c r="K111">
        <v>2.7124311920498734E-3</v>
      </c>
      <c r="L111" t="s">
        <v>160</v>
      </c>
      <c r="N111" t="s">
        <v>192</v>
      </c>
      <c r="O111" t="s">
        <v>240</v>
      </c>
      <c r="P111">
        <v>0.15455928172642552</v>
      </c>
      <c r="Q111" t="s">
        <v>160</v>
      </c>
      <c r="S111" t="s">
        <v>211</v>
      </c>
      <c r="T111" t="s">
        <v>240</v>
      </c>
      <c r="U111">
        <v>0.13806121977614003</v>
      </c>
      <c r="V111" t="s">
        <v>160</v>
      </c>
      <c r="AK111">
        <v>2047</v>
      </c>
      <c r="AL111" t="s">
        <v>230</v>
      </c>
      <c r="AM111">
        <v>0.21663333333333334</v>
      </c>
      <c r="AN111" t="s">
        <v>229</v>
      </c>
    </row>
    <row r="112" spans="9:40" x14ac:dyDescent="0.45">
      <c r="I112" t="s">
        <v>168</v>
      </c>
      <c r="J112" t="s">
        <v>241</v>
      </c>
      <c r="K112">
        <v>2.1388067301258574E-2</v>
      </c>
      <c r="L112" t="s">
        <v>160</v>
      </c>
      <c r="N112" t="s">
        <v>192</v>
      </c>
      <c r="O112" t="s">
        <v>241</v>
      </c>
      <c r="P112">
        <v>2.8708594990636216E-2</v>
      </c>
      <c r="Q112" t="s">
        <v>160</v>
      </c>
      <c r="S112" t="s">
        <v>211</v>
      </c>
      <c r="T112" t="s">
        <v>241</v>
      </c>
      <c r="U112">
        <v>2.8443444619708873E-2</v>
      </c>
      <c r="V112" t="s">
        <v>160</v>
      </c>
      <c r="AK112">
        <v>2047</v>
      </c>
      <c r="AL112" t="s">
        <v>232</v>
      </c>
      <c r="AM112">
        <v>0.22326666666666664</v>
      </c>
      <c r="AN112" t="s">
        <v>229</v>
      </c>
    </row>
    <row r="113" spans="9:40" x14ac:dyDescent="0.45">
      <c r="I113" t="s">
        <v>168</v>
      </c>
      <c r="J113" t="s">
        <v>242</v>
      </c>
      <c r="K113">
        <v>0.34034067839626075</v>
      </c>
      <c r="L113" t="s">
        <v>160</v>
      </c>
      <c r="N113" t="s">
        <v>192</v>
      </c>
      <c r="O113" t="s">
        <v>242</v>
      </c>
      <c r="P113">
        <v>5.3346286082520553E-2</v>
      </c>
      <c r="Q113" t="s">
        <v>160</v>
      </c>
      <c r="S113" t="s">
        <v>211</v>
      </c>
      <c r="T113" t="s">
        <v>242</v>
      </c>
      <c r="U113">
        <v>4.3745721150196419E-2</v>
      </c>
      <c r="V113" t="s">
        <v>160</v>
      </c>
      <c r="AK113">
        <v>2047</v>
      </c>
      <c r="AL113" t="s">
        <v>233</v>
      </c>
      <c r="AM113">
        <v>0.31559999999999999</v>
      </c>
      <c r="AN113" t="s">
        <v>229</v>
      </c>
    </row>
    <row r="114" spans="9:40" x14ac:dyDescent="0.45">
      <c r="I114" t="s">
        <v>168</v>
      </c>
      <c r="J114" t="s">
        <v>243</v>
      </c>
      <c r="K114">
        <v>1.1069188602801119E-2</v>
      </c>
      <c r="L114" t="s">
        <v>160</v>
      </c>
      <c r="N114" t="s">
        <v>192</v>
      </c>
      <c r="O114" t="s">
        <v>243</v>
      </c>
      <c r="P114">
        <v>6.8795011357832087E-2</v>
      </c>
      <c r="Q114" t="s">
        <v>160</v>
      </c>
      <c r="S114" t="s">
        <v>211</v>
      </c>
      <c r="T114" t="s">
        <v>243</v>
      </c>
      <c r="U114">
        <v>5.2711681537934721E-2</v>
      </c>
      <c r="V114" t="s">
        <v>160</v>
      </c>
      <c r="AK114">
        <v>2047</v>
      </c>
      <c r="AL114" t="s">
        <v>235</v>
      </c>
      <c r="AM114">
        <v>0.18333333333333335</v>
      </c>
      <c r="AN114" t="s">
        <v>229</v>
      </c>
    </row>
    <row r="115" spans="9:40" x14ac:dyDescent="0.45">
      <c r="I115" t="s">
        <v>168</v>
      </c>
      <c r="J115" t="s">
        <v>244</v>
      </c>
      <c r="K115">
        <v>3.421449434503486E-2</v>
      </c>
      <c r="L115" t="s">
        <v>160</v>
      </c>
      <c r="N115" t="s">
        <v>192</v>
      </c>
      <c r="O115" t="s">
        <v>244</v>
      </c>
      <c r="P115">
        <v>9.4108042393744058E-3</v>
      </c>
      <c r="Q115" t="s">
        <v>160</v>
      </c>
      <c r="S115" t="s">
        <v>211</v>
      </c>
      <c r="T115" t="s">
        <v>244</v>
      </c>
      <c r="U115">
        <v>1.2297667108324731E-2</v>
      </c>
      <c r="V115" t="s">
        <v>160</v>
      </c>
      <c r="AK115">
        <v>2048</v>
      </c>
      <c r="AL115" t="s">
        <v>230</v>
      </c>
      <c r="AM115">
        <v>0.20303333333333332</v>
      </c>
      <c r="AN115" t="s">
        <v>229</v>
      </c>
    </row>
    <row r="116" spans="9:40" x14ac:dyDescent="0.45">
      <c r="I116" t="s">
        <v>168</v>
      </c>
      <c r="J116" t="s">
        <v>245</v>
      </c>
      <c r="K116">
        <v>0.14465961529061999</v>
      </c>
      <c r="L116" t="s">
        <v>160</v>
      </c>
      <c r="N116" t="s">
        <v>192</v>
      </c>
      <c r="O116" t="s">
        <v>245</v>
      </c>
      <c r="P116">
        <v>0.1246212924442604</v>
      </c>
      <c r="Q116" t="s">
        <v>160</v>
      </c>
      <c r="S116" t="s">
        <v>211</v>
      </c>
      <c r="T116" t="s">
        <v>245</v>
      </c>
      <c r="U116">
        <v>0.12721326127239177</v>
      </c>
      <c r="V116" t="s">
        <v>160</v>
      </c>
      <c r="AK116">
        <v>2048</v>
      </c>
      <c r="AL116" t="s">
        <v>232</v>
      </c>
      <c r="AM116">
        <v>0.21740000000000001</v>
      </c>
      <c r="AN116" t="s">
        <v>229</v>
      </c>
    </row>
    <row r="117" spans="9:40" x14ac:dyDescent="0.45">
      <c r="I117" t="s">
        <v>168</v>
      </c>
      <c r="J117" t="s">
        <v>246</v>
      </c>
      <c r="K117">
        <v>0</v>
      </c>
      <c r="L117" t="s">
        <v>160</v>
      </c>
      <c r="N117" t="s">
        <v>192</v>
      </c>
      <c r="O117" t="s">
        <v>246</v>
      </c>
      <c r="P117">
        <v>0.12493155788998775</v>
      </c>
      <c r="Q117" t="s">
        <v>160</v>
      </c>
      <c r="S117" t="s">
        <v>211</v>
      </c>
      <c r="T117" t="s">
        <v>246</v>
      </c>
      <c r="U117">
        <v>0.1334947412076713</v>
      </c>
      <c r="V117" t="s">
        <v>160</v>
      </c>
      <c r="AK117">
        <v>2048</v>
      </c>
      <c r="AL117" t="s">
        <v>233</v>
      </c>
      <c r="AM117">
        <v>0.30860000000000004</v>
      </c>
      <c r="AN117" t="s">
        <v>229</v>
      </c>
    </row>
    <row r="118" spans="9:40" x14ac:dyDescent="0.45">
      <c r="I118" t="s">
        <v>168</v>
      </c>
      <c r="J118" t="s">
        <v>247</v>
      </c>
      <c r="K118">
        <v>2.0286216955057684E-3</v>
      </c>
      <c r="L118" t="s">
        <v>160</v>
      </c>
      <c r="N118" t="s">
        <v>192</v>
      </c>
      <c r="O118" t="s">
        <v>247</v>
      </c>
      <c r="P118">
        <v>2.0886574377670341E-2</v>
      </c>
      <c r="Q118" t="s">
        <v>160</v>
      </c>
      <c r="S118" t="s">
        <v>211</v>
      </c>
      <c r="T118" t="s">
        <v>247</v>
      </c>
      <c r="U118">
        <v>2.4097528556472497E-2</v>
      </c>
      <c r="V118" t="s">
        <v>160</v>
      </c>
      <c r="AK118">
        <v>2048</v>
      </c>
      <c r="AL118" t="s">
        <v>235</v>
      </c>
      <c r="AM118">
        <v>0.18989999999999999</v>
      </c>
      <c r="AN118" t="s">
        <v>229</v>
      </c>
    </row>
    <row r="119" spans="9:40" x14ac:dyDescent="0.45">
      <c r="I119" t="s">
        <v>169</v>
      </c>
      <c r="J119" t="s">
        <v>236</v>
      </c>
      <c r="K119">
        <v>0.20364195384971687</v>
      </c>
      <c r="L119" t="s">
        <v>160</v>
      </c>
      <c r="N119" t="s">
        <v>193</v>
      </c>
      <c r="O119" t="s">
        <v>236</v>
      </c>
      <c r="P119">
        <v>9.9826156380003861E-2</v>
      </c>
      <c r="Q119" t="s">
        <v>160</v>
      </c>
      <c r="S119" t="s">
        <v>212</v>
      </c>
      <c r="T119" t="s">
        <v>236</v>
      </c>
      <c r="U119">
        <v>0.13919447226097234</v>
      </c>
      <c r="V119" t="s">
        <v>160</v>
      </c>
      <c r="AK119">
        <v>2049</v>
      </c>
      <c r="AL119" t="s">
        <v>230</v>
      </c>
      <c r="AM119">
        <v>0.2271</v>
      </c>
      <c r="AN119" t="s">
        <v>229</v>
      </c>
    </row>
    <row r="120" spans="9:40" x14ac:dyDescent="0.45">
      <c r="I120" t="s">
        <v>169</v>
      </c>
      <c r="J120" t="s">
        <v>237</v>
      </c>
      <c r="K120">
        <v>0</v>
      </c>
      <c r="L120" t="s">
        <v>160</v>
      </c>
      <c r="N120" t="s">
        <v>193</v>
      </c>
      <c r="O120" t="s">
        <v>237</v>
      </c>
      <c r="P120">
        <v>0.10015068786689396</v>
      </c>
      <c r="Q120" t="s">
        <v>160</v>
      </c>
      <c r="S120" t="s">
        <v>212</v>
      </c>
      <c r="T120" t="s">
        <v>237</v>
      </c>
      <c r="U120">
        <v>0.15356081540838387</v>
      </c>
      <c r="V120" t="s">
        <v>160</v>
      </c>
      <c r="AK120">
        <v>2049</v>
      </c>
      <c r="AL120" t="s">
        <v>232</v>
      </c>
      <c r="AM120">
        <v>0.2266</v>
      </c>
      <c r="AN120" t="s">
        <v>229</v>
      </c>
    </row>
    <row r="121" spans="9:40" x14ac:dyDescent="0.45">
      <c r="I121" t="s">
        <v>169</v>
      </c>
      <c r="J121" t="s">
        <v>238</v>
      </c>
      <c r="K121">
        <v>7.0774470529880234E-3</v>
      </c>
      <c r="L121" t="s">
        <v>160</v>
      </c>
      <c r="N121" t="s">
        <v>193</v>
      </c>
      <c r="O121" t="s">
        <v>238</v>
      </c>
      <c r="P121">
        <v>2.2224732387500983E-2</v>
      </c>
      <c r="Q121" t="s">
        <v>160</v>
      </c>
      <c r="S121" t="s">
        <v>212</v>
      </c>
      <c r="T121" t="s">
        <v>238</v>
      </c>
      <c r="U121">
        <v>2.8681370305750565E-2</v>
      </c>
      <c r="V121" t="s">
        <v>160</v>
      </c>
      <c r="AK121">
        <v>2049</v>
      </c>
      <c r="AL121" t="s">
        <v>233</v>
      </c>
      <c r="AM121">
        <v>0.30459999999999998</v>
      </c>
      <c r="AN121" t="s">
        <v>229</v>
      </c>
    </row>
    <row r="122" spans="9:40" x14ac:dyDescent="0.45">
      <c r="I122" t="s">
        <v>169</v>
      </c>
      <c r="J122" t="s">
        <v>239</v>
      </c>
      <c r="K122">
        <v>0.25652906227923122</v>
      </c>
      <c r="L122" t="s">
        <v>160</v>
      </c>
      <c r="N122" t="s">
        <v>193</v>
      </c>
      <c r="O122" t="s">
        <v>239</v>
      </c>
      <c r="P122">
        <v>0.13116032464227531</v>
      </c>
      <c r="Q122" t="s">
        <v>160</v>
      </c>
      <c r="S122" t="s">
        <v>212</v>
      </c>
      <c r="T122" t="s">
        <v>239</v>
      </c>
      <c r="U122">
        <v>0.15944965989197096</v>
      </c>
      <c r="V122" t="s">
        <v>160</v>
      </c>
      <c r="AK122">
        <v>2049</v>
      </c>
      <c r="AL122" t="s">
        <v>235</v>
      </c>
      <c r="AM122">
        <v>0.18500000000000003</v>
      </c>
      <c r="AN122" t="s">
        <v>229</v>
      </c>
    </row>
    <row r="123" spans="9:40" x14ac:dyDescent="0.45">
      <c r="I123" t="s">
        <v>169</v>
      </c>
      <c r="J123" t="s">
        <v>240</v>
      </c>
      <c r="K123">
        <v>1.9653678702994844E-3</v>
      </c>
      <c r="L123" t="s">
        <v>160</v>
      </c>
      <c r="N123" t="s">
        <v>193</v>
      </c>
      <c r="O123" t="s">
        <v>240</v>
      </c>
      <c r="P123">
        <v>0.13291578676483201</v>
      </c>
      <c r="Q123" t="s">
        <v>160</v>
      </c>
      <c r="S123" t="s">
        <v>212</v>
      </c>
      <c r="T123" t="s">
        <v>240</v>
      </c>
      <c r="U123">
        <v>0.15542921296096837</v>
      </c>
      <c r="V123" t="s">
        <v>160</v>
      </c>
      <c r="AK123">
        <v>2050</v>
      </c>
      <c r="AL123" t="s">
        <v>230</v>
      </c>
      <c r="AM123">
        <v>0.20783333333333331</v>
      </c>
      <c r="AN123" t="s">
        <v>229</v>
      </c>
    </row>
    <row r="124" spans="9:40" x14ac:dyDescent="0.45">
      <c r="I124" t="s">
        <v>169</v>
      </c>
      <c r="J124" t="s">
        <v>241</v>
      </c>
      <c r="K124">
        <v>2.3390671859836124E-2</v>
      </c>
      <c r="L124" t="s">
        <v>160</v>
      </c>
      <c r="N124" t="s">
        <v>193</v>
      </c>
      <c r="O124" t="s">
        <v>241</v>
      </c>
      <c r="P124">
        <v>2.9682894340285218E-2</v>
      </c>
      <c r="Q124" t="s">
        <v>160</v>
      </c>
      <c r="S124" t="s">
        <v>212</v>
      </c>
      <c r="T124" t="s">
        <v>241</v>
      </c>
      <c r="U124">
        <v>2.9445372767241598E-2</v>
      </c>
      <c r="V124" t="s">
        <v>160</v>
      </c>
      <c r="AK124">
        <v>2050</v>
      </c>
      <c r="AL124" t="s">
        <v>232</v>
      </c>
      <c r="AM124">
        <v>0.22013333333333338</v>
      </c>
      <c r="AN124" t="s">
        <v>229</v>
      </c>
    </row>
    <row r="125" spans="9:40" x14ac:dyDescent="0.45">
      <c r="I125" t="s">
        <v>169</v>
      </c>
      <c r="J125" t="s">
        <v>242</v>
      </c>
      <c r="K125">
        <v>0.31005345046252974</v>
      </c>
      <c r="L125" t="s">
        <v>160</v>
      </c>
      <c r="N125" t="s">
        <v>193</v>
      </c>
      <c r="O125" t="s">
        <v>242</v>
      </c>
      <c r="P125">
        <v>8.6635280653550806E-2</v>
      </c>
      <c r="Q125" t="s">
        <v>160</v>
      </c>
      <c r="S125" t="s">
        <v>212</v>
      </c>
      <c r="T125" t="s">
        <v>242</v>
      </c>
      <c r="U125">
        <v>3.9799451995350676E-2</v>
      </c>
      <c r="V125" t="s">
        <v>160</v>
      </c>
      <c r="AK125">
        <v>2050</v>
      </c>
      <c r="AL125" t="s">
        <v>233</v>
      </c>
      <c r="AM125">
        <v>0.30036666666666667</v>
      </c>
      <c r="AN125" t="s">
        <v>229</v>
      </c>
    </row>
    <row r="126" spans="9:40" x14ac:dyDescent="0.45">
      <c r="I126" t="s">
        <v>169</v>
      </c>
      <c r="J126" t="s">
        <v>243</v>
      </c>
      <c r="K126">
        <v>8.6124126085267965E-3</v>
      </c>
      <c r="L126" t="s">
        <v>160</v>
      </c>
      <c r="N126" t="s">
        <v>193</v>
      </c>
      <c r="O126" t="s">
        <v>243</v>
      </c>
      <c r="P126">
        <v>7.7887247598211001E-2</v>
      </c>
      <c r="Q126" t="s">
        <v>160</v>
      </c>
      <c r="S126" t="s">
        <v>212</v>
      </c>
      <c r="T126" t="s">
        <v>243</v>
      </c>
      <c r="U126">
        <v>4.5658927273794121E-2</v>
      </c>
      <c r="V126" t="s">
        <v>160</v>
      </c>
      <c r="AK126">
        <v>2050</v>
      </c>
      <c r="AL126" t="s">
        <v>235</v>
      </c>
      <c r="AM126">
        <v>0.17726666666666668</v>
      </c>
      <c r="AN126" t="s">
        <v>229</v>
      </c>
    </row>
    <row r="127" spans="9:40" x14ac:dyDescent="0.45">
      <c r="I127" t="s">
        <v>169</v>
      </c>
      <c r="J127" t="s">
        <v>244</v>
      </c>
      <c r="K127">
        <v>3.4092706990031606E-2</v>
      </c>
      <c r="L127" t="s">
        <v>160</v>
      </c>
      <c r="N127" t="s">
        <v>193</v>
      </c>
      <c r="O127" t="s">
        <v>244</v>
      </c>
      <c r="P127">
        <v>1.5645306821656813E-2</v>
      </c>
      <c r="Q127" t="s">
        <v>160</v>
      </c>
      <c r="S127" t="s">
        <v>212</v>
      </c>
      <c r="T127" t="s">
        <v>244</v>
      </c>
      <c r="U127">
        <v>9.7099315028396638E-3</v>
      </c>
      <c r="V127" t="s">
        <v>160</v>
      </c>
    </row>
    <row r="128" spans="9:40" x14ac:dyDescent="0.45">
      <c r="I128" t="s">
        <v>169</v>
      </c>
      <c r="J128" t="s">
        <v>245</v>
      </c>
      <c r="K128">
        <v>0.15183799229440378</v>
      </c>
      <c r="L128" t="s">
        <v>160</v>
      </c>
      <c r="N128" t="s">
        <v>193</v>
      </c>
      <c r="O128" t="s">
        <v>245</v>
      </c>
      <c r="P128">
        <v>0.1407642694341707</v>
      </c>
      <c r="Q128" t="s">
        <v>160</v>
      </c>
      <c r="S128" t="s">
        <v>212</v>
      </c>
      <c r="T128" t="s">
        <v>245</v>
      </c>
      <c r="U128">
        <v>0.10892461267062899</v>
      </c>
      <c r="V128" t="s">
        <v>160</v>
      </c>
    </row>
    <row r="129" spans="9:22" x14ac:dyDescent="0.45">
      <c r="I129" t="s">
        <v>169</v>
      </c>
      <c r="J129" t="s">
        <v>246</v>
      </c>
      <c r="K129">
        <v>0</v>
      </c>
      <c r="L129" t="s">
        <v>160</v>
      </c>
      <c r="N129" t="s">
        <v>193</v>
      </c>
      <c r="O129" t="s">
        <v>246</v>
      </c>
      <c r="P129">
        <v>0.13775186208125614</v>
      </c>
      <c r="Q129" t="s">
        <v>160</v>
      </c>
      <c r="S129" t="s">
        <v>212</v>
      </c>
      <c r="T129" t="s">
        <v>246</v>
      </c>
      <c r="U129">
        <v>0.10986994497576981</v>
      </c>
      <c r="V129" t="s">
        <v>160</v>
      </c>
    </row>
    <row r="130" spans="9:22" x14ac:dyDescent="0.45">
      <c r="I130" t="s">
        <v>169</v>
      </c>
      <c r="J130" t="s">
        <v>247</v>
      </c>
      <c r="K130">
        <v>2.7989347324351354E-3</v>
      </c>
      <c r="L130" t="s">
        <v>160</v>
      </c>
      <c r="N130" t="s">
        <v>193</v>
      </c>
      <c r="O130" t="s">
        <v>247</v>
      </c>
      <c r="P130">
        <v>2.5355451029361216E-2</v>
      </c>
      <c r="Q130" t="s">
        <v>160</v>
      </c>
      <c r="S130" t="s">
        <v>212</v>
      </c>
      <c r="T130" t="s">
        <v>247</v>
      </c>
      <c r="U130">
        <v>2.0276227986328707E-2</v>
      </c>
      <c r="V130" t="s">
        <v>160</v>
      </c>
    </row>
    <row r="131" spans="9:22" x14ac:dyDescent="0.45">
      <c r="I131" t="s">
        <v>170</v>
      </c>
      <c r="J131" t="s">
        <v>236</v>
      </c>
      <c r="K131">
        <v>0.20715823870500366</v>
      </c>
      <c r="L131" t="s">
        <v>160</v>
      </c>
      <c r="N131" t="s">
        <v>194</v>
      </c>
      <c r="O131" t="s">
        <v>236</v>
      </c>
      <c r="P131">
        <v>9.4356134930241656E-2</v>
      </c>
      <c r="Q131" t="s">
        <v>160</v>
      </c>
      <c r="S131" t="s">
        <v>213</v>
      </c>
      <c r="T131" t="s">
        <v>236</v>
      </c>
      <c r="U131">
        <v>0.14446642888242353</v>
      </c>
      <c r="V131" t="s">
        <v>160</v>
      </c>
    </row>
    <row r="132" spans="9:22" x14ac:dyDescent="0.45">
      <c r="I132" t="s">
        <v>170</v>
      </c>
      <c r="J132" t="s">
        <v>237</v>
      </c>
      <c r="K132">
        <v>0</v>
      </c>
      <c r="L132" t="s">
        <v>160</v>
      </c>
      <c r="N132" t="s">
        <v>194</v>
      </c>
      <c r="O132" t="s">
        <v>237</v>
      </c>
      <c r="P132">
        <v>9.7641818686695053E-2</v>
      </c>
      <c r="Q132" t="s">
        <v>160</v>
      </c>
      <c r="S132" t="s">
        <v>213</v>
      </c>
      <c r="T132" t="s">
        <v>237</v>
      </c>
      <c r="U132">
        <v>0.14933611112545728</v>
      </c>
      <c r="V132" t="s">
        <v>160</v>
      </c>
    </row>
    <row r="133" spans="9:22" x14ac:dyDescent="0.45">
      <c r="I133" t="s">
        <v>170</v>
      </c>
      <c r="J133" t="s">
        <v>238</v>
      </c>
      <c r="K133">
        <v>6.7368983371903033E-3</v>
      </c>
      <c r="L133" t="s">
        <v>160</v>
      </c>
      <c r="N133" t="s">
        <v>194</v>
      </c>
      <c r="O133" t="s">
        <v>238</v>
      </c>
      <c r="P133">
        <v>1.913581201470483E-2</v>
      </c>
      <c r="Q133" t="s">
        <v>160</v>
      </c>
      <c r="S133" t="s">
        <v>213</v>
      </c>
      <c r="T133" t="s">
        <v>238</v>
      </c>
      <c r="U133">
        <v>2.8745662642712586E-2</v>
      </c>
      <c r="V133" t="s">
        <v>160</v>
      </c>
    </row>
    <row r="134" spans="9:22" x14ac:dyDescent="0.45">
      <c r="I134" t="s">
        <v>170</v>
      </c>
      <c r="J134" t="s">
        <v>239</v>
      </c>
      <c r="K134">
        <v>0.26463768488701772</v>
      </c>
      <c r="L134" t="s">
        <v>160</v>
      </c>
      <c r="N134" t="s">
        <v>194</v>
      </c>
      <c r="O134" t="s">
        <v>239</v>
      </c>
      <c r="P134">
        <v>0.13433589938931373</v>
      </c>
      <c r="Q134" t="s">
        <v>160</v>
      </c>
      <c r="S134" t="s">
        <v>213</v>
      </c>
      <c r="T134" t="s">
        <v>239</v>
      </c>
      <c r="U134">
        <v>0.14166419583896364</v>
      </c>
      <c r="V134" t="s">
        <v>160</v>
      </c>
    </row>
    <row r="135" spans="9:22" x14ac:dyDescent="0.45">
      <c r="I135" t="s">
        <v>170</v>
      </c>
      <c r="J135" t="s">
        <v>240</v>
      </c>
      <c r="K135">
        <v>1.7371789839420613E-3</v>
      </c>
      <c r="L135" t="s">
        <v>160</v>
      </c>
      <c r="N135" t="s">
        <v>194</v>
      </c>
      <c r="O135" t="s">
        <v>240</v>
      </c>
      <c r="P135">
        <v>0.1424455676814616</v>
      </c>
      <c r="Q135" t="s">
        <v>160</v>
      </c>
      <c r="S135" t="s">
        <v>213</v>
      </c>
      <c r="T135" t="s">
        <v>240</v>
      </c>
      <c r="U135">
        <v>0.13708199946298227</v>
      </c>
      <c r="V135" t="s">
        <v>160</v>
      </c>
    </row>
    <row r="136" spans="9:22" x14ac:dyDescent="0.45">
      <c r="I136" t="s">
        <v>170</v>
      </c>
      <c r="J136" t="s">
        <v>241</v>
      </c>
      <c r="K136">
        <v>2.3949953017894918E-2</v>
      </c>
      <c r="L136" t="s">
        <v>160</v>
      </c>
      <c r="N136" t="s">
        <v>194</v>
      </c>
      <c r="O136" t="s">
        <v>241</v>
      </c>
      <c r="P136">
        <v>2.7096411621679396E-2</v>
      </c>
      <c r="Q136" t="s">
        <v>160</v>
      </c>
      <c r="S136" t="s">
        <v>213</v>
      </c>
      <c r="T136" t="s">
        <v>241</v>
      </c>
      <c r="U136">
        <v>2.6133110858742079E-2</v>
      </c>
      <c r="V136" t="s">
        <v>160</v>
      </c>
    </row>
    <row r="137" spans="9:22" x14ac:dyDescent="0.45">
      <c r="I137" t="s">
        <v>170</v>
      </c>
      <c r="J137" t="s">
        <v>242</v>
      </c>
      <c r="K137">
        <v>0.30125775822506917</v>
      </c>
      <c r="L137" t="s">
        <v>160</v>
      </c>
      <c r="N137" t="s">
        <v>194</v>
      </c>
      <c r="O137" t="s">
        <v>242</v>
      </c>
      <c r="P137">
        <v>8.7569630071446941E-2</v>
      </c>
      <c r="Q137" t="s">
        <v>160</v>
      </c>
      <c r="S137" t="s">
        <v>213</v>
      </c>
      <c r="T137" t="s">
        <v>242</v>
      </c>
      <c r="U137">
        <v>4.5048814323294939E-2</v>
      </c>
      <c r="V137" t="s">
        <v>160</v>
      </c>
    </row>
    <row r="138" spans="9:22" x14ac:dyDescent="0.45">
      <c r="I138" t="s">
        <v>170</v>
      </c>
      <c r="J138" t="s">
        <v>243</v>
      </c>
      <c r="K138">
        <v>7.4859843374625043E-3</v>
      </c>
      <c r="L138" t="s">
        <v>160</v>
      </c>
      <c r="N138" t="s">
        <v>194</v>
      </c>
      <c r="O138" t="s">
        <v>243</v>
      </c>
      <c r="P138">
        <v>9.1524764859927929E-2</v>
      </c>
      <c r="Q138" t="s">
        <v>160</v>
      </c>
      <c r="S138" t="s">
        <v>213</v>
      </c>
      <c r="T138" t="s">
        <v>243</v>
      </c>
      <c r="U138">
        <v>4.1891722641135914E-2</v>
      </c>
      <c r="V138" t="s">
        <v>160</v>
      </c>
    </row>
    <row r="139" spans="9:22" x14ac:dyDescent="0.45">
      <c r="I139" t="s">
        <v>170</v>
      </c>
      <c r="J139" t="s">
        <v>244</v>
      </c>
      <c r="K139">
        <v>3.29337659633505E-2</v>
      </c>
      <c r="L139" t="s">
        <v>160</v>
      </c>
      <c r="N139" t="s">
        <v>194</v>
      </c>
      <c r="O139" t="s">
        <v>244</v>
      </c>
      <c r="P139">
        <v>1.572579632541635E-2</v>
      </c>
      <c r="Q139" t="s">
        <v>160</v>
      </c>
      <c r="S139" t="s">
        <v>213</v>
      </c>
      <c r="T139" t="s">
        <v>244</v>
      </c>
      <c r="U139">
        <v>6.2603089887568976E-3</v>
      </c>
      <c r="V139" t="s">
        <v>160</v>
      </c>
    </row>
    <row r="140" spans="9:22" x14ac:dyDescent="0.45">
      <c r="I140" t="s">
        <v>170</v>
      </c>
      <c r="J140" t="s">
        <v>245</v>
      </c>
      <c r="K140">
        <v>0.15107268377030078</v>
      </c>
      <c r="L140" t="s">
        <v>160</v>
      </c>
      <c r="N140" t="s">
        <v>194</v>
      </c>
      <c r="O140" t="s">
        <v>245</v>
      </c>
      <c r="P140">
        <v>0.12874447677342829</v>
      </c>
      <c r="Q140" t="s">
        <v>160</v>
      </c>
      <c r="S140" t="s">
        <v>213</v>
      </c>
      <c r="T140" t="s">
        <v>245</v>
      </c>
      <c r="U140">
        <v>0.12844712418123092</v>
      </c>
      <c r="V140" t="s">
        <v>160</v>
      </c>
    </row>
    <row r="141" spans="9:22" x14ac:dyDescent="0.45">
      <c r="I141" t="s">
        <v>170</v>
      </c>
      <c r="J141" t="s">
        <v>246</v>
      </c>
      <c r="K141">
        <v>0</v>
      </c>
      <c r="L141" t="s">
        <v>160</v>
      </c>
      <c r="N141" t="s">
        <v>194</v>
      </c>
      <c r="O141" t="s">
        <v>246</v>
      </c>
      <c r="P141">
        <v>0.13678737686765371</v>
      </c>
      <c r="Q141" t="s">
        <v>160</v>
      </c>
      <c r="S141" t="s">
        <v>213</v>
      </c>
      <c r="T141" t="s">
        <v>246</v>
      </c>
      <c r="U141">
        <v>0.12718925862178815</v>
      </c>
      <c r="V141" t="s">
        <v>160</v>
      </c>
    </row>
    <row r="142" spans="9:22" x14ac:dyDescent="0.45">
      <c r="I142" t="s">
        <v>170</v>
      </c>
      <c r="J142" t="s">
        <v>247</v>
      </c>
      <c r="K142">
        <v>3.0298537727698636E-3</v>
      </c>
      <c r="L142" t="s">
        <v>160</v>
      </c>
      <c r="N142" t="s">
        <v>194</v>
      </c>
      <c r="O142" t="s">
        <v>247</v>
      </c>
      <c r="P142">
        <v>2.4636310778032165E-2</v>
      </c>
      <c r="Q142" t="s">
        <v>160</v>
      </c>
      <c r="S142" t="s">
        <v>213</v>
      </c>
      <c r="T142" t="s">
        <v>247</v>
      </c>
      <c r="U142">
        <v>2.3735262432513962E-2</v>
      </c>
      <c r="V142" t="s">
        <v>160</v>
      </c>
    </row>
    <row r="143" spans="9:22" x14ac:dyDescent="0.45">
      <c r="I143" t="s">
        <v>171</v>
      </c>
      <c r="J143" t="s">
        <v>236</v>
      </c>
      <c r="K143">
        <v>0.18937405449137631</v>
      </c>
      <c r="L143" t="s">
        <v>160</v>
      </c>
      <c r="N143" t="s">
        <v>195</v>
      </c>
      <c r="O143" t="s">
        <v>236</v>
      </c>
      <c r="P143">
        <v>0.10980177928647243</v>
      </c>
      <c r="Q143" t="s">
        <v>160</v>
      </c>
      <c r="S143" t="s">
        <v>214</v>
      </c>
      <c r="T143" t="s">
        <v>236</v>
      </c>
      <c r="U143">
        <v>0.10087213975977466</v>
      </c>
      <c r="V143" t="s">
        <v>160</v>
      </c>
    </row>
    <row r="144" spans="9:22" x14ac:dyDescent="0.45">
      <c r="I144" t="s">
        <v>171</v>
      </c>
      <c r="J144" t="s">
        <v>237</v>
      </c>
      <c r="K144">
        <v>3.0364368532960506E-5</v>
      </c>
      <c r="L144" t="s">
        <v>160</v>
      </c>
      <c r="N144" t="s">
        <v>195</v>
      </c>
      <c r="O144" t="s">
        <v>237</v>
      </c>
      <c r="P144">
        <v>9.3622335501121062E-2</v>
      </c>
      <c r="Q144" t="s">
        <v>160</v>
      </c>
      <c r="S144" t="s">
        <v>214</v>
      </c>
      <c r="T144" t="s">
        <v>237</v>
      </c>
      <c r="U144">
        <v>0.10710749079798032</v>
      </c>
      <c r="V144" t="s">
        <v>160</v>
      </c>
    </row>
    <row r="145" spans="9:22" x14ac:dyDescent="0.45">
      <c r="I145" t="s">
        <v>171</v>
      </c>
      <c r="J145" t="s">
        <v>238</v>
      </c>
      <c r="K145">
        <v>1.6452549078384164E-2</v>
      </c>
      <c r="L145" t="s">
        <v>160</v>
      </c>
      <c r="N145" t="s">
        <v>195</v>
      </c>
      <c r="O145" t="s">
        <v>238</v>
      </c>
      <c r="P145">
        <v>2.1417652349263336E-2</v>
      </c>
      <c r="Q145" t="s">
        <v>160</v>
      </c>
      <c r="S145" t="s">
        <v>214</v>
      </c>
      <c r="T145" t="s">
        <v>238</v>
      </c>
      <c r="U145">
        <v>1.9557193116129065E-2</v>
      </c>
      <c r="V145" t="s">
        <v>160</v>
      </c>
    </row>
    <row r="146" spans="9:22" x14ac:dyDescent="0.45">
      <c r="I146" t="s">
        <v>171</v>
      </c>
      <c r="J146" t="s">
        <v>239</v>
      </c>
      <c r="K146">
        <v>0.25583776866131575</v>
      </c>
      <c r="L146" t="s">
        <v>160</v>
      </c>
      <c r="N146" t="s">
        <v>195</v>
      </c>
      <c r="O146" t="s">
        <v>239</v>
      </c>
      <c r="P146">
        <v>0.19638390193100125</v>
      </c>
      <c r="Q146" t="s">
        <v>160</v>
      </c>
      <c r="S146" t="s">
        <v>214</v>
      </c>
      <c r="T146" t="s">
        <v>239</v>
      </c>
      <c r="U146">
        <v>0.17732734007435547</v>
      </c>
      <c r="V146" t="s">
        <v>160</v>
      </c>
    </row>
    <row r="147" spans="9:22" x14ac:dyDescent="0.45">
      <c r="I147" t="s">
        <v>171</v>
      </c>
      <c r="J147" t="s">
        <v>240</v>
      </c>
      <c r="K147">
        <v>4.5025677671178274E-3</v>
      </c>
      <c r="L147" t="s">
        <v>160</v>
      </c>
      <c r="N147" t="s">
        <v>195</v>
      </c>
      <c r="O147" t="s">
        <v>240</v>
      </c>
      <c r="P147">
        <v>0.12779540632692113</v>
      </c>
      <c r="Q147" t="s">
        <v>160</v>
      </c>
      <c r="S147" t="s">
        <v>214</v>
      </c>
      <c r="T147" t="s">
        <v>240</v>
      </c>
      <c r="U147">
        <v>0.18694008807264403</v>
      </c>
      <c r="V147" t="s">
        <v>160</v>
      </c>
    </row>
    <row r="148" spans="9:22" x14ac:dyDescent="0.45">
      <c r="I148" t="s">
        <v>171</v>
      </c>
      <c r="J148" t="s">
        <v>241</v>
      </c>
      <c r="K148">
        <v>3.672722627399827E-2</v>
      </c>
      <c r="L148" t="s">
        <v>160</v>
      </c>
      <c r="N148" t="s">
        <v>195</v>
      </c>
      <c r="O148" t="s">
        <v>241</v>
      </c>
      <c r="P148">
        <v>3.520371712131002E-2</v>
      </c>
      <c r="Q148" t="s">
        <v>160</v>
      </c>
      <c r="S148" t="s">
        <v>214</v>
      </c>
      <c r="T148" t="s">
        <v>241</v>
      </c>
      <c r="U148">
        <v>3.5707301589037829E-2</v>
      </c>
      <c r="V148" t="s">
        <v>160</v>
      </c>
    </row>
    <row r="149" spans="9:22" x14ac:dyDescent="0.45">
      <c r="I149" t="s">
        <v>171</v>
      </c>
      <c r="J149" t="s">
        <v>242</v>
      </c>
      <c r="K149">
        <v>0.28612178581579095</v>
      </c>
      <c r="L149" t="s">
        <v>160</v>
      </c>
      <c r="N149" t="s">
        <v>195</v>
      </c>
      <c r="O149" t="s">
        <v>242</v>
      </c>
      <c r="P149">
        <v>6.3027530502553067E-2</v>
      </c>
      <c r="Q149" t="s">
        <v>160</v>
      </c>
      <c r="S149" t="s">
        <v>214</v>
      </c>
      <c r="T149" t="s">
        <v>242</v>
      </c>
      <c r="U149">
        <v>3.3346794553955755E-2</v>
      </c>
      <c r="V149" t="s">
        <v>160</v>
      </c>
    </row>
    <row r="150" spans="9:22" x14ac:dyDescent="0.45">
      <c r="I150" t="s">
        <v>171</v>
      </c>
      <c r="J150" t="s">
        <v>243</v>
      </c>
      <c r="K150">
        <v>1.0120096714860572E-2</v>
      </c>
      <c r="L150" t="s">
        <v>160</v>
      </c>
      <c r="N150" t="s">
        <v>195</v>
      </c>
      <c r="O150" t="s">
        <v>243</v>
      </c>
      <c r="P150">
        <v>4.0898314612464647E-2</v>
      </c>
      <c r="Q150" t="s">
        <v>160</v>
      </c>
      <c r="S150" t="s">
        <v>214</v>
      </c>
      <c r="T150" t="s">
        <v>243</v>
      </c>
      <c r="U150">
        <v>3.9139345448267721E-2</v>
      </c>
      <c r="V150" t="s">
        <v>160</v>
      </c>
    </row>
    <row r="151" spans="9:22" x14ac:dyDescent="0.45">
      <c r="I151" t="s">
        <v>171</v>
      </c>
      <c r="J151" t="s">
        <v>244</v>
      </c>
      <c r="K151">
        <v>4.2923383132860336E-2</v>
      </c>
      <c r="L151" t="s">
        <v>160</v>
      </c>
      <c r="N151" t="s">
        <v>195</v>
      </c>
      <c r="O151" t="s">
        <v>244</v>
      </c>
      <c r="P151">
        <v>1.3847082474025373E-2</v>
      </c>
      <c r="Q151" t="s">
        <v>160</v>
      </c>
      <c r="S151" t="s">
        <v>214</v>
      </c>
      <c r="T151" t="s">
        <v>244</v>
      </c>
      <c r="U151">
        <v>1.1177898922573018E-2</v>
      </c>
      <c r="V151" t="s">
        <v>160</v>
      </c>
    </row>
    <row r="152" spans="9:22" x14ac:dyDescent="0.45">
      <c r="I152" t="s">
        <v>171</v>
      </c>
      <c r="J152" t="s">
        <v>245</v>
      </c>
      <c r="K152">
        <v>0.14626213577697636</v>
      </c>
      <c r="L152" t="s">
        <v>160</v>
      </c>
      <c r="N152" t="s">
        <v>195</v>
      </c>
      <c r="O152" t="s">
        <v>245</v>
      </c>
      <c r="P152">
        <v>0.14392509777727125</v>
      </c>
      <c r="Q152" t="s">
        <v>160</v>
      </c>
      <c r="S152" t="s">
        <v>214</v>
      </c>
      <c r="T152" t="s">
        <v>245</v>
      </c>
      <c r="U152">
        <v>0.13290662779692883</v>
      </c>
      <c r="V152" t="s">
        <v>160</v>
      </c>
    </row>
    <row r="153" spans="9:22" x14ac:dyDescent="0.45">
      <c r="I153" t="s">
        <v>171</v>
      </c>
      <c r="J153" t="s">
        <v>246</v>
      </c>
      <c r="K153">
        <v>0</v>
      </c>
      <c r="L153" t="s">
        <v>160</v>
      </c>
      <c r="N153" t="s">
        <v>195</v>
      </c>
      <c r="O153" t="s">
        <v>246</v>
      </c>
      <c r="P153">
        <v>0.12766014353290273</v>
      </c>
      <c r="Q153" t="s">
        <v>160</v>
      </c>
      <c r="S153" t="s">
        <v>214</v>
      </c>
      <c r="T153" t="s">
        <v>246</v>
      </c>
      <c r="U153">
        <v>0.13081675422506572</v>
      </c>
      <c r="V153" t="s">
        <v>160</v>
      </c>
    </row>
    <row r="154" spans="9:22" x14ac:dyDescent="0.45">
      <c r="I154" t="s">
        <v>171</v>
      </c>
      <c r="J154" t="s">
        <v>247</v>
      </c>
      <c r="K154">
        <v>1.1648067918786619E-2</v>
      </c>
      <c r="L154" t="s">
        <v>160</v>
      </c>
      <c r="N154" t="s">
        <v>195</v>
      </c>
      <c r="O154" t="s">
        <v>247</v>
      </c>
      <c r="P154">
        <v>2.6417038584694137E-2</v>
      </c>
      <c r="Q154" t="s">
        <v>160</v>
      </c>
      <c r="S154" t="s">
        <v>214</v>
      </c>
      <c r="T154" t="s">
        <v>247</v>
      </c>
      <c r="U154">
        <v>2.5101025643290982E-2</v>
      </c>
      <c r="V154" t="s">
        <v>160</v>
      </c>
    </row>
    <row r="155" spans="9:22" x14ac:dyDescent="0.45">
      <c r="I155" t="s">
        <v>172</v>
      </c>
      <c r="J155" t="s">
        <v>236</v>
      </c>
      <c r="K155">
        <v>0.19265135134795563</v>
      </c>
      <c r="L155" t="s">
        <v>160</v>
      </c>
      <c r="N155" t="s">
        <v>196</v>
      </c>
      <c r="O155" t="s">
        <v>236</v>
      </c>
      <c r="P155">
        <v>8.1223231955020486E-2</v>
      </c>
      <c r="Q155" t="s">
        <v>160</v>
      </c>
      <c r="S155" t="s">
        <v>215</v>
      </c>
      <c r="T155" t="s">
        <v>236</v>
      </c>
      <c r="U155">
        <v>8.9487150459148554E-2</v>
      </c>
      <c r="V155" t="s">
        <v>160</v>
      </c>
    </row>
    <row r="156" spans="9:22" x14ac:dyDescent="0.45">
      <c r="I156" t="s">
        <v>172</v>
      </c>
      <c r="J156" t="s">
        <v>237</v>
      </c>
      <c r="K156">
        <v>0</v>
      </c>
      <c r="L156" t="s">
        <v>160</v>
      </c>
      <c r="N156" t="s">
        <v>196</v>
      </c>
      <c r="O156" t="s">
        <v>237</v>
      </c>
      <c r="P156">
        <v>8.6093088076959354E-2</v>
      </c>
      <c r="Q156" t="s">
        <v>160</v>
      </c>
      <c r="S156" t="s">
        <v>215</v>
      </c>
      <c r="T156" t="s">
        <v>237</v>
      </c>
      <c r="U156">
        <v>8.4205835632329709E-2</v>
      </c>
      <c r="V156" t="s">
        <v>160</v>
      </c>
    </row>
    <row r="157" spans="9:22" x14ac:dyDescent="0.45">
      <c r="I157" t="s">
        <v>172</v>
      </c>
      <c r="J157" t="s">
        <v>238</v>
      </c>
      <c r="K157">
        <v>1.4650696990740378E-2</v>
      </c>
      <c r="L157" t="s">
        <v>160</v>
      </c>
      <c r="N157" t="s">
        <v>196</v>
      </c>
      <c r="O157" t="s">
        <v>238</v>
      </c>
      <c r="P157">
        <v>1.49389676137139E-2</v>
      </c>
      <c r="Q157" t="s">
        <v>160</v>
      </c>
      <c r="S157" t="s">
        <v>215</v>
      </c>
      <c r="T157" t="s">
        <v>238</v>
      </c>
      <c r="U157">
        <v>1.7041216709262196E-2</v>
      </c>
      <c r="V157" t="s">
        <v>160</v>
      </c>
    </row>
    <row r="158" spans="9:22" x14ac:dyDescent="0.45">
      <c r="I158" t="s">
        <v>172</v>
      </c>
      <c r="J158" t="s">
        <v>239</v>
      </c>
      <c r="K158">
        <v>0.25854194626882443</v>
      </c>
      <c r="L158" t="s">
        <v>160</v>
      </c>
      <c r="N158" t="s">
        <v>196</v>
      </c>
      <c r="O158" t="s">
        <v>239</v>
      </c>
      <c r="P158">
        <v>0.19260845603602417</v>
      </c>
      <c r="Q158" t="s">
        <v>160</v>
      </c>
      <c r="S158" t="s">
        <v>215</v>
      </c>
      <c r="T158" t="s">
        <v>239</v>
      </c>
      <c r="U158">
        <v>0.18507655761898653</v>
      </c>
      <c r="V158" t="s">
        <v>160</v>
      </c>
    </row>
    <row r="159" spans="9:22" x14ac:dyDescent="0.45">
      <c r="I159" t="s">
        <v>172</v>
      </c>
      <c r="J159" t="s">
        <v>240</v>
      </c>
      <c r="K159">
        <v>3.2917569661362329E-3</v>
      </c>
      <c r="L159" t="s">
        <v>160</v>
      </c>
      <c r="N159" t="s">
        <v>196</v>
      </c>
      <c r="O159" t="s">
        <v>240</v>
      </c>
      <c r="P159">
        <v>0.18126456976572794</v>
      </c>
      <c r="Q159" t="s">
        <v>160</v>
      </c>
      <c r="S159" t="s">
        <v>215</v>
      </c>
      <c r="T159" t="s">
        <v>240</v>
      </c>
      <c r="U159">
        <v>0.20328240157655464</v>
      </c>
      <c r="V159" t="s">
        <v>160</v>
      </c>
    </row>
    <row r="160" spans="9:22" x14ac:dyDescent="0.45">
      <c r="I160" t="s">
        <v>172</v>
      </c>
      <c r="J160" t="s">
        <v>241</v>
      </c>
      <c r="K160">
        <v>3.4381350424059542E-2</v>
      </c>
      <c r="L160" t="s">
        <v>160</v>
      </c>
      <c r="N160" t="s">
        <v>196</v>
      </c>
      <c r="O160" t="s">
        <v>241</v>
      </c>
      <c r="P160">
        <v>3.6169856301569513E-2</v>
      </c>
      <c r="Q160" t="s">
        <v>160</v>
      </c>
      <c r="S160" t="s">
        <v>215</v>
      </c>
      <c r="T160" t="s">
        <v>241</v>
      </c>
      <c r="U160">
        <v>3.6322007594546644E-2</v>
      </c>
      <c r="V160" t="s">
        <v>160</v>
      </c>
    </row>
    <row r="161" spans="9:22" x14ac:dyDescent="0.45">
      <c r="I161" t="s">
        <v>172</v>
      </c>
      <c r="J161" t="s">
        <v>242</v>
      </c>
      <c r="K161">
        <v>0.28540113554940022</v>
      </c>
      <c r="L161" t="s">
        <v>160</v>
      </c>
      <c r="N161" t="s">
        <v>196</v>
      </c>
      <c r="O161" t="s">
        <v>242</v>
      </c>
      <c r="P161">
        <v>4.2635232493411404E-2</v>
      </c>
      <c r="Q161" t="s">
        <v>160</v>
      </c>
      <c r="S161" t="s">
        <v>215</v>
      </c>
      <c r="T161" t="s">
        <v>242</v>
      </c>
      <c r="U161">
        <v>2.8646019057683044E-2</v>
      </c>
      <c r="V161" t="s">
        <v>160</v>
      </c>
    </row>
    <row r="162" spans="9:22" x14ac:dyDescent="0.45">
      <c r="I162" t="s">
        <v>172</v>
      </c>
      <c r="J162" t="s">
        <v>243</v>
      </c>
      <c r="K162">
        <v>8.7620490748935229E-3</v>
      </c>
      <c r="L162" t="s">
        <v>160</v>
      </c>
      <c r="N162" t="s">
        <v>196</v>
      </c>
      <c r="O162" t="s">
        <v>243</v>
      </c>
      <c r="P162">
        <v>2.3091484122258338E-2</v>
      </c>
      <c r="Q162" t="s">
        <v>160</v>
      </c>
      <c r="S162" t="s">
        <v>215</v>
      </c>
      <c r="T162" t="s">
        <v>243</v>
      </c>
      <c r="U162">
        <v>3.1209786365053033E-2</v>
      </c>
      <c r="V162" t="s">
        <v>160</v>
      </c>
    </row>
    <row r="163" spans="9:22" x14ac:dyDescent="0.45">
      <c r="I163" t="s">
        <v>172</v>
      </c>
      <c r="J163" t="s">
        <v>244</v>
      </c>
      <c r="K163">
        <v>3.9469189325810901E-2</v>
      </c>
      <c r="L163" t="s">
        <v>160</v>
      </c>
      <c r="N163" t="s">
        <v>196</v>
      </c>
      <c r="O163" t="s">
        <v>244</v>
      </c>
      <c r="P163">
        <v>1.3316778984520878E-2</v>
      </c>
      <c r="Q163" t="s">
        <v>160</v>
      </c>
      <c r="S163" t="s">
        <v>215</v>
      </c>
      <c r="T163" t="s">
        <v>244</v>
      </c>
      <c r="U163">
        <v>9.2916999685274532E-3</v>
      </c>
      <c r="V163" t="s">
        <v>160</v>
      </c>
    </row>
    <row r="164" spans="9:22" x14ac:dyDescent="0.45">
      <c r="I164" t="s">
        <v>172</v>
      </c>
      <c r="J164" t="s">
        <v>245</v>
      </c>
      <c r="K164">
        <v>0.15242099062094541</v>
      </c>
      <c r="L164" t="s">
        <v>160</v>
      </c>
      <c r="N164" t="s">
        <v>196</v>
      </c>
      <c r="O164" t="s">
        <v>245</v>
      </c>
      <c r="P164">
        <v>0.15475775263342337</v>
      </c>
      <c r="Q164" t="s">
        <v>160</v>
      </c>
      <c r="S164" t="s">
        <v>215</v>
      </c>
      <c r="T164" t="s">
        <v>245</v>
      </c>
      <c r="U164">
        <v>0.14096951982651107</v>
      </c>
      <c r="V164" t="s">
        <v>160</v>
      </c>
    </row>
    <row r="165" spans="9:22" x14ac:dyDescent="0.45">
      <c r="I165" t="s">
        <v>172</v>
      </c>
      <c r="J165" t="s">
        <v>246</v>
      </c>
      <c r="K165">
        <v>0</v>
      </c>
      <c r="L165" t="s">
        <v>160</v>
      </c>
      <c r="N165" t="s">
        <v>196</v>
      </c>
      <c r="O165" t="s">
        <v>246</v>
      </c>
      <c r="P165">
        <v>0.14467038275906619</v>
      </c>
      <c r="Q165" t="s">
        <v>160</v>
      </c>
      <c r="S165" t="s">
        <v>215</v>
      </c>
      <c r="T165" t="s">
        <v>246</v>
      </c>
      <c r="U165">
        <v>0.14620271636898574</v>
      </c>
      <c r="V165" t="s">
        <v>160</v>
      </c>
    </row>
    <row r="166" spans="9:22" x14ac:dyDescent="0.45">
      <c r="I166" t="s">
        <v>172</v>
      </c>
      <c r="J166" t="s">
        <v>247</v>
      </c>
      <c r="K166">
        <v>1.042953343123239E-2</v>
      </c>
      <c r="L166" t="s">
        <v>160</v>
      </c>
      <c r="N166" t="s">
        <v>196</v>
      </c>
      <c r="O166" t="s">
        <v>247</v>
      </c>
      <c r="P166">
        <v>2.9230199258298731E-2</v>
      </c>
      <c r="Q166" t="s">
        <v>160</v>
      </c>
      <c r="S166" t="s">
        <v>215</v>
      </c>
      <c r="T166" t="s">
        <v>247</v>
      </c>
      <c r="U166">
        <v>2.8265088822410016E-2</v>
      </c>
      <c r="V166" t="s">
        <v>160</v>
      </c>
    </row>
    <row r="167" spans="9:22" x14ac:dyDescent="0.45">
      <c r="I167" t="s">
        <v>173</v>
      </c>
      <c r="J167" t="s">
        <v>236</v>
      </c>
      <c r="K167">
        <v>0.19303447798453632</v>
      </c>
      <c r="L167" t="s">
        <v>160</v>
      </c>
      <c r="N167" t="s">
        <v>197</v>
      </c>
      <c r="O167" t="s">
        <v>236</v>
      </c>
      <c r="P167">
        <v>0.10197749028390272</v>
      </c>
      <c r="Q167" t="s">
        <v>160</v>
      </c>
      <c r="S167" t="s">
        <v>216</v>
      </c>
      <c r="T167" t="s">
        <v>236</v>
      </c>
      <c r="U167">
        <v>9.6081875334626282E-2</v>
      </c>
      <c r="V167" t="s">
        <v>160</v>
      </c>
    </row>
    <row r="168" spans="9:22" x14ac:dyDescent="0.45">
      <c r="I168" t="s">
        <v>173</v>
      </c>
      <c r="J168" t="s">
        <v>237</v>
      </c>
      <c r="K168">
        <v>0</v>
      </c>
      <c r="L168" t="s">
        <v>160</v>
      </c>
      <c r="N168" t="s">
        <v>197</v>
      </c>
      <c r="O168" t="s">
        <v>237</v>
      </c>
      <c r="P168">
        <v>0.10855751254227179</v>
      </c>
      <c r="Q168" t="s">
        <v>160</v>
      </c>
      <c r="S168" t="s">
        <v>216</v>
      </c>
      <c r="T168" t="s">
        <v>237</v>
      </c>
      <c r="U168">
        <v>9.0848739100244699E-2</v>
      </c>
      <c r="V168" t="s">
        <v>160</v>
      </c>
    </row>
    <row r="169" spans="9:22" x14ac:dyDescent="0.45">
      <c r="I169" t="s">
        <v>173</v>
      </c>
      <c r="J169" t="s">
        <v>238</v>
      </c>
      <c r="K169">
        <v>1.2610287948492579E-2</v>
      </c>
      <c r="L169" t="s">
        <v>160</v>
      </c>
      <c r="N169" t="s">
        <v>197</v>
      </c>
      <c r="O169" t="s">
        <v>238</v>
      </c>
      <c r="P169">
        <v>2.19369911713704E-2</v>
      </c>
      <c r="Q169" t="s">
        <v>160</v>
      </c>
      <c r="S169" t="s">
        <v>216</v>
      </c>
      <c r="T169" t="s">
        <v>238</v>
      </c>
      <c r="U169">
        <v>1.7486438829289921E-2</v>
      </c>
      <c r="V169" t="s">
        <v>160</v>
      </c>
    </row>
    <row r="170" spans="9:22" x14ac:dyDescent="0.45">
      <c r="I170" t="s">
        <v>173</v>
      </c>
      <c r="J170" t="s">
        <v>239</v>
      </c>
      <c r="K170">
        <v>0.26291339460987367</v>
      </c>
      <c r="L170" t="s">
        <v>160</v>
      </c>
      <c r="N170" t="s">
        <v>197</v>
      </c>
      <c r="O170" t="s">
        <v>239</v>
      </c>
      <c r="P170">
        <v>0.18158705164570879</v>
      </c>
      <c r="Q170" t="s">
        <v>160</v>
      </c>
      <c r="S170" t="s">
        <v>216</v>
      </c>
      <c r="T170" t="s">
        <v>239</v>
      </c>
      <c r="U170">
        <v>0.17049965770479489</v>
      </c>
      <c r="V170" t="s">
        <v>160</v>
      </c>
    </row>
    <row r="171" spans="9:22" x14ac:dyDescent="0.45">
      <c r="I171" t="s">
        <v>173</v>
      </c>
      <c r="J171" t="s">
        <v>240</v>
      </c>
      <c r="K171">
        <v>2.7134491078739543E-3</v>
      </c>
      <c r="L171" t="s">
        <v>160</v>
      </c>
      <c r="N171" t="s">
        <v>197</v>
      </c>
      <c r="O171" t="s">
        <v>240</v>
      </c>
      <c r="P171">
        <v>0.17538156034752742</v>
      </c>
      <c r="Q171" t="s">
        <v>160</v>
      </c>
      <c r="S171" t="s">
        <v>216</v>
      </c>
      <c r="T171" t="s">
        <v>240</v>
      </c>
      <c r="U171">
        <v>0.17996087958431364</v>
      </c>
      <c r="V171" t="s">
        <v>160</v>
      </c>
    </row>
    <row r="172" spans="9:22" x14ac:dyDescent="0.45">
      <c r="I172" t="s">
        <v>173</v>
      </c>
      <c r="J172" t="s">
        <v>241</v>
      </c>
      <c r="K172">
        <v>3.2027750729463532E-2</v>
      </c>
      <c r="L172" t="s">
        <v>160</v>
      </c>
      <c r="N172" t="s">
        <v>197</v>
      </c>
      <c r="O172" t="s">
        <v>241</v>
      </c>
      <c r="P172">
        <v>3.6984369039928397E-2</v>
      </c>
      <c r="Q172" t="s">
        <v>160</v>
      </c>
      <c r="S172" t="s">
        <v>216</v>
      </c>
      <c r="T172" t="s">
        <v>241</v>
      </c>
      <c r="U172">
        <v>3.4062971509662726E-2</v>
      </c>
      <c r="V172" t="s">
        <v>160</v>
      </c>
    </row>
    <row r="173" spans="9:22" x14ac:dyDescent="0.45">
      <c r="I173" t="s">
        <v>173</v>
      </c>
      <c r="J173" t="s">
        <v>242</v>
      </c>
      <c r="K173">
        <v>0.2928843059341687</v>
      </c>
      <c r="L173" t="s">
        <v>160</v>
      </c>
      <c r="N173" t="s">
        <v>197</v>
      </c>
      <c r="O173" t="s">
        <v>242</v>
      </c>
      <c r="P173">
        <v>4.2127683603802098E-2</v>
      </c>
      <c r="Q173" t="s">
        <v>160</v>
      </c>
      <c r="S173" t="s">
        <v>216</v>
      </c>
      <c r="T173" t="s">
        <v>242</v>
      </c>
      <c r="U173">
        <v>4.151231255269907E-2</v>
      </c>
      <c r="V173" t="s">
        <v>160</v>
      </c>
    </row>
    <row r="174" spans="9:22" x14ac:dyDescent="0.45">
      <c r="I174" t="s">
        <v>173</v>
      </c>
      <c r="J174" t="s">
        <v>243</v>
      </c>
      <c r="K174">
        <v>8.0120983414230362E-3</v>
      </c>
      <c r="L174" t="s">
        <v>160</v>
      </c>
      <c r="N174" t="s">
        <v>197</v>
      </c>
      <c r="O174" t="s">
        <v>243</v>
      </c>
      <c r="P174">
        <v>3.7947708868114834E-2</v>
      </c>
      <c r="Q174" t="s">
        <v>160</v>
      </c>
      <c r="S174" t="s">
        <v>216</v>
      </c>
      <c r="T174" t="s">
        <v>243</v>
      </c>
      <c r="U174">
        <v>3.5697185857089572E-2</v>
      </c>
      <c r="V174" t="s">
        <v>160</v>
      </c>
    </row>
    <row r="175" spans="9:22" x14ac:dyDescent="0.45">
      <c r="I175" t="s">
        <v>173</v>
      </c>
      <c r="J175" t="s">
        <v>244</v>
      </c>
      <c r="K175">
        <v>3.866896665550304E-2</v>
      </c>
      <c r="L175" t="s">
        <v>160</v>
      </c>
      <c r="N175" t="s">
        <v>197</v>
      </c>
      <c r="O175" t="s">
        <v>244</v>
      </c>
      <c r="P175">
        <v>1.6215032783653837E-2</v>
      </c>
      <c r="Q175" t="s">
        <v>160</v>
      </c>
      <c r="S175" t="s">
        <v>216</v>
      </c>
      <c r="T175" t="s">
        <v>244</v>
      </c>
      <c r="U175">
        <v>9.4871895228206393E-3</v>
      </c>
      <c r="V175" t="s">
        <v>160</v>
      </c>
    </row>
    <row r="176" spans="9:22" x14ac:dyDescent="0.45">
      <c r="I176" t="s">
        <v>173</v>
      </c>
      <c r="J176" t="s">
        <v>245</v>
      </c>
      <c r="K176">
        <v>0.14980599311433787</v>
      </c>
      <c r="L176" t="s">
        <v>160</v>
      </c>
      <c r="N176" t="s">
        <v>197</v>
      </c>
      <c r="O176" t="s">
        <v>245</v>
      </c>
      <c r="P176">
        <v>0.12633449238665873</v>
      </c>
      <c r="Q176" t="s">
        <v>160</v>
      </c>
      <c r="S176" t="s">
        <v>216</v>
      </c>
      <c r="T176" t="s">
        <v>245</v>
      </c>
      <c r="U176">
        <v>0.15508449093644697</v>
      </c>
      <c r="V176" t="s">
        <v>160</v>
      </c>
    </row>
    <row r="177" spans="9:22" x14ac:dyDescent="0.45">
      <c r="I177" t="s">
        <v>173</v>
      </c>
      <c r="J177" t="s">
        <v>246</v>
      </c>
      <c r="K177">
        <v>0</v>
      </c>
      <c r="L177" t="s">
        <v>160</v>
      </c>
      <c r="N177" t="s">
        <v>197</v>
      </c>
      <c r="O177" t="s">
        <v>246</v>
      </c>
      <c r="P177">
        <v>0.12501836798731358</v>
      </c>
      <c r="Q177" t="s">
        <v>160</v>
      </c>
      <c r="S177" t="s">
        <v>216</v>
      </c>
      <c r="T177" t="s">
        <v>246</v>
      </c>
      <c r="U177">
        <v>0.1415592114772134</v>
      </c>
      <c r="V177" t="s">
        <v>160</v>
      </c>
    </row>
    <row r="178" spans="9:22" x14ac:dyDescent="0.45">
      <c r="I178" t="s">
        <v>173</v>
      </c>
      <c r="J178" t="s">
        <v>247</v>
      </c>
      <c r="K178">
        <v>7.3292755743277109E-3</v>
      </c>
      <c r="L178" t="s">
        <v>160</v>
      </c>
      <c r="N178" t="s">
        <v>197</v>
      </c>
      <c r="O178" t="s">
        <v>247</v>
      </c>
      <c r="P178">
        <v>2.5931739339740693E-2</v>
      </c>
      <c r="Q178" t="s">
        <v>160</v>
      </c>
      <c r="S178" t="s">
        <v>216</v>
      </c>
      <c r="T178" t="s">
        <v>247</v>
      </c>
      <c r="U178">
        <v>2.7719047590794514E-2</v>
      </c>
      <c r="V178" t="s">
        <v>160</v>
      </c>
    </row>
    <row r="179" spans="9:22" x14ac:dyDescent="0.45">
      <c r="I179" t="s">
        <v>174</v>
      </c>
      <c r="J179" t="s">
        <v>236</v>
      </c>
      <c r="K179">
        <v>0.19119334464921539</v>
      </c>
      <c r="L179" t="s">
        <v>160</v>
      </c>
      <c r="N179" t="s">
        <v>198</v>
      </c>
      <c r="O179" t="s">
        <v>236</v>
      </c>
      <c r="P179">
        <v>0.11532571620615925</v>
      </c>
      <c r="Q179" t="s">
        <v>160</v>
      </c>
      <c r="S179" t="s">
        <v>217</v>
      </c>
      <c r="T179" t="s">
        <v>236</v>
      </c>
      <c r="U179">
        <v>0.1005171870867589</v>
      </c>
      <c r="V179" t="s">
        <v>160</v>
      </c>
    </row>
    <row r="180" spans="9:22" x14ac:dyDescent="0.45">
      <c r="I180" t="s">
        <v>174</v>
      </c>
      <c r="J180" t="s">
        <v>237</v>
      </c>
      <c r="K180">
        <v>0</v>
      </c>
      <c r="L180" t="s">
        <v>160</v>
      </c>
      <c r="N180" t="s">
        <v>198</v>
      </c>
      <c r="O180" t="s">
        <v>237</v>
      </c>
      <c r="P180">
        <v>0.10883035771757255</v>
      </c>
      <c r="Q180" t="s">
        <v>160</v>
      </c>
      <c r="S180" t="s">
        <v>217</v>
      </c>
      <c r="T180" t="s">
        <v>237</v>
      </c>
      <c r="U180">
        <v>0.10966459297920809</v>
      </c>
      <c r="V180" t="s">
        <v>160</v>
      </c>
    </row>
    <row r="181" spans="9:22" x14ac:dyDescent="0.45">
      <c r="I181" t="s">
        <v>174</v>
      </c>
      <c r="J181" t="s">
        <v>238</v>
      </c>
      <c r="K181">
        <v>1.194286740052933E-2</v>
      </c>
      <c r="L181" t="s">
        <v>160</v>
      </c>
      <c r="N181" t="s">
        <v>198</v>
      </c>
      <c r="O181" t="s">
        <v>238</v>
      </c>
      <c r="P181">
        <v>2.1022467274422675E-2</v>
      </c>
      <c r="Q181" t="s">
        <v>160</v>
      </c>
      <c r="S181" t="s">
        <v>217</v>
      </c>
      <c r="T181" t="s">
        <v>238</v>
      </c>
      <c r="U181">
        <v>1.9156670772344377E-2</v>
      </c>
      <c r="V181" t="s">
        <v>160</v>
      </c>
    </row>
    <row r="182" spans="9:22" x14ac:dyDescent="0.45">
      <c r="I182" t="s">
        <v>174</v>
      </c>
      <c r="J182" t="s">
        <v>239</v>
      </c>
      <c r="K182">
        <v>0.2653988857470318</v>
      </c>
      <c r="L182" t="s">
        <v>160</v>
      </c>
      <c r="N182" t="s">
        <v>198</v>
      </c>
      <c r="O182" t="s">
        <v>239</v>
      </c>
      <c r="P182">
        <v>0.158386565582814</v>
      </c>
      <c r="Q182" t="s">
        <v>160</v>
      </c>
      <c r="S182" t="s">
        <v>217</v>
      </c>
      <c r="T182" t="s">
        <v>239</v>
      </c>
      <c r="U182">
        <v>0.14693799677707825</v>
      </c>
      <c r="V182" t="s">
        <v>160</v>
      </c>
    </row>
    <row r="183" spans="9:22" x14ac:dyDescent="0.45">
      <c r="I183" t="s">
        <v>174</v>
      </c>
      <c r="J183" t="s">
        <v>240</v>
      </c>
      <c r="K183">
        <v>2.4753796764280739E-3</v>
      </c>
      <c r="L183" t="s">
        <v>160</v>
      </c>
      <c r="N183" t="s">
        <v>198</v>
      </c>
      <c r="O183" t="s">
        <v>240</v>
      </c>
      <c r="P183">
        <v>0.14440475258533628</v>
      </c>
      <c r="Q183" t="s">
        <v>160</v>
      </c>
      <c r="S183" t="s">
        <v>217</v>
      </c>
      <c r="T183" t="s">
        <v>240</v>
      </c>
      <c r="U183">
        <v>0.16123084750012934</v>
      </c>
      <c r="V183" t="s">
        <v>160</v>
      </c>
    </row>
    <row r="184" spans="9:22" x14ac:dyDescent="0.45">
      <c r="I184" t="s">
        <v>174</v>
      </c>
      <c r="J184" t="s">
        <v>241</v>
      </c>
      <c r="K184">
        <v>3.0872197868284844E-2</v>
      </c>
      <c r="L184" t="s">
        <v>160</v>
      </c>
      <c r="N184" t="s">
        <v>198</v>
      </c>
      <c r="O184" t="s">
        <v>241</v>
      </c>
      <c r="P184">
        <v>2.9650961108457736E-2</v>
      </c>
      <c r="Q184" t="s">
        <v>160</v>
      </c>
      <c r="S184" t="s">
        <v>217</v>
      </c>
      <c r="T184" t="s">
        <v>241</v>
      </c>
      <c r="U184">
        <v>2.8876983252846256E-2</v>
      </c>
      <c r="V184" t="s">
        <v>160</v>
      </c>
    </row>
    <row r="185" spans="9:22" x14ac:dyDescent="0.45">
      <c r="I185" t="s">
        <v>174</v>
      </c>
      <c r="J185" t="s">
        <v>242</v>
      </c>
      <c r="K185">
        <v>0.29941255724970395</v>
      </c>
      <c r="L185" t="s">
        <v>160</v>
      </c>
      <c r="N185" t="s">
        <v>198</v>
      </c>
      <c r="O185" t="s">
        <v>242</v>
      </c>
      <c r="P185">
        <v>6.2108833367325152E-2</v>
      </c>
      <c r="Q185" t="s">
        <v>160</v>
      </c>
      <c r="S185" t="s">
        <v>217</v>
      </c>
      <c r="T185" t="s">
        <v>242</v>
      </c>
      <c r="U185">
        <v>5.6313823773394889E-2</v>
      </c>
      <c r="V185" t="s">
        <v>160</v>
      </c>
    </row>
    <row r="186" spans="9:22" x14ac:dyDescent="0.45">
      <c r="I186" t="s">
        <v>174</v>
      </c>
      <c r="J186" t="s">
        <v>243</v>
      </c>
      <c r="K186">
        <v>8.8813633420221205E-3</v>
      </c>
      <c r="L186" t="s">
        <v>160</v>
      </c>
      <c r="N186" t="s">
        <v>198</v>
      </c>
      <c r="O186" t="s">
        <v>243</v>
      </c>
      <c r="P186">
        <v>5.2183826942709288E-2</v>
      </c>
      <c r="Q186" t="s">
        <v>160</v>
      </c>
      <c r="S186" t="s">
        <v>217</v>
      </c>
      <c r="T186" t="s">
        <v>243</v>
      </c>
      <c r="U186">
        <v>6.2092696433603482E-2</v>
      </c>
      <c r="V186" t="s">
        <v>160</v>
      </c>
    </row>
    <row r="187" spans="9:22" x14ac:dyDescent="0.45">
      <c r="I187" t="s">
        <v>174</v>
      </c>
      <c r="J187" t="s">
        <v>244</v>
      </c>
      <c r="K187">
        <v>3.9022703742547252E-2</v>
      </c>
      <c r="L187" t="s">
        <v>160</v>
      </c>
      <c r="N187" t="s">
        <v>198</v>
      </c>
      <c r="O187" t="s">
        <v>244</v>
      </c>
      <c r="P187">
        <v>1.331047236557348E-2</v>
      </c>
      <c r="Q187" t="s">
        <v>160</v>
      </c>
      <c r="S187" t="s">
        <v>217</v>
      </c>
      <c r="T187" t="s">
        <v>244</v>
      </c>
      <c r="U187">
        <v>1.2649400411988148E-2</v>
      </c>
      <c r="V187" t="s">
        <v>160</v>
      </c>
    </row>
    <row r="188" spans="9:22" x14ac:dyDescent="0.45">
      <c r="I188" t="s">
        <v>174</v>
      </c>
      <c r="J188" t="s">
        <v>245</v>
      </c>
      <c r="K188">
        <v>0.14624226804429794</v>
      </c>
      <c r="L188" t="s">
        <v>160</v>
      </c>
      <c r="N188" t="s">
        <v>198</v>
      </c>
      <c r="O188" t="s">
        <v>245</v>
      </c>
      <c r="P188">
        <v>0.13759742614415132</v>
      </c>
      <c r="Q188" t="s">
        <v>160</v>
      </c>
      <c r="S188" t="s">
        <v>217</v>
      </c>
      <c r="T188" t="s">
        <v>245</v>
      </c>
      <c r="U188">
        <v>0.14178085918611244</v>
      </c>
      <c r="V188" t="s">
        <v>160</v>
      </c>
    </row>
    <row r="189" spans="9:22" x14ac:dyDescent="0.45">
      <c r="I189" t="s">
        <v>174</v>
      </c>
      <c r="J189" t="s">
        <v>246</v>
      </c>
      <c r="K189">
        <v>0</v>
      </c>
      <c r="L189" t="s">
        <v>160</v>
      </c>
      <c r="N189" t="s">
        <v>198</v>
      </c>
      <c r="O189" t="s">
        <v>246</v>
      </c>
      <c r="P189">
        <v>0.13290654056846063</v>
      </c>
      <c r="Q189" t="s">
        <v>160</v>
      </c>
      <c r="S189" t="s">
        <v>217</v>
      </c>
      <c r="T189" t="s">
        <v>246</v>
      </c>
      <c r="U189">
        <v>0.13613469540133633</v>
      </c>
      <c r="V189" t="s">
        <v>160</v>
      </c>
    </row>
    <row r="190" spans="9:22" x14ac:dyDescent="0.45">
      <c r="I190" t="s">
        <v>174</v>
      </c>
      <c r="J190" t="s">
        <v>247</v>
      </c>
      <c r="K190">
        <v>4.55843227993804E-3</v>
      </c>
      <c r="L190" t="s">
        <v>160</v>
      </c>
      <c r="N190" t="s">
        <v>198</v>
      </c>
      <c r="O190" t="s">
        <v>247</v>
      </c>
      <c r="P190">
        <v>2.4272080137022152E-2</v>
      </c>
      <c r="Q190" t="s">
        <v>160</v>
      </c>
      <c r="S190" t="s">
        <v>217</v>
      </c>
      <c r="T190" t="s">
        <v>247</v>
      </c>
      <c r="U190">
        <v>2.4644246425200644E-2</v>
      </c>
      <c r="V190" t="s">
        <v>160</v>
      </c>
    </row>
    <row r="191" spans="9:22" x14ac:dyDescent="0.45">
      <c r="I191" t="s">
        <v>175</v>
      </c>
      <c r="J191" t="s">
        <v>236</v>
      </c>
      <c r="K191">
        <v>0.19306643583849459</v>
      </c>
      <c r="L191" t="s">
        <v>160</v>
      </c>
      <c r="N191" t="s">
        <v>199</v>
      </c>
      <c r="O191" t="s">
        <v>236</v>
      </c>
      <c r="P191">
        <v>9.4495355316138063E-2</v>
      </c>
      <c r="Q191" t="s">
        <v>160</v>
      </c>
      <c r="S191" t="s">
        <v>218</v>
      </c>
      <c r="T191" t="s">
        <v>236</v>
      </c>
      <c r="U191">
        <v>9.6709618576525436E-2</v>
      </c>
      <c r="V191" t="s">
        <v>160</v>
      </c>
    </row>
    <row r="192" spans="9:22" x14ac:dyDescent="0.45">
      <c r="I192" t="s">
        <v>175</v>
      </c>
      <c r="J192" t="s">
        <v>237</v>
      </c>
      <c r="K192">
        <v>0</v>
      </c>
      <c r="L192" t="s">
        <v>160</v>
      </c>
      <c r="N192" t="s">
        <v>199</v>
      </c>
      <c r="O192" t="s">
        <v>237</v>
      </c>
      <c r="P192">
        <v>8.9962832026285536E-2</v>
      </c>
      <c r="Q192" t="s">
        <v>160</v>
      </c>
      <c r="S192" t="s">
        <v>218</v>
      </c>
      <c r="T192" t="s">
        <v>237</v>
      </c>
      <c r="U192">
        <v>0.10131933930690679</v>
      </c>
      <c r="V192" t="s">
        <v>160</v>
      </c>
    </row>
    <row r="193" spans="9:22" x14ac:dyDescent="0.45">
      <c r="I193" t="s">
        <v>175</v>
      </c>
      <c r="J193" t="s">
        <v>238</v>
      </c>
      <c r="K193">
        <v>1.3794240311546633E-2</v>
      </c>
      <c r="L193" t="s">
        <v>160</v>
      </c>
      <c r="N193" t="s">
        <v>199</v>
      </c>
      <c r="O193" t="s">
        <v>238</v>
      </c>
      <c r="P193">
        <v>1.7781275707387124E-2</v>
      </c>
      <c r="Q193" t="s">
        <v>160</v>
      </c>
      <c r="S193" t="s">
        <v>218</v>
      </c>
      <c r="T193" t="s">
        <v>238</v>
      </c>
      <c r="U193">
        <v>1.886305256551267E-2</v>
      </c>
      <c r="V193" t="s">
        <v>160</v>
      </c>
    </row>
    <row r="194" spans="9:22" x14ac:dyDescent="0.45">
      <c r="I194" t="s">
        <v>175</v>
      </c>
      <c r="J194" t="s">
        <v>239</v>
      </c>
      <c r="K194">
        <v>0.26545782511555976</v>
      </c>
      <c r="L194" t="s">
        <v>160</v>
      </c>
      <c r="N194" t="s">
        <v>199</v>
      </c>
      <c r="O194" t="s">
        <v>239</v>
      </c>
      <c r="P194">
        <v>0.15674962298352624</v>
      </c>
      <c r="Q194" t="s">
        <v>160</v>
      </c>
      <c r="S194" t="s">
        <v>218</v>
      </c>
      <c r="T194" t="s">
        <v>239</v>
      </c>
      <c r="U194">
        <v>0.14416953784661343</v>
      </c>
      <c r="V194" t="s">
        <v>160</v>
      </c>
    </row>
    <row r="195" spans="9:22" x14ac:dyDescent="0.45">
      <c r="I195" t="s">
        <v>175</v>
      </c>
      <c r="J195" t="s">
        <v>240</v>
      </c>
      <c r="K195">
        <v>3.163656205848285E-3</v>
      </c>
      <c r="L195" t="s">
        <v>160</v>
      </c>
      <c r="N195" t="s">
        <v>199</v>
      </c>
      <c r="O195" t="s">
        <v>240</v>
      </c>
      <c r="P195">
        <v>0.15140263645775953</v>
      </c>
      <c r="Q195" t="s">
        <v>160</v>
      </c>
      <c r="S195" t="s">
        <v>218</v>
      </c>
      <c r="T195" t="s">
        <v>240</v>
      </c>
      <c r="U195">
        <v>0.13813118772402588</v>
      </c>
      <c r="V195" t="s">
        <v>160</v>
      </c>
    </row>
    <row r="196" spans="9:22" x14ac:dyDescent="0.45">
      <c r="I196" t="s">
        <v>175</v>
      </c>
      <c r="J196" t="s">
        <v>241</v>
      </c>
      <c r="K196">
        <v>3.201404198056413E-2</v>
      </c>
      <c r="L196" t="s">
        <v>160</v>
      </c>
      <c r="N196" t="s">
        <v>199</v>
      </c>
      <c r="O196" t="s">
        <v>241</v>
      </c>
      <c r="P196">
        <v>3.0121635012456426E-2</v>
      </c>
      <c r="Q196" t="s">
        <v>160</v>
      </c>
      <c r="S196" t="s">
        <v>218</v>
      </c>
      <c r="T196" t="s">
        <v>241</v>
      </c>
      <c r="U196">
        <v>2.7588332696135587E-2</v>
      </c>
      <c r="V196" t="s">
        <v>160</v>
      </c>
    </row>
    <row r="197" spans="9:22" x14ac:dyDescent="0.45">
      <c r="I197" t="s">
        <v>175</v>
      </c>
      <c r="J197" t="s">
        <v>242</v>
      </c>
      <c r="K197">
        <v>0.30119119933897459</v>
      </c>
      <c r="L197" t="s">
        <v>160</v>
      </c>
      <c r="N197" t="s">
        <v>199</v>
      </c>
      <c r="O197" t="s">
        <v>242</v>
      </c>
      <c r="P197">
        <v>6.3670382796937347E-2</v>
      </c>
      <c r="Q197" t="s">
        <v>160</v>
      </c>
      <c r="S197" t="s">
        <v>218</v>
      </c>
      <c r="T197" t="s">
        <v>242</v>
      </c>
      <c r="U197">
        <v>7.2360139081644931E-2</v>
      </c>
      <c r="V197" t="s">
        <v>160</v>
      </c>
    </row>
    <row r="198" spans="9:22" x14ac:dyDescent="0.45">
      <c r="I198" t="s">
        <v>175</v>
      </c>
      <c r="J198" t="s">
        <v>243</v>
      </c>
      <c r="K198">
        <v>8.474538073720804E-3</v>
      </c>
      <c r="L198" t="s">
        <v>160</v>
      </c>
      <c r="N198" t="s">
        <v>199</v>
      </c>
      <c r="O198" t="s">
        <v>243</v>
      </c>
      <c r="P198">
        <v>6.2331607899122107E-2</v>
      </c>
      <c r="Q198" t="s">
        <v>160</v>
      </c>
      <c r="S198" t="s">
        <v>218</v>
      </c>
      <c r="T198" t="s">
        <v>243</v>
      </c>
      <c r="U198">
        <v>7.0346640772009569E-2</v>
      </c>
      <c r="V198" t="s">
        <v>160</v>
      </c>
    </row>
    <row r="199" spans="9:22" x14ac:dyDescent="0.45">
      <c r="I199" t="s">
        <v>175</v>
      </c>
      <c r="J199" t="s">
        <v>244</v>
      </c>
      <c r="K199">
        <v>3.7475027033640362E-2</v>
      </c>
      <c r="L199" t="s">
        <v>160</v>
      </c>
      <c r="N199" t="s">
        <v>199</v>
      </c>
      <c r="O199" t="s">
        <v>244</v>
      </c>
      <c r="P199">
        <v>1.6290720780405284E-2</v>
      </c>
      <c r="Q199" t="s">
        <v>160</v>
      </c>
      <c r="S199" t="s">
        <v>218</v>
      </c>
      <c r="T199" t="s">
        <v>244</v>
      </c>
      <c r="U199">
        <v>1.6344486271196317E-2</v>
      </c>
      <c r="V199" t="s">
        <v>160</v>
      </c>
    </row>
    <row r="200" spans="9:22" x14ac:dyDescent="0.45">
      <c r="I200" t="s">
        <v>175</v>
      </c>
      <c r="J200" t="s">
        <v>245</v>
      </c>
      <c r="K200">
        <v>0.13995246576480774</v>
      </c>
      <c r="L200" t="s">
        <v>160</v>
      </c>
      <c r="N200" t="s">
        <v>199</v>
      </c>
      <c r="O200" t="s">
        <v>245</v>
      </c>
      <c r="P200">
        <v>0.14876483687925274</v>
      </c>
      <c r="Q200" t="s">
        <v>160</v>
      </c>
      <c r="S200" t="s">
        <v>218</v>
      </c>
      <c r="T200" t="s">
        <v>245</v>
      </c>
      <c r="U200">
        <v>0.14365889878599913</v>
      </c>
      <c r="V200" t="s">
        <v>160</v>
      </c>
    </row>
    <row r="201" spans="9:22" x14ac:dyDescent="0.45">
      <c r="I201" t="s">
        <v>175</v>
      </c>
      <c r="J201" t="s">
        <v>246</v>
      </c>
      <c r="K201">
        <v>0</v>
      </c>
      <c r="L201" t="s">
        <v>160</v>
      </c>
      <c r="N201" t="s">
        <v>199</v>
      </c>
      <c r="O201" t="s">
        <v>246</v>
      </c>
      <c r="P201">
        <v>0.14002657572860347</v>
      </c>
      <c r="Q201" t="s">
        <v>160</v>
      </c>
      <c r="S201" t="s">
        <v>218</v>
      </c>
      <c r="T201" t="s">
        <v>246</v>
      </c>
      <c r="U201">
        <v>0.14491594923177747</v>
      </c>
      <c r="V201" t="s">
        <v>160</v>
      </c>
    </row>
    <row r="202" spans="9:22" x14ac:dyDescent="0.45">
      <c r="I202" t="s">
        <v>175</v>
      </c>
      <c r="J202" t="s">
        <v>247</v>
      </c>
      <c r="K202">
        <v>5.4105703368457544E-3</v>
      </c>
      <c r="L202" t="s">
        <v>160</v>
      </c>
      <c r="N202" t="s">
        <v>199</v>
      </c>
      <c r="O202" t="s">
        <v>247</v>
      </c>
      <c r="P202">
        <v>2.8402518412128354E-2</v>
      </c>
      <c r="Q202" t="s">
        <v>160</v>
      </c>
      <c r="S202" t="s">
        <v>218</v>
      </c>
      <c r="T202" t="s">
        <v>247</v>
      </c>
      <c r="U202">
        <v>2.5592817141658938E-2</v>
      </c>
      <c r="V202" t="s">
        <v>160</v>
      </c>
    </row>
    <row r="203" spans="9:22" x14ac:dyDescent="0.45">
      <c r="I203" t="s">
        <v>176</v>
      </c>
      <c r="J203" t="s">
        <v>236</v>
      </c>
      <c r="K203">
        <v>0.16446750547334862</v>
      </c>
      <c r="L203" t="s">
        <v>160</v>
      </c>
      <c r="N203" t="s">
        <v>200</v>
      </c>
      <c r="O203" t="s">
        <v>236</v>
      </c>
      <c r="P203">
        <v>9.6982918271173071E-2</v>
      </c>
      <c r="Q203" t="s">
        <v>160</v>
      </c>
      <c r="S203" t="s">
        <v>219</v>
      </c>
      <c r="T203" t="s">
        <v>236</v>
      </c>
      <c r="U203">
        <v>8.3744074053931028E-2</v>
      </c>
      <c r="V203" t="s">
        <v>160</v>
      </c>
    </row>
    <row r="204" spans="9:22" x14ac:dyDescent="0.45">
      <c r="I204" t="s">
        <v>176</v>
      </c>
      <c r="J204" t="s">
        <v>237</v>
      </c>
      <c r="K204">
        <v>3.010381487530787E-4</v>
      </c>
      <c r="L204" t="s">
        <v>160</v>
      </c>
      <c r="N204" t="s">
        <v>200</v>
      </c>
      <c r="O204" t="s">
        <v>237</v>
      </c>
      <c r="P204">
        <v>7.3403382294052091E-2</v>
      </c>
      <c r="Q204" t="s">
        <v>160</v>
      </c>
      <c r="S204" t="s">
        <v>219</v>
      </c>
      <c r="T204" t="s">
        <v>237</v>
      </c>
      <c r="U204">
        <v>7.8084931730892482E-2</v>
      </c>
      <c r="V204" t="s">
        <v>160</v>
      </c>
    </row>
    <row r="205" spans="9:22" x14ac:dyDescent="0.45">
      <c r="I205" t="s">
        <v>176</v>
      </c>
      <c r="J205" t="s">
        <v>238</v>
      </c>
      <c r="K205">
        <v>1.3216468834235707E-2</v>
      </c>
      <c r="L205" t="s">
        <v>160</v>
      </c>
      <c r="N205" t="s">
        <v>200</v>
      </c>
      <c r="O205" t="s">
        <v>238</v>
      </c>
      <c r="P205">
        <v>1.6881657725794651E-2</v>
      </c>
      <c r="Q205" t="s">
        <v>160</v>
      </c>
      <c r="S205" t="s">
        <v>219</v>
      </c>
      <c r="T205" t="s">
        <v>238</v>
      </c>
      <c r="U205">
        <v>1.6773270723178531E-2</v>
      </c>
      <c r="V205" t="s">
        <v>160</v>
      </c>
    </row>
    <row r="206" spans="9:22" x14ac:dyDescent="0.45">
      <c r="I206" t="s">
        <v>176</v>
      </c>
      <c r="J206" t="s">
        <v>239</v>
      </c>
      <c r="K206">
        <v>0.24565695511500599</v>
      </c>
      <c r="L206" t="s">
        <v>160</v>
      </c>
      <c r="N206" t="s">
        <v>200</v>
      </c>
      <c r="O206" t="s">
        <v>239</v>
      </c>
      <c r="P206">
        <v>0.18823048052889876</v>
      </c>
      <c r="Q206" t="s">
        <v>160</v>
      </c>
      <c r="S206" t="s">
        <v>219</v>
      </c>
      <c r="T206" t="s">
        <v>239</v>
      </c>
      <c r="U206">
        <v>0.17359484372945144</v>
      </c>
      <c r="V206" t="s">
        <v>160</v>
      </c>
    </row>
    <row r="207" spans="9:22" x14ac:dyDescent="0.45">
      <c r="I207" t="s">
        <v>176</v>
      </c>
      <c r="J207" t="s">
        <v>240</v>
      </c>
      <c r="K207">
        <v>4.6802766733519772E-3</v>
      </c>
      <c r="L207" t="s">
        <v>160</v>
      </c>
      <c r="N207" t="s">
        <v>200</v>
      </c>
      <c r="O207" t="s">
        <v>240</v>
      </c>
      <c r="P207">
        <v>0.17203896106535574</v>
      </c>
      <c r="Q207" t="s">
        <v>160</v>
      </c>
      <c r="S207" t="s">
        <v>219</v>
      </c>
      <c r="T207" t="s">
        <v>240</v>
      </c>
      <c r="U207">
        <v>0.16017954104333226</v>
      </c>
      <c r="V207" t="s">
        <v>160</v>
      </c>
    </row>
    <row r="208" spans="9:22" x14ac:dyDescent="0.45">
      <c r="I208" t="s">
        <v>176</v>
      </c>
      <c r="J208" t="s">
        <v>241</v>
      </c>
      <c r="K208">
        <v>2.9811603662617796E-2</v>
      </c>
      <c r="L208" t="s">
        <v>160</v>
      </c>
      <c r="N208" t="s">
        <v>200</v>
      </c>
      <c r="O208" t="s">
        <v>241</v>
      </c>
      <c r="P208">
        <v>3.743493619377572E-2</v>
      </c>
      <c r="Q208" t="s">
        <v>160</v>
      </c>
      <c r="S208" t="s">
        <v>219</v>
      </c>
      <c r="T208" t="s">
        <v>241</v>
      </c>
      <c r="U208">
        <v>3.3923040977651614E-2</v>
      </c>
      <c r="V208" t="s">
        <v>160</v>
      </c>
    </row>
    <row r="209" spans="9:22" x14ac:dyDescent="0.45">
      <c r="I209" t="s">
        <v>176</v>
      </c>
      <c r="J209" t="s">
        <v>242</v>
      </c>
      <c r="K209">
        <v>0.33943763643128622</v>
      </c>
      <c r="L209" t="s">
        <v>160</v>
      </c>
      <c r="N209" t="s">
        <v>200</v>
      </c>
      <c r="O209" t="s">
        <v>242</v>
      </c>
      <c r="P209">
        <v>4.2622294061311954E-2</v>
      </c>
      <c r="Q209" t="s">
        <v>160</v>
      </c>
      <c r="S209" t="s">
        <v>219</v>
      </c>
      <c r="T209" t="s">
        <v>242</v>
      </c>
      <c r="U209">
        <v>4.8020908712580329E-2</v>
      </c>
      <c r="V209" t="s">
        <v>160</v>
      </c>
    </row>
    <row r="210" spans="9:22" x14ac:dyDescent="0.45">
      <c r="I210" t="s">
        <v>176</v>
      </c>
      <c r="J210" t="s">
        <v>243</v>
      </c>
      <c r="K210">
        <v>1.6593943708379074E-2</v>
      </c>
      <c r="L210" t="s">
        <v>160</v>
      </c>
      <c r="N210" t="s">
        <v>200</v>
      </c>
      <c r="O210" t="s">
        <v>243</v>
      </c>
      <c r="P210">
        <v>2.9093812983714759E-2</v>
      </c>
      <c r="Q210" t="s">
        <v>160</v>
      </c>
      <c r="S210" t="s">
        <v>219</v>
      </c>
      <c r="T210" t="s">
        <v>243</v>
      </c>
      <c r="U210">
        <v>5.1398544479092693E-2</v>
      </c>
      <c r="V210" t="s">
        <v>160</v>
      </c>
    </row>
    <row r="211" spans="9:22" x14ac:dyDescent="0.45">
      <c r="I211" t="s">
        <v>176</v>
      </c>
      <c r="J211" t="s">
        <v>244</v>
      </c>
      <c r="K211">
        <v>4.4338962164857547E-2</v>
      </c>
      <c r="L211" t="s">
        <v>160</v>
      </c>
      <c r="N211" t="s">
        <v>200</v>
      </c>
      <c r="O211" t="s">
        <v>244</v>
      </c>
      <c r="P211">
        <v>1.0552151315214496E-2</v>
      </c>
      <c r="Q211" t="s">
        <v>160</v>
      </c>
      <c r="S211" t="s">
        <v>219</v>
      </c>
      <c r="T211" t="s">
        <v>244</v>
      </c>
      <c r="U211">
        <v>1.253442716409236E-2</v>
      </c>
      <c r="V211" t="s">
        <v>160</v>
      </c>
    </row>
    <row r="212" spans="9:22" x14ac:dyDescent="0.45">
      <c r="I212" t="s">
        <v>176</v>
      </c>
      <c r="J212" t="s">
        <v>245</v>
      </c>
      <c r="K212">
        <v>0.13599486650677117</v>
      </c>
      <c r="L212" t="s">
        <v>160</v>
      </c>
      <c r="N212" t="s">
        <v>200</v>
      </c>
      <c r="O212" t="s">
        <v>245</v>
      </c>
      <c r="P212">
        <v>0.15981125165622539</v>
      </c>
      <c r="Q212" t="s">
        <v>160</v>
      </c>
      <c r="S212" t="s">
        <v>219</v>
      </c>
      <c r="T212" t="s">
        <v>245</v>
      </c>
      <c r="U212">
        <v>0.15357372472995665</v>
      </c>
      <c r="V212" t="s">
        <v>160</v>
      </c>
    </row>
    <row r="213" spans="9:22" x14ac:dyDescent="0.45">
      <c r="I213" t="s">
        <v>176</v>
      </c>
      <c r="J213" t="s">
        <v>246</v>
      </c>
      <c r="K213">
        <v>0</v>
      </c>
      <c r="L213" t="s">
        <v>160</v>
      </c>
      <c r="N213" t="s">
        <v>200</v>
      </c>
      <c r="O213" t="s">
        <v>246</v>
      </c>
      <c r="P213">
        <v>0.14351472691818354</v>
      </c>
      <c r="Q213" t="s">
        <v>160</v>
      </c>
      <c r="S213" t="s">
        <v>219</v>
      </c>
      <c r="T213" t="s">
        <v>246</v>
      </c>
      <c r="U213">
        <v>0.15717887783121073</v>
      </c>
      <c r="V213" t="s">
        <v>160</v>
      </c>
    </row>
    <row r="214" spans="9:22" x14ac:dyDescent="0.45">
      <c r="I214" t="s">
        <v>176</v>
      </c>
      <c r="J214" t="s">
        <v>247</v>
      </c>
      <c r="K214">
        <v>5.5007432813915791E-3</v>
      </c>
      <c r="L214" t="s">
        <v>160</v>
      </c>
      <c r="N214" t="s">
        <v>200</v>
      </c>
      <c r="O214" t="s">
        <v>247</v>
      </c>
      <c r="P214">
        <v>2.9433426986296807E-2</v>
      </c>
      <c r="Q214" t="s">
        <v>160</v>
      </c>
      <c r="S214" t="s">
        <v>219</v>
      </c>
      <c r="T214" t="s">
        <v>247</v>
      </c>
      <c r="U214">
        <v>3.0993814824630508E-2</v>
      </c>
      <c r="V214" t="s">
        <v>160</v>
      </c>
    </row>
    <row r="215" spans="9:22" x14ac:dyDescent="0.45">
      <c r="I215" t="s">
        <v>177</v>
      </c>
      <c r="J215" t="s">
        <v>236</v>
      </c>
      <c r="K215">
        <v>0.1706030924574039</v>
      </c>
      <c r="L215" t="s">
        <v>160</v>
      </c>
      <c r="N215" t="s">
        <v>201</v>
      </c>
      <c r="O215" t="s">
        <v>236</v>
      </c>
      <c r="P215">
        <v>8.9961732261020264E-2</v>
      </c>
      <c r="Q215" t="s">
        <v>160</v>
      </c>
      <c r="S215" t="s">
        <v>220</v>
      </c>
      <c r="T215" t="s">
        <v>236</v>
      </c>
      <c r="U215">
        <v>8.176119634105819E-2</v>
      </c>
      <c r="V215" t="s">
        <v>160</v>
      </c>
    </row>
    <row r="216" spans="9:22" x14ac:dyDescent="0.45">
      <c r="I216" t="s">
        <v>177</v>
      </c>
      <c r="J216" t="s">
        <v>237</v>
      </c>
      <c r="K216">
        <v>6.0576316319225772E-4</v>
      </c>
      <c r="L216" t="s">
        <v>160</v>
      </c>
      <c r="N216" t="s">
        <v>201</v>
      </c>
      <c r="O216" t="s">
        <v>237</v>
      </c>
      <c r="P216">
        <v>7.5599752558285188E-2</v>
      </c>
      <c r="Q216" t="s">
        <v>160</v>
      </c>
      <c r="S216" t="s">
        <v>220</v>
      </c>
      <c r="T216" t="s">
        <v>237</v>
      </c>
      <c r="U216">
        <v>9.1771840956998182E-2</v>
      </c>
      <c r="V216" t="s">
        <v>160</v>
      </c>
    </row>
    <row r="217" spans="9:22" x14ac:dyDescent="0.45">
      <c r="I217" t="s">
        <v>177</v>
      </c>
      <c r="J217" t="s">
        <v>238</v>
      </c>
      <c r="K217">
        <v>1.4253330419459273E-2</v>
      </c>
      <c r="L217" t="s">
        <v>160</v>
      </c>
      <c r="N217" t="s">
        <v>201</v>
      </c>
      <c r="O217" t="s">
        <v>238</v>
      </c>
      <c r="P217">
        <v>1.6812984758506067E-2</v>
      </c>
      <c r="Q217" t="s">
        <v>160</v>
      </c>
      <c r="S217" t="s">
        <v>220</v>
      </c>
      <c r="T217" t="s">
        <v>238</v>
      </c>
      <c r="U217">
        <v>1.4932087399069269E-2</v>
      </c>
      <c r="V217" t="s">
        <v>160</v>
      </c>
    </row>
    <row r="218" spans="9:22" x14ac:dyDescent="0.45">
      <c r="I218" t="s">
        <v>177</v>
      </c>
      <c r="J218" t="s">
        <v>239</v>
      </c>
      <c r="K218">
        <v>0.24074523832679751</v>
      </c>
      <c r="L218" t="s">
        <v>160</v>
      </c>
      <c r="N218" t="s">
        <v>201</v>
      </c>
      <c r="O218" t="s">
        <v>239</v>
      </c>
      <c r="P218">
        <v>0.15517774670735768</v>
      </c>
      <c r="Q218" t="s">
        <v>160</v>
      </c>
      <c r="S218" t="s">
        <v>220</v>
      </c>
      <c r="T218" t="s">
        <v>239</v>
      </c>
      <c r="U218">
        <v>0.14324403067275859</v>
      </c>
      <c r="V218" t="s">
        <v>160</v>
      </c>
    </row>
    <row r="219" spans="9:22" x14ac:dyDescent="0.45">
      <c r="I219" t="s">
        <v>177</v>
      </c>
      <c r="J219" t="s">
        <v>240</v>
      </c>
      <c r="K219">
        <v>4.7400286331754481E-3</v>
      </c>
      <c r="L219" t="s">
        <v>160</v>
      </c>
      <c r="N219" t="s">
        <v>201</v>
      </c>
      <c r="O219" t="s">
        <v>240</v>
      </c>
      <c r="P219">
        <v>0.15357311774236304</v>
      </c>
      <c r="Q219" t="s">
        <v>160</v>
      </c>
      <c r="S219" t="s">
        <v>220</v>
      </c>
      <c r="T219" t="s">
        <v>240</v>
      </c>
      <c r="U219">
        <v>0.15204652367824406</v>
      </c>
      <c r="V219" t="s">
        <v>160</v>
      </c>
    </row>
    <row r="220" spans="9:22" x14ac:dyDescent="0.45">
      <c r="I220" t="s">
        <v>177</v>
      </c>
      <c r="J220" t="s">
        <v>241</v>
      </c>
      <c r="K220">
        <v>2.9094206335995788E-2</v>
      </c>
      <c r="L220" t="s">
        <v>160</v>
      </c>
      <c r="N220" t="s">
        <v>201</v>
      </c>
      <c r="O220" t="s">
        <v>241</v>
      </c>
      <c r="P220">
        <v>3.0824877993573797E-2</v>
      </c>
      <c r="Q220" t="s">
        <v>160</v>
      </c>
      <c r="S220" t="s">
        <v>220</v>
      </c>
      <c r="T220" t="s">
        <v>241</v>
      </c>
      <c r="U220">
        <v>2.5813696349864173E-2</v>
      </c>
      <c r="V220" t="s">
        <v>160</v>
      </c>
    </row>
    <row r="221" spans="9:22" x14ac:dyDescent="0.45">
      <c r="I221" t="s">
        <v>177</v>
      </c>
      <c r="J221" t="s">
        <v>242</v>
      </c>
      <c r="K221">
        <v>0.32272156770324234</v>
      </c>
      <c r="L221" t="s">
        <v>160</v>
      </c>
      <c r="N221" t="s">
        <v>201</v>
      </c>
      <c r="O221" t="s">
        <v>242</v>
      </c>
      <c r="P221">
        <v>5.0423725420577624E-2</v>
      </c>
      <c r="Q221" t="s">
        <v>160</v>
      </c>
      <c r="S221" t="s">
        <v>220</v>
      </c>
      <c r="T221" t="s">
        <v>242</v>
      </c>
      <c r="U221">
        <v>6.370306080577455E-2</v>
      </c>
      <c r="V221" t="s">
        <v>160</v>
      </c>
    </row>
    <row r="222" spans="9:22" x14ac:dyDescent="0.45">
      <c r="I222" t="s">
        <v>177</v>
      </c>
      <c r="J222" t="s">
        <v>243</v>
      </c>
      <c r="K222">
        <v>1.5519614368849386E-2</v>
      </c>
      <c r="L222" t="s">
        <v>160</v>
      </c>
      <c r="N222" t="s">
        <v>201</v>
      </c>
      <c r="O222" t="s">
        <v>243</v>
      </c>
      <c r="P222">
        <v>7.4320839448967058E-2</v>
      </c>
      <c r="Q222" t="s">
        <v>160</v>
      </c>
      <c r="S222" t="s">
        <v>220</v>
      </c>
      <c r="T222" t="s">
        <v>243</v>
      </c>
      <c r="U222">
        <v>7.190817856945983E-2</v>
      </c>
      <c r="V222" t="s">
        <v>160</v>
      </c>
    </row>
    <row r="223" spans="9:22" x14ac:dyDescent="0.45">
      <c r="I223" t="s">
        <v>177</v>
      </c>
      <c r="J223" t="s">
        <v>244</v>
      </c>
      <c r="K223">
        <v>4.2040170093397639E-2</v>
      </c>
      <c r="L223" t="s">
        <v>160</v>
      </c>
      <c r="N223" t="s">
        <v>201</v>
      </c>
      <c r="O223" t="s">
        <v>244</v>
      </c>
      <c r="P223">
        <v>1.0424780979830369E-2</v>
      </c>
      <c r="Q223" t="s">
        <v>160</v>
      </c>
      <c r="S223" t="s">
        <v>220</v>
      </c>
      <c r="T223" t="s">
        <v>244</v>
      </c>
      <c r="U223">
        <v>1.3175805405623492E-2</v>
      </c>
      <c r="V223" t="s">
        <v>160</v>
      </c>
    </row>
    <row r="224" spans="9:22" x14ac:dyDescent="0.45">
      <c r="I224" t="s">
        <v>177</v>
      </c>
      <c r="J224" t="s">
        <v>245</v>
      </c>
      <c r="K224">
        <v>0.15267534772966762</v>
      </c>
      <c r="L224" t="s">
        <v>160</v>
      </c>
      <c r="N224" t="s">
        <v>201</v>
      </c>
      <c r="O224" t="s">
        <v>245</v>
      </c>
      <c r="P224">
        <v>0.15666173823560581</v>
      </c>
      <c r="Q224" t="s">
        <v>160</v>
      </c>
      <c r="S224" t="s">
        <v>220</v>
      </c>
      <c r="T224" t="s">
        <v>245</v>
      </c>
      <c r="U224">
        <v>0.15922326996690847</v>
      </c>
      <c r="V224" t="s">
        <v>160</v>
      </c>
    </row>
    <row r="225" spans="9:22" x14ac:dyDescent="0.45">
      <c r="I225" t="s">
        <v>177</v>
      </c>
      <c r="J225" t="s">
        <v>246</v>
      </c>
      <c r="K225">
        <v>0</v>
      </c>
      <c r="L225" t="s">
        <v>160</v>
      </c>
      <c r="N225" t="s">
        <v>201</v>
      </c>
      <c r="O225" t="s">
        <v>246</v>
      </c>
      <c r="P225">
        <v>0.1560746363825373</v>
      </c>
      <c r="Q225" t="s">
        <v>160</v>
      </c>
      <c r="S225" t="s">
        <v>220</v>
      </c>
      <c r="T225" t="s">
        <v>246</v>
      </c>
      <c r="U225">
        <v>0.15276913266897432</v>
      </c>
      <c r="V225" t="s">
        <v>160</v>
      </c>
    </row>
    <row r="226" spans="9:22" x14ac:dyDescent="0.45">
      <c r="I226" t="s">
        <v>177</v>
      </c>
      <c r="J226" t="s">
        <v>247</v>
      </c>
      <c r="K226">
        <v>7.0016407688193866E-3</v>
      </c>
      <c r="L226" t="s">
        <v>160</v>
      </c>
      <c r="N226" t="s">
        <v>201</v>
      </c>
      <c r="O226" t="s">
        <v>247</v>
      </c>
      <c r="P226">
        <v>3.0144067511376382E-2</v>
      </c>
      <c r="Q226" t="s">
        <v>160</v>
      </c>
      <c r="S226" t="s">
        <v>220</v>
      </c>
      <c r="T226" t="s">
        <v>247</v>
      </c>
      <c r="U226">
        <v>2.9651177185270949E-2</v>
      </c>
      <c r="V226" t="s">
        <v>160</v>
      </c>
    </row>
    <row r="227" spans="9:22" x14ac:dyDescent="0.45">
      <c r="I227" t="s">
        <v>178</v>
      </c>
      <c r="J227" t="s">
        <v>236</v>
      </c>
      <c r="K227">
        <v>0.19289127435060058</v>
      </c>
      <c r="L227" t="s">
        <v>160</v>
      </c>
      <c r="N227" t="s">
        <v>202</v>
      </c>
      <c r="O227" t="s">
        <v>236</v>
      </c>
      <c r="P227">
        <v>8.6054249587030396E-2</v>
      </c>
      <c r="Q227" t="s">
        <v>160</v>
      </c>
      <c r="S227" t="s">
        <v>221</v>
      </c>
      <c r="T227" t="s">
        <v>236</v>
      </c>
      <c r="U227">
        <v>8.6226286240200692E-2</v>
      </c>
      <c r="V227" t="s">
        <v>160</v>
      </c>
    </row>
    <row r="228" spans="9:22" x14ac:dyDescent="0.45">
      <c r="I228" t="s">
        <v>178</v>
      </c>
      <c r="J228" t="s">
        <v>237</v>
      </c>
      <c r="K228">
        <v>6.0976063367927898E-6</v>
      </c>
      <c r="L228" t="s">
        <v>160</v>
      </c>
      <c r="N228" t="s">
        <v>202</v>
      </c>
      <c r="O228" t="s">
        <v>237</v>
      </c>
      <c r="P228">
        <v>7.2228033721671164E-2</v>
      </c>
      <c r="Q228" t="s">
        <v>160</v>
      </c>
      <c r="S228" t="s">
        <v>221</v>
      </c>
      <c r="T228" t="s">
        <v>237</v>
      </c>
      <c r="U228">
        <v>8.9669252116020892E-2</v>
      </c>
      <c r="V228" t="s">
        <v>160</v>
      </c>
    </row>
    <row r="229" spans="9:22" x14ac:dyDescent="0.45">
      <c r="I229" t="s">
        <v>178</v>
      </c>
      <c r="J229" t="s">
        <v>238</v>
      </c>
      <c r="K229">
        <v>1.47244723076257E-2</v>
      </c>
      <c r="L229" t="s">
        <v>160</v>
      </c>
      <c r="N229" t="s">
        <v>202</v>
      </c>
      <c r="O229" t="s">
        <v>238</v>
      </c>
      <c r="P229">
        <v>1.6153096458950029E-2</v>
      </c>
      <c r="Q229" t="s">
        <v>160</v>
      </c>
      <c r="S229" t="s">
        <v>221</v>
      </c>
      <c r="T229" t="s">
        <v>238</v>
      </c>
      <c r="U229">
        <v>1.5883913591275164E-2</v>
      </c>
      <c r="V229" t="s">
        <v>160</v>
      </c>
    </row>
    <row r="230" spans="9:22" x14ac:dyDescent="0.45">
      <c r="I230" t="s">
        <v>178</v>
      </c>
      <c r="J230" t="s">
        <v>239</v>
      </c>
      <c r="K230">
        <v>0.26189971236390197</v>
      </c>
      <c r="L230" t="s">
        <v>160</v>
      </c>
      <c r="N230" t="s">
        <v>202</v>
      </c>
      <c r="O230" t="s">
        <v>239</v>
      </c>
      <c r="P230">
        <v>0.1954209910645168</v>
      </c>
      <c r="Q230" t="s">
        <v>160</v>
      </c>
      <c r="S230" t="s">
        <v>221</v>
      </c>
      <c r="T230" t="s">
        <v>239</v>
      </c>
      <c r="U230">
        <v>0.14640422828201646</v>
      </c>
      <c r="V230" t="s">
        <v>160</v>
      </c>
    </row>
    <row r="231" spans="9:22" x14ac:dyDescent="0.45">
      <c r="I231" t="s">
        <v>178</v>
      </c>
      <c r="J231" t="s">
        <v>240</v>
      </c>
      <c r="K231">
        <v>4.1532929690058246E-3</v>
      </c>
      <c r="L231" t="s">
        <v>160</v>
      </c>
      <c r="N231" t="s">
        <v>202</v>
      </c>
      <c r="O231" t="s">
        <v>240</v>
      </c>
      <c r="P231">
        <v>0.19052602258020684</v>
      </c>
      <c r="Q231" t="s">
        <v>160</v>
      </c>
      <c r="S231" t="s">
        <v>221</v>
      </c>
      <c r="T231" t="s">
        <v>240</v>
      </c>
      <c r="U231">
        <v>0.15000406504379543</v>
      </c>
      <c r="V231" t="s">
        <v>160</v>
      </c>
    </row>
    <row r="232" spans="9:22" x14ac:dyDescent="0.45">
      <c r="I232" t="s">
        <v>178</v>
      </c>
      <c r="J232" t="s">
        <v>241</v>
      </c>
      <c r="K232">
        <v>3.2249550770953025E-2</v>
      </c>
      <c r="L232" t="s">
        <v>160</v>
      </c>
      <c r="N232" t="s">
        <v>202</v>
      </c>
      <c r="O232" t="s">
        <v>241</v>
      </c>
      <c r="P232">
        <v>3.4698083795444472E-2</v>
      </c>
      <c r="Q232" t="s">
        <v>160</v>
      </c>
      <c r="S232" t="s">
        <v>221</v>
      </c>
      <c r="T232" t="s">
        <v>241</v>
      </c>
      <c r="U232">
        <v>2.6822457771292729E-2</v>
      </c>
      <c r="V232" t="s">
        <v>160</v>
      </c>
    </row>
    <row r="233" spans="9:22" x14ac:dyDescent="0.45">
      <c r="I233" t="s">
        <v>178</v>
      </c>
      <c r="J233" t="s">
        <v>242</v>
      </c>
      <c r="K233">
        <v>0.3018547085280151</v>
      </c>
      <c r="L233" t="s">
        <v>160</v>
      </c>
      <c r="N233" t="s">
        <v>202</v>
      </c>
      <c r="O233" t="s">
        <v>242</v>
      </c>
      <c r="P233">
        <v>3.827273277091011E-2</v>
      </c>
      <c r="Q233" t="s">
        <v>160</v>
      </c>
      <c r="S233" t="s">
        <v>221</v>
      </c>
      <c r="T233" t="s">
        <v>242</v>
      </c>
      <c r="U233">
        <v>6.894932913897503E-2</v>
      </c>
      <c r="V233" t="s">
        <v>160</v>
      </c>
    </row>
    <row r="234" spans="9:22" x14ac:dyDescent="0.45">
      <c r="I234" t="s">
        <v>178</v>
      </c>
      <c r="J234" t="s">
        <v>243</v>
      </c>
      <c r="K234">
        <v>9.8097585607738076E-3</v>
      </c>
      <c r="L234" t="s">
        <v>160</v>
      </c>
      <c r="N234" t="s">
        <v>202</v>
      </c>
      <c r="O234" t="s">
        <v>243</v>
      </c>
      <c r="P234">
        <v>3.8605370491636717E-2</v>
      </c>
      <c r="Q234" t="s">
        <v>160</v>
      </c>
      <c r="S234" t="s">
        <v>221</v>
      </c>
      <c r="T234" t="s">
        <v>243</v>
      </c>
      <c r="U234">
        <v>7.5223719683161147E-2</v>
      </c>
      <c r="V234" t="s">
        <v>160</v>
      </c>
    </row>
    <row r="235" spans="9:22" x14ac:dyDescent="0.45">
      <c r="I235" t="s">
        <v>178</v>
      </c>
      <c r="J235" t="s">
        <v>244</v>
      </c>
      <c r="K235">
        <v>3.8665700520474411E-2</v>
      </c>
      <c r="L235" t="s">
        <v>160</v>
      </c>
      <c r="N235" t="s">
        <v>202</v>
      </c>
      <c r="O235" t="s">
        <v>244</v>
      </c>
      <c r="P235">
        <v>9.8075390821528857E-3</v>
      </c>
      <c r="Q235" t="s">
        <v>160</v>
      </c>
      <c r="S235" t="s">
        <v>221</v>
      </c>
      <c r="T235" t="s">
        <v>244</v>
      </c>
      <c r="U235">
        <v>1.7771892256335055E-2</v>
      </c>
      <c r="V235" t="s">
        <v>160</v>
      </c>
    </row>
    <row r="236" spans="9:22" x14ac:dyDescent="0.45">
      <c r="I236" t="s">
        <v>178</v>
      </c>
      <c r="J236" t="s">
        <v>245</v>
      </c>
      <c r="K236">
        <v>0.13717852930679372</v>
      </c>
      <c r="L236" t="s">
        <v>160</v>
      </c>
      <c r="N236" t="s">
        <v>202</v>
      </c>
      <c r="O236" t="s">
        <v>245</v>
      </c>
      <c r="P236">
        <v>0.14345364905599317</v>
      </c>
      <c r="Q236" t="s">
        <v>160</v>
      </c>
      <c r="S236" t="s">
        <v>221</v>
      </c>
      <c r="T236" t="s">
        <v>245</v>
      </c>
      <c r="U236">
        <v>0.15120902321944524</v>
      </c>
      <c r="V236" t="s">
        <v>160</v>
      </c>
    </row>
    <row r="237" spans="9:22" x14ac:dyDescent="0.45">
      <c r="I237" t="s">
        <v>178</v>
      </c>
      <c r="J237" t="s">
        <v>246</v>
      </c>
      <c r="K237">
        <v>0</v>
      </c>
      <c r="L237" t="s">
        <v>160</v>
      </c>
      <c r="N237" t="s">
        <v>202</v>
      </c>
      <c r="O237" t="s">
        <v>246</v>
      </c>
      <c r="P237">
        <v>0.14664336705975167</v>
      </c>
      <c r="Q237" t="s">
        <v>160</v>
      </c>
      <c r="S237" t="s">
        <v>221</v>
      </c>
      <c r="T237" t="s">
        <v>246</v>
      </c>
      <c r="U237">
        <v>0.14289240596967326</v>
      </c>
      <c r="V237" t="s">
        <v>160</v>
      </c>
    </row>
    <row r="238" spans="9:22" x14ac:dyDescent="0.45">
      <c r="I238" t="s">
        <v>178</v>
      </c>
      <c r="J238" t="s">
        <v>247</v>
      </c>
      <c r="K238">
        <v>6.566902715517609E-3</v>
      </c>
      <c r="L238" t="s">
        <v>160</v>
      </c>
      <c r="N238" t="s">
        <v>202</v>
      </c>
      <c r="O238" t="s">
        <v>247</v>
      </c>
      <c r="P238">
        <v>2.8136864331738381E-2</v>
      </c>
      <c r="Q238" t="s">
        <v>160</v>
      </c>
      <c r="S238" t="s">
        <v>221</v>
      </c>
      <c r="T238" t="s">
        <v>247</v>
      </c>
      <c r="U238">
        <v>2.8943426687811677E-2</v>
      </c>
      <c r="V238" t="s">
        <v>160</v>
      </c>
    </row>
    <row r="239" spans="9:22" x14ac:dyDescent="0.45">
      <c r="I239" t="s">
        <v>179</v>
      </c>
      <c r="J239" t="s">
        <v>236</v>
      </c>
      <c r="K239">
        <v>0.18654981420686079</v>
      </c>
      <c r="L239" t="s">
        <v>160</v>
      </c>
    </row>
    <row r="240" spans="9:22" x14ac:dyDescent="0.45">
      <c r="I240" t="s">
        <v>179</v>
      </c>
      <c r="J240" t="s">
        <v>237</v>
      </c>
      <c r="K240">
        <v>4.6453071303094993E-4</v>
      </c>
      <c r="L240" t="s">
        <v>160</v>
      </c>
    </row>
    <row r="241" spans="9:12" x14ac:dyDescent="0.45">
      <c r="I241" t="s">
        <v>179</v>
      </c>
      <c r="J241" t="s">
        <v>238</v>
      </c>
      <c r="K241">
        <v>1.7355433872470315E-2</v>
      </c>
      <c r="L241" t="s">
        <v>160</v>
      </c>
    </row>
    <row r="242" spans="9:12" x14ac:dyDescent="0.45">
      <c r="I242" t="s">
        <v>179</v>
      </c>
      <c r="J242" t="s">
        <v>239</v>
      </c>
      <c r="K242">
        <v>0.24377556620344024</v>
      </c>
      <c r="L242" t="s">
        <v>160</v>
      </c>
    </row>
    <row r="243" spans="9:12" x14ac:dyDescent="0.45">
      <c r="I243" t="s">
        <v>179</v>
      </c>
      <c r="J243" t="s">
        <v>240</v>
      </c>
      <c r="K243">
        <v>5.7199768779249878E-3</v>
      </c>
      <c r="L243" t="s">
        <v>160</v>
      </c>
    </row>
    <row r="244" spans="9:12" x14ac:dyDescent="0.45">
      <c r="I244" t="s">
        <v>179</v>
      </c>
      <c r="J244" t="s">
        <v>241</v>
      </c>
      <c r="K244">
        <v>3.3984139604446351E-2</v>
      </c>
      <c r="L244" t="s">
        <v>160</v>
      </c>
    </row>
    <row r="245" spans="9:12" x14ac:dyDescent="0.45">
      <c r="I245" t="s">
        <v>179</v>
      </c>
      <c r="J245" t="s">
        <v>242</v>
      </c>
      <c r="K245">
        <v>0.30406905858930178</v>
      </c>
      <c r="L245" t="s">
        <v>160</v>
      </c>
    </row>
    <row r="246" spans="9:12" x14ac:dyDescent="0.45">
      <c r="I246" t="s">
        <v>179</v>
      </c>
      <c r="J246" t="s">
        <v>243</v>
      </c>
      <c r="K246">
        <v>1.4049287111119224E-2</v>
      </c>
      <c r="L246" t="s">
        <v>160</v>
      </c>
    </row>
    <row r="247" spans="9:12" x14ac:dyDescent="0.45">
      <c r="I247" t="s">
        <v>179</v>
      </c>
      <c r="J247" t="s">
        <v>244</v>
      </c>
      <c r="K247">
        <v>4.3147596818723925E-2</v>
      </c>
      <c r="L247" t="s">
        <v>160</v>
      </c>
    </row>
    <row r="248" spans="9:12" x14ac:dyDescent="0.45">
      <c r="I248" t="s">
        <v>179</v>
      </c>
      <c r="J248" t="s">
        <v>245</v>
      </c>
      <c r="K248">
        <v>0.14074044724008258</v>
      </c>
      <c r="L248" t="s">
        <v>160</v>
      </c>
    </row>
    <row r="249" spans="9:12" x14ac:dyDescent="0.45">
      <c r="I249" t="s">
        <v>179</v>
      </c>
      <c r="J249" t="s">
        <v>246</v>
      </c>
      <c r="K249">
        <v>0</v>
      </c>
      <c r="L249" t="s">
        <v>160</v>
      </c>
    </row>
    <row r="250" spans="9:12" x14ac:dyDescent="0.45">
      <c r="I250" t="s">
        <v>179</v>
      </c>
      <c r="J250" t="s">
        <v>247</v>
      </c>
      <c r="K250">
        <v>1.0144148762595593E-2</v>
      </c>
      <c r="L250" t="s">
        <v>160</v>
      </c>
    </row>
    <row r="251" spans="9:12" x14ac:dyDescent="0.45">
      <c r="I251" t="s">
        <v>180</v>
      </c>
      <c r="J251" t="s">
        <v>236</v>
      </c>
      <c r="K251">
        <v>0.19032578445101184</v>
      </c>
      <c r="L251" t="s">
        <v>160</v>
      </c>
    </row>
    <row r="252" spans="9:12" x14ac:dyDescent="0.45">
      <c r="I252" t="s">
        <v>180</v>
      </c>
      <c r="J252" t="s">
        <v>237</v>
      </c>
      <c r="K252">
        <v>6.1739575394274734E-5</v>
      </c>
      <c r="L252" t="s">
        <v>160</v>
      </c>
    </row>
    <row r="253" spans="9:12" x14ac:dyDescent="0.45">
      <c r="I253" t="s">
        <v>180</v>
      </c>
      <c r="J253" t="s">
        <v>238</v>
      </c>
      <c r="K253">
        <v>1.538982567422398E-2</v>
      </c>
      <c r="L253" t="s">
        <v>160</v>
      </c>
    </row>
    <row r="254" spans="9:12" x14ac:dyDescent="0.45">
      <c r="I254" t="s">
        <v>180</v>
      </c>
      <c r="J254" t="s">
        <v>239</v>
      </c>
      <c r="K254">
        <v>0.25094453699509345</v>
      </c>
      <c r="L254" t="s">
        <v>160</v>
      </c>
    </row>
    <row r="255" spans="9:12" x14ac:dyDescent="0.45">
      <c r="I255" t="s">
        <v>180</v>
      </c>
      <c r="J255" t="s">
        <v>240</v>
      </c>
      <c r="K255">
        <v>4.5595465710010132E-3</v>
      </c>
      <c r="L255" t="s">
        <v>160</v>
      </c>
    </row>
    <row r="256" spans="9:12" x14ac:dyDescent="0.45">
      <c r="I256" t="s">
        <v>180</v>
      </c>
      <c r="J256" t="s">
        <v>241</v>
      </c>
      <c r="K256">
        <v>3.2183848489497985E-2</v>
      </c>
      <c r="L256" t="s">
        <v>160</v>
      </c>
    </row>
    <row r="257" spans="9:12" x14ac:dyDescent="0.45">
      <c r="I257" t="s">
        <v>180</v>
      </c>
      <c r="J257" t="s">
        <v>242</v>
      </c>
      <c r="K257">
        <v>0.30266559473900595</v>
      </c>
      <c r="L257" t="s">
        <v>160</v>
      </c>
    </row>
    <row r="258" spans="9:12" x14ac:dyDescent="0.45">
      <c r="I258" t="s">
        <v>180</v>
      </c>
      <c r="J258" t="s">
        <v>243</v>
      </c>
      <c r="K258">
        <v>1.0818027951490105E-2</v>
      </c>
      <c r="L258" t="s">
        <v>160</v>
      </c>
    </row>
    <row r="259" spans="9:12" x14ac:dyDescent="0.45">
      <c r="I259" t="s">
        <v>180</v>
      </c>
      <c r="J259" t="s">
        <v>244</v>
      </c>
      <c r="K259">
        <v>3.970821087693762E-2</v>
      </c>
      <c r="L259" t="s">
        <v>160</v>
      </c>
    </row>
    <row r="260" spans="9:12" x14ac:dyDescent="0.45">
      <c r="I260" t="s">
        <v>180</v>
      </c>
      <c r="J260" t="s">
        <v>245</v>
      </c>
      <c r="K260">
        <v>0.14472939050644593</v>
      </c>
      <c r="L260" t="s">
        <v>160</v>
      </c>
    </row>
    <row r="261" spans="9:12" x14ac:dyDescent="0.45">
      <c r="I261" t="s">
        <v>180</v>
      </c>
      <c r="J261" t="s">
        <v>246</v>
      </c>
      <c r="K261">
        <v>0</v>
      </c>
      <c r="L261" t="s">
        <v>160</v>
      </c>
    </row>
    <row r="262" spans="9:12" x14ac:dyDescent="0.45">
      <c r="I262" t="s">
        <v>180</v>
      </c>
      <c r="J262" t="s">
        <v>247</v>
      </c>
      <c r="K262">
        <v>8.6134941698995295E-3</v>
      </c>
      <c r="L262" t="s">
        <v>160</v>
      </c>
    </row>
    <row r="263" spans="9:12" x14ac:dyDescent="0.45">
      <c r="I263" t="s">
        <v>181</v>
      </c>
      <c r="J263" t="s">
        <v>236</v>
      </c>
      <c r="K263">
        <v>0.17373175330920837</v>
      </c>
      <c r="L263" t="s">
        <v>160</v>
      </c>
    </row>
    <row r="264" spans="9:12" x14ac:dyDescent="0.45">
      <c r="I264" t="s">
        <v>181</v>
      </c>
      <c r="J264" t="s">
        <v>237</v>
      </c>
      <c r="K264">
        <v>5.8027138668197815E-4</v>
      </c>
      <c r="L264" t="s">
        <v>160</v>
      </c>
    </row>
    <row r="265" spans="9:12" x14ac:dyDescent="0.45">
      <c r="I265" t="s">
        <v>181</v>
      </c>
      <c r="J265" t="s">
        <v>238</v>
      </c>
      <c r="K265">
        <v>1.5335075506814986E-2</v>
      </c>
      <c r="L265" t="s">
        <v>160</v>
      </c>
    </row>
    <row r="266" spans="9:12" x14ac:dyDescent="0.45">
      <c r="I266" t="s">
        <v>181</v>
      </c>
      <c r="J266" t="s">
        <v>239</v>
      </c>
      <c r="K266">
        <v>0.24303559562652541</v>
      </c>
      <c r="L266" t="s">
        <v>160</v>
      </c>
    </row>
    <row r="267" spans="9:12" x14ac:dyDescent="0.45">
      <c r="I267" t="s">
        <v>181</v>
      </c>
      <c r="J267" t="s">
        <v>240</v>
      </c>
      <c r="K267">
        <v>5.9561318261120372E-3</v>
      </c>
      <c r="L267" t="s">
        <v>160</v>
      </c>
    </row>
    <row r="268" spans="9:12" x14ac:dyDescent="0.45">
      <c r="I268" t="s">
        <v>181</v>
      </c>
      <c r="J268" t="s">
        <v>241</v>
      </c>
      <c r="K268">
        <v>3.2454361733186173E-2</v>
      </c>
      <c r="L268" t="s">
        <v>160</v>
      </c>
    </row>
    <row r="269" spans="9:12" x14ac:dyDescent="0.45">
      <c r="I269" t="s">
        <v>181</v>
      </c>
      <c r="J269" t="s">
        <v>242</v>
      </c>
      <c r="K269">
        <v>0.32702702292029684</v>
      </c>
      <c r="L269" t="s">
        <v>160</v>
      </c>
    </row>
    <row r="270" spans="9:12" x14ac:dyDescent="0.45">
      <c r="I270" t="s">
        <v>181</v>
      </c>
      <c r="J270" t="s">
        <v>243</v>
      </c>
      <c r="K270">
        <v>1.5961383308455954E-2</v>
      </c>
      <c r="L270" t="s">
        <v>160</v>
      </c>
    </row>
    <row r="271" spans="9:12" x14ac:dyDescent="0.45">
      <c r="I271" t="s">
        <v>181</v>
      </c>
      <c r="J271" t="s">
        <v>244</v>
      </c>
      <c r="K271">
        <v>4.8285005012538261E-2</v>
      </c>
      <c r="L271" t="s">
        <v>160</v>
      </c>
    </row>
    <row r="272" spans="9:12" x14ac:dyDescent="0.45">
      <c r="I272" t="s">
        <v>181</v>
      </c>
      <c r="J272" t="s">
        <v>245</v>
      </c>
      <c r="K272">
        <v>0.13031924293960293</v>
      </c>
      <c r="L272" t="s">
        <v>160</v>
      </c>
    </row>
    <row r="273" spans="9:12" x14ac:dyDescent="0.45">
      <c r="I273" t="s">
        <v>181</v>
      </c>
      <c r="J273" t="s">
        <v>246</v>
      </c>
      <c r="K273">
        <v>0</v>
      </c>
      <c r="L273" t="s">
        <v>160</v>
      </c>
    </row>
    <row r="274" spans="9:12" x14ac:dyDescent="0.45">
      <c r="I274" t="s">
        <v>181</v>
      </c>
      <c r="J274" t="s">
        <v>247</v>
      </c>
      <c r="K274">
        <v>7.3141564305761785E-3</v>
      </c>
      <c r="L274" t="s">
        <v>160</v>
      </c>
    </row>
    <row r="275" spans="9:12" x14ac:dyDescent="0.45">
      <c r="I275" t="s">
        <v>182</v>
      </c>
      <c r="J275" t="s">
        <v>236</v>
      </c>
      <c r="K275">
        <v>0.18463760470986576</v>
      </c>
      <c r="L275" t="s">
        <v>160</v>
      </c>
    </row>
    <row r="276" spans="9:12" x14ac:dyDescent="0.45">
      <c r="I276" t="s">
        <v>182</v>
      </c>
      <c r="J276" t="s">
        <v>237</v>
      </c>
      <c r="K276">
        <v>2.5350956414119959E-4</v>
      </c>
      <c r="L276" t="s">
        <v>160</v>
      </c>
    </row>
    <row r="277" spans="9:12" x14ac:dyDescent="0.45">
      <c r="I277" t="s">
        <v>182</v>
      </c>
      <c r="J277" t="s">
        <v>238</v>
      </c>
      <c r="K277">
        <v>1.5695986236601029E-2</v>
      </c>
      <c r="L277" t="s">
        <v>160</v>
      </c>
    </row>
    <row r="278" spans="9:12" x14ac:dyDescent="0.45">
      <c r="I278" t="s">
        <v>182</v>
      </c>
      <c r="J278" t="s">
        <v>239</v>
      </c>
      <c r="K278">
        <v>0.24976478348863684</v>
      </c>
      <c r="L278" t="s">
        <v>160</v>
      </c>
    </row>
    <row r="279" spans="9:12" x14ac:dyDescent="0.45">
      <c r="I279" t="s">
        <v>182</v>
      </c>
      <c r="J279" t="s">
        <v>240</v>
      </c>
      <c r="K279">
        <v>5.0496227866211859E-3</v>
      </c>
      <c r="L279" t="s">
        <v>160</v>
      </c>
    </row>
    <row r="280" spans="9:12" x14ac:dyDescent="0.45">
      <c r="I280" t="s">
        <v>182</v>
      </c>
      <c r="J280" t="s">
        <v>241</v>
      </c>
      <c r="K280">
        <v>3.1351713824979179E-2</v>
      </c>
      <c r="L280" t="s">
        <v>160</v>
      </c>
    </row>
    <row r="281" spans="9:12" x14ac:dyDescent="0.45">
      <c r="I281" t="s">
        <v>182</v>
      </c>
      <c r="J281" t="s">
        <v>242</v>
      </c>
      <c r="K281">
        <v>0.31865427110722999</v>
      </c>
      <c r="L281" t="s">
        <v>160</v>
      </c>
    </row>
    <row r="282" spans="9:12" x14ac:dyDescent="0.45">
      <c r="I282" t="s">
        <v>182</v>
      </c>
      <c r="J282" t="s">
        <v>243</v>
      </c>
      <c r="K282">
        <v>1.4218543152904321E-2</v>
      </c>
      <c r="L282" t="s">
        <v>160</v>
      </c>
    </row>
    <row r="283" spans="9:12" x14ac:dyDescent="0.45">
      <c r="I283" t="s">
        <v>182</v>
      </c>
      <c r="J283" t="s">
        <v>244</v>
      </c>
      <c r="K283">
        <v>4.4474048952389808E-2</v>
      </c>
      <c r="L283" t="s">
        <v>160</v>
      </c>
    </row>
    <row r="284" spans="9:12" x14ac:dyDescent="0.45">
      <c r="I284" t="s">
        <v>182</v>
      </c>
      <c r="J284" t="s">
        <v>245</v>
      </c>
      <c r="K284">
        <v>0.12940443131465287</v>
      </c>
      <c r="L284" t="s">
        <v>160</v>
      </c>
    </row>
    <row r="285" spans="9:12" x14ac:dyDescent="0.45">
      <c r="I285" t="s">
        <v>182</v>
      </c>
      <c r="J285" t="s">
        <v>246</v>
      </c>
      <c r="K285">
        <v>0</v>
      </c>
      <c r="L285" t="s">
        <v>160</v>
      </c>
    </row>
    <row r="286" spans="9:12" x14ac:dyDescent="0.45">
      <c r="I286" t="s">
        <v>182</v>
      </c>
      <c r="J286" t="s">
        <v>247</v>
      </c>
      <c r="K286">
        <v>6.4954848619766161E-3</v>
      </c>
      <c r="L286" t="s">
        <v>160</v>
      </c>
    </row>
    <row r="287" spans="9:12" x14ac:dyDescent="0.45">
      <c r="I287" t="s">
        <v>183</v>
      </c>
      <c r="J287" t="s">
        <v>236</v>
      </c>
      <c r="K287">
        <v>0.17540246801005549</v>
      </c>
      <c r="L287" t="s">
        <v>160</v>
      </c>
    </row>
    <row r="288" spans="9:12" x14ac:dyDescent="0.45">
      <c r="I288" t="s">
        <v>183</v>
      </c>
      <c r="J288" t="s">
        <v>237</v>
      </c>
      <c r="K288">
        <v>6.558725268341766E-4</v>
      </c>
      <c r="L288" t="s">
        <v>160</v>
      </c>
    </row>
    <row r="289" spans="9:12" x14ac:dyDescent="0.45">
      <c r="I289" t="s">
        <v>183</v>
      </c>
      <c r="J289" t="s">
        <v>238</v>
      </c>
      <c r="K289">
        <v>1.6122952267671378E-2</v>
      </c>
      <c r="L289" t="s">
        <v>160</v>
      </c>
    </row>
    <row r="290" spans="9:12" x14ac:dyDescent="0.45">
      <c r="I290" t="s">
        <v>183</v>
      </c>
      <c r="J290" t="s">
        <v>239</v>
      </c>
      <c r="K290">
        <v>0.23993798986975123</v>
      </c>
      <c r="L290" t="s">
        <v>160</v>
      </c>
    </row>
    <row r="291" spans="9:12" x14ac:dyDescent="0.45">
      <c r="I291" t="s">
        <v>183</v>
      </c>
      <c r="J291" t="s">
        <v>240</v>
      </c>
      <c r="K291">
        <v>6.1790632618135425E-3</v>
      </c>
      <c r="L291" t="s">
        <v>160</v>
      </c>
    </row>
    <row r="292" spans="9:12" x14ac:dyDescent="0.45">
      <c r="I292" t="s">
        <v>183</v>
      </c>
      <c r="J292" t="s">
        <v>241</v>
      </c>
      <c r="K292">
        <v>3.3129334963457227E-2</v>
      </c>
      <c r="L292" t="s">
        <v>160</v>
      </c>
    </row>
    <row r="293" spans="9:12" x14ac:dyDescent="0.45">
      <c r="I293" t="s">
        <v>183</v>
      </c>
      <c r="J293" t="s">
        <v>242</v>
      </c>
      <c r="K293">
        <v>0.32844593274633355</v>
      </c>
      <c r="L293" t="s">
        <v>160</v>
      </c>
    </row>
    <row r="294" spans="9:12" x14ac:dyDescent="0.45">
      <c r="I294" t="s">
        <v>183</v>
      </c>
      <c r="J294" t="s">
        <v>243</v>
      </c>
      <c r="K294">
        <v>1.5812318275017473E-2</v>
      </c>
      <c r="L294" t="s">
        <v>160</v>
      </c>
    </row>
    <row r="295" spans="9:12" x14ac:dyDescent="0.45">
      <c r="I295" t="s">
        <v>183</v>
      </c>
      <c r="J295" t="s">
        <v>244</v>
      </c>
      <c r="K295">
        <v>4.5757653598531976E-2</v>
      </c>
      <c r="L295" t="s">
        <v>160</v>
      </c>
    </row>
    <row r="296" spans="9:12" x14ac:dyDescent="0.45">
      <c r="I296" t="s">
        <v>183</v>
      </c>
      <c r="J296" t="s">
        <v>245</v>
      </c>
      <c r="K296">
        <v>0.13037014071083297</v>
      </c>
      <c r="L296" t="s">
        <v>160</v>
      </c>
    </row>
    <row r="297" spans="9:12" x14ac:dyDescent="0.45">
      <c r="I297" t="s">
        <v>183</v>
      </c>
      <c r="J297" t="s">
        <v>246</v>
      </c>
      <c r="K297">
        <v>0</v>
      </c>
      <c r="L297" t="s">
        <v>160</v>
      </c>
    </row>
    <row r="298" spans="9:12" x14ac:dyDescent="0.45">
      <c r="I298" t="s">
        <v>183</v>
      </c>
      <c r="J298" t="s">
        <v>247</v>
      </c>
      <c r="K298">
        <v>8.1862737696997839E-3</v>
      </c>
      <c r="L29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2025-09-19T14:07:38Z</dcterms:modified>
</cp:coreProperties>
</file>