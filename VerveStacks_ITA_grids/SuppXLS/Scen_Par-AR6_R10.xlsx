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BE059CC3-E522-4460-BA00-C05FBC15CB0A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48" sheetId="8" r:id="rId7"/>
    <sheet name="ts_annual" sheetId="9" r:id="rId8"/>
    <sheet name="ts_12t" sheetId="10" r:id="rId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0" l="1"/>
  <c r="AG9" i="10"/>
  <c r="AC9" i="10"/>
  <c r="A10" i="6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<sst xmlns="http://schemas.openxmlformats.org/spreadsheetml/2006/main" count="15081" uniqueCount="311">
  <si>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</si>
  <si>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</si>
  <si>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</si>
  <si>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</si>
  <si>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</si>
  <si>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</si>
  <si>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</si>
  <si>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</si>
  <si>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</si>
  <si>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</si>
  <si>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</si>
  <si>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</si>
  <si>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</si>
  <si>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</si>
  <si>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</si>
  <si>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</si>
  <si>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</si>
  <si>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</si>
  <si>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</si>
  <si>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</si>
  <si>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</si>
  <si>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</si>
  <si>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</si>
  <si>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</si>
  <si>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</si>
  <si>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</si>
  <si>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</si>
  <si>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</si>
  <si>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</si>
  <si>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</si>
  <si>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</si>
  <si>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</si>
  <si>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</si>
  <si>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</si>
  <si>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</si>
  <si>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</si>
  <si>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</si>
  <si>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</si>
  <si>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</si>
  <si>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</si>
  <si>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</si>
  <si>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</si>
  <si>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</si>
  <si>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</si>
  <si>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</si>
  <si>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</si>
  <si>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</si>
  <si>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</si>
  <si>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</si>
  <si>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</si>
  <si>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</si>
  <si>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</si>
  <si>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</si>
  <si>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</si>
  <si>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</si>
  <si>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</si>
  <si>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</si>
  <si>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</si>
  <si>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</si>
  <si>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</si>
  <si>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</si>
  <si>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</si>
  <si>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</si>
  <si>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</si>
  <si>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</si>
  <si>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</si>
  <si>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</si>
  <si>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</si>
  <si>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</si>
  <si>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</si>
  <si>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</si>
  <si>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</si>
  <si>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</si>
  <si>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</si>
  <si>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</si>
  <si>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</si>
  <si>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</si>
  <si>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</si>
  <si>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</si>
  <si>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</si>
  <si>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</si>
  <si>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</si>
  <si>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</si>
  <si>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</si>
  <si>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</si>
  <si>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</si>
  <si>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</si>
  <si>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</si>
  <si>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</si>
  <si>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</si>
  <si>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</si>
  <si>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</si>
  <si>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</si>
  <si>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</si>
  <si>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</si>
  <si>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</si>
  <si>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</si>
  <si>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</si>
  <si>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</si>
  <si>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</si>
  <si>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</si>
  <si>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</si>
  <si>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</si>
  <si>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</si>
  <si>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</si>
  <si>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</si>
  <si>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</si>
  <si>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</si>
  <si>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</si>
  <si>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</si>
  <si>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</si>
  <si>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</si>
  <si>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</si>
  <si>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</si>
  <si>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</si>
  <si>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</si>
  <si>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</si>
  <si>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</si>
  <si>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</si>
  <si>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</si>
  <si>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</si>
  <si>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</si>
  <si>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</si>
  <si>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</si>
  <si>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</si>
  <si>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</si>
  <si>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</si>
  <si>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</si>
  <si>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</si>
  <si>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</si>
  <si>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</si>
  <si>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</si>
  <si>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</si>
  <si>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</si>
  <si>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</si>
  <si>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</si>
  <si>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</si>
  <si>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</si>
  <si>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</si>
  <si>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</si>
  <si>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</si>
  <si>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</si>
  <si>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ITA</t>
  </si>
  <si>
    <t>R10EUROPE</t>
  </si>
  <si>
    <t>Pipeline gas, Mediterranean pellet imports</t>
  </si>
  <si>
    <t>1,2,3,4,5,6,7,8,9,10,11,12,13,14,15,21,22,23,24,25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</si>
  <si>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</si>
  <si>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</si>
  <si>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</si>
  <si>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</si>
  <si>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</si>
  <si>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</si>
  <si>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</si>
  <si>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</si>
  <si>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</si>
  <si>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</si>
  <si>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</si>
  <si>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</t>
  </si>
  <si>
    <t>S02</t>
  </si>
  <si>
    <t>H02</t>
  </si>
  <si>
    <t>S03</t>
  </si>
  <si>
    <t>H03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</si>
  <si>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</si>
  <si>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</si>
  <si>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</si>
  <si>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</si>
  <si>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</si>
  <si>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</si>
  <si>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</si>
  <si>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</si>
  <si>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</si>
  <si>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</si>
  <si>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</si>
  <si>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</si>
  <si>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</si>
  <si>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</si>
  <si>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</si>
  <si>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</si>
  <si>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</si>
  <si>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</si>
  <si>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</si>
  <si>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</si>
  <si>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</si>
  <si>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</si>
  <si>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</si>
  <si>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</si>
  <si>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</si>
  <si>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</si>
  <si>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</si>
  <si>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</si>
  <si>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</si>
  <si>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</si>
  <si>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</si>
  <si>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</si>
  <si>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</si>
  <si>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</si>
  <si>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</si>
  <si>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</si>
  <si>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</si>
  <si>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</si>
  <si>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</si>
  <si>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</si>
  <si>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</si>
  <si>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</si>
  <si>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</si>
  <si>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</si>
  <si>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</si>
  <si>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</si>
  <si>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</si>
  <si>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</si>
  <si>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</si>
  <si>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</si>
  <si>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</si>
  <si>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</si>
  <si>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</si>
  <si>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</si>
  <si>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</si>
  <si>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</si>
  <si>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</si>
  <si>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</si>
  <si>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</si>
  <si>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</si>
  <si>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</si>
  <si>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</si>
  <si>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</si>
  <si>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</si>
  <si>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</si>
  <si>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</si>
  <si>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</si>
  <si>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</si>
  <si>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</si>
  <si>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</si>
  <si>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</si>
  <si>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</si>
  <si>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</si>
  <si>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g_yrfr</t>
  </si>
  <si>
    <t>day_night</t>
  </si>
  <si>
    <t>D</t>
  </si>
  <si>
    <t>S02aH02,S03aH02,S01aH02</t>
  </si>
  <si>
    <t>N</t>
  </si>
  <si>
    <t>S03aH01,S03aH03,S01aH03,S02aH01,S01aH01,S02aH03</t>
  </si>
  <si>
    <t>com_pkflx</t>
  </si>
  <si>
    <t>ncap_afs</t>
  </si>
  <si>
    <t>pset_ci</t>
  </si>
  <si>
    <t>hydro</t>
  </si>
  <si>
    <t>S01,S02,S03,S04,S05,S06,S07</t>
  </si>
  <si>
    <t>S04</t>
  </si>
  <si>
    <t>H04</t>
  </si>
  <si>
    <t>S05</t>
  </si>
  <si>
    <t>H05</t>
  </si>
  <si>
    <t>S06</t>
  </si>
  <si>
    <t>H06</t>
  </si>
  <si>
    <t>S07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</si>
  <si>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</si>
  <si>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</si>
  <si>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</si>
  <si>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</si>
  <si>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</si>
  <si>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</si>
  <si>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</si>
  <si>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</si>
  <si>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</si>
  <si>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S04aH01</t>
  </si>
  <si>
    <t>S04aH02</t>
  </si>
  <si>
    <t>S04aH03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</si>
  <si>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</si>
  <si>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</si>
  <si>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</si>
  <si>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</si>
  <si>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</si>
  <si>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</si>
  <si>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</si>
  <si>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</si>
  <si>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</si>
  <si>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</si>
  <si>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</si>
  <si>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</si>
  <si>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</si>
  <si>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</si>
  <si>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</si>
  <si>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</si>
  <si>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</si>
  <si>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</si>
  <si>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</si>
  <si>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</si>
  <si>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</si>
  <si>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S03aH04,S04aH05,S02aH02,S02aH03,S07aH03,S03aH05,S05aH05,S06aH04,S04aH03,S07aH04,S05aH04,S06aH02,S06aH03,S03aH02,S07aH05,S01aH02,S04aH04,S04aH02,S01aH05,S06aH05,S01aH04,S07aH02,S02aH04,S02aH05,S01aH03,S05aH02,S05aH03,S03aH03</t>
  </si>
  <si>
    <t>S05aH01,S07aH06,S03aH01,S01aH01,S04aH01,S04aH06,S02aH01,S05aH06,S01aH06,S07aH01,S03aH06,S02aH06,S06aH01,S06aH06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</si>
  <si>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</si>
  <si>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</si>
  <si>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</si>
  <si>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</si>
  <si>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</si>
  <si>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</si>
  <si>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</si>
  <si>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</si>
  <si>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</si>
  <si>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</si>
  <si>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</si>
  <si>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</si>
  <si>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</si>
  <si>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</si>
  <si>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</si>
  <si>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</si>
  <si>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</si>
  <si>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</si>
  <si>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</si>
  <si>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</si>
  <si>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</si>
  <si>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SaD,WaD,FaD,WaP,FaP,SaP,RaD,RaP</t>
  </si>
  <si>
    <t>FaP,SaP,RaP,RaN,FaN,WaP,SaN,WaN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</si>
</sst>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325.04000000000002</c:v>
                </c:pt>
                <c:pt idx="1">
                  <c:v>341.29200000000003</c:v>
                </c:pt>
                <c:pt idx="2">
                  <c:v>380.29680000000002</c:v>
                </c:pt>
                <c:pt idx="3">
                  <c:v>429.05280000000005</c:v>
                </c:pt>
                <c:pt idx="4">
                  <c:v>487.56000000000006</c:v>
                </c:pt>
                <c:pt idx="5">
                  <c:v>546.06720000000007</c:v>
                </c:pt>
                <c:pt idx="6">
                  <c:v>588.32240000000002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85"/>
  <sheetViews>
    <sheetView topLeftCell="X1" workbookViewId="0">
      <selection activeCell="AI17" sqref="AI17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1,2,3,4,5,6,7,8,9,10,11,12,13,14,15,21,22,23,24,25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140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139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138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325.04000000000002</v>
      </c>
      <c r="T12" s="2" t="s">
        <v>57</v>
      </c>
      <c r="AG12">
        <v>4</v>
      </c>
      <c r="AH12" t="s">
        <v>126</v>
      </c>
      <c r="AI12" t="s">
        <v>137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136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325.04000000000002</v>
      </c>
      <c r="U14" s="8">
        <f t="shared" ref="U14:Z14" si="3">$S$12*J15</f>
        <v>341.29200000000003</v>
      </c>
      <c r="V14" s="8">
        <f t="shared" si="3"/>
        <v>380.29680000000002</v>
      </c>
      <c r="W14" s="8">
        <f t="shared" si="3"/>
        <v>429.05280000000005</v>
      </c>
      <c r="X14" s="8">
        <f t="shared" si="3"/>
        <v>487.56000000000006</v>
      </c>
      <c r="Y14" s="8">
        <f t="shared" si="3"/>
        <v>546.06720000000007</v>
      </c>
      <c r="Z14" s="8">
        <f t="shared" si="3"/>
        <v>588.32240000000002</v>
      </c>
      <c r="AG14">
        <v>6</v>
      </c>
      <c r="AH14" t="s">
        <v>128</v>
      </c>
      <c r="AI14" t="s">
        <v>135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129</v>
      </c>
      <c r="AI15" t="s">
        <v>141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3.8029680000000003</v>
      </c>
      <c r="W18" s="6">
        <f t="shared" si="7"/>
        <v>4.290528000000001</v>
      </c>
      <c r="X18" s="6">
        <f t="shared" si="7"/>
        <v>4.8756000000000004</v>
      </c>
      <c r="Y18" s="6">
        <f t="shared" si="7"/>
        <v>10.921344000000001</v>
      </c>
      <c r="Z18" s="6">
        <f t="shared" si="7"/>
        <v>17.649671999999999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117.01440000000001</v>
      </c>
      <c r="U19" s="6">
        <f t="shared" si="7"/>
        <v>109.21344000000001</v>
      </c>
      <c r="V19" s="6">
        <f t="shared" si="7"/>
        <v>117.892008</v>
      </c>
      <c r="W19" s="6">
        <f t="shared" si="7"/>
        <v>124.42531200000001</v>
      </c>
      <c r="X19" s="6">
        <f t="shared" si="7"/>
        <v>141.39240000000001</v>
      </c>
      <c r="Y19" s="6">
        <f t="shared" si="7"/>
        <v>158.359488</v>
      </c>
      <c r="Z19" s="6">
        <f t="shared" si="7"/>
        <v>176.49672000000001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195.024</v>
      </c>
      <c r="U20" s="6">
        <f t="shared" si="7"/>
        <v>204.77520000000001</v>
      </c>
      <c r="V20" s="6">
        <f t="shared" si="7"/>
        <v>228.17807999999999</v>
      </c>
      <c r="W20" s="6">
        <f t="shared" si="7"/>
        <v>244.56009600000002</v>
      </c>
      <c r="X20" s="6">
        <f t="shared" si="7"/>
        <v>263.28240000000005</v>
      </c>
      <c r="Y20" s="6">
        <f t="shared" si="7"/>
        <v>283.95494400000007</v>
      </c>
      <c r="Z20" s="6">
        <f t="shared" si="7"/>
        <v>311.81087200000002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9.7512000000000008</v>
      </c>
      <c r="U21" s="6">
        <f t="shared" ref="U21:Z21" si="8">T21</f>
        <v>9.7512000000000008</v>
      </c>
      <c r="V21" s="6">
        <f t="shared" si="8"/>
        <v>9.7512000000000008</v>
      </c>
      <c r="W21" s="6">
        <f t="shared" si="8"/>
        <v>9.7512000000000008</v>
      </c>
      <c r="X21" s="6">
        <f t="shared" si="8"/>
        <v>9.7512000000000008</v>
      </c>
      <c r="Y21" s="6">
        <f t="shared" si="8"/>
        <v>9.7512000000000008</v>
      </c>
      <c r="Z21" s="6">
        <f t="shared" si="8"/>
        <v>9.7512000000000008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3.2504000000000133</v>
      </c>
      <c r="U22" s="6">
        <f t="shared" si="9"/>
        <v>17.552160000000015</v>
      </c>
      <c r="V22" s="6">
        <f t="shared" si="9"/>
        <v>24.475512000000037</v>
      </c>
      <c r="W22" s="6">
        <f t="shared" si="9"/>
        <v>50.316192000000058</v>
      </c>
      <c r="X22" s="6">
        <f t="shared" si="9"/>
        <v>73.134000000000015</v>
      </c>
      <c r="Y22" s="6">
        <f t="shared" si="9"/>
        <v>94.00156800000002</v>
      </c>
      <c r="Z22" s="6">
        <f t="shared" si="9"/>
        <v>90.263608000000033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47.39</v>
      </c>
      <c r="S28" t="s">
        <v>32</v>
      </c>
      <c r="T28" s="3">
        <f>Q28</f>
        <v>47.39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-4.4000000000000004</v>
      </c>
      <c r="S29" t="s">
        <v>35</v>
      </c>
      <c r="T29" s="3">
        <f>-1*Q29</f>
        <v>4.4000000000000004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35.1</v>
      </c>
      <c r="J45">
        <f t="shared" si="12"/>
        <v>37.557000000000002</v>
      </c>
      <c r="K45">
        <f t="shared" si="12"/>
        <v>43.524000000000001</v>
      </c>
      <c r="L45">
        <f t="shared" si="12"/>
        <v>40.365000000000002</v>
      </c>
      <c r="M45">
        <f t="shared" si="12"/>
        <v>43.875</v>
      </c>
      <c r="N45">
        <f t="shared" si="12"/>
        <v>41.067</v>
      </c>
      <c r="O45">
        <f t="shared" si="12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16.75</v>
      </c>
      <c r="J46">
        <f t="shared" si="12"/>
        <v>17.085000000000001</v>
      </c>
      <c r="K46">
        <f t="shared" si="12"/>
        <v>17.755000000000003</v>
      </c>
      <c r="L46">
        <f t="shared" si="12"/>
        <v>17.922499999999999</v>
      </c>
      <c r="M46">
        <f t="shared" si="12"/>
        <v>18.09</v>
      </c>
      <c r="N46">
        <f t="shared" si="12"/>
        <v>18.425000000000001</v>
      </c>
      <c r="O46">
        <f t="shared" si="12"/>
        <v>18.760000000000002</v>
      </c>
      <c r="R46">
        <f>HLOOKUP($G46&amp;"_"&amp;R$44,fuel_prices!$B$10:$I$11,2,FALSE)</f>
        <v>15.2</v>
      </c>
      <c r="S46">
        <f>HLOOKUP($G46&amp;"_"&amp;S$44,fuel_prices!$B$10:$I$11,2,FALSE)</f>
        <v>18.3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55</v>
      </c>
      <c r="J47">
        <f t="shared" si="12"/>
        <v>55.55</v>
      </c>
      <c r="K47">
        <f t="shared" si="12"/>
        <v>61.050000000000004</v>
      </c>
      <c r="L47">
        <f t="shared" si="12"/>
        <v>55.55</v>
      </c>
      <c r="M47">
        <f t="shared" si="12"/>
        <v>55.55</v>
      </c>
      <c r="N47">
        <f t="shared" si="12"/>
        <v>57.2</v>
      </c>
      <c r="O47">
        <f t="shared" si="12"/>
        <v>62.699999999999996</v>
      </c>
      <c r="R47">
        <f>HLOOKUP($G47&amp;"_"&amp;R$44,fuel_prices!$B$10:$I$11,2,FALSE)</f>
        <v>50</v>
      </c>
      <c r="S47">
        <f>HLOOKUP($G47&amp;"_"&amp;S$44,fuel_prices!$B$10:$I$11,2,FALSE)</f>
        <v>60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29</v>
      </c>
      <c r="J48">
        <f t="shared" si="12"/>
        <v>27.84</v>
      </c>
      <c r="K48">
        <f t="shared" si="12"/>
        <v>30.16</v>
      </c>
      <c r="L48">
        <f t="shared" si="12"/>
        <v>30.16</v>
      </c>
      <c r="M48">
        <f t="shared" si="12"/>
        <v>28.419999999999998</v>
      </c>
      <c r="N48">
        <f t="shared" si="12"/>
        <v>28.71</v>
      </c>
      <c r="O48">
        <f t="shared" si="12"/>
        <v>29</v>
      </c>
      <c r="R48">
        <f>HLOOKUP($G48&amp;"_"&amp;R$44,fuel_prices!$B$10:$I$11,2,FALSE)</f>
        <v>25</v>
      </c>
      <c r="S48">
        <f>HLOOKUP($G48&amp;"_"&amp;S$44,fuel_prices!$B$10:$I$11,2,FALSE)</f>
        <v>33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82" spans="1:6" x14ac:dyDescent="0.45">
      <c r="A82" t="s">
        <v>146</v>
      </c>
    </row>
    <row r="83" spans="1:6" x14ac:dyDescent="0.45">
      <c r="A83" t="s">
        <v>30</v>
      </c>
      <c r="B83" t="s">
        <v>31</v>
      </c>
      <c r="C83">
        <v>2024</v>
      </c>
      <c r="D83">
        <v>2030</v>
      </c>
      <c r="E83">
        <v>2040</v>
      </c>
      <c r="F83" t="s">
        <v>14</v>
      </c>
    </row>
    <row r="84" spans="1:6" x14ac:dyDescent="0.45">
      <c r="A84" t="s">
        <v>35</v>
      </c>
      <c r="B84" t="s">
        <v>147</v>
      </c>
      <c r="C84">
        <v>1.5049999999999999</v>
      </c>
      <c r="D84">
        <v>2.5049999999999999</v>
      </c>
      <c r="E84">
        <v>3.93</v>
      </c>
      <c r="F84" t="s">
        <v>148</v>
      </c>
    </row>
    <row r="85" spans="1:6" x14ac:dyDescent="0.45">
      <c r="A85" t="s">
        <v>32</v>
      </c>
      <c r="B85" t="s">
        <v>147</v>
      </c>
      <c r="C85">
        <v>10.647</v>
      </c>
      <c r="D85">
        <v>11.752000000000001</v>
      </c>
      <c r="E85">
        <v>13.252000000000001</v>
      </c>
      <c r="F85" t="s">
        <v>148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29.1</v>
      </c>
      <c r="C11">
        <v>41.1</v>
      </c>
      <c r="D11">
        <v>15.2</v>
      </c>
      <c r="E11">
        <v>18.3</v>
      </c>
      <c r="F11">
        <v>50</v>
      </c>
      <c r="G11">
        <v>60</v>
      </c>
      <c r="H11">
        <v>25</v>
      </c>
      <c r="I11">
        <v>33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179.49</v>
      </c>
      <c r="D11">
        <v>122.61</v>
      </c>
      <c r="E11">
        <v>4.5</v>
      </c>
      <c r="F11">
        <v>0</v>
      </c>
      <c r="G11">
        <v>44.83</v>
      </c>
      <c r="H11">
        <v>-0.48</v>
      </c>
      <c r="I11">
        <v>269.94</v>
      </c>
    </row>
    <row r="12" spans="1:9" x14ac:dyDescent="0.45">
      <c r="A12" t="s">
        <v>142</v>
      </c>
      <c r="B12">
        <v>2001</v>
      </c>
      <c r="C12">
        <v>181.93</v>
      </c>
      <c r="D12">
        <v>125.95</v>
      </c>
      <c r="E12">
        <v>4.3899999999999997</v>
      </c>
      <c r="F12">
        <v>0</v>
      </c>
      <c r="G12">
        <v>48.93</v>
      </c>
      <c r="H12">
        <v>-0.55000000000000004</v>
      </c>
      <c r="I12">
        <v>271.89</v>
      </c>
    </row>
    <row r="13" spans="1:9" x14ac:dyDescent="0.45">
      <c r="A13" t="s">
        <v>142</v>
      </c>
      <c r="B13">
        <v>2002</v>
      </c>
      <c r="C13">
        <v>183.71</v>
      </c>
      <c r="D13">
        <v>130.68</v>
      </c>
      <c r="E13">
        <v>4.4400000000000004</v>
      </c>
      <c r="F13">
        <v>0</v>
      </c>
      <c r="G13">
        <v>51.52</v>
      </c>
      <c r="H13">
        <v>-0.92</v>
      </c>
      <c r="I13">
        <v>277.52999999999997</v>
      </c>
    </row>
    <row r="14" spans="1:9" x14ac:dyDescent="0.45">
      <c r="A14" t="s">
        <v>142</v>
      </c>
      <c r="B14">
        <v>2003</v>
      </c>
      <c r="C14">
        <v>185.3</v>
      </c>
      <c r="D14">
        <v>137.6</v>
      </c>
      <c r="E14">
        <v>4.53</v>
      </c>
      <c r="F14">
        <v>0</v>
      </c>
      <c r="G14">
        <v>51.49</v>
      </c>
      <c r="H14">
        <v>-0.52</v>
      </c>
      <c r="I14">
        <v>286.27999999999997</v>
      </c>
    </row>
    <row r="15" spans="1:9" x14ac:dyDescent="0.45">
      <c r="A15" t="s">
        <v>142</v>
      </c>
      <c r="B15">
        <v>2004</v>
      </c>
      <c r="C15">
        <v>185.28</v>
      </c>
      <c r="D15">
        <v>141.66</v>
      </c>
      <c r="E15">
        <v>4.47</v>
      </c>
      <c r="F15">
        <v>0</v>
      </c>
      <c r="G15">
        <v>46.43</v>
      </c>
      <c r="H15">
        <v>-0.79</v>
      </c>
      <c r="I15">
        <v>295.77999999999997</v>
      </c>
    </row>
    <row r="16" spans="1:9" x14ac:dyDescent="0.45">
      <c r="A16" t="s">
        <v>142</v>
      </c>
      <c r="B16">
        <v>2005</v>
      </c>
      <c r="C16">
        <v>185.44</v>
      </c>
      <c r="D16">
        <v>146.13</v>
      </c>
      <c r="E16">
        <v>4.58</v>
      </c>
      <c r="F16">
        <v>0</v>
      </c>
      <c r="G16">
        <v>50.26</v>
      </c>
      <c r="H16">
        <v>-1.1100000000000001</v>
      </c>
      <c r="I16">
        <v>296.83999999999997</v>
      </c>
    </row>
    <row r="17" spans="1:9" x14ac:dyDescent="0.45">
      <c r="A17" t="s">
        <v>142</v>
      </c>
      <c r="B17">
        <v>2006</v>
      </c>
      <c r="C17">
        <v>186.96</v>
      </c>
      <c r="D17">
        <v>151.12</v>
      </c>
      <c r="E17">
        <v>4.38</v>
      </c>
      <c r="F17">
        <v>0</v>
      </c>
      <c r="G17">
        <v>46.6</v>
      </c>
      <c r="H17">
        <v>-1.61</v>
      </c>
      <c r="I17">
        <v>307.69</v>
      </c>
    </row>
    <row r="18" spans="1:9" x14ac:dyDescent="0.45">
      <c r="A18" t="s">
        <v>142</v>
      </c>
      <c r="B18">
        <v>2007</v>
      </c>
      <c r="C18">
        <v>186.6</v>
      </c>
      <c r="D18">
        <v>152.66999999999999</v>
      </c>
      <c r="E18">
        <v>4.41</v>
      </c>
      <c r="F18">
        <v>0</v>
      </c>
      <c r="G18">
        <v>48.93</v>
      </c>
      <c r="H18">
        <v>-2.65</v>
      </c>
      <c r="I18">
        <v>308.22000000000003</v>
      </c>
    </row>
    <row r="19" spans="1:9" x14ac:dyDescent="0.45">
      <c r="A19" t="s">
        <v>142</v>
      </c>
      <c r="B19">
        <v>2008</v>
      </c>
      <c r="C19">
        <v>181.03</v>
      </c>
      <c r="D19">
        <v>156.76</v>
      </c>
      <c r="E19">
        <v>4.55</v>
      </c>
      <c r="F19">
        <v>0</v>
      </c>
      <c r="G19">
        <v>43.43</v>
      </c>
      <c r="H19">
        <v>-3.4</v>
      </c>
      <c r="I19">
        <v>313.52999999999997</v>
      </c>
    </row>
    <row r="20" spans="1:9" x14ac:dyDescent="0.45">
      <c r="A20" t="s">
        <v>142</v>
      </c>
      <c r="B20">
        <v>2009</v>
      </c>
      <c r="C20">
        <v>159.32</v>
      </c>
      <c r="D20">
        <v>158.80000000000001</v>
      </c>
      <c r="E20">
        <v>4.46</v>
      </c>
      <c r="F20">
        <v>0</v>
      </c>
      <c r="G20">
        <v>47.07</v>
      </c>
      <c r="H20">
        <v>-2.11</v>
      </c>
      <c r="I20">
        <v>288.33</v>
      </c>
    </row>
    <row r="21" spans="1:9" x14ac:dyDescent="0.45">
      <c r="A21" t="s">
        <v>142</v>
      </c>
      <c r="B21">
        <v>2010</v>
      </c>
      <c r="C21">
        <v>166.69</v>
      </c>
      <c r="D21">
        <v>160.71</v>
      </c>
      <c r="E21">
        <v>4.58</v>
      </c>
      <c r="F21">
        <v>0.06</v>
      </c>
      <c r="G21">
        <v>45.99</v>
      </c>
      <c r="H21">
        <v>-1.83</v>
      </c>
      <c r="I21">
        <v>298.77</v>
      </c>
    </row>
    <row r="22" spans="1:9" x14ac:dyDescent="0.45">
      <c r="A22" t="s">
        <v>142</v>
      </c>
      <c r="B22">
        <v>2011</v>
      </c>
      <c r="C22">
        <v>167</v>
      </c>
      <c r="D22">
        <v>162.88999999999999</v>
      </c>
      <c r="E22">
        <v>4.7</v>
      </c>
      <c r="F22">
        <v>0.06</v>
      </c>
      <c r="G22">
        <v>47.52</v>
      </c>
      <c r="H22">
        <v>-1.79</v>
      </c>
      <c r="I22">
        <v>300.64999999999998</v>
      </c>
    </row>
    <row r="23" spans="1:9" x14ac:dyDescent="0.45">
      <c r="A23" t="s">
        <v>142</v>
      </c>
      <c r="B23">
        <v>2012</v>
      </c>
      <c r="C23">
        <v>159.37</v>
      </c>
      <c r="D23">
        <v>165.56</v>
      </c>
      <c r="E23">
        <v>4.8</v>
      </c>
      <c r="F23">
        <v>0.06</v>
      </c>
      <c r="G23">
        <v>45.41</v>
      </c>
      <c r="H23">
        <v>-2.2999999999999998</v>
      </c>
      <c r="I23">
        <v>297.3</v>
      </c>
    </row>
    <row r="24" spans="1:9" x14ac:dyDescent="0.45">
      <c r="A24" t="s">
        <v>142</v>
      </c>
      <c r="B24">
        <v>2013</v>
      </c>
      <c r="C24">
        <v>153.41</v>
      </c>
      <c r="D24">
        <v>161.51</v>
      </c>
      <c r="E24">
        <v>5.03</v>
      </c>
      <c r="F24">
        <v>7.0000000000000007E-2</v>
      </c>
      <c r="G24">
        <v>44.34</v>
      </c>
      <c r="H24">
        <v>-2.2000000000000002</v>
      </c>
      <c r="I24">
        <v>287.91000000000003</v>
      </c>
    </row>
    <row r="25" spans="1:9" x14ac:dyDescent="0.45">
      <c r="A25" t="s">
        <v>142</v>
      </c>
      <c r="B25">
        <v>2014</v>
      </c>
      <c r="C25">
        <v>149.13999999999999</v>
      </c>
      <c r="D25">
        <v>157.94999999999999</v>
      </c>
      <c r="E25">
        <v>4.97</v>
      </c>
      <c r="F25">
        <v>7.0000000000000007E-2</v>
      </c>
      <c r="G25">
        <v>46.75</v>
      </c>
      <c r="H25">
        <v>-3.03</v>
      </c>
      <c r="I25">
        <v>278.12</v>
      </c>
    </row>
    <row r="26" spans="1:9" x14ac:dyDescent="0.45">
      <c r="A26" t="s">
        <v>142</v>
      </c>
      <c r="B26">
        <v>2015</v>
      </c>
      <c r="C26">
        <v>149.07</v>
      </c>
      <c r="D26">
        <v>163.76</v>
      </c>
      <c r="E26">
        <v>5.1100000000000003</v>
      </c>
      <c r="F26">
        <v>7.0000000000000007E-2</v>
      </c>
      <c r="G26">
        <v>50.85</v>
      </c>
      <c r="H26">
        <v>-4.47</v>
      </c>
      <c r="I26">
        <v>281.56</v>
      </c>
    </row>
    <row r="27" spans="1:9" x14ac:dyDescent="0.45">
      <c r="A27" t="s">
        <v>142</v>
      </c>
      <c r="B27">
        <v>2016</v>
      </c>
      <c r="C27">
        <v>148.03</v>
      </c>
      <c r="D27">
        <v>161.35</v>
      </c>
      <c r="E27">
        <v>5.45</v>
      </c>
      <c r="F27">
        <v>7.0000000000000007E-2</v>
      </c>
      <c r="G27">
        <v>43.18</v>
      </c>
      <c r="H27">
        <v>-6.15</v>
      </c>
      <c r="I27">
        <v>287.94</v>
      </c>
    </row>
    <row r="28" spans="1:9" x14ac:dyDescent="0.45">
      <c r="A28" t="s">
        <v>142</v>
      </c>
      <c r="B28">
        <v>2017</v>
      </c>
      <c r="C28">
        <v>150.85</v>
      </c>
      <c r="D28">
        <v>164.66</v>
      </c>
      <c r="E28">
        <v>5.51</v>
      </c>
      <c r="F28">
        <v>0.08</v>
      </c>
      <c r="G28">
        <v>42.89</v>
      </c>
      <c r="H28">
        <v>-5.13</v>
      </c>
      <c r="I28">
        <v>294</v>
      </c>
    </row>
    <row r="29" spans="1:9" x14ac:dyDescent="0.45">
      <c r="A29" t="s">
        <v>142</v>
      </c>
      <c r="B29">
        <v>2018</v>
      </c>
      <c r="C29">
        <v>150.53</v>
      </c>
      <c r="D29">
        <v>165.11</v>
      </c>
      <c r="E29">
        <v>5.7</v>
      </c>
      <c r="F29">
        <v>0.1</v>
      </c>
      <c r="G29">
        <v>47.17</v>
      </c>
      <c r="H29">
        <v>-3.27</v>
      </c>
      <c r="I29">
        <v>287.99</v>
      </c>
    </row>
    <row r="30" spans="1:9" x14ac:dyDescent="0.45">
      <c r="A30" t="s">
        <v>142</v>
      </c>
      <c r="B30">
        <v>2019</v>
      </c>
      <c r="C30">
        <v>153.99</v>
      </c>
      <c r="D30">
        <v>160.63999999999999</v>
      </c>
      <c r="E30">
        <v>5.55</v>
      </c>
      <c r="F30">
        <v>0.14000000000000001</v>
      </c>
      <c r="G30">
        <v>43.97</v>
      </c>
      <c r="H30">
        <v>-5.83</v>
      </c>
      <c r="I30">
        <v>292.02</v>
      </c>
    </row>
    <row r="31" spans="1:9" x14ac:dyDescent="0.45">
      <c r="A31" t="s">
        <v>142</v>
      </c>
      <c r="B31">
        <v>2020</v>
      </c>
      <c r="C31">
        <v>149.59</v>
      </c>
      <c r="D31">
        <v>147.62</v>
      </c>
      <c r="E31">
        <v>4.6399999999999997</v>
      </c>
      <c r="F31">
        <v>0.19</v>
      </c>
      <c r="G31">
        <v>39.79</v>
      </c>
      <c r="H31">
        <v>-7.59</v>
      </c>
      <c r="I31">
        <v>278.58999999999997</v>
      </c>
    </row>
    <row r="32" spans="1:9" x14ac:dyDescent="0.45">
      <c r="A32" t="s">
        <v>142</v>
      </c>
      <c r="B32">
        <v>2021</v>
      </c>
      <c r="C32">
        <v>151.62</v>
      </c>
      <c r="D32">
        <v>165.79</v>
      </c>
      <c r="E32">
        <v>5.18</v>
      </c>
      <c r="F32">
        <v>0.44</v>
      </c>
      <c r="G32">
        <v>46.57</v>
      </c>
      <c r="H32">
        <v>-3.78</v>
      </c>
      <c r="I32">
        <v>286.98</v>
      </c>
    </row>
    <row r="33" spans="1:9" x14ac:dyDescent="0.45">
      <c r="A33" t="s">
        <v>142</v>
      </c>
      <c r="B33">
        <v>2022</v>
      </c>
      <c r="C33">
        <v>146.43</v>
      </c>
      <c r="D33">
        <v>165.99</v>
      </c>
      <c r="E33">
        <v>5.58</v>
      </c>
      <c r="F33">
        <v>0.6</v>
      </c>
      <c r="G33">
        <v>47.39</v>
      </c>
      <c r="H33">
        <v>-4.4000000000000004</v>
      </c>
      <c r="I33">
        <v>282.05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13" x14ac:dyDescent="0.45">
      <c r="A10" t="str">
        <f>IFERROR(Veda!D5,"ts_12t")</f>
        <v>ts_annual</v>
      </c>
      <c r="B10" s="15"/>
      <c r="C10" s="15" t="s">
        <v>236</v>
      </c>
      <c r="D10" t="s">
        <v>125</v>
      </c>
      <c r="F10" t="s">
        <v>236</v>
      </c>
      <c r="G10" t="s">
        <v>127</v>
      </c>
      <c r="I10" t="s">
        <v>236</v>
      </c>
      <c r="J10" t="s">
        <v>107</v>
      </c>
      <c r="L10" t="s">
        <v>236</v>
      </c>
      <c r="M10" t="s">
        <v>132</v>
      </c>
    </row>
    <row r="11" spans="1:13" x14ac:dyDescent="0.45">
      <c r="B11" s="15"/>
      <c r="C11" s="15" t="s">
        <v>237</v>
      </c>
      <c r="D11" t="s">
        <v>238</v>
      </c>
      <c r="F11" t="s">
        <v>237</v>
      </c>
      <c r="G11" t="s">
        <v>286</v>
      </c>
      <c r="I11" t="s">
        <v>237</v>
      </c>
      <c r="J11" t="s">
        <v>290</v>
      </c>
      <c r="L11" t="s">
        <v>237</v>
      </c>
      <c r="M11" t="s">
        <v>309</v>
      </c>
    </row>
    <row r="12" spans="1:13" x14ac:dyDescent="0.45">
      <c r="B12" s="15"/>
      <c r="C12" s="15" t="s">
        <v>239</v>
      </c>
      <c r="D12" t="s">
        <v>240</v>
      </c>
      <c r="F12" t="s">
        <v>239</v>
      </c>
      <c r="G12" t="s">
        <v>287</v>
      </c>
      <c r="I12" t="s">
        <v>239</v>
      </c>
      <c r="J12" t="s">
        <v>290</v>
      </c>
      <c r="L12" t="s">
        <v>239</v>
      </c>
      <c r="M12" t="s">
        <v>310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7E46BB-4BF6-4A32-A144-C171A47D7C3E}">
  <dimension ref="A9:AN22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125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162</v>
      </c>
      <c r="L10" t="s">
        <v>30</v>
      </c>
      <c r="N10" t="s">
        <v>13</v>
      </c>
      <c r="O10" t="s">
        <v>122</v>
      </c>
      <c r="P10" t="s">
        <v>162</v>
      </c>
      <c r="Q10" t="s">
        <v>30</v>
      </c>
      <c r="S10" t="s">
        <v>13</v>
      </c>
      <c r="T10" t="s">
        <v>122</v>
      </c>
      <c r="U10" t="s">
        <v>162</v>
      </c>
      <c r="V10" t="s">
        <v>30</v>
      </c>
      <c r="X10" t="s">
        <v>235</v>
      </c>
      <c r="Y10" t="s">
        <v>162</v>
      </c>
      <c r="Z10" t="s">
        <v>122</v>
      </c>
      <c r="AA10" t="s">
        <v>13</v>
      </c>
      <c r="AC10" t="s">
        <v>13</v>
      </c>
      <c r="AD10" t="s">
        <v>122</v>
      </c>
      <c r="AE10" t="s">
        <v>162</v>
      </c>
      <c r="AG10" t="s">
        <v>13</v>
      </c>
      <c r="AH10" t="s">
        <v>122</v>
      </c>
      <c r="AI10" t="s">
        <v>241</v>
      </c>
      <c r="AK10" t="s">
        <v>47</v>
      </c>
      <c r="AL10" t="s">
        <v>122</v>
      </c>
      <c r="AM10" t="s">
        <v>242</v>
      </c>
      <c r="AN10" t="s">
        <v>243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157</v>
      </c>
      <c r="G11" t="s">
        <v>155</v>
      </c>
      <c r="I11" t="s">
        <v>163</v>
      </c>
      <c r="J11" t="s">
        <v>164</v>
      </c>
      <c r="K11">
        <v>7.023803195402889E-2</v>
      </c>
      <c r="L11" t="s">
        <v>165</v>
      </c>
      <c r="N11" t="s">
        <v>197</v>
      </c>
      <c r="O11" t="s">
        <v>164</v>
      </c>
      <c r="P11">
        <v>0.28754073585432094</v>
      </c>
      <c r="Q11" t="s">
        <v>165</v>
      </c>
      <c r="S11" t="s">
        <v>216</v>
      </c>
      <c r="T11" t="s">
        <v>164</v>
      </c>
      <c r="U11">
        <v>0.25848644486758321</v>
      </c>
      <c r="V11" t="s">
        <v>165</v>
      </c>
      <c r="X11">
        <v>0.27762557077625571</v>
      </c>
      <c r="Y11">
        <v>0.15387812942843648</v>
      </c>
      <c r="Z11" t="s">
        <v>164</v>
      </c>
      <c r="AA11" t="s">
        <v>25</v>
      </c>
      <c r="AC11" t="s">
        <v>22</v>
      </c>
      <c r="AD11" t="s">
        <v>164</v>
      </c>
      <c r="AE11">
        <v>0.2313419026170857</v>
      </c>
      <c r="AG11" t="s">
        <v>97</v>
      </c>
      <c r="AH11" t="s">
        <v>164</v>
      </c>
      <c r="AI11">
        <v>0.39943788609404285</v>
      </c>
      <c r="AK11">
        <v>2020</v>
      </c>
      <c r="AL11" t="s">
        <v>154</v>
      </c>
      <c r="AM11">
        <v>0.27238569604086843</v>
      </c>
      <c r="AN11" t="s">
        <v>244</v>
      </c>
    </row>
    <row r="12" spans="1:40" x14ac:dyDescent="0.45">
      <c r="C12" t="s">
        <v>158</v>
      </c>
      <c r="E12" t="s">
        <v>159</v>
      </c>
      <c r="G12" t="s">
        <v>155</v>
      </c>
      <c r="I12" t="s">
        <v>163</v>
      </c>
      <c r="J12" t="s">
        <v>166</v>
      </c>
      <c r="K12">
        <v>0.75814626018045217</v>
      </c>
      <c r="L12" t="s">
        <v>165</v>
      </c>
      <c r="N12" t="s">
        <v>197</v>
      </c>
      <c r="O12" t="s">
        <v>166</v>
      </c>
      <c r="P12">
        <v>0.23232172211242461</v>
      </c>
      <c r="Q12" t="s">
        <v>165</v>
      </c>
      <c r="S12" t="s">
        <v>216</v>
      </c>
      <c r="T12" t="s">
        <v>166</v>
      </c>
      <c r="U12">
        <v>0.27265159804536832</v>
      </c>
      <c r="V12" t="s">
        <v>165</v>
      </c>
      <c r="X12">
        <v>0.31232876712328766</v>
      </c>
      <c r="Y12">
        <v>0.4280774681152576</v>
      </c>
      <c r="Z12" t="s">
        <v>166</v>
      </c>
      <c r="AA12" t="s">
        <v>25</v>
      </c>
      <c r="AC12" t="s">
        <v>22</v>
      </c>
      <c r="AD12" t="s">
        <v>166</v>
      </c>
      <c r="AE12">
        <v>0.34494052590378949</v>
      </c>
      <c r="AG12" t="s">
        <v>97</v>
      </c>
      <c r="AH12" t="s">
        <v>166</v>
      </c>
      <c r="AI12">
        <v>0.19907564397556121</v>
      </c>
      <c r="AK12">
        <v>2020</v>
      </c>
      <c r="AL12" t="s">
        <v>158</v>
      </c>
      <c r="AM12">
        <v>0.2266666666666666</v>
      </c>
      <c r="AN12" t="s">
        <v>244</v>
      </c>
    </row>
    <row r="13" spans="1:40" x14ac:dyDescent="0.45">
      <c r="C13" t="s">
        <v>160</v>
      </c>
      <c r="E13" t="s">
        <v>161</v>
      </c>
      <c r="G13" t="s">
        <v>155</v>
      </c>
      <c r="I13" t="s">
        <v>163</v>
      </c>
      <c r="J13" t="s">
        <v>167</v>
      </c>
      <c r="K13">
        <v>7.2630769158798403E-2</v>
      </c>
      <c r="L13" t="s">
        <v>165</v>
      </c>
      <c r="N13" t="s">
        <v>197</v>
      </c>
      <c r="O13" t="s">
        <v>167</v>
      </c>
      <c r="P13">
        <v>0.22198455221476218</v>
      </c>
      <c r="Q13" t="s">
        <v>165</v>
      </c>
      <c r="S13" t="s">
        <v>216</v>
      </c>
      <c r="T13" t="s">
        <v>167</v>
      </c>
      <c r="U13">
        <v>0.26605970514280936</v>
      </c>
      <c r="V13" t="s">
        <v>165</v>
      </c>
      <c r="X13">
        <v>0.24292237442922374</v>
      </c>
      <c r="Y13">
        <v>0.25092111478507323</v>
      </c>
      <c r="Z13" t="s">
        <v>167</v>
      </c>
      <c r="AA13" t="s">
        <v>25</v>
      </c>
      <c r="AC13" t="s">
        <v>22</v>
      </c>
      <c r="AD13" t="s">
        <v>167</v>
      </c>
      <c r="AE13">
        <v>0.2497015680449729</v>
      </c>
      <c r="AG13" t="s">
        <v>97</v>
      </c>
      <c r="AH13" t="s">
        <v>167</v>
      </c>
      <c r="AI13">
        <v>0.27107344605999706</v>
      </c>
      <c r="AK13">
        <v>2020</v>
      </c>
      <c r="AL13" t="s">
        <v>160</v>
      </c>
      <c r="AM13">
        <v>0.23154121863799279</v>
      </c>
      <c r="AN13" t="s">
        <v>244</v>
      </c>
    </row>
    <row r="14" spans="1:40" x14ac:dyDescent="0.45">
      <c r="I14" t="s">
        <v>163</v>
      </c>
      <c r="J14" t="s">
        <v>168</v>
      </c>
      <c r="K14">
        <v>4.2059350460444946E-4</v>
      </c>
      <c r="L14" t="s">
        <v>165</v>
      </c>
      <c r="N14" t="s">
        <v>197</v>
      </c>
      <c r="O14" t="s">
        <v>168</v>
      </c>
      <c r="P14">
        <v>5.8335678171377227E-2</v>
      </c>
      <c r="Q14" t="s">
        <v>165</v>
      </c>
      <c r="S14" t="s">
        <v>216</v>
      </c>
      <c r="T14" t="s">
        <v>168</v>
      </c>
      <c r="U14">
        <v>4.0715165441333356E-2</v>
      </c>
      <c r="V14" t="s">
        <v>165</v>
      </c>
      <c r="X14">
        <v>2.7397260273972601E-2</v>
      </c>
      <c r="Y14">
        <v>1.5185341719911493E-2</v>
      </c>
      <c r="Z14" t="s">
        <v>168</v>
      </c>
      <c r="AA14" t="s">
        <v>25</v>
      </c>
      <c r="AC14" t="s">
        <v>22</v>
      </c>
      <c r="AD14" t="s">
        <v>168</v>
      </c>
      <c r="AE14">
        <v>2.3024850512872549E-2</v>
      </c>
      <c r="AG14" t="s">
        <v>97</v>
      </c>
      <c r="AH14" t="s">
        <v>168</v>
      </c>
      <c r="AI14">
        <v>0.28935153694227456</v>
      </c>
      <c r="AK14">
        <v>2021</v>
      </c>
      <c r="AL14" t="s">
        <v>154</v>
      </c>
      <c r="AM14">
        <v>0.26050994217377915</v>
      </c>
      <c r="AN14" t="s">
        <v>244</v>
      </c>
    </row>
    <row r="15" spans="1:40" x14ac:dyDescent="0.45">
      <c r="I15" t="s">
        <v>163</v>
      </c>
      <c r="J15" t="s">
        <v>169</v>
      </c>
      <c r="K15">
        <v>4.5688563075420935E-2</v>
      </c>
      <c r="L15" t="s">
        <v>165</v>
      </c>
      <c r="N15" t="s">
        <v>197</v>
      </c>
      <c r="O15" t="s">
        <v>169</v>
      </c>
      <c r="P15">
        <v>5.881109308375871E-2</v>
      </c>
      <c r="Q15" t="s">
        <v>165</v>
      </c>
      <c r="S15" t="s">
        <v>216</v>
      </c>
      <c r="T15" t="s">
        <v>169</v>
      </c>
      <c r="U15">
        <v>4.4936954258427031E-2</v>
      </c>
      <c r="V15" t="s">
        <v>165</v>
      </c>
      <c r="X15">
        <v>3.0821917808219176E-2</v>
      </c>
      <c r="Y15">
        <v>4.2244486985058304E-2</v>
      </c>
      <c r="Z15" t="s">
        <v>169</v>
      </c>
      <c r="AA15" t="s">
        <v>25</v>
      </c>
      <c r="AC15" t="s">
        <v>22</v>
      </c>
      <c r="AD15" t="s">
        <v>169</v>
      </c>
      <c r="AE15">
        <v>3.406078753258359E-2</v>
      </c>
      <c r="AG15" t="s">
        <v>97</v>
      </c>
      <c r="AH15" t="s">
        <v>169</v>
      </c>
      <c r="AI15">
        <v>0.12348475815032312</v>
      </c>
      <c r="AK15">
        <v>2021</v>
      </c>
      <c r="AL15" t="s">
        <v>158</v>
      </c>
      <c r="AM15">
        <v>0.19123988422234031</v>
      </c>
      <c r="AN15" t="s">
        <v>244</v>
      </c>
    </row>
    <row r="16" spans="1:40" x14ac:dyDescent="0.45">
      <c r="I16" t="s">
        <v>163</v>
      </c>
      <c r="J16" t="s">
        <v>170</v>
      </c>
      <c r="K16">
        <v>0</v>
      </c>
      <c r="L16" t="s">
        <v>165</v>
      </c>
      <c r="N16" t="s">
        <v>197</v>
      </c>
      <c r="O16" t="s">
        <v>170</v>
      </c>
      <c r="P16">
        <v>4.871794349753146E-2</v>
      </c>
      <c r="Q16" t="s">
        <v>165</v>
      </c>
      <c r="S16" t="s">
        <v>216</v>
      </c>
      <c r="T16" t="s">
        <v>170</v>
      </c>
      <c r="U16">
        <v>4.120442756404627E-2</v>
      </c>
      <c r="V16" t="s">
        <v>165</v>
      </c>
      <c r="X16">
        <v>2.3972602739726026E-2</v>
      </c>
      <c r="Y16">
        <v>2.4761952116948018E-2</v>
      </c>
      <c r="Z16" t="s">
        <v>170</v>
      </c>
      <c r="AA16" t="s">
        <v>25</v>
      </c>
      <c r="AC16" t="s">
        <v>22</v>
      </c>
      <c r="AD16" t="s">
        <v>170</v>
      </c>
      <c r="AE16">
        <v>2.5541021090799317E-2</v>
      </c>
      <c r="AG16" t="s">
        <v>97</v>
      </c>
      <c r="AH16" t="s">
        <v>170</v>
      </c>
      <c r="AI16">
        <v>0.17268645658842541</v>
      </c>
      <c r="AK16">
        <v>2021</v>
      </c>
      <c r="AL16" t="s">
        <v>160</v>
      </c>
      <c r="AM16">
        <v>0.1879290928526921</v>
      </c>
      <c r="AN16" t="s">
        <v>244</v>
      </c>
    </row>
    <row r="17" spans="9:40" x14ac:dyDescent="0.45">
      <c r="I17" t="s">
        <v>163</v>
      </c>
      <c r="J17" t="s">
        <v>171</v>
      </c>
      <c r="K17">
        <v>0</v>
      </c>
      <c r="L17" t="s">
        <v>165</v>
      </c>
      <c r="N17" t="s">
        <v>197</v>
      </c>
      <c r="O17" t="s">
        <v>171</v>
      </c>
      <c r="P17">
        <v>3.6326559240717905E-2</v>
      </c>
      <c r="Q17" t="s">
        <v>165</v>
      </c>
      <c r="S17" t="s">
        <v>216</v>
      </c>
      <c r="T17" t="s">
        <v>171</v>
      </c>
      <c r="U17">
        <v>2.5495413953000409E-2</v>
      </c>
      <c r="V17" t="s">
        <v>165</v>
      </c>
      <c r="X17">
        <v>2.8310502283105023E-2</v>
      </c>
      <c r="Y17">
        <v>1.5691519777241876E-2</v>
      </c>
      <c r="Z17" t="s">
        <v>171</v>
      </c>
      <c r="AA17" t="s">
        <v>25</v>
      </c>
      <c r="AC17" t="s">
        <v>22</v>
      </c>
      <c r="AD17" t="s">
        <v>171</v>
      </c>
      <c r="AE17">
        <v>2.5278796395052556E-2</v>
      </c>
      <c r="AG17" t="s">
        <v>97</v>
      </c>
      <c r="AH17" t="s">
        <v>171</v>
      </c>
      <c r="AI17">
        <v>0.3018567715645406</v>
      </c>
      <c r="AK17">
        <v>2022</v>
      </c>
      <c r="AL17" t="s">
        <v>154</v>
      </c>
      <c r="AM17">
        <v>0.15964525163313567</v>
      </c>
      <c r="AN17" t="s">
        <v>244</v>
      </c>
    </row>
    <row r="18" spans="9:40" x14ac:dyDescent="0.45">
      <c r="I18" t="s">
        <v>163</v>
      </c>
      <c r="J18" t="s">
        <v>172</v>
      </c>
      <c r="K18">
        <v>5.2875782126695518E-2</v>
      </c>
      <c r="L18" t="s">
        <v>165</v>
      </c>
      <c r="N18" t="s">
        <v>197</v>
      </c>
      <c r="O18" t="s">
        <v>172</v>
      </c>
      <c r="P18">
        <v>3.4124574659294221E-2</v>
      </c>
      <c r="Q18" t="s">
        <v>165</v>
      </c>
      <c r="S18" t="s">
        <v>216</v>
      </c>
      <c r="T18" t="s">
        <v>172</v>
      </c>
      <c r="U18">
        <v>3.0532724019136037E-2</v>
      </c>
      <c r="V18" t="s">
        <v>165</v>
      </c>
      <c r="X18">
        <v>3.1849315068493152E-2</v>
      </c>
      <c r="Y18">
        <v>4.365263655122692E-2</v>
      </c>
      <c r="Z18" t="s">
        <v>172</v>
      </c>
      <c r="AA18" t="s">
        <v>25</v>
      </c>
      <c r="AC18" t="s">
        <v>22</v>
      </c>
      <c r="AD18" t="s">
        <v>172</v>
      </c>
      <c r="AE18">
        <v>3.8193872062142351E-2</v>
      </c>
      <c r="AG18" t="s">
        <v>97</v>
      </c>
      <c r="AH18" t="s">
        <v>172</v>
      </c>
      <c r="AI18">
        <v>7.9304685283978271E-2</v>
      </c>
      <c r="AK18">
        <v>2022</v>
      </c>
      <c r="AL18" t="s">
        <v>158</v>
      </c>
      <c r="AM18">
        <v>0.15407642190526499</v>
      </c>
      <c r="AN18" t="s">
        <v>244</v>
      </c>
    </row>
    <row r="19" spans="9:40" x14ac:dyDescent="0.45">
      <c r="I19" t="s">
        <v>163</v>
      </c>
      <c r="J19" t="s">
        <v>173</v>
      </c>
      <c r="K19">
        <v>0</v>
      </c>
      <c r="L19" t="s">
        <v>165</v>
      </c>
      <c r="N19" t="s">
        <v>197</v>
      </c>
      <c r="O19" t="s">
        <v>173</v>
      </c>
      <c r="P19">
        <v>2.1837141165810755E-2</v>
      </c>
      <c r="Q19" t="s">
        <v>165</v>
      </c>
      <c r="S19" t="s">
        <v>216</v>
      </c>
      <c r="T19" t="s">
        <v>173</v>
      </c>
      <c r="U19">
        <v>1.9917566708296815E-2</v>
      </c>
      <c r="V19" t="s">
        <v>165</v>
      </c>
      <c r="X19">
        <v>2.4771689497716895E-2</v>
      </c>
      <c r="Y19">
        <v>2.5587350520846285E-2</v>
      </c>
      <c r="Z19" t="s">
        <v>173</v>
      </c>
      <c r="AA19" t="s">
        <v>25</v>
      </c>
      <c r="AC19" t="s">
        <v>22</v>
      </c>
      <c r="AD19" t="s">
        <v>173</v>
      </c>
      <c r="AE19">
        <v>2.7916675840701639E-2</v>
      </c>
      <c r="AG19" t="s">
        <v>97</v>
      </c>
      <c r="AH19" t="s">
        <v>173</v>
      </c>
      <c r="AI19">
        <v>0.15671262134874397</v>
      </c>
      <c r="AK19">
        <v>2022</v>
      </c>
      <c r="AL19" t="s">
        <v>160</v>
      </c>
      <c r="AM19">
        <v>0.15407642190526499</v>
      </c>
      <c r="AN19" t="s">
        <v>244</v>
      </c>
    </row>
    <row r="20" spans="9:40" x14ac:dyDescent="0.45">
      <c r="I20" t="s">
        <v>174</v>
      </c>
      <c r="J20" t="s">
        <v>164</v>
      </c>
      <c r="K20">
        <v>8.1487234964484095E-2</v>
      </c>
      <c r="L20" t="s">
        <v>165</v>
      </c>
      <c r="N20" t="s">
        <v>198</v>
      </c>
      <c r="O20" t="s">
        <v>164</v>
      </c>
      <c r="P20">
        <v>0.24907980521604162</v>
      </c>
      <c r="Q20" t="s">
        <v>165</v>
      </c>
      <c r="S20" t="s">
        <v>217</v>
      </c>
      <c r="T20" t="s">
        <v>164</v>
      </c>
      <c r="U20">
        <v>0.26797929989543628</v>
      </c>
      <c r="V20" t="s">
        <v>165</v>
      </c>
      <c r="AC20" t="s">
        <v>19</v>
      </c>
      <c r="AD20" t="s">
        <v>164</v>
      </c>
      <c r="AE20">
        <v>0.27409061223624648</v>
      </c>
      <c r="AK20">
        <v>2025</v>
      </c>
      <c r="AL20" t="s">
        <v>154</v>
      </c>
      <c r="AM20">
        <v>0.27154</v>
      </c>
      <c r="AN20" t="s">
        <v>244</v>
      </c>
    </row>
    <row r="21" spans="9:40" x14ac:dyDescent="0.45">
      <c r="I21" t="s">
        <v>174</v>
      </c>
      <c r="J21" t="s">
        <v>166</v>
      </c>
      <c r="K21">
        <v>0.75223280223762845</v>
      </c>
      <c r="L21" t="s">
        <v>165</v>
      </c>
      <c r="N21" t="s">
        <v>198</v>
      </c>
      <c r="O21" t="s">
        <v>166</v>
      </c>
      <c r="P21">
        <v>0.29147126176490701</v>
      </c>
      <c r="Q21" t="s">
        <v>165</v>
      </c>
      <c r="S21" t="s">
        <v>217</v>
      </c>
      <c r="T21" t="s">
        <v>166</v>
      </c>
      <c r="U21">
        <v>0.25797394056653267</v>
      </c>
      <c r="V21" t="s">
        <v>165</v>
      </c>
      <c r="AC21" t="s">
        <v>19</v>
      </c>
      <c r="AD21" t="s">
        <v>166</v>
      </c>
      <c r="AE21">
        <v>0.31512267741200173</v>
      </c>
      <c r="AK21">
        <v>2025</v>
      </c>
      <c r="AL21" t="s">
        <v>158</v>
      </c>
      <c r="AM21">
        <v>0.25230000000000002</v>
      </c>
      <c r="AN21" t="s">
        <v>244</v>
      </c>
    </row>
    <row r="22" spans="9:40" x14ac:dyDescent="0.45">
      <c r="I22" t="s">
        <v>174</v>
      </c>
      <c r="J22" t="s">
        <v>167</v>
      </c>
      <c r="K22">
        <v>7.5991190349164572E-2</v>
      </c>
      <c r="L22" t="s">
        <v>165</v>
      </c>
      <c r="N22" t="s">
        <v>198</v>
      </c>
      <c r="O22" t="s">
        <v>167</v>
      </c>
      <c r="P22">
        <v>0.23140739270603336</v>
      </c>
      <c r="Q22" t="s">
        <v>165</v>
      </c>
      <c r="S22" t="s">
        <v>217</v>
      </c>
      <c r="T22" t="s">
        <v>167</v>
      </c>
      <c r="U22">
        <v>0.24261240160641204</v>
      </c>
      <c r="V22" t="s">
        <v>165</v>
      </c>
      <c r="AC22" t="s">
        <v>19</v>
      </c>
      <c r="AD22" t="s">
        <v>167</v>
      </c>
      <c r="AE22">
        <v>0.24360939428227799</v>
      </c>
      <c r="AK22">
        <v>2025</v>
      </c>
      <c r="AL22" t="s">
        <v>160</v>
      </c>
      <c r="AM22">
        <v>0.24490000000000001</v>
      </c>
      <c r="AN22" t="s">
        <v>244</v>
      </c>
    </row>
    <row r="23" spans="9:40" x14ac:dyDescent="0.45">
      <c r="I23" t="s">
        <v>174</v>
      </c>
      <c r="J23" t="s">
        <v>168</v>
      </c>
      <c r="K23">
        <v>8.3895011923541558E-4</v>
      </c>
      <c r="L23" t="s">
        <v>165</v>
      </c>
      <c r="N23" t="s">
        <v>198</v>
      </c>
      <c r="O23" t="s">
        <v>168</v>
      </c>
      <c r="P23">
        <v>4.7797415377778971E-2</v>
      </c>
      <c r="Q23" t="s">
        <v>165</v>
      </c>
      <c r="S23" t="s">
        <v>217</v>
      </c>
      <c r="T23" t="s">
        <v>168</v>
      </c>
      <c r="U23">
        <v>4.9227037176705492E-2</v>
      </c>
      <c r="V23" t="s">
        <v>165</v>
      </c>
      <c r="AC23" t="s">
        <v>19</v>
      </c>
      <c r="AD23" t="s">
        <v>168</v>
      </c>
      <c r="AE23">
        <v>2.7037206096020287E-2</v>
      </c>
      <c r="AK23">
        <v>2026</v>
      </c>
      <c r="AL23" t="s">
        <v>154</v>
      </c>
      <c r="AM23">
        <v>0.20585000000000001</v>
      </c>
      <c r="AN23" t="s">
        <v>244</v>
      </c>
    </row>
    <row r="24" spans="9:40" x14ac:dyDescent="0.45">
      <c r="I24" t="s">
        <v>174</v>
      </c>
      <c r="J24" t="s">
        <v>169</v>
      </c>
      <c r="K24">
        <v>4.4409699561454234E-2</v>
      </c>
      <c r="L24" t="s">
        <v>165</v>
      </c>
      <c r="N24" t="s">
        <v>198</v>
      </c>
      <c r="O24" t="s">
        <v>169</v>
      </c>
      <c r="P24">
        <v>5.2671286582686494E-2</v>
      </c>
      <c r="Q24" t="s">
        <v>165</v>
      </c>
      <c r="S24" t="s">
        <v>217</v>
      </c>
      <c r="T24" t="s">
        <v>169</v>
      </c>
      <c r="U24">
        <v>5.3918557422864076E-2</v>
      </c>
      <c r="V24" t="s">
        <v>165</v>
      </c>
      <c r="AC24" t="s">
        <v>19</v>
      </c>
      <c r="AD24" t="s">
        <v>169</v>
      </c>
      <c r="AE24">
        <v>3.1069123769593414E-2</v>
      </c>
      <c r="AK24">
        <v>2026</v>
      </c>
      <c r="AL24" t="s">
        <v>158</v>
      </c>
      <c r="AM24">
        <v>0.18440000000000001</v>
      </c>
      <c r="AN24" t="s">
        <v>244</v>
      </c>
    </row>
    <row r="25" spans="9:40" x14ac:dyDescent="0.45">
      <c r="I25" t="s">
        <v>174</v>
      </c>
      <c r="J25" t="s">
        <v>170</v>
      </c>
      <c r="K25">
        <v>0</v>
      </c>
      <c r="L25" t="s">
        <v>165</v>
      </c>
      <c r="N25" t="s">
        <v>198</v>
      </c>
      <c r="O25" t="s">
        <v>170</v>
      </c>
      <c r="P25">
        <v>4.4988093150645683E-2</v>
      </c>
      <c r="Q25" t="s">
        <v>165</v>
      </c>
      <c r="S25" t="s">
        <v>217</v>
      </c>
      <c r="T25" t="s">
        <v>170</v>
      </c>
      <c r="U25">
        <v>4.2932794971523185E-2</v>
      </c>
      <c r="V25" t="s">
        <v>165</v>
      </c>
      <c r="AC25" t="s">
        <v>19</v>
      </c>
      <c r="AD25" t="s">
        <v>170</v>
      </c>
      <c r="AE25">
        <v>2.4088859740237983E-2</v>
      </c>
      <c r="AK25">
        <v>2026</v>
      </c>
      <c r="AL25" t="s">
        <v>160</v>
      </c>
      <c r="AM25">
        <v>0.15559999999999999</v>
      </c>
      <c r="AN25" t="s">
        <v>244</v>
      </c>
    </row>
    <row r="26" spans="9:40" x14ac:dyDescent="0.45">
      <c r="I26" t="s">
        <v>174</v>
      </c>
      <c r="J26" t="s">
        <v>171</v>
      </c>
      <c r="K26">
        <v>0</v>
      </c>
      <c r="L26" t="s">
        <v>165</v>
      </c>
      <c r="N26" t="s">
        <v>198</v>
      </c>
      <c r="O26" t="s">
        <v>171</v>
      </c>
      <c r="P26">
        <v>2.9190281976448903E-2</v>
      </c>
      <c r="Q26" t="s">
        <v>165</v>
      </c>
      <c r="S26" t="s">
        <v>217</v>
      </c>
      <c r="T26" t="s">
        <v>171</v>
      </c>
      <c r="U26">
        <v>2.8841819103604439E-2</v>
      </c>
      <c r="V26" t="s">
        <v>165</v>
      </c>
      <c r="AC26" t="s">
        <v>19</v>
      </c>
      <c r="AD26" t="s">
        <v>171</v>
      </c>
      <c r="AE26">
        <v>2.7912858509718089E-2</v>
      </c>
      <c r="AK26">
        <v>2027</v>
      </c>
      <c r="AL26" t="s">
        <v>154</v>
      </c>
      <c r="AM26">
        <v>0.20461999999999997</v>
      </c>
      <c r="AN26" t="s">
        <v>244</v>
      </c>
    </row>
    <row r="27" spans="9:40" x14ac:dyDescent="0.45">
      <c r="I27" t="s">
        <v>174</v>
      </c>
      <c r="J27" t="s">
        <v>172</v>
      </c>
      <c r="K27">
        <v>4.5040122768030467E-2</v>
      </c>
      <c r="L27" t="s">
        <v>165</v>
      </c>
      <c r="N27" t="s">
        <v>198</v>
      </c>
      <c r="O27" t="s">
        <v>172</v>
      </c>
      <c r="P27">
        <v>2.9663182438160851E-2</v>
      </c>
      <c r="Q27" t="s">
        <v>165</v>
      </c>
      <c r="S27" t="s">
        <v>217</v>
      </c>
      <c r="T27" t="s">
        <v>172</v>
      </c>
      <c r="U27">
        <v>3.4960020488560416E-2</v>
      </c>
      <c r="V27" t="s">
        <v>165</v>
      </c>
      <c r="AC27" t="s">
        <v>19</v>
      </c>
      <c r="AD27" t="s">
        <v>172</v>
      </c>
      <c r="AE27">
        <v>3.2181953965023095E-2</v>
      </c>
      <c r="AK27">
        <v>2027</v>
      </c>
      <c r="AL27" t="s">
        <v>158</v>
      </c>
      <c r="AM27">
        <v>0.20930000000000001</v>
      </c>
      <c r="AN27" t="s">
        <v>244</v>
      </c>
    </row>
    <row r="28" spans="9:40" x14ac:dyDescent="0.45">
      <c r="I28" t="s">
        <v>174</v>
      </c>
      <c r="J28" t="s">
        <v>173</v>
      </c>
      <c r="K28">
        <v>0</v>
      </c>
      <c r="L28" t="s">
        <v>165</v>
      </c>
      <c r="N28" t="s">
        <v>198</v>
      </c>
      <c r="O28" t="s">
        <v>173</v>
      </c>
      <c r="P28">
        <v>2.3731280787296857E-2</v>
      </c>
      <c r="Q28" t="s">
        <v>165</v>
      </c>
      <c r="S28" t="s">
        <v>217</v>
      </c>
      <c r="T28" t="s">
        <v>173</v>
      </c>
      <c r="U28">
        <v>2.1554128768361033E-2</v>
      </c>
      <c r="V28" t="s">
        <v>165</v>
      </c>
      <c r="AC28" t="s">
        <v>19</v>
      </c>
      <c r="AD28" t="s">
        <v>173</v>
      </c>
      <c r="AE28">
        <v>2.4887313988880978E-2</v>
      </c>
      <c r="AK28">
        <v>2027</v>
      </c>
      <c r="AL28" t="s">
        <v>160</v>
      </c>
      <c r="AM28">
        <v>0.17130000000000001</v>
      </c>
      <c r="AN28" t="s">
        <v>244</v>
      </c>
    </row>
    <row r="29" spans="9:40" x14ac:dyDescent="0.45">
      <c r="I29" t="s">
        <v>175</v>
      </c>
      <c r="J29" t="s">
        <v>164</v>
      </c>
      <c r="K29">
        <v>8.2082698564855422E-2</v>
      </c>
      <c r="L29" t="s">
        <v>165</v>
      </c>
      <c r="N29" t="s">
        <v>199</v>
      </c>
      <c r="O29" t="s">
        <v>164</v>
      </c>
      <c r="P29">
        <v>0.23186952216755355</v>
      </c>
      <c r="Q29" t="s">
        <v>165</v>
      </c>
      <c r="S29" t="s">
        <v>218</v>
      </c>
      <c r="T29" t="s">
        <v>164</v>
      </c>
      <c r="U29">
        <v>0.28914888065183669</v>
      </c>
      <c r="V29" t="s">
        <v>165</v>
      </c>
      <c r="AK29">
        <v>2028</v>
      </c>
      <c r="AL29" t="s">
        <v>154</v>
      </c>
      <c r="AM29">
        <v>0.24252000000000001</v>
      </c>
      <c r="AN29" t="s">
        <v>244</v>
      </c>
    </row>
    <row r="30" spans="9:40" x14ac:dyDescent="0.45">
      <c r="I30" t="s">
        <v>175</v>
      </c>
      <c r="J30" t="s">
        <v>166</v>
      </c>
      <c r="K30">
        <v>0.7426133018307346</v>
      </c>
      <c r="L30" t="s">
        <v>165</v>
      </c>
      <c r="N30" t="s">
        <v>199</v>
      </c>
      <c r="O30" t="s">
        <v>166</v>
      </c>
      <c r="P30">
        <v>0.29542478757216734</v>
      </c>
      <c r="Q30" t="s">
        <v>165</v>
      </c>
      <c r="S30" t="s">
        <v>218</v>
      </c>
      <c r="T30" t="s">
        <v>166</v>
      </c>
      <c r="U30">
        <v>0.27514563540748094</v>
      </c>
      <c r="V30" t="s">
        <v>165</v>
      </c>
      <c r="AK30">
        <v>2028</v>
      </c>
      <c r="AL30" t="s">
        <v>158</v>
      </c>
      <c r="AM30">
        <v>0.22040000000000001</v>
      </c>
      <c r="AN30" t="s">
        <v>244</v>
      </c>
    </row>
    <row r="31" spans="9:40" x14ac:dyDescent="0.45">
      <c r="I31" t="s">
        <v>175</v>
      </c>
      <c r="J31" t="s">
        <v>167</v>
      </c>
      <c r="K31">
        <v>7.4696824929061212E-2</v>
      </c>
      <c r="L31" t="s">
        <v>165</v>
      </c>
      <c r="N31" t="s">
        <v>199</v>
      </c>
      <c r="O31" t="s">
        <v>167</v>
      </c>
      <c r="P31">
        <v>0.22658389657727601</v>
      </c>
      <c r="Q31" t="s">
        <v>165</v>
      </c>
      <c r="S31" t="s">
        <v>218</v>
      </c>
      <c r="T31" t="s">
        <v>167</v>
      </c>
      <c r="U31">
        <v>0.26295793367540993</v>
      </c>
      <c r="V31" t="s">
        <v>165</v>
      </c>
      <c r="AK31">
        <v>2028</v>
      </c>
      <c r="AL31" t="s">
        <v>160</v>
      </c>
      <c r="AM31">
        <v>0.1885</v>
      </c>
      <c r="AN31" t="s">
        <v>244</v>
      </c>
    </row>
    <row r="32" spans="9:40" x14ac:dyDescent="0.45">
      <c r="I32" t="s">
        <v>175</v>
      </c>
      <c r="J32" t="s">
        <v>168</v>
      </c>
      <c r="K32">
        <v>1.0467409699000351E-3</v>
      </c>
      <c r="L32" t="s">
        <v>165</v>
      </c>
      <c r="N32" t="s">
        <v>199</v>
      </c>
      <c r="O32" t="s">
        <v>168</v>
      </c>
      <c r="P32">
        <v>4.9332572224595556E-2</v>
      </c>
      <c r="Q32" t="s">
        <v>165</v>
      </c>
      <c r="S32" t="s">
        <v>218</v>
      </c>
      <c r="T32" t="s">
        <v>168</v>
      </c>
      <c r="U32">
        <v>3.3669838578157696E-2</v>
      </c>
      <c r="V32" t="s">
        <v>165</v>
      </c>
      <c r="AK32">
        <v>2029</v>
      </c>
      <c r="AL32" t="s">
        <v>154</v>
      </c>
      <c r="AM32">
        <v>0.23316999999999996</v>
      </c>
      <c r="AN32" t="s">
        <v>244</v>
      </c>
    </row>
    <row r="33" spans="9:40" x14ac:dyDescent="0.45">
      <c r="I33" t="s">
        <v>175</v>
      </c>
      <c r="J33" t="s">
        <v>169</v>
      </c>
      <c r="K33">
        <v>5.0301238552224313E-2</v>
      </c>
      <c r="L33" t="s">
        <v>165</v>
      </c>
      <c r="N33" t="s">
        <v>199</v>
      </c>
      <c r="O33" t="s">
        <v>169</v>
      </c>
      <c r="P33">
        <v>5.7296235998667913E-2</v>
      </c>
      <c r="Q33" t="s">
        <v>165</v>
      </c>
      <c r="S33" t="s">
        <v>218</v>
      </c>
      <c r="T33" t="s">
        <v>169</v>
      </c>
      <c r="U33">
        <v>3.9209327231780694E-2</v>
      </c>
      <c r="V33" t="s">
        <v>165</v>
      </c>
      <c r="AK33">
        <v>2029</v>
      </c>
      <c r="AL33" t="s">
        <v>158</v>
      </c>
      <c r="AM33">
        <v>0.2172</v>
      </c>
      <c r="AN33" t="s">
        <v>244</v>
      </c>
    </row>
    <row r="34" spans="9:40" x14ac:dyDescent="0.45">
      <c r="I34" t="s">
        <v>175</v>
      </c>
      <c r="J34" t="s">
        <v>170</v>
      </c>
      <c r="K34">
        <v>0</v>
      </c>
      <c r="L34" t="s">
        <v>165</v>
      </c>
      <c r="N34" t="s">
        <v>199</v>
      </c>
      <c r="O34" t="s">
        <v>170</v>
      </c>
      <c r="P34">
        <v>5.1284132940245829E-2</v>
      </c>
      <c r="Q34" t="s">
        <v>165</v>
      </c>
      <c r="S34" t="s">
        <v>218</v>
      </c>
      <c r="T34" t="s">
        <v>170</v>
      </c>
      <c r="U34">
        <v>3.138915767276567E-2</v>
      </c>
      <c r="V34" t="s">
        <v>165</v>
      </c>
      <c r="AK34">
        <v>2029</v>
      </c>
      <c r="AL34" t="s">
        <v>160</v>
      </c>
      <c r="AM34">
        <v>0.1898</v>
      </c>
      <c r="AN34" t="s">
        <v>244</v>
      </c>
    </row>
    <row r="35" spans="9:40" x14ac:dyDescent="0.45">
      <c r="I35" t="s">
        <v>175</v>
      </c>
      <c r="J35" t="s">
        <v>171</v>
      </c>
      <c r="K35">
        <v>0</v>
      </c>
      <c r="L35" t="s">
        <v>165</v>
      </c>
      <c r="N35" t="s">
        <v>199</v>
      </c>
      <c r="O35" t="s">
        <v>171</v>
      </c>
      <c r="P35">
        <v>3.3396425205494892E-2</v>
      </c>
      <c r="Q35" t="s">
        <v>165</v>
      </c>
      <c r="S35" t="s">
        <v>218</v>
      </c>
      <c r="T35" t="s">
        <v>171</v>
      </c>
      <c r="U35">
        <v>2.3887359403152082E-2</v>
      </c>
      <c r="V35" t="s">
        <v>165</v>
      </c>
      <c r="AK35">
        <v>2030</v>
      </c>
      <c r="AL35" t="s">
        <v>154</v>
      </c>
      <c r="AM35">
        <v>0.24156</v>
      </c>
      <c r="AN35" t="s">
        <v>244</v>
      </c>
    </row>
    <row r="36" spans="9:40" x14ac:dyDescent="0.45">
      <c r="I36" t="s">
        <v>175</v>
      </c>
      <c r="J36" t="s">
        <v>172</v>
      </c>
      <c r="K36">
        <v>4.9259195153228172E-2</v>
      </c>
      <c r="L36" t="s">
        <v>165</v>
      </c>
      <c r="N36" t="s">
        <v>199</v>
      </c>
      <c r="O36" t="s">
        <v>172</v>
      </c>
      <c r="P36">
        <v>3.0822839366942002E-2</v>
      </c>
      <c r="Q36" t="s">
        <v>165</v>
      </c>
      <c r="S36" t="s">
        <v>218</v>
      </c>
      <c r="T36" t="s">
        <v>172</v>
      </c>
      <c r="U36">
        <v>2.6110414832519985E-2</v>
      </c>
      <c r="V36" t="s">
        <v>165</v>
      </c>
      <c r="AK36">
        <v>2030</v>
      </c>
      <c r="AL36" t="s">
        <v>158</v>
      </c>
      <c r="AM36">
        <v>0.22850000000000001</v>
      </c>
      <c r="AN36" t="s">
        <v>244</v>
      </c>
    </row>
    <row r="37" spans="9:40" x14ac:dyDescent="0.45">
      <c r="I37" t="s">
        <v>175</v>
      </c>
      <c r="J37" t="s">
        <v>173</v>
      </c>
      <c r="K37">
        <v>0</v>
      </c>
      <c r="L37" t="s">
        <v>165</v>
      </c>
      <c r="N37" t="s">
        <v>199</v>
      </c>
      <c r="O37" t="s">
        <v>173</v>
      </c>
      <c r="P37">
        <v>2.3989587947053935E-2</v>
      </c>
      <c r="Q37" t="s">
        <v>165</v>
      </c>
      <c r="S37" t="s">
        <v>218</v>
      </c>
      <c r="T37" t="s">
        <v>173</v>
      </c>
      <c r="U37">
        <v>1.8481452546902862E-2</v>
      </c>
      <c r="V37" t="s">
        <v>165</v>
      </c>
      <c r="AK37">
        <v>2030</v>
      </c>
      <c r="AL37" t="s">
        <v>160</v>
      </c>
      <c r="AM37">
        <v>0.18240000000000001</v>
      </c>
      <c r="AN37" t="s">
        <v>244</v>
      </c>
    </row>
    <row r="38" spans="9:40" x14ac:dyDescent="0.45">
      <c r="I38" t="s">
        <v>176</v>
      </c>
      <c r="J38" t="s">
        <v>164</v>
      </c>
      <c r="K38">
        <v>7.642247780740645E-2</v>
      </c>
      <c r="L38" t="s">
        <v>165</v>
      </c>
      <c r="N38" t="s">
        <v>200</v>
      </c>
      <c r="O38" t="s">
        <v>164</v>
      </c>
      <c r="P38">
        <v>0.22927779090219041</v>
      </c>
      <c r="Q38" t="s">
        <v>165</v>
      </c>
      <c r="S38" t="s">
        <v>219</v>
      </c>
      <c r="T38" t="s">
        <v>164</v>
      </c>
      <c r="U38">
        <v>0.27871298428556979</v>
      </c>
      <c r="V38" t="s">
        <v>165</v>
      </c>
      <c r="AK38">
        <v>2031</v>
      </c>
      <c r="AL38" t="s">
        <v>154</v>
      </c>
      <c r="AM38">
        <v>0.23673000000000002</v>
      </c>
      <c r="AN38" t="s">
        <v>244</v>
      </c>
    </row>
    <row r="39" spans="9:40" x14ac:dyDescent="0.45">
      <c r="I39" t="s">
        <v>176</v>
      </c>
      <c r="J39" t="s">
        <v>166</v>
      </c>
      <c r="K39">
        <v>0.74504919340072795</v>
      </c>
      <c r="L39" t="s">
        <v>165</v>
      </c>
      <c r="N39" t="s">
        <v>200</v>
      </c>
      <c r="O39" t="s">
        <v>166</v>
      </c>
      <c r="P39">
        <v>0.27791885097171515</v>
      </c>
      <c r="Q39" t="s">
        <v>165</v>
      </c>
      <c r="S39" t="s">
        <v>219</v>
      </c>
      <c r="T39" t="s">
        <v>166</v>
      </c>
      <c r="U39">
        <v>0.2936757907270246</v>
      </c>
      <c r="V39" t="s">
        <v>165</v>
      </c>
      <c r="AK39">
        <v>2031</v>
      </c>
      <c r="AL39" t="s">
        <v>158</v>
      </c>
      <c r="AM39">
        <v>0.20569999999999999</v>
      </c>
      <c r="AN39" t="s">
        <v>244</v>
      </c>
    </row>
    <row r="40" spans="9:40" x14ac:dyDescent="0.45">
      <c r="I40" t="s">
        <v>176</v>
      </c>
      <c r="J40" t="s">
        <v>167</v>
      </c>
      <c r="K40">
        <v>7.6321459025632213E-2</v>
      </c>
      <c r="L40" t="s">
        <v>165</v>
      </c>
      <c r="N40" t="s">
        <v>200</v>
      </c>
      <c r="O40" t="s">
        <v>167</v>
      </c>
      <c r="P40">
        <v>0.2010233985376999</v>
      </c>
      <c r="Q40" t="s">
        <v>165</v>
      </c>
      <c r="S40" t="s">
        <v>219</v>
      </c>
      <c r="T40" t="s">
        <v>167</v>
      </c>
      <c r="U40">
        <v>0.24887473443454852</v>
      </c>
      <c r="V40" t="s">
        <v>165</v>
      </c>
      <c r="AK40">
        <v>2031</v>
      </c>
      <c r="AL40" t="s">
        <v>160</v>
      </c>
      <c r="AM40">
        <v>0.20860000000000001</v>
      </c>
      <c r="AN40" t="s">
        <v>244</v>
      </c>
    </row>
    <row r="41" spans="9:40" x14ac:dyDescent="0.45">
      <c r="I41" t="s">
        <v>176</v>
      </c>
      <c r="J41" t="s">
        <v>168</v>
      </c>
      <c r="K41">
        <v>7.1614537117436626E-4</v>
      </c>
      <c r="L41" t="s">
        <v>165</v>
      </c>
      <c r="N41" t="s">
        <v>200</v>
      </c>
      <c r="O41" t="s">
        <v>168</v>
      </c>
      <c r="P41">
        <v>5.8437225618678389E-2</v>
      </c>
      <c r="Q41" t="s">
        <v>165</v>
      </c>
      <c r="S41" t="s">
        <v>219</v>
      </c>
      <c r="T41" t="s">
        <v>168</v>
      </c>
      <c r="U41">
        <v>2.9978347641479129E-2</v>
      </c>
      <c r="V41" t="s">
        <v>165</v>
      </c>
      <c r="AK41">
        <v>2032</v>
      </c>
      <c r="AL41" t="s">
        <v>154</v>
      </c>
      <c r="AM41">
        <v>0.23601999999999998</v>
      </c>
      <c r="AN41" t="s">
        <v>244</v>
      </c>
    </row>
    <row r="42" spans="9:40" x14ac:dyDescent="0.45">
      <c r="I42" t="s">
        <v>176</v>
      </c>
      <c r="J42" t="s">
        <v>169</v>
      </c>
      <c r="K42">
        <v>4.5807290228214663E-2</v>
      </c>
      <c r="L42" t="s">
        <v>165</v>
      </c>
      <c r="N42" t="s">
        <v>200</v>
      </c>
      <c r="O42" t="s">
        <v>169</v>
      </c>
      <c r="P42">
        <v>6.2077310645251522E-2</v>
      </c>
      <c r="Q42" t="s">
        <v>165</v>
      </c>
      <c r="S42" t="s">
        <v>219</v>
      </c>
      <c r="T42" t="s">
        <v>169</v>
      </c>
      <c r="U42">
        <v>3.7666338808232516E-2</v>
      </c>
      <c r="V42" t="s">
        <v>165</v>
      </c>
      <c r="AK42">
        <v>2032</v>
      </c>
      <c r="AL42" t="s">
        <v>158</v>
      </c>
      <c r="AM42">
        <v>0.21560000000000001</v>
      </c>
      <c r="AN42" t="s">
        <v>244</v>
      </c>
    </row>
    <row r="43" spans="9:40" x14ac:dyDescent="0.45">
      <c r="I43" t="s">
        <v>176</v>
      </c>
      <c r="J43" t="s">
        <v>170</v>
      </c>
      <c r="K43">
        <v>0</v>
      </c>
      <c r="L43" t="s">
        <v>165</v>
      </c>
      <c r="N43" t="s">
        <v>200</v>
      </c>
      <c r="O43" t="s">
        <v>170</v>
      </c>
      <c r="P43">
        <v>5.2403949088036833E-2</v>
      </c>
      <c r="Q43" t="s">
        <v>165</v>
      </c>
      <c r="S43" t="s">
        <v>219</v>
      </c>
      <c r="T43" t="s">
        <v>170</v>
      </c>
      <c r="U43">
        <v>2.8952688006993257E-2</v>
      </c>
      <c r="V43" t="s">
        <v>165</v>
      </c>
      <c r="AK43">
        <v>2032</v>
      </c>
      <c r="AL43" t="s">
        <v>160</v>
      </c>
      <c r="AM43">
        <v>0.21590000000000001</v>
      </c>
      <c r="AN43" t="s">
        <v>244</v>
      </c>
    </row>
    <row r="44" spans="9:40" x14ac:dyDescent="0.45">
      <c r="I44" t="s">
        <v>176</v>
      </c>
      <c r="J44" t="s">
        <v>171</v>
      </c>
      <c r="K44">
        <v>0</v>
      </c>
      <c r="L44" t="s">
        <v>165</v>
      </c>
      <c r="N44" t="s">
        <v>200</v>
      </c>
      <c r="O44" t="s">
        <v>171</v>
      </c>
      <c r="P44">
        <v>4.3231880943302034E-2</v>
      </c>
      <c r="Q44" t="s">
        <v>165</v>
      </c>
      <c r="S44" t="s">
        <v>219</v>
      </c>
      <c r="T44" t="s">
        <v>171</v>
      </c>
      <c r="U44">
        <v>2.8707990253791914E-2</v>
      </c>
      <c r="V44" t="s">
        <v>165</v>
      </c>
      <c r="AK44">
        <v>2033</v>
      </c>
      <c r="AL44" t="s">
        <v>154</v>
      </c>
      <c r="AM44">
        <v>0.23029000000000002</v>
      </c>
      <c r="AN44" t="s">
        <v>244</v>
      </c>
    </row>
    <row r="45" spans="9:40" x14ac:dyDescent="0.45">
      <c r="I45" t="s">
        <v>176</v>
      </c>
      <c r="J45" t="s">
        <v>172</v>
      </c>
      <c r="K45">
        <v>5.5683434166843862E-2</v>
      </c>
      <c r="L45" t="s">
        <v>165</v>
      </c>
      <c r="N45" t="s">
        <v>200</v>
      </c>
      <c r="O45" t="s">
        <v>172</v>
      </c>
      <c r="P45">
        <v>4.2247937027875576E-2</v>
      </c>
      <c r="Q45" t="s">
        <v>165</v>
      </c>
      <c r="S45" t="s">
        <v>219</v>
      </c>
      <c r="T45" t="s">
        <v>172</v>
      </c>
      <c r="U45">
        <v>3.1618070482253492E-2</v>
      </c>
      <c r="V45" t="s">
        <v>165</v>
      </c>
      <c r="AK45">
        <v>2033</v>
      </c>
      <c r="AL45" t="s">
        <v>158</v>
      </c>
      <c r="AM45">
        <v>0.23300000000000001</v>
      </c>
      <c r="AN45" t="s">
        <v>244</v>
      </c>
    </row>
    <row r="46" spans="9:40" x14ac:dyDescent="0.45">
      <c r="I46" t="s">
        <v>176</v>
      </c>
      <c r="J46" t="s">
        <v>173</v>
      </c>
      <c r="K46">
        <v>0</v>
      </c>
      <c r="L46" t="s">
        <v>165</v>
      </c>
      <c r="N46" t="s">
        <v>200</v>
      </c>
      <c r="O46" t="s">
        <v>173</v>
      </c>
      <c r="P46">
        <v>3.3381656265247292E-2</v>
      </c>
      <c r="Q46" t="s">
        <v>165</v>
      </c>
      <c r="S46" t="s">
        <v>219</v>
      </c>
      <c r="T46" t="s">
        <v>173</v>
      </c>
      <c r="U46">
        <v>2.1813055360106859E-2</v>
      </c>
      <c r="V46" t="s">
        <v>165</v>
      </c>
      <c r="AK46">
        <v>2033</v>
      </c>
      <c r="AL46" t="s">
        <v>160</v>
      </c>
      <c r="AM46">
        <v>0.2135</v>
      </c>
      <c r="AN46" t="s">
        <v>244</v>
      </c>
    </row>
    <row r="47" spans="9:40" x14ac:dyDescent="0.45">
      <c r="I47" t="s">
        <v>177</v>
      </c>
      <c r="J47" t="s">
        <v>164</v>
      </c>
      <c r="K47">
        <v>7.5763714664090265E-2</v>
      </c>
      <c r="L47" t="s">
        <v>165</v>
      </c>
      <c r="N47" t="s">
        <v>201</v>
      </c>
      <c r="O47" t="s">
        <v>164</v>
      </c>
      <c r="P47">
        <v>0.2432688112164032</v>
      </c>
      <c r="Q47" t="s">
        <v>165</v>
      </c>
      <c r="S47" t="s">
        <v>220</v>
      </c>
      <c r="T47" t="s">
        <v>164</v>
      </c>
      <c r="U47">
        <v>0.28928137770869972</v>
      </c>
      <c r="V47" t="s">
        <v>165</v>
      </c>
      <c r="AK47">
        <v>2034</v>
      </c>
      <c r="AL47" t="s">
        <v>154</v>
      </c>
      <c r="AM47">
        <v>0.24077000000000001</v>
      </c>
      <c r="AN47" t="s">
        <v>244</v>
      </c>
    </row>
    <row r="48" spans="9:40" x14ac:dyDescent="0.45">
      <c r="I48" t="s">
        <v>177</v>
      </c>
      <c r="J48" t="s">
        <v>166</v>
      </c>
      <c r="K48">
        <v>0.76558907122786346</v>
      </c>
      <c r="L48" t="s">
        <v>165</v>
      </c>
      <c r="N48" t="s">
        <v>201</v>
      </c>
      <c r="O48" t="s">
        <v>166</v>
      </c>
      <c r="P48">
        <v>0.28525747941574581</v>
      </c>
      <c r="Q48" t="s">
        <v>165</v>
      </c>
      <c r="S48" t="s">
        <v>220</v>
      </c>
      <c r="T48" t="s">
        <v>166</v>
      </c>
      <c r="U48">
        <v>0.28636546772356519</v>
      </c>
      <c r="V48" t="s">
        <v>165</v>
      </c>
      <c r="AK48">
        <v>2034</v>
      </c>
      <c r="AL48" t="s">
        <v>158</v>
      </c>
      <c r="AM48">
        <v>0.2321</v>
      </c>
      <c r="AN48" t="s">
        <v>244</v>
      </c>
    </row>
    <row r="49" spans="9:40" x14ac:dyDescent="0.45">
      <c r="I49" t="s">
        <v>177</v>
      </c>
      <c r="J49" t="s">
        <v>167</v>
      </c>
      <c r="K49">
        <v>6.0064294762352026E-2</v>
      </c>
      <c r="L49" t="s">
        <v>165</v>
      </c>
      <c r="N49" t="s">
        <v>201</v>
      </c>
      <c r="O49" t="s">
        <v>167</v>
      </c>
      <c r="P49">
        <v>0.20379013845441984</v>
      </c>
      <c r="Q49" t="s">
        <v>165</v>
      </c>
      <c r="S49" t="s">
        <v>220</v>
      </c>
      <c r="T49" t="s">
        <v>167</v>
      </c>
      <c r="U49">
        <v>0.25439682881239906</v>
      </c>
      <c r="V49" t="s">
        <v>165</v>
      </c>
      <c r="AK49">
        <v>2034</v>
      </c>
      <c r="AL49" t="s">
        <v>160</v>
      </c>
      <c r="AM49">
        <v>0.2054</v>
      </c>
      <c r="AN49" t="s">
        <v>244</v>
      </c>
    </row>
    <row r="50" spans="9:40" x14ac:dyDescent="0.45">
      <c r="I50" t="s">
        <v>177</v>
      </c>
      <c r="J50" t="s">
        <v>168</v>
      </c>
      <c r="K50">
        <v>6.740178117371681E-4</v>
      </c>
      <c r="L50" t="s">
        <v>165</v>
      </c>
      <c r="N50" t="s">
        <v>201</v>
      </c>
      <c r="O50" t="s">
        <v>168</v>
      </c>
      <c r="P50">
        <v>5.6373200477808798E-2</v>
      </c>
      <c r="Q50" t="s">
        <v>165</v>
      </c>
      <c r="S50" t="s">
        <v>220</v>
      </c>
      <c r="T50" t="s">
        <v>168</v>
      </c>
      <c r="U50">
        <v>3.1341024099000213E-2</v>
      </c>
      <c r="V50" t="s">
        <v>165</v>
      </c>
      <c r="AK50">
        <v>2035</v>
      </c>
      <c r="AL50" t="s">
        <v>154</v>
      </c>
      <c r="AM50">
        <v>0.23391999999999999</v>
      </c>
      <c r="AN50" t="s">
        <v>244</v>
      </c>
    </row>
    <row r="51" spans="9:40" x14ac:dyDescent="0.45">
      <c r="I51" t="s">
        <v>177</v>
      </c>
      <c r="J51" t="s">
        <v>169</v>
      </c>
      <c r="K51">
        <v>4.5962910076688478E-2</v>
      </c>
      <c r="L51" t="s">
        <v>165</v>
      </c>
      <c r="N51" t="s">
        <v>201</v>
      </c>
      <c r="O51" t="s">
        <v>169</v>
      </c>
      <c r="P51">
        <v>6.5808122789439261E-2</v>
      </c>
      <c r="Q51" t="s">
        <v>165</v>
      </c>
      <c r="S51" t="s">
        <v>220</v>
      </c>
      <c r="T51" t="s">
        <v>169</v>
      </c>
      <c r="U51">
        <v>3.6473358954494883E-2</v>
      </c>
      <c r="V51" t="s">
        <v>165</v>
      </c>
      <c r="AK51">
        <v>2035</v>
      </c>
      <c r="AL51" t="s">
        <v>158</v>
      </c>
      <c r="AM51">
        <v>0.21990000000000001</v>
      </c>
      <c r="AN51" t="s">
        <v>244</v>
      </c>
    </row>
    <row r="52" spans="9:40" x14ac:dyDescent="0.45">
      <c r="I52" t="s">
        <v>177</v>
      </c>
      <c r="J52" t="s">
        <v>170</v>
      </c>
      <c r="K52">
        <v>0</v>
      </c>
      <c r="L52" t="s">
        <v>165</v>
      </c>
      <c r="N52" t="s">
        <v>201</v>
      </c>
      <c r="O52" t="s">
        <v>170</v>
      </c>
      <c r="P52">
        <v>5.207560279198048E-2</v>
      </c>
      <c r="Q52" t="s">
        <v>165</v>
      </c>
      <c r="S52" t="s">
        <v>220</v>
      </c>
      <c r="T52" t="s">
        <v>170</v>
      </c>
      <c r="U52">
        <v>2.9649870288239073E-2</v>
      </c>
      <c r="V52" t="s">
        <v>165</v>
      </c>
      <c r="AK52">
        <v>2035</v>
      </c>
      <c r="AL52" t="s">
        <v>160</v>
      </c>
      <c r="AM52">
        <v>0.215</v>
      </c>
      <c r="AN52" t="s">
        <v>244</v>
      </c>
    </row>
    <row r="53" spans="9:40" x14ac:dyDescent="0.45">
      <c r="I53" t="s">
        <v>177</v>
      </c>
      <c r="J53" t="s">
        <v>171</v>
      </c>
      <c r="K53">
        <v>0</v>
      </c>
      <c r="L53" t="s">
        <v>165</v>
      </c>
      <c r="N53" t="s">
        <v>201</v>
      </c>
      <c r="O53" t="s">
        <v>171</v>
      </c>
      <c r="P53">
        <v>3.5597460640088195E-2</v>
      </c>
      <c r="Q53" t="s">
        <v>165</v>
      </c>
      <c r="S53" t="s">
        <v>220</v>
      </c>
      <c r="T53" t="s">
        <v>171</v>
      </c>
      <c r="U53">
        <v>2.5376273962591105E-2</v>
      </c>
      <c r="V53" t="s">
        <v>165</v>
      </c>
      <c r="AK53">
        <v>2036</v>
      </c>
      <c r="AL53" t="s">
        <v>154</v>
      </c>
      <c r="AM53">
        <v>0.23064999999999997</v>
      </c>
      <c r="AN53" t="s">
        <v>244</v>
      </c>
    </row>
    <row r="54" spans="9:40" x14ac:dyDescent="0.45">
      <c r="I54" t="s">
        <v>177</v>
      </c>
      <c r="J54" t="s">
        <v>172</v>
      </c>
      <c r="K54">
        <v>5.1945991457268553E-2</v>
      </c>
      <c r="L54" t="s">
        <v>165</v>
      </c>
      <c r="N54" t="s">
        <v>201</v>
      </c>
      <c r="O54" t="s">
        <v>172</v>
      </c>
      <c r="P54">
        <v>3.3449598959594963E-2</v>
      </c>
      <c r="Q54" t="s">
        <v>165</v>
      </c>
      <c r="S54" t="s">
        <v>220</v>
      </c>
      <c r="T54" t="s">
        <v>172</v>
      </c>
      <c r="U54">
        <v>2.7477554313309203E-2</v>
      </c>
      <c r="V54" t="s">
        <v>165</v>
      </c>
      <c r="AK54">
        <v>2036</v>
      </c>
      <c r="AL54" t="s">
        <v>158</v>
      </c>
      <c r="AM54">
        <v>0.20899999999999999</v>
      </c>
      <c r="AN54" t="s">
        <v>244</v>
      </c>
    </row>
    <row r="55" spans="9:40" x14ac:dyDescent="0.45">
      <c r="I55" t="s">
        <v>177</v>
      </c>
      <c r="J55" t="s">
        <v>173</v>
      </c>
      <c r="K55">
        <v>0</v>
      </c>
      <c r="L55" t="s">
        <v>165</v>
      </c>
      <c r="N55" t="s">
        <v>201</v>
      </c>
      <c r="O55" t="s">
        <v>173</v>
      </c>
      <c r="P55">
        <v>2.4379585254519564E-2</v>
      </c>
      <c r="Q55" t="s">
        <v>165</v>
      </c>
      <c r="S55" t="s">
        <v>220</v>
      </c>
      <c r="T55" t="s">
        <v>173</v>
      </c>
      <c r="U55">
        <v>1.9638244137705582E-2</v>
      </c>
      <c r="V55" t="s">
        <v>165</v>
      </c>
      <c r="AK55">
        <v>2036</v>
      </c>
      <c r="AL55" t="s">
        <v>160</v>
      </c>
      <c r="AM55">
        <v>0.21110000000000001</v>
      </c>
      <c r="AN55" t="s">
        <v>244</v>
      </c>
    </row>
    <row r="56" spans="9:40" x14ac:dyDescent="0.45">
      <c r="I56" t="s">
        <v>178</v>
      </c>
      <c r="J56" t="s">
        <v>164</v>
      </c>
      <c r="K56">
        <v>8.7742359489778168E-2</v>
      </c>
      <c r="L56" t="s">
        <v>165</v>
      </c>
      <c r="N56" t="s">
        <v>202</v>
      </c>
      <c r="O56" t="s">
        <v>164</v>
      </c>
      <c r="P56">
        <v>0.2081756123152205</v>
      </c>
      <c r="Q56" t="s">
        <v>165</v>
      </c>
      <c r="S56" t="s">
        <v>221</v>
      </c>
      <c r="T56" t="s">
        <v>164</v>
      </c>
      <c r="U56">
        <v>0.25695571876158302</v>
      </c>
      <c r="V56" t="s">
        <v>165</v>
      </c>
      <c r="AK56">
        <v>2037</v>
      </c>
      <c r="AL56" t="s">
        <v>154</v>
      </c>
      <c r="AM56">
        <v>0.23702999999999999</v>
      </c>
      <c r="AN56" t="s">
        <v>244</v>
      </c>
    </row>
    <row r="57" spans="9:40" x14ac:dyDescent="0.45">
      <c r="I57" t="s">
        <v>178</v>
      </c>
      <c r="J57" t="s">
        <v>166</v>
      </c>
      <c r="K57">
        <v>0.75686063035439877</v>
      </c>
      <c r="L57" t="s">
        <v>165</v>
      </c>
      <c r="N57" t="s">
        <v>202</v>
      </c>
      <c r="O57" t="s">
        <v>166</v>
      </c>
      <c r="P57">
        <v>0.30166899253881868</v>
      </c>
      <c r="Q57" t="s">
        <v>165</v>
      </c>
      <c r="S57" t="s">
        <v>221</v>
      </c>
      <c r="T57" t="s">
        <v>166</v>
      </c>
      <c r="U57">
        <v>0.31834093832974275</v>
      </c>
      <c r="V57" t="s">
        <v>165</v>
      </c>
      <c r="AK57">
        <v>2037</v>
      </c>
      <c r="AL57" t="s">
        <v>158</v>
      </c>
      <c r="AM57">
        <v>0.2432</v>
      </c>
      <c r="AN57" t="s">
        <v>244</v>
      </c>
    </row>
    <row r="58" spans="9:40" x14ac:dyDescent="0.45">
      <c r="I58" t="s">
        <v>178</v>
      </c>
      <c r="J58" t="s">
        <v>167</v>
      </c>
      <c r="K58">
        <v>5.9661421551240663E-2</v>
      </c>
      <c r="L58" t="s">
        <v>165</v>
      </c>
      <c r="N58" t="s">
        <v>202</v>
      </c>
      <c r="O58" t="s">
        <v>167</v>
      </c>
      <c r="P58">
        <v>0.20238198734179147</v>
      </c>
      <c r="Q58" t="s">
        <v>165</v>
      </c>
      <c r="S58" t="s">
        <v>221</v>
      </c>
      <c r="T58" t="s">
        <v>167</v>
      </c>
      <c r="U58">
        <v>0.23865961018817175</v>
      </c>
      <c r="V58" t="s">
        <v>165</v>
      </c>
      <c r="AK58">
        <v>2037</v>
      </c>
      <c r="AL58" t="s">
        <v>160</v>
      </c>
      <c r="AM58">
        <v>0.20899999999999999</v>
      </c>
      <c r="AN58" t="s">
        <v>244</v>
      </c>
    </row>
    <row r="59" spans="9:40" x14ac:dyDescent="0.45">
      <c r="I59" t="s">
        <v>178</v>
      </c>
      <c r="J59" t="s">
        <v>168</v>
      </c>
      <c r="K59">
        <v>1.0258403362928899E-3</v>
      </c>
      <c r="L59" t="s">
        <v>165</v>
      </c>
      <c r="N59" t="s">
        <v>202</v>
      </c>
      <c r="O59" t="s">
        <v>168</v>
      </c>
      <c r="P59">
        <v>5.608513832613498E-2</v>
      </c>
      <c r="Q59" t="s">
        <v>165</v>
      </c>
      <c r="S59" t="s">
        <v>221</v>
      </c>
      <c r="T59" t="s">
        <v>168</v>
      </c>
      <c r="U59">
        <v>4.4320728544015371E-2</v>
      </c>
      <c r="V59" t="s">
        <v>165</v>
      </c>
      <c r="AK59">
        <v>2038</v>
      </c>
      <c r="AL59" t="s">
        <v>154</v>
      </c>
      <c r="AM59">
        <v>0.23261999999999999</v>
      </c>
      <c r="AN59" t="s">
        <v>244</v>
      </c>
    </row>
    <row r="60" spans="9:40" x14ac:dyDescent="0.45">
      <c r="I60" t="s">
        <v>178</v>
      </c>
      <c r="J60" t="s">
        <v>169</v>
      </c>
      <c r="K60">
        <v>4.5419368924094573E-2</v>
      </c>
      <c r="L60" t="s">
        <v>165</v>
      </c>
      <c r="N60" t="s">
        <v>202</v>
      </c>
      <c r="O60" t="s">
        <v>169</v>
      </c>
      <c r="P60">
        <v>7.6958058904851287E-2</v>
      </c>
      <c r="Q60" t="s">
        <v>165</v>
      </c>
      <c r="S60" t="s">
        <v>221</v>
      </c>
      <c r="T60" t="s">
        <v>169</v>
      </c>
      <c r="U60">
        <v>4.5976184984990946E-2</v>
      </c>
      <c r="V60" t="s">
        <v>165</v>
      </c>
      <c r="AK60">
        <v>2038</v>
      </c>
      <c r="AL60" t="s">
        <v>158</v>
      </c>
      <c r="AM60">
        <v>0.2364</v>
      </c>
      <c r="AN60" t="s">
        <v>244</v>
      </c>
    </row>
    <row r="61" spans="9:40" x14ac:dyDescent="0.45">
      <c r="I61" t="s">
        <v>178</v>
      </c>
      <c r="J61" t="s">
        <v>170</v>
      </c>
      <c r="K61">
        <v>0</v>
      </c>
      <c r="L61" t="s">
        <v>165</v>
      </c>
      <c r="N61" t="s">
        <v>202</v>
      </c>
      <c r="O61" t="s">
        <v>170</v>
      </c>
      <c r="P61">
        <v>5.4187061303876745E-2</v>
      </c>
      <c r="Q61" t="s">
        <v>165</v>
      </c>
      <c r="S61" t="s">
        <v>221</v>
      </c>
      <c r="T61" t="s">
        <v>170</v>
      </c>
      <c r="U61">
        <v>3.5833625922171083E-2</v>
      </c>
      <c r="V61" t="s">
        <v>165</v>
      </c>
      <c r="AK61">
        <v>2038</v>
      </c>
      <c r="AL61" t="s">
        <v>160</v>
      </c>
      <c r="AM61">
        <v>0.216</v>
      </c>
      <c r="AN61" t="s">
        <v>244</v>
      </c>
    </row>
    <row r="62" spans="9:40" x14ac:dyDescent="0.45">
      <c r="I62" t="s">
        <v>178</v>
      </c>
      <c r="J62" t="s">
        <v>171</v>
      </c>
      <c r="K62">
        <v>0</v>
      </c>
      <c r="L62" t="s">
        <v>165</v>
      </c>
      <c r="N62" t="s">
        <v>202</v>
      </c>
      <c r="O62" t="s">
        <v>171</v>
      </c>
      <c r="P62">
        <v>3.5566813147025131E-2</v>
      </c>
      <c r="Q62" t="s">
        <v>165</v>
      </c>
      <c r="S62" t="s">
        <v>221</v>
      </c>
      <c r="T62" t="s">
        <v>171</v>
      </c>
      <c r="U62">
        <v>1.8881749637916362E-2</v>
      </c>
      <c r="V62" t="s">
        <v>165</v>
      </c>
      <c r="AK62">
        <v>2039</v>
      </c>
      <c r="AL62" t="s">
        <v>154</v>
      </c>
      <c r="AM62">
        <v>0.23024</v>
      </c>
      <c r="AN62" t="s">
        <v>244</v>
      </c>
    </row>
    <row r="63" spans="9:40" x14ac:dyDescent="0.45">
      <c r="I63" t="s">
        <v>178</v>
      </c>
      <c r="J63" t="s">
        <v>172</v>
      </c>
      <c r="K63">
        <v>4.9290379344197943E-2</v>
      </c>
      <c r="L63" t="s">
        <v>165</v>
      </c>
      <c r="N63" t="s">
        <v>202</v>
      </c>
      <c r="O63" t="s">
        <v>172</v>
      </c>
      <c r="P63">
        <v>4.054965991001911E-2</v>
      </c>
      <c r="Q63" t="s">
        <v>165</v>
      </c>
      <c r="S63" t="s">
        <v>221</v>
      </c>
      <c r="T63" t="s">
        <v>172</v>
      </c>
      <c r="U63">
        <v>2.3234462266561159E-2</v>
      </c>
      <c r="V63" t="s">
        <v>165</v>
      </c>
      <c r="AK63">
        <v>2039</v>
      </c>
      <c r="AL63" t="s">
        <v>158</v>
      </c>
      <c r="AM63">
        <v>0.22159999999999999</v>
      </c>
      <c r="AN63" t="s">
        <v>244</v>
      </c>
    </row>
    <row r="64" spans="9:40" x14ac:dyDescent="0.45">
      <c r="I64" t="s">
        <v>178</v>
      </c>
      <c r="J64" t="s">
        <v>173</v>
      </c>
      <c r="K64">
        <v>0</v>
      </c>
      <c r="L64" t="s">
        <v>165</v>
      </c>
      <c r="N64" t="s">
        <v>202</v>
      </c>
      <c r="O64" t="s">
        <v>173</v>
      </c>
      <c r="P64">
        <v>2.4426676212261241E-2</v>
      </c>
      <c r="Q64" t="s">
        <v>165</v>
      </c>
      <c r="S64" t="s">
        <v>221</v>
      </c>
      <c r="T64" t="s">
        <v>173</v>
      </c>
      <c r="U64">
        <v>1.7796981364847489E-2</v>
      </c>
      <c r="V64" t="s">
        <v>165</v>
      </c>
      <c r="AK64">
        <v>2039</v>
      </c>
      <c r="AL64" t="s">
        <v>160</v>
      </c>
      <c r="AM64">
        <v>0.19120000000000001</v>
      </c>
      <c r="AN64" t="s">
        <v>244</v>
      </c>
    </row>
    <row r="65" spans="9:40" x14ac:dyDescent="0.45">
      <c r="I65" t="s">
        <v>179</v>
      </c>
      <c r="J65" t="s">
        <v>164</v>
      </c>
      <c r="K65">
        <v>9.2581816988757629E-2</v>
      </c>
      <c r="L65" t="s">
        <v>165</v>
      </c>
      <c r="N65" t="s">
        <v>203</v>
      </c>
      <c r="O65" t="s">
        <v>164</v>
      </c>
      <c r="P65">
        <v>0.1972016833872331</v>
      </c>
      <c r="Q65" t="s">
        <v>165</v>
      </c>
      <c r="S65" t="s">
        <v>222</v>
      </c>
      <c r="T65" t="s">
        <v>164</v>
      </c>
      <c r="U65">
        <v>0.27365855705978254</v>
      </c>
      <c r="V65" t="s">
        <v>165</v>
      </c>
      <c r="AK65">
        <v>2040</v>
      </c>
      <c r="AL65" t="s">
        <v>154</v>
      </c>
      <c r="AM65">
        <v>0.23313999999999996</v>
      </c>
      <c r="AN65" t="s">
        <v>244</v>
      </c>
    </row>
    <row r="66" spans="9:40" x14ac:dyDescent="0.45">
      <c r="I66" t="s">
        <v>179</v>
      </c>
      <c r="J66" t="s">
        <v>166</v>
      </c>
      <c r="K66">
        <v>0.75216753610842479</v>
      </c>
      <c r="L66" t="s">
        <v>165</v>
      </c>
      <c r="N66" t="s">
        <v>203</v>
      </c>
      <c r="O66" t="s">
        <v>166</v>
      </c>
      <c r="P66">
        <v>0.31447821375828022</v>
      </c>
      <c r="Q66" t="s">
        <v>165</v>
      </c>
      <c r="S66" t="s">
        <v>222</v>
      </c>
      <c r="T66" t="s">
        <v>166</v>
      </c>
      <c r="U66">
        <v>0.29023102880157275</v>
      </c>
      <c r="V66" t="s">
        <v>165</v>
      </c>
      <c r="AK66">
        <v>2040</v>
      </c>
      <c r="AL66" t="s">
        <v>158</v>
      </c>
      <c r="AM66">
        <v>0.22650000000000001</v>
      </c>
      <c r="AN66" t="s">
        <v>244</v>
      </c>
    </row>
    <row r="67" spans="9:40" x14ac:dyDescent="0.45">
      <c r="I67" t="s">
        <v>179</v>
      </c>
      <c r="J67" t="s">
        <v>167</v>
      </c>
      <c r="K67">
        <v>6.7359232021713275E-2</v>
      </c>
      <c r="L67" t="s">
        <v>165</v>
      </c>
      <c r="N67" t="s">
        <v>203</v>
      </c>
      <c r="O67" t="s">
        <v>167</v>
      </c>
      <c r="P67">
        <v>0.20154992007401182</v>
      </c>
      <c r="Q67" t="s">
        <v>165</v>
      </c>
      <c r="S67" t="s">
        <v>222</v>
      </c>
      <c r="T67" t="s">
        <v>167</v>
      </c>
      <c r="U67">
        <v>0.24275731132488976</v>
      </c>
      <c r="V67" t="s">
        <v>165</v>
      </c>
      <c r="AK67">
        <v>2040</v>
      </c>
      <c r="AL67" t="s">
        <v>160</v>
      </c>
      <c r="AM67">
        <v>0.19409999999999999</v>
      </c>
      <c r="AN67" t="s">
        <v>244</v>
      </c>
    </row>
    <row r="68" spans="9:40" x14ac:dyDescent="0.45">
      <c r="I68" t="s">
        <v>179</v>
      </c>
      <c r="J68" t="s">
        <v>168</v>
      </c>
      <c r="K68">
        <v>1.0618629436351869E-3</v>
      </c>
      <c r="L68" t="s">
        <v>165</v>
      </c>
      <c r="N68" t="s">
        <v>203</v>
      </c>
      <c r="O68" t="s">
        <v>168</v>
      </c>
      <c r="P68">
        <v>5.2182149173811788E-2</v>
      </c>
      <c r="Q68" t="s">
        <v>165</v>
      </c>
      <c r="S68" t="s">
        <v>222</v>
      </c>
      <c r="T68" t="s">
        <v>168</v>
      </c>
      <c r="U68">
        <v>4.2132425474194268E-2</v>
      </c>
      <c r="V68" t="s">
        <v>165</v>
      </c>
      <c r="AK68">
        <v>2041</v>
      </c>
      <c r="AL68" t="s">
        <v>154</v>
      </c>
      <c r="AM68">
        <v>0.22963000000000006</v>
      </c>
      <c r="AN68" t="s">
        <v>244</v>
      </c>
    </row>
    <row r="69" spans="9:40" x14ac:dyDescent="0.45">
      <c r="I69" t="s">
        <v>179</v>
      </c>
      <c r="J69" t="s">
        <v>169</v>
      </c>
      <c r="K69">
        <v>4.2189632562662158E-2</v>
      </c>
      <c r="L69" t="s">
        <v>165</v>
      </c>
      <c r="N69" t="s">
        <v>203</v>
      </c>
      <c r="O69" t="s">
        <v>169</v>
      </c>
      <c r="P69">
        <v>7.4894892375369004E-2</v>
      </c>
      <c r="Q69" t="s">
        <v>165</v>
      </c>
      <c r="S69" t="s">
        <v>222</v>
      </c>
      <c r="T69" t="s">
        <v>169</v>
      </c>
      <c r="U69">
        <v>4.924228494549069E-2</v>
      </c>
      <c r="V69" t="s">
        <v>165</v>
      </c>
      <c r="AK69">
        <v>2041</v>
      </c>
      <c r="AL69" t="s">
        <v>158</v>
      </c>
      <c r="AM69">
        <v>0.21079999999999999</v>
      </c>
      <c r="AN69" t="s">
        <v>244</v>
      </c>
    </row>
    <row r="70" spans="9:40" x14ac:dyDescent="0.45">
      <c r="I70" t="s">
        <v>179</v>
      </c>
      <c r="J70" t="s">
        <v>170</v>
      </c>
      <c r="K70">
        <v>0</v>
      </c>
      <c r="L70" t="s">
        <v>165</v>
      </c>
      <c r="N70" t="s">
        <v>203</v>
      </c>
      <c r="O70" t="s">
        <v>170</v>
      </c>
      <c r="P70">
        <v>5.3764843940871769E-2</v>
      </c>
      <c r="Q70" t="s">
        <v>165</v>
      </c>
      <c r="S70" t="s">
        <v>222</v>
      </c>
      <c r="T70" t="s">
        <v>170</v>
      </c>
      <c r="U70">
        <v>3.8895717285907606E-2</v>
      </c>
      <c r="V70" t="s">
        <v>165</v>
      </c>
      <c r="AK70">
        <v>2041</v>
      </c>
      <c r="AL70" t="s">
        <v>160</v>
      </c>
      <c r="AM70">
        <v>0.19900000000000001</v>
      </c>
      <c r="AN70" t="s">
        <v>244</v>
      </c>
    </row>
    <row r="71" spans="9:40" x14ac:dyDescent="0.45">
      <c r="I71" t="s">
        <v>179</v>
      </c>
      <c r="J71" t="s">
        <v>171</v>
      </c>
      <c r="K71">
        <v>0</v>
      </c>
      <c r="L71" t="s">
        <v>165</v>
      </c>
      <c r="N71" t="s">
        <v>203</v>
      </c>
      <c r="O71" t="s">
        <v>171</v>
      </c>
      <c r="P71">
        <v>3.7881191256249606E-2</v>
      </c>
      <c r="Q71" t="s">
        <v>165</v>
      </c>
      <c r="S71" t="s">
        <v>222</v>
      </c>
      <c r="T71" t="s">
        <v>171</v>
      </c>
      <c r="U71">
        <v>2.1937152020709696E-2</v>
      </c>
      <c r="V71" t="s">
        <v>165</v>
      </c>
      <c r="AK71">
        <v>2042</v>
      </c>
      <c r="AL71" t="s">
        <v>154</v>
      </c>
      <c r="AM71">
        <v>0.24180000000000001</v>
      </c>
      <c r="AN71" t="s">
        <v>244</v>
      </c>
    </row>
    <row r="72" spans="9:40" x14ac:dyDescent="0.45">
      <c r="I72" t="s">
        <v>179</v>
      </c>
      <c r="J72" t="s">
        <v>172</v>
      </c>
      <c r="K72">
        <v>4.4639919374809219E-2</v>
      </c>
      <c r="L72" t="s">
        <v>165</v>
      </c>
      <c r="N72" t="s">
        <v>203</v>
      </c>
      <c r="O72" t="s">
        <v>172</v>
      </c>
      <c r="P72">
        <v>4.1140467765673323E-2</v>
      </c>
      <c r="Q72" t="s">
        <v>165</v>
      </c>
      <c r="S72" t="s">
        <v>222</v>
      </c>
      <c r="T72" t="s">
        <v>172</v>
      </c>
      <c r="U72">
        <v>2.4262913765658551E-2</v>
      </c>
      <c r="V72" t="s">
        <v>165</v>
      </c>
      <c r="AK72">
        <v>2042</v>
      </c>
      <c r="AL72" t="s">
        <v>158</v>
      </c>
      <c r="AM72">
        <v>0.23480000000000001</v>
      </c>
      <c r="AN72" t="s">
        <v>244</v>
      </c>
    </row>
    <row r="73" spans="9:40" x14ac:dyDescent="0.45">
      <c r="I73" t="s">
        <v>179</v>
      </c>
      <c r="J73" t="s">
        <v>173</v>
      </c>
      <c r="K73">
        <v>0</v>
      </c>
      <c r="L73" t="s">
        <v>165</v>
      </c>
      <c r="N73" t="s">
        <v>203</v>
      </c>
      <c r="O73" t="s">
        <v>173</v>
      </c>
      <c r="P73">
        <v>2.6906638268497134E-2</v>
      </c>
      <c r="Q73" t="s">
        <v>165</v>
      </c>
      <c r="S73" t="s">
        <v>222</v>
      </c>
      <c r="T73" t="s">
        <v>173</v>
      </c>
      <c r="U73">
        <v>1.6882609321795437E-2</v>
      </c>
      <c r="V73" t="s">
        <v>165</v>
      </c>
      <c r="AK73">
        <v>2042</v>
      </c>
      <c r="AL73" t="s">
        <v>160</v>
      </c>
      <c r="AM73">
        <v>0.18310000000000001</v>
      </c>
      <c r="AN73" t="s">
        <v>244</v>
      </c>
    </row>
    <row r="74" spans="9:40" x14ac:dyDescent="0.45">
      <c r="I74" t="s">
        <v>180</v>
      </c>
      <c r="J74" t="s">
        <v>164</v>
      </c>
      <c r="K74">
        <v>8.6893022214411045E-2</v>
      </c>
      <c r="L74" t="s">
        <v>165</v>
      </c>
      <c r="N74" t="s">
        <v>204</v>
      </c>
      <c r="O74" t="s">
        <v>164</v>
      </c>
      <c r="P74">
        <v>0.25293762166939793</v>
      </c>
      <c r="Q74" t="s">
        <v>165</v>
      </c>
      <c r="S74" t="s">
        <v>223</v>
      </c>
      <c r="T74" t="s">
        <v>164</v>
      </c>
      <c r="U74">
        <v>0.256800022261924</v>
      </c>
      <c r="V74" t="s">
        <v>165</v>
      </c>
      <c r="AK74">
        <v>2043</v>
      </c>
      <c r="AL74" t="s">
        <v>154</v>
      </c>
      <c r="AM74">
        <v>0.23082000000000003</v>
      </c>
      <c r="AN74" t="s">
        <v>244</v>
      </c>
    </row>
    <row r="75" spans="9:40" x14ac:dyDescent="0.45">
      <c r="I75" t="s">
        <v>180</v>
      </c>
      <c r="J75" t="s">
        <v>166</v>
      </c>
      <c r="K75">
        <v>0.75261265339923067</v>
      </c>
      <c r="L75" t="s">
        <v>165</v>
      </c>
      <c r="N75" t="s">
        <v>204</v>
      </c>
      <c r="O75" t="s">
        <v>166</v>
      </c>
      <c r="P75">
        <v>0.29684497832288037</v>
      </c>
      <c r="Q75" t="s">
        <v>165</v>
      </c>
      <c r="S75" t="s">
        <v>223</v>
      </c>
      <c r="T75" t="s">
        <v>166</v>
      </c>
      <c r="U75">
        <v>0.29246021873291173</v>
      </c>
      <c r="V75" t="s">
        <v>165</v>
      </c>
      <c r="AK75">
        <v>2043</v>
      </c>
      <c r="AL75" t="s">
        <v>158</v>
      </c>
      <c r="AM75">
        <v>0.23530000000000001</v>
      </c>
      <c r="AN75" t="s">
        <v>244</v>
      </c>
    </row>
    <row r="76" spans="9:40" x14ac:dyDescent="0.45">
      <c r="I76" t="s">
        <v>180</v>
      </c>
      <c r="J76" t="s">
        <v>167</v>
      </c>
      <c r="K76">
        <v>6.9118687241538607E-2</v>
      </c>
      <c r="L76" t="s">
        <v>165</v>
      </c>
      <c r="N76" t="s">
        <v>204</v>
      </c>
      <c r="O76" t="s">
        <v>167</v>
      </c>
      <c r="P76">
        <v>0.22819564724699171</v>
      </c>
      <c r="Q76" t="s">
        <v>165</v>
      </c>
      <c r="S76" t="s">
        <v>223</v>
      </c>
      <c r="T76" t="s">
        <v>167</v>
      </c>
      <c r="U76">
        <v>0.2514373820775348</v>
      </c>
      <c r="V76" t="s">
        <v>165</v>
      </c>
      <c r="AK76">
        <v>2043</v>
      </c>
      <c r="AL76" t="s">
        <v>160</v>
      </c>
      <c r="AM76">
        <v>0.20749999999999999</v>
      </c>
      <c r="AN76" t="s">
        <v>244</v>
      </c>
    </row>
    <row r="77" spans="9:40" x14ac:dyDescent="0.45">
      <c r="I77" t="s">
        <v>180</v>
      </c>
      <c r="J77" t="s">
        <v>168</v>
      </c>
      <c r="K77">
        <v>1.6872219709507053E-3</v>
      </c>
      <c r="L77" t="s">
        <v>165</v>
      </c>
      <c r="N77" t="s">
        <v>204</v>
      </c>
      <c r="O77" t="s">
        <v>168</v>
      </c>
      <c r="P77">
        <v>4.0281405315147095E-2</v>
      </c>
      <c r="Q77" t="s">
        <v>165</v>
      </c>
      <c r="S77" t="s">
        <v>223</v>
      </c>
      <c r="T77" t="s">
        <v>168</v>
      </c>
      <c r="U77">
        <v>4.1878611432137468E-2</v>
      </c>
      <c r="V77" t="s">
        <v>165</v>
      </c>
      <c r="AK77">
        <v>2044</v>
      </c>
      <c r="AL77" t="s">
        <v>154</v>
      </c>
      <c r="AM77">
        <v>0.23947000000000002</v>
      </c>
      <c r="AN77" t="s">
        <v>244</v>
      </c>
    </row>
    <row r="78" spans="9:40" x14ac:dyDescent="0.45">
      <c r="I78" t="s">
        <v>180</v>
      </c>
      <c r="J78" t="s">
        <v>169</v>
      </c>
      <c r="K78">
        <v>4.5009009338377717E-2</v>
      </c>
      <c r="L78" t="s">
        <v>165</v>
      </c>
      <c r="N78" t="s">
        <v>204</v>
      </c>
      <c r="O78" t="s">
        <v>169</v>
      </c>
      <c r="P78">
        <v>4.6576794347164309E-2</v>
      </c>
      <c r="Q78" t="s">
        <v>165</v>
      </c>
      <c r="S78" t="s">
        <v>223</v>
      </c>
      <c r="T78" t="s">
        <v>169</v>
      </c>
      <c r="U78">
        <v>4.7540456046144514E-2</v>
      </c>
      <c r="V78" t="s">
        <v>165</v>
      </c>
      <c r="AK78">
        <v>2044</v>
      </c>
      <c r="AL78" t="s">
        <v>158</v>
      </c>
      <c r="AM78">
        <v>0.22600000000000001</v>
      </c>
      <c r="AN78" t="s">
        <v>244</v>
      </c>
    </row>
    <row r="79" spans="9:40" x14ac:dyDescent="0.45">
      <c r="I79" t="s">
        <v>180</v>
      </c>
      <c r="J79" t="s">
        <v>170</v>
      </c>
      <c r="K79">
        <v>0</v>
      </c>
      <c r="L79" t="s">
        <v>165</v>
      </c>
      <c r="N79" t="s">
        <v>204</v>
      </c>
      <c r="O79" t="s">
        <v>170</v>
      </c>
      <c r="P79">
        <v>3.9153372286796245E-2</v>
      </c>
      <c r="Q79" t="s">
        <v>165</v>
      </c>
      <c r="S79" t="s">
        <v>223</v>
      </c>
      <c r="T79" t="s">
        <v>170</v>
      </c>
      <c r="U79">
        <v>4.3065547844696898E-2</v>
      </c>
      <c r="V79" t="s">
        <v>165</v>
      </c>
      <c r="AK79">
        <v>2044</v>
      </c>
      <c r="AL79" t="s">
        <v>160</v>
      </c>
      <c r="AM79">
        <v>0.21310000000000001</v>
      </c>
      <c r="AN79" t="s">
        <v>244</v>
      </c>
    </row>
    <row r="80" spans="9:40" x14ac:dyDescent="0.45">
      <c r="I80" t="s">
        <v>180</v>
      </c>
      <c r="J80" t="s">
        <v>171</v>
      </c>
      <c r="K80">
        <v>0</v>
      </c>
      <c r="L80" t="s">
        <v>165</v>
      </c>
      <c r="N80" t="s">
        <v>204</v>
      </c>
      <c r="O80" t="s">
        <v>171</v>
      </c>
      <c r="P80">
        <v>3.4433612676283615E-2</v>
      </c>
      <c r="Q80" t="s">
        <v>165</v>
      </c>
      <c r="S80" t="s">
        <v>223</v>
      </c>
      <c r="T80" t="s">
        <v>171</v>
      </c>
      <c r="U80">
        <v>2.4030422214791517E-2</v>
      </c>
      <c r="V80" t="s">
        <v>165</v>
      </c>
      <c r="AK80">
        <v>2045</v>
      </c>
      <c r="AL80" t="s">
        <v>154</v>
      </c>
      <c r="AM80">
        <v>0.23883000000000001</v>
      </c>
      <c r="AN80" t="s">
        <v>244</v>
      </c>
    </row>
    <row r="81" spans="9:40" x14ac:dyDescent="0.45">
      <c r="I81" t="s">
        <v>180</v>
      </c>
      <c r="J81" t="s">
        <v>172</v>
      </c>
      <c r="K81">
        <v>4.4679405835492118E-2</v>
      </c>
      <c r="L81" t="s">
        <v>165</v>
      </c>
      <c r="N81" t="s">
        <v>204</v>
      </c>
      <c r="O81" t="s">
        <v>172</v>
      </c>
      <c r="P81">
        <v>3.9085655332120321E-2</v>
      </c>
      <c r="Q81" t="s">
        <v>165</v>
      </c>
      <c r="S81" t="s">
        <v>223</v>
      </c>
      <c r="T81" t="s">
        <v>172</v>
      </c>
      <c r="U81">
        <v>2.3963476481941963E-2</v>
      </c>
      <c r="V81" t="s">
        <v>165</v>
      </c>
      <c r="AK81">
        <v>2045</v>
      </c>
      <c r="AL81" t="s">
        <v>158</v>
      </c>
      <c r="AM81">
        <v>0.2165</v>
      </c>
      <c r="AN81" t="s">
        <v>244</v>
      </c>
    </row>
    <row r="82" spans="9:40" x14ac:dyDescent="0.45">
      <c r="I82" t="s">
        <v>180</v>
      </c>
      <c r="J82" t="s">
        <v>173</v>
      </c>
      <c r="K82">
        <v>0</v>
      </c>
      <c r="L82" t="s">
        <v>165</v>
      </c>
      <c r="N82" t="s">
        <v>204</v>
      </c>
      <c r="O82" t="s">
        <v>173</v>
      </c>
      <c r="P82">
        <v>2.2490912803218795E-2</v>
      </c>
      <c r="Q82" t="s">
        <v>165</v>
      </c>
      <c r="S82" t="s">
        <v>223</v>
      </c>
      <c r="T82" t="s">
        <v>173</v>
      </c>
      <c r="U82">
        <v>1.8823862907918987E-2</v>
      </c>
      <c r="V82" t="s">
        <v>165</v>
      </c>
      <c r="AK82">
        <v>2045</v>
      </c>
      <c r="AL82" t="s">
        <v>160</v>
      </c>
      <c r="AM82">
        <v>0.20250000000000001</v>
      </c>
      <c r="AN82" t="s">
        <v>244</v>
      </c>
    </row>
    <row r="83" spans="9:40" x14ac:dyDescent="0.45">
      <c r="I83" t="s">
        <v>181</v>
      </c>
      <c r="J83" t="s">
        <v>164</v>
      </c>
      <c r="K83">
        <v>8.8002152130217406E-2</v>
      </c>
      <c r="L83" t="s">
        <v>165</v>
      </c>
      <c r="N83" t="s">
        <v>205</v>
      </c>
      <c r="O83" t="s">
        <v>164</v>
      </c>
      <c r="P83">
        <v>0.27319010017697798</v>
      </c>
      <c r="Q83" t="s">
        <v>165</v>
      </c>
      <c r="S83" t="s">
        <v>224</v>
      </c>
      <c r="T83" t="s">
        <v>164</v>
      </c>
      <c r="U83">
        <v>0.25278628817679671</v>
      </c>
      <c r="V83" t="s">
        <v>165</v>
      </c>
      <c r="AK83">
        <v>2046</v>
      </c>
      <c r="AL83" t="s">
        <v>154</v>
      </c>
      <c r="AM83">
        <v>0.22664999999999996</v>
      </c>
      <c r="AN83" t="s">
        <v>244</v>
      </c>
    </row>
    <row r="84" spans="9:40" x14ac:dyDescent="0.45">
      <c r="I84" t="s">
        <v>181</v>
      </c>
      <c r="J84" t="s">
        <v>166</v>
      </c>
      <c r="K84">
        <v>0.75484931482619799</v>
      </c>
      <c r="L84" t="s">
        <v>165</v>
      </c>
      <c r="N84" t="s">
        <v>205</v>
      </c>
      <c r="O84" t="s">
        <v>166</v>
      </c>
      <c r="P84">
        <v>0.25307200312959915</v>
      </c>
      <c r="Q84" t="s">
        <v>165</v>
      </c>
      <c r="S84" t="s">
        <v>224</v>
      </c>
      <c r="T84" t="s">
        <v>166</v>
      </c>
      <c r="U84">
        <v>0.29139439074158474</v>
      </c>
      <c r="V84" t="s">
        <v>165</v>
      </c>
      <c r="AK84">
        <v>2046</v>
      </c>
      <c r="AL84" t="s">
        <v>158</v>
      </c>
      <c r="AM84">
        <v>0.2031</v>
      </c>
      <c r="AN84" t="s">
        <v>244</v>
      </c>
    </row>
    <row r="85" spans="9:40" x14ac:dyDescent="0.45">
      <c r="I85" t="s">
        <v>181</v>
      </c>
      <c r="J85" t="s">
        <v>167</v>
      </c>
      <c r="K85">
        <v>6.8476146421198647E-2</v>
      </c>
      <c r="L85" t="s">
        <v>165</v>
      </c>
      <c r="N85" t="s">
        <v>205</v>
      </c>
      <c r="O85" t="s">
        <v>167</v>
      </c>
      <c r="P85">
        <v>0.23502541839078167</v>
      </c>
      <c r="Q85" t="s">
        <v>165</v>
      </c>
      <c r="S85" t="s">
        <v>224</v>
      </c>
      <c r="T85" t="s">
        <v>167</v>
      </c>
      <c r="U85">
        <v>0.23879531313505273</v>
      </c>
      <c r="V85" t="s">
        <v>165</v>
      </c>
      <c r="AK85">
        <v>2046</v>
      </c>
      <c r="AL85" t="s">
        <v>160</v>
      </c>
      <c r="AM85">
        <v>0.19639999999999999</v>
      </c>
      <c r="AN85" t="s">
        <v>244</v>
      </c>
    </row>
    <row r="86" spans="9:40" x14ac:dyDescent="0.45">
      <c r="I86" t="s">
        <v>181</v>
      </c>
      <c r="J86" t="s">
        <v>168</v>
      </c>
      <c r="K86">
        <v>1.2216361704379989E-3</v>
      </c>
      <c r="L86" t="s">
        <v>165</v>
      </c>
      <c r="N86" t="s">
        <v>205</v>
      </c>
      <c r="O86" t="s">
        <v>168</v>
      </c>
      <c r="P86">
        <v>4.8616233844669336E-2</v>
      </c>
      <c r="Q86" t="s">
        <v>165</v>
      </c>
      <c r="S86" t="s">
        <v>224</v>
      </c>
      <c r="T86" t="s">
        <v>168</v>
      </c>
      <c r="U86">
        <v>4.4372149823638837E-2</v>
      </c>
      <c r="V86" t="s">
        <v>165</v>
      </c>
      <c r="AK86">
        <v>2047</v>
      </c>
      <c r="AL86" t="s">
        <v>154</v>
      </c>
      <c r="AM86">
        <v>0.23681999999999997</v>
      </c>
      <c r="AN86" t="s">
        <v>244</v>
      </c>
    </row>
    <row r="87" spans="9:40" x14ac:dyDescent="0.45">
      <c r="I87" t="s">
        <v>181</v>
      </c>
      <c r="J87" t="s">
        <v>169</v>
      </c>
      <c r="K87">
        <v>4.2888870956788935E-2</v>
      </c>
      <c r="L87" t="s">
        <v>165</v>
      </c>
      <c r="N87" t="s">
        <v>205</v>
      </c>
      <c r="O87" t="s">
        <v>169</v>
      </c>
      <c r="P87">
        <v>5.7577955934567458E-2</v>
      </c>
      <c r="Q87" t="s">
        <v>165</v>
      </c>
      <c r="S87" t="s">
        <v>224</v>
      </c>
      <c r="T87" t="s">
        <v>169</v>
      </c>
      <c r="U87">
        <v>5.1232227734313983E-2</v>
      </c>
      <c r="V87" t="s">
        <v>165</v>
      </c>
      <c r="AK87">
        <v>2047</v>
      </c>
      <c r="AL87" t="s">
        <v>158</v>
      </c>
      <c r="AM87">
        <v>0.24579999999999999</v>
      </c>
      <c r="AN87" t="s">
        <v>244</v>
      </c>
    </row>
    <row r="88" spans="9:40" x14ac:dyDescent="0.45">
      <c r="I88" t="s">
        <v>181</v>
      </c>
      <c r="J88" t="s">
        <v>170</v>
      </c>
      <c r="K88">
        <v>0</v>
      </c>
      <c r="L88" t="s">
        <v>165</v>
      </c>
      <c r="N88" t="s">
        <v>205</v>
      </c>
      <c r="O88" t="s">
        <v>170</v>
      </c>
      <c r="P88">
        <v>4.5307282282561402E-2</v>
      </c>
      <c r="Q88" t="s">
        <v>165</v>
      </c>
      <c r="S88" t="s">
        <v>224</v>
      </c>
      <c r="T88" t="s">
        <v>170</v>
      </c>
      <c r="U88">
        <v>4.2840441546817966E-2</v>
      </c>
      <c r="V88" t="s">
        <v>165</v>
      </c>
      <c r="AK88">
        <v>2047</v>
      </c>
      <c r="AL88" t="s">
        <v>160</v>
      </c>
      <c r="AM88">
        <v>0.20250000000000001</v>
      </c>
      <c r="AN88" t="s">
        <v>244</v>
      </c>
    </row>
    <row r="89" spans="9:40" x14ac:dyDescent="0.45">
      <c r="I89" t="s">
        <v>181</v>
      </c>
      <c r="J89" t="s">
        <v>171</v>
      </c>
      <c r="K89">
        <v>0</v>
      </c>
      <c r="L89" t="s">
        <v>165</v>
      </c>
      <c r="N89" t="s">
        <v>205</v>
      </c>
      <c r="O89" t="s">
        <v>171</v>
      </c>
      <c r="P89">
        <v>3.2942368083706895E-2</v>
      </c>
      <c r="Q89" t="s">
        <v>165</v>
      </c>
      <c r="S89" t="s">
        <v>224</v>
      </c>
      <c r="T89" t="s">
        <v>171</v>
      </c>
      <c r="U89">
        <v>2.8281796902321112E-2</v>
      </c>
      <c r="V89" t="s">
        <v>165</v>
      </c>
      <c r="AK89">
        <v>2048</v>
      </c>
      <c r="AL89" t="s">
        <v>154</v>
      </c>
      <c r="AM89">
        <v>0.23518999999999995</v>
      </c>
      <c r="AN89" t="s">
        <v>244</v>
      </c>
    </row>
    <row r="90" spans="9:40" x14ac:dyDescent="0.45">
      <c r="I90" t="s">
        <v>181</v>
      </c>
      <c r="J90" t="s">
        <v>172</v>
      </c>
      <c r="K90">
        <v>4.4561879495161952E-2</v>
      </c>
      <c r="L90" t="s">
        <v>165</v>
      </c>
      <c r="N90" t="s">
        <v>205</v>
      </c>
      <c r="O90" t="s">
        <v>172</v>
      </c>
      <c r="P90">
        <v>3.4991078149876682E-2</v>
      </c>
      <c r="Q90" t="s">
        <v>165</v>
      </c>
      <c r="S90" t="s">
        <v>224</v>
      </c>
      <c r="T90" t="s">
        <v>172</v>
      </c>
      <c r="U90">
        <v>2.7943069439934406E-2</v>
      </c>
      <c r="V90" t="s">
        <v>165</v>
      </c>
      <c r="AK90">
        <v>2048</v>
      </c>
      <c r="AL90" t="s">
        <v>158</v>
      </c>
      <c r="AM90">
        <v>0.20530000000000001</v>
      </c>
      <c r="AN90" t="s">
        <v>244</v>
      </c>
    </row>
    <row r="91" spans="9:40" x14ac:dyDescent="0.45">
      <c r="I91" t="s">
        <v>181</v>
      </c>
      <c r="J91" t="s">
        <v>173</v>
      </c>
      <c r="K91">
        <v>0</v>
      </c>
      <c r="L91" t="s">
        <v>165</v>
      </c>
      <c r="N91" t="s">
        <v>205</v>
      </c>
      <c r="O91" t="s">
        <v>173</v>
      </c>
      <c r="P91">
        <v>1.9277560007255817E-2</v>
      </c>
      <c r="Q91" t="s">
        <v>165</v>
      </c>
      <c r="S91" t="s">
        <v>224</v>
      </c>
      <c r="T91" t="s">
        <v>173</v>
      </c>
      <c r="U91">
        <v>2.2354322499537112E-2</v>
      </c>
      <c r="V91" t="s">
        <v>165</v>
      </c>
      <c r="AK91">
        <v>2048</v>
      </c>
      <c r="AL91" t="s">
        <v>160</v>
      </c>
      <c r="AM91">
        <v>0.1996</v>
      </c>
      <c r="AN91" t="s">
        <v>244</v>
      </c>
    </row>
    <row r="92" spans="9:40" x14ac:dyDescent="0.45">
      <c r="I92" t="s">
        <v>182</v>
      </c>
      <c r="J92" t="s">
        <v>164</v>
      </c>
      <c r="K92">
        <v>7.7316987266609613E-2</v>
      </c>
      <c r="L92" t="s">
        <v>165</v>
      </c>
      <c r="N92" t="s">
        <v>206</v>
      </c>
      <c r="O92" t="s">
        <v>164</v>
      </c>
      <c r="P92">
        <v>0.25285842310411805</v>
      </c>
      <c r="Q92" t="s">
        <v>165</v>
      </c>
      <c r="S92" t="s">
        <v>225</v>
      </c>
      <c r="T92" t="s">
        <v>164</v>
      </c>
      <c r="U92">
        <v>0.25568484053948898</v>
      </c>
      <c r="V92" t="s">
        <v>165</v>
      </c>
      <c r="AK92">
        <v>2049</v>
      </c>
      <c r="AL92" t="s">
        <v>154</v>
      </c>
      <c r="AM92">
        <v>0.23712999999999998</v>
      </c>
      <c r="AN92" t="s">
        <v>244</v>
      </c>
    </row>
    <row r="93" spans="9:40" x14ac:dyDescent="0.45">
      <c r="I93" t="s">
        <v>182</v>
      </c>
      <c r="J93" t="s">
        <v>166</v>
      </c>
      <c r="K93">
        <v>0.75636941702056248</v>
      </c>
      <c r="L93" t="s">
        <v>165</v>
      </c>
      <c r="N93" t="s">
        <v>206</v>
      </c>
      <c r="O93" t="s">
        <v>166</v>
      </c>
      <c r="P93">
        <v>0.30532019194144167</v>
      </c>
      <c r="Q93" t="s">
        <v>165</v>
      </c>
      <c r="S93" t="s">
        <v>225</v>
      </c>
      <c r="T93" t="s">
        <v>166</v>
      </c>
      <c r="U93">
        <v>0.28052932438674882</v>
      </c>
      <c r="V93" t="s">
        <v>165</v>
      </c>
      <c r="AK93">
        <v>2049</v>
      </c>
      <c r="AL93" t="s">
        <v>158</v>
      </c>
      <c r="AM93">
        <v>0.24590000000000001</v>
      </c>
      <c r="AN93" t="s">
        <v>244</v>
      </c>
    </row>
    <row r="94" spans="9:40" x14ac:dyDescent="0.45">
      <c r="I94" t="s">
        <v>182</v>
      </c>
      <c r="J94" t="s">
        <v>167</v>
      </c>
      <c r="K94">
        <v>7.1881039764902094E-2</v>
      </c>
      <c r="L94" t="s">
        <v>165</v>
      </c>
      <c r="N94" t="s">
        <v>206</v>
      </c>
      <c r="O94" t="s">
        <v>167</v>
      </c>
      <c r="P94">
        <v>0.24092802937613925</v>
      </c>
      <c r="Q94" t="s">
        <v>165</v>
      </c>
      <c r="S94" t="s">
        <v>225</v>
      </c>
      <c r="T94" t="s">
        <v>167</v>
      </c>
      <c r="U94">
        <v>0.23300338376103963</v>
      </c>
      <c r="V94" t="s">
        <v>165</v>
      </c>
      <c r="AK94">
        <v>2049</v>
      </c>
      <c r="AL94" t="s">
        <v>160</v>
      </c>
      <c r="AM94">
        <v>0.2127</v>
      </c>
      <c r="AN94" t="s">
        <v>244</v>
      </c>
    </row>
    <row r="95" spans="9:40" x14ac:dyDescent="0.45">
      <c r="I95" t="s">
        <v>182</v>
      </c>
      <c r="J95" t="s">
        <v>168</v>
      </c>
      <c r="K95">
        <v>1.8618113483373682E-3</v>
      </c>
      <c r="L95" t="s">
        <v>165</v>
      </c>
      <c r="N95" t="s">
        <v>206</v>
      </c>
      <c r="O95" t="s">
        <v>168</v>
      </c>
      <c r="P95">
        <v>3.9174771113694995E-2</v>
      </c>
      <c r="Q95" t="s">
        <v>165</v>
      </c>
      <c r="S95" t="s">
        <v>225</v>
      </c>
      <c r="T95" t="s">
        <v>168</v>
      </c>
      <c r="U95">
        <v>5.4386209372994633E-2</v>
      </c>
      <c r="V95" t="s">
        <v>165</v>
      </c>
      <c r="AK95">
        <v>2050</v>
      </c>
      <c r="AL95" t="s">
        <v>154</v>
      </c>
      <c r="AM95">
        <v>0.23191000000000001</v>
      </c>
      <c r="AN95" t="s">
        <v>244</v>
      </c>
    </row>
    <row r="96" spans="9:40" x14ac:dyDescent="0.45">
      <c r="I96" t="s">
        <v>182</v>
      </c>
      <c r="J96" t="s">
        <v>169</v>
      </c>
      <c r="K96">
        <v>4.7543685956245772E-2</v>
      </c>
      <c r="L96" t="s">
        <v>165</v>
      </c>
      <c r="N96" t="s">
        <v>206</v>
      </c>
      <c r="O96" t="s">
        <v>169</v>
      </c>
      <c r="P96">
        <v>4.3450561213437426E-2</v>
      </c>
      <c r="Q96" t="s">
        <v>165</v>
      </c>
      <c r="S96" t="s">
        <v>225</v>
      </c>
      <c r="T96" t="s">
        <v>169</v>
      </c>
      <c r="U96">
        <v>5.9557212222594448E-2</v>
      </c>
      <c r="V96" t="s">
        <v>165</v>
      </c>
      <c r="AK96">
        <v>2050</v>
      </c>
      <c r="AL96" t="s">
        <v>158</v>
      </c>
      <c r="AM96">
        <v>0.20349999999999999</v>
      </c>
      <c r="AN96" t="s">
        <v>244</v>
      </c>
    </row>
    <row r="97" spans="9:40" x14ac:dyDescent="0.45">
      <c r="I97" t="s">
        <v>182</v>
      </c>
      <c r="J97" t="s">
        <v>170</v>
      </c>
      <c r="K97">
        <v>0</v>
      </c>
      <c r="L97" t="s">
        <v>165</v>
      </c>
      <c r="N97" t="s">
        <v>206</v>
      </c>
      <c r="O97" t="s">
        <v>170</v>
      </c>
      <c r="P97">
        <v>3.8747579423784005E-2</v>
      </c>
      <c r="Q97" t="s">
        <v>165</v>
      </c>
      <c r="S97" t="s">
        <v>225</v>
      </c>
      <c r="T97" t="s">
        <v>170</v>
      </c>
      <c r="U97">
        <v>4.9211591693232047E-2</v>
      </c>
      <c r="V97" t="s">
        <v>165</v>
      </c>
      <c r="AK97">
        <v>2050</v>
      </c>
      <c r="AL97" t="s">
        <v>160</v>
      </c>
      <c r="AM97">
        <v>0.19420000000000001</v>
      </c>
      <c r="AN97" t="s">
        <v>244</v>
      </c>
    </row>
    <row r="98" spans="9:40" x14ac:dyDescent="0.45">
      <c r="I98" t="s">
        <v>182</v>
      </c>
      <c r="J98" t="s">
        <v>171</v>
      </c>
      <c r="K98">
        <v>0</v>
      </c>
      <c r="L98" t="s">
        <v>165</v>
      </c>
      <c r="N98" t="s">
        <v>206</v>
      </c>
      <c r="O98" t="s">
        <v>171</v>
      </c>
      <c r="P98">
        <v>2.5538894047459019E-2</v>
      </c>
      <c r="Q98" t="s">
        <v>165</v>
      </c>
      <c r="S98" t="s">
        <v>225</v>
      </c>
      <c r="T98" t="s">
        <v>171</v>
      </c>
      <c r="U98">
        <v>2.4272067222204621E-2</v>
      </c>
      <c r="V98" t="s">
        <v>165</v>
      </c>
    </row>
    <row r="99" spans="9:40" x14ac:dyDescent="0.45">
      <c r="I99" t="s">
        <v>182</v>
      </c>
      <c r="J99" t="s">
        <v>172</v>
      </c>
      <c r="K99">
        <v>4.5027058643341458E-2</v>
      </c>
      <c r="L99" t="s">
        <v>165</v>
      </c>
      <c r="N99" t="s">
        <v>206</v>
      </c>
      <c r="O99" t="s">
        <v>172</v>
      </c>
      <c r="P99">
        <v>3.2610053003737871E-2</v>
      </c>
      <c r="Q99" t="s">
        <v>165</v>
      </c>
      <c r="S99" t="s">
        <v>225</v>
      </c>
      <c r="T99" t="s">
        <v>172</v>
      </c>
      <c r="U99">
        <v>2.4794876476467134E-2</v>
      </c>
      <c r="V99" t="s">
        <v>165</v>
      </c>
    </row>
    <row r="100" spans="9:40" x14ac:dyDescent="0.45">
      <c r="I100" t="s">
        <v>182</v>
      </c>
      <c r="J100" t="s">
        <v>173</v>
      </c>
      <c r="K100">
        <v>0</v>
      </c>
      <c r="L100" t="s">
        <v>165</v>
      </c>
      <c r="N100" t="s">
        <v>206</v>
      </c>
      <c r="O100" t="s">
        <v>173</v>
      </c>
      <c r="P100">
        <v>2.1371496776185724E-2</v>
      </c>
      <c r="Q100" t="s">
        <v>165</v>
      </c>
      <c r="S100" t="s">
        <v>225</v>
      </c>
      <c r="T100" t="s">
        <v>173</v>
      </c>
      <c r="U100">
        <v>1.8560494325229368E-2</v>
      </c>
      <c r="V100" t="s">
        <v>165</v>
      </c>
    </row>
    <row r="101" spans="9:40" x14ac:dyDescent="0.45">
      <c r="I101" t="s">
        <v>183</v>
      </c>
      <c r="J101" t="s">
        <v>164</v>
      </c>
      <c r="K101">
        <v>7.6436051637892036E-2</v>
      </c>
      <c r="L101" t="s">
        <v>165</v>
      </c>
      <c r="N101" t="s">
        <v>207</v>
      </c>
      <c r="O101" t="s">
        <v>164</v>
      </c>
      <c r="P101">
        <v>0.28260745033025214</v>
      </c>
      <c r="Q101" t="s">
        <v>165</v>
      </c>
      <c r="S101" t="s">
        <v>226</v>
      </c>
      <c r="T101" t="s">
        <v>164</v>
      </c>
      <c r="U101">
        <v>0.24321825999532812</v>
      </c>
      <c r="V101" t="s">
        <v>165</v>
      </c>
    </row>
    <row r="102" spans="9:40" x14ac:dyDescent="0.45">
      <c r="I102" t="s">
        <v>183</v>
      </c>
      <c r="J102" t="s">
        <v>166</v>
      </c>
      <c r="K102">
        <v>0.75470166735130273</v>
      </c>
      <c r="L102" t="s">
        <v>165</v>
      </c>
      <c r="N102" t="s">
        <v>207</v>
      </c>
      <c r="O102" t="s">
        <v>166</v>
      </c>
      <c r="P102">
        <v>0.29921796937212514</v>
      </c>
      <c r="Q102" t="s">
        <v>165</v>
      </c>
      <c r="S102" t="s">
        <v>226</v>
      </c>
      <c r="T102" t="s">
        <v>166</v>
      </c>
      <c r="U102">
        <v>0.28043259229855161</v>
      </c>
      <c r="V102" t="s">
        <v>165</v>
      </c>
    </row>
    <row r="103" spans="9:40" x14ac:dyDescent="0.45">
      <c r="I103" t="s">
        <v>183</v>
      </c>
      <c r="J103" t="s">
        <v>167</v>
      </c>
      <c r="K103">
        <v>7.0400792075904522E-2</v>
      </c>
      <c r="L103" t="s">
        <v>165</v>
      </c>
      <c r="N103" t="s">
        <v>207</v>
      </c>
      <c r="O103" t="s">
        <v>167</v>
      </c>
      <c r="P103">
        <v>0.24905491760699447</v>
      </c>
      <c r="Q103" t="s">
        <v>165</v>
      </c>
      <c r="S103" t="s">
        <v>226</v>
      </c>
      <c r="T103" t="s">
        <v>167</v>
      </c>
      <c r="U103">
        <v>0.21799011729414694</v>
      </c>
      <c r="V103" t="s">
        <v>165</v>
      </c>
    </row>
    <row r="104" spans="9:40" x14ac:dyDescent="0.45">
      <c r="I104" t="s">
        <v>183</v>
      </c>
      <c r="J104" t="s">
        <v>168</v>
      </c>
      <c r="K104">
        <v>2.2130790494611485E-3</v>
      </c>
      <c r="L104" t="s">
        <v>165</v>
      </c>
      <c r="N104" t="s">
        <v>207</v>
      </c>
      <c r="O104" t="s">
        <v>168</v>
      </c>
      <c r="P104">
        <v>3.2500158396814853E-2</v>
      </c>
      <c r="Q104" t="s">
        <v>165</v>
      </c>
      <c r="S104" t="s">
        <v>226</v>
      </c>
      <c r="T104" t="s">
        <v>168</v>
      </c>
      <c r="U104">
        <v>5.6797534996971093E-2</v>
      </c>
      <c r="V104" t="s">
        <v>165</v>
      </c>
    </row>
    <row r="105" spans="9:40" x14ac:dyDescent="0.45">
      <c r="I105" t="s">
        <v>183</v>
      </c>
      <c r="J105" t="s">
        <v>169</v>
      </c>
      <c r="K105">
        <v>5.1357267520326627E-2</v>
      </c>
      <c r="L105" t="s">
        <v>165</v>
      </c>
      <c r="N105" t="s">
        <v>207</v>
      </c>
      <c r="O105" t="s">
        <v>169</v>
      </c>
      <c r="P105">
        <v>3.6895631947445766E-2</v>
      </c>
      <c r="Q105" t="s">
        <v>165</v>
      </c>
      <c r="S105" t="s">
        <v>226</v>
      </c>
      <c r="T105" t="s">
        <v>169</v>
      </c>
      <c r="U105">
        <v>6.773696677214934E-2</v>
      </c>
      <c r="V105" t="s">
        <v>165</v>
      </c>
    </row>
    <row r="106" spans="9:40" x14ac:dyDescent="0.45">
      <c r="I106" t="s">
        <v>183</v>
      </c>
      <c r="J106" t="s">
        <v>170</v>
      </c>
      <c r="K106">
        <v>0</v>
      </c>
      <c r="L106" t="s">
        <v>165</v>
      </c>
      <c r="N106" t="s">
        <v>207</v>
      </c>
      <c r="O106" t="s">
        <v>170</v>
      </c>
      <c r="P106">
        <v>2.9131616262675675E-2</v>
      </c>
      <c r="Q106" t="s">
        <v>165</v>
      </c>
      <c r="S106" t="s">
        <v>226</v>
      </c>
      <c r="T106" t="s">
        <v>170</v>
      </c>
      <c r="U106">
        <v>5.3011575316554954E-2</v>
      </c>
      <c r="V106" t="s">
        <v>165</v>
      </c>
    </row>
    <row r="107" spans="9:40" x14ac:dyDescent="0.45">
      <c r="I107" t="s">
        <v>183</v>
      </c>
      <c r="J107" t="s">
        <v>171</v>
      </c>
      <c r="K107">
        <v>7.4912984705120101E-5</v>
      </c>
      <c r="L107" t="s">
        <v>165</v>
      </c>
      <c r="N107" t="s">
        <v>207</v>
      </c>
      <c r="O107" t="s">
        <v>171</v>
      </c>
      <c r="P107">
        <v>2.485524937713424E-2</v>
      </c>
      <c r="Q107" t="s">
        <v>165</v>
      </c>
      <c r="S107" t="s">
        <v>226</v>
      </c>
      <c r="T107" t="s">
        <v>171</v>
      </c>
      <c r="U107">
        <v>2.8201101210628798E-2</v>
      </c>
      <c r="V107" t="s">
        <v>165</v>
      </c>
    </row>
    <row r="108" spans="9:40" x14ac:dyDescent="0.45">
      <c r="I108" t="s">
        <v>183</v>
      </c>
      <c r="J108" t="s">
        <v>172</v>
      </c>
      <c r="K108">
        <v>4.4816229380409259E-2</v>
      </c>
      <c r="L108" t="s">
        <v>165</v>
      </c>
      <c r="N108" t="s">
        <v>207</v>
      </c>
      <c r="O108" t="s">
        <v>172</v>
      </c>
      <c r="P108">
        <v>2.7558403464616205E-2</v>
      </c>
      <c r="Q108" t="s">
        <v>165</v>
      </c>
      <c r="S108" t="s">
        <v>226</v>
      </c>
      <c r="T108" t="s">
        <v>172</v>
      </c>
      <c r="U108">
        <v>2.8556099893123389E-2</v>
      </c>
      <c r="V108" t="s">
        <v>165</v>
      </c>
    </row>
    <row r="109" spans="9:40" x14ac:dyDescent="0.45">
      <c r="I109" t="s">
        <v>183</v>
      </c>
      <c r="J109" t="s">
        <v>173</v>
      </c>
      <c r="K109">
        <v>0</v>
      </c>
      <c r="L109" t="s">
        <v>165</v>
      </c>
      <c r="N109" t="s">
        <v>207</v>
      </c>
      <c r="O109" t="s">
        <v>173</v>
      </c>
      <c r="P109">
        <v>1.8178603241943196E-2</v>
      </c>
      <c r="Q109" t="s">
        <v>165</v>
      </c>
      <c r="S109" t="s">
        <v>226</v>
      </c>
      <c r="T109" t="s">
        <v>173</v>
      </c>
      <c r="U109">
        <v>2.4055752222547883E-2</v>
      </c>
      <c r="V109" t="s">
        <v>165</v>
      </c>
    </row>
    <row r="110" spans="9:40" x14ac:dyDescent="0.45">
      <c r="I110" t="s">
        <v>184</v>
      </c>
      <c r="J110" t="s">
        <v>164</v>
      </c>
      <c r="K110">
        <v>3.7705301313523169E-2</v>
      </c>
      <c r="L110" t="s">
        <v>165</v>
      </c>
      <c r="N110" t="s">
        <v>208</v>
      </c>
      <c r="O110" t="s">
        <v>164</v>
      </c>
      <c r="P110">
        <v>0.20731294410373863</v>
      </c>
      <c r="Q110" t="s">
        <v>165</v>
      </c>
      <c r="S110" t="s">
        <v>227</v>
      </c>
      <c r="T110" t="s">
        <v>164</v>
      </c>
      <c r="U110">
        <v>0.25204883271325268</v>
      </c>
      <c r="V110" t="s">
        <v>165</v>
      </c>
    </row>
    <row r="111" spans="9:40" x14ac:dyDescent="0.45">
      <c r="I111" t="s">
        <v>184</v>
      </c>
      <c r="J111" t="s">
        <v>166</v>
      </c>
      <c r="K111">
        <v>0.74767529628488094</v>
      </c>
      <c r="L111" t="s">
        <v>165</v>
      </c>
      <c r="N111" t="s">
        <v>208</v>
      </c>
      <c r="O111" t="s">
        <v>166</v>
      </c>
      <c r="P111">
        <v>0.36352896490253206</v>
      </c>
      <c r="Q111" t="s">
        <v>165</v>
      </c>
      <c r="S111" t="s">
        <v>227</v>
      </c>
      <c r="T111" t="s">
        <v>166</v>
      </c>
      <c r="U111">
        <v>0.29775222777171245</v>
      </c>
      <c r="V111" t="s">
        <v>165</v>
      </c>
    </row>
    <row r="112" spans="9:40" x14ac:dyDescent="0.45">
      <c r="I112" t="s">
        <v>184</v>
      </c>
      <c r="J112" t="s">
        <v>167</v>
      </c>
      <c r="K112">
        <v>0.11756787656256029</v>
      </c>
      <c r="L112" t="s">
        <v>165</v>
      </c>
      <c r="N112" t="s">
        <v>208</v>
      </c>
      <c r="O112" t="s">
        <v>167</v>
      </c>
      <c r="P112">
        <v>0.22522013139981223</v>
      </c>
      <c r="Q112" t="s">
        <v>165</v>
      </c>
      <c r="S112" t="s">
        <v>227</v>
      </c>
      <c r="T112" t="s">
        <v>167</v>
      </c>
      <c r="U112">
        <v>0.25531813228619232</v>
      </c>
      <c r="V112" t="s">
        <v>165</v>
      </c>
    </row>
    <row r="113" spans="9:22" x14ac:dyDescent="0.45">
      <c r="I113" t="s">
        <v>184</v>
      </c>
      <c r="J113" t="s">
        <v>168</v>
      </c>
      <c r="K113">
        <v>0</v>
      </c>
      <c r="L113" t="s">
        <v>165</v>
      </c>
      <c r="N113" t="s">
        <v>208</v>
      </c>
      <c r="O113" t="s">
        <v>168</v>
      </c>
      <c r="P113">
        <v>4.0377534183124876E-2</v>
      </c>
      <c r="Q113" t="s">
        <v>165</v>
      </c>
      <c r="S113" t="s">
        <v>227</v>
      </c>
      <c r="T113" t="s">
        <v>168</v>
      </c>
      <c r="U113">
        <v>4.2243733917982251E-2</v>
      </c>
      <c r="V113" t="s">
        <v>165</v>
      </c>
    </row>
    <row r="114" spans="9:22" x14ac:dyDescent="0.45">
      <c r="I114" t="s">
        <v>184</v>
      </c>
      <c r="J114" t="s">
        <v>169</v>
      </c>
      <c r="K114">
        <v>4.9795996168742106E-2</v>
      </c>
      <c r="L114" t="s">
        <v>165</v>
      </c>
      <c r="N114" t="s">
        <v>208</v>
      </c>
      <c r="O114" t="s">
        <v>169</v>
      </c>
      <c r="P114">
        <v>4.7907651723401619E-2</v>
      </c>
      <c r="Q114" t="s">
        <v>165</v>
      </c>
      <c r="S114" t="s">
        <v>227</v>
      </c>
      <c r="T114" t="s">
        <v>169</v>
      </c>
      <c r="U114">
        <v>4.5776314216651966E-2</v>
      </c>
      <c r="V114" t="s">
        <v>165</v>
      </c>
    </row>
    <row r="115" spans="9:22" x14ac:dyDescent="0.45">
      <c r="I115" t="s">
        <v>184</v>
      </c>
      <c r="J115" t="s">
        <v>170</v>
      </c>
      <c r="K115">
        <v>2.6803027397168948E-3</v>
      </c>
      <c r="L115" t="s">
        <v>165</v>
      </c>
      <c r="N115" t="s">
        <v>208</v>
      </c>
      <c r="O115" t="s">
        <v>170</v>
      </c>
      <c r="P115">
        <v>3.791207752886528E-2</v>
      </c>
      <c r="Q115" t="s">
        <v>165</v>
      </c>
      <c r="S115" t="s">
        <v>227</v>
      </c>
      <c r="T115" t="s">
        <v>170</v>
      </c>
      <c r="U115">
        <v>4.2219312431775083E-2</v>
      </c>
      <c r="V115" t="s">
        <v>165</v>
      </c>
    </row>
    <row r="116" spans="9:22" x14ac:dyDescent="0.45">
      <c r="I116" t="s">
        <v>184</v>
      </c>
      <c r="J116" t="s">
        <v>171</v>
      </c>
      <c r="K116">
        <v>0</v>
      </c>
      <c r="L116" t="s">
        <v>165</v>
      </c>
      <c r="N116" t="s">
        <v>208</v>
      </c>
      <c r="O116" t="s">
        <v>171</v>
      </c>
      <c r="P116">
        <v>2.4557584199673979E-2</v>
      </c>
      <c r="Q116" t="s">
        <v>165</v>
      </c>
      <c r="S116" t="s">
        <v>227</v>
      </c>
      <c r="T116" t="s">
        <v>171</v>
      </c>
      <c r="U116">
        <v>2.2437225554294653E-2</v>
      </c>
      <c r="V116" t="s">
        <v>165</v>
      </c>
    </row>
    <row r="117" spans="9:22" x14ac:dyDescent="0.45">
      <c r="I117" t="s">
        <v>184</v>
      </c>
      <c r="J117" t="s">
        <v>172</v>
      </c>
      <c r="K117">
        <v>4.2419150978313197E-2</v>
      </c>
      <c r="L117" t="s">
        <v>165</v>
      </c>
      <c r="N117" t="s">
        <v>208</v>
      </c>
      <c r="O117" t="s">
        <v>172</v>
      </c>
      <c r="P117">
        <v>3.5216984537331783E-2</v>
      </c>
      <c r="Q117" t="s">
        <v>165</v>
      </c>
      <c r="S117" t="s">
        <v>227</v>
      </c>
      <c r="T117" t="s">
        <v>172</v>
      </c>
      <c r="U117">
        <v>2.4663750688466504E-2</v>
      </c>
      <c r="V117" t="s">
        <v>165</v>
      </c>
    </row>
    <row r="118" spans="9:22" x14ac:dyDescent="0.45">
      <c r="I118" t="s">
        <v>184</v>
      </c>
      <c r="J118" t="s">
        <v>173</v>
      </c>
      <c r="K118">
        <v>2.1560759522635626E-3</v>
      </c>
      <c r="L118" t="s">
        <v>165</v>
      </c>
      <c r="N118" t="s">
        <v>208</v>
      </c>
      <c r="O118" t="s">
        <v>173</v>
      </c>
      <c r="P118">
        <v>1.7966127421519967E-2</v>
      </c>
      <c r="Q118" t="s">
        <v>165</v>
      </c>
      <c r="S118" t="s">
        <v>227</v>
      </c>
      <c r="T118" t="s">
        <v>173</v>
      </c>
      <c r="U118">
        <v>1.7540470419675522E-2</v>
      </c>
      <c r="V118" t="s">
        <v>165</v>
      </c>
    </row>
    <row r="119" spans="9:22" x14ac:dyDescent="0.45">
      <c r="I119" t="s">
        <v>185</v>
      </c>
      <c r="J119" t="s">
        <v>164</v>
      </c>
      <c r="K119">
        <v>4.3547437005743914E-2</v>
      </c>
      <c r="L119" t="s">
        <v>165</v>
      </c>
      <c r="N119" t="s">
        <v>209</v>
      </c>
      <c r="O119" t="s">
        <v>164</v>
      </c>
      <c r="P119">
        <v>0.2364969265032788</v>
      </c>
      <c r="Q119" t="s">
        <v>165</v>
      </c>
      <c r="S119" t="s">
        <v>228</v>
      </c>
      <c r="T119" t="s">
        <v>164</v>
      </c>
      <c r="U119">
        <v>0.27018465206310205</v>
      </c>
      <c r="V119" t="s">
        <v>165</v>
      </c>
    </row>
    <row r="120" spans="9:22" x14ac:dyDescent="0.45">
      <c r="I120" t="s">
        <v>185</v>
      </c>
      <c r="J120" t="s">
        <v>166</v>
      </c>
      <c r="K120">
        <v>0.75181443449266849</v>
      </c>
      <c r="L120" t="s">
        <v>165</v>
      </c>
      <c r="N120" t="s">
        <v>209</v>
      </c>
      <c r="O120" t="s">
        <v>166</v>
      </c>
      <c r="P120">
        <v>0.33213650055729999</v>
      </c>
      <c r="Q120" t="s">
        <v>165</v>
      </c>
      <c r="S120" t="s">
        <v>228</v>
      </c>
      <c r="T120" t="s">
        <v>166</v>
      </c>
      <c r="U120">
        <v>0.30221387251347043</v>
      </c>
      <c r="V120" t="s">
        <v>165</v>
      </c>
    </row>
    <row r="121" spans="9:22" x14ac:dyDescent="0.45">
      <c r="I121" t="s">
        <v>185</v>
      </c>
      <c r="J121" t="s">
        <v>167</v>
      </c>
      <c r="K121">
        <v>0.10662232969558459</v>
      </c>
      <c r="L121" t="s">
        <v>165</v>
      </c>
      <c r="N121" t="s">
        <v>209</v>
      </c>
      <c r="O121" t="s">
        <v>167</v>
      </c>
      <c r="P121">
        <v>0.24970233430200925</v>
      </c>
      <c r="Q121" t="s">
        <v>165</v>
      </c>
      <c r="S121" t="s">
        <v>228</v>
      </c>
      <c r="T121" t="s">
        <v>167</v>
      </c>
      <c r="U121">
        <v>0.25901213513056504</v>
      </c>
      <c r="V121" t="s">
        <v>165</v>
      </c>
    </row>
    <row r="122" spans="9:22" x14ac:dyDescent="0.45">
      <c r="I122" t="s">
        <v>185</v>
      </c>
      <c r="J122" t="s">
        <v>168</v>
      </c>
      <c r="K122">
        <v>0</v>
      </c>
      <c r="L122" t="s">
        <v>165</v>
      </c>
      <c r="N122" t="s">
        <v>209</v>
      </c>
      <c r="O122" t="s">
        <v>168</v>
      </c>
      <c r="P122">
        <v>4.7719109104926105E-2</v>
      </c>
      <c r="Q122" t="s">
        <v>165</v>
      </c>
      <c r="S122" t="s">
        <v>228</v>
      </c>
      <c r="T122" t="s">
        <v>168</v>
      </c>
      <c r="U122">
        <v>3.8322676357313817E-2</v>
      </c>
      <c r="V122" t="s">
        <v>165</v>
      </c>
    </row>
    <row r="123" spans="9:22" x14ac:dyDescent="0.45">
      <c r="I123" t="s">
        <v>185</v>
      </c>
      <c r="J123" t="s">
        <v>169</v>
      </c>
      <c r="K123">
        <v>4.927300991550497E-2</v>
      </c>
      <c r="L123" t="s">
        <v>165</v>
      </c>
      <c r="N123" t="s">
        <v>209</v>
      </c>
      <c r="O123" t="s">
        <v>169</v>
      </c>
      <c r="P123">
        <v>4.1430466994094597E-2</v>
      </c>
      <c r="Q123" t="s">
        <v>165</v>
      </c>
      <c r="S123" t="s">
        <v>228</v>
      </c>
      <c r="T123" t="s">
        <v>169</v>
      </c>
      <c r="U123">
        <v>4.3916087391003999E-2</v>
      </c>
      <c r="V123" t="s">
        <v>165</v>
      </c>
    </row>
    <row r="124" spans="9:22" x14ac:dyDescent="0.45">
      <c r="I124" t="s">
        <v>185</v>
      </c>
      <c r="J124" t="s">
        <v>170</v>
      </c>
      <c r="K124">
        <v>2.3280078059248282E-3</v>
      </c>
      <c r="L124" t="s">
        <v>165</v>
      </c>
      <c r="N124" t="s">
        <v>209</v>
      </c>
      <c r="O124" t="s">
        <v>170</v>
      </c>
      <c r="P124">
        <v>3.3605268773814229E-2</v>
      </c>
      <c r="Q124" t="s">
        <v>165</v>
      </c>
      <c r="S124" t="s">
        <v>228</v>
      </c>
      <c r="T124" t="s">
        <v>170</v>
      </c>
      <c r="U124">
        <v>3.5186675986025817E-2</v>
      </c>
      <c r="V124" t="s">
        <v>165</v>
      </c>
    </row>
    <row r="125" spans="9:22" x14ac:dyDescent="0.45">
      <c r="I125" t="s">
        <v>185</v>
      </c>
      <c r="J125" t="s">
        <v>171</v>
      </c>
      <c r="K125">
        <v>0</v>
      </c>
      <c r="L125" t="s">
        <v>165</v>
      </c>
      <c r="N125" t="s">
        <v>209</v>
      </c>
      <c r="O125" t="s">
        <v>171</v>
      </c>
      <c r="P125">
        <v>2.1135920815047834E-2</v>
      </c>
      <c r="Q125" t="s">
        <v>165</v>
      </c>
      <c r="S125" t="s">
        <v>228</v>
      </c>
      <c r="T125" t="s">
        <v>171</v>
      </c>
      <c r="U125">
        <v>1.8588470830981953E-2</v>
      </c>
      <c r="V125" t="s">
        <v>165</v>
      </c>
    </row>
    <row r="126" spans="9:22" x14ac:dyDescent="0.45">
      <c r="I126" t="s">
        <v>185</v>
      </c>
      <c r="J126" t="s">
        <v>172</v>
      </c>
      <c r="K126">
        <v>4.4380542373208313E-2</v>
      </c>
      <c r="L126" t="s">
        <v>165</v>
      </c>
      <c r="N126" t="s">
        <v>209</v>
      </c>
      <c r="O126" t="s">
        <v>172</v>
      </c>
      <c r="P126">
        <v>2.5497422346480468E-2</v>
      </c>
      <c r="Q126" t="s">
        <v>165</v>
      </c>
      <c r="S126" t="s">
        <v>228</v>
      </c>
      <c r="T126" t="s">
        <v>172</v>
      </c>
      <c r="U126">
        <v>1.8247601243142068E-2</v>
      </c>
      <c r="V126" t="s">
        <v>165</v>
      </c>
    </row>
    <row r="127" spans="9:22" x14ac:dyDescent="0.45">
      <c r="I127" t="s">
        <v>185</v>
      </c>
      <c r="J127" t="s">
        <v>173</v>
      </c>
      <c r="K127">
        <v>2.0342387113635512E-3</v>
      </c>
      <c r="L127" t="s">
        <v>165</v>
      </c>
      <c r="N127" t="s">
        <v>209</v>
      </c>
      <c r="O127" t="s">
        <v>173</v>
      </c>
      <c r="P127">
        <v>1.2276050603043005E-2</v>
      </c>
      <c r="Q127" t="s">
        <v>165</v>
      </c>
      <c r="S127" t="s">
        <v>228</v>
      </c>
      <c r="T127" t="s">
        <v>173</v>
      </c>
      <c r="U127">
        <v>1.4327828484393484E-2</v>
      </c>
      <c r="V127" t="s">
        <v>165</v>
      </c>
    </row>
    <row r="128" spans="9:22" x14ac:dyDescent="0.45">
      <c r="I128" t="s">
        <v>186</v>
      </c>
      <c r="J128" t="s">
        <v>164</v>
      </c>
      <c r="K128">
        <v>5.0518537629428116E-2</v>
      </c>
      <c r="L128" t="s">
        <v>165</v>
      </c>
      <c r="N128" t="s">
        <v>210</v>
      </c>
      <c r="O128" t="s">
        <v>164</v>
      </c>
      <c r="P128">
        <v>0.22688367795440184</v>
      </c>
      <c r="Q128" t="s">
        <v>165</v>
      </c>
      <c r="S128" t="s">
        <v>229</v>
      </c>
      <c r="T128" t="s">
        <v>164</v>
      </c>
      <c r="U128">
        <v>0.26963618906229353</v>
      </c>
      <c r="V128" t="s">
        <v>165</v>
      </c>
    </row>
    <row r="129" spans="9:22" x14ac:dyDescent="0.45">
      <c r="I129" t="s">
        <v>186</v>
      </c>
      <c r="J129" t="s">
        <v>166</v>
      </c>
      <c r="K129">
        <v>0.75669234454171874</v>
      </c>
      <c r="L129" t="s">
        <v>165</v>
      </c>
      <c r="N129" t="s">
        <v>210</v>
      </c>
      <c r="O129" t="s">
        <v>166</v>
      </c>
      <c r="P129">
        <v>0.30997930296580933</v>
      </c>
      <c r="Q129" t="s">
        <v>165</v>
      </c>
      <c r="S129" t="s">
        <v>229</v>
      </c>
      <c r="T129" t="s">
        <v>166</v>
      </c>
      <c r="U129">
        <v>0.31759062173298641</v>
      </c>
      <c r="V129" t="s">
        <v>165</v>
      </c>
    </row>
    <row r="130" spans="9:22" x14ac:dyDescent="0.45">
      <c r="I130" t="s">
        <v>186</v>
      </c>
      <c r="J130" t="s">
        <v>167</v>
      </c>
      <c r="K130">
        <v>0.1000166191805512</v>
      </c>
      <c r="L130" t="s">
        <v>165</v>
      </c>
      <c r="N130" t="s">
        <v>210</v>
      </c>
      <c r="O130" t="s">
        <v>167</v>
      </c>
      <c r="P130">
        <v>0.25870706251022868</v>
      </c>
      <c r="Q130" t="s">
        <v>165</v>
      </c>
      <c r="S130" t="s">
        <v>229</v>
      </c>
      <c r="T130" t="s">
        <v>167</v>
      </c>
      <c r="U130">
        <v>0.2414823939778088</v>
      </c>
      <c r="V130" t="s">
        <v>165</v>
      </c>
    </row>
    <row r="131" spans="9:22" x14ac:dyDescent="0.45">
      <c r="I131" t="s">
        <v>186</v>
      </c>
      <c r="J131" t="s">
        <v>168</v>
      </c>
      <c r="K131">
        <v>1.7846443033654259E-5</v>
      </c>
      <c r="L131" t="s">
        <v>165</v>
      </c>
      <c r="N131" t="s">
        <v>210</v>
      </c>
      <c r="O131" t="s">
        <v>168</v>
      </c>
      <c r="P131">
        <v>4.433423651885967E-2</v>
      </c>
      <c r="Q131" t="s">
        <v>165</v>
      </c>
      <c r="S131" t="s">
        <v>229</v>
      </c>
      <c r="T131" t="s">
        <v>168</v>
      </c>
      <c r="U131">
        <v>3.6967003909243235E-2</v>
      </c>
      <c r="V131" t="s">
        <v>165</v>
      </c>
    </row>
    <row r="132" spans="9:22" x14ac:dyDescent="0.45">
      <c r="I132" t="s">
        <v>186</v>
      </c>
      <c r="J132" t="s">
        <v>169</v>
      </c>
      <c r="K132">
        <v>4.5499766098356834E-2</v>
      </c>
      <c r="L132" t="s">
        <v>165</v>
      </c>
      <c r="N132" t="s">
        <v>210</v>
      </c>
      <c r="O132" t="s">
        <v>169</v>
      </c>
      <c r="P132">
        <v>4.6329473339137971E-2</v>
      </c>
      <c r="Q132" t="s">
        <v>165</v>
      </c>
      <c r="S132" t="s">
        <v>229</v>
      </c>
      <c r="T132" t="s">
        <v>169</v>
      </c>
      <c r="U132">
        <v>4.3093564224259064E-2</v>
      </c>
      <c r="V132" t="s">
        <v>165</v>
      </c>
    </row>
    <row r="133" spans="9:22" x14ac:dyDescent="0.45">
      <c r="I133" t="s">
        <v>186</v>
      </c>
      <c r="J133" t="s">
        <v>170</v>
      </c>
      <c r="K133">
        <v>1.1948288557142894E-3</v>
      </c>
      <c r="L133" t="s">
        <v>165</v>
      </c>
      <c r="N133" t="s">
        <v>210</v>
      </c>
      <c r="O133" t="s">
        <v>170</v>
      </c>
      <c r="P133">
        <v>4.625830604701265E-2</v>
      </c>
      <c r="Q133" t="s">
        <v>165</v>
      </c>
      <c r="S133" t="s">
        <v>229</v>
      </c>
      <c r="T133" t="s">
        <v>170</v>
      </c>
      <c r="U133">
        <v>3.4955112722768605E-2</v>
      </c>
      <c r="V133" t="s">
        <v>165</v>
      </c>
    </row>
    <row r="134" spans="9:22" x14ac:dyDescent="0.45">
      <c r="I134" t="s">
        <v>186</v>
      </c>
      <c r="J134" t="s">
        <v>171</v>
      </c>
      <c r="K134">
        <v>0</v>
      </c>
      <c r="L134" t="s">
        <v>165</v>
      </c>
      <c r="N134" t="s">
        <v>210</v>
      </c>
      <c r="O134" t="s">
        <v>171</v>
      </c>
      <c r="P134">
        <v>2.455849790431841E-2</v>
      </c>
      <c r="Q134" t="s">
        <v>165</v>
      </c>
      <c r="S134" t="s">
        <v>229</v>
      </c>
      <c r="T134" t="s">
        <v>171</v>
      </c>
      <c r="U134">
        <v>2.0544318811690089E-2</v>
      </c>
      <c r="V134" t="s">
        <v>165</v>
      </c>
    </row>
    <row r="135" spans="9:22" x14ac:dyDescent="0.45">
      <c r="I135" t="s">
        <v>186</v>
      </c>
      <c r="J135" t="s">
        <v>172</v>
      </c>
      <c r="K135">
        <v>4.5909676930379228E-2</v>
      </c>
      <c r="L135" t="s">
        <v>165</v>
      </c>
      <c r="N135" t="s">
        <v>210</v>
      </c>
      <c r="O135" t="s">
        <v>172</v>
      </c>
      <c r="P135">
        <v>2.5311302642972822E-2</v>
      </c>
      <c r="Q135" t="s">
        <v>165</v>
      </c>
      <c r="S135" t="s">
        <v>229</v>
      </c>
      <c r="T135" t="s">
        <v>172</v>
      </c>
      <c r="U135">
        <v>2.0419498498006519E-2</v>
      </c>
      <c r="V135" t="s">
        <v>165</v>
      </c>
    </row>
    <row r="136" spans="9:22" x14ac:dyDescent="0.45">
      <c r="I136" t="s">
        <v>186</v>
      </c>
      <c r="J136" t="s">
        <v>173</v>
      </c>
      <c r="K136">
        <v>1.5038032081835976E-4</v>
      </c>
      <c r="L136" t="s">
        <v>165</v>
      </c>
      <c r="N136" t="s">
        <v>210</v>
      </c>
      <c r="O136" t="s">
        <v>173</v>
      </c>
      <c r="P136">
        <v>1.7638140117251903E-2</v>
      </c>
      <c r="Q136" t="s">
        <v>165</v>
      </c>
      <c r="S136" t="s">
        <v>229</v>
      </c>
      <c r="T136" t="s">
        <v>173</v>
      </c>
      <c r="U136">
        <v>1.5311297060940076E-2</v>
      </c>
      <c r="V136" t="s">
        <v>165</v>
      </c>
    </row>
    <row r="137" spans="9:22" x14ac:dyDescent="0.45">
      <c r="I137" t="s">
        <v>187</v>
      </c>
      <c r="J137" t="s">
        <v>164</v>
      </c>
      <c r="K137">
        <v>5.9071358556676626E-2</v>
      </c>
      <c r="L137" t="s">
        <v>165</v>
      </c>
      <c r="N137" t="s">
        <v>211</v>
      </c>
      <c r="O137" t="s">
        <v>164</v>
      </c>
      <c r="P137">
        <v>0.2540125075712768</v>
      </c>
      <c r="Q137" t="s">
        <v>165</v>
      </c>
      <c r="S137" t="s">
        <v>230</v>
      </c>
      <c r="T137" t="s">
        <v>164</v>
      </c>
      <c r="U137">
        <v>0.28080935286626879</v>
      </c>
      <c r="V137" t="s">
        <v>165</v>
      </c>
    </row>
    <row r="138" spans="9:22" x14ac:dyDescent="0.45">
      <c r="I138" t="s">
        <v>187</v>
      </c>
      <c r="J138" t="s">
        <v>166</v>
      </c>
      <c r="K138">
        <v>0.75646821297979105</v>
      </c>
      <c r="L138" t="s">
        <v>165</v>
      </c>
      <c r="N138" t="s">
        <v>211</v>
      </c>
      <c r="O138" t="s">
        <v>166</v>
      </c>
      <c r="P138">
        <v>0.32862273266220005</v>
      </c>
      <c r="Q138" t="s">
        <v>165</v>
      </c>
      <c r="S138" t="s">
        <v>230</v>
      </c>
      <c r="T138" t="s">
        <v>166</v>
      </c>
      <c r="U138">
        <v>0.30272097829008277</v>
      </c>
      <c r="V138" t="s">
        <v>165</v>
      </c>
    </row>
    <row r="139" spans="9:22" x14ac:dyDescent="0.45">
      <c r="I139" t="s">
        <v>187</v>
      </c>
      <c r="J139" t="s">
        <v>167</v>
      </c>
      <c r="K139">
        <v>9.6167289609250764E-2</v>
      </c>
      <c r="L139" t="s">
        <v>165</v>
      </c>
      <c r="N139" t="s">
        <v>211</v>
      </c>
      <c r="O139" t="s">
        <v>167</v>
      </c>
      <c r="P139">
        <v>0.23689880552850698</v>
      </c>
      <c r="Q139" t="s">
        <v>165</v>
      </c>
      <c r="S139" t="s">
        <v>230</v>
      </c>
      <c r="T139" t="s">
        <v>167</v>
      </c>
      <c r="U139">
        <v>0.24848790049342473</v>
      </c>
      <c r="V139" t="s">
        <v>165</v>
      </c>
    </row>
    <row r="140" spans="9:22" x14ac:dyDescent="0.45">
      <c r="I140" t="s">
        <v>187</v>
      </c>
      <c r="J140" t="s">
        <v>168</v>
      </c>
      <c r="K140">
        <v>1.178886307320487E-4</v>
      </c>
      <c r="L140" t="s">
        <v>165</v>
      </c>
      <c r="N140" t="s">
        <v>211</v>
      </c>
      <c r="O140" t="s">
        <v>168</v>
      </c>
      <c r="P140">
        <v>3.9167714776698372E-2</v>
      </c>
      <c r="Q140" t="s">
        <v>165</v>
      </c>
      <c r="S140" t="s">
        <v>230</v>
      </c>
      <c r="T140" t="s">
        <v>168</v>
      </c>
      <c r="U140">
        <v>3.5007162483848747E-2</v>
      </c>
      <c r="V140" t="s">
        <v>165</v>
      </c>
    </row>
    <row r="141" spans="9:22" x14ac:dyDescent="0.45">
      <c r="I141" t="s">
        <v>187</v>
      </c>
      <c r="J141" t="s">
        <v>169</v>
      </c>
      <c r="K141">
        <v>4.2356622058569909E-2</v>
      </c>
      <c r="L141" t="s">
        <v>165</v>
      </c>
      <c r="N141" t="s">
        <v>211</v>
      </c>
      <c r="O141" t="s">
        <v>169</v>
      </c>
      <c r="P141">
        <v>4.4506243033692897E-2</v>
      </c>
      <c r="Q141" t="s">
        <v>165</v>
      </c>
      <c r="S141" t="s">
        <v>230</v>
      </c>
      <c r="T141" t="s">
        <v>169</v>
      </c>
      <c r="U141">
        <v>3.6360947674862414E-2</v>
      </c>
      <c r="V141" t="s">
        <v>165</v>
      </c>
    </row>
    <row r="142" spans="9:22" x14ac:dyDescent="0.45">
      <c r="I142" t="s">
        <v>187</v>
      </c>
      <c r="J142" t="s">
        <v>170</v>
      </c>
      <c r="K142">
        <v>4.3159312583626992E-4</v>
      </c>
      <c r="L142" t="s">
        <v>165</v>
      </c>
      <c r="N142" t="s">
        <v>211</v>
      </c>
      <c r="O142" t="s">
        <v>170</v>
      </c>
      <c r="P142">
        <v>3.5417814007886461E-2</v>
      </c>
      <c r="Q142" t="s">
        <v>165</v>
      </c>
      <c r="S142" t="s">
        <v>230</v>
      </c>
      <c r="T142" t="s">
        <v>170</v>
      </c>
      <c r="U142">
        <v>3.1427990507763598E-2</v>
      </c>
      <c r="V142" t="s">
        <v>165</v>
      </c>
    </row>
    <row r="143" spans="9:22" x14ac:dyDescent="0.45">
      <c r="I143" t="s">
        <v>187</v>
      </c>
      <c r="J143" t="s">
        <v>171</v>
      </c>
      <c r="K143">
        <v>0</v>
      </c>
      <c r="L143" t="s">
        <v>165</v>
      </c>
      <c r="N143" t="s">
        <v>211</v>
      </c>
      <c r="O143" t="s">
        <v>171</v>
      </c>
      <c r="P143">
        <v>2.0199079675761122E-2</v>
      </c>
      <c r="Q143" t="s">
        <v>165</v>
      </c>
      <c r="S143" t="s">
        <v>230</v>
      </c>
      <c r="T143" t="s">
        <v>171</v>
      </c>
      <c r="U143">
        <v>2.2153831566297029E-2</v>
      </c>
      <c r="V143" t="s">
        <v>165</v>
      </c>
    </row>
    <row r="144" spans="9:22" x14ac:dyDescent="0.45">
      <c r="I144" t="s">
        <v>187</v>
      </c>
      <c r="J144" t="s">
        <v>172</v>
      </c>
      <c r="K144">
        <v>4.5387035039142098E-2</v>
      </c>
      <c r="L144" t="s">
        <v>165</v>
      </c>
      <c r="N144" t="s">
        <v>211</v>
      </c>
      <c r="O144" t="s">
        <v>172</v>
      </c>
      <c r="P144">
        <v>2.3871099557291043E-2</v>
      </c>
      <c r="Q144" t="s">
        <v>165</v>
      </c>
      <c r="S144" t="s">
        <v>230</v>
      </c>
      <c r="T144" t="s">
        <v>172</v>
      </c>
      <c r="U144">
        <v>2.4027790045794535E-2</v>
      </c>
      <c r="V144" t="s">
        <v>165</v>
      </c>
    </row>
    <row r="145" spans="9:22" x14ac:dyDescent="0.45">
      <c r="I145" t="s">
        <v>187</v>
      </c>
      <c r="J145" t="s">
        <v>173</v>
      </c>
      <c r="K145">
        <v>0</v>
      </c>
      <c r="L145" t="s">
        <v>165</v>
      </c>
      <c r="N145" t="s">
        <v>211</v>
      </c>
      <c r="O145" t="s">
        <v>173</v>
      </c>
      <c r="P145">
        <v>1.73040031866908E-2</v>
      </c>
      <c r="Q145" t="s">
        <v>165</v>
      </c>
      <c r="S145" t="s">
        <v>230</v>
      </c>
      <c r="T145" t="s">
        <v>173</v>
      </c>
      <c r="U145">
        <v>1.9004046071658481E-2</v>
      </c>
      <c r="V145" t="s">
        <v>165</v>
      </c>
    </row>
    <row r="146" spans="9:22" x14ac:dyDescent="0.45">
      <c r="I146" t="s">
        <v>188</v>
      </c>
      <c r="J146" t="s">
        <v>164</v>
      </c>
      <c r="K146">
        <v>5.2882167355465907E-2</v>
      </c>
      <c r="L146" t="s">
        <v>165</v>
      </c>
      <c r="N146" t="s">
        <v>212</v>
      </c>
      <c r="O146" t="s">
        <v>164</v>
      </c>
      <c r="P146">
        <v>0.25885677718262518</v>
      </c>
      <c r="Q146" t="s">
        <v>165</v>
      </c>
      <c r="S146" t="s">
        <v>231</v>
      </c>
      <c r="T146" t="s">
        <v>164</v>
      </c>
      <c r="U146">
        <v>0.27007119498250443</v>
      </c>
      <c r="V146" t="s">
        <v>165</v>
      </c>
    </row>
    <row r="147" spans="9:22" x14ac:dyDescent="0.45">
      <c r="I147" t="s">
        <v>188</v>
      </c>
      <c r="J147" t="s">
        <v>166</v>
      </c>
      <c r="K147">
        <v>0.76004428537685365</v>
      </c>
      <c r="L147" t="s">
        <v>165</v>
      </c>
      <c r="N147" t="s">
        <v>212</v>
      </c>
      <c r="O147" t="s">
        <v>166</v>
      </c>
      <c r="P147">
        <v>0.32655664689730229</v>
      </c>
      <c r="Q147" t="s">
        <v>165</v>
      </c>
      <c r="S147" t="s">
        <v>231</v>
      </c>
      <c r="T147" t="s">
        <v>166</v>
      </c>
      <c r="U147">
        <v>0.31542528702408257</v>
      </c>
      <c r="V147" t="s">
        <v>165</v>
      </c>
    </row>
    <row r="148" spans="9:22" x14ac:dyDescent="0.45">
      <c r="I148" t="s">
        <v>188</v>
      </c>
      <c r="J148" t="s">
        <v>167</v>
      </c>
      <c r="K148">
        <v>9.9276003122471979E-2</v>
      </c>
      <c r="L148" t="s">
        <v>165</v>
      </c>
      <c r="N148" t="s">
        <v>212</v>
      </c>
      <c r="O148" t="s">
        <v>167</v>
      </c>
      <c r="P148">
        <v>0.25161181306479513</v>
      </c>
      <c r="Q148" t="s">
        <v>165</v>
      </c>
      <c r="S148" t="s">
        <v>231</v>
      </c>
      <c r="T148" t="s">
        <v>167</v>
      </c>
      <c r="U148">
        <v>0.2439720105467732</v>
      </c>
      <c r="V148" t="s">
        <v>165</v>
      </c>
    </row>
    <row r="149" spans="9:22" x14ac:dyDescent="0.45">
      <c r="I149" t="s">
        <v>188</v>
      </c>
      <c r="J149" t="s">
        <v>168</v>
      </c>
      <c r="K149">
        <v>3.6061437118621338E-8</v>
      </c>
      <c r="L149" t="s">
        <v>165</v>
      </c>
      <c r="N149" t="s">
        <v>212</v>
      </c>
      <c r="O149" t="s">
        <v>168</v>
      </c>
      <c r="P149">
        <v>3.0803376929549816E-2</v>
      </c>
      <c r="Q149" t="s">
        <v>165</v>
      </c>
      <c r="S149" t="s">
        <v>231</v>
      </c>
      <c r="T149" t="s">
        <v>168</v>
      </c>
      <c r="U149">
        <v>3.4119663406601525E-2</v>
      </c>
      <c r="V149" t="s">
        <v>165</v>
      </c>
    </row>
    <row r="150" spans="9:22" x14ac:dyDescent="0.45">
      <c r="I150" t="s">
        <v>188</v>
      </c>
      <c r="J150" t="s">
        <v>169</v>
      </c>
      <c r="K150">
        <v>4.0585354024312389E-2</v>
      </c>
      <c r="L150" t="s">
        <v>165</v>
      </c>
      <c r="N150" t="s">
        <v>212</v>
      </c>
      <c r="O150" t="s">
        <v>169</v>
      </c>
      <c r="P150">
        <v>3.5357762717710198E-2</v>
      </c>
      <c r="Q150" t="s">
        <v>165</v>
      </c>
      <c r="S150" t="s">
        <v>231</v>
      </c>
      <c r="T150" t="s">
        <v>169</v>
      </c>
      <c r="U150">
        <v>3.7831604638081419E-2</v>
      </c>
      <c r="V150" t="s">
        <v>165</v>
      </c>
    </row>
    <row r="151" spans="9:22" x14ac:dyDescent="0.45">
      <c r="I151" t="s">
        <v>188</v>
      </c>
      <c r="J151" t="s">
        <v>170</v>
      </c>
      <c r="K151">
        <v>9.7730645116137003E-4</v>
      </c>
      <c r="L151" t="s">
        <v>165</v>
      </c>
      <c r="N151" t="s">
        <v>212</v>
      </c>
      <c r="O151" t="s">
        <v>170</v>
      </c>
      <c r="P151">
        <v>2.822742278077401E-2</v>
      </c>
      <c r="Q151" t="s">
        <v>165</v>
      </c>
      <c r="S151" t="s">
        <v>231</v>
      </c>
      <c r="T151" t="s">
        <v>170</v>
      </c>
      <c r="U151">
        <v>3.2459218575349738E-2</v>
      </c>
      <c r="V151" t="s">
        <v>165</v>
      </c>
    </row>
    <row r="152" spans="9:22" x14ac:dyDescent="0.45">
      <c r="I152" t="s">
        <v>188</v>
      </c>
      <c r="J152" t="s">
        <v>171</v>
      </c>
      <c r="K152">
        <v>0</v>
      </c>
      <c r="L152" t="s">
        <v>165</v>
      </c>
      <c r="N152" t="s">
        <v>212</v>
      </c>
      <c r="O152" t="s">
        <v>171</v>
      </c>
      <c r="P152">
        <v>2.3495397205885549E-2</v>
      </c>
      <c r="Q152" t="s">
        <v>165</v>
      </c>
      <c r="S152" t="s">
        <v>231</v>
      </c>
      <c r="T152" t="s">
        <v>171</v>
      </c>
      <c r="U152">
        <v>2.2379789610535699E-2</v>
      </c>
      <c r="V152" t="s">
        <v>165</v>
      </c>
    </row>
    <row r="153" spans="9:22" x14ac:dyDescent="0.45">
      <c r="I153" t="s">
        <v>188</v>
      </c>
      <c r="J153" t="s">
        <v>172</v>
      </c>
      <c r="K153">
        <v>4.6227994050413918E-2</v>
      </c>
      <c r="L153" t="s">
        <v>165</v>
      </c>
      <c r="N153" t="s">
        <v>212</v>
      </c>
      <c r="O153" t="s">
        <v>172</v>
      </c>
      <c r="P153">
        <v>2.4146028775795941E-2</v>
      </c>
      <c r="Q153" t="s">
        <v>165</v>
      </c>
      <c r="S153" t="s">
        <v>231</v>
      </c>
      <c r="T153" t="s">
        <v>172</v>
      </c>
      <c r="U153">
        <v>2.451580704898431E-2</v>
      </c>
      <c r="V153" t="s">
        <v>165</v>
      </c>
    </row>
    <row r="154" spans="9:22" x14ac:dyDescent="0.45">
      <c r="I154" t="s">
        <v>188</v>
      </c>
      <c r="J154" t="s">
        <v>173</v>
      </c>
      <c r="K154">
        <v>6.8535578863357264E-6</v>
      </c>
      <c r="L154" t="s">
        <v>165</v>
      </c>
      <c r="N154" t="s">
        <v>212</v>
      </c>
      <c r="O154" t="s">
        <v>173</v>
      </c>
      <c r="P154">
        <v>2.0944774445564092E-2</v>
      </c>
      <c r="Q154" t="s">
        <v>165</v>
      </c>
      <c r="S154" t="s">
        <v>231</v>
      </c>
      <c r="T154" t="s">
        <v>173</v>
      </c>
      <c r="U154">
        <v>1.9225424167093233E-2</v>
      </c>
      <c r="V154" t="s">
        <v>165</v>
      </c>
    </row>
    <row r="155" spans="9:22" x14ac:dyDescent="0.45">
      <c r="I155" t="s">
        <v>189</v>
      </c>
      <c r="J155" t="s">
        <v>164</v>
      </c>
      <c r="K155">
        <v>4.7368172686345265E-2</v>
      </c>
      <c r="L155" t="s">
        <v>165</v>
      </c>
      <c r="N155" t="s">
        <v>213</v>
      </c>
      <c r="O155" t="s">
        <v>164</v>
      </c>
      <c r="P155">
        <v>0.24240270557307056</v>
      </c>
      <c r="Q155" t="s">
        <v>165</v>
      </c>
      <c r="S155" t="s">
        <v>232</v>
      </c>
      <c r="T155" t="s">
        <v>164</v>
      </c>
      <c r="U155">
        <v>0.25810243636268576</v>
      </c>
      <c r="V155" t="s">
        <v>165</v>
      </c>
    </row>
    <row r="156" spans="9:22" x14ac:dyDescent="0.45">
      <c r="I156" t="s">
        <v>189</v>
      </c>
      <c r="J156" t="s">
        <v>166</v>
      </c>
      <c r="K156">
        <v>0.75481446386966944</v>
      </c>
      <c r="L156" t="s">
        <v>165</v>
      </c>
      <c r="N156" t="s">
        <v>213</v>
      </c>
      <c r="O156" t="s">
        <v>166</v>
      </c>
      <c r="P156">
        <v>0.35018929397948645</v>
      </c>
      <c r="Q156" t="s">
        <v>165</v>
      </c>
      <c r="S156" t="s">
        <v>232</v>
      </c>
      <c r="T156" t="s">
        <v>166</v>
      </c>
      <c r="U156">
        <v>0.32564095811138366</v>
      </c>
      <c r="V156" t="s">
        <v>165</v>
      </c>
    </row>
    <row r="157" spans="9:22" x14ac:dyDescent="0.45">
      <c r="I157" t="s">
        <v>189</v>
      </c>
      <c r="J157" t="s">
        <v>167</v>
      </c>
      <c r="K157">
        <v>0.11282240199158357</v>
      </c>
      <c r="L157" t="s">
        <v>165</v>
      </c>
      <c r="N157" t="s">
        <v>213</v>
      </c>
      <c r="O157" t="s">
        <v>167</v>
      </c>
      <c r="P157">
        <v>0.24481255132830812</v>
      </c>
      <c r="Q157" t="s">
        <v>165</v>
      </c>
      <c r="S157" t="s">
        <v>232</v>
      </c>
      <c r="T157" t="s">
        <v>167</v>
      </c>
      <c r="U157">
        <v>0.25973804034609344</v>
      </c>
      <c r="V157" t="s">
        <v>165</v>
      </c>
    </row>
    <row r="158" spans="9:22" x14ac:dyDescent="0.45">
      <c r="I158" t="s">
        <v>189</v>
      </c>
      <c r="J158" t="s">
        <v>168</v>
      </c>
      <c r="K158">
        <v>0</v>
      </c>
      <c r="L158" t="s">
        <v>165</v>
      </c>
      <c r="N158" t="s">
        <v>213</v>
      </c>
      <c r="O158" t="s">
        <v>168</v>
      </c>
      <c r="P158">
        <v>3.3723884390776497E-2</v>
      </c>
      <c r="Q158" t="s">
        <v>165</v>
      </c>
      <c r="S158" t="s">
        <v>232</v>
      </c>
      <c r="T158" t="s">
        <v>168</v>
      </c>
      <c r="U158">
        <v>2.742568310730575E-2</v>
      </c>
      <c r="V158" t="s">
        <v>165</v>
      </c>
    </row>
    <row r="159" spans="9:22" x14ac:dyDescent="0.45">
      <c r="I159" t="s">
        <v>189</v>
      </c>
      <c r="J159" t="s">
        <v>169</v>
      </c>
      <c r="K159">
        <v>3.8609607411814163E-2</v>
      </c>
      <c r="L159" t="s">
        <v>165</v>
      </c>
      <c r="N159" t="s">
        <v>213</v>
      </c>
      <c r="O159" t="s">
        <v>169</v>
      </c>
      <c r="P159">
        <v>4.8529348129993342E-2</v>
      </c>
      <c r="Q159" t="s">
        <v>165</v>
      </c>
      <c r="S159" t="s">
        <v>232</v>
      </c>
      <c r="T159" t="s">
        <v>169</v>
      </c>
      <c r="U159">
        <v>3.3018375411460216E-2</v>
      </c>
      <c r="V159" t="s">
        <v>165</v>
      </c>
    </row>
    <row r="160" spans="9:22" x14ac:dyDescent="0.45">
      <c r="I160" t="s">
        <v>189</v>
      </c>
      <c r="J160" t="s">
        <v>170</v>
      </c>
      <c r="K160">
        <v>5.6993035633740854E-4</v>
      </c>
      <c r="L160" t="s">
        <v>165</v>
      </c>
      <c r="N160" t="s">
        <v>213</v>
      </c>
      <c r="O160" t="s">
        <v>170</v>
      </c>
      <c r="P160">
        <v>3.1065606839750185E-2</v>
      </c>
      <c r="Q160" t="s">
        <v>165</v>
      </c>
      <c r="S160" t="s">
        <v>232</v>
      </c>
      <c r="T160" t="s">
        <v>170</v>
      </c>
      <c r="U160">
        <v>2.6547304989733091E-2</v>
      </c>
      <c r="V160" t="s">
        <v>165</v>
      </c>
    </row>
    <row r="161" spans="9:22" x14ac:dyDescent="0.45">
      <c r="I161" t="s">
        <v>189</v>
      </c>
      <c r="J161" t="s">
        <v>171</v>
      </c>
      <c r="K161">
        <v>0</v>
      </c>
      <c r="L161" t="s">
        <v>165</v>
      </c>
      <c r="N161" t="s">
        <v>213</v>
      </c>
      <c r="O161" t="s">
        <v>171</v>
      </c>
      <c r="P161">
        <v>1.9178279867381461E-2</v>
      </c>
      <c r="Q161" t="s">
        <v>165</v>
      </c>
      <c r="S161" t="s">
        <v>232</v>
      </c>
      <c r="T161" t="s">
        <v>171</v>
      </c>
      <c r="U161">
        <v>2.461580887490494E-2</v>
      </c>
      <c r="V161" t="s">
        <v>165</v>
      </c>
    </row>
    <row r="162" spans="9:22" x14ac:dyDescent="0.45">
      <c r="I162" t="s">
        <v>189</v>
      </c>
      <c r="J162" t="s">
        <v>172</v>
      </c>
      <c r="K162">
        <v>4.5815423684248929E-2</v>
      </c>
      <c r="L162" t="s">
        <v>165</v>
      </c>
      <c r="N162" t="s">
        <v>213</v>
      </c>
      <c r="O162" t="s">
        <v>172</v>
      </c>
      <c r="P162">
        <v>1.656901841185655E-2</v>
      </c>
      <c r="Q162" t="s">
        <v>165</v>
      </c>
      <c r="S162" t="s">
        <v>232</v>
      </c>
      <c r="T162" t="s">
        <v>172</v>
      </c>
      <c r="U162">
        <v>2.2893926422189688E-2</v>
      </c>
      <c r="V162" t="s">
        <v>165</v>
      </c>
    </row>
    <row r="163" spans="9:22" x14ac:dyDescent="0.45">
      <c r="I163" t="s">
        <v>189</v>
      </c>
      <c r="J163" t="s">
        <v>173</v>
      </c>
      <c r="K163">
        <v>0</v>
      </c>
      <c r="L163" t="s">
        <v>165</v>
      </c>
      <c r="N163" t="s">
        <v>213</v>
      </c>
      <c r="O163" t="s">
        <v>173</v>
      </c>
      <c r="P163">
        <v>1.3529311479373845E-2</v>
      </c>
      <c r="Q163" t="s">
        <v>165</v>
      </c>
      <c r="S163" t="s">
        <v>232</v>
      </c>
      <c r="T163" t="s">
        <v>173</v>
      </c>
      <c r="U163">
        <v>2.2017466374244107E-2</v>
      </c>
      <c r="V163" t="s">
        <v>165</v>
      </c>
    </row>
    <row r="164" spans="9:22" x14ac:dyDescent="0.45">
      <c r="I164" t="s">
        <v>190</v>
      </c>
      <c r="J164" t="s">
        <v>164</v>
      </c>
      <c r="K164">
        <v>4.2893987995913097E-2</v>
      </c>
      <c r="L164" t="s">
        <v>165</v>
      </c>
      <c r="N164" t="s">
        <v>214</v>
      </c>
      <c r="O164" t="s">
        <v>164</v>
      </c>
      <c r="P164">
        <v>0.271416177855134</v>
      </c>
      <c r="Q164" t="s">
        <v>165</v>
      </c>
      <c r="S164" t="s">
        <v>233</v>
      </c>
      <c r="T164" t="s">
        <v>164</v>
      </c>
      <c r="U164">
        <v>0.27577824862064793</v>
      </c>
      <c r="V164" t="s">
        <v>165</v>
      </c>
    </row>
    <row r="165" spans="9:22" x14ac:dyDescent="0.45">
      <c r="I165" t="s">
        <v>190</v>
      </c>
      <c r="J165" t="s">
        <v>166</v>
      </c>
      <c r="K165">
        <v>0.75238865399821331</v>
      </c>
      <c r="L165" t="s">
        <v>165</v>
      </c>
      <c r="N165" t="s">
        <v>214</v>
      </c>
      <c r="O165" t="s">
        <v>166</v>
      </c>
      <c r="P165">
        <v>0.30360409148598411</v>
      </c>
      <c r="Q165" t="s">
        <v>165</v>
      </c>
      <c r="S165" t="s">
        <v>233</v>
      </c>
      <c r="T165" t="s">
        <v>166</v>
      </c>
      <c r="U165">
        <v>0.29579233421750956</v>
      </c>
      <c r="V165" t="s">
        <v>165</v>
      </c>
    </row>
    <row r="166" spans="9:22" x14ac:dyDescent="0.45">
      <c r="I166" t="s">
        <v>190</v>
      </c>
      <c r="J166" t="s">
        <v>167</v>
      </c>
      <c r="K166">
        <v>0.11233604909436236</v>
      </c>
      <c r="L166" t="s">
        <v>165</v>
      </c>
      <c r="N166" t="s">
        <v>214</v>
      </c>
      <c r="O166" t="s">
        <v>167</v>
      </c>
      <c r="P166">
        <v>0.25149740963155265</v>
      </c>
      <c r="Q166" t="s">
        <v>165</v>
      </c>
      <c r="S166" t="s">
        <v>233</v>
      </c>
      <c r="T166" t="s">
        <v>167</v>
      </c>
      <c r="U166">
        <v>0.24124857603361122</v>
      </c>
      <c r="V166" t="s">
        <v>165</v>
      </c>
    </row>
    <row r="167" spans="9:22" x14ac:dyDescent="0.45">
      <c r="I167" t="s">
        <v>190</v>
      </c>
      <c r="J167" t="s">
        <v>168</v>
      </c>
      <c r="K167">
        <v>0</v>
      </c>
      <c r="L167" t="s">
        <v>165</v>
      </c>
      <c r="N167" t="s">
        <v>214</v>
      </c>
      <c r="O167" t="s">
        <v>168</v>
      </c>
      <c r="P167">
        <v>3.3299822227030318E-2</v>
      </c>
      <c r="Q167" t="s">
        <v>165</v>
      </c>
      <c r="S167" t="s">
        <v>233</v>
      </c>
      <c r="T167" t="s">
        <v>168</v>
      </c>
      <c r="U167">
        <v>3.442350446886993E-2</v>
      </c>
      <c r="V167" t="s">
        <v>165</v>
      </c>
    </row>
    <row r="168" spans="9:22" x14ac:dyDescent="0.45">
      <c r="I168" t="s">
        <v>190</v>
      </c>
      <c r="J168" t="s">
        <v>169</v>
      </c>
      <c r="K168">
        <v>4.2199593570871774E-2</v>
      </c>
      <c r="L168" t="s">
        <v>165</v>
      </c>
      <c r="N168" t="s">
        <v>214</v>
      </c>
      <c r="O168" t="s">
        <v>169</v>
      </c>
      <c r="P168">
        <v>4.5786183895380944E-2</v>
      </c>
      <c r="Q168" t="s">
        <v>165</v>
      </c>
      <c r="S168" t="s">
        <v>233</v>
      </c>
      <c r="T168" t="s">
        <v>169</v>
      </c>
      <c r="U168">
        <v>3.4434785391868512E-2</v>
      </c>
      <c r="V168" t="s">
        <v>165</v>
      </c>
    </row>
    <row r="169" spans="9:22" x14ac:dyDescent="0.45">
      <c r="I169" t="s">
        <v>190</v>
      </c>
      <c r="J169" t="s">
        <v>170</v>
      </c>
      <c r="K169">
        <v>7.8151037131663848E-4</v>
      </c>
      <c r="L169" t="s">
        <v>165</v>
      </c>
      <c r="N169" t="s">
        <v>214</v>
      </c>
      <c r="O169" t="s">
        <v>170</v>
      </c>
      <c r="P169">
        <v>3.1638417636980436E-2</v>
      </c>
      <c r="Q169" t="s">
        <v>165</v>
      </c>
      <c r="S169" t="s">
        <v>233</v>
      </c>
      <c r="T169" t="s">
        <v>170</v>
      </c>
      <c r="U169">
        <v>2.9263148969823762E-2</v>
      </c>
      <c r="V169" t="s">
        <v>165</v>
      </c>
    </row>
    <row r="170" spans="9:22" x14ac:dyDescent="0.45">
      <c r="I170" t="s">
        <v>190</v>
      </c>
      <c r="J170" t="s">
        <v>171</v>
      </c>
      <c r="K170">
        <v>0</v>
      </c>
      <c r="L170" t="s">
        <v>165</v>
      </c>
      <c r="N170" t="s">
        <v>214</v>
      </c>
      <c r="O170" t="s">
        <v>171</v>
      </c>
      <c r="P170">
        <v>2.4463670796033898E-2</v>
      </c>
      <c r="Q170" t="s">
        <v>165</v>
      </c>
      <c r="S170" t="s">
        <v>233</v>
      </c>
      <c r="T170" t="s">
        <v>171</v>
      </c>
      <c r="U170">
        <v>2.8266846820103476E-2</v>
      </c>
      <c r="V170" t="s">
        <v>165</v>
      </c>
    </row>
    <row r="171" spans="9:22" x14ac:dyDescent="0.45">
      <c r="I171" t="s">
        <v>190</v>
      </c>
      <c r="J171" t="s">
        <v>172</v>
      </c>
      <c r="K171">
        <v>4.9400204969323368E-2</v>
      </c>
      <c r="L171" t="s">
        <v>165</v>
      </c>
      <c r="N171" t="s">
        <v>214</v>
      </c>
      <c r="O171" t="s">
        <v>172</v>
      </c>
      <c r="P171">
        <v>2.1981506264307674E-2</v>
      </c>
      <c r="Q171" t="s">
        <v>165</v>
      </c>
      <c r="S171" t="s">
        <v>233</v>
      </c>
      <c r="T171" t="s">
        <v>172</v>
      </c>
      <c r="U171">
        <v>3.3606221710085427E-2</v>
      </c>
      <c r="V171" t="s">
        <v>165</v>
      </c>
    </row>
    <row r="172" spans="9:22" x14ac:dyDescent="0.45">
      <c r="I172" t="s">
        <v>190</v>
      </c>
      <c r="J172" t="s">
        <v>173</v>
      </c>
      <c r="K172">
        <v>0</v>
      </c>
      <c r="L172" t="s">
        <v>165</v>
      </c>
      <c r="N172" t="s">
        <v>214</v>
      </c>
      <c r="O172" t="s">
        <v>173</v>
      </c>
      <c r="P172">
        <v>1.6312720207596585E-2</v>
      </c>
      <c r="Q172" t="s">
        <v>165</v>
      </c>
      <c r="S172" t="s">
        <v>233</v>
      </c>
      <c r="T172" t="s">
        <v>173</v>
      </c>
      <c r="U172">
        <v>2.7186333767484326E-2</v>
      </c>
      <c r="V172" t="s">
        <v>165</v>
      </c>
    </row>
    <row r="173" spans="9:22" x14ac:dyDescent="0.45">
      <c r="I173" t="s">
        <v>191</v>
      </c>
      <c r="J173" t="s">
        <v>164</v>
      </c>
      <c r="K173">
        <v>4.7380487475483825E-2</v>
      </c>
      <c r="L173" t="s">
        <v>165</v>
      </c>
      <c r="N173" t="s">
        <v>215</v>
      </c>
      <c r="O173" t="s">
        <v>164</v>
      </c>
      <c r="P173">
        <v>0.27478427983333642</v>
      </c>
      <c r="Q173" t="s">
        <v>165</v>
      </c>
      <c r="S173" t="s">
        <v>234</v>
      </c>
      <c r="T173" t="s">
        <v>164</v>
      </c>
      <c r="U173">
        <v>0.26728836615706963</v>
      </c>
      <c r="V173" t="s">
        <v>165</v>
      </c>
    </row>
    <row r="174" spans="9:22" x14ac:dyDescent="0.45">
      <c r="I174" t="s">
        <v>191</v>
      </c>
      <c r="J174" t="s">
        <v>166</v>
      </c>
      <c r="K174">
        <v>0.76120566533492573</v>
      </c>
      <c r="L174" t="s">
        <v>165</v>
      </c>
      <c r="N174" t="s">
        <v>215</v>
      </c>
      <c r="O174" t="s">
        <v>166</v>
      </c>
      <c r="P174">
        <v>0.32918677451426626</v>
      </c>
      <c r="Q174" t="s">
        <v>165</v>
      </c>
      <c r="S174" t="s">
        <v>234</v>
      </c>
      <c r="T174" t="s">
        <v>166</v>
      </c>
      <c r="U174">
        <v>0.31363916020607685</v>
      </c>
      <c r="V174" t="s">
        <v>165</v>
      </c>
    </row>
    <row r="175" spans="9:22" x14ac:dyDescent="0.45">
      <c r="I175" t="s">
        <v>191</v>
      </c>
      <c r="J175" t="s">
        <v>167</v>
      </c>
      <c r="K175">
        <v>0.10513280477014836</v>
      </c>
      <c r="L175" t="s">
        <v>165</v>
      </c>
      <c r="N175" t="s">
        <v>215</v>
      </c>
      <c r="O175" t="s">
        <v>167</v>
      </c>
      <c r="P175">
        <v>0.25715644898201689</v>
      </c>
      <c r="Q175" t="s">
        <v>165</v>
      </c>
      <c r="S175" t="s">
        <v>234</v>
      </c>
      <c r="T175" t="s">
        <v>167</v>
      </c>
      <c r="U175">
        <v>0.25192472402781402</v>
      </c>
      <c r="V175" t="s">
        <v>165</v>
      </c>
    </row>
    <row r="176" spans="9:22" x14ac:dyDescent="0.45">
      <c r="I176" t="s">
        <v>191</v>
      </c>
      <c r="J176" t="s">
        <v>168</v>
      </c>
      <c r="K176">
        <v>0</v>
      </c>
      <c r="L176" t="s">
        <v>165</v>
      </c>
      <c r="N176" t="s">
        <v>215</v>
      </c>
      <c r="O176" t="s">
        <v>168</v>
      </c>
      <c r="P176">
        <v>2.9764382759189609E-2</v>
      </c>
      <c r="Q176" t="s">
        <v>165</v>
      </c>
      <c r="S176" t="s">
        <v>234</v>
      </c>
      <c r="T176" t="s">
        <v>168</v>
      </c>
      <c r="U176">
        <v>3.1896552824588448E-2</v>
      </c>
      <c r="V176" t="s">
        <v>165</v>
      </c>
    </row>
    <row r="177" spans="9:22" x14ac:dyDescent="0.45">
      <c r="I177" t="s">
        <v>191</v>
      </c>
      <c r="J177" t="s">
        <v>169</v>
      </c>
      <c r="K177">
        <v>4.0380883938522842E-2</v>
      </c>
      <c r="L177" t="s">
        <v>165</v>
      </c>
      <c r="N177" t="s">
        <v>215</v>
      </c>
      <c r="O177" t="s">
        <v>169</v>
      </c>
      <c r="P177">
        <v>3.8400341332672026E-2</v>
      </c>
      <c r="Q177" t="s">
        <v>165</v>
      </c>
      <c r="S177" t="s">
        <v>234</v>
      </c>
      <c r="T177" t="s">
        <v>169</v>
      </c>
      <c r="U177">
        <v>3.2620180768598392E-2</v>
      </c>
      <c r="V177" t="s">
        <v>165</v>
      </c>
    </row>
    <row r="178" spans="9:22" x14ac:dyDescent="0.45">
      <c r="I178" t="s">
        <v>191</v>
      </c>
      <c r="J178" t="s">
        <v>170</v>
      </c>
      <c r="K178">
        <v>1.026118933685573E-3</v>
      </c>
      <c r="L178" t="s">
        <v>165</v>
      </c>
      <c r="N178" t="s">
        <v>215</v>
      </c>
      <c r="O178" t="s">
        <v>170</v>
      </c>
      <c r="P178">
        <v>2.5784177542799144E-2</v>
      </c>
      <c r="Q178" t="s">
        <v>165</v>
      </c>
      <c r="S178" t="s">
        <v>234</v>
      </c>
      <c r="T178" t="s">
        <v>170</v>
      </c>
      <c r="U178">
        <v>2.75844210429761E-2</v>
      </c>
      <c r="V178" t="s">
        <v>165</v>
      </c>
    </row>
    <row r="179" spans="9:22" x14ac:dyDescent="0.45">
      <c r="I179" t="s">
        <v>191</v>
      </c>
      <c r="J179" t="s">
        <v>171</v>
      </c>
      <c r="K179">
        <v>0</v>
      </c>
      <c r="L179" t="s">
        <v>165</v>
      </c>
      <c r="N179" t="s">
        <v>215</v>
      </c>
      <c r="O179" t="s">
        <v>171</v>
      </c>
      <c r="P179">
        <v>1.6385661857610239E-2</v>
      </c>
      <c r="Q179" t="s">
        <v>165</v>
      </c>
      <c r="S179" t="s">
        <v>234</v>
      </c>
      <c r="T179" t="s">
        <v>171</v>
      </c>
      <c r="U179">
        <v>2.4219175048249969E-2</v>
      </c>
      <c r="V179" t="s">
        <v>165</v>
      </c>
    </row>
    <row r="180" spans="9:22" x14ac:dyDescent="0.45">
      <c r="I180" t="s">
        <v>191</v>
      </c>
      <c r="J180" t="s">
        <v>172</v>
      </c>
      <c r="K180">
        <v>4.4857187800378999E-2</v>
      </c>
      <c r="L180" t="s">
        <v>165</v>
      </c>
      <c r="N180" t="s">
        <v>215</v>
      </c>
      <c r="O180" t="s">
        <v>172</v>
      </c>
      <c r="P180">
        <v>1.5939426025921018E-2</v>
      </c>
      <c r="Q180" t="s">
        <v>165</v>
      </c>
      <c r="S180" t="s">
        <v>234</v>
      </c>
      <c r="T180" t="s">
        <v>172</v>
      </c>
      <c r="U180">
        <v>2.7017067159222728E-2</v>
      </c>
      <c r="V180" t="s">
        <v>165</v>
      </c>
    </row>
    <row r="181" spans="9:22" x14ac:dyDescent="0.45">
      <c r="I181" t="s">
        <v>191</v>
      </c>
      <c r="J181" t="s">
        <v>173</v>
      </c>
      <c r="K181">
        <v>1.6851746853239743E-5</v>
      </c>
      <c r="L181" t="s">
        <v>165</v>
      </c>
      <c r="N181" t="s">
        <v>215</v>
      </c>
      <c r="O181" t="s">
        <v>173</v>
      </c>
      <c r="P181">
        <v>1.2598507152191072E-2</v>
      </c>
      <c r="Q181" t="s">
        <v>165</v>
      </c>
      <c r="S181" t="s">
        <v>234</v>
      </c>
      <c r="T181" t="s">
        <v>173</v>
      </c>
      <c r="U181">
        <v>2.3810352765406596E-2</v>
      </c>
      <c r="V181" t="s">
        <v>165</v>
      </c>
    </row>
    <row r="182" spans="9:22" x14ac:dyDescent="0.45">
      <c r="I182" t="s">
        <v>192</v>
      </c>
      <c r="J182" t="s">
        <v>164</v>
      </c>
      <c r="K182">
        <v>4.0054468308082528E-2</v>
      </c>
      <c r="L182" t="s">
        <v>165</v>
      </c>
    </row>
    <row r="183" spans="9:22" x14ac:dyDescent="0.45">
      <c r="I183" t="s">
        <v>192</v>
      </c>
      <c r="J183" t="s">
        <v>166</v>
      </c>
      <c r="K183">
        <v>0.74669226530671817</v>
      </c>
      <c r="L183" t="s">
        <v>165</v>
      </c>
    </row>
    <row r="184" spans="9:22" x14ac:dyDescent="0.45">
      <c r="I184" t="s">
        <v>192</v>
      </c>
      <c r="J184" t="s">
        <v>167</v>
      </c>
      <c r="K184">
        <v>0.12179322036231836</v>
      </c>
      <c r="L184" t="s">
        <v>165</v>
      </c>
    </row>
    <row r="185" spans="9:22" x14ac:dyDescent="0.45">
      <c r="I185" t="s">
        <v>192</v>
      </c>
      <c r="J185" t="s">
        <v>168</v>
      </c>
      <c r="K185">
        <v>0</v>
      </c>
      <c r="L185" t="s">
        <v>165</v>
      </c>
    </row>
    <row r="186" spans="9:22" x14ac:dyDescent="0.45">
      <c r="I186" t="s">
        <v>192</v>
      </c>
      <c r="J186" t="s">
        <v>169</v>
      </c>
      <c r="K186">
        <v>4.5704415163364889E-2</v>
      </c>
      <c r="L186" t="s">
        <v>165</v>
      </c>
    </row>
    <row r="187" spans="9:22" x14ac:dyDescent="0.45">
      <c r="I187" t="s">
        <v>192</v>
      </c>
      <c r="J187" t="s">
        <v>170</v>
      </c>
      <c r="K187">
        <v>2.0214410865245637E-3</v>
      </c>
      <c r="L187" t="s">
        <v>165</v>
      </c>
    </row>
    <row r="188" spans="9:22" x14ac:dyDescent="0.45">
      <c r="I188" t="s">
        <v>192</v>
      </c>
      <c r="J188" t="s">
        <v>171</v>
      </c>
      <c r="K188">
        <v>0</v>
      </c>
      <c r="L188" t="s">
        <v>165</v>
      </c>
    </row>
    <row r="189" spans="9:22" x14ac:dyDescent="0.45">
      <c r="I189" t="s">
        <v>192</v>
      </c>
      <c r="J189" t="s">
        <v>172</v>
      </c>
      <c r="K189">
        <v>4.2683737461519829E-2</v>
      </c>
      <c r="L189" t="s">
        <v>165</v>
      </c>
    </row>
    <row r="190" spans="9:22" x14ac:dyDescent="0.45">
      <c r="I190" t="s">
        <v>192</v>
      </c>
      <c r="J190" t="s">
        <v>173</v>
      </c>
      <c r="K190">
        <v>1.0504523114684109E-3</v>
      </c>
      <c r="L190" t="s">
        <v>165</v>
      </c>
    </row>
    <row r="191" spans="9:22" x14ac:dyDescent="0.45">
      <c r="I191" t="s">
        <v>193</v>
      </c>
      <c r="J191" t="s">
        <v>164</v>
      </c>
      <c r="K191">
        <v>4.2756314016392932E-2</v>
      </c>
      <c r="L191" t="s">
        <v>165</v>
      </c>
    </row>
    <row r="192" spans="9:22" x14ac:dyDescent="0.45">
      <c r="I192" t="s">
        <v>193</v>
      </c>
      <c r="J192" t="s">
        <v>166</v>
      </c>
      <c r="K192">
        <v>0.75763167798994047</v>
      </c>
      <c r="L192" t="s">
        <v>165</v>
      </c>
    </row>
    <row r="193" spans="9:12" x14ac:dyDescent="0.45">
      <c r="I193" t="s">
        <v>193</v>
      </c>
      <c r="J193" t="s">
        <v>167</v>
      </c>
      <c r="K193">
        <v>0.10946671908872793</v>
      </c>
      <c r="L193" t="s">
        <v>165</v>
      </c>
    </row>
    <row r="194" spans="9:12" x14ac:dyDescent="0.45">
      <c r="I194" t="s">
        <v>193</v>
      </c>
      <c r="J194" t="s">
        <v>168</v>
      </c>
      <c r="K194">
        <v>0</v>
      </c>
      <c r="L194" t="s">
        <v>165</v>
      </c>
    </row>
    <row r="195" spans="9:12" x14ac:dyDescent="0.45">
      <c r="I195" t="s">
        <v>193</v>
      </c>
      <c r="J195" t="s">
        <v>169</v>
      </c>
      <c r="K195">
        <v>4.2361237076440739E-2</v>
      </c>
      <c r="L195" t="s">
        <v>165</v>
      </c>
    </row>
    <row r="196" spans="9:12" x14ac:dyDescent="0.45">
      <c r="I196" t="s">
        <v>193</v>
      </c>
      <c r="J196" t="s">
        <v>170</v>
      </c>
      <c r="K196">
        <v>1.3985987774084473E-3</v>
      </c>
      <c r="L196" t="s">
        <v>165</v>
      </c>
    </row>
    <row r="197" spans="9:12" x14ac:dyDescent="0.45">
      <c r="I197" t="s">
        <v>193</v>
      </c>
      <c r="J197" t="s">
        <v>171</v>
      </c>
      <c r="K197">
        <v>0</v>
      </c>
      <c r="L197" t="s">
        <v>165</v>
      </c>
    </row>
    <row r="198" spans="9:12" x14ac:dyDescent="0.45">
      <c r="I198" t="s">
        <v>193</v>
      </c>
      <c r="J198" t="s">
        <v>172</v>
      </c>
      <c r="K198">
        <v>4.591607760878301E-2</v>
      </c>
      <c r="L198" t="s">
        <v>165</v>
      </c>
    </row>
    <row r="199" spans="9:12" x14ac:dyDescent="0.45">
      <c r="I199" t="s">
        <v>193</v>
      </c>
      <c r="J199" t="s">
        <v>173</v>
      </c>
      <c r="K199">
        <v>4.6937544230812574E-4</v>
      </c>
      <c r="L199" t="s">
        <v>165</v>
      </c>
    </row>
    <row r="200" spans="9:12" x14ac:dyDescent="0.45">
      <c r="I200" t="s">
        <v>194</v>
      </c>
      <c r="J200" t="s">
        <v>164</v>
      </c>
      <c r="K200">
        <v>4.2328236520360336E-2</v>
      </c>
      <c r="L200" t="s">
        <v>165</v>
      </c>
    </row>
    <row r="201" spans="9:12" x14ac:dyDescent="0.45">
      <c r="I201" t="s">
        <v>194</v>
      </c>
      <c r="J201" t="s">
        <v>166</v>
      </c>
      <c r="K201">
        <v>0.74726084245903812</v>
      </c>
      <c r="L201" t="s">
        <v>165</v>
      </c>
    </row>
    <row r="202" spans="9:12" x14ac:dyDescent="0.45">
      <c r="I202" t="s">
        <v>194</v>
      </c>
      <c r="J202" t="s">
        <v>167</v>
      </c>
      <c r="K202">
        <v>0.12464927112909516</v>
      </c>
      <c r="L202" t="s">
        <v>165</v>
      </c>
    </row>
    <row r="203" spans="9:12" x14ac:dyDescent="0.45">
      <c r="I203" t="s">
        <v>194</v>
      </c>
      <c r="J203" t="s">
        <v>168</v>
      </c>
      <c r="K203">
        <v>0</v>
      </c>
      <c r="L203" t="s">
        <v>165</v>
      </c>
    </row>
    <row r="204" spans="9:12" x14ac:dyDescent="0.45">
      <c r="I204" t="s">
        <v>194</v>
      </c>
      <c r="J204" t="s">
        <v>169</v>
      </c>
      <c r="K204">
        <v>4.1127003555627685E-2</v>
      </c>
      <c r="L204" t="s">
        <v>165</v>
      </c>
    </row>
    <row r="205" spans="9:12" x14ac:dyDescent="0.45">
      <c r="I205" t="s">
        <v>194</v>
      </c>
      <c r="J205" t="s">
        <v>170</v>
      </c>
      <c r="K205">
        <v>1.2032361159152447E-3</v>
      </c>
      <c r="L205" t="s">
        <v>165</v>
      </c>
    </row>
    <row r="206" spans="9:12" x14ac:dyDescent="0.45">
      <c r="I206" t="s">
        <v>194</v>
      </c>
      <c r="J206" t="s">
        <v>171</v>
      </c>
      <c r="K206">
        <v>0</v>
      </c>
      <c r="L206" t="s">
        <v>165</v>
      </c>
    </row>
    <row r="207" spans="9:12" x14ac:dyDescent="0.45">
      <c r="I207" t="s">
        <v>194</v>
      </c>
      <c r="J207" t="s">
        <v>172</v>
      </c>
      <c r="K207">
        <v>4.3397532260607427E-2</v>
      </c>
      <c r="L207" t="s">
        <v>165</v>
      </c>
    </row>
    <row r="208" spans="9:12" x14ac:dyDescent="0.45">
      <c r="I208" t="s">
        <v>194</v>
      </c>
      <c r="J208" t="s">
        <v>173</v>
      </c>
      <c r="K208">
        <v>3.3877959355165534E-5</v>
      </c>
      <c r="L208" t="s">
        <v>165</v>
      </c>
    </row>
    <row r="209" spans="9:12" x14ac:dyDescent="0.45">
      <c r="I209" t="s">
        <v>195</v>
      </c>
      <c r="J209" t="s">
        <v>164</v>
      </c>
      <c r="K209">
        <v>4.4732518706687777E-2</v>
      </c>
      <c r="L209" t="s">
        <v>165</v>
      </c>
    </row>
    <row r="210" spans="9:12" x14ac:dyDescent="0.45">
      <c r="I210" t="s">
        <v>195</v>
      </c>
      <c r="J210" t="s">
        <v>166</v>
      </c>
      <c r="K210">
        <v>0.75417810379812811</v>
      </c>
      <c r="L210" t="s">
        <v>165</v>
      </c>
    </row>
    <row r="211" spans="9:12" x14ac:dyDescent="0.45">
      <c r="I211" t="s">
        <v>195</v>
      </c>
      <c r="J211" t="s">
        <v>167</v>
      </c>
      <c r="K211">
        <v>0.11657595896460085</v>
      </c>
      <c r="L211" t="s">
        <v>165</v>
      </c>
    </row>
    <row r="212" spans="9:12" x14ac:dyDescent="0.45">
      <c r="I212" t="s">
        <v>195</v>
      </c>
      <c r="J212" t="s">
        <v>168</v>
      </c>
      <c r="K212">
        <v>0</v>
      </c>
      <c r="L212" t="s">
        <v>165</v>
      </c>
    </row>
    <row r="213" spans="9:12" x14ac:dyDescent="0.45">
      <c r="I213" t="s">
        <v>195</v>
      </c>
      <c r="J213" t="s">
        <v>169</v>
      </c>
      <c r="K213">
        <v>3.9936188300749506E-2</v>
      </c>
      <c r="L213" t="s">
        <v>165</v>
      </c>
    </row>
    <row r="214" spans="9:12" x14ac:dyDescent="0.45">
      <c r="I214" t="s">
        <v>195</v>
      </c>
      <c r="J214" t="s">
        <v>170</v>
      </c>
      <c r="K214">
        <v>9.4624065015581568E-4</v>
      </c>
      <c r="L214" t="s">
        <v>165</v>
      </c>
    </row>
    <row r="215" spans="9:12" x14ac:dyDescent="0.45">
      <c r="I215" t="s">
        <v>195</v>
      </c>
      <c r="J215" t="s">
        <v>171</v>
      </c>
      <c r="K215">
        <v>0</v>
      </c>
      <c r="L215" t="s">
        <v>165</v>
      </c>
    </row>
    <row r="216" spans="9:12" x14ac:dyDescent="0.45">
      <c r="I216" t="s">
        <v>195</v>
      </c>
      <c r="J216" t="s">
        <v>172</v>
      </c>
      <c r="K216">
        <v>4.3614279814820078E-2</v>
      </c>
      <c r="L216" t="s">
        <v>165</v>
      </c>
    </row>
    <row r="217" spans="9:12" x14ac:dyDescent="0.45">
      <c r="I217" t="s">
        <v>195</v>
      </c>
      <c r="J217" t="s">
        <v>173</v>
      </c>
      <c r="K217">
        <v>1.6709764856667851E-5</v>
      </c>
      <c r="L217" t="s">
        <v>165</v>
      </c>
    </row>
    <row r="218" spans="9:12" x14ac:dyDescent="0.45">
      <c r="I218" t="s">
        <v>196</v>
      </c>
      <c r="J218" t="s">
        <v>164</v>
      </c>
      <c r="K218">
        <v>4.2117398879060304E-2</v>
      </c>
      <c r="L218" t="s">
        <v>165</v>
      </c>
    </row>
    <row r="219" spans="9:12" x14ac:dyDescent="0.45">
      <c r="I219" t="s">
        <v>196</v>
      </c>
      <c r="J219" t="s">
        <v>166</v>
      </c>
      <c r="K219">
        <v>0.75185868299771463</v>
      </c>
      <c r="L219" t="s">
        <v>165</v>
      </c>
    </row>
    <row r="220" spans="9:12" x14ac:dyDescent="0.45">
      <c r="I220" t="s">
        <v>196</v>
      </c>
      <c r="J220" t="s">
        <v>167</v>
      </c>
      <c r="K220">
        <v>0.12404060689115662</v>
      </c>
      <c r="L220" t="s">
        <v>165</v>
      </c>
    </row>
    <row r="221" spans="9:12" x14ac:dyDescent="0.45">
      <c r="I221" t="s">
        <v>196</v>
      </c>
      <c r="J221" t="s">
        <v>168</v>
      </c>
      <c r="K221">
        <v>0</v>
      </c>
      <c r="L221" t="s">
        <v>165</v>
      </c>
    </row>
    <row r="222" spans="9:12" x14ac:dyDescent="0.45">
      <c r="I222" t="s">
        <v>196</v>
      </c>
      <c r="J222" t="s">
        <v>169</v>
      </c>
      <c r="K222">
        <v>3.835570036962152E-2</v>
      </c>
      <c r="L222" t="s">
        <v>165</v>
      </c>
    </row>
    <row r="223" spans="9:12" x14ac:dyDescent="0.45">
      <c r="I223" t="s">
        <v>196</v>
      </c>
      <c r="J223" t="s">
        <v>170</v>
      </c>
      <c r="K223">
        <v>1.5136304020147429E-3</v>
      </c>
      <c r="L223" t="s">
        <v>165</v>
      </c>
    </row>
    <row r="224" spans="9:12" x14ac:dyDescent="0.45">
      <c r="I224" t="s">
        <v>196</v>
      </c>
      <c r="J224" t="s">
        <v>171</v>
      </c>
      <c r="K224">
        <v>0</v>
      </c>
      <c r="L224" t="s">
        <v>165</v>
      </c>
    </row>
    <row r="225" spans="9:12" x14ac:dyDescent="0.45">
      <c r="I225" t="s">
        <v>196</v>
      </c>
      <c r="J225" t="s">
        <v>172</v>
      </c>
      <c r="K225">
        <v>4.182474909057677E-2</v>
      </c>
      <c r="L225" t="s">
        <v>165</v>
      </c>
    </row>
    <row r="226" spans="9:12" x14ac:dyDescent="0.45">
      <c r="I226" t="s">
        <v>196</v>
      </c>
      <c r="J226" t="s">
        <v>173</v>
      </c>
      <c r="K226">
        <v>2.892313698541906E-4</v>
      </c>
      <c r="L226" t="s">
        <v>165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059EBE-C539-4271-A9E0-994307FBB842}">
  <dimension ref="A9:AN101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162</v>
      </c>
      <c r="L10" t="s">
        <v>30</v>
      </c>
      <c r="N10" t="s">
        <v>13</v>
      </c>
      <c r="O10" t="s">
        <v>122</v>
      </c>
      <c r="P10" t="s">
        <v>162</v>
      </c>
      <c r="Q10" t="s">
        <v>30</v>
      </c>
      <c r="S10" t="s">
        <v>13</v>
      </c>
      <c r="T10" t="s">
        <v>122</v>
      </c>
      <c r="U10" t="s">
        <v>162</v>
      </c>
      <c r="V10" t="s">
        <v>30</v>
      </c>
      <c r="X10" t="s">
        <v>235</v>
      </c>
      <c r="Y10" t="s">
        <v>162</v>
      </c>
      <c r="Z10" t="s">
        <v>122</v>
      </c>
      <c r="AA10" t="s">
        <v>13</v>
      </c>
      <c r="AC10" t="s">
        <v>13</v>
      </c>
      <c r="AD10" t="s">
        <v>122</v>
      </c>
      <c r="AE10" t="s">
        <v>162</v>
      </c>
      <c r="AG10" t="s">
        <v>13</v>
      </c>
      <c r="AH10" t="s">
        <v>122</v>
      </c>
      <c r="AI10" t="s">
        <v>241</v>
      </c>
      <c r="AK10" t="s">
        <v>47</v>
      </c>
      <c r="AL10" t="s">
        <v>122</v>
      </c>
      <c r="AM10" t="s">
        <v>242</v>
      </c>
      <c r="AN10" t="s">
        <v>243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245</v>
      </c>
      <c r="G11" t="s">
        <v>155</v>
      </c>
      <c r="I11" t="s">
        <v>163</v>
      </c>
      <c r="J11" t="s">
        <v>164</v>
      </c>
      <c r="K11">
        <v>6.3754206234794772E-4</v>
      </c>
      <c r="L11" t="s">
        <v>165</v>
      </c>
      <c r="N11" t="s">
        <v>197</v>
      </c>
      <c r="O11" t="s">
        <v>164</v>
      </c>
      <c r="P11">
        <v>6.4828534505285015E-2</v>
      </c>
      <c r="Q11" t="s">
        <v>165</v>
      </c>
      <c r="S11" t="s">
        <v>216</v>
      </c>
      <c r="T11" t="s">
        <v>164</v>
      </c>
      <c r="U11">
        <v>6.8668189858488493E-2</v>
      </c>
      <c r="V11" t="s">
        <v>165</v>
      </c>
      <c r="X11">
        <v>5.3881278538812784E-2</v>
      </c>
      <c r="Y11">
        <v>2.9864505382492607E-2</v>
      </c>
      <c r="Z11" t="s">
        <v>164</v>
      </c>
      <c r="AA11" t="s">
        <v>25</v>
      </c>
      <c r="AC11" t="s">
        <v>22</v>
      </c>
      <c r="AD11" t="s">
        <v>164</v>
      </c>
      <c r="AE11">
        <v>4.9413150019647384E-2</v>
      </c>
      <c r="AG11" t="s">
        <v>97</v>
      </c>
      <c r="AH11" t="s">
        <v>164</v>
      </c>
      <c r="AI11">
        <v>0.30170207507267222</v>
      </c>
      <c r="AK11">
        <v>2020</v>
      </c>
      <c r="AL11" t="s">
        <v>154</v>
      </c>
      <c r="AM11">
        <v>0.20444938820912117</v>
      </c>
      <c r="AN11" t="s">
        <v>244</v>
      </c>
    </row>
    <row r="12" spans="1:40" x14ac:dyDescent="0.45">
      <c r="C12" t="s">
        <v>158</v>
      </c>
      <c r="E12" t="s">
        <v>159</v>
      </c>
      <c r="G12" t="s">
        <v>155</v>
      </c>
      <c r="I12" t="s">
        <v>163</v>
      </c>
      <c r="J12" t="s">
        <v>166</v>
      </c>
      <c r="K12">
        <v>7.2352589807062502E-3</v>
      </c>
      <c r="L12" t="s">
        <v>165</v>
      </c>
      <c r="N12" t="s">
        <v>197</v>
      </c>
      <c r="O12" t="s">
        <v>166</v>
      </c>
      <c r="P12">
        <v>7.4131827652817702E-3</v>
      </c>
      <c r="Q12" t="s">
        <v>165</v>
      </c>
      <c r="S12" t="s">
        <v>216</v>
      </c>
      <c r="T12" t="s">
        <v>166</v>
      </c>
      <c r="U12">
        <v>8.1268559225185534E-3</v>
      </c>
      <c r="V12" t="s">
        <v>165</v>
      </c>
      <c r="X12">
        <v>6.735159817351598E-3</v>
      </c>
      <c r="Y12">
        <v>8.6053584599192871E-3</v>
      </c>
      <c r="Z12" t="s">
        <v>166</v>
      </c>
      <c r="AA12" t="s">
        <v>25</v>
      </c>
      <c r="AC12" t="s">
        <v>22</v>
      </c>
      <c r="AD12" t="s">
        <v>166</v>
      </c>
      <c r="AE12">
        <v>8.3943858858496045E-3</v>
      </c>
      <c r="AG12" t="s">
        <v>97</v>
      </c>
      <c r="AH12" t="s">
        <v>166</v>
      </c>
      <c r="AI12">
        <v>4.7484009459135335E-2</v>
      </c>
      <c r="AK12">
        <v>2020</v>
      </c>
      <c r="AL12" t="s">
        <v>158</v>
      </c>
      <c r="AM12">
        <v>0.18207885304659499</v>
      </c>
      <c r="AN12" t="s">
        <v>244</v>
      </c>
    </row>
    <row r="13" spans="1:40" x14ac:dyDescent="0.45">
      <c r="C13" t="s">
        <v>160</v>
      </c>
      <c r="E13" t="s">
        <v>161</v>
      </c>
      <c r="G13" t="s">
        <v>155</v>
      </c>
      <c r="I13" t="s">
        <v>163</v>
      </c>
      <c r="J13" t="s">
        <v>167</v>
      </c>
      <c r="K13">
        <v>0.10221830329271178</v>
      </c>
      <c r="L13" t="s">
        <v>165</v>
      </c>
      <c r="N13" t="s">
        <v>197</v>
      </c>
      <c r="O13" t="s">
        <v>167</v>
      </c>
      <c r="P13">
        <v>4.2961659125852279E-2</v>
      </c>
      <c r="Q13" t="s">
        <v>165</v>
      </c>
      <c r="S13" t="s">
        <v>216</v>
      </c>
      <c r="T13" t="s">
        <v>167</v>
      </c>
      <c r="U13">
        <v>5.7968612401828642E-2</v>
      </c>
      <c r="V13" t="s">
        <v>165</v>
      </c>
      <c r="X13">
        <v>4.714611872146119E-2</v>
      </c>
      <c r="Y13">
        <v>6.137185192551526E-2</v>
      </c>
      <c r="Z13" t="s">
        <v>167</v>
      </c>
      <c r="AA13" t="s">
        <v>25</v>
      </c>
      <c r="AC13" t="s">
        <v>22</v>
      </c>
      <c r="AD13" t="s">
        <v>167</v>
      </c>
      <c r="AE13">
        <v>5.8771852522813424E-2</v>
      </c>
      <c r="AG13" t="s">
        <v>97</v>
      </c>
      <c r="AH13" t="s">
        <v>167</v>
      </c>
      <c r="AI13">
        <v>6.252009204935205E-2</v>
      </c>
      <c r="AK13">
        <v>2020</v>
      </c>
      <c r="AL13" t="s">
        <v>160</v>
      </c>
      <c r="AM13">
        <v>0.32478494623655912</v>
      </c>
      <c r="AN13" t="s">
        <v>244</v>
      </c>
    </row>
    <row r="14" spans="1:40" x14ac:dyDescent="0.45">
      <c r="C14" t="s">
        <v>246</v>
      </c>
      <c r="E14" t="s">
        <v>247</v>
      </c>
      <c r="G14" t="s">
        <v>155</v>
      </c>
      <c r="I14" t="s">
        <v>163</v>
      </c>
      <c r="J14" t="s">
        <v>253</v>
      </c>
      <c r="K14">
        <v>9.1093058716284689E-3</v>
      </c>
      <c r="L14" t="s">
        <v>165</v>
      </c>
      <c r="N14" t="s">
        <v>197</v>
      </c>
      <c r="O14" t="s">
        <v>253</v>
      </c>
      <c r="P14">
        <v>7.1734900247588185E-3</v>
      </c>
      <c r="Q14" t="s">
        <v>165</v>
      </c>
      <c r="S14" t="s">
        <v>216</v>
      </c>
      <c r="T14" t="s">
        <v>253</v>
      </c>
      <c r="U14">
        <v>8.7906452896163844E-3</v>
      </c>
      <c r="V14" t="s">
        <v>165</v>
      </c>
      <c r="X14">
        <v>6.735159817351598E-3</v>
      </c>
      <c r="Y14">
        <v>1.3103614018513452E-2</v>
      </c>
      <c r="Z14" t="s">
        <v>253</v>
      </c>
      <c r="AA14" t="s">
        <v>25</v>
      </c>
      <c r="AC14" t="s">
        <v>22</v>
      </c>
      <c r="AD14" t="s">
        <v>253</v>
      </c>
      <c r="AE14">
        <v>8.6310567351807702E-3</v>
      </c>
      <c r="AG14" t="s">
        <v>97</v>
      </c>
      <c r="AH14" t="s">
        <v>253</v>
      </c>
      <c r="AI14">
        <v>6.2164802367530525E-2</v>
      </c>
      <c r="AK14">
        <v>2020</v>
      </c>
      <c r="AL14" t="s">
        <v>246</v>
      </c>
      <c r="AM14">
        <v>0.27493428912783746</v>
      </c>
      <c r="AN14" t="s">
        <v>244</v>
      </c>
    </row>
    <row r="15" spans="1:40" x14ac:dyDescent="0.45">
      <c r="C15" t="s">
        <v>248</v>
      </c>
      <c r="E15" t="s">
        <v>249</v>
      </c>
      <c r="G15" t="s">
        <v>155</v>
      </c>
      <c r="I15" t="s">
        <v>163</v>
      </c>
      <c r="J15" t="s">
        <v>254</v>
      </c>
      <c r="K15">
        <v>2.8461971923613616E-3</v>
      </c>
      <c r="L15" t="s">
        <v>165</v>
      </c>
      <c r="N15" t="s">
        <v>197</v>
      </c>
      <c r="O15" t="s">
        <v>254</v>
      </c>
      <c r="P15">
        <v>7.4319895631127517E-3</v>
      </c>
      <c r="Q15" t="s">
        <v>165</v>
      </c>
      <c r="S15" t="s">
        <v>216</v>
      </c>
      <c r="T15" t="s">
        <v>254</v>
      </c>
      <c r="U15">
        <v>8.7747326703038683E-3</v>
      </c>
      <c r="V15" t="s">
        <v>165</v>
      </c>
      <c r="X15">
        <v>6.735159817351598E-3</v>
      </c>
      <c r="Y15">
        <v>1.3103614018513452E-2</v>
      </c>
      <c r="Z15" t="s">
        <v>254</v>
      </c>
      <c r="AA15" t="s">
        <v>25</v>
      </c>
      <c r="AC15" t="s">
        <v>22</v>
      </c>
      <c r="AD15" t="s">
        <v>254</v>
      </c>
      <c r="AE15">
        <v>8.7947971885762762E-3</v>
      </c>
      <c r="AG15" t="s">
        <v>97</v>
      </c>
      <c r="AH15" t="s">
        <v>254</v>
      </c>
      <c r="AI15">
        <v>4.576243161495408E-2</v>
      </c>
      <c r="AK15">
        <v>2020</v>
      </c>
      <c r="AL15" t="s">
        <v>248</v>
      </c>
      <c r="AM15">
        <v>0.28387096774193549</v>
      </c>
      <c r="AN15" t="s">
        <v>244</v>
      </c>
    </row>
    <row r="16" spans="1:40" x14ac:dyDescent="0.45">
      <c r="C16" t="s">
        <v>250</v>
      </c>
      <c r="E16" t="s">
        <v>251</v>
      </c>
      <c r="G16" t="s">
        <v>155</v>
      </c>
      <c r="I16" t="s">
        <v>163</v>
      </c>
      <c r="J16" t="s">
        <v>255</v>
      </c>
      <c r="K16">
        <v>0</v>
      </c>
      <c r="L16" t="s">
        <v>165</v>
      </c>
      <c r="N16" t="s">
        <v>197</v>
      </c>
      <c r="O16" t="s">
        <v>255</v>
      </c>
      <c r="P16">
        <v>5.1389274555301762E-2</v>
      </c>
      <c r="Q16" t="s">
        <v>165</v>
      </c>
      <c r="S16" t="s">
        <v>216</v>
      </c>
      <c r="T16" t="s">
        <v>255</v>
      </c>
      <c r="U16">
        <v>5.3827685757415776E-2</v>
      </c>
      <c r="V16" t="s">
        <v>165</v>
      </c>
      <c r="X16">
        <v>4.041095890410959E-2</v>
      </c>
      <c r="Y16">
        <v>3.5594891811484314E-2</v>
      </c>
      <c r="Z16" t="s">
        <v>255</v>
      </c>
      <c r="AA16" t="s">
        <v>25</v>
      </c>
      <c r="AC16" t="s">
        <v>22</v>
      </c>
      <c r="AD16" t="s">
        <v>255</v>
      </c>
      <c r="AE16">
        <v>4.5933251861365224E-2</v>
      </c>
      <c r="AG16" t="s">
        <v>97</v>
      </c>
      <c r="AH16" t="s">
        <v>255</v>
      </c>
      <c r="AI16">
        <v>0.17256843004398537</v>
      </c>
      <c r="AK16">
        <v>2020</v>
      </c>
      <c r="AL16" t="s">
        <v>250</v>
      </c>
      <c r="AM16">
        <v>0.2266666666666666</v>
      </c>
      <c r="AN16" t="s">
        <v>244</v>
      </c>
    </row>
    <row r="17" spans="3:40" x14ac:dyDescent="0.45">
      <c r="C17" t="s">
        <v>252</v>
      </c>
      <c r="I17" t="s">
        <v>163</v>
      </c>
      <c r="J17" t="s">
        <v>168</v>
      </c>
      <c r="K17">
        <v>3.9074653439179876E-3</v>
      </c>
      <c r="L17" t="s">
        <v>165</v>
      </c>
      <c r="N17" t="s">
        <v>197</v>
      </c>
      <c r="O17" t="s">
        <v>168</v>
      </c>
      <c r="P17">
        <v>3.7876539696993068E-2</v>
      </c>
      <c r="Q17" t="s">
        <v>165</v>
      </c>
      <c r="S17" t="s">
        <v>216</v>
      </c>
      <c r="T17" t="s">
        <v>168</v>
      </c>
      <c r="U17">
        <v>4.4154906798988224E-2</v>
      </c>
      <c r="V17" t="s">
        <v>165</v>
      </c>
      <c r="X17">
        <v>2.8310502283105023E-2</v>
      </c>
      <c r="Y17">
        <v>1.5691519777241876E-2</v>
      </c>
      <c r="Z17" t="s">
        <v>168</v>
      </c>
      <c r="AA17" t="s">
        <v>25</v>
      </c>
      <c r="AC17" t="s">
        <v>22</v>
      </c>
      <c r="AD17" t="s">
        <v>168</v>
      </c>
      <c r="AE17">
        <v>2.4749136467852182E-2</v>
      </c>
      <c r="AG17" t="s">
        <v>97</v>
      </c>
      <c r="AH17" t="s">
        <v>168</v>
      </c>
      <c r="AI17">
        <v>0.32568027331278482</v>
      </c>
      <c r="AK17">
        <v>2020</v>
      </c>
      <c r="AL17" t="s">
        <v>252</v>
      </c>
      <c r="AM17">
        <v>0.23154121863799279</v>
      </c>
      <c r="AN17" t="s">
        <v>244</v>
      </c>
    </row>
    <row r="18" spans="3:40" x14ac:dyDescent="0.45">
      <c r="I18" t="s">
        <v>163</v>
      </c>
      <c r="J18" t="s">
        <v>169</v>
      </c>
      <c r="K18">
        <v>6.1719212875841357E-3</v>
      </c>
      <c r="L18" t="s">
        <v>165</v>
      </c>
      <c r="N18" t="s">
        <v>197</v>
      </c>
      <c r="O18" t="s">
        <v>169</v>
      </c>
      <c r="P18">
        <v>4.5361726123071822E-3</v>
      </c>
      <c r="Q18" t="s">
        <v>165</v>
      </c>
      <c r="S18" t="s">
        <v>216</v>
      </c>
      <c r="T18" t="s">
        <v>169</v>
      </c>
      <c r="U18">
        <v>4.9534646797712292E-3</v>
      </c>
      <c r="V18" t="s">
        <v>165</v>
      </c>
      <c r="X18">
        <v>3.5388127853881279E-3</v>
      </c>
      <c r="Y18">
        <v>4.521459529788099E-3</v>
      </c>
      <c r="Z18" t="s">
        <v>169</v>
      </c>
      <c r="AA18" t="s">
        <v>25</v>
      </c>
      <c r="AC18" t="s">
        <v>22</v>
      </c>
      <c r="AD18" t="s">
        <v>169</v>
      </c>
      <c r="AE18">
        <v>4.0913868705264866E-3</v>
      </c>
      <c r="AG18" t="s">
        <v>97</v>
      </c>
      <c r="AH18" t="s">
        <v>169</v>
      </c>
      <c r="AI18">
        <v>9.6080459952263109E-2</v>
      </c>
      <c r="AK18">
        <v>2021</v>
      </c>
      <c r="AL18" t="s">
        <v>154</v>
      </c>
      <c r="AM18">
        <v>0.24603807498544339</v>
      </c>
      <c r="AN18" t="s">
        <v>244</v>
      </c>
    </row>
    <row r="19" spans="3:40" x14ac:dyDescent="0.45">
      <c r="I19" t="s">
        <v>163</v>
      </c>
      <c r="J19" t="s">
        <v>170</v>
      </c>
      <c r="K19">
        <v>6.3402985450229501E-2</v>
      </c>
      <c r="L19" t="s">
        <v>165</v>
      </c>
      <c r="N19" t="s">
        <v>197</v>
      </c>
      <c r="O19" t="s">
        <v>170</v>
      </c>
      <c r="P19">
        <v>2.6143750866394436E-2</v>
      </c>
      <c r="Q19" t="s">
        <v>165</v>
      </c>
      <c r="S19" t="s">
        <v>216</v>
      </c>
      <c r="T19" t="s">
        <v>170</v>
      </c>
      <c r="U19">
        <v>3.2490099158340835E-2</v>
      </c>
      <c r="V19" t="s">
        <v>165</v>
      </c>
      <c r="X19">
        <v>2.4771689497716895E-2</v>
      </c>
      <c r="Y19">
        <v>3.2246227282897846E-2</v>
      </c>
      <c r="Z19" t="s">
        <v>170</v>
      </c>
      <c r="AA19" t="s">
        <v>25</v>
      </c>
      <c r="AC19" t="s">
        <v>22</v>
      </c>
      <c r="AD19" t="s">
        <v>170</v>
      </c>
      <c r="AE19">
        <v>2.8590514619244039E-2</v>
      </c>
      <c r="AG19" t="s">
        <v>97</v>
      </c>
      <c r="AH19" t="s">
        <v>170</v>
      </c>
      <c r="AI19">
        <v>0.10076987725037823</v>
      </c>
      <c r="AK19">
        <v>2021</v>
      </c>
      <c r="AL19" t="s">
        <v>158</v>
      </c>
      <c r="AM19">
        <v>0.20436395648619751</v>
      </c>
      <c r="AN19" t="s">
        <v>244</v>
      </c>
    </row>
    <row r="20" spans="3:40" x14ac:dyDescent="0.45">
      <c r="I20" t="s">
        <v>163</v>
      </c>
      <c r="J20" t="s">
        <v>256</v>
      </c>
      <c r="K20">
        <v>7.0755045916260353E-3</v>
      </c>
      <c r="L20" t="s">
        <v>165</v>
      </c>
      <c r="N20" t="s">
        <v>197</v>
      </c>
      <c r="O20" t="s">
        <v>256</v>
      </c>
      <c r="P20">
        <v>4.365038898574901E-3</v>
      </c>
      <c r="Q20" t="s">
        <v>165</v>
      </c>
      <c r="S20" t="s">
        <v>216</v>
      </c>
      <c r="T20" t="s">
        <v>256</v>
      </c>
      <c r="U20">
        <v>6.034991906386694E-3</v>
      </c>
      <c r="V20" t="s">
        <v>165</v>
      </c>
      <c r="X20">
        <v>3.5388127853881279E-3</v>
      </c>
      <c r="Y20">
        <v>6.8849497385409693E-3</v>
      </c>
      <c r="Z20" t="s">
        <v>256</v>
      </c>
      <c r="AA20" t="s">
        <v>25</v>
      </c>
      <c r="AC20" t="s">
        <v>22</v>
      </c>
      <c r="AD20" t="s">
        <v>256</v>
      </c>
      <c r="AE20">
        <v>4.1221074481390067E-3</v>
      </c>
      <c r="AG20" t="s">
        <v>97</v>
      </c>
      <c r="AH20" t="s">
        <v>256</v>
      </c>
      <c r="AI20">
        <v>0.10502466320124371</v>
      </c>
      <c r="AK20">
        <v>2021</v>
      </c>
      <c r="AL20" t="s">
        <v>160</v>
      </c>
      <c r="AM20">
        <v>0.30209184849818688</v>
      </c>
      <c r="AN20" t="s">
        <v>244</v>
      </c>
    </row>
    <row r="21" spans="3:40" x14ac:dyDescent="0.45">
      <c r="I21" t="s">
        <v>163</v>
      </c>
      <c r="J21" t="s">
        <v>257</v>
      </c>
      <c r="K21">
        <v>4.8000052198759868E-3</v>
      </c>
      <c r="L21" t="s">
        <v>165</v>
      </c>
      <c r="N21" t="s">
        <v>197</v>
      </c>
      <c r="O21" t="s">
        <v>257</v>
      </c>
      <c r="P21">
        <v>4.4255317533118468E-3</v>
      </c>
      <c r="Q21" t="s">
        <v>165</v>
      </c>
      <c r="S21" t="s">
        <v>216</v>
      </c>
      <c r="T21" t="s">
        <v>257</v>
      </c>
      <c r="U21">
        <v>6.5472180729415257E-3</v>
      </c>
      <c r="V21" t="s">
        <v>165</v>
      </c>
      <c r="X21">
        <v>3.5388127853881279E-3</v>
      </c>
      <c r="Y21">
        <v>6.8849497385409693E-3</v>
      </c>
      <c r="Z21" t="s">
        <v>257</v>
      </c>
      <c r="AA21" t="s">
        <v>25</v>
      </c>
      <c r="AC21" t="s">
        <v>22</v>
      </c>
      <c r="AD21" t="s">
        <v>257</v>
      </c>
      <c r="AE21">
        <v>4.2008237656220781E-3</v>
      </c>
      <c r="AG21" t="s">
        <v>97</v>
      </c>
      <c r="AH21" t="s">
        <v>257</v>
      </c>
      <c r="AI21">
        <v>9.0436733199047881E-2</v>
      </c>
      <c r="AK21">
        <v>2021</v>
      </c>
      <c r="AL21" t="s">
        <v>246</v>
      </c>
      <c r="AM21">
        <v>0.25368045670818729</v>
      </c>
      <c r="AN21" t="s">
        <v>244</v>
      </c>
    </row>
    <row r="22" spans="3:40" x14ac:dyDescent="0.45">
      <c r="I22" t="s">
        <v>163</v>
      </c>
      <c r="J22" t="s">
        <v>258</v>
      </c>
      <c r="K22">
        <v>1.0522574515453363E-3</v>
      </c>
      <c r="L22" t="s">
        <v>165</v>
      </c>
      <c r="N22" t="s">
        <v>197</v>
      </c>
      <c r="O22" t="s">
        <v>258</v>
      </c>
      <c r="P22">
        <v>2.9647516146015417E-2</v>
      </c>
      <c r="Q22" t="s">
        <v>165</v>
      </c>
      <c r="S22" t="s">
        <v>216</v>
      </c>
      <c r="T22" t="s">
        <v>258</v>
      </c>
      <c r="U22">
        <v>3.9726036811476365E-2</v>
      </c>
      <c r="V22" t="s">
        <v>165</v>
      </c>
      <c r="X22">
        <v>2.1232876712328767E-2</v>
      </c>
      <c r="Y22">
        <v>1.8702400782305319E-2</v>
      </c>
      <c r="Z22" t="s">
        <v>258</v>
      </c>
      <c r="AA22" t="s">
        <v>25</v>
      </c>
      <c r="AC22" t="s">
        <v>22</v>
      </c>
      <c r="AD22" t="s">
        <v>258</v>
      </c>
      <c r="AE22">
        <v>2.2759179864093298E-2</v>
      </c>
      <c r="AG22" t="s">
        <v>97</v>
      </c>
      <c r="AH22" t="s">
        <v>258</v>
      </c>
      <c r="AI22">
        <v>0.18825329553942427</v>
      </c>
      <c r="AK22">
        <v>2021</v>
      </c>
      <c r="AL22" t="s">
        <v>248</v>
      </c>
      <c r="AM22">
        <v>0.1929310078715851</v>
      </c>
      <c r="AN22" t="s">
        <v>244</v>
      </c>
    </row>
    <row r="23" spans="3:40" x14ac:dyDescent="0.45">
      <c r="I23" t="s">
        <v>163</v>
      </c>
      <c r="J23" t="s">
        <v>171</v>
      </c>
      <c r="K23">
        <v>4.5953103579794541E-2</v>
      </c>
      <c r="L23" t="s">
        <v>165</v>
      </c>
      <c r="N23" t="s">
        <v>197</v>
      </c>
      <c r="O23" t="s">
        <v>171</v>
      </c>
      <c r="P23">
        <v>9.5314416118678122E-2</v>
      </c>
      <c r="Q23" t="s">
        <v>165</v>
      </c>
      <c r="S23" t="s">
        <v>216</v>
      </c>
      <c r="T23" t="s">
        <v>171</v>
      </c>
      <c r="U23">
        <v>9.0409853625974049E-2</v>
      </c>
      <c r="V23" t="s">
        <v>165</v>
      </c>
      <c r="X23">
        <v>0.11141552511415526</v>
      </c>
      <c r="Y23">
        <v>6.1753722994306731E-2</v>
      </c>
      <c r="Z23" t="s">
        <v>171</v>
      </c>
      <c r="AA23" t="s">
        <v>25</v>
      </c>
      <c r="AC23" t="s">
        <v>22</v>
      </c>
      <c r="AD23" t="s">
        <v>171</v>
      </c>
      <c r="AE23">
        <v>9.0002552727801791E-2</v>
      </c>
      <c r="AG23" t="s">
        <v>97</v>
      </c>
      <c r="AH23" t="s">
        <v>171</v>
      </c>
      <c r="AI23">
        <v>0.33136616564244581</v>
      </c>
      <c r="AK23">
        <v>2021</v>
      </c>
      <c r="AL23" t="s">
        <v>250</v>
      </c>
      <c r="AM23">
        <v>0.19123988422234031</v>
      </c>
      <c r="AN23" t="s">
        <v>244</v>
      </c>
    </row>
    <row r="24" spans="3:40" x14ac:dyDescent="0.45">
      <c r="I24" t="s">
        <v>163</v>
      </c>
      <c r="J24" t="s">
        <v>172</v>
      </c>
      <c r="K24">
        <v>3.3866338635963208E-2</v>
      </c>
      <c r="L24" t="s">
        <v>165</v>
      </c>
      <c r="N24" t="s">
        <v>197</v>
      </c>
      <c r="O24" t="s">
        <v>172</v>
      </c>
      <c r="P24">
        <v>8.7245655418083223E-3</v>
      </c>
      <c r="Q24" t="s">
        <v>165</v>
      </c>
      <c r="S24" t="s">
        <v>216</v>
      </c>
      <c r="T24" t="s">
        <v>172</v>
      </c>
      <c r="U24">
        <v>9.9338216217061386E-3</v>
      </c>
      <c r="V24" t="s">
        <v>165</v>
      </c>
      <c r="X24">
        <v>1.3926940639269407E-2</v>
      </c>
      <c r="Y24">
        <v>1.7794131052714456E-2</v>
      </c>
      <c r="Z24" t="s">
        <v>172</v>
      </c>
      <c r="AA24" t="s">
        <v>25</v>
      </c>
      <c r="AC24" t="s">
        <v>22</v>
      </c>
      <c r="AD24" t="s">
        <v>172</v>
      </c>
      <c r="AE24">
        <v>1.4632495770390483E-2</v>
      </c>
      <c r="AG24" t="s">
        <v>97</v>
      </c>
      <c r="AH24" t="s">
        <v>172</v>
      </c>
      <c r="AI24">
        <v>0.12104700491968767</v>
      </c>
      <c r="AK24">
        <v>2021</v>
      </c>
      <c r="AL24" t="s">
        <v>252</v>
      </c>
      <c r="AM24">
        <v>0.1879290928526921</v>
      </c>
      <c r="AN24" t="s">
        <v>244</v>
      </c>
    </row>
    <row r="25" spans="3:40" x14ac:dyDescent="0.45">
      <c r="I25" t="s">
        <v>163</v>
      </c>
      <c r="J25" t="s">
        <v>173</v>
      </c>
      <c r="K25">
        <v>0.28450321938035905</v>
      </c>
      <c r="L25" t="s">
        <v>165</v>
      </c>
      <c r="N25" t="s">
        <v>197</v>
      </c>
      <c r="O25" t="s">
        <v>173</v>
      </c>
      <c r="P25">
        <v>5.6512266671273508E-2</v>
      </c>
      <c r="Q25" t="s">
        <v>165</v>
      </c>
      <c r="S25" t="s">
        <v>216</v>
      </c>
      <c r="T25" t="s">
        <v>173</v>
      </c>
      <c r="U25">
        <v>7.0023100661794693E-2</v>
      </c>
      <c r="V25" t="s">
        <v>165</v>
      </c>
      <c r="X25">
        <v>9.7488584474885842E-2</v>
      </c>
      <c r="Y25">
        <v>0.12690450737140443</v>
      </c>
      <c r="Z25" t="s">
        <v>173</v>
      </c>
      <c r="AA25" t="s">
        <v>25</v>
      </c>
      <c r="AC25" t="s">
        <v>22</v>
      </c>
      <c r="AD25" t="s">
        <v>173</v>
      </c>
      <c r="AE25">
        <v>0.10344086272460237</v>
      </c>
      <c r="AG25" t="s">
        <v>97</v>
      </c>
      <c r="AH25" t="s">
        <v>173</v>
      </c>
      <c r="AI25">
        <v>0.14782511285297639</v>
      </c>
      <c r="AK25">
        <v>2022</v>
      </c>
      <c r="AL25" t="s">
        <v>154</v>
      </c>
      <c r="AM25">
        <v>0.1380880769396183</v>
      </c>
      <c r="AN25" t="s">
        <v>244</v>
      </c>
    </row>
    <row r="26" spans="3:40" x14ac:dyDescent="0.45">
      <c r="I26" t="s">
        <v>163</v>
      </c>
      <c r="J26" t="s">
        <v>259</v>
      </c>
      <c r="K26">
        <v>3.0674658726816337E-2</v>
      </c>
      <c r="L26" t="s">
        <v>165</v>
      </c>
      <c r="N26" t="s">
        <v>197</v>
      </c>
      <c r="O26" t="s">
        <v>259</v>
      </c>
      <c r="P26">
        <v>9.5210831138209714E-3</v>
      </c>
      <c r="Q26" t="s">
        <v>165</v>
      </c>
      <c r="S26" t="s">
        <v>216</v>
      </c>
      <c r="T26" t="s">
        <v>259</v>
      </c>
      <c r="U26">
        <v>1.3799188488679694E-2</v>
      </c>
      <c r="V26" t="s">
        <v>165</v>
      </c>
      <c r="X26">
        <v>1.3926940639269407E-2</v>
      </c>
      <c r="Y26">
        <v>2.7095608648451557E-2</v>
      </c>
      <c r="Z26" t="s">
        <v>259</v>
      </c>
      <c r="AA26" t="s">
        <v>25</v>
      </c>
      <c r="AC26" t="s">
        <v>22</v>
      </c>
      <c r="AD26" t="s">
        <v>259</v>
      </c>
      <c r="AE26">
        <v>1.4740295636417503E-2</v>
      </c>
      <c r="AG26" t="s">
        <v>97</v>
      </c>
      <c r="AH26" t="s">
        <v>259</v>
      </c>
      <c r="AI26">
        <v>0.13300264102460146</v>
      </c>
      <c r="AK26">
        <v>2022</v>
      </c>
      <c r="AL26" t="s">
        <v>158</v>
      </c>
      <c r="AM26">
        <v>9.8694113570653594E-2</v>
      </c>
      <c r="AN26" t="s">
        <v>244</v>
      </c>
    </row>
    <row r="27" spans="3:40" x14ac:dyDescent="0.45">
      <c r="I27" t="s">
        <v>163</v>
      </c>
      <c r="J27" t="s">
        <v>260</v>
      </c>
      <c r="K27">
        <v>2.4086771815267433E-2</v>
      </c>
      <c r="L27" t="s">
        <v>165</v>
      </c>
      <c r="N27" t="s">
        <v>197</v>
      </c>
      <c r="O27" t="s">
        <v>260</v>
      </c>
      <c r="P27">
        <v>8.6599687299256222E-3</v>
      </c>
      <c r="Q27" t="s">
        <v>165</v>
      </c>
      <c r="S27" t="s">
        <v>216</v>
      </c>
      <c r="T27" t="s">
        <v>260</v>
      </c>
      <c r="U27">
        <v>1.414128121729688E-2</v>
      </c>
      <c r="V27" t="s">
        <v>165</v>
      </c>
      <c r="X27">
        <v>1.3926940639269407E-2</v>
      </c>
      <c r="Y27">
        <v>2.7095608648451557E-2</v>
      </c>
      <c r="Z27" t="s">
        <v>260</v>
      </c>
      <c r="AA27" t="s">
        <v>25</v>
      </c>
      <c r="AC27" t="s">
        <v>22</v>
      </c>
      <c r="AD27" t="s">
        <v>260</v>
      </c>
      <c r="AE27">
        <v>1.471398302239788E-2</v>
      </c>
      <c r="AG27" t="s">
        <v>97</v>
      </c>
      <c r="AH27" t="s">
        <v>260</v>
      </c>
      <c r="AI27">
        <v>0.12360093823467033</v>
      </c>
      <c r="AK27">
        <v>2022</v>
      </c>
      <c r="AL27" t="s">
        <v>160</v>
      </c>
      <c r="AM27">
        <v>0.19812192438847515</v>
      </c>
      <c r="AN27" t="s">
        <v>244</v>
      </c>
    </row>
    <row r="28" spans="3:40" x14ac:dyDescent="0.45">
      <c r="I28" t="s">
        <v>163</v>
      </c>
      <c r="J28" t="s">
        <v>261</v>
      </c>
      <c r="K28">
        <v>2.176050100890373E-2</v>
      </c>
      <c r="L28" t="s">
        <v>165</v>
      </c>
      <c r="N28" t="s">
        <v>197</v>
      </c>
      <c r="O28" t="s">
        <v>261</v>
      </c>
      <c r="P28">
        <v>5.9139086147530481E-2</v>
      </c>
      <c r="Q28" t="s">
        <v>165</v>
      </c>
      <c r="S28" t="s">
        <v>216</v>
      </c>
      <c r="T28" t="s">
        <v>261</v>
      </c>
      <c r="U28">
        <v>8.2608431178314942E-2</v>
      </c>
      <c r="V28" t="s">
        <v>165</v>
      </c>
      <c r="X28">
        <v>8.3561643835616442E-2</v>
      </c>
      <c r="Y28">
        <v>7.3602996627137054E-2</v>
      </c>
      <c r="Z28" t="s">
        <v>261</v>
      </c>
      <c r="AA28" t="s">
        <v>25</v>
      </c>
      <c r="AC28" t="s">
        <v>22</v>
      </c>
      <c r="AD28" t="s">
        <v>261</v>
      </c>
      <c r="AE28">
        <v>8.1317719929730525E-2</v>
      </c>
      <c r="AG28" t="s">
        <v>97</v>
      </c>
      <c r="AH28" t="s">
        <v>261</v>
      </c>
      <c r="AI28">
        <v>0.20287523286048348</v>
      </c>
      <c r="AK28">
        <v>2022</v>
      </c>
      <c r="AL28" t="s">
        <v>246</v>
      </c>
      <c r="AM28">
        <v>0.15490478976497071</v>
      </c>
      <c r="AN28" t="s">
        <v>244</v>
      </c>
    </row>
    <row r="29" spans="3:40" x14ac:dyDescent="0.45">
      <c r="I29" t="s">
        <v>163</v>
      </c>
      <c r="J29" t="s">
        <v>262</v>
      </c>
      <c r="K29">
        <v>1.8014089559969942E-2</v>
      </c>
      <c r="L29" t="s">
        <v>165</v>
      </c>
      <c r="N29" t="s">
        <v>197</v>
      </c>
      <c r="O29" t="s">
        <v>262</v>
      </c>
      <c r="P29">
        <v>5.7717830465593652E-2</v>
      </c>
      <c r="Q29" t="s">
        <v>165</v>
      </c>
      <c r="S29" t="s">
        <v>216</v>
      </c>
      <c r="T29" t="s">
        <v>262</v>
      </c>
      <c r="U29">
        <v>3.5388367259042645E-2</v>
      </c>
      <c r="V29" t="s">
        <v>165</v>
      </c>
      <c r="X29">
        <v>5.5707762557077628E-2</v>
      </c>
      <c r="Y29">
        <v>3.0876861497153366E-2</v>
      </c>
      <c r="Z29" t="s">
        <v>262</v>
      </c>
      <c r="AA29" t="s">
        <v>25</v>
      </c>
      <c r="AC29" t="s">
        <v>22</v>
      </c>
      <c r="AD29" t="s">
        <v>262</v>
      </c>
      <c r="AE29">
        <v>4.4968178214041359E-2</v>
      </c>
      <c r="AG29" t="s">
        <v>97</v>
      </c>
      <c r="AH29" t="s">
        <v>262</v>
      </c>
      <c r="AI29">
        <v>0.30992600388311398</v>
      </c>
      <c r="AK29">
        <v>2022</v>
      </c>
      <c r="AL29" t="s">
        <v>248</v>
      </c>
      <c r="AM29">
        <v>0.1192849717976245</v>
      </c>
      <c r="AN29" t="s">
        <v>244</v>
      </c>
    </row>
    <row r="30" spans="3:40" x14ac:dyDescent="0.45">
      <c r="I30" t="s">
        <v>163</v>
      </c>
      <c r="J30" t="s">
        <v>263</v>
      </c>
      <c r="K30">
        <v>1.6164144744678595E-2</v>
      </c>
      <c r="L30" t="s">
        <v>165</v>
      </c>
      <c r="N30" t="s">
        <v>197</v>
      </c>
      <c r="O30" t="s">
        <v>263</v>
      </c>
      <c r="P30">
        <v>6.0589274333187936E-3</v>
      </c>
      <c r="Q30" t="s">
        <v>165</v>
      </c>
      <c r="S30" t="s">
        <v>216</v>
      </c>
      <c r="T30" t="s">
        <v>263</v>
      </c>
      <c r="U30">
        <v>3.5706231359603179E-3</v>
      </c>
      <c r="V30" t="s">
        <v>165</v>
      </c>
      <c r="X30">
        <v>6.9634703196347035E-3</v>
      </c>
      <c r="Y30">
        <v>8.8970655263572278E-3</v>
      </c>
      <c r="Z30" t="s">
        <v>263</v>
      </c>
      <c r="AA30" t="s">
        <v>25</v>
      </c>
      <c r="AC30" t="s">
        <v>22</v>
      </c>
      <c r="AD30" t="s">
        <v>263</v>
      </c>
      <c r="AE30">
        <v>7.2653921628910208E-3</v>
      </c>
      <c r="AG30" t="s">
        <v>97</v>
      </c>
      <c r="AH30" t="s">
        <v>263</v>
      </c>
      <c r="AI30">
        <v>0.10962385921255735</v>
      </c>
      <c r="AK30">
        <v>2022</v>
      </c>
      <c r="AL30" t="s">
        <v>250</v>
      </c>
      <c r="AM30">
        <v>0.15407642190526499</v>
      </c>
      <c r="AN30" t="s">
        <v>244</v>
      </c>
    </row>
    <row r="31" spans="3:40" x14ac:dyDescent="0.45">
      <c r="I31" t="s">
        <v>163</v>
      </c>
      <c r="J31" t="s">
        <v>264</v>
      </c>
      <c r="K31">
        <v>0.13312798744521137</v>
      </c>
      <c r="L31" t="s">
        <v>165</v>
      </c>
      <c r="N31" t="s">
        <v>197</v>
      </c>
      <c r="O31" t="s">
        <v>264</v>
      </c>
      <c r="P31">
        <v>2.9806080580629574E-2</v>
      </c>
      <c r="Q31" t="s">
        <v>165</v>
      </c>
      <c r="S31" t="s">
        <v>216</v>
      </c>
      <c r="T31" t="s">
        <v>264</v>
      </c>
      <c r="U31">
        <v>2.7125028703630042E-2</v>
      </c>
      <c r="V31" t="s">
        <v>165</v>
      </c>
      <c r="X31">
        <v>4.8744292237442921E-2</v>
      </c>
      <c r="Y31">
        <v>6.3452253685702203E-2</v>
      </c>
      <c r="Z31" t="s">
        <v>264</v>
      </c>
      <c r="AA31" t="s">
        <v>25</v>
      </c>
      <c r="AC31" t="s">
        <v>22</v>
      </c>
      <c r="AD31" t="s">
        <v>264</v>
      </c>
      <c r="AE31">
        <v>5.21634447818458E-2</v>
      </c>
      <c r="AG31" t="s">
        <v>97</v>
      </c>
      <c r="AH31" t="s">
        <v>264</v>
      </c>
      <c r="AI31">
        <v>0.12926635009483989</v>
      </c>
      <c r="AK31">
        <v>2022</v>
      </c>
      <c r="AL31" t="s">
        <v>252</v>
      </c>
      <c r="AM31">
        <v>0.15407642190526499</v>
      </c>
      <c r="AN31" t="s">
        <v>244</v>
      </c>
    </row>
    <row r="32" spans="3:40" x14ac:dyDescent="0.45">
      <c r="I32" t="s">
        <v>163</v>
      </c>
      <c r="J32" t="s">
        <v>265</v>
      </c>
      <c r="K32">
        <v>1.4411729277094932E-2</v>
      </c>
      <c r="L32" t="s">
        <v>165</v>
      </c>
      <c r="N32" t="s">
        <v>197</v>
      </c>
      <c r="O32" t="s">
        <v>265</v>
      </c>
      <c r="P32">
        <v>4.0657679408612054E-3</v>
      </c>
      <c r="Q32" t="s">
        <v>165</v>
      </c>
      <c r="S32" t="s">
        <v>216</v>
      </c>
      <c r="T32" t="s">
        <v>265</v>
      </c>
      <c r="U32">
        <v>4.9634187774760573E-3</v>
      </c>
      <c r="V32" t="s">
        <v>165</v>
      </c>
      <c r="X32">
        <v>6.9634703196347035E-3</v>
      </c>
      <c r="Y32">
        <v>1.354780432422577E-2</v>
      </c>
      <c r="Z32" t="s">
        <v>265</v>
      </c>
      <c r="AA32" t="s">
        <v>25</v>
      </c>
      <c r="AC32" t="s">
        <v>22</v>
      </c>
      <c r="AD32" t="s">
        <v>265</v>
      </c>
      <c r="AE32">
        <v>7.4403064660756787E-3</v>
      </c>
      <c r="AG32" t="s">
        <v>97</v>
      </c>
      <c r="AH32" t="s">
        <v>265</v>
      </c>
      <c r="AI32">
        <v>0.1101614431068576</v>
      </c>
      <c r="AK32">
        <v>2025</v>
      </c>
      <c r="AL32" t="s">
        <v>154</v>
      </c>
      <c r="AM32">
        <v>0.19159999999999999</v>
      </c>
      <c r="AN32" t="s">
        <v>244</v>
      </c>
    </row>
    <row r="33" spans="9:40" x14ac:dyDescent="0.45">
      <c r="I33" t="s">
        <v>163</v>
      </c>
      <c r="J33" t="s">
        <v>266</v>
      </c>
      <c r="K33">
        <v>1.0827388663188478E-2</v>
      </c>
      <c r="L33" t="s">
        <v>165</v>
      </c>
      <c r="N33" t="s">
        <v>197</v>
      </c>
      <c r="O33" t="s">
        <v>266</v>
      </c>
      <c r="P33">
        <v>4.0710584855614892E-3</v>
      </c>
      <c r="Q33" t="s">
        <v>165</v>
      </c>
      <c r="S33" t="s">
        <v>216</v>
      </c>
      <c r="T33" t="s">
        <v>266</v>
      </c>
      <c r="U33">
        <v>5.0869112575296976E-3</v>
      </c>
      <c r="V33" t="s">
        <v>165</v>
      </c>
      <c r="X33">
        <v>6.9634703196347035E-3</v>
      </c>
      <c r="Y33">
        <v>1.354780432422577E-2</v>
      </c>
      <c r="Z33" t="s">
        <v>266</v>
      </c>
      <c r="AA33" t="s">
        <v>25</v>
      </c>
      <c r="AC33" t="s">
        <v>22</v>
      </c>
      <c r="AD33" t="s">
        <v>266</v>
      </c>
      <c r="AE33">
        <v>7.3875160332680483E-3</v>
      </c>
      <c r="AG33" t="s">
        <v>97</v>
      </c>
      <c r="AH33" t="s">
        <v>266</v>
      </c>
      <c r="AI33">
        <v>0.11544641496240615</v>
      </c>
      <c r="AK33">
        <v>2025</v>
      </c>
      <c r="AL33" t="s">
        <v>158</v>
      </c>
      <c r="AM33">
        <v>0.17560000000000001</v>
      </c>
      <c r="AN33" t="s">
        <v>244</v>
      </c>
    </row>
    <row r="34" spans="9:40" x14ac:dyDescent="0.45">
      <c r="I34" t="s">
        <v>163</v>
      </c>
      <c r="J34" t="s">
        <v>267</v>
      </c>
      <c r="K34">
        <v>6.371619077249654E-3</v>
      </c>
      <c r="L34" t="s">
        <v>165</v>
      </c>
      <c r="N34" t="s">
        <v>197</v>
      </c>
      <c r="O34" t="s">
        <v>267</v>
      </c>
      <c r="P34">
        <v>3.1930545321515999E-2</v>
      </c>
      <c r="Q34" t="s">
        <v>165</v>
      </c>
      <c r="S34" t="s">
        <v>216</v>
      </c>
      <c r="T34" t="s">
        <v>267</v>
      </c>
      <c r="U34">
        <v>3.2233433131158326E-2</v>
      </c>
      <c r="V34" t="s">
        <v>165</v>
      </c>
      <c r="X34">
        <v>4.1780821917808221E-2</v>
      </c>
      <c r="Y34">
        <v>3.6801498313568527E-2</v>
      </c>
      <c r="Z34" t="s">
        <v>267</v>
      </c>
      <c r="AA34" t="s">
        <v>25</v>
      </c>
      <c r="AC34" t="s">
        <v>22</v>
      </c>
      <c r="AD34" t="s">
        <v>267</v>
      </c>
      <c r="AE34">
        <v>4.0787397534693098E-2</v>
      </c>
      <c r="AG34" t="s">
        <v>97</v>
      </c>
      <c r="AH34" t="s">
        <v>267</v>
      </c>
      <c r="AI34">
        <v>0.18653410007930726</v>
      </c>
      <c r="AK34">
        <v>2025</v>
      </c>
      <c r="AL34" t="s">
        <v>160</v>
      </c>
      <c r="AM34">
        <v>0.35422500000000001</v>
      </c>
      <c r="AN34" t="s">
        <v>244</v>
      </c>
    </row>
    <row r="35" spans="9:40" x14ac:dyDescent="0.45">
      <c r="I35" t="s">
        <v>163</v>
      </c>
      <c r="J35" t="s">
        <v>268</v>
      </c>
      <c r="K35">
        <v>1.7258314079984715E-3</v>
      </c>
      <c r="L35" t="s">
        <v>165</v>
      </c>
      <c r="N35" t="s">
        <v>197</v>
      </c>
      <c r="O35" t="s">
        <v>268</v>
      </c>
      <c r="P35">
        <v>3.1803415067771089E-2</v>
      </c>
      <c r="Q35" t="s">
        <v>165</v>
      </c>
      <c r="S35" t="s">
        <v>216</v>
      </c>
      <c r="T35" t="s">
        <v>268</v>
      </c>
      <c r="U35">
        <v>1.9865127325089778E-2</v>
      </c>
      <c r="V35" t="s">
        <v>165</v>
      </c>
      <c r="X35">
        <v>2.8310502283105023E-2</v>
      </c>
      <c r="Y35">
        <v>1.5691519777241876E-2</v>
      </c>
      <c r="Z35" t="s">
        <v>268</v>
      </c>
      <c r="AA35" t="s">
        <v>25</v>
      </c>
      <c r="AC35" t="s">
        <v>22</v>
      </c>
      <c r="AD35" t="s">
        <v>268</v>
      </c>
      <c r="AE35">
        <v>2.2208885187742982E-2</v>
      </c>
      <c r="AG35" t="s">
        <v>97</v>
      </c>
      <c r="AH35" t="s">
        <v>268</v>
      </c>
      <c r="AI35">
        <v>0.2702741534185984</v>
      </c>
      <c r="AK35">
        <v>2025</v>
      </c>
      <c r="AL35" t="s">
        <v>246</v>
      </c>
      <c r="AM35">
        <v>0.26534999999999997</v>
      </c>
      <c r="AN35" t="s">
        <v>244</v>
      </c>
    </row>
    <row r="36" spans="9:40" x14ac:dyDescent="0.45">
      <c r="I36" t="s">
        <v>163</v>
      </c>
      <c r="J36" t="s">
        <v>269</v>
      </c>
      <c r="K36">
        <v>3.6754913724187268E-3</v>
      </c>
      <c r="L36" t="s">
        <v>165</v>
      </c>
      <c r="N36" t="s">
        <v>197</v>
      </c>
      <c r="O36" t="s">
        <v>269</v>
      </c>
      <c r="P36">
        <v>3.2437764523268091E-3</v>
      </c>
      <c r="Q36" t="s">
        <v>165</v>
      </c>
      <c r="S36" t="s">
        <v>216</v>
      </c>
      <c r="T36" t="s">
        <v>269</v>
      </c>
      <c r="U36">
        <v>2.5702898435425378E-3</v>
      </c>
      <c r="V36" t="s">
        <v>165</v>
      </c>
      <c r="X36">
        <v>3.5388127853881279E-3</v>
      </c>
      <c r="Y36">
        <v>4.521459529788099E-3</v>
      </c>
      <c r="Z36" t="s">
        <v>269</v>
      </c>
      <c r="AA36" t="s">
        <v>25</v>
      </c>
      <c r="AC36" t="s">
        <v>22</v>
      </c>
      <c r="AD36" t="s">
        <v>269</v>
      </c>
      <c r="AE36">
        <v>3.6092106048767536E-3</v>
      </c>
      <c r="AG36" t="s">
        <v>97</v>
      </c>
      <c r="AH36" t="s">
        <v>269</v>
      </c>
      <c r="AI36">
        <v>6.6028529342583964E-2</v>
      </c>
      <c r="AK36">
        <v>2025</v>
      </c>
      <c r="AL36" t="s">
        <v>248</v>
      </c>
      <c r="AM36">
        <v>0.20899999999999999</v>
      </c>
      <c r="AN36" t="s">
        <v>244</v>
      </c>
    </row>
    <row r="37" spans="9:40" x14ac:dyDescent="0.45">
      <c r="I37" t="s">
        <v>163</v>
      </c>
      <c r="J37" t="s">
        <v>270</v>
      </c>
      <c r="K37">
        <v>4.3194539420541439E-2</v>
      </c>
      <c r="L37" t="s">
        <v>165</v>
      </c>
      <c r="N37" t="s">
        <v>197</v>
      </c>
      <c r="O37" t="s">
        <v>270</v>
      </c>
      <c r="P37">
        <v>1.8750044159412692E-2</v>
      </c>
      <c r="Q37" t="s">
        <v>165</v>
      </c>
      <c r="S37" t="s">
        <v>216</v>
      </c>
      <c r="T37" t="s">
        <v>270</v>
      </c>
      <c r="U37">
        <v>1.8795872418357847E-2</v>
      </c>
      <c r="V37" t="s">
        <v>165</v>
      </c>
      <c r="X37">
        <v>2.4771689497716895E-2</v>
      </c>
      <c r="Y37">
        <v>3.2246227282897846E-2</v>
      </c>
      <c r="Z37" t="s">
        <v>270</v>
      </c>
      <c r="AA37" t="s">
        <v>25</v>
      </c>
      <c r="AC37" t="s">
        <v>22</v>
      </c>
      <c r="AD37" t="s">
        <v>270</v>
      </c>
      <c r="AE37">
        <v>2.5417836824354952E-2</v>
      </c>
      <c r="AG37" t="s">
        <v>97</v>
      </c>
      <c r="AH37" t="s">
        <v>270</v>
      </c>
      <c r="AI37">
        <v>5.0392449450907595E-2</v>
      </c>
      <c r="AK37">
        <v>2025</v>
      </c>
      <c r="AL37" t="s">
        <v>250</v>
      </c>
      <c r="AM37">
        <v>0.25230000000000002</v>
      </c>
      <c r="AN37" t="s">
        <v>244</v>
      </c>
    </row>
    <row r="38" spans="9:40" x14ac:dyDescent="0.45">
      <c r="I38" t="s">
        <v>163</v>
      </c>
      <c r="J38" t="s">
        <v>271</v>
      </c>
      <c r="K38">
        <v>3.3148717028823466E-3</v>
      </c>
      <c r="L38" t="s">
        <v>165</v>
      </c>
      <c r="N38" t="s">
        <v>197</v>
      </c>
      <c r="O38" t="s">
        <v>271</v>
      </c>
      <c r="P38">
        <v>3.0459159258033552E-3</v>
      </c>
      <c r="Q38" t="s">
        <v>165</v>
      </c>
      <c r="S38" t="s">
        <v>216</v>
      </c>
      <c r="T38" t="s">
        <v>271</v>
      </c>
      <c r="U38">
        <v>3.5055850357586312E-3</v>
      </c>
      <c r="V38" t="s">
        <v>165</v>
      </c>
      <c r="X38">
        <v>3.5388127853881279E-3</v>
      </c>
      <c r="Y38">
        <v>6.8849497385409693E-3</v>
      </c>
      <c r="Z38" t="s">
        <v>271</v>
      </c>
      <c r="AA38" t="s">
        <v>25</v>
      </c>
      <c r="AC38" t="s">
        <v>22</v>
      </c>
      <c r="AD38" t="s">
        <v>271</v>
      </c>
      <c r="AE38">
        <v>3.6293768505815749E-3</v>
      </c>
      <c r="AG38" t="s">
        <v>97</v>
      </c>
      <c r="AH38" t="s">
        <v>271</v>
      </c>
      <c r="AI38">
        <v>4.4464853185770314E-2</v>
      </c>
      <c r="AK38">
        <v>2025</v>
      </c>
      <c r="AL38" t="s">
        <v>252</v>
      </c>
      <c r="AM38">
        <v>0.24490000000000001</v>
      </c>
      <c r="AN38" t="s">
        <v>244</v>
      </c>
    </row>
    <row r="39" spans="9:40" x14ac:dyDescent="0.45">
      <c r="I39" t="s">
        <v>163</v>
      </c>
      <c r="J39" t="s">
        <v>272</v>
      </c>
      <c r="K39">
        <v>8.8602873040642823E-4</v>
      </c>
      <c r="L39" t="s">
        <v>165</v>
      </c>
      <c r="N39" t="s">
        <v>197</v>
      </c>
      <c r="O39" t="s">
        <v>272</v>
      </c>
      <c r="P39">
        <v>3.2517982200853226E-3</v>
      </c>
      <c r="Q39" t="s">
        <v>165</v>
      </c>
      <c r="S39" t="s">
        <v>216</v>
      </c>
      <c r="T39" t="s">
        <v>272</v>
      </c>
      <c r="U39">
        <v>3.5287718706411507E-3</v>
      </c>
      <c r="V39" t="s">
        <v>165</v>
      </c>
      <c r="X39">
        <v>3.5388127853881279E-3</v>
      </c>
      <c r="Y39">
        <v>6.8849497385409693E-3</v>
      </c>
      <c r="Z39" t="s">
        <v>272</v>
      </c>
      <c r="AA39" t="s">
        <v>25</v>
      </c>
      <c r="AC39" t="s">
        <v>22</v>
      </c>
      <c r="AD39" t="s">
        <v>272</v>
      </c>
      <c r="AE39">
        <v>3.6356396131650122E-3</v>
      </c>
      <c r="AG39" t="s">
        <v>97</v>
      </c>
      <c r="AH39" t="s">
        <v>272</v>
      </c>
      <c r="AI39">
        <v>4.6773277388272305E-2</v>
      </c>
      <c r="AK39">
        <v>2026</v>
      </c>
      <c r="AL39" t="s">
        <v>154</v>
      </c>
      <c r="AM39">
        <v>0.13995000000000002</v>
      </c>
      <c r="AN39" t="s">
        <v>244</v>
      </c>
    </row>
    <row r="40" spans="9:40" x14ac:dyDescent="0.45">
      <c r="I40" t="s">
        <v>163</v>
      </c>
      <c r="J40" t="s">
        <v>273</v>
      </c>
      <c r="K40">
        <v>0</v>
      </c>
      <c r="L40" t="s">
        <v>165</v>
      </c>
      <c r="N40" t="s">
        <v>197</v>
      </c>
      <c r="O40" t="s">
        <v>273</v>
      </c>
      <c r="P40">
        <v>2.2037783292401497E-2</v>
      </c>
      <c r="Q40" t="s">
        <v>165</v>
      </c>
      <c r="S40" t="s">
        <v>216</v>
      </c>
      <c r="T40" t="s">
        <v>273</v>
      </c>
      <c r="U40">
        <v>1.9585203175730828E-2</v>
      </c>
      <c r="V40" t="s">
        <v>165</v>
      </c>
      <c r="X40">
        <v>2.1232876712328767E-2</v>
      </c>
      <c r="Y40">
        <v>1.8702400782305319E-2</v>
      </c>
      <c r="Z40" t="s">
        <v>273</v>
      </c>
      <c r="AA40" t="s">
        <v>25</v>
      </c>
      <c r="AC40" t="s">
        <v>22</v>
      </c>
      <c r="AD40" t="s">
        <v>273</v>
      </c>
      <c r="AE40">
        <v>2.0171259232061426E-2</v>
      </c>
      <c r="AG40" t="s">
        <v>97</v>
      </c>
      <c r="AH40" t="s">
        <v>273</v>
      </c>
      <c r="AI40">
        <v>0.12250757260165646</v>
      </c>
      <c r="AK40">
        <v>2026</v>
      </c>
      <c r="AL40" t="s">
        <v>158</v>
      </c>
      <c r="AM40">
        <v>0.1416</v>
      </c>
      <c r="AN40" t="s">
        <v>244</v>
      </c>
    </row>
    <row r="41" spans="9:40" x14ac:dyDescent="0.45">
      <c r="I41" t="s">
        <v>163</v>
      </c>
      <c r="J41" t="s">
        <v>274</v>
      </c>
      <c r="K41">
        <v>4.2059350460444946E-4</v>
      </c>
      <c r="L41" t="s">
        <v>165</v>
      </c>
      <c r="N41" t="s">
        <v>197</v>
      </c>
      <c r="O41" t="s">
        <v>274</v>
      </c>
      <c r="P41">
        <v>5.8335678171377227E-2</v>
      </c>
      <c r="Q41" t="s">
        <v>165</v>
      </c>
      <c r="S41" t="s">
        <v>216</v>
      </c>
      <c r="T41" t="s">
        <v>274</v>
      </c>
      <c r="U41">
        <v>4.0715165441333356E-2</v>
      </c>
      <c r="V41" t="s">
        <v>165</v>
      </c>
      <c r="X41">
        <v>2.7397260273972601E-2</v>
      </c>
      <c r="Y41">
        <v>1.5185341719911493E-2</v>
      </c>
      <c r="Z41" t="s">
        <v>274</v>
      </c>
      <c r="AA41" t="s">
        <v>25</v>
      </c>
      <c r="AC41" t="s">
        <v>22</v>
      </c>
      <c r="AD41" t="s">
        <v>274</v>
      </c>
      <c r="AE41">
        <v>2.3024850512872549E-2</v>
      </c>
      <c r="AG41" t="s">
        <v>97</v>
      </c>
      <c r="AH41" t="s">
        <v>274</v>
      </c>
      <c r="AI41">
        <v>0.28935153694227456</v>
      </c>
      <c r="AK41">
        <v>2026</v>
      </c>
      <c r="AL41" t="s">
        <v>160</v>
      </c>
      <c r="AM41">
        <v>0.25492500000000001</v>
      </c>
      <c r="AN41" t="s">
        <v>244</v>
      </c>
    </row>
    <row r="42" spans="9:40" x14ac:dyDescent="0.45">
      <c r="I42" t="s">
        <v>163</v>
      </c>
      <c r="J42" t="s">
        <v>275</v>
      </c>
      <c r="K42">
        <v>3.0592296221090914E-3</v>
      </c>
      <c r="L42" t="s">
        <v>165</v>
      </c>
      <c r="N42" t="s">
        <v>197</v>
      </c>
      <c r="O42" t="s">
        <v>275</v>
      </c>
      <c r="P42">
        <v>7.1388700101999662E-3</v>
      </c>
      <c r="Q42" t="s">
        <v>165</v>
      </c>
      <c r="S42" t="s">
        <v>216</v>
      </c>
      <c r="T42" t="s">
        <v>275</v>
      </c>
      <c r="U42">
        <v>5.2630942912128605E-3</v>
      </c>
      <c r="V42" t="s">
        <v>165</v>
      </c>
      <c r="X42">
        <v>3.4246575342465752E-3</v>
      </c>
      <c r="Y42">
        <v>4.3756059965691279E-3</v>
      </c>
      <c r="Z42" t="s">
        <v>275</v>
      </c>
      <c r="AA42" t="s">
        <v>25</v>
      </c>
      <c r="AC42" t="s">
        <v>22</v>
      </c>
      <c r="AD42" t="s">
        <v>275</v>
      </c>
      <c r="AE42">
        <v>3.7119177774181662E-3</v>
      </c>
      <c r="AG42" t="s">
        <v>97</v>
      </c>
      <c r="AH42" t="s">
        <v>275</v>
      </c>
      <c r="AI42">
        <v>0.10091449162366417</v>
      </c>
      <c r="AK42">
        <v>2026</v>
      </c>
      <c r="AL42" t="s">
        <v>246</v>
      </c>
      <c r="AM42">
        <v>0.22239999999999999</v>
      </c>
      <c r="AN42" t="s">
        <v>244</v>
      </c>
    </row>
    <row r="43" spans="9:40" x14ac:dyDescent="0.45">
      <c r="I43" t="s">
        <v>163</v>
      </c>
      <c r="J43" t="s">
        <v>276</v>
      </c>
      <c r="K43">
        <v>3.964388814361243E-2</v>
      </c>
      <c r="L43" t="s">
        <v>165</v>
      </c>
      <c r="N43" t="s">
        <v>197</v>
      </c>
      <c r="O43" t="s">
        <v>276</v>
      </c>
      <c r="P43">
        <v>4.5098387919911366E-2</v>
      </c>
      <c r="Q43" t="s">
        <v>165</v>
      </c>
      <c r="S43" t="s">
        <v>216</v>
      </c>
      <c r="T43" t="s">
        <v>276</v>
      </c>
      <c r="U43">
        <v>3.408768571515166E-2</v>
      </c>
      <c r="V43" t="s">
        <v>165</v>
      </c>
      <c r="X43">
        <v>2.3972602739726026E-2</v>
      </c>
      <c r="Y43">
        <v>3.1206026402804371E-2</v>
      </c>
      <c r="Z43" t="s">
        <v>276</v>
      </c>
      <c r="AA43" t="s">
        <v>25</v>
      </c>
      <c r="AC43" t="s">
        <v>22</v>
      </c>
      <c r="AD43" t="s">
        <v>276</v>
      </c>
      <c r="AE43">
        <v>2.6506094782568632E-2</v>
      </c>
      <c r="AG43" t="s">
        <v>97</v>
      </c>
      <c r="AH43" t="s">
        <v>276</v>
      </c>
      <c r="AI43">
        <v>0.10373292373114773</v>
      </c>
      <c r="AK43">
        <v>2026</v>
      </c>
      <c r="AL43" t="s">
        <v>248</v>
      </c>
      <c r="AM43">
        <v>0.17249999999999999</v>
      </c>
      <c r="AN43" t="s">
        <v>244</v>
      </c>
    </row>
    <row r="44" spans="9:40" x14ac:dyDescent="0.45">
      <c r="I44" t="s">
        <v>163</v>
      </c>
      <c r="J44" t="s">
        <v>277</v>
      </c>
      <c r="K44">
        <v>2.9854453096994082E-3</v>
      </c>
      <c r="L44" t="s">
        <v>165</v>
      </c>
      <c r="N44" t="s">
        <v>197</v>
      </c>
      <c r="O44" t="s">
        <v>277</v>
      </c>
      <c r="P44">
        <v>6.573835153647377E-3</v>
      </c>
      <c r="Q44" t="s">
        <v>165</v>
      </c>
      <c r="S44" t="s">
        <v>216</v>
      </c>
      <c r="T44" t="s">
        <v>277</v>
      </c>
      <c r="U44">
        <v>5.5861742520625082E-3</v>
      </c>
      <c r="V44" t="s">
        <v>165</v>
      </c>
      <c r="X44">
        <v>3.4246575342465752E-3</v>
      </c>
      <c r="Y44">
        <v>6.662854585684809E-3</v>
      </c>
      <c r="Z44" t="s">
        <v>277</v>
      </c>
      <c r="AA44" t="s">
        <v>25</v>
      </c>
      <c r="AC44" t="s">
        <v>22</v>
      </c>
      <c r="AD44" t="s">
        <v>277</v>
      </c>
      <c r="AE44">
        <v>3.8427749725967971E-3</v>
      </c>
      <c r="AG44" t="s">
        <v>97</v>
      </c>
      <c r="AH44" t="s">
        <v>277</v>
      </c>
      <c r="AI44">
        <v>0.10956517849797653</v>
      </c>
      <c r="AK44">
        <v>2026</v>
      </c>
      <c r="AL44" t="s">
        <v>250</v>
      </c>
      <c r="AM44">
        <v>0.18440000000000001</v>
      </c>
      <c r="AN44" t="s">
        <v>244</v>
      </c>
    </row>
    <row r="45" spans="9:40" x14ac:dyDescent="0.45">
      <c r="I45" t="s">
        <v>163</v>
      </c>
      <c r="J45" t="s">
        <v>278</v>
      </c>
      <c r="K45">
        <v>0</v>
      </c>
      <c r="L45" t="s">
        <v>165</v>
      </c>
      <c r="N45" t="s">
        <v>197</v>
      </c>
      <c r="O45" t="s">
        <v>278</v>
      </c>
      <c r="P45">
        <v>6.6180620816742881E-3</v>
      </c>
      <c r="Q45" t="s">
        <v>165</v>
      </c>
      <c r="S45" t="s">
        <v>216</v>
      </c>
      <c r="T45" t="s">
        <v>278</v>
      </c>
      <c r="U45">
        <v>5.9455899587225842E-3</v>
      </c>
      <c r="V45" t="s">
        <v>165</v>
      </c>
      <c r="X45">
        <v>3.4246575342465752E-3</v>
      </c>
      <c r="Y45">
        <v>6.662854585684809E-3</v>
      </c>
      <c r="Z45" t="s">
        <v>278</v>
      </c>
      <c r="AA45" t="s">
        <v>25</v>
      </c>
      <c r="AC45" t="s">
        <v>22</v>
      </c>
      <c r="AD45" t="s">
        <v>278</v>
      </c>
      <c r="AE45">
        <v>3.9151046239201404E-3</v>
      </c>
      <c r="AG45" t="s">
        <v>97</v>
      </c>
      <c r="AH45" t="s">
        <v>278</v>
      </c>
      <c r="AI45">
        <v>0.10509362500442454</v>
      </c>
      <c r="AK45">
        <v>2026</v>
      </c>
      <c r="AL45" t="s">
        <v>252</v>
      </c>
      <c r="AM45">
        <v>0.15559999999999999</v>
      </c>
      <c r="AN45" t="s">
        <v>244</v>
      </c>
    </row>
    <row r="46" spans="9:40" x14ac:dyDescent="0.45">
      <c r="I46" t="s">
        <v>163</v>
      </c>
      <c r="J46" t="s">
        <v>279</v>
      </c>
      <c r="K46">
        <v>0</v>
      </c>
      <c r="L46" t="s">
        <v>165</v>
      </c>
      <c r="N46" t="s">
        <v>197</v>
      </c>
      <c r="O46" t="s">
        <v>279</v>
      </c>
      <c r="P46">
        <v>4.2099881415857174E-2</v>
      </c>
      <c r="Q46" t="s">
        <v>165</v>
      </c>
      <c r="S46" t="s">
        <v>216</v>
      </c>
      <c r="T46" t="s">
        <v>279</v>
      </c>
      <c r="U46">
        <v>3.5258837605323688E-2</v>
      </c>
      <c r="V46" t="s">
        <v>165</v>
      </c>
      <c r="X46">
        <v>2.0547945205479451E-2</v>
      </c>
      <c r="Y46">
        <v>1.8099097531263209E-2</v>
      </c>
      <c r="Z46" t="s">
        <v>279</v>
      </c>
      <c r="AA46" t="s">
        <v>25</v>
      </c>
      <c r="AC46" t="s">
        <v>22</v>
      </c>
      <c r="AD46" t="s">
        <v>279</v>
      </c>
      <c r="AE46">
        <v>2.1625916466879176E-2</v>
      </c>
      <c r="AG46" t="s">
        <v>97</v>
      </c>
      <c r="AH46" t="s">
        <v>279</v>
      </c>
      <c r="AI46">
        <v>0.18435367185845708</v>
      </c>
      <c r="AK46">
        <v>2027</v>
      </c>
      <c r="AL46" t="s">
        <v>154</v>
      </c>
      <c r="AM46">
        <v>0.1575</v>
      </c>
      <c r="AN46" t="s">
        <v>244</v>
      </c>
    </row>
    <row r="47" spans="9:40" x14ac:dyDescent="0.45">
      <c r="I47" t="s">
        <v>163</v>
      </c>
      <c r="J47" t="s">
        <v>280</v>
      </c>
      <c r="K47">
        <v>0</v>
      </c>
      <c r="L47" t="s">
        <v>165</v>
      </c>
      <c r="N47" t="s">
        <v>197</v>
      </c>
      <c r="O47" t="s">
        <v>280</v>
      </c>
      <c r="P47">
        <v>3.6326559240717905E-2</v>
      </c>
      <c r="Q47" t="s">
        <v>165</v>
      </c>
      <c r="S47" t="s">
        <v>216</v>
      </c>
      <c r="T47" t="s">
        <v>280</v>
      </c>
      <c r="U47">
        <v>2.5495413953000409E-2</v>
      </c>
      <c r="V47" t="s">
        <v>165</v>
      </c>
      <c r="X47">
        <v>2.8310502283105023E-2</v>
      </c>
      <c r="Y47">
        <v>1.5691519777241876E-2</v>
      </c>
      <c r="Z47" t="s">
        <v>280</v>
      </c>
      <c r="AA47" t="s">
        <v>25</v>
      </c>
      <c r="AC47" t="s">
        <v>22</v>
      </c>
      <c r="AD47" t="s">
        <v>280</v>
      </c>
      <c r="AE47">
        <v>2.5278796395052556E-2</v>
      </c>
      <c r="AG47" t="s">
        <v>97</v>
      </c>
      <c r="AH47" t="s">
        <v>280</v>
      </c>
      <c r="AI47">
        <v>0.3018567715645406</v>
      </c>
      <c r="AK47">
        <v>2027</v>
      </c>
      <c r="AL47" t="s">
        <v>158</v>
      </c>
      <c r="AM47">
        <v>0.15240000000000001</v>
      </c>
      <c r="AN47" t="s">
        <v>244</v>
      </c>
    </row>
    <row r="48" spans="9:40" x14ac:dyDescent="0.45">
      <c r="I48" t="s">
        <v>163</v>
      </c>
      <c r="J48" t="s">
        <v>281</v>
      </c>
      <c r="K48">
        <v>3.3505939754103499E-3</v>
      </c>
      <c r="L48" t="s">
        <v>165</v>
      </c>
      <c r="N48" t="s">
        <v>197</v>
      </c>
      <c r="O48" t="s">
        <v>281</v>
      </c>
      <c r="P48">
        <v>4.3929580859566539E-3</v>
      </c>
      <c r="Q48" t="s">
        <v>165</v>
      </c>
      <c r="S48" t="s">
        <v>216</v>
      </c>
      <c r="T48" t="s">
        <v>281</v>
      </c>
      <c r="U48">
        <v>3.6241354333509221E-3</v>
      </c>
      <c r="V48" t="s">
        <v>165</v>
      </c>
      <c r="X48">
        <v>3.5388127853881279E-3</v>
      </c>
      <c r="Y48">
        <v>4.521459529788099E-3</v>
      </c>
      <c r="Z48" t="s">
        <v>281</v>
      </c>
      <c r="AA48" t="s">
        <v>25</v>
      </c>
      <c r="AC48" t="s">
        <v>22</v>
      </c>
      <c r="AD48" t="s">
        <v>281</v>
      </c>
      <c r="AE48">
        <v>4.2866483841047468E-3</v>
      </c>
      <c r="AG48" t="s">
        <v>97</v>
      </c>
      <c r="AH48" t="s">
        <v>281</v>
      </c>
      <c r="AI48">
        <v>5.8368729564079569E-2</v>
      </c>
      <c r="AK48">
        <v>2027</v>
      </c>
      <c r="AL48" t="s">
        <v>160</v>
      </c>
      <c r="AM48">
        <v>0.25644999999999996</v>
      </c>
      <c r="AN48" t="s">
        <v>244</v>
      </c>
    </row>
    <row r="49" spans="9:40" x14ac:dyDescent="0.45">
      <c r="I49" t="s">
        <v>163</v>
      </c>
      <c r="J49" t="s">
        <v>282</v>
      </c>
      <c r="K49">
        <v>4.6611035346247873E-2</v>
      </c>
      <c r="L49" t="s">
        <v>165</v>
      </c>
      <c r="N49" t="s">
        <v>197</v>
      </c>
      <c r="O49" t="s">
        <v>282</v>
      </c>
      <c r="P49">
        <v>2.6514131126446846E-2</v>
      </c>
      <c r="Q49" t="s">
        <v>165</v>
      </c>
      <c r="S49" t="s">
        <v>216</v>
      </c>
      <c r="T49" t="s">
        <v>282</v>
      </c>
      <c r="U49">
        <v>2.3793272164008426E-2</v>
      </c>
      <c r="V49" t="s">
        <v>165</v>
      </c>
      <c r="X49">
        <v>2.4771689497716895E-2</v>
      </c>
      <c r="Y49">
        <v>3.2246227282897846E-2</v>
      </c>
      <c r="Z49" t="s">
        <v>282</v>
      </c>
      <c r="AA49" t="s">
        <v>25</v>
      </c>
      <c r="AC49" t="s">
        <v>22</v>
      </c>
      <c r="AD49" t="s">
        <v>282</v>
      </c>
      <c r="AE49">
        <v>2.9561706076579312E-2</v>
      </c>
      <c r="AG49" t="s">
        <v>97</v>
      </c>
      <c r="AH49" t="s">
        <v>282</v>
      </c>
      <c r="AI49">
        <v>8.303484614241774E-2</v>
      </c>
      <c r="AK49">
        <v>2027</v>
      </c>
      <c r="AL49" t="s">
        <v>246</v>
      </c>
      <c r="AM49">
        <v>0.19590000000000002</v>
      </c>
      <c r="AN49" t="s">
        <v>244</v>
      </c>
    </row>
    <row r="50" spans="9:40" x14ac:dyDescent="0.45">
      <c r="I50" t="s">
        <v>163</v>
      </c>
      <c r="J50" t="s">
        <v>283</v>
      </c>
      <c r="K50">
        <v>2.9141528050372957E-3</v>
      </c>
      <c r="L50" t="s">
        <v>165</v>
      </c>
      <c r="N50" t="s">
        <v>197</v>
      </c>
      <c r="O50" t="s">
        <v>283</v>
      </c>
      <c r="P50">
        <v>3.2174854468907171E-3</v>
      </c>
      <c r="Q50" t="s">
        <v>165</v>
      </c>
      <c r="S50" t="s">
        <v>216</v>
      </c>
      <c r="T50" t="s">
        <v>283</v>
      </c>
      <c r="U50">
        <v>3.1153164217766868E-3</v>
      </c>
      <c r="V50" t="s">
        <v>165</v>
      </c>
      <c r="X50">
        <v>3.5388127853881279E-3</v>
      </c>
      <c r="Y50">
        <v>6.8849497385409693E-3</v>
      </c>
      <c r="Z50" t="s">
        <v>283</v>
      </c>
      <c r="AA50" t="s">
        <v>25</v>
      </c>
      <c r="AC50" t="s">
        <v>22</v>
      </c>
      <c r="AD50" t="s">
        <v>283</v>
      </c>
      <c r="AE50">
        <v>4.3455176014582922E-3</v>
      </c>
      <c r="AG50" t="s">
        <v>97</v>
      </c>
      <c r="AH50" t="s">
        <v>283</v>
      </c>
      <c r="AI50">
        <v>5.8295348927410284E-2</v>
      </c>
      <c r="AK50">
        <v>2027</v>
      </c>
      <c r="AL50" t="s">
        <v>248</v>
      </c>
      <c r="AM50">
        <v>0.16120000000000001</v>
      </c>
      <c r="AN50" t="s">
        <v>244</v>
      </c>
    </row>
    <row r="51" spans="9:40" x14ac:dyDescent="0.45">
      <c r="I51" t="s">
        <v>163</v>
      </c>
      <c r="J51" t="s">
        <v>284</v>
      </c>
      <c r="K51">
        <v>0</v>
      </c>
      <c r="L51" t="s">
        <v>165</v>
      </c>
      <c r="N51" t="s">
        <v>197</v>
      </c>
      <c r="O51" t="s">
        <v>284</v>
      </c>
      <c r="P51">
        <v>3.0303880079722745E-3</v>
      </c>
      <c r="Q51" t="s">
        <v>165</v>
      </c>
      <c r="S51" t="s">
        <v>216</v>
      </c>
      <c r="T51" t="s">
        <v>284</v>
      </c>
      <c r="U51">
        <v>3.1617848112061859E-3</v>
      </c>
      <c r="V51" t="s">
        <v>165</v>
      </c>
      <c r="X51">
        <v>3.5388127853881279E-3</v>
      </c>
      <c r="Y51">
        <v>6.8849497385409693E-3</v>
      </c>
      <c r="Z51" t="s">
        <v>284</v>
      </c>
      <c r="AA51" t="s">
        <v>25</v>
      </c>
      <c r="AC51" t="s">
        <v>22</v>
      </c>
      <c r="AD51" t="s">
        <v>284</v>
      </c>
      <c r="AE51">
        <v>4.4662635138808093E-3</v>
      </c>
      <c r="AG51" t="s">
        <v>97</v>
      </c>
      <c r="AH51" t="s">
        <v>284</v>
      </c>
      <c r="AI51">
        <v>4.6654830078973752E-2</v>
      </c>
      <c r="AK51">
        <v>2027</v>
      </c>
      <c r="AL51" t="s">
        <v>250</v>
      </c>
      <c r="AM51">
        <v>0.20930000000000001</v>
      </c>
      <c r="AN51" t="s">
        <v>244</v>
      </c>
    </row>
    <row r="52" spans="9:40" x14ac:dyDescent="0.45">
      <c r="I52" t="s">
        <v>163</v>
      </c>
      <c r="J52" t="s">
        <v>285</v>
      </c>
      <c r="K52">
        <v>0</v>
      </c>
      <c r="L52" t="s">
        <v>165</v>
      </c>
      <c r="N52" t="s">
        <v>197</v>
      </c>
      <c r="O52" t="s">
        <v>285</v>
      </c>
      <c r="P52">
        <v>1.8806753157838481E-2</v>
      </c>
      <c r="Q52" t="s">
        <v>165</v>
      </c>
      <c r="S52" t="s">
        <v>216</v>
      </c>
      <c r="T52" t="s">
        <v>285</v>
      </c>
      <c r="U52">
        <v>1.6755781897090628E-2</v>
      </c>
      <c r="V52" t="s">
        <v>165</v>
      </c>
      <c r="X52">
        <v>2.1232876712328767E-2</v>
      </c>
      <c r="Y52">
        <v>1.8702400782305319E-2</v>
      </c>
      <c r="Z52" t="s">
        <v>285</v>
      </c>
      <c r="AA52" t="s">
        <v>25</v>
      </c>
      <c r="AC52" t="s">
        <v>22</v>
      </c>
      <c r="AD52" t="s">
        <v>285</v>
      </c>
      <c r="AE52">
        <v>2.3450412326820828E-2</v>
      </c>
      <c r="AG52" t="s">
        <v>97</v>
      </c>
      <c r="AH52" t="s">
        <v>285</v>
      </c>
      <c r="AI52">
        <v>0.17595660824229165</v>
      </c>
      <c r="AK52">
        <v>2027</v>
      </c>
      <c r="AL52" t="s">
        <v>252</v>
      </c>
      <c r="AM52">
        <v>0.17130000000000001</v>
      </c>
      <c r="AN52" t="s">
        <v>244</v>
      </c>
    </row>
    <row r="53" spans="9:40" x14ac:dyDescent="0.45">
      <c r="I53" t="s">
        <v>174</v>
      </c>
      <c r="J53" t="s">
        <v>164</v>
      </c>
      <c r="K53">
        <v>5.1548576712518877E-4</v>
      </c>
      <c r="L53" t="s">
        <v>165</v>
      </c>
      <c r="N53" t="s">
        <v>198</v>
      </c>
      <c r="O53" t="s">
        <v>164</v>
      </c>
      <c r="P53">
        <v>6.7031165567616721E-2</v>
      </c>
      <c r="Q53" t="s">
        <v>165</v>
      </c>
      <c r="S53" t="s">
        <v>217</v>
      </c>
      <c r="T53" t="s">
        <v>164</v>
      </c>
      <c r="U53">
        <v>6.7317426213145154E-2</v>
      </c>
      <c r="V53" t="s">
        <v>165</v>
      </c>
      <c r="AC53" t="s">
        <v>19</v>
      </c>
      <c r="AD53" t="s">
        <v>164</v>
      </c>
      <c r="AE53">
        <v>5.3084237148893397E-2</v>
      </c>
      <c r="AK53">
        <v>2028</v>
      </c>
      <c r="AL53" t="s">
        <v>154</v>
      </c>
      <c r="AM53">
        <v>0.16794999999999999</v>
      </c>
      <c r="AN53" t="s">
        <v>244</v>
      </c>
    </row>
    <row r="54" spans="9:40" x14ac:dyDescent="0.45">
      <c r="I54" t="s">
        <v>174</v>
      </c>
      <c r="J54" t="s">
        <v>166</v>
      </c>
      <c r="K54">
        <v>6.7661741744307969E-3</v>
      </c>
      <c r="L54" t="s">
        <v>165</v>
      </c>
      <c r="N54" t="s">
        <v>198</v>
      </c>
      <c r="O54" t="s">
        <v>166</v>
      </c>
      <c r="P54">
        <v>8.7855213079005064E-3</v>
      </c>
      <c r="Q54" t="s">
        <v>165</v>
      </c>
      <c r="S54" t="s">
        <v>217</v>
      </c>
      <c r="T54" t="s">
        <v>166</v>
      </c>
      <c r="U54">
        <v>8.0379845914257415E-3</v>
      </c>
      <c r="V54" t="s">
        <v>165</v>
      </c>
      <c r="AC54" t="s">
        <v>19</v>
      </c>
      <c r="AD54" t="s">
        <v>166</v>
      </c>
      <c r="AE54">
        <v>6.8128512704278962E-3</v>
      </c>
      <c r="AK54">
        <v>2028</v>
      </c>
      <c r="AL54" t="s">
        <v>158</v>
      </c>
      <c r="AM54">
        <v>0.1585</v>
      </c>
      <c r="AN54" t="s">
        <v>244</v>
      </c>
    </row>
    <row r="55" spans="9:40" x14ac:dyDescent="0.45">
      <c r="I55" t="s">
        <v>174</v>
      </c>
      <c r="J55" t="s">
        <v>167</v>
      </c>
      <c r="K55">
        <v>9.233474838252656E-2</v>
      </c>
      <c r="L55" t="s">
        <v>165</v>
      </c>
      <c r="N55" t="s">
        <v>198</v>
      </c>
      <c r="O55" t="s">
        <v>167</v>
      </c>
      <c r="P55">
        <v>5.7554873021165909E-2</v>
      </c>
      <c r="Q55" t="s">
        <v>165</v>
      </c>
      <c r="S55" t="s">
        <v>217</v>
      </c>
      <c r="T55" t="s">
        <v>167</v>
      </c>
      <c r="U55">
        <v>5.1204039619538316E-2</v>
      </c>
      <c r="V55" t="s">
        <v>165</v>
      </c>
      <c r="AC55" t="s">
        <v>19</v>
      </c>
      <c r="AD55" t="s">
        <v>167</v>
      </c>
      <c r="AE55">
        <v>4.7690850507265792E-2</v>
      </c>
      <c r="AK55">
        <v>2028</v>
      </c>
      <c r="AL55" t="s">
        <v>160</v>
      </c>
      <c r="AM55">
        <v>0.30717499999999998</v>
      </c>
      <c r="AN55" t="s">
        <v>244</v>
      </c>
    </row>
    <row r="56" spans="9:40" x14ac:dyDescent="0.45">
      <c r="I56" t="s">
        <v>174</v>
      </c>
      <c r="J56" t="s">
        <v>253</v>
      </c>
      <c r="K56">
        <v>8.3778082004141163E-3</v>
      </c>
      <c r="L56" t="s">
        <v>165</v>
      </c>
      <c r="N56" t="s">
        <v>198</v>
      </c>
      <c r="O56" t="s">
        <v>253</v>
      </c>
      <c r="P56">
        <v>8.4698937698212337E-3</v>
      </c>
      <c r="Q56" t="s">
        <v>165</v>
      </c>
      <c r="S56" t="s">
        <v>217</v>
      </c>
      <c r="T56" t="s">
        <v>253</v>
      </c>
      <c r="U56">
        <v>7.6775425968491984E-3</v>
      </c>
      <c r="V56" t="s">
        <v>165</v>
      </c>
      <c r="AC56" t="s">
        <v>19</v>
      </c>
      <c r="AD56" t="s">
        <v>253</v>
      </c>
      <c r="AE56">
        <v>6.8317745074406499E-3</v>
      </c>
      <c r="AK56">
        <v>2028</v>
      </c>
      <c r="AL56" t="s">
        <v>246</v>
      </c>
      <c r="AM56">
        <v>0.24859999999999999</v>
      </c>
      <c r="AN56" t="s">
        <v>244</v>
      </c>
    </row>
    <row r="57" spans="9:40" x14ac:dyDescent="0.45">
      <c r="I57" t="s">
        <v>174</v>
      </c>
      <c r="J57" t="s">
        <v>254</v>
      </c>
      <c r="K57">
        <v>2.562687569915401E-3</v>
      </c>
      <c r="L57" t="s">
        <v>165</v>
      </c>
      <c r="N57" t="s">
        <v>198</v>
      </c>
      <c r="O57" t="s">
        <v>254</v>
      </c>
      <c r="P57">
        <v>8.5672681992304146E-3</v>
      </c>
      <c r="Q57" t="s">
        <v>165</v>
      </c>
      <c r="S57" t="s">
        <v>217</v>
      </c>
      <c r="T57" t="s">
        <v>254</v>
      </c>
      <c r="U57">
        <v>8.1823068310689865E-3</v>
      </c>
      <c r="V57" t="s">
        <v>165</v>
      </c>
      <c r="AC57" t="s">
        <v>19</v>
      </c>
      <c r="AD57" t="s">
        <v>254</v>
      </c>
      <c r="AE57">
        <v>6.8448665270828468E-3</v>
      </c>
      <c r="AK57">
        <v>2028</v>
      </c>
      <c r="AL57" t="s">
        <v>248</v>
      </c>
      <c r="AM57">
        <v>0.2049</v>
      </c>
      <c r="AN57" t="s">
        <v>244</v>
      </c>
    </row>
    <row r="58" spans="9:40" x14ac:dyDescent="0.45">
      <c r="I58" t="s">
        <v>174</v>
      </c>
      <c r="J58" t="s">
        <v>255</v>
      </c>
      <c r="K58">
        <v>0</v>
      </c>
      <c r="L58" t="s">
        <v>165</v>
      </c>
      <c r="N58" t="s">
        <v>198</v>
      </c>
      <c r="O58" t="s">
        <v>255</v>
      </c>
      <c r="P58">
        <v>4.9536990824000128E-2</v>
      </c>
      <c r="Q58" t="s">
        <v>165</v>
      </c>
      <c r="S58" t="s">
        <v>217</v>
      </c>
      <c r="T58" t="s">
        <v>255</v>
      </c>
      <c r="U58">
        <v>5.397355944492499E-2</v>
      </c>
      <c r="V58" t="s">
        <v>165</v>
      </c>
      <c r="AC58" t="s">
        <v>19</v>
      </c>
      <c r="AD58" t="s">
        <v>255</v>
      </c>
      <c r="AE58">
        <v>4.0522657927285412E-2</v>
      </c>
      <c r="AK58">
        <v>2028</v>
      </c>
      <c r="AL58" t="s">
        <v>250</v>
      </c>
      <c r="AM58">
        <v>0.22040000000000001</v>
      </c>
      <c r="AN58" t="s">
        <v>244</v>
      </c>
    </row>
    <row r="59" spans="9:40" x14ac:dyDescent="0.45">
      <c r="I59" t="s">
        <v>174</v>
      </c>
      <c r="J59" t="s">
        <v>168</v>
      </c>
      <c r="K59">
        <v>3.6195584322020039E-3</v>
      </c>
      <c r="L59" t="s">
        <v>165</v>
      </c>
      <c r="N59" t="s">
        <v>198</v>
      </c>
      <c r="O59" t="s">
        <v>168</v>
      </c>
      <c r="P59">
        <v>4.6509527498695073E-2</v>
      </c>
      <c r="Q59" t="s">
        <v>165</v>
      </c>
      <c r="S59" t="s">
        <v>217</v>
      </c>
      <c r="T59" t="s">
        <v>168</v>
      </c>
      <c r="U59">
        <v>4.203784668206649E-2</v>
      </c>
      <c r="V59" t="s">
        <v>165</v>
      </c>
      <c r="AC59" t="s">
        <v>19</v>
      </c>
      <c r="AD59" t="s">
        <v>168</v>
      </c>
      <c r="AE59">
        <v>2.7939650347740558E-2</v>
      </c>
      <c r="AK59">
        <v>2028</v>
      </c>
      <c r="AL59" t="s">
        <v>252</v>
      </c>
      <c r="AM59">
        <v>0.1885</v>
      </c>
      <c r="AN59" t="s">
        <v>244</v>
      </c>
    </row>
    <row r="60" spans="9:40" x14ac:dyDescent="0.45">
      <c r="I60" t="s">
        <v>174</v>
      </c>
      <c r="J60" t="s">
        <v>169</v>
      </c>
      <c r="K60">
        <v>5.3354398901158291E-3</v>
      </c>
      <c r="L60" t="s">
        <v>165</v>
      </c>
      <c r="N60" t="s">
        <v>198</v>
      </c>
      <c r="O60" t="s">
        <v>169</v>
      </c>
      <c r="P60">
        <v>6.9640339977729672E-3</v>
      </c>
      <c r="Q60" t="s">
        <v>165</v>
      </c>
      <c r="S60" t="s">
        <v>217</v>
      </c>
      <c r="T60" t="s">
        <v>169</v>
      </c>
      <c r="U60">
        <v>5.6651190567596809E-3</v>
      </c>
      <c r="V60" t="s">
        <v>165</v>
      </c>
      <c r="AC60" t="s">
        <v>19</v>
      </c>
      <c r="AD60" t="s">
        <v>169</v>
      </c>
      <c r="AE60">
        <v>3.572231904236404E-3</v>
      </c>
      <c r="AK60">
        <v>2029</v>
      </c>
      <c r="AL60" t="s">
        <v>154</v>
      </c>
      <c r="AM60">
        <v>0.17860000000000001</v>
      </c>
      <c r="AN60" t="s">
        <v>244</v>
      </c>
    </row>
    <row r="61" spans="9:40" x14ac:dyDescent="0.45">
      <c r="I61" t="s">
        <v>174</v>
      </c>
      <c r="J61" t="s">
        <v>170</v>
      </c>
      <c r="K61">
        <v>5.1378587599067861E-2</v>
      </c>
      <c r="L61" t="s">
        <v>165</v>
      </c>
      <c r="N61" t="s">
        <v>198</v>
      </c>
      <c r="O61" t="s">
        <v>170</v>
      </c>
      <c r="P61">
        <v>4.5515245203900781E-2</v>
      </c>
      <c r="Q61" t="s">
        <v>165</v>
      </c>
      <c r="S61" t="s">
        <v>217</v>
      </c>
      <c r="T61" t="s">
        <v>170</v>
      </c>
      <c r="U61">
        <v>3.8224173297513306E-2</v>
      </c>
      <c r="V61" t="s">
        <v>165</v>
      </c>
      <c r="AC61" t="s">
        <v>19</v>
      </c>
      <c r="AD61" t="s">
        <v>170</v>
      </c>
      <c r="AE61">
        <v>2.5001690019832493E-2</v>
      </c>
      <c r="AK61">
        <v>2029</v>
      </c>
      <c r="AL61" t="s">
        <v>158</v>
      </c>
      <c r="AM61">
        <v>0.1716</v>
      </c>
      <c r="AN61" t="s">
        <v>244</v>
      </c>
    </row>
    <row r="62" spans="9:40" x14ac:dyDescent="0.45">
      <c r="I62" t="s">
        <v>174</v>
      </c>
      <c r="J62" t="s">
        <v>256</v>
      </c>
      <c r="K62">
        <v>5.6274884281203065E-3</v>
      </c>
      <c r="L62" t="s">
        <v>165</v>
      </c>
      <c r="N62" t="s">
        <v>198</v>
      </c>
      <c r="O62" t="s">
        <v>256</v>
      </c>
      <c r="P62">
        <v>5.9235523417147402E-3</v>
      </c>
      <c r="Q62" t="s">
        <v>165</v>
      </c>
      <c r="S62" t="s">
        <v>217</v>
      </c>
      <c r="T62" t="s">
        <v>256</v>
      </c>
      <c r="U62">
        <v>6.0381518467230149E-3</v>
      </c>
      <c r="V62" t="s">
        <v>165</v>
      </c>
      <c r="AC62" t="s">
        <v>19</v>
      </c>
      <c r="AD62" t="s">
        <v>256</v>
      </c>
      <c r="AE62">
        <v>3.5746881964792946E-3</v>
      </c>
      <c r="AK62">
        <v>2029</v>
      </c>
      <c r="AL62" t="s">
        <v>160</v>
      </c>
      <c r="AM62">
        <v>0.28767500000000001</v>
      </c>
      <c r="AN62" t="s">
        <v>244</v>
      </c>
    </row>
    <row r="63" spans="9:40" x14ac:dyDescent="0.45">
      <c r="I63" t="s">
        <v>174</v>
      </c>
      <c r="J63" t="s">
        <v>257</v>
      </c>
      <c r="K63">
        <v>3.8557458235698155E-3</v>
      </c>
      <c r="L63" t="s">
        <v>165</v>
      </c>
      <c r="N63" t="s">
        <v>198</v>
      </c>
      <c r="O63" t="s">
        <v>257</v>
      </c>
      <c r="P63">
        <v>5.6067436689037275E-3</v>
      </c>
      <c r="Q63" t="s">
        <v>165</v>
      </c>
      <c r="S63" t="s">
        <v>217</v>
      </c>
      <c r="T63" t="s">
        <v>257</v>
      </c>
      <c r="U63">
        <v>6.3078969022814938E-3</v>
      </c>
      <c r="V63" t="s">
        <v>165</v>
      </c>
      <c r="AC63" t="s">
        <v>19</v>
      </c>
      <c r="AD63" t="s">
        <v>257</v>
      </c>
      <c r="AE63">
        <v>3.5809820325673168E-3</v>
      </c>
      <c r="AK63">
        <v>2029</v>
      </c>
      <c r="AL63" t="s">
        <v>246</v>
      </c>
      <c r="AM63">
        <v>0.2384</v>
      </c>
      <c r="AN63" t="s">
        <v>244</v>
      </c>
    </row>
    <row r="64" spans="9:40" x14ac:dyDescent="0.45">
      <c r="I64" t="s">
        <v>174</v>
      </c>
      <c r="J64" t="s">
        <v>258</v>
      </c>
      <c r="K64">
        <v>8.9187218748379427E-4</v>
      </c>
      <c r="L64" t="s">
        <v>165</v>
      </c>
      <c r="N64" t="s">
        <v>198</v>
      </c>
      <c r="O64" t="s">
        <v>258</v>
      </c>
      <c r="P64">
        <v>3.0167001889081939E-2</v>
      </c>
      <c r="Q64" t="s">
        <v>165</v>
      </c>
      <c r="S64" t="s">
        <v>217</v>
      </c>
      <c r="T64" t="s">
        <v>258</v>
      </c>
      <c r="U64">
        <v>3.6589838037625701E-2</v>
      </c>
      <c r="V64" t="s">
        <v>165</v>
      </c>
      <c r="AC64" t="s">
        <v>19</v>
      </c>
      <c r="AD64" t="s">
        <v>258</v>
      </c>
      <c r="AE64">
        <v>2.1290338970574082E-2</v>
      </c>
      <c r="AK64">
        <v>2029</v>
      </c>
      <c r="AL64" t="s">
        <v>248</v>
      </c>
      <c r="AM64">
        <v>0.1754</v>
      </c>
      <c r="AN64" t="s">
        <v>244</v>
      </c>
    </row>
    <row r="65" spans="9:40" x14ac:dyDescent="0.45">
      <c r="I65" t="s">
        <v>174</v>
      </c>
      <c r="J65" t="s">
        <v>171</v>
      </c>
      <c r="K65">
        <v>5.3591889794578573E-2</v>
      </c>
      <c r="L65" t="s">
        <v>165</v>
      </c>
      <c r="N65" t="s">
        <v>198</v>
      </c>
      <c r="O65" t="s">
        <v>171</v>
      </c>
      <c r="P65">
        <v>6.9925117200314746E-2</v>
      </c>
      <c r="Q65" t="s">
        <v>165</v>
      </c>
      <c r="S65" t="s">
        <v>217</v>
      </c>
      <c r="T65" t="s">
        <v>171</v>
      </c>
      <c r="U65">
        <v>9.0397706673489064E-2</v>
      </c>
      <c r="V65" t="s">
        <v>165</v>
      </c>
      <c r="AC65" t="s">
        <v>19</v>
      </c>
      <c r="AD65" t="s">
        <v>171</v>
      </c>
      <c r="AE65">
        <v>0.11007360189409367</v>
      </c>
      <c r="AK65">
        <v>2029</v>
      </c>
      <c r="AL65" t="s">
        <v>250</v>
      </c>
      <c r="AM65">
        <v>0.2172</v>
      </c>
      <c r="AN65" t="s">
        <v>244</v>
      </c>
    </row>
    <row r="66" spans="9:40" x14ac:dyDescent="0.45">
      <c r="I66" t="s">
        <v>174</v>
      </c>
      <c r="J66" t="s">
        <v>172</v>
      </c>
      <c r="K66">
        <v>3.56142288515005E-2</v>
      </c>
      <c r="L66" t="s">
        <v>165</v>
      </c>
      <c r="N66" t="s">
        <v>198</v>
      </c>
      <c r="O66" t="s">
        <v>172</v>
      </c>
      <c r="P66">
        <v>8.7055520838952259E-3</v>
      </c>
      <c r="Q66" t="s">
        <v>165</v>
      </c>
      <c r="S66" t="s">
        <v>217</v>
      </c>
      <c r="T66" t="s">
        <v>172</v>
      </c>
      <c r="U66">
        <v>1.0108345707718541E-2</v>
      </c>
      <c r="V66" t="s">
        <v>165</v>
      </c>
      <c r="AC66" t="s">
        <v>19</v>
      </c>
      <c r="AD66" t="s">
        <v>172</v>
      </c>
      <c r="AE66">
        <v>1.4029625306450069E-2</v>
      </c>
      <c r="AK66">
        <v>2029</v>
      </c>
      <c r="AL66" t="s">
        <v>252</v>
      </c>
      <c r="AM66">
        <v>0.1898</v>
      </c>
      <c r="AN66" t="s">
        <v>244</v>
      </c>
    </row>
    <row r="67" spans="9:40" x14ac:dyDescent="0.45">
      <c r="I67" t="s">
        <v>174</v>
      </c>
      <c r="J67" t="s">
        <v>173</v>
      </c>
      <c r="K67">
        <v>0.29348115614354348</v>
      </c>
      <c r="L67" t="s">
        <v>165</v>
      </c>
      <c r="N67" t="s">
        <v>198</v>
      </c>
      <c r="O67" t="s">
        <v>173</v>
      </c>
      <c r="P67">
        <v>6.7905581414619345E-2</v>
      </c>
      <c r="Q67" t="s">
        <v>165</v>
      </c>
      <c r="S67" t="s">
        <v>217</v>
      </c>
      <c r="T67" t="s">
        <v>173</v>
      </c>
      <c r="U67">
        <v>5.6614059363844144E-2</v>
      </c>
      <c r="V67" t="s">
        <v>165</v>
      </c>
      <c r="AC67" t="s">
        <v>19</v>
      </c>
      <c r="AD67" t="s">
        <v>173</v>
      </c>
      <c r="AE67">
        <v>9.8288403867862875E-2</v>
      </c>
      <c r="AK67">
        <v>2030</v>
      </c>
      <c r="AL67" t="s">
        <v>154</v>
      </c>
      <c r="AM67">
        <v>0.17745</v>
      </c>
      <c r="AN67" t="s">
        <v>244</v>
      </c>
    </row>
    <row r="68" spans="9:40" x14ac:dyDescent="0.45">
      <c r="I68" t="s">
        <v>174</v>
      </c>
      <c r="J68" t="s">
        <v>259</v>
      </c>
      <c r="K68">
        <v>3.2785977147552568E-2</v>
      </c>
      <c r="L68" t="s">
        <v>165</v>
      </c>
      <c r="N68" t="s">
        <v>198</v>
      </c>
      <c r="O68" t="s">
        <v>259</v>
      </c>
      <c r="P68">
        <v>1.2285218014917403E-2</v>
      </c>
      <c r="Q68" t="s">
        <v>165</v>
      </c>
      <c r="S68" t="s">
        <v>217</v>
      </c>
      <c r="T68" t="s">
        <v>259</v>
      </c>
      <c r="U68">
        <v>9.5944439439357952E-3</v>
      </c>
      <c r="V68" t="s">
        <v>165</v>
      </c>
      <c r="AC68" t="s">
        <v>19</v>
      </c>
      <c r="AD68" t="s">
        <v>259</v>
      </c>
      <c r="AE68">
        <v>1.4038244544605243E-2</v>
      </c>
      <c r="AK68">
        <v>2030</v>
      </c>
      <c r="AL68" t="s">
        <v>158</v>
      </c>
      <c r="AM68">
        <v>0.1605</v>
      </c>
      <c r="AN68" t="s">
        <v>244</v>
      </c>
    </row>
    <row r="69" spans="9:40" x14ac:dyDescent="0.45">
      <c r="I69" t="s">
        <v>174</v>
      </c>
      <c r="J69" t="s">
        <v>260</v>
      </c>
      <c r="K69">
        <v>2.554655913274757E-2</v>
      </c>
      <c r="L69" t="s">
        <v>165</v>
      </c>
      <c r="N69" t="s">
        <v>198</v>
      </c>
      <c r="O69" t="s">
        <v>260</v>
      </c>
      <c r="P69">
        <v>1.2219116479438451E-2</v>
      </c>
      <c r="Q69" t="s">
        <v>165</v>
      </c>
      <c r="S69" t="s">
        <v>217</v>
      </c>
      <c r="T69" t="s">
        <v>260</v>
      </c>
      <c r="U69">
        <v>1.0208975708842256E-2</v>
      </c>
      <c r="V69" t="s">
        <v>165</v>
      </c>
      <c r="AC69" t="s">
        <v>19</v>
      </c>
      <c r="AD69" t="s">
        <v>260</v>
      </c>
      <c r="AE69">
        <v>1.4036140695175009E-2</v>
      </c>
      <c r="AK69">
        <v>2030</v>
      </c>
      <c r="AL69" t="s">
        <v>160</v>
      </c>
      <c r="AM69">
        <v>0.29964999999999997</v>
      </c>
      <c r="AN69" t="s">
        <v>244</v>
      </c>
    </row>
    <row r="70" spans="9:40" x14ac:dyDescent="0.45">
      <c r="I70" t="s">
        <v>174</v>
      </c>
      <c r="J70" t="s">
        <v>261</v>
      </c>
      <c r="K70">
        <v>2.2800780707534756E-2</v>
      </c>
      <c r="L70" t="s">
        <v>165</v>
      </c>
      <c r="N70" t="s">
        <v>198</v>
      </c>
      <c r="O70" t="s">
        <v>261</v>
      </c>
      <c r="P70">
        <v>6.3633825549074624E-2</v>
      </c>
      <c r="Q70" t="s">
        <v>165</v>
      </c>
      <c r="S70" t="s">
        <v>217</v>
      </c>
      <c r="T70" t="s">
        <v>261</v>
      </c>
      <c r="U70">
        <v>6.7439269924335715E-2</v>
      </c>
      <c r="V70" t="s">
        <v>165</v>
      </c>
      <c r="AC70" t="s">
        <v>19</v>
      </c>
      <c r="AD70" t="s">
        <v>261</v>
      </c>
      <c r="AE70">
        <v>8.3659856939152538E-2</v>
      </c>
      <c r="AK70">
        <v>2030</v>
      </c>
      <c r="AL70" t="s">
        <v>246</v>
      </c>
      <c r="AM70">
        <v>0.25319999999999998</v>
      </c>
      <c r="AN70" t="s">
        <v>244</v>
      </c>
    </row>
    <row r="71" spans="9:40" x14ac:dyDescent="0.45">
      <c r="I71" t="s">
        <v>174</v>
      </c>
      <c r="J71" t="s">
        <v>262</v>
      </c>
      <c r="K71">
        <v>2.1989460660203065E-2</v>
      </c>
      <c r="L71" t="s">
        <v>165</v>
      </c>
      <c r="N71" t="s">
        <v>198</v>
      </c>
      <c r="O71" t="s">
        <v>262</v>
      </c>
      <c r="P71">
        <v>3.1815171110771888E-2</v>
      </c>
      <c r="Q71" t="s">
        <v>165</v>
      </c>
      <c r="S71" t="s">
        <v>217</v>
      </c>
      <c r="T71" t="s">
        <v>262</v>
      </c>
      <c r="U71">
        <v>4.0683606271989858E-2</v>
      </c>
      <c r="V71" t="s">
        <v>165</v>
      </c>
      <c r="AC71" t="s">
        <v>19</v>
      </c>
      <c r="AD71" t="s">
        <v>262</v>
      </c>
      <c r="AE71">
        <v>5.5020012795984459E-2</v>
      </c>
      <c r="AK71">
        <v>2030</v>
      </c>
      <c r="AL71" t="s">
        <v>248</v>
      </c>
      <c r="AM71">
        <v>0.19520000000000001</v>
      </c>
      <c r="AN71" t="s">
        <v>244</v>
      </c>
    </row>
    <row r="72" spans="9:40" x14ac:dyDescent="0.45">
      <c r="I72" t="s">
        <v>174</v>
      </c>
      <c r="J72" t="s">
        <v>263</v>
      </c>
      <c r="K72">
        <v>1.7417486016993947E-2</v>
      </c>
      <c r="L72" t="s">
        <v>165</v>
      </c>
      <c r="N72" t="s">
        <v>198</v>
      </c>
      <c r="O72" t="s">
        <v>263</v>
      </c>
      <c r="P72">
        <v>3.325083622914738E-3</v>
      </c>
      <c r="Q72" t="s">
        <v>165</v>
      </c>
      <c r="S72" t="s">
        <v>217</v>
      </c>
      <c r="T72" t="s">
        <v>263</v>
      </c>
      <c r="U72">
        <v>4.9641256701026355E-3</v>
      </c>
      <c r="V72" t="s">
        <v>165</v>
      </c>
      <c r="AC72" t="s">
        <v>19</v>
      </c>
      <c r="AD72" t="s">
        <v>263</v>
      </c>
      <c r="AE72">
        <v>7.0089787171064167E-3</v>
      </c>
      <c r="AK72">
        <v>2030</v>
      </c>
      <c r="AL72" t="s">
        <v>250</v>
      </c>
      <c r="AM72">
        <v>0.22850000000000001</v>
      </c>
      <c r="AN72" t="s">
        <v>244</v>
      </c>
    </row>
    <row r="73" spans="9:40" x14ac:dyDescent="0.45">
      <c r="I73" t="s">
        <v>174</v>
      </c>
      <c r="J73" t="s">
        <v>264</v>
      </c>
      <c r="K73">
        <v>0.14587050480216535</v>
      </c>
      <c r="L73" t="s">
        <v>165</v>
      </c>
      <c r="N73" t="s">
        <v>198</v>
      </c>
      <c r="O73" t="s">
        <v>264</v>
      </c>
      <c r="P73">
        <v>2.4629771404271215E-2</v>
      </c>
      <c r="Q73" t="s">
        <v>165</v>
      </c>
      <c r="S73" t="s">
        <v>217</v>
      </c>
      <c r="T73" t="s">
        <v>264</v>
      </c>
      <c r="U73">
        <v>2.4787700937568873E-2</v>
      </c>
      <c r="V73" t="s">
        <v>165</v>
      </c>
      <c r="AC73" t="s">
        <v>19</v>
      </c>
      <c r="AD73" t="s">
        <v>264</v>
      </c>
      <c r="AE73">
        <v>4.9167249444204267E-2</v>
      </c>
      <c r="AK73">
        <v>2030</v>
      </c>
      <c r="AL73" t="s">
        <v>252</v>
      </c>
      <c r="AM73">
        <v>0.18240000000000001</v>
      </c>
      <c r="AN73" t="s">
        <v>244</v>
      </c>
    </row>
    <row r="74" spans="9:40" x14ac:dyDescent="0.45">
      <c r="I74" t="s">
        <v>174</v>
      </c>
      <c r="J74" t="s">
        <v>265</v>
      </c>
      <c r="K74">
        <v>1.6776238720325364E-2</v>
      </c>
      <c r="L74" t="s">
        <v>165</v>
      </c>
      <c r="N74" t="s">
        <v>198</v>
      </c>
      <c r="O74" t="s">
        <v>265</v>
      </c>
      <c r="P74">
        <v>5.106649971472076E-3</v>
      </c>
      <c r="Q74" t="s">
        <v>165</v>
      </c>
      <c r="S74" t="s">
        <v>217</v>
      </c>
      <c r="T74" t="s">
        <v>265</v>
      </c>
      <c r="U74">
        <v>3.7968878950658093E-3</v>
      </c>
      <c r="V74" t="s">
        <v>165</v>
      </c>
      <c r="AC74" t="s">
        <v>19</v>
      </c>
      <c r="AD74" t="s">
        <v>265</v>
      </c>
      <c r="AE74">
        <v>7.0229641522600826E-3</v>
      </c>
      <c r="AK74">
        <v>2031</v>
      </c>
      <c r="AL74" t="s">
        <v>154</v>
      </c>
      <c r="AM74">
        <v>0.17804999999999999</v>
      </c>
      <c r="AN74" t="s">
        <v>244</v>
      </c>
    </row>
    <row r="75" spans="9:40" x14ac:dyDescent="0.45">
      <c r="I75" t="s">
        <v>174</v>
      </c>
      <c r="J75" t="s">
        <v>266</v>
      </c>
      <c r="K75">
        <v>1.2420846702249425E-2</v>
      </c>
      <c r="L75" t="s">
        <v>165</v>
      </c>
      <c r="N75" t="s">
        <v>198</v>
      </c>
      <c r="O75" t="s">
        <v>266</v>
      </c>
      <c r="P75">
        <v>5.3192586749797816E-3</v>
      </c>
      <c r="Q75" t="s">
        <v>165</v>
      </c>
      <c r="S75" t="s">
        <v>217</v>
      </c>
      <c r="T75" t="s">
        <v>266</v>
      </c>
      <c r="U75">
        <v>4.3817220122369842E-3</v>
      </c>
      <c r="V75" t="s">
        <v>165</v>
      </c>
      <c r="AC75" t="s">
        <v>19</v>
      </c>
      <c r="AD75" t="s">
        <v>266</v>
      </c>
      <c r="AE75">
        <v>7.0187432442993108E-3</v>
      </c>
      <c r="AK75">
        <v>2031</v>
      </c>
      <c r="AL75" t="s">
        <v>158</v>
      </c>
      <c r="AM75">
        <v>0.16200000000000001</v>
      </c>
      <c r="AN75" t="s">
        <v>244</v>
      </c>
    </row>
    <row r="76" spans="9:40" x14ac:dyDescent="0.45">
      <c r="I76" t="s">
        <v>174</v>
      </c>
      <c r="J76" t="s">
        <v>267</v>
      </c>
      <c r="K76">
        <v>6.92904473693006E-3</v>
      </c>
      <c r="L76" t="s">
        <v>165</v>
      </c>
      <c r="N76" t="s">
        <v>198</v>
      </c>
      <c r="O76" t="s">
        <v>267</v>
      </c>
      <c r="P76">
        <v>2.7707111305639714E-2</v>
      </c>
      <c r="Q76" t="s">
        <v>165</v>
      </c>
      <c r="S76" t="s">
        <v>217</v>
      </c>
      <c r="T76" t="s">
        <v>267</v>
      </c>
      <c r="U76">
        <v>2.8733122979034544E-2</v>
      </c>
      <c r="V76" t="s">
        <v>165</v>
      </c>
      <c r="AC76" t="s">
        <v>19</v>
      </c>
      <c r="AD76" t="s">
        <v>267</v>
      </c>
      <c r="AE76">
        <v>4.1829599491679574E-2</v>
      </c>
      <c r="AK76">
        <v>2031</v>
      </c>
      <c r="AL76" t="s">
        <v>160</v>
      </c>
      <c r="AM76">
        <v>0.29585</v>
      </c>
      <c r="AN76" t="s">
        <v>244</v>
      </c>
    </row>
    <row r="77" spans="9:40" x14ac:dyDescent="0.45">
      <c r="I77" t="s">
        <v>174</v>
      </c>
      <c r="J77" t="s">
        <v>268</v>
      </c>
      <c r="K77">
        <v>1.7708403103752709E-3</v>
      </c>
      <c r="L77" t="s">
        <v>165</v>
      </c>
      <c r="N77" t="s">
        <v>198</v>
      </c>
      <c r="O77" t="s">
        <v>268</v>
      </c>
      <c r="P77">
        <v>3.3798823838643181E-2</v>
      </c>
      <c r="Q77" t="s">
        <v>165</v>
      </c>
      <c r="S77" t="s">
        <v>217</v>
      </c>
      <c r="T77" t="s">
        <v>268</v>
      </c>
      <c r="U77">
        <v>2.7542714054745693E-2</v>
      </c>
      <c r="V77" t="s">
        <v>165</v>
      </c>
      <c r="AC77" t="s">
        <v>19</v>
      </c>
      <c r="AD77" t="s">
        <v>268</v>
      </c>
      <c r="AE77">
        <v>2.7973110049534431E-2</v>
      </c>
      <c r="AK77">
        <v>2031</v>
      </c>
      <c r="AL77" t="s">
        <v>246</v>
      </c>
      <c r="AM77">
        <v>0.2354</v>
      </c>
      <c r="AN77" t="s">
        <v>244</v>
      </c>
    </row>
    <row r="78" spans="9:40" x14ac:dyDescent="0.45">
      <c r="I78" t="s">
        <v>174</v>
      </c>
      <c r="J78" t="s">
        <v>269</v>
      </c>
      <c r="K78">
        <v>3.210236441837717E-3</v>
      </c>
      <c r="L78" t="s">
        <v>165</v>
      </c>
      <c r="N78" t="s">
        <v>198</v>
      </c>
      <c r="O78" t="s">
        <v>269</v>
      </c>
      <c r="P78">
        <v>4.2759396392867523E-3</v>
      </c>
      <c r="Q78" t="s">
        <v>165</v>
      </c>
      <c r="S78" t="s">
        <v>217</v>
      </c>
      <c r="T78" t="s">
        <v>269</v>
      </c>
      <c r="U78">
        <v>3.3393417188832502E-3</v>
      </c>
      <c r="V78" t="s">
        <v>165</v>
      </c>
      <c r="AC78" t="s">
        <v>19</v>
      </c>
      <c r="AD78" t="s">
        <v>269</v>
      </c>
      <c r="AE78">
        <v>3.5632500349994482E-3</v>
      </c>
      <c r="AK78">
        <v>2031</v>
      </c>
      <c r="AL78" t="s">
        <v>248</v>
      </c>
      <c r="AM78">
        <v>0.19500000000000001</v>
      </c>
      <c r="AN78" t="s">
        <v>244</v>
      </c>
    </row>
    <row r="79" spans="9:40" x14ac:dyDescent="0.45">
      <c r="I79" t="s">
        <v>174</v>
      </c>
      <c r="J79" t="s">
        <v>270</v>
      </c>
      <c r="K79">
        <v>3.4442458500415267E-2</v>
      </c>
      <c r="L79" t="s">
        <v>165</v>
      </c>
      <c r="N79" t="s">
        <v>198</v>
      </c>
      <c r="O79" t="s">
        <v>270</v>
      </c>
      <c r="P79">
        <v>2.8006626105387011E-2</v>
      </c>
      <c r="Q79" t="s">
        <v>165</v>
      </c>
      <c r="S79" t="s">
        <v>217</v>
      </c>
      <c r="T79" t="s">
        <v>270</v>
      </c>
      <c r="U79">
        <v>2.4458993045780534E-2</v>
      </c>
      <c r="V79" t="s">
        <v>165</v>
      </c>
      <c r="AC79" t="s">
        <v>19</v>
      </c>
      <c r="AD79" t="s">
        <v>270</v>
      </c>
      <c r="AE79">
        <v>2.4955012492973785E-2</v>
      </c>
      <c r="AK79">
        <v>2031</v>
      </c>
      <c r="AL79" t="s">
        <v>250</v>
      </c>
      <c r="AM79">
        <v>0.20569999999999999</v>
      </c>
      <c r="AN79" t="s">
        <v>244</v>
      </c>
    </row>
    <row r="80" spans="9:40" x14ac:dyDescent="0.45">
      <c r="I80" t="s">
        <v>174</v>
      </c>
      <c r="J80" t="s">
        <v>271</v>
      </c>
      <c r="K80">
        <v>2.8142689386188072E-3</v>
      </c>
      <c r="L80" t="s">
        <v>165</v>
      </c>
      <c r="N80" t="s">
        <v>198</v>
      </c>
      <c r="O80" t="s">
        <v>271</v>
      </c>
      <c r="P80">
        <v>4.0177198658671179E-3</v>
      </c>
      <c r="Q80" t="s">
        <v>165</v>
      </c>
      <c r="S80" t="s">
        <v>217</v>
      </c>
      <c r="T80" t="s">
        <v>271</v>
      </c>
      <c r="U80">
        <v>3.4630312748238183E-3</v>
      </c>
      <c r="V80" t="s">
        <v>165</v>
      </c>
      <c r="AC80" t="s">
        <v>19</v>
      </c>
      <c r="AD80" t="s">
        <v>271</v>
      </c>
      <c r="AE80">
        <v>3.5648624458570095E-3</v>
      </c>
      <c r="AK80">
        <v>2031</v>
      </c>
      <c r="AL80" t="s">
        <v>252</v>
      </c>
      <c r="AM80">
        <v>0.20860000000000001</v>
      </c>
      <c r="AN80" t="s">
        <v>244</v>
      </c>
    </row>
    <row r="81" spans="9:40" x14ac:dyDescent="0.45">
      <c r="I81" t="s">
        <v>174</v>
      </c>
      <c r="J81" t="s">
        <v>272</v>
      </c>
      <c r="K81">
        <v>9.8365348873375195E-4</v>
      </c>
      <c r="L81" t="s">
        <v>165</v>
      </c>
      <c r="N81" t="s">
        <v>198</v>
      </c>
      <c r="O81" t="s">
        <v>272</v>
      </c>
      <c r="P81">
        <v>4.0653791367506031E-3</v>
      </c>
      <c r="Q81" t="s">
        <v>165</v>
      </c>
      <c r="S81" t="s">
        <v>217</v>
      </c>
      <c r="T81" t="s">
        <v>272</v>
      </c>
      <c r="U81">
        <v>3.4714277018129112E-3</v>
      </c>
      <c r="V81" t="s">
        <v>165</v>
      </c>
      <c r="AC81" t="s">
        <v>19</v>
      </c>
      <c r="AD81" t="s">
        <v>272</v>
      </c>
      <c r="AE81">
        <v>3.5653631908412605E-3</v>
      </c>
      <c r="AK81">
        <v>2032</v>
      </c>
      <c r="AL81" t="s">
        <v>154</v>
      </c>
      <c r="AM81">
        <v>0.16930000000000001</v>
      </c>
      <c r="AN81" t="s">
        <v>244</v>
      </c>
    </row>
    <row r="82" spans="9:40" x14ac:dyDescent="0.45">
      <c r="I82" t="s">
        <v>174</v>
      </c>
      <c r="J82" t="s">
        <v>273</v>
      </c>
      <c r="K82">
        <v>0</v>
      </c>
      <c r="L82" t="s">
        <v>165</v>
      </c>
      <c r="N82" t="s">
        <v>198</v>
      </c>
      <c r="O82" t="s">
        <v>273</v>
      </c>
      <c r="P82">
        <v>2.4584696978933993E-2</v>
      </c>
      <c r="Q82" t="s">
        <v>165</v>
      </c>
      <c r="S82" t="s">
        <v>217</v>
      </c>
      <c r="T82" t="s">
        <v>273</v>
      </c>
      <c r="U82">
        <v>2.3324282064248462E-2</v>
      </c>
      <c r="V82" t="s">
        <v>165</v>
      </c>
      <c r="AC82" t="s">
        <v>19</v>
      </c>
      <c r="AD82" t="s">
        <v>273</v>
      </c>
      <c r="AE82">
        <v>2.1260845263620622E-2</v>
      </c>
      <c r="AK82">
        <v>2032</v>
      </c>
      <c r="AL82" t="s">
        <v>158</v>
      </c>
      <c r="AM82">
        <v>0.155</v>
      </c>
      <c r="AN82" t="s">
        <v>244</v>
      </c>
    </row>
    <row r="83" spans="9:40" x14ac:dyDescent="0.45">
      <c r="I83" t="s">
        <v>174</v>
      </c>
      <c r="J83" t="s">
        <v>274</v>
      </c>
      <c r="K83">
        <v>8.3895011923541558E-4</v>
      </c>
      <c r="L83" t="s">
        <v>165</v>
      </c>
      <c r="N83" t="s">
        <v>198</v>
      </c>
      <c r="O83" t="s">
        <v>274</v>
      </c>
      <c r="P83">
        <v>4.7797415377778971E-2</v>
      </c>
      <c r="Q83" t="s">
        <v>165</v>
      </c>
      <c r="S83" t="s">
        <v>217</v>
      </c>
      <c r="T83" t="s">
        <v>274</v>
      </c>
      <c r="U83">
        <v>4.9227037176705492E-2</v>
      </c>
      <c r="V83" t="s">
        <v>165</v>
      </c>
      <c r="AC83" t="s">
        <v>19</v>
      </c>
      <c r="AD83" t="s">
        <v>274</v>
      </c>
      <c r="AE83">
        <v>2.7037206096020287E-2</v>
      </c>
      <c r="AK83">
        <v>2032</v>
      </c>
      <c r="AL83" t="s">
        <v>160</v>
      </c>
      <c r="AM83">
        <v>0.28712500000000002</v>
      </c>
      <c r="AN83" t="s">
        <v>244</v>
      </c>
    </row>
    <row r="84" spans="9:40" x14ac:dyDescent="0.45">
      <c r="I84" t="s">
        <v>174</v>
      </c>
      <c r="J84" t="s">
        <v>275</v>
      </c>
      <c r="K84">
        <v>3.5811750716018319E-3</v>
      </c>
      <c r="L84" t="s">
        <v>165</v>
      </c>
      <c r="N84" t="s">
        <v>198</v>
      </c>
      <c r="O84" t="s">
        <v>275</v>
      </c>
      <c r="P84">
        <v>5.6276996805811243E-3</v>
      </c>
      <c r="Q84" t="s">
        <v>165</v>
      </c>
      <c r="S84" t="s">
        <v>217</v>
      </c>
      <c r="T84" t="s">
        <v>275</v>
      </c>
      <c r="U84">
        <v>6.7514417161291676E-3</v>
      </c>
      <c r="V84" t="s">
        <v>165</v>
      </c>
      <c r="AC84" t="s">
        <v>19</v>
      </c>
      <c r="AD84" t="s">
        <v>275</v>
      </c>
      <c r="AE84">
        <v>3.446318930003535E-3</v>
      </c>
      <c r="AK84">
        <v>2032</v>
      </c>
      <c r="AL84" t="s">
        <v>246</v>
      </c>
      <c r="AM84">
        <v>0.26179999999999998</v>
      </c>
      <c r="AN84" t="s">
        <v>244</v>
      </c>
    </row>
    <row r="85" spans="9:40" x14ac:dyDescent="0.45">
      <c r="I85" t="s">
        <v>174</v>
      </c>
      <c r="J85" t="s">
        <v>276</v>
      </c>
      <c r="K85">
        <v>3.7993856821333216E-2</v>
      </c>
      <c r="L85" t="s">
        <v>165</v>
      </c>
      <c r="N85" t="s">
        <v>198</v>
      </c>
      <c r="O85" t="s">
        <v>276</v>
      </c>
      <c r="P85">
        <v>4.0723335790231067E-2</v>
      </c>
      <c r="Q85" t="s">
        <v>165</v>
      </c>
      <c r="S85" t="s">
        <v>217</v>
      </c>
      <c r="T85" t="s">
        <v>276</v>
      </c>
      <c r="U85">
        <v>4.1880979388752258E-2</v>
      </c>
      <c r="V85" t="s">
        <v>165</v>
      </c>
      <c r="AC85" t="s">
        <v>19</v>
      </c>
      <c r="AD85" t="s">
        <v>276</v>
      </c>
      <c r="AE85">
        <v>2.4166023101318292E-2</v>
      </c>
      <c r="AK85">
        <v>2032</v>
      </c>
      <c r="AL85" t="s">
        <v>248</v>
      </c>
      <c r="AM85">
        <v>0.19450000000000001</v>
      </c>
      <c r="AN85" t="s">
        <v>244</v>
      </c>
    </row>
    <row r="86" spans="9:40" x14ac:dyDescent="0.45">
      <c r="I86" t="s">
        <v>174</v>
      </c>
      <c r="J86" t="s">
        <v>277</v>
      </c>
      <c r="K86">
        <v>2.8346676685191891E-3</v>
      </c>
      <c r="L86" t="s">
        <v>165</v>
      </c>
      <c r="N86" t="s">
        <v>198</v>
      </c>
      <c r="O86" t="s">
        <v>277</v>
      </c>
      <c r="P86">
        <v>6.3202511118743056E-3</v>
      </c>
      <c r="Q86" t="s">
        <v>165</v>
      </c>
      <c r="S86" t="s">
        <v>217</v>
      </c>
      <c r="T86" t="s">
        <v>277</v>
      </c>
      <c r="U86">
        <v>5.2861363179826492E-3</v>
      </c>
      <c r="V86" t="s">
        <v>165</v>
      </c>
      <c r="AC86" t="s">
        <v>19</v>
      </c>
      <c r="AD86" t="s">
        <v>277</v>
      </c>
      <c r="AE86">
        <v>3.4567817382715887E-3</v>
      </c>
      <c r="AK86">
        <v>2032</v>
      </c>
      <c r="AL86" t="s">
        <v>250</v>
      </c>
      <c r="AM86">
        <v>0.21560000000000001</v>
      </c>
      <c r="AN86" t="s">
        <v>244</v>
      </c>
    </row>
    <row r="87" spans="9:40" x14ac:dyDescent="0.45">
      <c r="I87" t="s">
        <v>174</v>
      </c>
      <c r="J87" t="s">
        <v>278</v>
      </c>
      <c r="K87">
        <v>0</v>
      </c>
      <c r="L87" t="s">
        <v>165</v>
      </c>
      <c r="N87" t="s">
        <v>198</v>
      </c>
      <c r="O87" t="s">
        <v>278</v>
      </c>
      <c r="P87">
        <v>6.4179156758923401E-3</v>
      </c>
      <c r="Q87" t="s">
        <v>165</v>
      </c>
      <c r="S87" t="s">
        <v>217</v>
      </c>
      <c r="T87" t="s">
        <v>278</v>
      </c>
      <c r="U87">
        <v>5.6023926009786959E-3</v>
      </c>
      <c r="V87" t="s">
        <v>165</v>
      </c>
      <c r="AC87" t="s">
        <v>19</v>
      </c>
      <c r="AD87" t="s">
        <v>278</v>
      </c>
      <c r="AE87">
        <v>3.4625649225501322E-3</v>
      </c>
      <c r="AK87">
        <v>2032</v>
      </c>
      <c r="AL87" t="s">
        <v>252</v>
      </c>
      <c r="AM87">
        <v>0.21590000000000001</v>
      </c>
      <c r="AN87" t="s">
        <v>244</v>
      </c>
    </row>
    <row r="88" spans="9:40" x14ac:dyDescent="0.45">
      <c r="I88" t="s">
        <v>174</v>
      </c>
      <c r="J88" t="s">
        <v>279</v>
      </c>
      <c r="K88">
        <v>0</v>
      </c>
      <c r="L88" t="s">
        <v>165</v>
      </c>
      <c r="N88" t="s">
        <v>198</v>
      </c>
      <c r="O88" t="s">
        <v>279</v>
      </c>
      <c r="P88">
        <v>3.8570177474753338E-2</v>
      </c>
      <c r="Q88" t="s">
        <v>165</v>
      </c>
      <c r="S88" t="s">
        <v>217</v>
      </c>
      <c r="T88" t="s">
        <v>279</v>
      </c>
      <c r="U88">
        <v>3.733040237054449E-2</v>
      </c>
      <c r="V88" t="s">
        <v>165</v>
      </c>
      <c r="AC88" t="s">
        <v>19</v>
      </c>
      <c r="AD88" t="s">
        <v>279</v>
      </c>
      <c r="AE88">
        <v>2.0626294817687851E-2</v>
      </c>
      <c r="AK88">
        <v>2033</v>
      </c>
      <c r="AL88" t="s">
        <v>154</v>
      </c>
      <c r="AM88">
        <v>0.1794</v>
      </c>
      <c r="AN88" t="s">
        <v>244</v>
      </c>
    </row>
    <row r="89" spans="9:40" x14ac:dyDescent="0.45">
      <c r="I89" t="s">
        <v>174</v>
      </c>
      <c r="J89" t="s">
        <v>280</v>
      </c>
      <c r="K89">
        <v>0</v>
      </c>
      <c r="L89" t="s">
        <v>165</v>
      </c>
      <c r="N89" t="s">
        <v>198</v>
      </c>
      <c r="O89" t="s">
        <v>280</v>
      </c>
      <c r="P89">
        <v>2.9190281976448903E-2</v>
      </c>
      <c r="Q89" t="s">
        <v>165</v>
      </c>
      <c r="S89" t="s">
        <v>217</v>
      </c>
      <c r="T89" t="s">
        <v>280</v>
      </c>
      <c r="U89">
        <v>2.8841819103604439E-2</v>
      </c>
      <c r="V89" t="s">
        <v>165</v>
      </c>
      <c r="AC89" t="s">
        <v>19</v>
      </c>
      <c r="AD89" t="s">
        <v>280</v>
      </c>
      <c r="AE89">
        <v>2.7912858509718089E-2</v>
      </c>
      <c r="AK89">
        <v>2033</v>
      </c>
      <c r="AL89" t="s">
        <v>158</v>
      </c>
      <c r="AM89">
        <v>0.1749</v>
      </c>
      <c r="AN89" t="s">
        <v>244</v>
      </c>
    </row>
    <row r="90" spans="9:40" x14ac:dyDescent="0.45">
      <c r="I90" t="s">
        <v>174</v>
      </c>
      <c r="J90" t="s">
        <v>281</v>
      </c>
      <c r="K90">
        <v>2.7406934032341112E-3</v>
      </c>
      <c r="L90" t="s">
        <v>165</v>
      </c>
      <c r="N90" t="s">
        <v>198</v>
      </c>
      <c r="O90" t="s">
        <v>281</v>
      </c>
      <c r="P90">
        <v>3.3578601127057651E-3</v>
      </c>
      <c r="Q90" t="s">
        <v>165</v>
      </c>
      <c r="S90" t="s">
        <v>217</v>
      </c>
      <c r="T90" t="s">
        <v>281</v>
      </c>
      <c r="U90">
        <v>4.2424101823350623E-3</v>
      </c>
      <c r="V90" t="s">
        <v>165</v>
      </c>
      <c r="AC90" t="s">
        <v>19</v>
      </c>
      <c r="AD90" t="s">
        <v>281</v>
      </c>
      <c r="AE90">
        <v>3.5792015584238993E-3</v>
      </c>
      <c r="AK90">
        <v>2033</v>
      </c>
      <c r="AL90" t="s">
        <v>160</v>
      </c>
      <c r="AM90">
        <v>0.27562500000000001</v>
      </c>
      <c r="AN90" t="s">
        <v>244</v>
      </c>
    </row>
    <row r="91" spans="9:40" x14ac:dyDescent="0.45">
      <c r="I91" t="s">
        <v>174</v>
      </c>
      <c r="J91" t="s">
        <v>282</v>
      </c>
      <c r="K91">
        <v>3.8958068443819917E-2</v>
      </c>
      <c r="L91" t="s">
        <v>165</v>
      </c>
      <c r="N91" t="s">
        <v>198</v>
      </c>
      <c r="O91" t="s">
        <v>282</v>
      </c>
      <c r="P91">
        <v>2.2912728256811319E-2</v>
      </c>
      <c r="Q91" t="s">
        <v>165</v>
      </c>
      <c r="S91" t="s">
        <v>217</v>
      </c>
      <c r="T91" t="s">
        <v>282</v>
      </c>
      <c r="U91">
        <v>2.7293469190720804E-2</v>
      </c>
      <c r="V91" t="s">
        <v>165</v>
      </c>
      <c r="AC91" t="s">
        <v>19</v>
      </c>
      <c r="AD91" t="s">
        <v>282</v>
      </c>
      <c r="AE91">
        <v>2.5018843905364699E-2</v>
      </c>
      <c r="AK91">
        <v>2033</v>
      </c>
      <c r="AL91" t="s">
        <v>246</v>
      </c>
      <c r="AM91">
        <v>0.24504999999999999</v>
      </c>
      <c r="AN91" t="s">
        <v>244</v>
      </c>
    </row>
    <row r="92" spans="9:40" x14ac:dyDescent="0.45">
      <c r="I92" t="s">
        <v>174</v>
      </c>
      <c r="J92" t="s">
        <v>283</v>
      </c>
      <c r="K92">
        <v>3.3413609209764451E-3</v>
      </c>
      <c r="L92" t="s">
        <v>165</v>
      </c>
      <c r="N92" t="s">
        <v>198</v>
      </c>
      <c r="O92" t="s">
        <v>283</v>
      </c>
      <c r="P92">
        <v>3.39259406864377E-3</v>
      </c>
      <c r="Q92" t="s">
        <v>165</v>
      </c>
      <c r="S92" t="s">
        <v>217</v>
      </c>
      <c r="T92" t="s">
        <v>283</v>
      </c>
      <c r="U92">
        <v>3.4241411155045511E-3</v>
      </c>
      <c r="V92" t="s">
        <v>165</v>
      </c>
      <c r="AC92" t="s">
        <v>19</v>
      </c>
      <c r="AD92" t="s">
        <v>283</v>
      </c>
      <c r="AE92">
        <v>3.5839085012344934E-3</v>
      </c>
      <c r="AK92">
        <v>2033</v>
      </c>
      <c r="AL92" t="s">
        <v>248</v>
      </c>
      <c r="AM92">
        <v>0.17660000000000001</v>
      </c>
      <c r="AN92" t="s">
        <v>244</v>
      </c>
    </row>
    <row r="93" spans="9:40" x14ac:dyDescent="0.45">
      <c r="I93" t="s">
        <v>174</v>
      </c>
      <c r="J93" t="s">
        <v>284</v>
      </c>
      <c r="K93">
        <v>0</v>
      </c>
      <c r="L93" t="s">
        <v>165</v>
      </c>
      <c r="N93" t="s">
        <v>198</v>
      </c>
      <c r="O93" t="s">
        <v>284</v>
      </c>
      <c r="P93">
        <v>3.4517936541385791E-3</v>
      </c>
      <c r="Q93" t="s">
        <v>165</v>
      </c>
      <c r="S93" t="s">
        <v>217</v>
      </c>
      <c r="T93" t="s">
        <v>284</v>
      </c>
      <c r="U93">
        <v>3.3389062715081038E-3</v>
      </c>
      <c r="V93" t="s">
        <v>165</v>
      </c>
      <c r="AC93" t="s">
        <v>19</v>
      </c>
      <c r="AD93" t="s">
        <v>284</v>
      </c>
      <c r="AE93">
        <v>3.5935628525225784E-3</v>
      </c>
      <c r="AK93">
        <v>2033</v>
      </c>
      <c r="AL93" t="s">
        <v>250</v>
      </c>
      <c r="AM93">
        <v>0.23300000000000001</v>
      </c>
      <c r="AN93" t="s">
        <v>244</v>
      </c>
    </row>
    <row r="94" spans="9:40" x14ac:dyDescent="0.45">
      <c r="I94" t="s">
        <v>174</v>
      </c>
      <c r="J94" t="s">
        <v>285</v>
      </c>
      <c r="K94">
        <v>0</v>
      </c>
      <c r="L94" t="s">
        <v>165</v>
      </c>
      <c r="N94" t="s">
        <v>198</v>
      </c>
      <c r="O94" t="s">
        <v>285</v>
      </c>
      <c r="P94">
        <v>2.0279487133158278E-2</v>
      </c>
      <c r="Q94" t="s">
        <v>165</v>
      </c>
      <c r="S94" t="s">
        <v>217</v>
      </c>
      <c r="T94" t="s">
        <v>285</v>
      </c>
      <c r="U94">
        <v>1.821522249685293E-2</v>
      </c>
      <c r="V94" t="s">
        <v>165</v>
      </c>
      <c r="AC94" t="s">
        <v>19</v>
      </c>
      <c r="AD94" t="s">
        <v>285</v>
      </c>
      <c r="AE94">
        <v>2.12937511363584E-2</v>
      </c>
      <c r="AK94">
        <v>2033</v>
      </c>
      <c r="AL94" t="s">
        <v>252</v>
      </c>
      <c r="AM94">
        <v>0.2135</v>
      </c>
      <c r="AN94" t="s">
        <v>244</v>
      </c>
    </row>
    <row r="95" spans="9:40" x14ac:dyDescent="0.45">
      <c r="I95" t="s">
        <v>175</v>
      </c>
      <c r="J95" t="s">
        <v>164</v>
      </c>
      <c r="K95">
        <v>4.6193129038881234E-4</v>
      </c>
      <c r="L95" t="s">
        <v>165</v>
      </c>
      <c r="N95" t="s">
        <v>199</v>
      </c>
      <c r="O95" t="s">
        <v>164</v>
      </c>
      <c r="P95">
        <v>7.2301917541485988E-2</v>
      </c>
      <c r="Q95" t="s">
        <v>165</v>
      </c>
      <c r="S95" t="s">
        <v>218</v>
      </c>
      <c r="T95" t="s">
        <v>164</v>
      </c>
      <c r="U95">
        <v>6.8807357964429217E-2</v>
      </c>
      <c r="V95" t="s">
        <v>165</v>
      </c>
      <c r="AK95">
        <v>2034</v>
      </c>
      <c r="AL95" t="s">
        <v>154</v>
      </c>
      <c r="AM95">
        <v>0.16909999999999997</v>
      </c>
      <c r="AN95" t="s">
        <v>244</v>
      </c>
    </row>
    <row r="96" spans="9:40" x14ac:dyDescent="0.45">
      <c r="I96" t="s">
        <v>175</v>
      </c>
      <c r="J96" t="s">
        <v>166</v>
      </c>
      <c r="K96">
        <v>7.807769423478857E-3</v>
      </c>
      <c r="L96" t="s">
        <v>165</v>
      </c>
      <c r="N96" t="s">
        <v>199</v>
      </c>
      <c r="O96" t="s">
        <v>166</v>
      </c>
      <c r="P96">
        <v>9.71505332829317E-3</v>
      </c>
      <c r="Q96" t="s">
        <v>165</v>
      </c>
      <c r="S96" t="s">
        <v>218</v>
      </c>
      <c r="T96" t="s">
        <v>166</v>
      </c>
      <c r="U96">
        <v>7.8023768880437182E-3</v>
      </c>
      <c r="V96" t="s">
        <v>165</v>
      </c>
      <c r="AK96">
        <v>2034</v>
      </c>
      <c r="AL96" t="s">
        <v>158</v>
      </c>
      <c r="AM96">
        <v>0.1487</v>
      </c>
      <c r="AN96" t="s">
        <v>244</v>
      </c>
    </row>
    <row r="97" spans="9:40" x14ac:dyDescent="0.45">
      <c r="I97" t="s">
        <v>175</v>
      </c>
      <c r="J97" t="s">
        <v>167</v>
      </c>
      <c r="K97">
        <v>9.536962093052935E-2</v>
      </c>
      <c r="L97" t="s">
        <v>165</v>
      </c>
      <c r="N97" t="s">
        <v>199</v>
      </c>
      <c r="O97" t="s">
        <v>167</v>
      </c>
      <c r="P97">
        <v>6.5723020949074284E-2</v>
      </c>
      <c r="Q97" t="s">
        <v>165</v>
      </c>
      <c r="S97" t="s">
        <v>218</v>
      </c>
      <c r="T97" t="s">
        <v>167</v>
      </c>
      <c r="U97">
        <v>5.5168568345377859E-2</v>
      </c>
      <c r="V97" t="s">
        <v>165</v>
      </c>
      <c r="AK97">
        <v>2034</v>
      </c>
      <c r="AL97" t="s">
        <v>160</v>
      </c>
      <c r="AM97">
        <v>0.30577500000000002</v>
      </c>
      <c r="AN97" t="s">
        <v>244</v>
      </c>
    </row>
    <row r="98" spans="9:40" x14ac:dyDescent="0.45">
      <c r="I98" t="s">
        <v>175</v>
      </c>
      <c r="J98" t="s">
        <v>253</v>
      </c>
      <c r="K98">
        <v>8.9697494253150531E-3</v>
      </c>
      <c r="L98" t="s">
        <v>165</v>
      </c>
      <c r="N98" t="s">
        <v>199</v>
      </c>
      <c r="O98" t="s">
        <v>253</v>
      </c>
      <c r="P98">
        <v>9.186573508627241E-3</v>
      </c>
      <c r="Q98" t="s">
        <v>165</v>
      </c>
      <c r="S98" t="s">
        <v>218</v>
      </c>
      <c r="T98" t="s">
        <v>253</v>
      </c>
      <c r="U98">
        <v>8.2908450032425016E-3</v>
      </c>
      <c r="V98" t="s">
        <v>165</v>
      </c>
      <c r="AK98">
        <v>2034</v>
      </c>
      <c r="AL98" t="s">
        <v>246</v>
      </c>
      <c r="AM98">
        <v>0.249</v>
      </c>
      <c r="AN98" t="s">
        <v>244</v>
      </c>
    </row>
    <row r="99" spans="9:40" x14ac:dyDescent="0.45">
      <c r="I99" t="s">
        <v>175</v>
      </c>
      <c r="J99" t="s">
        <v>254</v>
      </c>
      <c r="K99">
        <v>3.1007800652300579E-3</v>
      </c>
      <c r="L99" t="s">
        <v>165</v>
      </c>
      <c r="N99" t="s">
        <v>199</v>
      </c>
      <c r="O99" t="s">
        <v>254</v>
      </c>
      <c r="P99">
        <v>9.3848143362464387E-3</v>
      </c>
      <c r="Q99" t="s">
        <v>165</v>
      </c>
      <c r="S99" t="s">
        <v>218</v>
      </c>
      <c r="T99" t="s">
        <v>254</v>
      </c>
      <c r="U99">
        <v>8.4680758194141705E-3</v>
      </c>
      <c r="V99" t="s">
        <v>165</v>
      </c>
      <c r="AK99">
        <v>2034</v>
      </c>
      <c r="AL99" t="s">
        <v>248</v>
      </c>
      <c r="AM99">
        <v>0.19969999999999999</v>
      </c>
      <c r="AN99" t="s">
        <v>244</v>
      </c>
    </row>
    <row r="100" spans="9:40" x14ac:dyDescent="0.45">
      <c r="I100" t="s">
        <v>175</v>
      </c>
      <c r="J100" t="s">
        <v>255</v>
      </c>
      <c r="K100">
        <v>0</v>
      </c>
      <c r="L100" t="s">
        <v>165</v>
      </c>
      <c r="N100" t="s">
        <v>199</v>
      </c>
      <c r="O100" t="s">
        <v>255</v>
      </c>
      <c r="P100">
        <v>5.5659560062515698E-2</v>
      </c>
      <c r="Q100" t="s">
        <v>165</v>
      </c>
      <c r="S100" t="s">
        <v>218</v>
      </c>
      <c r="T100" t="s">
        <v>255</v>
      </c>
      <c r="U100">
        <v>5.4846349583123039E-2</v>
      </c>
      <c r="V100" t="s">
        <v>165</v>
      </c>
      <c r="AK100">
        <v>2034</v>
      </c>
      <c r="AL100" t="s">
        <v>250</v>
      </c>
      <c r="AM100">
        <v>0.2321</v>
      </c>
      <c r="AN100" t="s">
        <v>244</v>
      </c>
    </row>
    <row r="101" spans="9:40" x14ac:dyDescent="0.45">
      <c r="I101" t="s">
        <v>175</v>
      </c>
      <c r="J101" t="s">
        <v>168</v>
      </c>
      <c r="K101">
        <v>3.626805331830536E-3</v>
      </c>
      <c r="L101" t="s">
        <v>165</v>
      </c>
      <c r="N101" t="s">
        <v>199</v>
      </c>
      <c r="O101" t="s">
        <v>168</v>
      </c>
      <c r="P101">
        <v>4.217332539677348E-2</v>
      </c>
      <c r="Q101" t="s">
        <v>165</v>
      </c>
      <c r="S101" t="s">
        <v>218</v>
      </c>
      <c r="T101" t="s">
        <v>168</v>
      </c>
      <c r="U101">
        <v>5.0181547509914548E-2</v>
      </c>
      <c r="V101" t="s">
        <v>165</v>
      </c>
      <c r="AK101">
        <v>2034</v>
      </c>
      <c r="AL101" t="s">
        <v>252</v>
      </c>
      <c r="AM101">
        <v>0.2054</v>
      </c>
      <c r="AN101" t="s">
        <v>244</v>
      </c>
    </row>
    <row r="102" spans="9:40" x14ac:dyDescent="0.45">
      <c r="I102" t="s">
        <v>175</v>
      </c>
      <c r="J102" t="s">
        <v>169</v>
      </c>
      <c r="K102">
        <v>5.4789337677777746E-3</v>
      </c>
      <c r="L102" t="s">
        <v>165</v>
      </c>
      <c r="N102" t="s">
        <v>199</v>
      </c>
      <c r="O102" t="s">
        <v>169</v>
      </c>
      <c r="P102">
        <v>6.0812872942032454E-3</v>
      </c>
      <c r="Q102" t="s">
        <v>165</v>
      </c>
      <c r="S102" t="s">
        <v>218</v>
      </c>
      <c r="T102" t="s">
        <v>169</v>
      </c>
      <c r="U102">
        <v>5.3481080391058642E-3</v>
      </c>
      <c r="V102" t="s">
        <v>165</v>
      </c>
      <c r="AK102">
        <v>2035</v>
      </c>
      <c r="AL102" t="s">
        <v>154</v>
      </c>
      <c r="AM102">
        <v>0.17030000000000001</v>
      </c>
      <c r="AN102" t="s">
        <v>244</v>
      </c>
    </row>
    <row r="103" spans="9:40" x14ac:dyDescent="0.45">
      <c r="I103" t="s">
        <v>175</v>
      </c>
      <c r="J103" t="s">
        <v>170</v>
      </c>
      <c r="K103">
        <v>5.2280928015764186E-2</v>
      </c>
      <c r="L103" t="s">
        <v>165</v>
      </c>
      <c r="N103" t="s">
        <v>199</v>
      </c>
      <c r="O103" t="s">
        <v>170</v>
      </c>
      <c r="P103">
        <v>4.6627577591924443E-2</v>
      </c>
      <c r="Q103" t="s">
        <v>165</v>
      </c>
      <c r="S103" t="s">
        <v>218</v>
      </c>
      <c r="T103" t="s">
        <v>170</v>
      </c>
      <c r="U103">
        <v>3.398125929638688E-2</v>
      </c>
      <c r="V103" t="s">
        <v>165</v>
      </c>
      <c r="AK103">
        <v>2035</v>
      </c>
      <c r="AL103" t="s">
        <v>158</v>
      </c>
      <c r="AM103">
        <v>0.1547</v>
      </c>
      <c r="AN103" t="s">
        <v>244</v>
      </c>
    </row>
    <row r="104" spans="9:40" x14ac:dyDescent="0.45">
      <c r="I104" t="s">
        <v>175</v>
      </c>
      <c r="J104" t="s">
        <v>256</v>
      </c>
      <c r="K104">
        <v>6.279798840434515E-3</v>
      </c>
      <c r="L104" t="s">
        <v>165</v>
      </c>
      <c r="N104" t="s">
        <v>199</v>
      </c>
      <c r="O104" t="s">
        <v>256</v>
      </c>
      <c r="P104">
        <v>6.7153479195496283E-3</v>
      </c>
      <c r="Q104" t="s">
        <v>165</v>
      </c>
      <c r="S104" t="s">
        <v>218</v>
      </c>
      <c r="T104" t="s">
        <v>256</v>
      </c>
      <c r="U104">
        <v>5.4286745569912713E-3</v>
      </c>
      <c r="V104" t="s">
        <v>165</v>
      </c>
      <c r="AK104">
        <v>2035</v>
      </c>
      <c r="AL104" t="s">
        <v>160</v>
      </c>
      <c r="AM104">
        <v>0.2954</v>
      </c>
      <c r="AN104" t="s">
        <v>244</v>
      </c>
    </row>
    <row r="105" spans="9:40" x14ac:dyDescent="0.45">
      <c r="I105" t="s">
        <v>175</v>
      </c>
      <c r="J105" t="s">
        <v>257</v>
      </c>
      <c r="K105">
        <v>4.4068566337360175E-3</v>
      </c>
      <c r="L105" t="s">
        <v>165</v>
      </c>
      <c r="N105" t="s">
        <v>199</v>
      </c>
      <c r="O105" t="s">
        <v>257</v>
      </c>
      <c r="P105">
        <v>6.6140325545381079E-3</v>
      </c>
      <c r="Q105" t="s">
        <v>165</v>
      </c>
      <c r="S105" t="s">
        <v>218</v>
      </c>
      <c r="T105" t="s">
        <v>257</v>
      </c>
      <c r="U105">
        <v>5.7109377836858499E-3</v>
      </c>
      <c r="V105" t="s">
        <v>165</v>
      </c>
      <c r="AK105">
        <v>2035</v>
      </c>
      <c r="AL105" t="s">
        <v>246</v>
      </c>
      <c r="AM105">
        <v>0.24230000000000002</v>
      </c>
      <c r="AN105" t="s">
        <v>244</v>
      </c>
    </row>
    <row r="106" spans="9:40" x14ac:dyDescent="0.45">
      <c r="I106" t="s">
        <v>175</v>
      </c>
      <c r="J106" t="s">
        <v>258</v>
      </c>
      <c r="K106">
        <v>1.4072993739235955E-3</v>
      </c>
      <c r="L106" t="s">
        <v>165</v>
      </c>
      <c r="N106" t="s">
        <v>199</v>
      </c>
      <c r="O106" t="s">
        <v>258</v>
      </c>
      <c r="P106">
        <v>3.5239002921230569E-2</v>
      </c>
      <c r="Q106" t="s">
        <v>165</v>
      </c>
      <c r="S106" t="s">
        <v>218</v>
      </c>
      <c r="T106" t="s">
        <v>258</v>
      </c>
      <c r="U106">
        <v>3.7754729210198519E-2</v>
      </c>
      <c r="V106" t="s">
        <v>165</v>
      </c>
      <c r="AK106">
        <v>2035</v>
      </c>
      <c r="AL106" t="s">
        <v>248</v>
      </c>
      <c r="AM106">
        <v>0.1777</v>
      </c>
      <c r="AN106" t="s">
        <v>244</v>
      </c>
    </row>
    <row r="107" spans="9:40" x14ac:dyDescent="0.45">
      <c r="I107" t="s">
        <v>175</v>
      </c>
      <c r="J107" t="s">
        <v>171</v>
      </c>
      <c r="K107">
        <v>5.4584183178536257E-2</v>
      </c>
      <c r="L107" t="s">
        <v>165</v>
      </c>
      <c r="N107" t="s">
        <v>199</v>
      </c>
      <c r="O107" t="s">
        <v>171</v>
      </c>
      <c r="P107">
        <v>6.2570946701885163E-2</v>
      </c>
      <c r="Q107" t="s">
        <v>165</v>
      </c>
      <c r="S107" t="s">
        <v>218</v>
      </c>
      <c r="T107" t="s">
        <v>171</v>
      </c>
      <c r="U107">
        <v>0.10358011281640206</v>
      </c>
      <c r="V107" t="s">
        <v>165</v>
      </c>
      <c r="AK107">
        <v>2035</v>
      </c>
      <c r="AL107" t="s">
        <v>250</v>
      </c>
      <c r="AM107">
        <v>0.21990000000000001</v>
      </c>
      <c r="AN107" t="s">
        <v>244</v>
      </c>
    </row>
    <row r="108" spans="9:40" x14ac:dyDescent="0.45">
      <c r="I108" t="s">
        <v>175</v>
      </c>
      <c r="J108" t="s">
        <v>172</v>
      </c>
      <c r="K108">
        <v>3.5942551889346606E-2</v>
      </c>
      <c r="L108" t="s">
        <v>165</v>
      </c>
      <c r="N108" t="s">
        <v>199</v>
      </c>
      <c r="O108" t="s">
        <v>172</v>
      </c>
      <c r="P108">
        <v>8.0904587434757636E-3</v>
      </c>
      <c r="Q108" t="s">
        <v>165</v>
      </c>
      <c r="S108" t="s">
        <v>218</v>
      </c>
      <c r="T108" t="s">
        <v>172</v>
      </c>
      <c r="U108">
        <v>1.1230238407483195E-2</v>
      </c>
      <c r="V108" t="s">
        <v>165</v>
      </c>
      <c r="AK108">
        <v>2035</v>
      </c>
      <c r="AL108" t="s">
        <v>252</v>
      </c>
      <c r="AM108">
        <v>0.215</v>
      </c>
      <c r="AN108" t="s">
        <v>244</v>
      </c>
    </row>
    <row r="109" spans="9:40" x14ac:dyDescent="0.45">
      <c r="I109" t="s">
        <v>175</v>
      </c>
      <c r="J109" t="s">
        <v>173</v>
      </c>
      <c r="K109">
        <v>0.27676002792677934</v>
      </c>
      <c r="L109" t="s">
        <v>165</v>
      </c>
      <c r="N109" t="s">
        <v>199</v>
      </c>
      <c r="O109" t="s">
        <v>173</v>
      </c>
      <c r="P109">
        <v>6.7282465057460383E-2</v>
      </c>
      <c r="Q109" t="s">
        <v>165</v>
      </c>
      <c r="S109" t="s">
        <v>218</v>
      </c>
      <c r="T109" t="s">
        <v>173</v>
      </c>
      <c r="U109">
        <v>7.4829067595018478E-2</v>
      </c>
      <c r="V109" t="s">
        <v>165</v>
      </c>
      <c r="AK109">
        <v>2036</v>
      </c>
      <c r="AL109" t="s">
        <v>154</v>
      </c>
      <c r="AM109">
        <v>0.16935</v>
      </c>
      <c r="AN109" t="s">
        <v>244</v>
      </c>
    </row>
    <row r="110" spans="9:40" x14ac:dyDescent="0.45">
      <c r="I110" t="s">
        <v>175</v>
      </c>
      <c r="J110" t="s">
        <v>259</v>
      </c>
      <c r="K110">
        <v>2.9339746207952978E-2</v>
      </c>
      <c r="L110" t="s">
        <v>165</v>
      </c>
      <c r="N110" t="s">
        <v>199</v>
      </c>
      <c r="O110" t="s">
        <v>259</v>
      </c>
      <c r="P110">
        <v>1.2858579033417732E-2</v>
      </c>
      <c r="Q110" t="s">
        <v>165</v>
      </c>
      <c r="S110" t="s">
        <v>218</v>
      </c>
      <c r="T110" t="s">
        <v>259</v>
      </c>
      <c r="U110">
        <v>1.309270500502494E-2</v>
      </c>
      <c r="V110" t="s">
        <v>165</v>
      </c>
      <c r="AK110">
        <v>2036</v>
      </c>
      <c r="AL110" t="s">
        <v>158</v>
      </c>
      <c r="AM110">
        <v>0.17580000000000001</v>
      </c>
      <c r="AN110" t="s">
        <v>244</v>
      </c>
    </row>
    <row r="111" spans="9:40" x14ac:dyDescent="0.45">
      <c r="I111" t="s">
        <v>175</v>
      </c>
      <c r="J111" t="s">
        <v>260</v>
      </c>
      <c r="K111">
        <v>2.3629364616406644E-2</v>
      </c>
      <c r="L111" t="s">
        <v>165</v>
      </c>
      <c r="N111" t="s">
        <v>199</v>
      </c>
      <c r="O111" t="s">
        <v>260</v>
      </c>
      <c r="P111">
        <v>1.2448167379723891E-2</v>
      </c>
      <c r="Q111" t="s">
        <v>165</v>
      </c>
      <c r="S111" t="s">
        <v>218</v>
      </c>
      <c r="T111" t="s">
        <v>260</v>
      </c>
      <c r="U111">
        <v>1.364922942031767E-2</v>
      </c>
      <c r="V111" t="s">
        <v>165</v>
      </c>
      <c r="AK111">
        <v>2036</v>
      </c>
      <c r="AL111" t="s">
        <v>160</v>
      </c>
      <c r="AM111">
        <v>0.28847499999999998</v>
      </c>
      <c r="AN111" t="s">
        <v>244</v>
      </c>
    </row>
    <row r="112" spans="9:40" x14ac:dyDescent="0.45">
      <c r="I112" t="s">
        <v>175</v>
      </c>
      <c r="J112" t="s">
        <v>261</v>
      </c>
      <c r="K112">
        <v>2.1952527311224504E-2</v>
      </c>
      <c r="L112" t="s">
        <v>165</v>
      </c>
      <c r="N112" t="s">
        <v>199</v>
      </c>
      <c r="O112" t="s">
        <v>261</v>
      </c>
      <c r="P112">
        <v>5.8122770507335178E-2</v>
      </c>
      <c r="Q112" t="s">
        <v>165</v>
      </c>
      <c r="S112" t="s">
        <v>218</v>
      </c>
      <c r="T112" t="s">
        <v>261</v>
      </c>
      <c r="U112">
        <v>8.2504677631016279E-2</v>
      </c>
      <c r="V112" t="s">
        <v>165</v>
      </c>
      <c r="AK112">
        <v>2036</v>
      </c>
      <c r="AL112" t="s">
        <v>246</v>
      </c>
      <c r="AM112">
        <v>0.22860000000000003</v>
      </c>
      <c r="AN112" t="s">
        <v>244</v>
      </c>
    </row>
    <row r="113" spans="9:40" x14ac:dyDescent="0.45">
      <c r="I113" t="s">
        <v>175</v>
      </c>
      <c r="J113" t="s">
        <v>262</v>
      </c>
      <c r="K113">
        <v>2.0537932221571405E-2</v>
      </c>
      <c r="L113" t="s">
        <v>165</v>
      </c>
      <c r="N113" t="s">
        <v>199</v>
      </c>
      <c r="O113" t="s">
        <v>262</v>
      </c>
      <c r="P113">
        <v>3.0027871690420208E-2</v>
      </c>
      <c r="Q113" t="s">
        <v>165</v>
      </c>
      <c r="S113" t="s">
        <v>218</v>
      </c>
      <c r="T113" t="s">
        <v>262</v>
      </c>
      <c r="U113">
        <v>4.3357778157022478E-2</v>
      </c>
      <c r="V113" t="s">
        <v>165</v>
      </c>
      <c r="AK113">
        <v>2036</v>
      </c>
      <c r="AL113" t="s">
        <v>248</v>
      </c>
      <c r="AM113">
        <v>0.18090000000000001</v>
      </c>
      <c r="AN113" t="s">
        <v>244</v>
      </c>
    </row>
    <row r="114" spans="9:40" x14ac:dyDescent="0.45">
      <c r="I114" t="s">
        <v>175</v>
      </c>
      <c r="J114" t="s">
        <v>263</v>
      </c>
      <c r="K114">
        <v>1.7116612517579111E-2</v>
      </c>
      <c r="L114" t="s">
        <v>165</v>
      </c>
      <c r="N114" t="s">
        <v>199</v>
      </c>
      <c r="O114" t="s">
        <v>263</v>
      </c>
      <c r="P114">
        <v>3.3820018215274042E-3</v>
      </c>
      <c r="Q114" t="s">
        <v>165</v>
      </c>
      <c r="S114" t="s">
        <v>218</v>
      </c>
      <c r="T114" t="s">
        <v>263</v>
      </c>
      <c r="U114">
        <v>4.2807326836152865E-3</v>
      </c>
      <c r="V114" t="s">
        <v>165</v>
      </c>
      <c r="AK114">
        <v>2036</v>
      </c>
      <c r="AL114" t="s">
        <v>250</v>
      </c>
      <c r="AM114">
        <v>0.20899999999999999</v>
      </c>
      <c r="AN114" t="s">
        <v>244</v>
      </c>
    </row>
    <row r="115" spans="9:40" x14ac:dyDescent="0.45">
      <c r="I115" t="s">
        <v>175</v>
      </c>
      <c r="J115" t="s">
        <v>264</v>
      </c>
      <c r="K115">
        <v>0.13723898330628101</v>
      </c>
      <c r="L115" t="s">
        <v>165</v>
      </c>
      <c r="N115" t="s">
        <v>199</v>
      </c>
      <c r="O115" t="s">
        <v>264</v>
      </c>
      <c r="P115">
        <v>2.6841141722972372E-2</v>
      </c>
      <c r="Q115" t="s">
        <v>165</v>
      </c>
      <c r="S115" t="s">
        <v>218</v>
      </c>
      <c r="T115" t="s">
        <v>264</v>
      </c>
      <c r="U115">
        <v>2.5811338848984018E-2</v>
      </c>
      <c r="V115" t="s">
        <v>165</v>
      </c>
      <c r="AK115">
        <v>2036</v>
      </c>
      <c r="AL115" t="s">
        <v>252</v>
      </c>
      <c r="AM115">
        <v>0.21110000000000001</v>
      </c>
      <c r="AN115" t="s">
        <v>244</v>
      </c>
    </row>
    <row r="116" spans="9:40" x14ac:dyDescent="0.45">
      <c r="I116" t="s">
        <v>175</v>
      </c>
      <c r="J116" t="s">
        <v>265</v>
      </c>
      <c r="K116">
        <v>1.5685936760027566E-2</v>
      </c>
      <c r="L116" t="s">
        <v>165</v>
      </c>
      <c r="N116" t="s">
        <v>199</v>
      </c>
      <c r="O116" t="s">
        <v>265</v>
      </c>
      <c r="P116">
        <v>5.6351707632404449E-3</v>
      </c>
      <c r="Q116" t="s">
        <v>165</v>
      </c>
      <c r="S116" t="s">
        <v>218</v>
      </c>
      <c r="T116" t="s">
        <v>265</v>
      </c>
      <c r="U116">
        <v>4.740593373497963E-3</v>
      </c>
      <c r="V116" t="s">
        <v>165</v>
      </c>
      <c r="AK116">
        <v>2037</v>
      </c>
      <c r="AL116" t="s">
        <v>154</v>
      </c>
      <c r="AM116">
        <v>0.17059999999999997</v>
      </c>
      <c r="AN116" t="s">
        <v>244</v>
      </c>
    </row>
    <row r="117" spans="9:40" x14ac:dyDescent="0.45">
      <c r="I117" t="s">
        <v>175</v>
      </c>
      <c r="J117" t="s">
        <v>266</v>
      </c>
      <c r="K117">
        <v>1.171039766509477E-2</v>
      </c>
      <c r="L117" t="s">
        <v>165</v>
      </c>
      <c r="N117" t="s">
        <v>199</v>
      </c>
      <c r="O117" t="s">
        <v>266</v>
      </c>
      <c r="P117">
        <v>5.4321529120797459E-3</v>
      </c>
      <c r="Q117" t="s">
        <v>165</v>
      </c>
      <c r="S117" t="s">
        <v>218</v>
      </c>
      <c r="T117" t="s">
        <v>266</v>
      </c>
      <c r="U117">
        <v>4.8938677805137809E-3</v>
      </c>
      <c r="V117" t="s">
        <v>165</v>
      </c>
      <c r="AK117">
        <v>2037</v>
      </c>
      <c r="AL117" t="s">
        <v>158</v>
      </c>
      <c r="AM117">
        <v>0.1696</v>
      </c>
      <c r="AN117" t="s">
        <v>244</v>
      </c>
    </row>
    <row r="118" spans="9:40" x14ac:dyDescent="0.45">
      <c r="I118" t="s">
        <v>175</v>
      </c>
      <c r="J118" t="s">
        <v>267</v>
      </c>
      <c r="K118">
        <v>6.877543464031635E-3</v>
      </c>
      <c r="L118" t="s">
        <v>165</v>
      </c>
      <c r="N118" t="s">
        <v>199</v>
      </c>
      <c r="O118" t="s">
        <v>267</v>
      </c>
      <c r="P118">
        <v>2.3203618443337556E-2</v>
      </c>
      <c r="Q118" t="s">
        <v>165</v>
      </c>
      <c r="S118" t="s">
        <v>218</v>
      </c>
      <c r="T118" t="s">
        <v>267</v>
      </c>
      <c r="U118">
        <v>2.9849269180378942E-2</v>
      </c>
      <c r="V118" t="s">
        <v>165</v>
      </c>
      <c r="AK118">
        <v>2037</v>
      </c>
      <c r="AL118" t="s">
        <v>160</v>
      </c>
      <c r="AM118">
        <v>0.29982500000000001</v>
      </c>
      <c r="AN118" t="s">
        <v>244</v>
      </c>
    </row>
    <row r="119" spans="9:40" x14ac:dyDescent="0.45">
      <c r="I119" t="s">
        <v>175</v>
      </c>
      <c r="J119" t="s">
        <v>268</v>
      </c>
      <c r="K119">
        <v>2.8718465425284076E-3</v>
      </c>
      <c r="L119" t="s">
        <v>165</v>
      </c>
      <c r="N119" t="s">
        <v>199</v>
      </c>
      <c r="O119" t="s">
        <v>268</v>
      </c>
      <c r="P119">
        <v>2.4795460836988709E-2</v>
      </c>
      <c r="Q119" t="s">
        <v>165</v>
      </c>
      <c r="S119" t="s">
        <v>218</v>
      </c>
      <c r="T119" t="s">
        <v>268</v>
      </c>
      <c r="U119">
        <v>2.3222084204068415E-2</v>
      </c>
      <c r="V119" t="s">
        <v>165</v>
      </c>
      <c r="AK119">
        <v>2037</v>
      </c>
      <c r="AL119" t="s">
        <v>246</v>
      </c>
      <c r="AM119">
        <v>0.23549999999999999</v>
      </c>
      <c r="AN119" t="s">
        <v>244</v>
      </c>
    </row>
    <row r="120" spans="9:40" x14ac:dyDescent="0.45">
      <c r="I120" t="s">
        <v>175</v>
      </c>
      <c r="J120" t="s">
        <v>269</v>
      </c>
      <c r="K120">
        <v>5.016768374986642E-3</v>
      </c>
      <c r="L120" t="s">
        <v>165</v>
      </c>
      <c r="N120" t="s">
        <v>199</v>
      </c>
      <c r="O120" t="s">
        <v>269</v>
      </c>
      <c r="P120">
        <v>3.1465830672971731E-3</v>
      </c>
      <c r="Q120" t="s">
        <v>165</v>
      </c>
      <c r="S120" t="s">
        <v>218</v>
      </c>
      <c r="T120" t="s">
        <v>269</v>
      </c>
      <c r="U120">
        <v>2.775810546069232E-3</v>
      </c>
      <c r="V120" t="s">
        <v>165</v>
      </c>
      <c r="AK120">
        <v>2037</v>
      </c>
      <c r="AL120" t="s">
        <v>248</v>
      </c>
      <c r="AM120">
        <v>0.18920000000000001</v>
      </c>
      <c r="AN120" t="s">
        <v>244</v>
      </c>
    </row>
    <row r="121" spans="9:40" x14ac:dyDescent="0.45">
      <c r="I121" t="s">
        <v>175</v>
      </c>
      <c r="J121" t="s">
        <v>270</v>
      </c>
      <c r="K121">
        <v>4.5440881918716813E-2</v>
      </c>
      <c r="L121" t="s">
        <v>165</v>
      </c>
      <c r="N121" t="s">
        <v>199</v>
      </c>
      <c r="O121" t="s">
        <v>270</v>
      </c>
      <c r="P121">
        <v>2.142320812383236E-2</v>
      </c>
      <c r="Q121" t="s">
        <v>165</v>
      </c>
      <c r="S121" t="s">
        <v>218</v>
      </c>
      <c r="T121" t="s">
        <v>270</v>
      </c>
      <c r="U121">
        <v>1.8812836614547142E-2</v>
      </c>
      <c r="V121" t="s">
        <v>165</v>
      </c>
      <c r="AK121">
        <v>2037</v>
      </c>
      <c r="AL121" t="s">
        <v>250</v>
      </c>
      <c r="AM121">
        <v>0.2432</v>
      </c>
      <c r="AN121" t="s">
        <v>244</v>
      </c>
    </row>
    <row r="122" spans="9:40" x14ac:dyDescent="0.45">
      <c r="I122" t="s">
        <v>175</v>
      </c>
      <c r="J122" t="s">
        <v>271</v>
      </c>
      <c r="K122">
        <v>3.8849925257647315E-3</v>
      </c>
      <c r="L122" t="s">
        <v>165</v>
      </c>
      <c r="N122" t="s">
        <v>199</v>
      </c>
      <c r="O122" t="s">
        <v>271</v>
      </c>
      <c r="P122">
        <v>2.716318647271693E-3</v>
      </c>
      <c r="Q122" t="s">
        <v>165</v>
      </c>
      <c r="S122" t="s">
        <v>218</v>
      </c>
      <c r="T122" t="s">
        <v>271</v>
      </c>
      <c r="U122">
        <v>3.5524802040926072E-3</v>
      </c>
      <c r="V122" t="s">
        <v>165</v>
      </c>
      <c r="AK122">
        <v>2037</v>
      </c>
      <c r="AL122" t="s">
        <v>252</v>
      </c>
      <c r="AM122">
        <v>0.20899999999999999</v>
      </c>
      <c r="AN122" t="s">
        <v>244</v>
      </c>
    </row>
    <row r="123" spans="9:40" x14ac:dyDescent="0.45">
      <c r="I123" t="s">
        <v>175</v>
      </c>
      <c r="J123" t="s">
        <v>272</v>
      </c>
      <c r="K123">
        <v>1.6120557994139882E-3</v>
      </c>
      <c r="L123" t="s">
        <v>165</v>
      </c>
      <c r="N123" t="s">
        <v>199</v>
      </c>
      <c r="O123" t="s">
        <v>272</v>
      </c>
      <c r="P123">
        <v>2.7630074391317237E-3</v>
      </c>
      <c r="Q123" t="s">
        <v>165</v>
      </c>
      <c r="S123" t="s">
        <v>218</v>
      </c>
      <c r="T123" t="s">
        <v>272</v>
      </c>
      <c r="U123">
        <v>3.7844696127478394E-3</v>
      </c>
      <c r="V123" t="s">
        <v>165</v>
      </c>
      <c r="AK123">
        <v>2038</v>
      </c>
      <c r="AL123" t="s">
        <v>154</v>
      </c>
      <c r="AM123">
        <v>0.1691</v>
      </c>
      <c r="AN123" t="s">
        <v>244</v>
      </c>
    </row>
    <row r="124" spans="9:40" x14ac:dyDescent="0.45">
      <c r="I124" t="s">
        <v>175</v>
      </c>
      <c r="J124" t="s">
        <v>273</v>
      </c>
      <c r="K124">
        <v>0</v>
      </c>
      <c r="L124" t="s">
        <v>165</v>
      </c>
      <c r="N124" t="s">
        <v>199</v>
      </c>
      <c r="O124" t="s">
        <v>273</v>
      </c>
      <c r="P124">
        <v>1.7716770021137099E-2</v>
      </c>
      <c r="Q124" t="s">
        <v>165</v>
      </c>
      <c r="S124" t="s">
        <v>218</v>
      </c>
      <c r="T124" t="s">
        <v>273</v>
      </c>
      <c r="U124">
        <v>2.1496327654013853E-2</v>
      </c>
      <c r="V124" t="s">
        <v>165</v>
      </c>
      <c r="AK124">
        <v>2038</v>
      </c>
      <c r="AL124" t="s">
        <v>158</v>
      </c>
      <c r="AM124">
        <v>0.1714</v>
      </c>
      <c r="AN124" t="s">
        <v>244</v>
      </c>
    </row>
    <row r="125" spans="9:40" x14ac:dyDescent="0.45">
      <c r="I125" t="s">
        <v>175</v>
      </c>
      <c r="J125" t="s">
        <v>274</v>
      </c>
      <c r="K125">
        <v>1.0467409699000351E-3</v>
      </c>
      <c r="L125" t="s">
        <v>165</v>
      </c>
      <c r="N125" t="s">
        <v>199</v>
      </c>
      <c r="O125" t="s">
        <v>274</v>
      </c>
      <c r="P125">
        <v>4.9332572224595556E-2</v>
      </c>
      <c r="Q125" t="s">
        <v>165</v>
      </c>
      <c r="S125" t="s">
        <v>218</v>
      </c>
      <c r="T125" t="s">
        <v>274</v>
      </c>
      <c r="U125">
        <v>3.3669838578157696E-2</v>
      </c>
      <c r="V125" t="s">
        <v>165</v>
      </c>
      <c r="AK125">
        <v>2038</v>
      </c>
      <c r="AL125" t="s">
        <v>160</v>
      </c>
      <c r="AM125">
        <v>0.29279999999999995</v>
      </c>
      <c r="AN125" t="s">
        <v>244</v>
      </c>
    </row>
    <row r="126" spans="9:40" x14ac:dyDescent="0.45">
      <c r="I126" t="s">
        <v>175</v>
      </c>
      <c r="J126" t="s">
        <v>275</v>
      </c>
      <c r="K126">
        <v>3.9236061687244247E-3</v>
      </c>
      <c r="L126" t="s">
        <v>165</v>
      </c>
      <c r="N126" t="s">
        <v>199</v>
      </c>
      <c r="O126" t="s">
        <v>275</v>
      </c>
      <c r="P126">
        <v>5.9263119080700654E-3</v>
      </c>
      <c r="Q126" t="s">
        <v>165</v>
      </c>
      <c r="S126" t="s">
        <v>218</v>
      </c>
      <c r="T126" t="s">
        <v>275</v>
      </c>
      <c r="U126">
        <v>4.5044437843729515E-3</v>
      </c>
      <c r="V126" t="s">
        <v>165</v>
      </c>
      <c r="AK126">
        <v>2038</v>
      </c>
      <c r="AL126" t="s">
        <v>246</v>
      </c>
      <c r="AM126">
        <v>0.23580000000000001</v>
      </c>
      <c r="AN126" t="s">
        <v>244</v>
      </c>
    </row>
    <row r="127" spans="9:40" x14ac:dyDescent="0.45">
      <c r="I127" t="s">
        <v>175</v>
      </c>
      <c r="J127" t="s">
        <v>276</v>
      </c>
      <c r="K127">
        <v>4.318039250865139E-2</v>
      </c>
      <c r="L127" t="s">
        <v>165</v>
      </c>
      <c r="N127" t="s">
        <v>199</v>
      </c>
      <c r="O127" t="s">
        <v>276</v>
      </c>
      <c r="P127">
        <v>4.4348368603719032E-2</v>
      </c>
      <c r="Q127" t="s">
        <v>165</v>
      </c>
      <c r="S127" t="s">
        <v>218</v>
      </c>
      <c r="T127" t="s">
        <v>276</v>
      </c>
      <c r="U127">
        <v>3.0402873106261337E-2</v>
      </c>
      <c r="V127" t="s">
        <v>165</v>
      </c>
      <c r="AK127">
        <v>2038</v>
      </c>
      <c r="AL127" t="s">
        <v>248</v>
      </c>
      <c r="AM127">
        <v>0.17380000000000001</v>
      </c>
      <c r="AN127" t="s">
        <v>244</v>
      </c>
    </row>
    <row r="128" spans="9:40" x14ac:dyDescent="0.45">
      <c r="I128" t="s">
        <v>175</v>
      </c>
      <c r="J128" t="s">
        <v>277</v>
      </c>
      <c r="K128">
        <v>3.1972398748485011E-3</v>
      </c>
      <c r="L128" t="s">
        <v>165</v>
      </c>
      <c r="N128" t="s">
        <v>199</v>
      </c>
      <c r="O128" t="s">
        <v>277</v>
      </c>
      <c r="P128">
        <v>7.021555486878819E-3</v>
      </c>
      <c r="Q128" t="s">
        <v>165</v>
      </c>
      <c r="S128" t="s">
        <v>218</v>
      </c>
      <c r="T128" t="s">
        <v>277</v>
      </c>
      <c r="U128">
        <v>4.3020103411464082E-3</v>
      </c>
      <c r="V128" t="s">
        <v>165</v>
      </c>
      <c r="AK128">
        <v>2038</v>
      </c>
      <c r="AL128" t="s">
        <v>250</v>
      </c>
      <c r="AM128">
        <v>0.2364</v>
      </c>
      <c r="AN128" t="s">
        <v>244</v>
      </c>
    </row>
    <row r="129" spans="9:40" x14ac:dyDescent="0.45">
      <c r="I129" t="s">
        <v>175</v>
      </c>
      <c r="J129" t="s">
        <v>278</v>
      </c>
      <c r="K129">
        <v>0</v>
      </c>
      <c r="L129" t="s">
        <v>165</v>
      </c>
      <c r="N129" t="s">
        <v>199</v>
      </c>
      <c r="O129" t="s">
        <v>278</v>
      </c>
      <c r="P129">
        <v>7.2716637447480439E-3</v>
      </c>
      <c r="Q129" t="s">
        <v>165</v>
      </c>
      <c r="S129" t="s">
        <v>218</v>
      </c>
      <c r="T129" t="s">
        <v>278</v>
      </c>
      <c r="U129">
        <v>4.4283549212467254E-3</v>
      </c>
      <c r="V129" t="s">
        <v>165</v>
      </c>
      <c r="AK129">
        <v>2038</v>
      </c>
      <c r="AL129" t="s">
        <v>252</v>
      </c>
      <c r="AM129">
        <v>0.216</v>
      </c>
      <c r="AN129" t="s">
        <v>244</v>
      </c>
    </row>
    <row r="130" spans="9:40" x14ac:dyDescent="0.45">
      <c r="I130" t="s">
        <v>175</v>
      </c>
      <c r="J130" t="s">
        <v>279</v>
      </c>
      <c r="K130">
        <v>0</v>
      </c>
      <c r="L130" t="s">
        <v>165</v>
      </c>
      <c r="N130" t="s">
        <v>199</v>
      </c>
      <c r="O130" t="s">
        <v>279</v>
      </c>
      <c r="P130">
        <v>4.401246919549779E-2</v>
      </c>
      <c r="Q130" t="s">
        <v>165</v>
      </c>
      <c r="S130" t="s">
        <v>218</v>
      </c>
      <c r="T130" t="s">
        <v>279</v>
      </c>
      <c r="U130">
        <v>2.6960802751518947E-2</v>
      </c>
      <c r="V130" t="s">
        <v>165</v>
      </c>
      <c r="AK130">
        <v>2039</v>
      </c>
      <c r="AL130" t="s">
        <v>154</v>
      </c>
      <c r="AM130">
        <v>0.17665</v>
      </c>
      <c r="AN130" t="s">
        <v>244</v>
      </c>
    </row>
    <row r="131" spans="9:40" x14ac:dyDescent="0.45">
      <c r="I131" t="s">
        <v>175</v>
      </c>
      <c r="J131" t="s">
        <v>280</v>
      </c>
      <c r="K131">
        <v>0</v>
      </c>
      <c r="L131" t="s">
        <v>165</v>
      </c>
      <c r="N131" t="s">
        <v>199</v>
      </c>
      <c r="O131" t="s">
        <v>280</v>
      </c>
      <c r="P131">
        <v>3.3396425205494892E-2</v>
      </c>
      <c r="Q131" t="s">
        <v>165</v>
      </c>
      <c r="S131" t="s">
        <v>218</v>
      </c>
      <c r="T131" t="s">
        <v>280</v>
      </c>
      <c r="U131">
        <v>2.3887359403152082E-2</v>
      </c>
      <c r="V131" t="s">
        <v>165</v>
      </c>
      <c r="AK131">
        <v>2039</v>
      </c>
      <c r="AL131" t="s">
        <v>158</v>
      </c>
      <c r="AM131">
        <v>0.15179999999999999</v>
      </c>
      <c r="AN131" t="s">
        <v>244</v>
      </c>
    </row>
    <row r="132" spans="9:40" x14ac:dyDescent="0.45">
      <c r="I132" t="s">
        <v>175</v>
      </c>
      <c r="J132" t="s">
        <v>281</v>
      </c>
      <c r="K132">
        <v>3.4576674149165631E-3</v>
      </c>
      <c r="L132" t="s">
        <v>165</v>
      </c>
      <c r="N132" t="s">
        <v>199</v>
      </c>
      <c r="O132" t="s">
        <v>281</v>
      </c>
      <c r="P132">
        <v>4.1101950672917682E-3</v>
      </c>
      <c r="Q132" t="s">
        <v>165</v>
      </c>
      <c r="S132" t="s">
        <v>218</v>
      </c>
      <c r="T132" t="s">
        <v>281</v>
      </c>
      <c r="U132">
        <v>3.027971291937737E-3</v>
      </c>
      <c r="V132" t="s">
        <v>165</v>
      </c>
      <c r="AK132">
        <v>2039</v>
      </c>
      <c r="AL132" t="s">
        <v>160</v>
      </c>
      <c r="AM132">
        <v>0.29147500000000004</v>
      </c>
      <c r="AN132" t="s">
        <v>244</v>
      </c>
    </row>
    <row r="133" spans="9:40" x14ac:dyDescent="0.45">
      <c r="I133" t="s">
        <v>175</v>
      </c>
      <c r="J133" t="s">
        <v>282</v>
      </c>
      <c r="K133">
        <v>4.2493400607234923E-2</v>
      </c>
      <c r="L133" t="s">
        <v>165</v>
      </c>
      <c r="N133" t="s">
        <v>199</v>
      </c>
      <c r="O133" t="s">
        <v>282</v>
      </c>
      <c r="P133">
        <v>2.3580617562199424E-2</v>
      </c>
      <c r="Q133" t="s">
        <v>165</v>
      </c>
      <c r="S133" t="s">
        <v>218</v>
      </c>
      <c r="T133" t="s">
        <v>282</v>
      </c>
      <c r="U133">
        <v>2.0214701944756022E-2</v>
      </c>
      <c r="V133" t="s">
        <v>165</v>
      </c>
      <c r="AK133">
        <v>2039</v>
      </c>
      <c r="AL133" t="s">
        <v>246</v>
      </c>
      <c r="AM133">
        <v>0.21760000000000002</v>
      </c>
      <c r="AN133" t="s">
        <v>244</v>
      </c>
    </row>
    <row r="134" spans="9:40" x14ac:dyDescent="0.45">
      <c r="I134" t="s">
        <v>175</v>
      </c>
      <c r="J134" t="s">
        <v>283</v>
      </c>
      <c r="K134">
        <v>3.3081271310766909E-3</v>
      </c>
      <c r="L134" t="s">
        <v>165</v>
      </c>
      <c r="N134" t="s">
        <v>199</v>
      </c>
      <c r="O134" t="s">
        <v>283</v>
      </c>
      <c r="P134">
        <v>3.1320267374508109E-3</v>
      </c>
      <c r="Q134" t="s">
        <v>165</v>
      </c>
      <c r="S134" t="s">
        <v>218</v>
      </c>
      <c r="T134" t="s">
        <v>283</v>
      </c>
      <c r="U134">
        <v>2.8677415958262295E-3</v>
      </c>
      <c r="V134" t="s">
        <v>165</v>
      </c>
      <c r="AK134">
        <v>2039</v>
      </c>
      <c r="AL134" t="s">
        <v>248</v>
      </c>
      <c r="AM134">
        <v>0.19620000000000001</v>
      </c>
      <c r="AN134" t="s">
        <v>244</v>
      </c>
    </row>
    <row r="135" spans="9:40" x14ac:dyDescent="0.45">
      <c r="I135" t="s">
        <v>175</v>
      </c>
      <c r="J135" t="s">
        <v>284</v>
      </c>
      <c r="K135">
        <v>0</v>
      </c>
      <c r="L135" t="s">
        <v>165</v>
      </c>
      <c r="N135" t="s">
        <v>199</v>
      </c>
      <c r="O135" t="s">
        <v>284</v>
      </c>
      <c r="P135">
        <v>3.222525398084106E-3</v>
      </c>
      <c r="Q135" t="s">
        <v>165</v>
      </c>
      <c r="S135" t="s">
        <v>218</v>
      </c>
      <c r="T135" t="s">
        <v>284</v>
      </c>
      <c r="U135">
        <v>2.8465005199112495E-3</v>
      </c>
      <c r="V135" t="s">
        <v>165</v>
      </c>
      <c r="AK135">
        <v>2039</v>
      </c>
      <c r="AL135" t="s">
        <v>250</v>
      </c>
      <c r="AM135">
        <v>0.22159999999999999</v>
      </c>
      <c r="AN135" t="s">
        <v>244</v>
      </c>
    </row>
    <row r="136" spans="9:40" x14ac:dyDescent="0.45">
      <c r="I136" t="s">
        <v>175</v>
      </c>
      <c r="J136" t="s">
        <v>285</v>
      </c>
      <c r="K136">
        <v>0</v>
      </c>
      <c r="L136" t="s">
        <v>165</v>
      </c>
      <c r="N136" t="s">
        <v>199</v>
      </c>
      <c r="O136" t="s">
        <v>285</v>
      </c>
      <c r="P136">
        <v>2.0767062548969827E-2</v>
      </c>
      <c r="Q136" t="s">
        <v>165</v>
      </c>
      <c r="S136" t="s">
        <v>218</v>
      </c>
      <c r="T136" t="s">
        <v>285</v>
      </c>
      <c r="U136">
        <v>1.5634952026991611E-2</v>
      </c>
      <c r="V136" t="s">
        <v>165</v>
      </c>
      <c r="AK136">
        <v>2039</v>
      </c>
      <c r="AL136" t="s">
        <v>252</v>
      </c>
      <c r="AM136">
        <v>0.19120000000000001</v>
      </c>
      <c r="AN136" t="s">
        <v>244</v>
      </c>
    </row>
    <row r="137" spans="9:40" x14ac:dyDescent="0.45">
      <c r="I137" t="s">
        <v>176</v>
      </c>
      <c r="J137" t="s">
        <v>164</v>
      </c>
      <c r="K137">
        <v>3.9093585086758496E-4</v>
      </c>
      <c r="L137" t="s">
        <v>165</v>
      </c>
      <c r="N137" t="s">
        <v>200</v>
      </c>
      <c r="O137" t="s">
        <v>164</v>
      </c>
      <c r="P137">
        <v>6.4789300129669547E-2</v>
      </c>
      <c r="Q137" t="s">
        <v>165</v>
      </c>
      <c r="S137" t="s">
        <v>219</v>
      </c>
      <c r="T137" t="s">
        <v>164</v>
      </c>
      <c r="U137">
        <v>7.9851046767151573E-2</v>
      </c>
      <c r="V137" t="s">
        <v>165</v>
      </c>
      <c r="AK137">
        <v>2040</v>
      </c>
      <c r="AL137" t="s">
        <v>154</v>
      </c>
      <c r="AM137">
        <v>0.16744999999999999</v>
      </c>
      <c r="AN137" t="s">
        <v>244</v>
      </c>
    </row>
    <row r="138" spans="9:40" x14ac:dyDescent="0.45">
      <c r="I138" t="s">
        <v>176</v>
      </c>
      <c r="J138" t="s">
        <v>166</v>
      </c>
      <c r="K138">
        <v>7.9019404930254621E-3</v>
      </c>
      <c r="L138" t="s">
        <v>165</v>
      </c>
      <c r="N138" t="s">
        <v>200</v>
      </c>
      <c r="O138" t="s">
        <v>166</v>
      </c>
      <c r="P138">
        <v>8.086110532589029E-3</v>
      </c>
      <c r="Q138" t="s">
        <v>165</v>
      </c>
      <c r="S138" t="s">
        <v>219</v>
      </c>
      <c r="T138" t="s">
        <v>166</v>
      </c>
      <c r="U138">
        <v>9.5359743346776077E-3</v>
      </c>
      <c r="V138" t="s">
        <v>165</v>
      </c>
      <c r="AK138">
        <v>2040</v>
      </c>
      <c r="AL138" t="s">
        <v>158</v>
      </c>
      <c r="AM138">
        <v>0.1701</v>
      </c>
      <c r="AN138" t="s">
        <v>244</v>
      </c>
    </row>
    <row r="139" spans="9:40" x14ac:dyDescent="0.45">
      <c r="I139" t="s">
        <v>176</v>
      </c>
      <c r="J139" t="s">
        <v>167</v>
      </c>
      <c r="K139">
        <v>0.10332412484534023</v>
      </c>
      <c r="L139" t="s">
        <v>165</v>
      </c>
      <c r="N139" t="s">
        <v>200</v>
      </c>
      <c r="O139" t="s">
        <v>167</v>
      </c>
      <c r="P139">
        <v>5.5391645642613986E-2</v>
      </c>
      <c r="Q139" t="s">
        <v>165</v>
      </c>
      <c r="S139" t="s">
        <v>219</v>
      </c>
      <c r="T139" t="s">
        <v>167</v>
      </c>
      <c r="U139">
        <v>7.0885911969329848E-2</v>
      </c>
      <c r="V139" t="s">
        <v>165</v>
      </c>
      <c r="AK139">
        <v>2040</v>
      </c>
      <c r="AL139" t="s">
        <v>160</v>
      </c>
      <c r="AM139">
        <v>0.28769999999999996</v>
      </c>
      <c r="AN139" t="s">
        <v>244</v>
      </c>
    </row>
    <row r="140" spans="9:40" x14ac:dyDescent="0.45">
      <c r="I140" t="s">
        <v>176</v>
      </c>
      <c r="J140" t="s">
        <v>253</v>
      </c>
      <c r="K140">
        <v>9.6283789528359906E-3</v>
      </c>
      <c r="L140" t="s">
        <v>165</v>
      </c>
      <c r="N140" t="s">
        <v>200</v>
      </c>
      <c r="O140" t="s">
        <v>253</v>
      </c>
      <c r="P140">
        <v>8.7936370823239463E-3</v>
      </c>
      <c r="Q140" t="s">
        <v>165</v>
      </c>
      <c r="S140" t="s">
        <v>219</v>
      </c>
      <c r="T140" t="s">
        <v>253</v>
      </c>
      <c r="U140">
        <v>1.1349838774513071E-2</v>
      </c>
      <c r="V140" t="s">
        <v>165</v>
      </c>
      <c r="AK140">
        <v>2040</v>
      </c>
      <c r="AL140" t="s">
        <v>246</v>
      </c>
      <c r="AM140">
        <v>0.25004999999999999</v>
      </c>
      <c r="AN140" t="s">
        <v>244</v>
      </c>
    </row>
    <row r="141" spans="9:40" x14ac:dyDescent="0.45">
      <c r="I141" t="s">
        <v>176</v>
      </c>
      <c r="J141" t="s">
        <v>254</v>
      </c>
      <c r="K141">
        <v>3.2474065180134264E-3</v>
      </c>
      <c r="L141" t="s">
        <v>165</v>
      </c>
      <c r="N141" t="s">
        <v>200</v>
      </c>
      <c r="O141" t="s">
        <v>254</v>
      </c>
      <c r="P141">
        <v>8.8129514326964666E-3</v>
      </c>
      <c r="Q141" t="s">
        <v>165</v>
      </c>
      <c r="S141" t="s">
        <v>219</v>
      </c>
      <c r="T141" t="s">
        <v>254</v>
      </c>
      <c r="U141">
        <v>1.15104904128874E-2</v>
      </c>
      <c r="V141" t="s">
        <v>165</v>
      </c>
      <c r="AK141">
        <v>2040</v>
      </c>
      <c r="AL141" t="s">
        <v>248</v>
      </c>
      <c r="AM141">
        <v>0.17549999999999999</v>
      </c>
      <c r="AN141" t="s">
        <v>244</v>
      </c>
    </row>
    <row r="142" spans="9:40" x14ac:dyDescent="0.45">
      <c r="I142" t="s">
        <v>176</v>
      </c>
      <c r="J142" t="s">
        <v>255</v>
      </c>
      <c r="K142">
        <v>0</v>
      </c>
      <c r="L142" t="s">
        <v>165</v>
      </c>
      <c r="N142" t="s">
        <v>200</v>
      </c>
      <c r="O142" t="s">
        <v>255</v>
      </c>
      <c r="P142">
        <v>5.2566944045544427E-2</v>
      </c>
      <c r="Q142" t="s">
        <v>165</v>
      </c>
      <c r="S142" t="s">
        <v>219</v>
      </c>
      <c r="T142" t="s">
        <v>255</v>
      </c>
      <c r="U142">
        <v>6.6971232103771081E-2</v>
      </c>
      <c r="V142" t="s">
        <v>165</v>
      </c>
      <c r="AK142">
        <v>2040</v>
      </c>
      <c r="AL142" t="s">
        <v>250</v>
      </c>
      <c r="AM142">
        <v>0.22650000000000001</v>
      </c>
      <c r="AN142" t="s">
        <v>244</v>
      </c>
    </row>
    <row r="143" spans="9:40" x14ac:dyDescent="0.45">
      <c r="I143" t="s">
        <v>176</v>
      </c>
      <c r="J143" t="s">
        <v>168</v>
      </c>
      <c r="K143">
        <v>3.6440101819565423E-3</v>
      </c>
      <c r="L143" t="s">
        <v>165</v>
      </c>
      <c r="N143" t="s">
        <v>200</v>
      </c>
      <c r="O143" t="s">
        <v>168</v>
      </c>
      <c r="P143">
        <v>4.1506053006888796E-2</v>
      </c>
      <c r="Q143" t="s">
        <v>165</v>
      </c>
      <c r="S143" t="s">
        <v>219</v>
      </c>
      <c r="T143" t="s">
        <v>168</v>
      </c>
      <c r="U143">
        <v>4.5202974629868206E-2</v>
      </c>
      <c r="V143" t="s">
        <v>165</v>
      </c>
      <c r="AK143">
        <v>2040</v>
      </c>
      <c r="AL143" t="s">
        <v>252</v>
      </c>
      <c r="AM143">
        <v>0.19409999999999999</v>
      </c>
      <c r="AN143" t="s">
        <v>244</v>
      </c>
    </row>
    <row r="144" spans="9:40" x14ac:dyDescent="0.45">
      <c r="I144" t="s">
        <v>176</v>
      </c>
      <c r="J144" t="s">
        <v>169</v>
      </c>
      <c r="K144">
        <v>5.8134822136907916E-3</v>
      </c>
      <c r="L144" t="s">
        <v>165</v>
      </c>
      <c r="N144" t="s">
        <v>200</v>
      </c>
      <c r="O144" t="s">
        <v>169</v>
      </c>
      <c r="P144">
        <v>5.036032609130818E-3</v>
      </c>
      <c r="Q144" t="s">
        <v>165</v>
      </c>
      <c r="S144" t="s">
        <v>219</v>
      </c>
      <c r="T144" t="s">
        <v>169</v>
      </c>
      <c r="U144">
        <v>5.3455013078248428E-3</v>
      </c>
      <c r="V144" t="s">
        <v>165</v>
      </c>
      <c r="AK144">
        <v>2041</v>
      </c>
      <c r="AL144" t="s">
        <v>154</v>
      </c>
      <c r="AM144">
        <v>0.17595</v>
      </c>
      <c r="AN144" t="s">
        <v>244</v>
      </c>
    </row>
    <row r="145" spans="9:40" x14ac:dyDescent="0.45">
      <c r="I145" t="s">
        <v>176</v>
      </c>
      <c r="J145" t="s">
        <v>170</v>
      </c>
      <c r="K145">
        <v>5.8421486743486233E-2</v>
      </c>
      <c r="L145" t="s">
        <v>165</v>
      </c>
      <c r="N145" t="s">
        <v>200</v>
      </c>
      <c r="O145" t="s">
        <v>170</v>
      </c>
      <c r="P145">
        <v>3.9180254950189196E-2</v>
      </c>
      <c r="Q145" t="s">
        <v>165</v>
      </c>
      <c r="S145" t="s">
        <v>219</v>
      </c>
      <c r="T145" t="s">
        <v>170</v>
      </c>
      <c r="U145">
        <v>3.9955903596779543E-2</v>
      </c>
      <c r="V145" t="s">
        <v>165</v>
      </c>
      <c r="AK145">
        <v>2041</v>
      </c>
      <c r="AL145" t="s">
        <v>158</v>
      </c>
      <c r="AM145">
        <v>0.16039999999999999</v>
      </c>
      <c r="AN145" t="s">
        <v>244</v>
      </c>
    </row>
    <row r="146" spans="9:40" x14ac:dyDescent="0.45">
      <c r="I146" t="s">
        <v>176</v>
      </c>
      <c r="J146" t="s">
        <v>256</v>
      </c>
      <c r="K146">
        <v>6.9084266759145349E-3</v>
      </c>
      <c r="L146" t="s">
        <v>165</v>
      </c>
      <c r="N146" t="s">
        <v>200</v>
      </c>
      <c r="O146" t="s">
        <v>256</v>
      </c>
      <c r="P146">
        <v>5.8561993177564048E-3</v>
      </c>
      <c r="Q146" t="s">
        <v>165</v>
      </c>
      <c r="S146" t="s">
        <v>219</v>
      </c>
      <c r="T146" t="s">
        <v>256</v>
      </c>
      <c r="U146">
        <v>5.2049472075892467E-3</v>
      </c>
      <c r="V146" t="s">
        <v>165</v>
      </c>
      <c r="AK146">
        <v>2041</v>
      </c>
      <c r="AL146" t="s">
        <v>160</v>
      </c>
      <c r="AM146">
        <v>0.28292499999999998</v>
      </c>
      <c r="AN146" t="s">
        <v>244</v>
      </c>
    </row>
    <row r="147" spans="9:40" x14ac:dyDescent="0.45">
      <c r="I147" t="s">
        <v>176</v>
      </c>
      <c r="J147" t="s">
        <v>257</v>
      </c>
      <c r="K147">
        <v>4.9648673386039448E-3</v>
      </c>
      <c r="L147" t="s">
        <v>165</v>
      </c>
      <c r="N147" t="s">
        <v>200</v>
      </c>
      <c r="O147" t="s">
        <v>257</v>
      </c>
      <c r="P147">
        <v>5.5758789846047062E-3</v>
      </c>
      <c r="Q147" t="s">
        <v>165</v>
      </c>
      <c r="S147" t="s">
        <v>219</v>
      </c>
      <c r="T147" t="s">
        <v>257</v>
      </c>
      <c r="U147">
        <v>5.063136739510022E-3</v>
      </c>
      <c r="V147" t="s">
        <v>165</v>
      </c>
      <c r="AK147">
        <v>2041</v>
      </c>
      <c r="AL147" t="s">
        <v>246</v>
      </c>
      <c r="AM147">
        <v>0.23380000000000001</v>
      </c>
      <c r="AN147" t="s">
        <v>244</v>
      </c>
    </row>
    <row r="148" spans="9:40" x14ac:dyDescent="0.45">
      <c r="I148" t="s">
        <v>176</v>
      </c>
      <c r="J148" t="s">
        <v>258</v>
      </c>
      <c r="K148">
        <v>1.584622130520295E-3</v>
      </c>
      <c r="L148" t="s">
        <v>165</v>
      </c>
      <c r="N148" t="s">
        <v>200</v>
      </c>
      <c r="O148" t="s">
        <v>258</v>
      </c>
      <c r="P148">
        <v>2.9299084092928727E-2</v>
      </c>
      <c r="Q148" t="s">
        <v>165</v>
      </c>
      <c r="S148" t="s">
        <v>219</v>
      </c>
      <c r="T148" t="s">
        <v>258</v>
      </c>
      <c r="U148">
        <v>3.3771110782300336E-2</v>
      </c>
      <c r="V148" t="s">
        <v>165</v>
      </c>
      <c r="AK148">
        <v>2041</v>
      </c>
      <c r="AL148" t="s">
        <v>248</v>
      </c>
      <c r="AM148">
        <v>0.1847</v>
      </c>
      <c r="AN148" t="s">
        <v>244</v>
      </c>
    </row>
    <row r="149" spans="9:40" x14ac:dyDescent="0.45">
      <c r="I149" t="s">
        <v>176</v>
      </c>
      <c r="J149" t="s">
        <v>171</v>
      </c>
      <c r="K149">
        <v>4.9950722787767896E-2</v>
      </c>
      <c r="L149" t="s">
        <v>165</v>
      </c>
      <c r="N149" t="s">
        <v>200</v>
      </c>
      <c r="O149" t="s">
        <v>171</v>
      </c>
      <c r="P149">
        <v>6.6899051401706044E-2</v>
      </c>
      <c r="Q149" t="s">
        <v>165</v>
      </c>
      <c r="S149" t="s">
        <v>219</v>
      </c>
      <c r="T149" t="s">
        <v>171</v>
      </c>
      <c r="U149">
        <v>9.5319450757252733E-2</v>
      </c>
      <c r="V149" t="s">
        <v>165</v>
      </c>
      <c r="AK149">
        <v>2041</v>
      </c>
      <c r="AL149" t="s">
        <v>250</v>
      </c>
      <c r="AM149">
        <v>0.21079999999999999</v>
      </c>
      <c r="AN149" t="s">
        <v>244</v>
      </c>
    </row>
    <row r="150" spans="9:40" x14ac:dyDescent="0.45">
      <c r="I150" t="s">
        <v>176</v>
      </c>
      <c r="J150" t="s">
        <v>172</v>
      </c>
      <c r="K150">
        <v>3.3908685916437531E-2</v>
      </c>
      <c r="L150" t="s">
        <v>165</v>
      </c>
      <c r="N150" t="s">
        <v>200</v>
      </c>
      <c r="O150" t="s">
        <v>172</v>
      </c>
      <c r="P150">
        <v>8.8697159874341139E-3</v>
      </c>
      <c r="Q150" t="s">
        <v>165</v>
      </c>
      <c r="S150" t="s">
        <v>219</v>
      </c>
      <c r="T150" t="s">
        <v>172</v>
      </c>
      <c r="U150">
        <v>1.0409039321479919E-2</v>
      </c>
      <c r="V150" t="s">
        <v>165</v>
      </c>
      <c r="AK150">
        <v>2041</v>
      </c>
      <c r="AL150" t="s">
        <v>252</v>
      </c>
      <c r="AM150">
        <v>0.19900000000000001</v>
      </c>
      <c r="AN150" t="s">
        <v>244</v>
      </c>
    </row>
    <row r="151" spans="9:40" x14ac:dyDescent="0.45">
      <c r="I151" t="s">
        <v>176</v>
      </c>
      <c r="J151" t="s">
        <v>173</v>
      </c>
      <c r="K151">
        <v>0.27681192479846384</v>
      </c>
      <c r="L151" t="s">
        <v>165</v>
      </c>
      <c r="N151" t="s">
        <v>200</v>
      </c>
      <c r="O151" t="s">
        <v>173</v>
      </c>
      <c r="P151">
        <v>7.0739875998045293E-2</v>
      </c>
      <c r="Q151" t="s">
        <v>165</v>
      </c>
      <c r="S151" t="s">
        <v>219</v>
      </c>
      <c r="T151" t="s">
        <v>173</v>
      </c>
      <c r="U151">
        <v>7.0659291353014325E-2</v>
      </c>
      <c r="V151" t="s">
        <v>165</v>
      </c>
      <c r="AK151">
        <v>2042</v>
      </c>
      <c r="AL151" t="s">
        <v>154</v>
      </c>
      <c r="AM151">
        <v>0.17399999999999999</v>
      </c>
      <c r="AN151" t="s">
        <v>244</v>
      </c>
    </row>
    <row r="152" spans="9:40" x14ac:dyDescent="0.45">
      <c r="I152" t="s">
        <v>176</v>
      </c>
      <c r="J152" t="s">
        <v>259</v>
      </c>
      <c r="K152">
        <v>3.0340592191959372E-2</v>
      </c>
      <c r="L152" t="s">
        <v>165</v>
      </c>
      <c r="N152" t="s">
        <v>200</v>
      </c>
      <c r="O152" t="s">
        <v>259</v>
      </c>
      <c r="P152">
        <v>9.1278891666127654E-3</v>
      </c>
      <c r="Q152" t="s">
        <v>165</v>
      </c>
      <c r="S152" t="s">
        <v>219</v>
      </c>
      <c r="T152" t="s">
        <v>259</v>
      </c>
      <c r="U152">
        <v>1.1090648147433537E-2</v>
      </c>
      <c r="V152" t="s">
        <v>165</v>
      </c>
      <c r="AK152">
        <v>2042</v>
      </c>
      <c r="AL152" t="s">
        <v>158</v>
      </c>
      <c r="AM152">
        <v>0.1789</v>
      </c>
      <c r="AN152" t="s">
        <v>244</v>
      </c>
    </row>
    <row r="153" spans="9:40" x14ac:dyDescent="0.45">
      <c r="I153" t="s">
        <v>176</v>
      </c>
      <c r="J153" t="s">
        <v>260</v>
      </c>
      <c r="K153">
        <v>2.3952160741708136E-2</v>
      </c>
      <c r="L153" t="s">
        <v>165</v>
      </c>
      <c r="N153" t="s">
        <v>200</v>
      </c>
      <c r="O153" t="s">
        <v>260</v>
      </c>
      <c r="P153">
        <v>8.8152942211721583E-3</v>
      </c>
      <c r="Q153" t="s">
        <v>165</v>
      </c>
      <c r="S153" t="s">
        <v>219</v>
      </c>
      <c r="T153" t="s">
        <v>260</v>
      </c>
      <c r="U153">
        <v>1.1254412246839523E-2</v>
      </c>
      <c r="V153" t="s">
        <v>165</v>
      </c>
      <c r="AK153">
        <v>2042</v>
      </c>
      <c r="AL153" t="s">
        <v>160</v>
      </c>
      <c r="AM153">
        <v>0.30730000000000002</v>
      </c>
      <c r="AN153" t="s">
        <v>244</v>
      </c>
    </row>
    <row r="154" spans="9:40" x14ac:dyDescent="0.45">
      <c r="I154" t="s">
        <v>176</v>
      </c>
      <c r="J154" t="s">
        <v>261</v>
      </c>
      <c r="K154">
        <v>2.2324895148749375E-2</v>
      </c>
      <c r="L154" t="s">
        <v>165</v>
      </c>
      <c r="N154" t="s">
        <v>200</v>
      </c>
      <c r="O154" t="s">
        <v>261</v>
      </c>
      <c r="P154">
        <v>4.8592336992138843E-2</v>
      </c>
      <c r="Q154" t="s">
        <v>165</v>
      </c>
      <c r="S154" t="s">
        <v>219</v>
      </c>
      <c r="T154" t="s">
        <v>261</v>
      </c>
      <c r="U154">
        <v>7.4359488883805891E-2</v>
      </c>
      <c r="V154" t="s">
        <v>165</v>
      </c>
      <c r="AK154">
        <v>2042</v>
      </c>
      <c r="AL154" t="s">
        <v>246</v>
      </c>
      <c r="AM154">
        <v>0.24429999999999999</v>
      </c>
      <c r="AN154" t="s">
        <v>244</v>
      </c>
    </row>
    <row r="155" spans="9:40" x14ac:dyDescent="0.45">
      <c r="I155" t="s">
        <v>176</v>
      </c>
      <c r="J155" t="s">
        <v>262</v>
      </c>
      <c r="K155">
        <v>2.047936678546624E-2</v>
      </c>
      <c r="L155" t="s">
        <v>165</v>
      </c>
      <c r="N155" t="s">
        <v>200</v>
      </c>
      <c r="O155" t="s">
        <v>262</v>
      </c>
      <c r="P155">
        <v>2.438706138448293E-2</v>
      </c>
      <c r="Q155" t="s">
        <v>165</v>
      </c>
      <c r="S155" t="s">
        <v>219</v>
      </c>
      <c r="T155" t="s">
        <v>262</v>
      </c>
      <c r="U155">
        <v>4.0327329314840961E-2</v>
      </c>
      <c r="V155" t="s">
        <v>165</v>
      </c>
      <c r="AK155">
        <v>2042</v>
      </c>
      <c r="AL155" t="s">
        <v>248</v>
      </c>
      <c r="AM155">
        <v>0.17330000000000001</v>
      </c>
      <c r="AN155" t="s">
        <v>244</v>
      </c>
    </row>
    <row r="156" spans="9:40" x14ac:dyDescent="0.45">
      <c r="I156" t="s">
        <v>176</v>
      </c>
      <c r="J156" t="s">
        <v>263</v>
      </c>
      <c r="K156">
        <v>1.6956363885218217E-2</v>
      </c>
      <c r="L156" t="s">
        <v>165</v>
      </c>
      <c r="N156" t="s">
        <v>200</v>
      </c>
      <c r="O156" t="s">
        <v>263</v>
      </c>
      <c r="P156">
        <v>2.9403051082516471E-3</v>
      </c>
      <c r="Q156" t="s">
        <v>165</v>
      </c>
      <c r="S156" t="s">
        <v>219</v>
      </c>
      <c r="T156" t="s">
        <v>263</v>
      </c>
      <c r="U156">
        <v>4.83583077735258E-3</v>
      </c>
      <c r="V156" t="s">
        <v>165</v>
      </c>
      <c r="AK156">
        <v>2042</v>
      </c>
      <c r="AL156" t="s">
        <v>250</v>
      </c>
      <c r="AM156">
        <v>0.23480000000000001</v>
      </c>
      <c r="AN156" t="s">
        <v>244</v>
      </c>
    </row>
    <row r="157" spans="9:40" x14ac:dyDescent="0.45">
      <c r="I157" t="s">
        <v>176</v>
      </c>
      <c r="J157" t="s">
        <v>264</v>
      </c>
      <c r="K157">
        <v>0.1370357006637436</v>
      </c>
      <c r="L157" t="s">
        <v>165</v>
      </c>
      <c r="N157" t="s">
        <v>200</v>
      </c>
      <c r="O157" t="s">
        <v>264</v>
      </c>
      <c r="P157">
        <v>2.2278512332882743E-2</v>
      </c>
      <c r="Q157" t="s">
        <v>165</v>
      </c>
      <c r="S157" t="s">
        <v>219</v>
      </c>
      <c r="T157" t="s">
        <v>264</v>
      </c>
      <c r="U157">
        <v>3.3468261686666924E-2</v>
      </c>
      <c r="V157" t="s">
        <v>165</v>
      </c>
      <c r="AK157">
        <v>2042</v>
      </c>
      <c r="AL157" t="s">
        <v>252</v>
      </c>
      <c r="AM157">
        <v>0.18310000000000001</v>
      </c>
      <c r="AN157" t="s">
        <v>244</v>
      </c>
    </row>
    <row r="158" spans="9:40" x14ac:dyDescent="0.45">
      <c r="I158" t="s">
        <v>176</v>
      </c>
      <c r="J158" t="s">
        <v>265</v>
      </c>
      <c r="K158">
        <v>1.5777275340583423E-2</v>
      </c>
      <c r="L158" t="s">
        <v>165</v>
      </c>
      <c r="N158" t="s">
        <v>200</v>
      </c>
      <c r="O158" t="s">
        <v>265</v>
      </c>
      <c r="P158">
        <v>2.8238872946654723E-3</v>
      </c>
      <c r="Q158" t="s">
        <v>165</v>
      </c>
      <c r="S158" t="s">
        <v>219</v>
      </c>
      <c r="T158" t="s">
        <v>265</v>
      </c>
      <c r="U158">
        <v>4.7200628550681349E-3</v>
      </c>
      <c r="V158" t="s">
        <v>165</v>
      </c>
      <c r="AK158">
        <v>2043</v>
      </c>
      <c r="AL158" t="s">
        <v>154</v>
      </c>
      <c r="AM158">
        <v>0.16804999999999998</v>
      </c>
      <c r="AN158" t="s">
        <v>244</v>
      </c>
    </row>
    <row r="159" spans="9:40" x14ac:dyDescent="0.45">
      <c r="I159" t="s">
        <v>176</v>
      </c>
      <c r="J159" t="s">
        <v>266</v>
      </c>
      <c r="K159">
        <v>1.184462088967358E-2</v>
      </c>
      <c r="L159" t="s">
        <v>165</v>
      </c>
      <c r="N159" t="s">
        <v>200</v>
      </c>
      <c r="O159" t="s">
        <v>266</v>
      </c>
      <c r="P159">
        <v>2.4863537329904428E-3</v>
      </c>
      <c r="Q159" t="s">
        <v>165</v>
      </c>
      <c r="S159" t="s">
        <v>219</v>
      </c>
      <c r="T159" t="s">
        <v>266</v>
      </c>
      <c r="U159">
        <v>4.6363222514917814E-3</v>
      </c>
      <c r="V159" t="s">
        <v>165</v>
      </c>
      <c r="AK159">
        <v>2043</v>
      </c>
      <c r="AL159" t="s">
        <v>158</v>
      </c>
      <c r="AM159">
        <v>0.1537</v>
      </c>
      <c r="AN159" t="s">
        <v>244</v>
      </c>
    </row>
    <row r="160" spans="9:40" x14ac:dyDescent="0.45">
      <c r="I160" t="s">
        <v>176</v>
      </c>
      <c r="J160" t="s">
        <v>267</v>
      </c>
      <c r="K160">
        <v>7.1288761017660731E-3</v>
      </c>
      <c r="L160" t="s">
        <v>165</v>
      </c>
      <c r="N160" t="s">
        <v>200</v>
      </c>
      <c r="O160" t="s">
        <v>267</v>
      </c>
      <c r="P160">
        <v>1.3265164274051961E-2</v>
      </c>
      <c r="Q160" t="s">
        <v>165</v>
      </c>
      <c r="S160" t="s">
        <v>219</v>
      </c>
      <c r="T160" t="s">
        <v>267</v>
      </c>
      <c r="U160">
        <v>2.8145358259306953E-2</v>
      </c>
      <c r="V160" t="s">
        <v>165</v>
      </c>
      <c r="AK160">
        <v>2043</v>
      </c>
      <c r="AL160" t="s">
        <v>160</v>
      </c>
      <c r="AM160">
        <v>0.29727500000000001</v>
      </c>
      <c r="AN160" t="s">
        <v>244</v>
      </c>
    </row>
    <row r="161" spans="9:40" x14ac:dyDescent="0.45">
      <c r="I161" t="s">
        <v>176</v>
      </c>
      <c r="J161" t="s">
        <v>268</v>
      </c>
      <c r="K161">
        <v>1.9574422013481866E-3</v>
      </c>
      <c r="L161" t="s">
        <v>165</v>
      </c>
      <c r="N161" t="s">
        <v>200</v>
      </c>
      <c r="O161" t="s">
        <v>268</v>
      </c>
      <c r="P161">
        <v>3.1696324979443094E-2</v>
      </c>
      <c r="Q161" t="s">
        <v>165</v>
      </c>
      <c r="S161" t="s">
        <v>219</v>
      </c>
      <c r="T161" t="s">
        <v>268</v>
      </c>
      <c r="U161">
        <v>1.8012182816456307E-2</v>
      </c>
      <c r="V161" t="s">
        <v>165</v>
      </c>
      <c r="AK161">
        <v>2043</v>
      </c>
      <c r="AL161" t="s">
        <v>246</v>
      </c>
      <c r="AM161">
        <v>0.22389999999999999</v>
      </c>
      <c r="AN161" t="s">
        <v>244</v>
      </c>
    </row>
    <row r="162" spans="9:40" x14ac:dyDescent="0.45">
      <c r="I162" t="s">
        <v>176</v>
      </c>
      <c r="J162" t="s">
        <v>269</v>
      </c>
      <c r="K162">
        <v>3.5254020169509541E-3</v>
      </c>
      <c r="L162" t="s">
        <v>165</v>
      </c>
      <c r="N162" t="s">
        <v>200</v>
      </c>
      <c r="O162" t="s">
        <v>269</v>
      </c>
      <c r="P162">
        <v>4.3118799809313876E-3</v>
      </c>
      <c r="Q162" t="s">
        <v>165</v>
      </c>
      <c r="S162" t="s">
        <v>219</v>
      </c>
      <c r="T162" t="s">
        <v>269</v>
      </c>
      <c r="U162">
        <v>1.7858943819173156E-3</v>
      </c>
      <c r="V162" t="s">
        <v>165</v>
      </c>
      <c r="AK162">
        <v>2043</v>
      </c>
      <c r="AL162" t="s">
        <v>248</v>
      </c>
      <c r="AM162">
        <v>0.18149999999999999</v>
      </c>
      <c r="AN162" t="s">
        <v>244</v>
      </c>
    </row>
    <row r="163" spans="9:40" x14ac:dyDescent="0.45">
      <c r="I163" t="s">
        <v>176</v>
      </c>
      <c r="J163" t="s">
        <v>270</v>
      </c>
      <c r="K163">
        <v>3.5696461293866097E-2</v>
      </c>
      <c r="L163" t="s">
        <v>165</v>
      </c>
      <c r="N163" t="s">
        <v>200</v>
      </c>
      <c r="O163" t="s">
        <v>270</v>
      </c>
      <c r="P163">
        <v>2.9846061016300482E-2</v>
      </c>
      <c r="Q163" t="s">
        <v>165</v>
      </c>
      <c r="S163" t="s">
        <v>219</v>
      </c>
      <c r="T163" t="s">
        <v>270</v>
      </c>
      <c r="U163">
        <v>1.2625172550853657E-2</v>
      </c>
      <c r="V163" t="s">
        <v>165</v>
      </c>
      <c r="AK163">
        <v>2043</v>
      </c>
      <c r="AL163" t="s">
        <v>250</v>
      </c>
      <c r="AM163">
        <v>0.23530000000000001</v>
      </c>
      <c r="AN163" t="s">
        <v>244</v>
      </c>
    </row>
    <row r="164" spans="9:40" x14ac:dyDescent="0.45">
      <c r="I164" t="s">
        <v>176</v>
      </c>
      <c r="J164" t="s">
        <v>271</v>
      </c>
      <c r="K164">
        <v>2.9989473692117016E-3</v>
      </c>
      <c r="L164" t="s">
        <v>165</v>
      </c>
      <c r="N164" t="s">
        <v>200</v>
      </c>
      <c r="O164" t="s">
        <v>271</v>
      </c>
      <c r="P164">
        <v>4.636843951987853E-3</v>
      </c>
      <c r="Q164" t="s">
        <v>165</v>
      </c>
      <c r="S164" t="s">
        <v>219</v>
      </c>
      <c r="T164" t="s">
        <v>271</v>
      </c>
      <c r="U164">
        <v>1.8035124625240425E-3</v>
      </c>
      <c r="V164" t="s">
        <v>165</v>
      </c>
      <c r="AK164">
        <v>2043</v>
      </c>
      <c r="AL164" t="s">
        <v>252</v>
      </c>
      <c r="AM164">
        <v>0.20749999999999999</v>
      </c>
      <c r="AN164" t="s">
        <v>244</v>
      </c>
    </row>
    <row r="165" spans="9:40" x14ac:dyDescent="0.45">
      <c r="I165" t="s">
        <v>176</v>
      </c>
      <c r="J165" t="s">
        <v>272</v>
      </c>
      <c r="K165">
        <v>1.2740101565973914E-3</v>
      </c>
      <c r="L165" t="s">
        <v>165</v>
      </c>
      <c r="N165" t="s">
        <v>200</v>
      </c>
      <c r="O165" t="s">
        <v>272</v>
      </c>
      <c r="P165">
        <v>4.7006860692296627E-3</v>
      </c>
      <c r="Q165" t="s">
        <v>165</v>
      </c>
      <c r="S165" t="s">
        <v>219</v>
      </c>
      <c r="T165" t="s">
        <v>272</v>
      </c>
      <c r="U165">
        <v>1.8229481281379133E-3</v>
      </c>
      <c r="V165" t="s">
        <v>165</v>
      </c>
      <c r="AK165">
        <v>2044</v>
      </c>
      <c r="AL165" t="s">
        <v>154</v>
      </c>
      <c r="AM165">
        <v>0.17475000000000002</v>
      </c>
      <c r="AN165" t="s">
        <v>244</v>
      </c>
    </row>
    <row r="166" spans="9:40" x14ac:dyDescent="0.45">
      <c r="I166" t="s">
        <v>176</v>
      </c>
      <c r="J166" t="s">
        <v>273</v>
      </c>
      <c r="K166">
        <v>0</v>
      </c>
      <c r="L166" t="s">
        <v>165</v>
      </c>
      <c r="N166" t="s">
        <v>200</v>
      </c>
      <c r="O166" t="s">
        <v>273</v>
      </c>
      <c r="P166">
        <v>2.6908704692342501E-2</v>
      </c>
      <c r="Q166" t="s">
        <v>165</v>
      </c>
      <c r="S166" t="s">
        <v>219</v>
      </c>
      <c r="T166" t="s">
        <v>273</v>
      </c>
      <c r="U166">
        <v>1.1340234626497631E-2</v>
      </c>
      <c r="V166" t="s">
        <v>165</v>
      </c>
      <c r="AK166">
        <v>2044</v>
      </c>
      <c r="AL166" t="s">
        <v>158</v>
      </c>
      <c r="AM166">
        <v>0.14979999999999999</v>
      </c>
      <c r="AN166" t="s">
        <v>244</v>
      </c>
    </row>
    <row r="167" spans="9:40" x14ac:dyDescent="0.45">
      <c r="I167" t="s">
        <v>176</v>
      </c>
      <c r="J167" t="s">
        <v>274</v>
      </c>
      <c r="K167">
        <v>7.1614537117436626E-4</v>
      </c>
      <c r="L167" t="s">
        <v>165</v>
      </c>
      <c r="N167" t="s">
        <v>200</v>
      </c>
      <c r="O167" t="s">
        <v>274</v>
      </c>
      <c r="P167">
        <v>5.8437225618678389E-2</v>
      </c>
      <c r="Q167" t="s">
        <v>165</v>
      </c>
      <c r="S167" t="s">
        <v>219</v>
      </c>
      <c r="T167" t="s">
        <v>274</v>
      </c>
      <c r="U167">
        <v>2.9978347641479129E-2</v>
      </c>
      <c r="V167" t="s">
        <v>165</v>
      </c>
      <c r="AK167">
        <v>2044</v>
      </c>
      <c r="AL167" t="s">
        <v>160</v>
      </c>
      <c r="AM167">
        <v>0.30337499999999995</v>
      </c>
      <c r="AN167" t="s">
        <v>244</v>
      </c>
    </row>
    <row r="168" spans="9:40" x14ac:dyDescent="0.45">
      <c r="I168" t="s">
        <v>176</v>
      </c>
      <c r="J168" t="s">
        <v>275</v>
      </c>
      <c r="K168">
        <v>3.7613639501296149E-3</v>
      </c>
      <c r="L168" t="s">
        <v>165</v>
      </c>
      <c r="N168" t="s">
        <v>200</v>
      </c>
      <c r="O168" t="s">
        <v>275</v>
      </c>
      <c r="P168">
        <v>6.6938779897876321E-3</v>
      </c>
      <c r="Q168" t="s">
        <v>165</v>
      </c>
      <c r="S168" t="s">
        <v>219</v>
      </c>
      <c r="T168" t="s">
        <v>275</v>
      </c>
      <c r="U168">
        <v>3.8913920441073541E-3</v>
      </c>
      <c r="V168" t="s">
        <v>165</v>
      </c>
      <c r="AK168">
        <v>2044</v>
      </c>
      <c r="AL168" t="s">
        <v>246</v>
      </c>
      <c r="AM168">
        <v>0.25245000000000001</v>
      </c>
      <c r="AN168" t="s">
        <v>244</v>
      </c>
    </row>
    <row r="169" spans="9:40" x14ac:dyDescent="0.45">
      <c r="I169" t="s">
        <v>176</v>
      </c>
      <c r="J169" t="s">
        <v>276</v>
      </c>
      <c r="K169">
        <v>3.9216356269873603E-2</v>
      </c>
      <c r="L169" t="s">
        <v>165</v>
      </c>
      <c r="N169" t="s">
        <v>200</v>
      </c>
      <c r="O169" t="s">
        <v>276</v>
      </c>
      <c r="P169">
        <v>4.8549120407138248E-2</v>
      </c>
      <c r="Q169" t="s">
        <v>165</v>
      </c>
      <c r="S169" t="s">
        <v>219</v>
      </c>
      <c r="T169" t="s">
        <v>276</v>
      </c>
      <c r="U169">
        <v>2.9636363098864648E-2</v>
      </c>
      <c r="V169" t="s">
        <v>165</v>
      </c>
      <c r="AK169">
        <v>2044</v>
      </c>
      <c r="AL169" t="s">
        <v>248</v>
      </c>
      <c r="AM169">
        <v>0.17699999999999999</v>
      </c>
      <c r="AN169" t="s">
        <v>244</v>
      </c>
    </row>
    <row r="170" spans="9:40" x14ac:dyDescent="0.45">
      <c r="I170" t="s">
        <v>176</v>
      </c>
      <c r="J170" t="s">
        <v>277</v>
      </c>
      <c r="K170">
        <v>2.8295700082114437E-3</v>
      </c>
      <c r="L170" t="s">
        <v>165</v>
      </c>
      <c r="N170" t="s">
        <v>200</v>
      </c>
      <c r="O170" t="s">
        <v>277</v>
      </c>
      <c r="P170">
        <v>6.8343122483256382E-3</v>
      </c>
      <c r="Q170" t="s">
        <v>165</v>
      </c>
      <c r="S170" t="s">
        <v>219</v>
      </c>
      <c r="T170" t="s">
        <v>277</v>
      </c>
      <c r="U170">
        <v>4.138583665260518E-3</v>
      </c>
      <c r="V170" t="s">
        <v>165</v>
      </c>
      <c r="AK170">
        <v>2044</v>
      </c>
      <c r="AL170" t="s">
        <v>250</v>
      </c>
      <c r="AM170">
        <v>0.22600000000000001</v>
      </c>
      <c r="AN170" t="s">
        <v>244</v>
      </c>
    </row>
    <row r="171" spans="9:40" x14ac:dyDescent="0.45">
      <c r="I171" t="s">
        <v>176</v>
      </c>
      <c r="J171" t="s">
        <v>278</v>
      </c>
      <c r="K171">
        <v>0</v>
      </c>
      <c r="L171" t="s">
        <v>165</v>
      </c>
      <c r="N171" t="s">
        <v>200</v>
      </c>
      <c r="O171" t="s">
        <v>278</v>
      </c>
      <c r="P171">
        <v>6.8301109145801099E-3</v>
      </c>
      <c r="Q171" t="s">
        <v>165</v>
      </c>
      <c r="S171" t="s">
        <v>219</v>
      </c>
      <c r="T171" t="s">
        <v>278</v>
      </c>
      <c r="U171">
        <v>4.0949818572648764E-3</v>
      </c>
      <c r="V171" t="s">
        <v>165</v>
      </c>
      <c r="AK171">
        <v>2044</v>
      </c>
      <c r="AL171" t="s">
        <v>252</v>
      </c>
      <c r="AM171">
        <v>0.21310000000000001</v>
      </c>
      <c r="AN171" t="s">
        <v>244</v>
      </c>
    </row>
    <row r="172" spans="9:40" x14ac:dyDescent="0.45">
      <c r="I172" t="s">
        <v>176</v>
      </c>
      <c r="J172" t="s">
        <v>279</v>
      </c>
      <c r="K172">
        <v>0</v>
      </c>
      <c r="L172" t="s">
        <v>165</v>
      </c>
      <c r="N172" t="s">
        <v>200</v>
      </c>
      <c r="O172" t="s">
        <v>279</v>
      </c>
      <c r="P172">
        <v>4.5573838173456727E-2</v>
      </c>
      <c r="Q172" t="s">
        <v>165</v>
      </c>
      <c r="S172" t="s">
        <v>219</v>
      </c>
      <c r="T172" t="s">
        <v>279</v>
      </c>
      <c r="U172">
        <v>2.4857706149728379E-2</v>
      </c>
      <c r="V172" t="s">
        <v>165</v>
      </c>
      <c r="AK172">
        <v>2045</v>
      </c>
      <c r="AL172" t="s">
        <v>154</v>
      </c>
      <c r="AM172">
        <v>0.16919999999999999</v>
      </c>
      <c r="AN172" t="s">
        <v>244</v>
      </c>
    </row>
    <row r="173" spans="9:40" x14ac:dyDescent="0.45">
      <c r="I173" t="s">
        <v>176</v>
      </c>
      <c r="J173" t="s">
        <v>280</v>
      </c>
      <c r="K173">
        <v>0</v>
      </c>
      <c r="L173" t="s">
        <v>165</v>
      </c>
      <c r="N173" t="s">
        <v>200</v>
      </c>
      <c r="O173" t="s">
        <v>280</v>
      </c>
      <c r="P173">
        <v>4.3231880943302034E-2</v>
      </c>
      <c r="Q173" t="s">
        <v>165</v>
      </c>
      <c r="S173" t="s">
        <v>219</v>
      </c>
      <c r="T173" t="s">
        <v>280</v>
      </c>
      <c r="U173">
        <v>2.8707990253791914E-2</v>
      </c>
      <c r="V173" t="s">
        <v>165</v>
      </c>
      <c r="AK173">
        <v>2045</v>
      </c>
      <c r="AL173" t="s">
        <v>158</v>
      </c>
      <c r="AM173">
        <v>0.1701</v>
      </c>
      <c r="AN173" t="s">
        <v>244</v>
      </c>
    </row>
    <row r="174" spans="9:40" x14ac:dyDescent="0.45">
      <c r="I174" t="s">
        <v>176</v>
      </c>
      <c r="J174" t="s">
        <v>281</v>
      </c>
      <c r="K174">
        <v>3.7337416903496616E-3</v>
      </c>
      <c r="L174" t="s">
        <v>165</v>
      </c>
      <c r="N174" t="s">
        <v>200</v>
      </c>
      <c r="O174" t="s">
        <v>281</v>
      </c>
      <c r="P174">
        <v>5.2486418931930743E-3</v>
      </c>
      <c r="Q174" t="s">
        <v>165</v>
      </c>
      <c r="S174" t="s">
        <v>219</v>
      </c>
      <c r="T174" t="s">
        <v>281</v>
      </c>
      <c r="U174">
        <v>3.6635466754762298E-3</v>
      </c>
      <c r="V174" t="s">
        <v>165</v>
      </c>
      <c r="AK174">
        <v>2045</v>
      </c>
      <c r="AL174" t="s">
        <v>160</v>
      </c>
      <c r="AM174">
        <v>0.30035000000000001</v>
      </c>
      <c r="AN174" t="s">
        <v>244</v>
      </c>
    </row>
    <row r="175" spans="9:40" x14ac:dyDescent="0.45">
      <c r="I175" t="s">
        <v>176</v>
      </c>
      <c r="J175" t="s">
        <v>282</v>
      </c>
      <c r="K175">
        <v>4.7894094218956802E-2</v>
      </c>
      <c r="L175" t="s">
        <v>165</v>
      </c>
      <c r="N175" t="s">
        <v>200</v>
      </c>
      <c r="O175" t="s">
        <v>282</v>
      </c>
      <c r="P175">
        <v>3.2182636636941951E-2</v>
      </c>
      <c r="Q175" t="s">
        <v>165</v>
      </c>
      <c r="S175" t="s">
        <v>219</v>
      </c>
      <c r="T175" t="s">
        <v>282</v>
      </c>
      <c r="U175">
        <v>2.4452084945861086E-2</v>
      </c>
      <c r="V175" t="s">
        <v>165</v>
      </c>
      <c r="AK175">
        <v>2045</v>
      </c>
      <c r="AL175" t="s">
        <v>246</v>
      </c>
      <c r="AM175">
        <v>0.252</v>
      </c>
      <c r="AN175" t="s">
        <v>244</v>
      </c>
    </row>
    <row r="176" spans="9:40" x14ac:dyDescent="0.45">
      <c r="I176" t="s">
        <v>176</v>
      </c>
      <c r="J176" t="s">
        <v>283</v>
      </c>
      <c r="K176">
        <v>4.0555982575373956E-3</v>
      </c>
      <c r="L176" t="s">
        <v>165</v>
      </c>
      <c r="N176" t="s">
        <v>200</v>
      </c>
      <c r="O176" t="s">
        <v>283</v>
      </c>
      <c r="P176">
        <v>4.8166584977405516E-3</v>
      </c>
      <c r="Q176" t="s">
        <v>165</v>
      </c>
      <c r="S176" t="s">
        <v>219</v>
      </c>
      <c r="T176" t="s">
        <v>283</v>
      </c>
      <c r="U176">
        <v>3.5024388609161778E-3</v>
      </c>
      <c r="V176" t="s">
        <v>165</v>
      </c>
      <c r="AK176">
        <v>2045</v>
      </c>
      <c r="AL176" t="s">
        <v>248</v>
      </c>
      <c r="AM176">
        <v>0.1744</v>
      </c>
      <c r="AN176" t="s">
        <v>244</v>
      </c>
    </row>
    <row r="177" spans="9:40" x14ac:dyDescent="0.45">
      <c r="I177" t="s">
        <v>176</v>
      </c>
      <c r="J177" t="s">
        <v>284</v>
      </c>
      <c r="K177">
        <v>0</v>
      </c>
      <c r="L177" t="s">
        <v>165</v>
      </c>
      <c r="N177" t="s">
        <v>200</v>
      </c>
      <c r="O177" t="s">
        <v>284</v>
      </c>
      <c r="P177">
        <v>4.7605385462868681E-3</v>
      </c>
      <c r="Q177" t="s">
        <v>165</v>
      </c>
      <c r="S177" t="s">
        <v>219</v>
      </c>
      <c r="T177" t="s">
        <v>284</v>
      </c>
      <c r="U177">
        <v>3.3412914147221019E-3</v>
      </c>
      <c r="V177" t="s">
        <v>165</v>
      </c>
      <c r="AK177">
        <v>2045</v>
      </c>
      <c r="AL177" t="s">
        <v>250</v>
      </c>
      <c r="AM177">
        <v>0.2165</v>
      </c>
      <c r="AN177" t="s">
        <v>244</v>
      </c>
    </row>
    <row r="178" spans="9:40" x14ac:dyDescent="0.45">
      <c r="I178" t="s">
        <v>176</v>
      </c>
      <c r="J178" t="s">
        <v>285</v>
      </c>
      <c r="K178">
        <v>0</v>
      </c>
      <c r="L178" t="s">
        <v>165</v>
      </c>
      <c r="N178" t="s">
        <v>200</v>
      </c>
      <c r="O178" t="s">
        <v>285</v>
      </c>
      <c r="P178">
        <v>2.862111771896042E-2</v>
      </c>
      <c r="Q178" t="s">
        <v>165</v>
      </c>
      <c r="S178" t="s">
        <v>219</v>
      </c>
      <c r="T178" t="s">
        <v>285</v>
      </c>
      <c r="U178">
        <v>1.8471763945384755E-2</v>
      </c>
      <c r="V178" t="s">
        <v>165</v>
      </c>
      <c r="AK178">
        <v>2045</v>
      </c>
      <c r="AL178" t="s">
        <v>252</v>
      </c>
      <c r="AM178">
        <v>0.20250000000000001</v>
      </c>
      <c r="AN178" t="s">
        <v>244</v>
      </c>
    </row>
    <row r="179" spans="9:40" x14ac:dyDescent="0.45">
      <c r="I179" t="s">
        <v>177</v>
      </c>
      <c r="J179" t="s">
        <v>164</v>
      </c>
      <c r="K179">
        <v>1.1758744319980698E-3</v>
      </c>
      <c r="L179" t="s">
        <v>165</v>
      </c>
      <c r="N179" t="s">
        <v>201</v>
      </c>
      <c r="O179" t="s">
        <v>164</v>
      </c>
      <c r="P179">
        <v>5.9018748850600718E-2</v>
      </c>
      <c r="Q179" t="s">
        <v>165</v>
      </c>
      <c r="S179" t="s">
        <v>220</v>
      </c>
      <c r="T179" t="s">
        <v>164</v>
      </c>
      <c r="U179">
        <v>7.5697600774692689E-2</v>
      </c>
      <c r="V179" t="s">
        <v>165</v>
      </c>
      <c r="AK179">
        <v>2046</v>
      </c>
      <c r="AL179" t="s">
        <v>154</v>
      </c>
      <c r="AM179">
        <v>0.17865</v>
      </c>
      <c r="AN179" t="s">
        <v>244</v>
      </c>
    </row>
    <row r="180" spans="9:40" x14ac:dyDescent="0.45">
      <c r="I180" t="s">
        <v>177</v>
      </c>
      <c r="J180" t="s">
        <v>166</v>
      </c>
      <c r="K180">
        <v>7.0326667192196889E-3</v>
      </c>
      <c r="L180" t="s">
        <v>165</v>
      </c>
      <c r="N180" t="s">
        <v>201</v>
      </c>
      <c r="O180" t="s">
        <v>166</v>
      </c>
      <c r="P180">
        <v>7.5672290398960699E-3</v>
      </c>
      <c r="Q180" t="s">
        <v>165</v>
      </c>
      <c r="S180" t="s">
        <v>220</v>
      </c>
      <c r="T180" t="s">
        <v>166</v>
      </c>
      <c r="U180">
        <v>8.6639377644770303E-3</v>
      </c>
      <c r="V180" t="s">
        <v>165</v>
      </c>
      <c r="AK180">
        <v>2046</v>
      </c>
      <c r="AL180" t="s">
        <v>158</v>
      </c>
      <c r="AM180">
        <v>0.16009999999999999</v>
      </c>
      <c r="AN180" t="s">
        <v>244</v>
      </c>
    </row>
    <row r="181" spans="9:40" x14ac:dyDescent="0.45">
      <c r="I181" t="s">
        <v>177</v>
      </c>
      <c r="J181" t="s">
        <v>167</v>
      </c>
      <c r="K181">
        <v>0.10036362789115642</v>
      </c>
      <c r="L181" t="s">
        <v>165</v>
      </c>
      <c r="N181" t="s">
        <v>201</v>
      </c>
      <c r="O181" t="s">
        <v>167</v>
      </c>
      <c r="P181">
        <v>5.1679528536299646E-2</v>
      </c>
      <c r="Q181" t="s">
        <v>165</v>
      </c>
      <c r="S181" t="s">
        <v>220</v>
      </c>
      <c r="T181" t="s">
        <v>167</v>
      </c>
      <c r="U181">
        <v>6.3946209858098332E-2</v>
      </c>
      <c r="V181" t="s">
        <v>165</v>
      </c>
      <c r="AK181">
        <v>2046</v>
      </c>
      <c r="AL181" t="s">
        <v>160</v>
      </c>
      <c r="AM181">
        <v>0.27795000000000003</v>
      </c>
      <c r="AN181" t="s">
        <v>244</v>
      </c>
    </row>
    <row r="182" spans="9:40" x14ac:dyDescent="0.45">
      <c r="I182" t="s">
        <v>177</v>
      </c>
      <c r="J182" t="s">
        <v>253</v>
      </c>
      <c r="K182">
        <v>7.7415430339690134E-3</v>
      </c>
      <c r="L182" t="s">
        <v>165</v>
      </c>
      <c r="N182" t="s">
        <v>201</v>
      </c>
      <c r="O182" t="s">
        <v>253</v>
      </c>
      <c r="P182">
        <v>6.835358828876004E-3</v>
      </c>
      <c r="Q182" t="s">
        <v>165</v>
      </c>
      <c r="S182" t="s">
        <v>220</v>
      </c>
      <c r="T182" t="s">
        <v>253</v>
      </c>
      <c r="U182">
        <v>9.5956110843475034E-3</v>
      </c>
      <c r="V182" t="s">
        <v>165</v>
      </c>
      <c r="AK182">
        <v>2046</v>
      </c>
      <c r="AL182" t="s">
        <v>246</v>
      </c>
      <c r="AM182">
        <v>0.22789999999999999</v>
      </c>
      <c r="AN182" t="s">
        <v>244</v>
      </c>
    </row>
    <row r="183" spans="9:40" x14ac:dyDescent="0.45">
      <c r="I183" t="s">
        <v>177</v>
      </c>
      <c r="J183" t="s">
        <v>254</v>
      </c>
      <c r="K183">
        <v>1.9276130043607369E-3</v>
      </c>
      <c r="L183" t="s">
        <v>165</v>
      </c>
      <c r="N183" t="s">
        <v>201</v>
      </c>
      <c r="O183" t="s">
        <v>254</v>
      </c>
      <c r="P183">
        <v>6.7162791582304074E-3</v>
      </c>
      <c r="Q183" t="s">
        <v>165</v>
      </c>
      <c r="S183" t="s">
        <v>220</v>
      </c>
      <c r="T183" t="s">
        <v>254</v>
      </c>
      <c r="U183">
        <v>9.8810616992940446E-3</v>
      </c>
      <c r="V183" t="s">
        <v>165</v>
      </c>
      <c r="AK183">
        <v>2046</v>
      </c>
      <c r="AL183" t="s">
        <v>248</v>
      </c>
      <c r="AM183">
        <v>0.18149999999999999</v>
      </c>
      <c r="AN183" t="s">
        <v>244</v>
      </c>
    </row>
    <row r="184" spans="9:40" x14ac:dyDescent="0.45">
      <c r="I184" t="s">
        <v>177</v>
      </c>
      <c r="J184" t="s">
        <v>255</v>
      </c>
      <c r="K184">
        <v>0</v>
      </c>
      <c r="L184" t="s">
        <v>165</v>
      </c>
      <c r="N184" t="s">
        <v>201</v>
      </c>
      <c r="O184" t="s">
        <v>255</v>
      </c>
      <c r="P184">
        <v>4.1595867985881232E-2</v>
      </c>
      <c r="Q184" t="s">
        <v>165</v>
      </c>
      <c r="S184" t="s">
        <v>220</v>
      </c>
      <c r="T184" t="s">
        <v>255</v>
      </c>
      <c r="U184">
        <v>6.2981810632635554E-2</v>
      </c>
      <c r="V184" t="s">
        <v>165</v>
      </c>
      <c r="AK184">
        <v>2046</v>
      </c>
      <c r="AL184" t="s">
        <v>250</v>
      </c>
      <c r="AM184">
        <v>0.2031</v>
      </c>
      <c r="AN184" t="s">
        <v>244</v>
      </c>
    </row>
    <row r="185" spans="9:40" x14ac:dyDescent="0.45">
      <c r="I185" t="s">
        <v>177</v>
      </c>
      <c r="J185" t="s">
        <v>168</v>
      </c>
      <c r="K185">
        <v>5.1570349115058773E-3</v>
      </c>
      <c r="L185" t="s">
        <v>165</v>
      </c>
      <c r="N185" t="s">
        <v>201</v>
      </c>
      <c r="O185" t="s">
        <v>168</v>
      </c>
      <c r="P185">
        <v>4.5947415339965887E-2</v>
      </c>
      <c r="Q185" t="s">
        <v>165</v>
      </c>
      <c r="S185" t="s">
        <v>220</v>
      </c>
      <c r="T185" t="s">
        <v>168</v>
      </c>
      <c r="U185">
        <v>4.8715339650692843E-2</v>
      </c>
      <c r="V185" t="s">
        <v>165</v>
      </c>
      <c r="AK185">
        <v>2046</v>
      </c>
      <c r="AL185" t="s">
        <v>252</v>
      </c>
      <c r="AM185">
        <v>0.19639999999999999</v>
      </c>
      <c r="AN185" t="s">
        <v>244</v>
      </c>
    </row>
    <row r="186" spans="9:40" x14ac:dyDescent="0.45">
      <c r="I186" t="s">
        <v>177</v>
      </c>
      <c r="J186" t="s">
        <v>169</v>
      </c>
      <c r="K186">
        <v>7.5840850262736256E-3</v>
      </c>
      <c r="L186" t="s">
        <v>165</v>
      </c>
      <c r="N186" t="s">
        <v>201</v>
      </c>
      <c r="O186" t="s">
        <v>169</v>
      </c>
      <c r="P186">
        <v>6.2170303777026644E-3</v>
      </c>
      <c r="Q186" t="s">
        <v>165</v>
      </c>
      <c r="S186" t="s">
        <v>220</v>
      </c>
      <c r="T186" t="s">
        <v>169</v>
      </c>
      <c r="U186">
        <v>5.1914105892090666E-3</v>
      </c>
      <c r="V186" t="s">
        <v>165</v>
      </c>
      <c r="AK186">
        <v>2047</v>
      </c>
      <c r="AL186" t="s">
        <v>154</v>
      </c>
      <c r="AM186">
        <v>0.17375000000000002</v>
      </c>
      <c r="AN186" t="s">
        <v>244</v>
      </c>
    </row>
    <row r="187" spans="9:40" x14ac:dyDescent="0.45">
      <c r="I187" t="s">
        <v>177</v>
      </c>
      <c r="J187" t="s">
        <v>170</v>
      </c>
      <c r="K187">
        <v>7.0687679741159484E-2</v>
      </c>
      <c r="L187" t="s">
        <v>165</v>
      </c>
      <c r="N187" t="s">
        <v>201</v>
      </c>
      <c r="O187" t="s">
        <v>170</v>
      </c>
      <c r="P187">
        <v>4.5880420049535298E-2</v>
      </c>
      <c r="Q187" t="s">
        <v>165</v>
      </c>
      <c r="S187" t="s">
        <v>220</v>
      </c>
      <c r="T187" t="s">
        <v>170</v>
      </c>
      <c r="U187">
        <v>3.6391876721757921E-2</v>
      </c>
      <c r="V187" t="s">
        <v>165</v>
      </c>
      <c r="AK187">
        <v>2047</v>
      </c>
      <c r="AL187" t="s">
        <v>158</v>
      </c>
      <c r="AM187">
        <v>0.16439999999999999</v>
      </c>
      <c r="AN187" t="s">
        <v>244</v>
      </c>
    </row>
    <row r="188" spans="9:40" x14ac:dyDescent="0.45">
      <c r="I188" t="s">
        <v>177</v>
      </c>
      <c r="J188" t="s">
        <v>256</v>
      </c>
      <c r="K188">
        <v>6.1957892639843562E-3</v>
      </c>
      <c r="L188" t="s">
        <v>165</v>
      </c>
      <c r="N188" t="s">
        <v>201</v>
      </c>
      <c r="O188" t="s">
        <v>256</v>
      </c>
      <c r="P188">
        <v>6.2288058310884173E-3</v>
      </c>
      <c r="Q188" t="s">
        <v>165</v>
      </c>
      <c r="S188" t="s">
        <v>220</v>
      </c>
      <c r="T188" t="s">
        <v>256</v>
      </c>
      <c r="U188">
        <v>5.770128515311875E-3</v>
      </c>
      <c r="V188" t="s">
        <v>165</v>
      </c>
      <c r="AK188">
        <v>2047</v>
      </c>
      <c r="AL188" t="s">
        <v>160</v>
      </c>
      <c r="AM188">
        <v>0.29625000000000001</v>
      </c>
      <c r="AN188" t="s">
        <v>244</v>
      </c>
    </row>
    <row r="189" spans="9:40" x14ac:dyDescent="0.45">
      <c r="I189" t="s">
        <v>177</v>
      </c>
      <c r="J189" t="s">
        <v>257</v>
      </c>
      <c r="K189">
        <v>3.7049126399786394E-3</v>
      </c>
      <c r="L189" t="s">
        <v>165</v>
      </c>
      <c r="N189" t="s">
        <v>201</v>
      </c>
      <c r="O189" t="s">
        <v>257</v>
      </c>
      <c r="P189">
        <v>5.933349457904624E-3</v>
      </c>
      <c r="Q189" t="s">
        <v>165</v>
      </c>
      <c r="S189" t="s">
        <v>220</v>
      </c>
      <c r="T189" t="s">
        <v>257</v>
      </c>
      <c r="U189">
        <v>5.8236937477430788E-3</v>
      </c>
      <c r="V189" t="s">
        <v>165</v>
      </c>
      <c r="AK189">
        <v>2047</v>
      </c>
      <c r="AL189" t="s">
        <v>246</v>
      </c>
      <c r="AM189">
        <v>0.25064999999999998</v>
      </c>
      <c r="AN189" t="s">
        <v>244</v>
      </c>
    </row>
    <row r="190" spans="9:40" x14ac:dyDescent="0.45">
      <c r="I190" t="s">
        <v>177</v>
      </c>
      <c r="J190" t="s">
        <v>258</v>
      </c>
      <c r="K190">
        <v>2.3140158560894066E-4</v>
      </c>
      <c r="L190" t="s">
        <v>165</v>
      </c>
      <c r="N190" t="s">
        <v>201</v>
      </c>
      <c r="O190" t="s">
        <v>258</v>
      </c>
      <c r="P190">
        <v>3.2356154017464181E-2</v>
      </c>
      <c r="Q190" t="s">
        <v>165</v>
      </c>
      <c r="S190" t="s">
        <v>220</v>
      </c>
      <c r="T190" t="s">
        <v>258</v>
      </c>
      <c r="U190">
        <v>3.677129924981342E-2</v>
      </c>
      <c r="V190" t="s">
        <v>165</v>
      </c>
      <c r="AK190">
        <v>2047</v>
      </c>
      <c r="AL190" t="s">
        <v>248</v>
      </c>
      <c r="AM190">
        <v>0.17</v>
      </c>
      <c r="AN190" t="s">
        <v>244</v>
      </c>
    </row>
    <row r="191" spans="9:40" x14ac:dyDescent="0.45">
      <c r="I191" t="s">
        <v>177</v>
      </c>
      <c r="J191" t="s">
        <v>171</v>
      </c>
      <c r="K191">
        <v>4.8880522663433519E-2</v>
      </c>
      <c r="L191" t="s">
        <v>165</v>
      </c>
      <c r="N191" t="s">
        <v>201</v>
      </c>
      <c r="O191" t="s">
        <v>171</v>
      </c>
      <c r="P191">
        <v>7.3761077526752455E-2</v>
      </c>
      <c r="Q191" t="s">
        <v>165</v>
      </c>
      <c r="S191" t="s">
        <v>220</v>
      </c>
      <c r="T191" t="s">
        <v>171</v>
      </c>
      <c r="U191">
        <v>0.10340382105440075</v>
      </c>
      <c r="V191" t="s">
        <v>165</v>
      </c>
      <c r="AK191">
        <v>2047</v>
      </c>
      <c r="AL191" t="s">
        <v>250</v>
      </c>
      <c r="AM191">
        <v>0.24579999999999999</v>
      </c>
      <c r="AN191" t="s">
        <v>244</v>
      </c>
    </row>
    <row r="192" spans="9:40" x14ac:dyDescent="0.45">
      <c r="I192" t="s">
        <v>177</v>
      </c>
      <c r="J192" t="s">
        <v>172</v>
      </c>
      <c r="K192">
        <v>3.6524857176068459E-2</v>
      </c>
      <c r="L192" t="s">
        <v>165</v>
      </c>
      <c r="N192" t="s">
        <v>201</v>
      </c>
      <c r="O192" t="s">
        <v>172</v>
      </c>
      <c r="P192">
        <v>1.0172450996231003E-2</v>
      </c>
      <c r="Q192" t="s">
        <v>165</v>
      </c>
      <c r="S192" t="s">
        <v>220</v>
      </c>
      <c r="T192" t="s">
        <v>172</v>
      </c>
      <c r="U192">
        <v>1.1901415329098523E-2</v>
      </c>
      <c r="V192" t="s">
        <v>165</v>
      </c>
      <c r="AK192">
        <v>2047</v>
      </c>
      <c r="AL192" t="s">
        <v>252</v>
      </c>
      <c r="AM192">
        <v>0.20250000000000001</v>
      </c>
      <c r="AN192" t="s">
        <v>244</v>
      </c>
    </row>
    <row r="193" spans="9:40" x14ac:dyDescent="0.45">
      <c r="I193" t="s">
        <v>177</v>
      </c>
      <c r="J193" t="s">
        <v>173</v>
      </c>
      <c r="K193">
        <v>0.28093993415078128</v>
      </c>
      <c r="L193" t="s">
        <v>165</v>
      </c>
      <c r="N193" t="s">
        <v>201</v>
      </c>
      <c r="O193" t="s">
        <v>173</v>
      </c>
      <c r="P193">
        <v>7.2452562457200956E-2</v>
      </c>
      <c r="Q193" t="s">
        <v>165</v>
      </c>
      <c r="S193" t="s">
        <v>220</v>
      </c>
      <c r="T193" t="s">
        <v>173</v>
      </c>
      <c r="U193">
        <v>7.7268292976111833E-2</v>
      </c>
      <c r="V193" t="s">
        <v>165</v>
      </c>
      <c r="AK193">
        <v>2048</v>
      </c>
      <c r="AL193" t="s">
        <v>154</v>
      </c>
      <c r="AM193">
        <v>0.18504999999999999</v>
      </c>
      <c r="AN193" t="s">
        <v>244</v>
      </c>
    </row>
    <row r="194" spans="9:40" x14ac:dyDescent="0.45">
      <c r="I194" t="s">
        <v>177</v>
      </c>
      <c r="J194" t="s">
        <v>259</v>
      </c>
      <c r="K194">
        <v>2.6978039179559113E-2</v>
      </c>
      <c r="L194" t="s">
        <v>165</v>
      </c>
      <c r="N194" t="s">
        <v>201</v>
      </c>
      <c r="O194" t="s">
        <v>259</v>
      </c>
      <c r="P194">
        <v>1.0023902208819217E-2</v>
      </c>
      <c r="Q194" t="s">
        <v>165</v>
      </c>
      <c r="S194" t="s">
        <v>220</v>
      </c>
      <c r="T194" t="s">
        <v>259</v>
      </c>
      <c r="U194">
        <v>1.1692665394749826E-2</v>
      </c>
      <c r="V194" t="s">
        <v>165</v>
      </c>
      <c r="AK194">
        <v>2048</v>
      </c>
      <c r="AL194" t="s">
        <v>158</v>
      </c>
      <c r="AM194">
        <v>0.15090000000000001</v>
      </c>
      <c r="AN194" t="s">
        <v>244</v>
      </c>
    </row>
    <row r="195" spans="9:40" x14ac:dyDescent="0.45">
      <c r="I195" t="s">
        <v>177</v>
      </c>
      <c r="J195" t="s">
        <v>260</v>
      </c>
      <c r="K195">
        <v>2.0730817029039002E-2</v>
      </c>
      <c r="L195" t="s">
        <v>165</v>
      </c>
      <c r="N195" t="s">
        <v>201</v>
      </c>
      <c r="O195" t="s">
        <v>260</v>
      </c>
      <c r="P195">
        <v>9.4247091769265982E-3</v>
      </c>
      <c r="Q195" t="s">
        <v>165</v>
      </c>
      <c r="S195" t="s">
        <v>220</v>
      </c>
      <c r="T195" t="s">
        <v>260</v>
      </c>
      <c r="U195">
        <v>1.196826539621914E-2</v>
      </c>
      <c r="V195" t="s">
        <v>165</v>
      </c>
      <c r="AK195">
        <v>2048</v>
      </c>
      <c r="AL195" t="s">
        <v>160</v>
      </c>
      <c r="AM195">
        <v>0.29245000000000004</v>
      </c>
      <c r="AN195" t="s">
        <v>244</v>
      </c>
    </row>
    <row r="196" spans="9:40" x14ac:dyDescent="0.45">
      <c r="I196" t="s">
        <v>177</v>
      </c>
      <c r="J196" t="s">
        <v>261</v>
      </c>
      <c r="K196">
        <v>1.8257506576483548E-2</v>
      </c>
      <c r="L196" t="s">
        <v>165</v>
      </c>
      <c r="N196" t="s">
        <v>201</v>
      </c>
      <c r="O196" t="s">
        <v>261</v>
      </c>
      <c r="P196">
        <v>5.0585166270535428E-2</v>
      </c>
      <c r="Q196" t="s">
        <v>165</v>
      </c>
      <c r="S196" t="s">
        <v>220</v>
      </c>
      <c r="T196" t="s">
        <v>261</v>
      </c>
      <c r="U196">
        <v>7.5115635716972703E-2</v>
      </c>
      <c r="V196" t="s">
        <v>165</v>
      </c>
      <c r="AK196">
        <v>2048</v>
      </c>
      <c r="AL196" t="s">
        <v>246</v>
      </c>
      <c r="AM196">
        <v>0.23369999999999999</v>
      </c>
      <c r="AN196" t="s">
        <v>244</v>
      </c>
    </row>
    <row r="197" spans="9:40" x14ac:dyDescent="0.45">
      <c r="I197" t="s">
        <v>177</v>
      </c>
      <c r="J197" t="s">
        <v>262</v>
      </c>
      <c r="K197">
        <v>1.8462737194456683E-2</v>
      </c>
      <c r="L197" t="s">
        <v>165</v>
      </c>
      <c r="N197" t="s">
        <v>201</v>
      </c>
      <c r="O197" t="s">
        <v>262</v>
      </c>
      <c r="P197">
        <v>2.8333987158920843E-2</v>
      </c>
      <c r="Q197" t="s">
        <v>165</v>
      </c>
      <c r="S197" t="s">
        <v>220</v>
      </c>
      <c r="T197" t="s">
        <v>262</v>
      </c>
      <c r="U197">
        <v>3.9121895049621609E-2</v>
      </c>
      <c r="V197" t="s">
        <v>165</v>
      </c>
      <c r="AK197">
        <v>2048</v>
      </c>
      <c r="AL197" t="s">
        <v>248</v>
      </c>
      <c r="AM197">
        <v>0.19370000000000001</v>
      </c>
      <c r="AN197" t="s">
        <v>244</v>
      </c>
    </row>
    <row r="198" spans="9:40" x14ac:dyDescent="0.45">
      <c r="I198" t="s">
        <v>177</v>
      </c>
      <c r="J198" t="s">
        <v>263</v>
      </c>
      <c r="K198">
        <v>1.6482208102907025E-2</v>
      </c>
      <c r="L198" t="s">
        <v>165</v>
      </c>
      <c r="N198" t="s">
        <v>201</v>
      </c>
      <c r="O198" t="s">
        <v>263</v>
      </c>
      <c r="P198">
        <v>3.0409341554719113E-3</v>
      </c>
      <c r="Q198" t="s">
        <v>165</v>
      </c>
      <c r="S198" t="s">
        <v>220</v>
      </c>
      <c r="T198" t="s">
        <v>263</v>
      </c>
      <c r="U198">
        <v>4.445815202218286E-3</v>
      </c>
      <c r="V198" t="s">
        <v>165</v>
      </c>
      <c r="AK198">
        <v>2048</v>
      </c>
      <c r="AL198" t="s">
        <v>250</v>
      </c>
      <c r="AM198">
        <v>0.20530000000000001</v>
      </c>
      <c r="AN198" t="s">
        <v>244</v>
      </c>
    </row>
    <row r="199" spans="9:40" x14ac:dyDescent="0.45">
      <c r="I199" t="s">
        <v>177</v>
      </c>
      <c r="J199" t="s">
        <v>264</v>
      </c>
      <c r="K199">
        <v>0.13408190961682173</v>
      </c>
      <c r="L199" t="s">
        <v>165</v>
      </c>
      <c r="N199" t="s">
        <v>201</v>
      </c>
      <c r="O199" t="s">
        <v>264</v>
      </c>
      <c r="P199">
        <v>2.4929735617855352E-2</v>
      </c>
      <c r="Q199" t="s">
        <v>165</v>
      </c>
      <c r="S199" t="s">
        <v>220</v>
      </c>
      <c r="T199" t="s">
        <v>264</v>
      </c>
      <c r="U199">
        <v>2.4545743465267545E-2</v>
      </c>
      <c r="V199" t="s">
        <v>165</v>
      </c>
      <c r="AK199">
        <v>2048</v>
      </c>
      <c r="AL199" t="s">
        <v>252</v>
      </c>
      <c r="AM199">
        <v>0.1996</v>
      </c>
      <c r="AN199" t="s">
        <v>244</v>
      </c>
    </row>
    <row r="200" spans="9:40" x14ac:dyDescent="0.45">
      <c r="I200" t="s">
        <v>177</v>
      </c>
      <c r="J200" t="s">
        <v>265</v>
      </c>
      <c r="K200">
        <v>1.3529216083440652E-2</v>
      </c>
      <c r="L200" t="s">
        <v>165</v>
      </c>
      <c r="N200" t="s">
        <v>201</v>
      </c>
      <c r="O200" t="s">
        <v>265</v>
      </c>
      <c r="P200">
        <v>4.7597728081331036E-3</v>
      </c>
      <c r="Q200" t="s">
        <v>165</v>
      </c>
      <c r="S200" t="s">
        <v>220</v>
      </c>
      <c r="T200" t="s">
        <v>265</v>
      </c>
      <c r="U200">
        <v>3.7912866103813952E-3</v>
      </c>
      <c r="V200" t="s">
        <v>165</v>
      </c>
      <c r="AK200">
        <v>2049</v>
      </c>
      <c r="AL200" t="s">
        <v>154</v>
      </c>
      <c r="AM200">
        <v>0.17115000000000002</v>
      </c>
      <c r="AN200" t="s">
        <v>244</v>
      </c>
    </row>
    <row r="201" spans="9:40" x14ac:dyDescent="0.45">
      <c r="I201" t="s">
        <v>177</v>
      </c>
      <c r="J201" t="s">
        <v>266</v>
      </c>
      <c r="K201">
        <v>9.6363750483757071E-3</v>
      </c>
      <c r="L201" t="s">
        <v>165</v>
      </c>
      <c r="N201" t="s">
        <v>201</v>
      </c>
      <c r="O201" t="s">
        <v>266</v>
      </c>
      <c r="P201">
        <v>4.713222789469439E-3</v>
      </c>
      <c r="Q201" t="s">
        <v>165</v>
      </c>
      <c r="S201" t="s">
        <v>220</v>
      </c>
      <c r="T201" t="s">
        <v>266</v>
      </c>
      <c r="U201">
        <v>3.916033562077011E-3</v>
      </c>
      <c r="V201" t="s">
        <v>165</v>
      </c>
      <c r="AK201">
        <v>2049</v>
      </c>
      <c r="AL201" t="s">
        <v>158</v>
      </c>
      <c r="AM201">
        <v>0.16600000000000001</v>
      </c>
      <c r="AN201" t="s">
        <v>244</v>
      </c>
    </row>
    <row r="202" spans="9:40" x14ac:dyDescent="0.45">
      <c r="I202" t="s">
        <v>177</v>
      </c>
      <c r="J202" t="s">
        <v>267</v>
      </c>
      <c r="K202">
        <v>5.0223862456079474E-3</v>
      </c>
      <c r="L202" t="s">
        <v>165</v>
      </c>
      <c r="N202" t="s">
        <v>201</v>
      </c>
      <c r="O202" t="s">
        <v>267</v>
      </c>
      <c r="P202">
        <v>2.2680439112169486E-2</v>
      </c>
      <c r="Q202" t="s">
        <v>165</v>
      </c>
      <c r="S202" t="s">
        <v>220</v>
      </c>
      <c r="T202" t="s">
        <v>267</v>
      </c>
      <c r="U202">
        <v>2.5506992412364461E-2</v>
      </c>
      <c r="V202" t="s">
        <v>165</v>
      </c>
      <c r="AK202">
        <v>2049</v>
      </c>
      <c r="AL202" t="s">
        <v>160</v>
      </c>
      <c r="AM202">
        <v>0.29335</v>
      </c>
      <c r="AN202" t="s">
        <v>244</v>
      </c>
    </row>
    <row r="203" spans="9:40" x14ac:dyDescent="0.45">
      <c r="I203" t="s">
        <v>177</v>
      </c>
      <c r="J203" t="s">
        <v>268</v>
      </c>
      <c r="K203">
        <v>2.0875454626961098E-3</v>
      </c>
      <c r="L203" t="s">
        <v>165</v>
      </c>
      <c r="N203" t="s">
        <v>201</v>
      </c>
      <c r="O203" t="s">
        <v>268</v>
      </c>
      <c r="P203">
        <v>3.6207582340163282E-2</v>
      </c>
      <c r="Q203" t="s">
        <v>165</v>
      </c>
      <c r="S203" t="s">
        <v>220</v>
      </c>
      <c r="T203" t="s">
        <v>268</v>
      </c>
      <c r="U203">
        <v>2.2342721179291824E-2</v>
      </c>
      <c r="V203" t="s">
        <v>165</v>
      </c>
      <c r="AK203">
        <v>2049</v>
      </c>
      <c r="AL203" t="s">
        <v>246</v>
      </c>
      <c r="AM203">
        <v>0.24445</v>
      </c>
      <c r="AN203" t="s">
        <v>244</v>
      </c>
    </row>
    <row r="204" spans="9:40" x14ac:dyDescent="0.45">
      <c r="I204" t="s">
        <v>177</v>
      </c>
      <c r="J204" t="s">
        <v>269</v>
      </c>
      <c r="K204">
        <v>3.8675559243854674E-3</v>
      </c>
      <c r="L204" t="s">
        <v>165</v>
      </c>
      <c r="N204" t="s">
        <v>201</v>
      </c>
      <c r="O204" t="s">
        <v>269</v>
      </c>
      <c r="P204">
        <v>4.2475354745637262E-3</v>
      </c>
      <c r="Q204" t="s">
        <v>165</v>
      </c>
      <c r="S204" t="s">
        <v>220</v>
      </c>
      <c r="T204" t="s">
        <v>269</v>
      </c>
      <c r="U204">
        <v>2.5550480009442897E-3</v>
      </c>
      <c r="V204" t="s">
        <v>165</v>
      </c>
      <c r="AK204">
        <v>2049</v>
      </c>
      <c r="AL204" t="s">
        <v>248</v>
      </c>
      <c r="AM204">
        <v>0.20069999999999999</v>
      </c>
      <c r="AN204" t="s">
        <v>244</v>
      </c>
    </row>
    <row r="205" spans="9:40" x14ac:dyDescent="0.45">
      <c r="I205" t="s">
        <v>177</v>
      </c>
      <c r="J205" t="s">
        <v>270</v>
      </c>
      <c r="K205">
        <v>4.9517389354720137E-2</v>
      </c>
      <c r="L205" t="s">
        <v>165</v>
      </c>
      <c r="N205" t="s">
        <v>201</v>
      </c>
      <c r="O205" t="s">
        <v>270</v>
      </c>
      <c r="P205">
        <v>2.7230946556207319E-2</v>
      </c>
      <c r="Q205" t="s">
        <v>165</v>
      </c>
      <c r="S205" t="s">
        <v>220</v>
      </c>
      <c r="T205" t="s">
        <v>270</v>
      </c>
      <c r="U205">
        <v>1.7848235577825979E-2</v>
      </c>
      <c r="V205" t="s">
        <v>165</v>
      </c>
      <c r="AK205">
        <v>2049</v>
      </c>
      <c r="AL205" t="s">
        <v>250</v>
      </c>
      <c r="AM205">
        <v>0.24590000000000001</v>
      </c>
      <c r="AN205" t="s">
        <v>244</v>
      </c>
    </row>
    <row r="206" spans="9:40" x14ac:dyDescent="0.45">
      <c r="I206" t="s">
        <v>177</v>
      </c>
      <c r="J206" t="s">
        <v>271</v>
      </c>
      <c r="K206">
        <v>4.0625699634170278E-3</v>
      </c>
      <c r="L206" t="s">
        <v>165</v>
      </c>
      <c r="N206" t="s">
        <v>201</v>
      </c>
      <c r="O206" t="s">
        <v>271</v>
      </c>
      <c r="P206">
        <v>3.9912664778650993E-3</v>
      </c>
      <c r="Q206" t="s">
        <v>165</v>
      </c>
      <c r="S206" t="s">
        <v>220</v>
      </c>
      <c r="T206" t="s">
        <v>271</v>
      </c>
      <c r="U206">
        <v>2.7577906337658037E-3</v>
      </c>
      <c r="V206" t="s">
        <v>165</v>
      </c>
      <c r="AK206">
        <v>2049</v>
      </c>
      <c r="AL206" t="s">
        <v>252</v>
      </c>
      <c r="AM206">
        <v>0.2127</v>
      </c>
      <c r="AN206" t="s">
        <v>244</v>
      </c>
    </row>
    <row r="207" spans="9:40" x14ac:dyDescent="0.45">
      <c r="I207" t="s">
        <v>177</v>
      </c>
      <c r="J207" t="s">
        <v>272</v>
      </c>
      <c r="K207">
        <v>5.5328263289750317E-4</v>
      </c>
      <c r="L207" t="s">
        <v>165</v>
      </c>
      <c r="N207" t="s">
        <v>201</v>
      </c>
      <c r="O207" t="s">
        <v>272</v>
      </c>
      <c r="P207">
        <v>3.9853049699457689E-3</v>
      </c>
      <c r="Q207" t="s">
        <v>165</v>
      </c>
      <c r="S207" t="s">
        <v>220</v>
      </c>
      <c r="T207" t="s">
        <v>272</v>
      </c>
      <c r="U207">
        <v>2.9594478741605426E-3</v>
      </c>
      <c r="V207" t="s">
        <v>165</v>
      </c>
      <c r="AK207">
        <v>2050</v>
      </c>
      <c r="AL207" t="s">
        <v>154</v>
      </c>
      <c r="AM207">
        <v>0.16880000000000001</v>
      </c>
      <c r="AN207" t="s">
        <v>244</v>
      </c>
    </row>
    <row r="208" spans="9:40" x14ac:dyDescent="0.45">
      <c r="I208" t="s">
        <v>177</v>
      </c>
      <c r="J208" t="s">
        <v>273</v>
      </c>
      <c r="K208">
        <v>0</v>
      </c>
      <c r="L208" t="s">
        <v>165</v>
      </c>
      <c r="N208" t="s">
        <v>201</v>
      </c>
      <c r="O208" t="s">
        <v>273</v>
      </c>
      <c r="P208">
        <v>2.5799645515892682E-2</v>
      </c>
      <c r="Q208" t="s">
        <v>165</v>
      </c>
      <c r="S208" t="s">
        <v>220</v>
      </c>
      <c r="T208" t="s">
        <v>273</v>
      </c>
      <c r="U208">
        <v>1.9472588521119109E-2</v>
      </c>
      <c r="V208" t="s">
        <v>165</v>
      </c>
      <c r="AK208">
        <v>2050</v>
      </c>
      <c r="AL208" t="s">
        <v>158</v>
      </c>
      <c r="AM208">
        <v>0.15240000000000001</v>
      </c>
      <c r="AN208" t="s">
        <v>244</v>
      </c>
    </row>
    <row r="209" spans="9:40" x14ac:dyDescent="0.45">
      <c r="I209" t="s">
        <v>177</v>
      </c>
      <c r="J209" t="s">
        <v>274</v>
      </c>
      <c r="K209">
        <v>6.740178117371681E-4</v>
      </c>
      <c r="L209" t="s">
        <v>165</v>
      </c>
      <c r="N209" t="s">
        <v>201</v>
      </c>
      <c r="O209" t="s">
        <v>274</v>
      </c>
      <c r="P209">
        <v>5.6373200477808798E-2</v>
      </c>
      <c r="Q209" t="s">
        <v>165</v>
      </c>
      <c r="S209" t="s">
        <v>220</v>
      </c>
      <c r="T209" t="s">
        <v>274</v>
      </c>
      <c r="U209">
        <v>3.1341024099000213E-2</v>
      </c>
      <c r="V209" t="s">
        <v>165</v>
      </c>
      <c r="AK209">
        <v>2050</v>
      </c>
      <c r="AL209" t="s">
        <v>160</v>
      </c>
      <c r="AM209">
        <v>0.28775000000000001</v>
      </c>
      <c r="AN209" t="s">
        <v>244</v>
      </c>
    </row>
    <row r="210" spans="9:40" x14ac:dyDescent="0.45">
      <c r="I210" t="s">
        <v>177</v>
      </c>
      <c r="J210" t="s">
        <v>275</v>
      </c>
      <c r="K210">
        <v>3.2348859119378658E-3</v>
      </c>
      <c r="L210" t="s">
        <v>165</v>
      </c>
      <c r="N210" t="s">
        <v>201</v>
      </c>
      <c r="O210" t="s">
        <v>275</v>
      </c>
      <c r="P210">
        <v>6.729937022347446E-3</v>
      </c>
      <c r="Q210" t="s">
        <v>165</v>
      </c>
      <c r="S210" t="s">
        <v>220</v>
      </c>
      <c r="T210" t="s">
        <v>275</v>
      </c>
      <c r="U210">
        <v>4.0141626388630674E-3</v>
      </c>
      <c r="V210" t="s">
        <v>165</v>
      </c>
      <c r="AK210">
        <v>2050</v>
      </c>
      <c r="AL210" t="s">
        <v>246</v>
      </c>
      <c r="AM210">
        <v>0.24204999999999999</v>
      </c>
      <c r="AN210" t="s">
        <v>244</v>
      </c>
    </row>
    <row r="211" spans="9:40" x14ac:dyDescent="0.45">
      <c r="I211" t="s">
        <v>177</v>
      </c>
      <c r="J211" t="s">
        <v>276</v>
      </c>
      <c r="K211">
        <v>4.1292277356203527E-2</v>
      </c>
      <c r="L211" t="s">
        <v>165</v>
      </c>
      <c r="N211" t="s">
        <v>201</v>
      </c>
      <c r="O211" t="s">
        <v>276</v>
      </c>
      <c r="P211">
        <v>5.1312306571636497E-2</v>
      </c>
      <c r="Q211" t="s">
        <v>165</v>
      </c>
      <c r="S211" t="s">
        <v>220</v>
      </c>
      <c r="T211" t="s">
        <v>276</v>
      </c>
      <c r="U211">
        <v>2.8428819660383513E-2</v>
      </c>
      <c r="V211" t="s">
        <v>165</v>
      </c>
      <c r="AK211">
        <v>2050</v>
      </c>
      <c r="AL211" t="s">
        <v>248</v>
      </c>
      <c r="AM211">
        <v>0.19400000000000001</v>
      </c>
      <c r="AN211" t="s">
        <v>244</v>
      </c>
    </row>
    <row r="212" spans="9:40" x14ac:dyDescent="0.45">
      <c r="I212" t="s">
        <v>177</v>
      </c>
      <c r="J212" t="s">
        <v>277</v>
      </c>
      <c r="K212">
        <v>1.4357468085470803E-3</v>
      </c>
      <c r="L212" t="s">
        <v>165</v>
      </c>
      <c r="N212" t="s">
        <v>201</v>
      </c>
      <c r="O212" t="s">
        <v>277</v>
      </c>
      <c r="P212">
        <v>7.7658791954553236E-3</v>
      </c>
      <c r="Q212" t="s">
        <v>165</v>
      </c>
      <c r="S212" t="s">
        <v>220</v>
      </c>
      <c r="T212" t="s">
        <v>277</v>
      </c>
      <c r="U212">
        <v>4.0303766552482988E-3</v>
      </c>
      <c r="V212" t="s">
        <v>165</v>
      </c>
      <c r="AK212">
        <v>2050</v>
      </c>
      <c r="AL212" t="s">
        <v>250</v>
      </c>
      <c r="AM212">
        <v>0.20349999999999999</v>
      </c>
      <c r="AN212" t="s">
        <v>244</v>
      </c>
    </row>
    <row r="213" spans="9:40" x14ac:dyDescent="0.45">
      <c r="I213" t="s">
        <v>177</v>
      </c>
      <c r="J213" t="s">
        <v>278</v>
      </c>
      <c r="K213">
        <v>0</v>
      </c>
      <c r="L213" t="s">
        <v>165</v>
      </c>
      <c r="N213" t="s">
        <v>201</v>
      </c>
      <c r="O213" t="s">
        <v>278</v>
      </c>
      <c r="P213">
        <v>7.7257097504580246E-3</v>
      </c>
      <c r="Q213" t="s">
        <v>165</v>
      </c>
      <c r="S213" t="s">
        <v>220</v>
      </c>
      <c r="T213" t="s">
        <v>278</v>
      </c>
      <c r="U213">
        <v>4.1272443201823142E-3</v>
      </c>
      <c r="V213" t="s">
        <v>165</v>
      </c>
      <c r="AK213">
        <v>2050</v>
      </c>
      <c r="AL213" t="s">
        <v>252</v>
      </c>
      <c r="AM213">
        <v>0.19420000000000001</v>
      </c>
      <c r="AN213" t="s">
        <v>244</v>
      </c>
    </row>
    <row r="214" spans="9:40" x14ac:dyDescent="0.45">
      <c r="I214" t="s">
        <v>177</v>
      </c>
      <c r="J214" t="s">
        <v>279</v>
      </c>
      <c r="K214">
        <v>0</v>
      </c>
      <c r="L214" t="s">
        <v>165</v>
      </c>
      <c r="N214" t="s">
        <v>201</v>
      </c>
      <c r="O214" t="s">
        <v>279</v>
      </c>
      <c r="P214">
        <v>4.4349893041522453E-2</v>
      </c>
      <c r="Q214" t="s">
        <v>165</v>
      </c>
      <c r="S214" t="s">
        <v>220</v>
      </c>
      <c r="T214" t="s">
        <v>279</v>
      </c>
      <c r="U214">
        <v>2.552262596805676E-2</v>
      </c>
      <c r="V214" t="s">
        <v>165</v>
      </c>
    </row>
    <row r="215" spans="9:40" x14ac:dyDescent="0.45">
      <c r="I215" t="s">
        <v>177</v>
      </c>
      <c r="J215" t="s">
        <v>280</v>
      </c>
      <c r="K215">
        <v>0</v>
      </c>
      <c r="L215" t="s">
        <v>165</v>
      </c>
      <c r="N215" t="s">
        <v>201</v>
      </c>
      <c r="O215" t="s">
        <v>280</v>
      </c>
      <c r="P215">
        <v>3.5597460640088195E-2</v>
      </c>
      <c r="Q215" t="s">
        <v>165</v>
      </c>
      <c r="S215" t="s">
        <v>220</v>
      </c>
      <c r="T215" t="s">
        <v>280</v>
      </c>
      <c r="U215">
        <v>2.5376273962591105E-2</v>
      </c>
      <c r="V215" t="s">
        <v>165</v>
      </c>
    </row>
    <row r="216" spans="9:40" x14ac:dyDescent="0.45">
      <c r="I216" t="s">
        <v>177</v>
      </c>
      <c r="J216" t="s">
        <v>281</v>
      </c>
      <c r="K216">
        <v>3.7416376238600833E-3</v>
      </c>
      <c r="L216" t="s">
        <v>165</v>
      </c>
      <c r="N216" t="s">
        <v>201</v>
      </c>
      <c r="O216" t="s">
        <v>281</v>
      </c>
      <c r="P216">
        <v>4.1659105674070338E-3</v>
      </c>
      <c r="Q216" t="s">
        <v>165</v>
      </c>
      <c r="S216" t="s">
        <v>220</v>
      </c>
      <c r="T216" t="s">
        <v>281</v>
      </c>
      <c r="U216">
        <v>3.0936696914820858E-3</v>
      </c>
      <c r="V216" t="s">
        <v>165</v>
      </c>
    </row>
    <row r="217" spans="9:40" x14ac:dyDescent="0.45">
      <c r="I217" t="s">
        <v>177</v>
      </c>
      <c r="J217" t="s">
        <v>282</v>
      </c>
      <c r="K217">
        <v>4.8065597635265404E-2</v>
      </c>
      <c r="L217" t="s">
        <v>165</v>
      </c>
      <c r="N217" t="s">
        <v>201</v>
      </c>
      <c r="O217" t="s">
        <v>282</v>
      </c>
      <c r="P217">
        <v>2.5752311756258157E-2</v>
      </c>
      <c r="Q217" t="s">
        <v>165</v>
      </c>
      <c r="S217" t="s">
        <v>220</v>
      </c>
      <c r="T217" t="s">
        <v>282</v>
      </c>
      <c r="U217">
        <v>2.1315809921931762E-2</v>
      </c>
      <c r="V217" t="s">
        <v>165</v>
      </c>
    </row>
    <row r="218" spans="9:40" x14ac:dyDescent="0.45">
      <c r="I218" t="s">
        <v>177</v>
      </c>
      <c r="J218" t="s">
        <v>283</v>
      </c>
      <c r="K218">
        <v>1.3875619814306481E-4</v>
      </c>
      <c r="L218" t="s">
        <v>165</v>
      </c>
      <c r="N218" t="s">
        <v>201</v>
      </c>
      <c r="O218" t="s">
        <v>283</v>
      </c>
      <c r="P218">
        <v>3.5313766359297738E-3</v>
      </c>
      <c r="Q218" t="s">
        <v>165</v>
      </c>
      <c r="S218" t="s">
        <v>220</v>
      </c>
      <c r="T218" t="s">
        <v>283</v>
      </c>
      <c r="U218">
        <v>3.0680746998953544E-3</v>
      </c>
      <c r="V218" t="s">
        <v>165</v>
      </c>
    </row>
    <row r="219" spans="9:40" x14ac:dyDescent="0.45">
      <c r="I219" t="s">
        <v>177</v>
      </c>
      <c r="J219" t="s">
        <v>284</v>
      </c>
      <c r="K219">
        <v>0</v>
      </c>
      <c r="L219" t="s">
        <v>165</v>
      </c>
      <c r="N219" t="s">
        <v>201</v>
      </c>
      <c r="O219" t="s">
        <v>284</v>
      </c>
      <c r="P219">
        <v>3.4637149456011171E-3</v>
      </c>
      <c r="Q219" t="s">
        <v>165</v>
      </c>
      <c r="S219" t="s">
        <v>220</v>
      </c>
      <c r="T219" t="s">
        <v>284</v>
      </c>
      <c r="U219">
        <v>3.0486693931984364E-3</v>
      </c>
      <c r="V219" t="s">
        <v>165</v>
      </c>
    </row>
    <row r="220" spans="9:40" x14ac:dyDescent="0.45">
      <c r="I220" t="s">
        <v>177</v>
      </c>
      <c r="J220" t="s">
        <v>285</v>
      </c>
      <c r="K220">
        <v>0</v>
      </c>
      <c r="L220" t="s">
        <v>165</v>
      </c>
      <c r="N220" t="s">
        <v>201</v>
      </c>
      <c r="O220" t="s">
        <v>285</v>
      </c>
      <c r="P220">
        <v>2.0915870308918446E-2</v>
      </c>
      <c r="Q220" t="s">
        <v>165</v>
      </c>
      <c r="S220" t="s">
        <v>220</v>
      </c>
      <c r="T220" t="s">
        <v>285</v>
      </c>
      <c r="U220">
        <v>1.6589574744507146E-2</v>
      </c>
      <c r="V220" t="s">
        <v>165</v>
      </c>
    </row>
    <row r="221" spans="9:40" x14ac:dyDescent="0.45">
      <c r="I221" t="s">
        <v>178</v>
      </c>
      <c r="J221" t="s">
        <v>164</v>
      </c>
      <c r="K221">
        <v>1.3057475836023005E-3</v>
      </c>
      <c r="L221" t="s">
        <v>165</v>
      </c>
      <c r="N221" t="s">
        <v>202</v>
      </c>
      <c r="O221" t="s">
        <v>164</v>
      </c>
      <c r="P221">
        <v>5.702152492694295E-2</v>
      </c>
      <c r="Q221" t="s">
        <v>165</v>
      </c>
      <c r="S221" t="s">
        <v>221</v>
      </c>
      <c r="T221" t="s">
        <v>164</v>
      </c>
      <c r="U221">
        <v>7.4174175465549247E-2</v>
      </c>
      <c r="V221" t="s">
        <v>165</v>
      </c>
    </row>
    <row r="222" spans="9:40" x14ac:dyDescent="0.45">
      <c r="I222" t="s">
        <v>178</v>
      </c>
      <c r="J222" t="s">
        <v>166</v>
      </c>
      <c r="K222">
        <v>8.3001647698777263E-3</v>
      </c>
      <c r="L222" t="s">
        <v>165</v>
      </c>
      <c r="N222" t="s">
        <v>202</v>
      </c>
      <c r="O222" t="s">
        <v>166</v>
      </c>
      <c r="P222">
        <v>5.7485060458233256E-3</v>
      </c>
      <c r="Q222" t="s">
        <v>165</v>
      </c>
      <c r="S222" t="s">
        <v>221</v>
      </c>
      <c r="T222" t="s">
        <v>166</v>
      </c>
      <c r="U222">
        <v>9.6931263992165034E-3</v>
      </c>
      <c r="V222" t="s">
        <v>165</v>
      </c>
    </row>
    <row r="223" spans="9:40" x14ac:dyDescent="0.45">
      <c r="I223" t="s">
        <v>178</v>
      </c>
      <c r="J223" t="s">
        <v>167</v>
      </c>
      <c r="K223">
        <v>0.10187508331472142</v>
      </c>
      <c r="L223" t="s">
        <v>165</v>
      </c>
      <c r="N223" t="s">
        <v>202</v>
      </c>
      <c r="O223" t="s">
        <v>167</v>
      </c>
      <c r="P223">
        <v>4.5839638173720637E-2</v>
      </c>
      <c r="Q223" t="s">
        <v>165</v>
      </c>
      <c r="S223" t="s">
        <v>221</v>
      </c>
      <c r="T223" t="s">
        <v>167</v>
      </c>
      <c r="U223">
        <v>7.1542833806699832E-2</v>
      </c>
      <c r="V223" t="s">
        <v>165</v>
      </c>
    </row>
    <row r="224" spans="9:40" x14ac:dyDescent="0.45">
      <c r="I224" t="s">
        <v>178</v>
      </c>
      <c r="J224" t="s">
        <v>253</v>
      </c>
      <c r="K224">
        <v>7.8780138406487794E-3</v>
      </c>
      <c r="L224" t="s">
        <v>165</v>
      </c>
      <c r="N224" t="s">
        <v>202</v>
      </c>
      <c r="O224" t="s">
        <v>253</v>
      </c>
      <c r="P224">
        <v>6.8011612539578886E-3</v>
      </c>
      <c r="Q224" t="s">
        <v>165</v>
      </c>
      <c r="S224" t="s">
        <v>221</v>
      </c>
      <c r="T224" t="s">
        <v>253</v>
      </c>
      <c r="U224">
        <v>1.056401051740511E-2</v>
      </c>
      <c r="V224" t="s">
        <v>165</v>
      </c>
    </row>
    <row r="225" spans="9:22" x14ac:dyDescent="0.45">
      <c r="I225" t="s">
        <v>178</v>
      </c>
      <c r="J225" t="s">
        <v>254</v>
      </c>
      <c r="K225">
        <v>1.884613541080854E-3</v>
      </c>
      <c r="L225" t="s">
        <v>165</v>
      </c>
      <c r="N225" t="s">
        <v>202</v>
      </c>
      <c r="O225" t="s">
        <v>254</v>
      </c>
      <c r="P225">
        <v>6.0365116619683079E-3</v>
      </c>
      <c r="Q225" t="s">
        <v>165</v>
      </c>
      <c r="S225" t="s">
        <v>221</v>
      </c>
      <c r="T225" t="s">
        <v>254</v>
      </c>
      <c r="U225">
        <v>1.0389597399086174E-2</v>
      </c>
      <c r="V225" t="s">
        <v>165</v>
      </c>
    </row>
    <row r="226" spans="9:22" x14ac:dyDescent="0.45">
      <c r="I226" t="s">
        <v>178</v>
      </c>
      <c r="J226" t="s">
        <v>255</v>
      </c>
      <c r="K226">
        <v>0</v>
      </c>
      <c r="L226" t="s">
        <v>165</v>
      </c>
      <c r="N226" t="s">
        <v>202</v>
      </c>
      <c r="O226" t="s">
        <v>255</v>
      </c>
      <c r="P226">
        <v>3.955088323438305E-2</v>
      </c>
      <c r="Q226" t="s">
        <v>165</v>
      </c>
      <c r="S226" t="s">
        <v>221</v>
      </c>
      <c r="T226" t="s">
        <v>255</v>
      </c>
      <c r="U226">
        <v>6.0313454915289548E-2</v>
      </c>
      <c r="V226" t="s">
        <v>165</v>
      </c>
    </row>
    <row r="227" spans="9:22" x14ac:dyDescent="0.45">
      <c r="I227" t="s">
        <v>178</v>
      </c>
      <c r="J227" t="s">
        <v>168</v>
      </c>
      <c r="K227">
        <v>5.4229951042903896E-3</v>
      </c>
      <c r="L227" t="s">
        <v>165</v>
      </c>
      <c r="N227" t="s">
        <v>202</v>
      </c>
      <c r="O227" t="s">
        <v>168</v>
      </c>
      <c r="P227">
        <v>2.7491929549902469E-2</v>
      </c>
      <c r="Q227" t="s">
        <v>165</v>
      </c>
      <c r="S227" t="s">
        <v>221</v>
      </c>
      <c r="T227" t="s">
        <v>168</v>
      </c>
      <c r="U227">
        <v>4.8279658080613047E-2</v>
      </c>
      <c r="V227" t="s">
        <v>165</v>
      </c>
    </row>
    <row r="228" spans="9:22" x14ac:dyDescent="0.45">
      <c r="I228" t="s">
        <v>178</v>
      </c>
      <c r="J228" t="s">
        <v>169</v>
      </c>
      <c r="K228">
        <v>7.5188474655748646E-3</v>
      </c>
      <c r="L228" t="s">
        <v>165</v>
      </c>
      <c r="N228" t="s">
        <v>202</v>
      </c>
      <c r="O228" t="s">
        <v>169</v>
      </c>
      <c r="P228">
        <v>4.0565613393147952E-3</v>
      </c>
      <c r="Q228" t="s">
        <v>165</v>
      </c>
      <c r="S228" t="s">
        <v>221</v>
      </c>
      <c r="T228" t="s">
        <v>169</v>
      </c>
      <c r="U228">
        <v>6.1827060691433894E-3</v>
      </c>
      <c r="V228" t="s">
        <v>165</v>
      </c>
    </row>
    <row r="229" spans="9:22" x14ac:dyDescent="0.45">
      <c r="I229" t="s">
        <v>178</v>
      </c>
      <c r="J229" t="s">
        <v>170</v>
      </c>
      <c r="K229">
        <v>6.2593204429153823E-2</v>
      </c>
      <c r="L229" t="s">
        <v>165</v>
      </c>
      <c r="N229" t="s">
        <v>202</v>
      </c>
      <c r="O229" t="s">
        <v>170</v>
      </c>
      <c r="P229">
        <v>3.8281041624002227E-2</v>
      </c>
      <c r="Q229" t="s">
        <v>165</v>
      </c>
      <c r="S229" t="s">
        <v>221</v>
      </c>
      <c r="T229" t="s">
        <v>170</v>
      </c>
      <c r="U229">
        <v>4.3024914768984027E-2</v>
      </c>
      <c r="V229" t="s">
        <v>165</v>
      </c>
    </row>
    <row r="230" spans="9:22" x14ac:dyDescent="0.45">
      <c r="I230" t="s">
        <v>178</v>
      </c>
      <c r="J230" t="s">
        <v>256</v>
      </c>
      <c r="K230">
        <v>5.427934027780597E-3</v>
      </c>
      <c r="L230" t="s">
        <v>165</v>
      </c>
      <c r="N230" t="s">
        <v>202</v>
      </c>
      <c r="O230" t="s">
        <v>256</v>
      </c>
      <c r="P230">
        <v>5.5013929796941113E-3</v>
      </c>
      <c r="Q230" t="s">
        <v>165</v>
      </c>
      <c r="S230" t="s">
        <v>221</v>
      </c>
      <c r="T230" t="s">
        <v>256</v>
      </c>
      <c r="U230">
        <v>6.4497635609647398E-3</v>
      </c>
      <c r="V230" t="s">
        <v>165</v>
      </c>
    </row>
    <row r="231" spans="9:22" x14ac:dyDescent="0.45">
      <c r="I231" t="s">
        <v>178</v>
      </c>
      <c r="J231" t="s">
        <v>257</v>
      </c>
      <c r="K231">
        <v>3.4101960903475817E-3</v>
      </c>
      <c r="L231" t="s">
        <v>165</v>
      </c>
      <c r="N231" t="s">
        <v>202</v>
      </c>
      <c r="O231" t="s">
        <v>257</v>
      </c>
      <c r="P231">
        <v>5.0126507857766994E-3</v>
      </c>
      <c r="Q231" t="s">
        <v>165</v>
      </c>
      <c r="S231" t="s">
        <v>221</v>
      </c>
      <c r="T231" t="s">
        <v>257</v>
      </c>
      <c r="U231">
        <v>6.4097555327346581E-3</v>
      </c>
      <c r="V231" t="s">
        <v>165</v>
      </c>
    </row>
    <row r="232" spans="9:22" x14ac:dyDescent="0.45">
      <c r="I232" t="s">
        <v>178</v>
      </c>
      <c r="J232" t="s">
        <v>258</v>
      </c>
      <c r="K232">
        <v>2.3406322397070397E-4</v>
      </c>
      <c r="L232" t="s">
        <v>165</v>
      </c>
      <c r="N232" t="s">
        <v>202</v>
      </c>
      <c r="O232" t="s">
        <v>258</v>
      </c>
      <c r="P232">
        <v>2.189236201406412E-2</v>
      </c>
      <c r="Q232" t="s">
        <v>165</v>
      </c>
      <c r="S232" t="s">
        <v>221</v>
      </c>
      <c r="T232" t="s">
        <v>258</v>
      </c>
      <c r="U232">
        <v>3.7517346384471156E-2</v>
      </c>
      <c r="V232" t="s">
        <v>165</v>
      </c>
    </row>
    <row r="233" spans="9:22" x14ac:dyDescent="0.45">
      <c r="I233" t="s">
        <v>178</v>
      </c>
      <c r="J233" t="s">
        <v>171</v>
      </c>
      <c r="K233">
        <v>5.6658468950629842E-2</v>
      </c>
      <c r="L233" t="s">
        <v>165</v>
      </c>
      <c r="N233" t="s">
        <v>202</v>
      </c>
      <c r="O233" t="s">
        <v>171</v>
      </c>
      <c r="P233">
        <v>7.1477883291275024E-2</v>
      </c>
      <c r="Q233" t="s">
        <v>165</v>
      </c>
      <c r="S233" t="s">
        <v>221</v>
      </c>
      <c r="T233" t="s">
        <v>171</v>
      </c>
      <c r="U233">
        <v>8.3504940665504082E-2</v>
      </c>
      <c r="V233" t="s">
        <v>165</v>
      </c>
    </row>
    <row r="234" spans="9:22" x14ac:dyDescent="0.45">
      <c r="I234" t="s">
        <v>178</v>
      </c>
      <c r="J234" t="s">
        <v>172</v>
      </c>
      <c r="K234">
        <v>3.6927730446593122E-2</v>
      </c>
      <c r="L234" t="s">
        <v>165</v>
      </c>
      <c r="N234" t="s">
        <v>202</v>
      </c>
      <c r="O234" t="s">
        <v>172</v>
      </c>
      <c r="P234">
        <v>8.0805066160886067E-3</v>
      </c>
      <c r="Q234" t="s">
        <v>165</v>
      </c>
      <c r="S234" t="s">
        <v>221</v>
      </c>
      <c r="T234" t="s">
        <v>172</v>
      </c>
      <c r="U234">
        <v>1.0160168665913042E-2</v>
      </c>
      <c r="V234" t="s">
        <v>165</v>
      </c>
    </row>
    <row r="235" spans="9:22" x14ac:dyDescent="0.45">
      <c r="I235" t="s">
        <v>178</v>
      </c>
      <c r="J235" t="s">
        <v>173</v>
      </c>
      <c r="K235">
        <v>0.27716161737769918</v>
      </c>
      <c r="L235" t="s">
        <v>165</v>
      </c>
      <c r="N235" t="s">
        <v>202</v>
      </c>
      <c r="O235" t="s">
        <v>173</v>
      </c>
      <c r="P235">
        <v>9.7673973199456879E-2</v>
      </c>
      <c r="Q235" t="s">
        <v>165</v>
      </c>
      <c r="S235" t="s">
        <v>221</v>
      </c>
      <c r="T235" t="s">
        <v>173</v>
      </c>
      <c r="U235">
        <v>8.2461245131546401E-2</v>
      </c>
      <c r="V235" t="s">
        <v>165</v>
      </c>
    </row>
    <row r="236" spans="9:22" x14ac:dyDescent="0.45">
      <c r="I236" t="s">
        <v>178</v>
      </c>
      <c r="J236" t="s">
        <v>259</v>
      </c>
      <c r="K236">
        <v>2.6690720079125634E-2</v>
      </c>
      <c r="L236" t="s">
        <v>165</v>
      </c>
      <c r="N236" t="s">
        <v>202</v>
      </c>
      <c r="O236" t="s">
        <v>259</v>
      </c>
      <c r="P236">
        <v>1.5795307701549757E-2</v>
      </c>
      <c r="Q236" t="s">
        <v>165</v>
      </c>
      <c r="S236" t="s">
        <v>221</v>
      </c>
      <c r="T236" t="s">
        <v>259</v>
      </c>
      <c r="U236">
        <v>1.3251027229632178E-2</v>
      </c>
      <c r="V236" t="s">
        <v>165</v>
      </c>
    </row>
    <row r="237" spans="9:22" x14ac:dyDescent="0.45">
      <c r="I237" t="s">
        <v>178</v>
      </c>
      <c r="J237" t="s">
        <v>260</v>
      </c>
      <c r="K237">
        <v>2.0321808393886819E-2</v>
      </c>
      <c r="L237" t="s">
        <v>165</v>
      </c>
      <c r="N237" t="s">
        <v>202</v>
      </c>
      <c r="O237" t="s">
        <v>260</v>
      </c>
      <c r="P237">
        <v>1.4943655030594284E-2</v>
      </c>
      <c r="Q237" t="s">
        <v>165</v>
      </c>
      <c r="S237" t="s">
        <v>221</v>
      </c>
      <c r="T237" t="s">
        <v>260</v>
      </c>
      <c r="U237">
        <v>1.2703420991988226E-2</v>
      </c>
      <c r="V237" t="s">
        <v>165</v>
      </c>
    </row>
    <row r="238" spans="9:22" x14ac:dyDescent="0.45">
      <c r="I238" t="s">
        <v>178</v>
      </c>
      <c r="J238" t="s">
        <v>261</v>
      </c>
      <c r="K238">
        <v>1.8028174594282347E-2</v>
      </c>
      <c r="L238" t="s">
        <v>165</v>
      </c>
      <c r="N238" t="s">
        <v>202</v>
      </c>
      <c r="O238" t="s">
        <v>261</v>
      </c>
      <c r="P238">
        <v>6.2497670723465841E-2</v>
      </c>
      <c r="Q238" t="s">
        <v>165</v>
      </c>
      <c r="S238" t="s">
        <v>221</v>
      </c>
      <c r="T238" t="s">
        <v>261</v>
      </c>
      <c r="U238">
        <v>6.4739341908232453E-2</v>
      </c>
      <c r="V238" t="s">
        <v>165</v>
      </c>
    </row>
    <row r="239" spans="9:22" x14ac:dyDescent="0.45">
      <c r="I239" t="s">
        <v>178</v>
      </c>
      <c r="J239" t="s">
        <v>262</v>
      </c>
      <c r="K239">
        <v>2.2242377456748379E-2</v>
      </c>
      <c r="L239" t="s">
        <v>165</v>
      </c>
      <c r="N239" t="s">
        <v>202</v>
      </c>
      <c r="O239" t="s">
        <v>262</v>
      </c>
      <c r="P239">
        <v>3.3675943906558203E-2</v>
      </c>
      <c r="Q239" t="s">
        <v>165</v>
      </c>
      <c r="S239" t="s">
        <v>221</v>
      </c>
      <c r="T239" t="s">
        <v>262</v>
      </c>
      <c r="U239">
        <v>3.1796914433261179E-2</v>
      </c>
      <c r="V239" t="s">
        <v>165</v>
      </c>
    </row>
    <row r="240" spans="9:22" x14ac:dyDescent="0.45">
      <c r="I240" t="s">
        <v>178</v>
      </c>
      <c r="J240" t="s">
        <v>263</v>
      </c>
      <c r="K240">
        <v>1.8475187127658624E-2</v>
      </c>
      <c r="L240" t="s">
        <v>165</v>
      </c>
      <c r="N240" t="s">
        <v>202</v>
      </c>
      <c r="O240" t="s">
        <v>263</v>
      </c>
      <c r="P240">
        <v>2.6650988883479281E-3</v>
      </c>
      <c r="Q240" t="s">
        <v>165</v>
      </c>
      <c r="S240" t="s">
        <v>221</v>
      </c>
      <c r="T240" t="s">
        <v>263</v>
      </c>
      <c r="U240">
        <v>4.1025283932759199E-3</v>
      </c>
      <c r="V240" t="s">
        <v>165</v>
      </c>
    </row>
    <row r="241" spans="9:22" x14ac:dyDescent="0.45">
      <c r="I241" t="s">
        <v>178</v>
      </c>
      <c r="J241" t="s">
        <v>264</v>
      </c>
      <c r="K241">
        <v>0.14140959715142307</v>
      </c>
      <c r="L241" t="s">
        <v>165</v>
      </c>
      <c r="N241" t="s">
        <v>202</v>
      </c>
      <c r="O241" t="s">
        <v>264</v>
      </c>
      <c r="P241">
        <v>3.8650303745510331E-2</v>
      </c>
      <c r="Q241" t="s">
        <v>165</v>
      </c>
      <c r="S241" t="s">
        <v>221</v>
      </c>
      <c r="T241" t="s">
        <v>264</v>
      </c>
      <c r="U241">
        <v>3.3435430319692441E-2</v>
      </c>
      <c r="V241" t="s">
        <v>165</v>
      </c>
    </row>
    <row r="242" spans="9:22" x14ac:dyDescent="0.45">
      <c r="I242" t="s">
        <v>178</v>
      </c>
      <c r="J242" t="s">
        <v>265</v>
      </c>
      <c r="K242">
        <v>1.4421936500897873E-2</v>
      </c>
      <c r="L242" t="s">
        <v>165</v>
      </c>
      <c r="N242" t="s">
        <v>202</v>
      </c>
      <c r="O242" t="s">
        <v>265</v>
      </c>
      <c r="P242">
        <v>7.5128799697376037E-3</v>
      </c>
      <c r="Q242" t="s">
        <v>165</v>
      </c>
      <c r="S242" t="s">
        <v>221</v>
      </c>
      <c r="T242" t="s">
        <v>265</v>
      </c>
      <c r="U242">
        <v>5.186893549485933E-3</v>
      </c>
      <c r="V242" t="s">
        <v>165</v>
      </c>
    </row>
    <row r="243" spans="9:22" x14ac:dyDescent="0.45">
      <c r="I243" t="s">
        <v>178</v>
      </c>
      <c r="J243" t="s">
        <v>266</v>
      </c>
      <c r="K243">
        <v>1.0183127692131824E-2</v>
      </c>
      <c r="L243" t="s">
        <v>165</v>
      </c>
      <c r="N243" t="s">
        <v>202</v>
      </c>
      <c r="O243" t="s">
        <v>266</v>
      </c>
      <c r="P243">
        <v>7.0655423182310034E-3</v>
      </c>
      <c r="Q243" t="s">
        <v>165</v>
      </c>
      <c r="S243" t="s">
        <v>221</v>
      </c>
      <c r="T243" t="s">
        <v>266</v>
      </c>
      <c r="U243">
        <v>4.78990483267635E-3</v>
      </c>
      <c r="V243" t="s">
        <v>165</v>
      </c>
    </row>
    <row r="244" spans="9:22" x14ac:dyDescent="0.45">
      <c r="I244" t="s">
        <v>178</v>
      </c>
      <c r="J244" t="s">
        <v>267</v>
      </c>
      <c r="K244">
        <v>5.1607806763655862E-3</v>
      </c>
      <c r="L244" t="s">
        <v>165</v>
      </c>
      <c r="N244" t="s">
        <v>202</v>
      </c>
      <c r="O244" t="s">
        <v>267</v>
      </c>
      <c r="P244">
        <v>2.408490264241564E-2</v>
      </c>
      <c r="Q244" t="s">
        <v>165</v>
      </c>
      <c r="S244" t="s">
        <v>221</v>
      </c>
      <c r="T244" t="s">
        <v>267</v>
      </c>
      <c r="U244">
        <v>2.4558834337947911E-2</v>
      </c>
      <c r="V244" t="s">
        <v>165</v>
      </c>
    </row>
    <row r="245" spans="9:22" x14ac:dyDescent="0.45">
      <c r="I245" t="s">
        <v>178</v>
      </c>
      <c r="J245" t="s">
        <v>268</v>
      </c>
      <c r="K245">
        <v>2.1127703945072493E-3</v>
      </c>
      <c r="L245" t="s">
        <v>165</v>
      </c>
      <c r="N245" t="s">
        <v>202</v>
      </c>
      <c r="O245" t="s">
        <v>268</v>
      </c>
      <c r="P245">
        <v>1.8508330640541863E-2</v>
      </c>
      <c r="Q245" t="s">
        <v>165</v>
      </c>
      <c r="S245" t="s">
        <v>221</v>
      </c>
      <c r="T245" t="s">
        <v>268</v>
      </c>
      <c r="U245">
        <v>1.9200030116655484E-2</v>
      </c>
      <c r="V245" t="s">
        <v>165</v>
      </c>
    </row>
    <row r="246" spans="9:22" x14ac:dyDescent="0.45">
      <c r="I246" t="s">
        <v>178</v>
      </c>
      <c r="J246" t="s">
        <v>269</v>
      </c>
      <c r="K246">
        <v>3.7217766989327567E-3</v>
      </c>
      <c r="L246" t="s">
        <v>165</v>
      </c>
      <c r="N246" t="s">
        <v>202</v>
      </c>
      <c r="O246" t="s">
        <v>269</v>
      </c>
      <c r="P246">
        <v>1.4007712135291246E-3</v>
      </c>
      <c r="Q246" t="s">
        <v>165</v>
      </c>
      <c r="S246" t="s">
        <v>221</v>
      </c>
      <c r="T246" t="s">
        <v>269</v>
      </c>
      <c r="U246">
        <v>2.3489473891040386E-3</v>
      </c>
      <c r="V246" t="s">
        <v>165</v>
      </c>
    </row>
    <row r="247" spans="9:22" x14ac:dyDescent="0.45">
      <c r="I247" t="s">
        <v>178</v>
      </c>
      <c r="J247" t="s">
        <v>270</v>
      </c>
      <c r="K247">
        <v>4.1166852059922557E-2</v>
      </c>
      <c r="L247" t="s">
        <v>165</v>
      </c>
      <c r="N247" t="s">
        <v>202</v>
      </c>
      <c r="O247" t="s">
        <v>270</v>
      </c>
      <c r="P247">
        <v>2.0103003747993536E-2</v>
      </c>
      <c r="Q247" t="s">
        <v>165</v>
      </c>
      <c r="S247" t="s">
        <v>221</v>
      </c>
      <c r="T247" t="s">
        <v>270</v>
      </c>
      <c r="U247">
        <v>1.7367618583746712E-2</v>
      </c>
      <c r="V247" t="s">
        <v>165</v>
      </c>
    </row>
    <row r="248" spans="9:22" x14ac:dyDescent="0.45">
      <c r="I248" t="s">
        <v>178</v>
      </c>
      <c r="J248" t="s">
        <v>271</v>
      </c>
      <c r="K248">
        <v>3.2919650643887378E-3</v>
      </c>
      <c r="L248" t="s">
        <v>165</v>
      </c>
      <c r="N248" t="s">
        <v>202</v>
      </c>
      <c r="O248" t="s">
        <v>271</v>
      </c>
      <c r="P248">
        <v>3.5588460400919134E-3</v>
      </c>
      <c r="Q248" t="s">
        <v>165</v>
      </c>
      <c r="S248" t="s">
        <v>221</v>
      </c>
      <c r="T248" t="s">
        <v>271</v>
      </c>
      <c r="U248">
        <v>2.5697239449324586E-3</v>
      </c>
      <c r="V248" t="s">
        <v>165</v>
      </c>
    </row>
    <row r="249" spans="9:22" x14ac:dyDescent="0.45">
      <c r="I249" t="s">
        <v>178</v>
      </c>
      <c r="J249" t="s">
        <v>272</v>
      </c>
      <c r="K249">
        <v>4.3865733917494677E-4</v>
      </c>
      <c r="L249" t="s">
        <v>165</v>
      </c>
      <c r="N249" t="s">
        <v>202</v>
      </c>
      <c r="O249" t="s">
        <v>272</v>
      </c>
      <c r="P249">
        <v>3.183685204610846E-3</v>
      </c>
      <c r="Q249" t="s">
        <v>165</v>
      </c>
      <c r="S249" t="s">
        <v>221</v>
      </c>
      <c r="T249" t="s">
        <v>272</v>
      </c>
      <c r="U249">
        <v>2.4548991898898217E-3</v>
      </c>
      <c r="V249" t="s">
        <v>165</v>
      </c>
    </row>
    <row r="250" spans="9:22" x14ac:dyDescent="0.45">
      <c r="I250" t="s">
        <v>178</v>
      </c>
      <c r="J250" t="s">
        <v>273</v>
      </c>
      <c r="K250">
        <v>0</v>
      </c>
      <c r="L250" t="s">
        <v>165</v>
      </c>
      <c r="N250" t="s">
        <v>202</v>
      </c>
      <c r="O250" t="s">
        <v>273</v>
      </c>
      <c r="P250">
        <v>1.811412372628168E-2</v>
      </c>
      <c r="Q250" t="s">
        <v>165</v>
      </c>
      <c r="S250" t="s">
        <v>221</v>
      </c>
      <c r="T250" t="s">
        <v>273</v>
      </c>
      <c r="U250">
        <v>1.4783054695855466E-2</v>
      </c>
      <c r="V250" t="s">
        <v>165</v>
      </c>
    </row>
    <row r="251" spans="9:22" x14ac:dyDescent="0.45">
      <c r="I251" t="s">
        <v>178</v>
      </c>
      <c r="J251" t="s">
        <v>274</v>
      </c>
      <c r="K251">
        <v>1.0258403362928899E-3</v>
      </c>
      <c r="L251" t="s">
        <v>165</v>
      </c>
      <c r="N251" t="s">
        <v>202</v>
      </c>
      <c r="O251" t="s">
        <v>274</v>
      </c>
      <c r="P251">
        <v>5.608513832613498E-2</v>
      </c>
      <c r="Q251" t="s">
        <v>165</v>
      </c>
      <c r="S251" t="s">
        <v>221</v>
      </c>
      <c r="T251" t="s">
        <v>274</v>
      </c>
      <c r="U251">
        <v>4.4320728544015371E-2</v>
      </c>
      <c r="V251" t="s">
        <v>165</v>
      </c>
    </row>
    <row r="252" spans="9:22" x14ac:dyDescent="0.45">
      <c r="I252" t="s">
        <v>178</v>
      </c>
      <c r="J252" t="s">
        <v>275</v>
      </c>
      <c r="K252">
        <v>3.6334568739753558E-3</v>
      </c>
      <c r="L252" t="s">
        <v>165</v>
      </c>
      <c r="N252" t="s">
        <v>202</v>
      </c>
      <c r="O252" t="s">
        <v>275</v>
      </c>
      <c r="P252">
        <v>7.5367510335860952E-3</v>
      </c>
      <c r="Q252" t="s">
        <v>165</v>
      </c>
      <c r="S252" t="s">
        <v>221</v>
      </c>
      <c r="T252" t="s">
        <v>275</v>
      </c>
      <c r="U252">
        <v>5.2361376837309756E-3</v>
      </c>
      <c r="V252" t="s">
        <v>165</v>
      </c>
    </row>
    <row r="253" spans="9:22" x14ac:dyDescent="0.45">
      <c r="I253" t="s">
        <v>178</v>
      </c>
      <c r="J253" t="s">
        <v>276</v>
      </c>
      <c r="K253">
        <v>4.0098431239331725E-2</v>
      </c>
      <c r="L253" t="s">
        <v>165</v>
      </c>
      <c r="N253" t="s">
        <v>202</v>
      </c>
      <c r="O253" t="s">
        <v>276</v>
      </c>
      <c r="P253">
        <v>6.0789156237509377E-2</v>
      </c>
      <c r="Q253" t="s">
        <v>165</v>
      </c>
      <c r="S253" t="s">
        <v>221</v>
      </c>
      <c r="T253" t="s">
        <v>276</v>
      </c>
      <c r="U253">
        <v>3.5788029552946937E-2</v>
      </c>
      <c r="V253" t="s">
        <v>165</v>
      </c>
    </row>
    <row r="254" spans="9:22" x14ac:dyDescent="0.45">
      <c r="I254" t="s">
        <v>178</v>
      </c>
      <c r="J254" t="s">
        <v>277</v>
      </c>
      <c r="K254">
        <v>1.6874808107874913E-3</v>
      </c>
      <c r="L254" t="s">
        <v>165</v>
      </c>
      <c r="N254" t="s">
        <v>202</v>
      </c>
      <c r="O254" t="s">
        <v>277</v>
      </c>
      <c r="P254">
        <v>8.6321516337558128E-3</v>
      </c>
      <c r="Q254" t="s">
        <v>165</v>
      </c>
      <c r="S254" t="s">
        <v>221</v>
      </c>
      <c r="T254" t="s">
        <v>277</v>
      </c>
      <c r="U254">
        <v>4.9520177483130369E-3</v>
      </c>
      <c r="V254" t="s">
        <v>165</v>
      </c>
    </row>
    <row r="255" spans="9:22" x14ac:dyDescent="0.45">
      <c r="I255" t="s">
        <v>178</v>
      </c>
      <c r="J255" t="s">
        <v>278</v>
      </c>
      <c r="K255">
        <v>0</v>
      </c>
      <c r="L255" t="s">
        <v>165</v>
      </c>
      <c r="N255" t="s">
        <v>202</v>
      </c>
      <c r="O255" t="s">
        <v>278</v>
      </c>
      <c r="P255">
        <v>7.9126797392080981E-3</v>
      </c>
      <c r="Q255" t="s">
        <v>165</v>
      </c>
      <c r="S255" t="s">
        <v>221</v>
      </c>
      <c r="T255" t="s">
        <v>278</v>
      </c>
      <c r="U255">
        <v>4.8352706223654248E-3</v>
      </c>
      <c r="V255" t="s">
        <v>165</v>
      </c>
    </row>
    <row r="256" spans="9:22" x14ac:dyDescent="0.45">
      <c r="I256" t="s">
        <v>178</v>
      </c>
      <c r="J256" t="s">
        <v>279</v>
      </c>
      <c r="K256">
        <v>0</v>
      </c>
      <c r="L256" t="s">
        <v>165</v>
      </c>
      <c r="N256" t="s">
        <v>202</v>
      </c>
      <c r="O256" t="s">
        <v>279</v>
      </c>
      <c r="P256">
        <v>4.6274381564668642E-2</v>
      </c>
      <c r="Q256" t="s">
        <v>165</v>
      </c>
      <c r="S256" t="s">
        <v>221</v>
      </c>
      <c r="T256" t="s">
        <v>279</v>
      </c>
      <c r="U256">
        <v>3.0998355299805661E-2</v>
      </c>
      <c r="V256" t="s">
        <v>165</v>
      </c>
    </row>
    <row r="257" spans="9:22" x14ac:dyDescent="0.45">
      <c r="I257" t="s">
        <v>178</v>
      </c>
      <c r="J257" t="s">
        <v>280</v>
      </c>
      <c r="K257">
        <v>0</v>
      </c>
      <c r="L257" t="s">
        <v>165</v>
      </c>
      <c r="N257" t="s">
        <v>202</v>
      </c>
      <c r="O257" t="s">
        <v>280</v>
      </c>
      <c r="P257">
        <v>3.5566813147025131E-2</v>
      </c>
      <c r="Q257" t="s">
        <v>165</v>
      </c>
      <c r="S257" t="s">
        <v>221</v>
      </c>
      <c r="T257" t="s">
        <v>280</v>
      </c>
      <c r="U257">
        <v>1.8881749637916362E-2</v>
      </c>
      <c r="V257" t="s">
        <v>165</v>
      </c>
    </row>
    <row r="258" spans="9:22" x14ac:dyDescent="0.45">
      <c r="I258" t="s">
        <v>178</v>
      </c>
      <c r="J258" t="s">
        <v>281</v>
      </c>
      <c r="K258">
        <v>3.7538368612276161E-3</v>
      </c>
      <c r="L258" t="s">
        <v>165</v>
      </c>
      <c r="N258" t="s">
        <v>202</v>
      </c>
      <c r="O258" t="s">
        <v>281</v>
      </c>
      <c r="P258">
        <v>5.2886164198926826E-3</v>
      </c>
      <c r="Q258" t="s">
        <v>165</v>
      </c>
      <c r="S258" t="s">
        <v>221</v>
      </c>
      <c r="T258" t="s">
        <v>281</v>
      </c>
      <c r="U258">
        <v>2.4672438382383863E-3</v>
      </c>
      <c r="V258" t="s">
        <v>165</v>
      </c>
    </row>
    <row r="259" spans="9:22" x14ac:dyDescent="0.45">
      <c r="I259" t="s">
        <v>178</v>
      </c>
      <c r="J259" t="s">
        <v>282</v>
      </c>
      <c r="K259">
        <v>4.5203298942860501E-2</v>
      </c>
      <c r="L259" t="s">
        <v>165</v>
      </c>
      <c r="N259" t="s">
        <v>202</v>
      </c>
      <c r="O259" t="s">
        <v>282</v>
      </c>
      <c r="P259">
        <v>3.1633254108548219E-2</v>
      </c>
      <c r="Q259" t="s">
        <v>165</v>
      </c>
      <c r="S259" t="s">
        <v>221</v>
      </c>
      <c r="T259" t="s">
        <v>282</v>
      </c>
      <c r="U259">
        <v>1.8128319958524045E-2</v>
      </c>
      <c r="V259" t="s">
        <v>165</v>
      </c>
    </row>
    <row r="260" spans="9:22" x14ac:dyDescent="0.45">
      <c r="I260" t="s">
        <v>178</v>
      </c>
      <c r="J260" t="s">
        <v>283</v>
      </c>
      <c r="K260">
        <v>3.3324354010982708E-4</v>
      </c>
      <c r="L260" t="s">
        <v>165</v>
      </c>
      <c r="N260" t="s">
        <v>202</v>
      </c>
      <c r="O260" t="s">
        <v>283</v>
      </c>
      <c r="P260">
        <v>3.6277893815782076E-3</v>
      </c>
      <c r="Q260" t="s">
        <v>165</v>
      </c>
      <c r="S260" t="s">
        <v>221</v>
      </c>
      <c r="T260" t="s">
        <v>283</v>
      </c>
      <c r="U260">
        <v>2.6388984697987288E-3</v>
      </c>
      <c r="V260" t="s">
        <v>165</v>
      </c>
    </row>
    <row r="261" spans="9:22" x14ac:dyDescent="0.45">
      <c r="I261" t="s">
        <v>178</v>
      </c>
      <c r="J261" t="s">
        <v>284</v>
      </c>
      <c r="K261">
        <v>0</v>
      </c>
      <c r="L261" t="s">
        <v>165</v>
      </c>
      <c r="N261" t="s">
        <v>202</v>
      </c>
      <c r="O261" t="s">
        <v>284</v>
      </c>
      <c r="P261">
        <v>3.5733438718899258E-3</v>
      </c>
      <c r="Q261" t="s">
        <v>165</v>
      </c>
      <c r="S261" t="s">
        <v>221</v>
      </c>
      <c r="T261" t="s">
        <v>284</v>
      </c>
      <c r="U261">
        <v>2.635713560979708E-3</v>
      </c>
      <c r="V261" t="s">
        <v>165</v>
      </c>
    </row>
    <row r="262" spans="9:22" x14ac:dyDescent="0.45">
      <c r="I262" t="s">
        <v>178</v>
      </c>
      <c r="J262" t="s">
        <v>285</v>
      </c>
      <c r="K262">
        <v>0</v>
      </c>
      <c r="L262" t="s">
        <v>165</v>
      </c>
      <c r="N262" t="s">
        <v>202</v>
      </c>
      <c r="O262" t="s">
        <v>285</v>
      </c>
      <c r="P262">
        <v>2.0853332340371317E-2</v>
      </c>
      <c r="Q262" t="s">
        <v>165</v>
      </c>
      <c r="S262" t="s">
        <v>221</v>
      </c>
      <c r="T262" t="s">
        <v>285</v>
      </c>
      <c r="U262">
        <v>1.5161267803867779E-2</v>
      </c>
      <c r="V262" t="s">
        <v>165</v>
      </c>
    </row>
    <row r="263" spans="9:22" x14ac:dyDescent="0.45">
      <c r="I263" t="s">
        <v>179</v>
      </c>
      <c r="J263" t="s">
        <v>164</v>
      </c>
      <c r="K263">
        <v>1.2267121324052738E-3</v>
      </c>
      <c r="L263" t="s">
        <v>165</v>
      </c>
      <c r="N263" t="s">
        <v>203</v>
      </c>
      <c r="O263" t="s">
        <v>164</v>
      </c>
      <c r="P263">
        <v>6.6693032564204724E-2</v>
      </c>
      <c r="Q263" t="s">
        <v>165</v>
      </c>
      <c r="S263" t="s">
        <v>222</v>
      </c>
      <c r="T263" t="s">
        <v>164</v>
      </c>
      <c r="U263">
        <v>7.4743951856703517E-2</v>
      </c>
      <c r="V263" t="s">
        <v>165</v>
      </c>
    </row>
    <row r="264" spans="9:22" x14ac:dyDescent="0.45">
      <c r="I264" t="s">
        <v>179</v>
      </c>
      <c r="J264" t="s">
        <v>166</v>
      </c>
      <c r="K264">
        <v>6.9952228838227231E-3</v>
      </c>
      <c r="L264" t="s">
        <v>165</v>
      </c>
      <c r="N264" t="s">
        <v>203</v>
      </c>
      <c r="O264" t="s">
        <v>166</v>
      </c>
      <c r="P264">
        <v>8.0450488131153155E-3</v>
      </c>
      <c r="Q264" t="s">
        <v>165</v>
      </c>
      <c r="S264" t="s">
        <v>222</v>
      </c>
      <c r="T264" t="s">
        <v>166</v>
      </c>
      <c r="U264">
        <v>9.1079265860274788E-3</v>
      </c>
      <c r="V264" t="s">
        <v>165</v>
      </c>
    </row>
    <row r="265" spans="9:22" x14ac:dyDescent="0.45">
      <c r="I265" t="s">
        <v>179</v>
      </c>
      <c r="J265" t="s">
        <v>167</v>
      </c>
      <c r="K265">
        <v>8.4787416038882693E-2</v>
      </c>
      <c r="L265" t="s">
        <v>165</v>
      </c>
      <c r="N265" t="s">
        <v>203</v>
      </c>
      <c r="O265" t="s">
        <v>167</v>
      </c>
      <c r="P265">
        <v>6.3114218156092916E-2</v>
      </c>
      <c r="Q265" t="s">
        <v>165</v>
      </c>
      <c r="S265" t="s">
        <v>222</v>
      </c>
      <c r="T265" t="s">
        <v>167</v>
      </c>
      <c r="U265">
        <v>6.0739284096586375E-2</v>
      </c>
      <c r="V265" t="s">
        <v>165</v>
      </c>
    </row>
    <row r="266" spans="9:22" x14ac:dyDescent="0.45">
      <c r="I266" t="s">
        <v>179</v>
      </c>
      <c r="J266" t="s">
        <v>253</v>
      </c>
      <c r="K266">
        <v>6.8704737661269043E-3</v>
      </c>
      <c r="L266" t="s">
        <v>165</v>
      </c>
      <c r="N266" t="s">
        <v>203</v>
      </c>
      <c r="O266" t="s">
        <v>253</v>
      </c>
      <c r="P266">
        <v>9.8623928181271435E-3</v>
      </c>
      <c r="Q266" t="s">
        <v>165</v>
      </c>
      <c r="S266" t="s">
        <v>222</v>
      </c>
      <c r="T266" t="s">
        <v>253</v>
      </c>
      <c r="U266">
        <v>8.8311668659078312E-3</v>
      </c>
      <c r="V266" t="s">
        <v>165</v>
      </c>
    </row>
    <row r="267" spans="9:22" x14ac:dyDescent="0.45">
      <c r="I267" t="s">
        <v>179</v>
      </c>
      <c r="J267" t="s">
        <v>254</v>
      </c>
      <c r="K267">
        <v>1.8905838852896781E-3</v>
      </c>
      <c r="L267" t="s">
        <v>165</v>
      </c>
      <c r="N267" t="s">
        <v>203</v>
      </c>
      <c r="O267" t="s">
        <v>254</v>
      </c>
      <c r="P267">
        <v>9.0402965269229772E-3</v>
      </c>
      <c r="Q267" t="s">
        <v>165</v>
      </c>
      <c r="S267" t="s">
        <v>222</v>
      </c>
      <c r="T267" t="s">
        <v>254</v>
      </c>
      <c r="U267">
        <v>8.8709396969387008E-3</v>
      </c>
      <c r="V267" t="s">
        <v>165</v>
      </c>
    </row>
    <row r="268" spans="9:22" x14ac:dyDescent="0.45">
      <c r="I268" t="s">
        <v>179</v>
      </c>
      <c r="J268" t="s">
        <v>255</v>
      </c>
      <c r="K268">
        <v>0</v>
      </c>
      <c r="L268" t="s">
        <v>165</v>
      </c>
      <c r="N268" t="s">
        <v>203</v>
      </c>
      <c r="O268" t="s">
        <v>255</v>
      </c>
      <c r="P268">
        <v>4.6246470764797806E-2</v>
      </c>
      <c r="Q268" t="s">
        <v>165</v>
      </c>
      <c r="S268" t="s">
        <v>222</v>
      </c>
      <c r="T268" t="s">
        <v>255</v>
      </c>
      <c r="U268">
        <v>5.6261895631421491E-2</v>
      </c>
      <c r="V268" t="s">
        <v>165</v>
      </c>
    </row>
    <row r="269" spans="9:22" x14ac:dyDescent="0.45">
      <c r="I269" t="s">
        <v>179</v>
      </c>
      <c r="J269" t="s">
        <v>168</v>
      </c>
      <c r="K269">
        <v>4.3775487823389638E-3</v>
      </c>
      <c r="L269" t="s">
        <v>165</v>
      </c>
      <c r="N269" t="s">
        <v>203</v>
      </c>
      <c r="O269" t="s">
        <v>168</v>
      </c>
      <c r="P269">
        <v>4.2335093423709023E-2</v>
      </c>
      <c r="Q269" t="s">
        <v>165</v>
      </c>
      <c r="S269" t="s">
        <v>222</v>
      </c>
      <c r="T269" t="s">
        <v>168</v>
      </c>
      <c r="U269">
        <v>4.4932243438827721E-2</v>
      </c>
      <c r="V269" t="s">
        <v>165</v>
      </c>
    </row>
    <row r="270" spans="9:22" x14ac:dyDescent="0.45">
      <c r="I270" t="s">
        <v>179</v>
      </c>
      <c r="J270" t="s">
        <v>169</v>
      </c>
      <c r="K270">
        <v>5.6834327325231276E-3</v>
      </c>
      <c r="L270" t="s">
        <v>165</v>
      </c>
      <c r="N270" t="s">
        <v>203</v>
      </c>
      <c r="O270" t="s">
        <v>169</v>
      </c>
      <c r="P270">
        <v>5.6498282671188236E-3</v>
      </c>
      <c r="Q270" t="s">
        <v>165</v>
      </c>
      <c r="S270" t="s">
        <v>222</v>
      </c>
      <c r="T270" t="s">
        <v>169</v>
      </c>
      <c r="U270">
        <v>5.597388195215873E-3</v>
      </c>
      <c r="V270" t="s">
        <v>165</v>
      </c>
    </row>
    <row r="271" spans="9:22" x14ac:dyDescent="0.45">
      <c r="I271" t="s">
        <v>179</v>
      </c>
      <c r="J271" t="s">
        <v>170</v>
      </c>
      <c r="K271">
        <v>4.9052080077468606E-2</v>
      </c>
      <c r="L271" t="s">
        <v>165</v>
      </c>
      <c r="N271" t="s">
        <v>203</v>
      </c>
      <c r="O271" t="s">
        <v>170</v>
      </c>
      <c r="P271">
        <v>5.2290146604659561E-2</v>
      </c>
      <c r="Q271" t="s">
        <v>165</v>
      </c>
      <c r="S271" t="s">
        <v>222</v>
      </c>
      <c r="T271" t="s">
        <v>170</v>
      </c>
      <c r="U271">
        <v>3.9687172016817554E-2</v>
      </c>
      <c r="V271" t="s">
        <v>165</v>
      </c>
    </row>
    <row r="272" spans="9:22" x14ac:dyDescent="0.45">
      <c r="I272" t="s">
        <v>179</v>
      </c>
      <c r="J272" t="s">
        <v>256</v>
      </c>
      <c r="K272">
        <v>4.4474713220247894E-3</v>
      </c>
      <c r="L272" t="s">
        <v>165</v>
      </c>
      <c r="N272" t="s">
        <v>203</v>
      </c>
      <c r="O272" t="s">
        <v>256</v>
      </c>
      <c r="P272">
        <v>7.0311974008585975E-3</v>
      </c>
      <c r="Q272" t="s">
        <v>165</v>
      </c>
      <c r="S272" t="s">
        <v>222</v>
      </c>
      <c r="T272" t="s">
        <v>256</v>
      </c>
      <c r="U272">
        <v>5.8210669860511459E-3</v>
      </c>
      <c r="V272" t="s">
        <v>165</v>
      </c>
    </row>
    <row r="273" spans="9:22" x14ac:dyDescent="0.45">
      <c r="I273" t="s">
        <v>179</v>
      </c>
      <c r="J273" t="s">
        <v>257</v>
      </c>
      <c r="K273">
        <v>2.9407203788250785E-3</v>
      </c>
      <c r="L273" t="s">
        <v>165</v>
      </c>
      <c r="N273" t="s">
        <v>203</v>
      </c>
      <c r="O273" t="s">
        <v>257</v>
      </c>
      <c r="P273">
        <v>6.332562593136826E-3</v>
      </c>
      <c r="Q273" t="s">
        <v>165</v>
      </c>
      <c r="S273" t="s">
        <v>222</v>
      </c>
      <c r="T273" t="s">
        <v>257</v>
      </c>
      <c r="U273">
        <v>6.0453124315240324E-3</v>
      </c>
      <c r="V273" t="s">
        <v>165</v>
      </c>
    </row>
    <row r="274" spans="9:22" x14ac:dyDescent="0.45">
      <c r="I274" t="s">
        <v>179</v>
      </c>
      <c r="J274" t="s">
        <v>258</v>
      </c>
      <c r="K274">
        <v>2.5162065699977775E-4</v>
      </c>
      <c r="L274" t="s">
        <v>165</v>
      </c>
      <c r="N274" t="s">
        <v>203</v>
      </c>
      <c r="O274" t="s">
        <v>258</v>
      </c>
      <c r="P274">
        <v>3.0174835491693947E-2</v>
      </c>
      <c r="Q274" t="s">
        <v>165</v>
      </c>
      <c r="S274" t="s">
        <v>222</v>
      </c>
      <c r="T274" t="s">
        <v>258</v>
      </c>
      <c r="U274">
        <v>3.5403495870167279E-2</v>
      </c>
      <c r="V274" t="s">
        <v>165</v>
      </c>
    </row>
    <row r="275" spans="9:22" x14ac:dyDescent="0.45">
      <c r="I275" t="s">
        <v>179</v>
      </c>
      <c r="J275" t="s">
        <v>171</v>
      </c>
      <c r="K275">
        <v>6.0263386436786533E-2</v>
      </c>
      <c r="L275" t="s">
        <v>165</v>
      </c>
      <c r="N275" t="s">
        <v>203</v>
      </c>
      <c r="O275" t="s">
        <v>171</v>
      </c>
      <c r="P275">
        <v>4.731500646723296E-2</v>
      </c>
      <c r="Q275" t="s">
        <v>165</v>
      </c>
      <c r="S275" t="s">
        <v>222</v>
      </c>
      <c r="T275" t="s">
        <v>171</v>
      </c>
      <c r="U275">
        <v>9.1462221780262476E-2</v>
      </c>
      <c r="V275" t="s">
        <v>165</v>
      </c>
    </row>
    <row r="276" spans="9:22" x14ac:dyDescent="0.45">
      <c r="I276" t="s">
        <v>179</v>
      </c>
      <c r="J276" t="s">
        <v>172</v>
      </c>
      <c r="K276">
        <v>3.796803523983807E-2</v>
      </c>
      <c r="L276" t="s">
        <v>165</v>
      </c>
      <c r="N276" t="s">
        <v>203</v>
      </c>
      <c r="O276" t="s">
        <v>172</v>
      </c>
      <c r="P276">
        <v>7.6672019933276816E-3</v>
      </c>
      <c r="Q276" t="s">
        <v>165</v>
      </c>
      <c r="S276" t="s">
        <v>222</v>
      </c>
      <c r="T276" t="s">
        <v>172</v>
      </c>
      <c r="U276">
        <v>1.0469730485150142E-2</v>
      </c>
      <c r="V276" t="s">
        <v>165</v>
      </c>
    </row>
    <row r="277" spans="9:22" x14ac:dyDescent="0.45">
      <c r="I277" t="s">
        <v>179</v>
      </c>
      <c r="J277" t="s">
        <v>173</v>
      </c>
      <c r="K277">
        <v>0.29737032708767208</v>
      </c>
      <c r="L277" t="s">
        <v>165</v>
      </c>
      <c r="N277" t="s">
        <v>203</v>
      </c>
      <c r="O277" t="s">
        <v>173</v>
      </c>
      <c r="P277">
        <v>8.2015884699562253E-2</v>
      </c>
      <c r="Q277" t="s">
        <v>165</v>
      </c>
      <c r="S277" t="s">
        <v>222</v>
      </c>
      <c r="T277" t="s">
        <v>173</v>
      </c>
      <c r="U277">
        <v>7.151844640015699E-2</v>
      </c>
      <c r="V277" t="s">
        <v>165</v>
      </c>
    </row>
    <row r="278" spans="9:22" x14ac:dyDescent="0.45">
      <c r="I278" t="s">
        <v>179</v>
      </c>
      <c r="J278" t="s">
        <v>259</v>
      </c>
      <c r="K278">
        <v>3.1729613273588704E-2</v>
      </c>
      <c r="L278" t="s">
        <v>165</v>
      </c>
      <c r="N278" t="s">
        <v>203</v>
      </c>
      <c r="O278" t="s">
        <v>259</v>
      </c>
      <c r="P278">
        <v>1.2639145288971249E-2</v>
      </c>
      <c r="Q278" t="s">
        <v>165</v>
      </c>
      <c r="S278" t="s">
        <v>222</v>
      </c>
      <c r="T278" t="s">
        <v>259</v>
      </c>
      <c r="U278">
        <v>1.167182035053508E-2</v>
      </c>
      <c r="V278" t="s">
        <v>165</v>
      </c>
    </row>
    <row r="279" spans="9:22" x14ac:dyDescent="0.45">
      <c r="I279" t="s">
        <v>179</v>
      </c>
      <c r="J279" t="s">
        <v>260</v>
      </c>
      <c r="K279">
        <v>2.4358721118248446E-2</v>
      </c>
      <c r="L279" t="s">
        <v>165</v>
      </c>
      <c r="N279" t="s">
        <v>203</v>
      </c>
      <c r="O279" t="s">
        <v>260</v>
      </c>
      <c r="P279">
        <v>1.1452013968358422E-2</v>
      </c>
      <c r="Q279" t="s">
        <v>165</v>
      </c>
      <c r="S279" t="s">
        <v>222</v>
      </c>
      <c r="T279" t="s">
        <v>260</v>
      </c>
      <c r="U279">
        <v>1.1768621192446125E-2</v>
      </c>
      <c r="V279" t="s">
        <v>165</v>
      </c>
    </row>
    <row r="280" spans="9:22" x14ac:dyDescent="0.45">
      <c r="I280" t="s">
        <v>179</v>
      </c>
      <c r="J280" t="s">
        <v>261</v>
      </c>
      <c r="K280">
        <v>1.9973537425412389E-2</v>
      </c>
      <c r="L280" t="s">
        <v>165</v>
      </c>
      <c r="N280" t="s">
        <v>203</v>
      </c>
      <c r="O280" t="s">
        <v>261</v>
      </c>
      <c r="P280">
        <v>4.8476779869354447E-2</v>
      </c>
      <c r="Q280" t="s">
        <v>165</v>
      </c>
      <c r="S280" t="s">
        <v>222</v>
      </c>
      <c r="T280" t="s">
        <v>261</v>
      </c>
      <c r="U280">
        <v>6.8876666938954764E-2</v>
      </c>
      <c r="V280" t="s">
        <v>165</v>
      </c>
    </row>
    <row r="281" spans="9:22" x14ac:dyDescent="0.45">
      <c r="I281" t="s">
        <v>179</v>
      </c>
      <c r="J281" t="s">
        <v>262</v>
      </c>
      <c r="K281">
        <v>2.4367136928415873E-2</v>
      </c>
      <c r="L281" t="s">
        <v>165</v>
      </c>
      <c r="N281" t="s">
        <v>203</v>
      </c>
      <c r="O281" t="s">
        <v>262</v>
      </c>
      <c r="P281">
        <v>2.4482112165928247E-2</v>
      </c>
      <c r="Q281" t="s">
        <v>165</v>
      </c>
      <c r="S281" t="s">
        <v>222</v>
      </c>
      <c r="T281" t="s">
        <v>262</v>
      </c>
      <c r="U281">
        <v>3.7675282685961209E-2</v>
      </c>
      <c r="V281" t="s">
        <v>165</v>
      </c>
    </row>
    <row r="282" spans="9:22" x14ac:dyDescent="0.45">
      <c r="I282" t="s">
        <v>179</v>
      </c>
      <c r="J282" t="s">
        <v>263</v>
      </c>
      <c r="K282">
        <v>1.8761129804909991E-2</v>
      </c>
      <c r="L282" t="s">
        <v>165</v>
      </c>
      <c r="N282" t="s">
        <v>203</v>
      </c>
      <c r="O282" t="s">
        <v>263</v>
      </c>
      <c r="P282">
        <v>2.5802974929117718E-3</v>
      </c>
      <c r="Q282" t="s">
        <v>165</v>
      </c>
      <c r="S282" t="s">
        <v>222</v>
      </c>
      <c r="T282" t="s">
        <v>263</v>
      </c>
      <c r="U282">
        <v>4.0514141661529826E-3</v>
      </c>
      <c r="V282" t="s">
        <v>165</v>
      </c>
    </row>
    <row r="283" spans="9:22" x14ac:dyDescent="0.45">
      <c r="I283" t="s">
        <v>179</v>
      </c>
      <c r="J283" t="s">
        <v>264</v>
      </c>
      <c r="K283">
        <v>0.14718289573673099</v>
      </c>
      <c r="L283" t="s">
        <v>165</v>
      </c>
      <c r="N283" t="s">
        <v>203</v>
      </c>
      <c r="O283" t="s">
        <v>264</v>
      </c>
      <c r="P283">
        <v>3.4547758337621928E-2</v>
      </c>
      <c r="Q283" t="s">
        <v>165</v>
      </c>
      <c r="S283" t="s">
        <v>222</v>
      </c>
      <c r="T283" t="s">
        <v>264</v>
      </c>
      <c r="U283">
        <v>2.975093417060749E-2</v>
      </c>
      <c r="V283" t="s">
        <v>165</v>
      </c>
    </row>
    <row r="284" spans="9:22" x14ac:dyDescent="0.45">
      <c r="I284" t="s">
        <v>179</v>
      </c>
      <c r="J284" t="s">
        <v>265</v>
      </c>
      <c r="K284">
        <v>1.5984258882106375E-2</v>
      </c>
      <c r="L284" t="s">
        <v>165</v>
      </c>
      <c r="N284" t="s">
        <v>203</v>
      </c>
      <c r="O284" t="s">
        <v>265</v>
      </c>
      <c r="P284">
        <v>6.0487489809317816E-3</v>
      </c>
      <c r="Q284" t="s">
        <v>165</v>
      </c>
      <c r="S284" t="s">
        <v>222</v>
      </c>
      <c r="T284" t="s">
        <v>265</v>
      </c>
      <c r="U284">
        <v>4.7826963136000265E-3</v>
      </c>
      <c r="V284" t="s">
        <v>165</v>
      </c>
    </row>
    <row r="285" spans="9:22" x14ac:dyDescent="0.45">
      <c r="I285" t="s">
        <v>179</v>
      </c>
      <c r="J285" t="s">
        <v>266</v>
      </c>
      <c r="K285">
        <v>1.1632551288187794E-2</v>
      </c>
      <c r="L285" t="s">
        <v>165</v>
      </c>
      <c r="N285" t="s">
        <v>203</v>
      </c>
      <c r="O285" t="s">
        <v>266</v>
      </c>
      <c r="P285">
        <v>6.0169501724781083E-3</v>
      </c>
      <c r="Q285" t="s">
        <v>165</v>
      </c>
      <c r="S285" t="s">
        <v>222</v>
      </c>
      <c r="T285" t="s">
        <v>266</v>
      </c>
      <c r="U285">
        <v>4.7740717439934202E-3</v>
      </c>
      <c r="V285" t="s">
        <v>165</v>
      </c>
    </row>
    <row r="286" spans="9:22" x14ac:dyDescent="0.45">
      <c r="I286" t="s">
        <v>179</v>
      </c>
      <c r="J286" t="s">
        <v>267</v>
      </c>
      <c r="K286">
        <v>5.7079770173714007E-3</v>
      </c>
      <c r="L286" t="s">
        <v>165</v>
      </c>
      <c r="N286" t="s">
        <v>203</v>
      </c>
      <c r="O286" t="s">
        <v>267</v>
      </c>
      <c r="P286">
        <v>2.6349975150506379E-2</v>
      </c>
      <c r="Q286" t="s">
        <v>165</v>
      </c>
      <c r="S286" t="s">
        <v>222</v>
      </c>
      <c r="T286" t="s">
        <v>267</v>
      </c>
      <c r="U286">
        <v>2.9160904940539412E-2</v>
      </c>
      <c r="V286" t="s">
        <v>165</v>
      </c>
    </row>
    <row r="287" spans="9:22" x14ac:dyDescent="0.45">
      <c r="I287" t="s">
        <v>179</v>
      </c>
      <c r="J287" t="s">
        <v>268</v>
      </c>
      <c r="K287">
        <v>2.3470327088109875E-3</v>
      </c>
      <c r="L287" t="s">
        <v>165</v>
      </c>
      <c r="N287" t="s">
        <v>203</v>
      </c>
      <c r="O287" t="s">
        <v>268</v>
      </c>
      <c r="P287">
        <v>1.6376438766158151E-2</v>
      </c>
      <c r="Q287" t="s">
        <v>165</v>
      </c>
      <c r="S287" t="s">
        <v>222</v>
      </c>
      <c r="T287" t="s">
        <v>268</v>
      </c>
      <c r="U287">
        <v>2.4844857298027604E-2</v>
      </c>
      <c r="V287" t="s">
        <v>165</v>
      </c>
    </row>
    <row r="288" spans="9:22" x14ac:dyDescent="0.45">
      <c r="I288" t="s">
        <v>179</v>
      </c>
      <c r="J288" t="s">
        <v>269</v>
      </c>
      <c r="K288">
        <v>3.9425219275018653E-3</v>
      </c>
      <c r="L288" t="s">
        <v>165</v>
      </c>
      <c r="N288" t="s">
        <v>203</v>
      </c>
      <c r="O288" t="s">
        <v>269</v>
      </c>
      <c r="P288">
        <v>1.8154576694252018E-3</v>
      </c>
      <c r="Q288" t="s">
        <v>165</v>
      </c>
      <c r="S288" t="s">
        <v>222</v>
      </c>
      <c r="T288" t="s">
        <v>269</v>
      </c>
      <c r="U288">
        <v>3.0471747599608028E-3</v>
      </c>
      <c r="V288" t="s">
        <v>165</v>
      </c>
    </row>
    <row r="289" spans="9:22" x14ac:dyDescent="0.45">
      <c r="I289" t="s">
        <v>179</v>
      </c>
      <c r="J289" t="s">
        <v>270</v>
      </c>
      <c r="K289">
        <v>3.8369585464578942E-2</v>
      </c>
      <c r="L289" t="s">
        <v>165</v>
      </c>
      <c r="N289" t="s">
        <v>203</v>
      </c>
      <c r="O289" t="s">
        <v>270</v>
      </c>
      <c r="P289">
        <v>1.8492201681692057E-2</v>
      </c>
      <c r="Q289" t="s">
        <v>165</v>
      </c>
      <c r="S289" t="s">
        <v>222</v>
      </c>
      <c r="T289" t="s">
        <v>270</v>
      </c>
      <c r="U289">
        <v>2.2032809989357457E-2</v>
      </c>
      <c r="V289" t="s">
        <v>165</v>
      </c>
    </row>
    <row r="290" spans="9:22" x14ac:dyDescent="0.45">
      <c r="I290" t="s">
        <v>179</v>
      </c>
      <c r="J290" t="s">
        <v>271</v>
      </c>
      <c r="K290">
        <v>3.0230718706489284E-3</v>
      </c>
      <c r="L290" t="s">
        <v>165</v>
      </c>
      <c r="N290" t="s">
        <v>203</v>
      </c>
      <c r="O290" t="s">
        <v>271</v>
      </c>
      <c r="P290">
        <v>2.6786855538639292E-3</v>
      </c>
      <c r="Q290" t="s">
        <v>165</v>
      </c>
      <c r="S290" t="s">
        <v>222</v>
      </c>
      <c r="T290" t="s">
        <v>271</v>
      </c>
      <c r="U290">
        <v>3.1219974194455504E-3</v>
      </c>
      <c r="V290" t="s">
        <v>165</v>
      </c>
    </row>
    <row r="291" spans="9:22" x14ac:dyDescent="0.45">
      <c r="I291" t="s">
        <v>179</v>
      </c>
      <c r="J291" t="s">
        <v>272</v>
      </c>
      <c r="K291">
        <v>6.0352025137870439E-4</v>
      </c>
      <c r="L291" t="s">
        <v>165</v>
      </c>
      <c r="N291" t="s">
        <v>203</v>
      </c>
      <c r="O291" t="s">
        <v>272</v>
      </c>
      <c r="P291">
        <v>2.6882297174445242E-3</v>
      </c>
      <c r="Q291" t="s">
        <v>165</v>
      </c>
      <c r="S291" t="s">
        <v>222</v>
      </c>
      <c r="T291" t="s">
        <v>272</v>
      </c>
      <c r="U291">
        <v>3.1132730144506461E-3</v>
      </c>
      <c r="V291" t="s">
        <v>165</v>
      </c>
    </row>
    <row r="292" spans="9:22" x14ac:dyDescent="0.45">
      <c r="I292" t="s">
        <v>179</v>
      </c>
      <c r="J292" t="s">
        <v>273</v>
      </c>
      <c r="K292">
        <v>0</v>
      </c>
      <c r="L292" t="s">
        <v>165</v>
      </c>
      <c r="N292" t="s">
        <v>203</v>
      </c>
      <c r="O292" t="s">
        <v>273</v>
      </c>
      <c r="P292">
        <v>1.4771805819318376E-2</v>
      </c>
      <c r="Q292" t="s">
        <v>165</v>
      </c>
      <c r="S292" t="s">
        <v>222</v>
      </c>
      <c r="T292" t="s">
        <v>273</v>
      </c>
      <c r="U292">
        <v>1.8482129864453876E-2</v>
      </c>
      <c r="V292" t="s">
        <v>165</v>
      </c>
    </row>
    <row r="293" spans="9:22" x14ac:dyDescent="0.45">
      <c r="I293" t="s">
        <v>179</v>
      </c>
      <c r="J293" t="s">
        <v>274</v>
      </c>
      <c r="K293">
        <v>1.0618629436351869E-3</v>
      </c>
      <c r="L293" t="s">
        <v>165</v>
      </c>
      <c r="N293" t="s">
        <v>203</v>
      </c>
      <c r="O293" t="s">
        <v>274</v>
      </c>
      <c r="P293">
        <v>5.2182149173811788E-2</v>
      </c>
      <c r="Q293" t="s">
        <v>165</v>
      </c>
      <c r="S293" t="s">
        <v>222</v>
      </c>
      <c r="T293" t="s">
        <v>274</v>
      </c>
      <c r="U293">
        <v>4.2132425474194268E-2</v>
      </c>
      <c r="V293" t="s">
        <v>165</v>
      </c>
    </row>
    <row r="294" spans="9:22" x14ac:dyDescent="0.45">
      <c r="I294" t="s">
        <v>179</v>
      </c>
      <c r="J294" t="s">
        <v>275</v>
      </c>
      <c r="K294">
        <v>3.408541944052402E-3</v>
      </c>
      <c r="L294" t="s">
        <v>165</v>
      </c>
      <c r="N294" t="s">
        <v>203</v>
      </c>
      <c r="O294" t="s">
        <v>275</v>
      </c>
      <c r="P294">
        <v>7.2526912699820293E-3</v>
      </c>
      <c r="Q294" t="s">
        <v>165</v>
      </c>
      <c r="S294" t="s">
        <v>222</v>
      </c>
      <c r="T294" t="s">
        <v>275</v>
      </c>
      <c r="U294">
        <v>5.3085697877021535E-3</v>
      </c>
      <c r="V294" t="s">
        <v>165</v>
      </c>
    </row>
    <row r="295" spans="9:22" x14ac:dyDescent="0.45">
      <c r="I295" t="s">
        <v>179</v>
      </c>
      <c r="J295" t="s">
        <v>276</v>
      </c>
      <c r="K295">
        <v>3.663052160329841E-2</v>
      </c>
      <c r="L295" t="s">
        <v>165</v>
      </c>
      <c r="N295" t="s">
        <v>203</v>
      </c>
      <c r="O295" t="s">
        <v>276</v>
      </c>
      <c r="P295">
        <v>5.8714072448951653E-2</v>
      </c>
      <c r="Q295" t="s">
        <v>165</v>
      </c>
      <c r="S295" t="s">
        <v>222</v>
      </c>
      <c r="T295" t="s">
        <v>276</v>
      </c>
      <c r="U295">
        <v>3.8194741331790606E-2</v>
      </c>
      <c r="V295" t="s">
        <v>165</v>
      </c>
    </row>
    <row r="296" spans="9:22" x14ac:dyDescent="0.45">
      <c r="I296" t="s">
        <v>179</v>
      </c>
      <c r="J296" t="s">
        <v>277</v>
      </c>
      <c r="K296">
        <v>2.1505690153113474E-3</v>
      </c>
      <c r="L296" t="s">
        <v>165</v>
      </c>
      <c r="N296" t="s">
        <v>203</v>
      </c>
      <c r="O296" t="s">
        <v>277</v>
      </c>
      <c r="P296">
        <v>8.928128656435318E-3</v>
      </c>
      <c r="Q296" t="s">
        <v>165</v>
      </c>
      <c r="S296" t="s">
        <v>222</v>
      </c>
      <c r="T296" t="s">
        <v>277</v>
      </c>
      <c r="U296">
        <v>5.7389738259979294E-3</v>
      </c>
      <c r="V296" t="s">
        <v>165</v>
      </c>
    </row>
    <row r="297" spans="9:22" x14ac:dyDescent="0.45">
      <c r="I297" t="s">
        <v>179</v>
      </c>
      <c r="J297" t="s">
        <v>278</v>
      </c>
      <c r="K297">
        <v>0</v>
      </c>
      <c r="L297" t="s">
        <v>165</v>
      </c>
      <c r="N297" t="s">
        <v>203</v>
      </c>
      <c r="O297" t="s">
        <v>278</v>
      </c>
      <c r="P297">
        <v>8.9234263373899145E-3</v>
      </c>
      <c r="Q297" t="s">
        <v>165</v>
      </c>
      <c r="S297" t="s">
        <v>222</v>
      </c>
      <c r="T297" t="s">
        <v>278</v>
      </c>
      <c r="U297">
        <v>5.6798319205233318E-3</v>
      </c>
      <c r="V297" t="s">
        <v>165</v>
      </c>
    </row>
    <row r="298" spans="9:22" x14ac:dyDescent="0.45">
      <c r="I298" t="s">
        <v>179</v>
      </c>
      <c r="J298" t="s">
        <v>279</v>
      </c>
      <c r="K298">
        <v>0</v>
      </c>
      <c r="L298" t="s">
        <v>165</v>
      </c>
      <c r="N298" t="s">
        <v>203</v>
      </c>
      <c r="O298" t="s">
        <v>279</v>
      </c>
      <c r="P298">
        <v>4.4841417603481856E-2</v>
      </c>
      <c r="Q298" t="s">
        <v>165</v>
      </c>
      <c r="S298" t="s">
        <v>222</v>
      </c>
      <c r="T298" t="s">
        <v>279</v>
      </c>
      <c r="U298">
        <v>3.3215885365384279E-2</v>
      </c>
      <c r="V298" t="s">
        <v>165</v>
      </c>
    </row>
    <row r="299" spans="9:22" x14ac:dyDescent="0.45">
      <c r="I299" t="s">
        <v>179</v>
      </c>
      <c r="J299" t="s">
        <v>280</v>
      </c>
      <c r="K299">
        <v>0</v>
      </c>
      <c r="L299" t="s">
        <v>165</v>
      </c>
      <c r="N299" t="s">
        <v>203</v>
      </c>
      <c r="O299" t="s">
        <v>280</v>
      </c>
      <c r="P299">
        <v>3.7881191256249606E-2</v>
      </c>
      <c r="Q299" t="s">
        <v>165</v>
      </c>
      <c r="S299" t="s">
        <v>222</v>
      </c>
      <c r="T299" t="s">
        <v>280</v>
      </c>
      <c r="U299">
        <v>2.1937152020709696E-2</v>
      </c>
      <c r="V299" t="s">
        <v>165</v>
      </c>
    </row>
    <row r="300" spans="9:22" x14ac:dyDescent="0.45">
      <c r="I300" t="s">
        <v>179</v>
      </c>
      <c r="J300" t="s">
        <v>281</v>
      </c>
      <c r="K300">
        <v>3.016120852888059E-3</v>
      </c>
      <c r="L300" t="s">
        <v>165</v>
      </c>
      <c r="N300" t="s">
        <v>203</v>
      </c>
      <c r="O300" t="s">
        <v>281</v>
      </c>
      <c r="P300">
        <v>5.0232109896899439E-3</v>
      </c>
      <c r="Q300" t="s">
        <v>165</v>
      </c>
      <c r="S300" t="s">
        <v>222</v>
      </c>
      <c r="T300" t="s">
        <v>281</v>
      </c>
      <c r="U300">
        <v>2.7544026648037719E-3</v>
      </c>
      <c r="V300" t="s">
        <v>165</v>
      </c>
    </row>
    <row r="301" spans="9:22" x14ac:dyDescent="0.45">
      <c r="I301" t="s">
        <v>179</v>
      </c>
      <c r="J301" t="s">
        <v>282</v>
      </c>
      <c r="K301">
        <v>4.0672709418240631E-2</v>
      </c>
      <c r="L301" t="s">
        <v>165</v>
      </c>
      <c r="N301" t="s">
        <v>203</v>
      </c>
      <c r="O301" t="s">
        <v>282</v>
      </c>
      <c r="P301">
        <v>3.1917168593068632E-2</v>
      </c>
      <c r="Q301" t="s">
        <v>165</v>
      </c>
      <c r="S301" t="s">
        <v>222</v>
      </c>
      <c r="T301" t="s">
        <v>282</v>
      </c>
      <c r="U301">
        <v>1.8885292223497913E-2</v>
      </c>
      <c r="V301" t="s">
        <v>165</v>
      </c>
    </row>
    <row r="302" spans="9:22" x14ac:dyDescent="0.45">
      <c r="I302" t="s">
        <v>179</v>
      </c>
      <c r="J302" t="s">
        <v>283</v>
      </c>
      <c r="K302">
        <v>9.5108910368052533E-4</v>
      </c>
      <c r="L302" t="s">
        <v>165</v>
      </c>
      <c r="N302" t="s">
        <v>203</v>
      </c>
      <c r="O302" t="s">
        <v>283</v>
      </c>
      <c r="P302">
        <v>4.2000881829147478E-3</v>
      </c>
      <c r="Q302" t="s">
        <v>165</v>
      </c>
      <c r="S302" t="s">
        <v>222</v>
      </c>
      <c r="T302" t="s">
        <v>283</v>
      </c>
      <c r="U302">
        <v>2.6232188773568682E-3</v>
      </c>
      <c r="V302" t="s">
        <v>165</v>
      </c>
    </row>
    <row r="303" spans="9:22" x14ac:dyDescent="0.45">
      <c r="I303" t="s">
        <v>179</v>
      </c>
      <c r="J303" t="s">
        <v>284</v>
      </c>
      <c r="K303">
        <v>0</v>
      </c>
      <c r="L303" t="s">
        <v>165</v>
      </c>
      <c r="N303" t="s">
        <v>203</v>
      </c>
      <c r="O303" t="s">
        <v>284</v>
      </c>
      <c r="P303">
        <v>4.119563998625334E-3</v>
      </c>
      <c r="Q303" t="s">
        <v>165</v>
      </c>
      <c r="S303" t="s">
        <v>222</v>
      </c>
      <c r="T303" t="s">
        <v>284</v>
      </c>
      <c r="U303">
        <v>2.5969688160820486E-3</v>
      </c>
      <c r="V303" t="s">
        <v>165</v>
      </c>
    </row>
    <row r="304" spans="9:22" x14ac:dyDescent="0.45">
      <c r="I304" t="s">
        <v>179</v>
      </c>
      <c r="J304" t="s">
        <v>285</v>
      </c>
      <c r="K304">
        <v>0</v>
      </c>
      <c r="L304" t="s">
        <v>165</v>
      </c>
      <c r="N304" t="s">
        <v>203</v>
      </c>
      <c r="O304" t="s">
        <v>285</v>
      </c>
      <c r="P304">
        <v>2.2787074269871799E-2</v>
      </c>
      <c r="Q304" t="s">
        <v>165</v>
      </c>
      <c r="S304" t="s">
        <v>222</v>
      </c>
      <c r="T304" t="s">
        <v>285</v>
      </c>
      <c r="U304">
        <v>1.428564050571339E-2</v>
      </c>
      <c r="V304" t="s">
        <v>165</v>
      </c>
    </row>
    <row r="305" spans="9:22" x14ac:dyDescent="0.45">
      <c r="I305" t="s">
        <v>180</v>
      </c>
      <c r="J305" t="s">
        <v>164</v>
      </c>
      <c r="K305">
        <v>1.9525353543487936E-3</v>
      </c>
      <c r="L305" t="s">
        <v>165</v>
      </c>
      <c r="N305" t="s">
        <v>204</v>
      </c>
      <c r="O305" t="s">
        <v>164</v>
      </c>
      <c r="P305">
        <v>7.4195916562832337E-2</v>
      </c>
      <c r="Q305" t="s">
        <v>165</v>
      </c>
      <c r="S305" t="s">
        <v>223</v>
      </c>
      <c r="T305" t="s">
        <v>164</v>
      </c>
      <c r="U305">
        <v>7.0570225551127699E-2</v>
      </c>
      <c r="V305" t="s">
        <v>165</v>
      </c>
    </row>
    <row r="306" spans="9:22" x14ac:dyDescent="0.45">
      <c r="I306" t="s">
        <v>180</v>
      </c>
      <c r="J306" t="s">
        <v>166</v>
      </c>
      <c r="K306">
        <v>7.2205053656744303E-3</v>
      </c>
      <c r="L306" t="s">
        <v>165</v>
      </c>
      <c r="N306" t="s">
        <v>204</v>
      </c>
      <c r="O306" t="s">
        <v>166</v>
      </c>
      <c r="P306">
        <v>9.2854316014839688E-3</v>
      </c>
      <c r="Q306" t="s">
        <v>165</v>
      </c>
      <c r="S306" t="s">
        <v>223</v>
      </c>
      <c r="T306" t="s">
        <v>166</v>
      </c>
      <c r="U306">
        <v>8.8900612889737142E-3</v>
      </c>
      <c r="V306" t="s">
        <v>165</v>
      </c>
    </row>
    <row r="307" spans="9:22" x14ac:dyDescent="0.45">
      <c r="I307" t="s">
        <v>180</v>
      </c>
      <c r="J307" t="s">
        <v>167</v>
      </c>
      <c r="K307">
        <v>8.6448495619403057E-2</v>
      </c>
      <c r="L307" t="s">
        <v>165</v>
      </c>
      <c r="N307" t="s">
        <v>204</v>
      </c>
      <c r="O307" t="s">
        <v>167</v>
      </c>
      <c r="P307">
        <v>6.1783425582189702E-2</v>
      </c>
      <c r="Q307" t="s">
        <v>165</v>
      </c>
      <c r="S307" t="s">
        <v>223</v>
      </c>
      <c r="T307" t="s">
        <v>167</v>
      </c>
      <c r="U307">
        <v>6.2890311794462389E-2</v>
      </c>
      <c r="V307" t="s">
        <v>165</v>
      </c>
    </row>
    <row r="308" spans="9:22" x14ac:dyDescent="0.45">
      <c r="I308" t="s">
        <v>180</v>
      </c>
      <c r="J308" t="s">
        <v>253</v>
      </c>
      <c r="K308">
        <v>7.8425377587173894E-3</v>
      </c>
      <c r="L308" t="s">
        <v>165</v>
      </c>
      <c r="N308" t="s">
        <v>204</v>
      </c>
      <c r="O308" t="s">
        <v>253</v>
      </c>
      <c r="P308">
        <v>1.0186934805402715E-2</v>
      </c>
      <c r="Q308" t="s">
        <v>165</v>
      </c>
      <c r="S308" t="s">
        <v>223</v>
      </c>
      <c r="T308" t="s">
        <v>253</v>
      </c>
      <c r="U308">
        <v>9.365610958969919E-3</v>
      </c>
      <c r="V308" t="s">
        <v>165</v>
      </c>
    </row>
    <row r="309" spans="9:22" x14ac:dyDescent="0.45">
      <c r="I309" t="s">
        <v>180</v>
      </c>
      <c r="J309" t="s">
        <v>254</v>
      </c>
      <c r="K309">
        <v>2.4805525277758339E-3</v>
      </c>
      <c r="L309" t="s">
        <v>165</v>
      </c>
      <c r="N309" t="s">
        <v>204</v>
      </c>
      <c r="O309" t="s">
        <v>254</v>
      </c>
      <c r="P309">
        <v>9.9712853180424135E-3</v>
      </c>
      <c r="Q309" t="s">
        <v>165</v>
      </c>
      <c r="S309" t="s">
        <v>223</v>
      </c>
      <c r="T309" t="s">
        <v>254</v>
      </c>
      <c r="U309">
        <v>9.60752938557328E-3</v>
      </c>
      <c r="V309" t="s">
        <v>165</v>
      </c>
    </row>
    <row r="310" spans="9:22" x14ac:dyDescent="0.45">
      <c r="I310" t="s">
        <v>180</v>
      </c>
      <c r="J310" t="s">
        <v>255</v>
      </c>
      <c r="K310">
        <v>0</v>
      </c>
      <c r="L310" t="s">
        <v>165</v>
      </c>
      <c r="N310" t="s">
        <v>204</v>
      </c>
      <c r="O310" t="s">
        <v>255</v>
      </c>
      <c r="P310">
        <v>5.511621615793251E-2</v>
      </c>
      <c r="Q310" t="s">
        <v>165</v>
      </c>
      <c r="S310" t="s">
        <v>223</v>
      </c>
      <c r="T310" t="s">
        <v>255</v>
      </c>
      <c r="U310">
        <v>5.992932899244284E-2</v>
      </c>
      <c r="V310" t="s">
        <v>165</v>
      </c>
    </row>
    <row r="311" spans="9:22" x14ac:dyDescent="0.45">
      <c r="I311" t="s">
        <v>180</v>
      </c>
      <c r="J311" t="s">
        <v>168</v>
      </c>
      <c r="K311">
        <v>4.6609221243928446E-3</v>
      </c>
      <c r="L311" t="s">
        <v>165</v>
      </c>
      <c r="N311" t="s">
        <v>204</v>
      </c>
      <c r="O311" t="s">
        <v>168</v>
      </c>
      <c r="P311">
        <v>3.9165299084555023E-2</v>
      </c>
      <c r="Q311" t="s">
        <v>165</v>
      </c>
      <c r="S311" t="s">
        <v>223</v>
      </c>
      <c r="T311" t="s">
        <v>168</v>
      </c>
      <c r="U311">
        <v>4.377683440501013E-2</v>
      </c>
      <c r="V311" t="s">
        <v>165</v>
      </c>
    </row>
    <row r="312" spans="9:22" x14ac:dyDescent="0.45">
      <c r="I312" t="s">
        <v>180</v>
      </c>
      <c r="J312" t="s">
        <v>169</v>
      </c>
      <c r="K312">
        <v>6.0084155683986845E-3</v>
      </c>
      <c r="L312" t="s">
        <v>165</v>
      </c>
      <c r="N312" t="s">
        <v>204</v>
      </c>
      <c r="O312" t="s">
        <v>169</v>
      </c>
      <c r="P312">
        <v>5.3133782838499337E-3</v>
      </c>
      <c r="Q312" t="s">
        <v>165</v>
      </c>
      <c r="S312" t="s">
        <v>223</v>
      </c>
      <c r="T312" t="s">
        <v>169</v>
      </c>
      <c r="U312">
        <v>6.2884374753292586E-3</v>
      </c>
      <c r="V312" t="s">
        <v>165</v>
      </c>
    </row>
    <row r="313" spans="9:22" x14ac:dyDescent="0.45">
      <c r="I313" t="s">
        <v>180</v>
      </c>
      <c r="J313" t="s">
        <v>170</v>
      </c>
      <c r="K313">
        <v>5.2559642709415912E-2</v>
      </c>
      <c r="L313" t="s">
        <v>165</v>
      </c>
      <c r="N313" t="s">
        <v>204</v>
      </c>
      <c r="O313" t="s">
        <v>170</v>
      </c>
      <c r="P313">
        <v>4.2242946993788826E-2</v>
      </c>
      <c r="Q313" t="s">
        <v>165</v>
      </c>
      <c r="S313" t="s">
        <v>223</v>
      </c>
      <c r="T313" t="s">
        <v>170</v>
      </c>
      <c r="U313">
        <v>4.4047656045111634E-2</v>
      </c>
      <c r="V313" t="s">
        <v>165</v>
      </c>
    </row>
    <row r="314" spans="9:22" x14ac:dyDescent="0.45">
      <c r="I314" t="s">
        <v>180</v>
      </c>
      <c r="J314" t="s">
        <v>256</v>
      </c>
      <c r="K314">
        <v>5.656411842781618E-3</v>
      </c>
      <c r="L314" t="s">
        <v>165</v>
      </c>
      <c r="N314" t="s">
        <v>204</v>
      </c>
      <c r="O314" t="s">
        <v>256</v>
      </c>
      <c r="P314">
        <v>7.7358412808033747E-3</v>
      </c>
      <c r="Q314" t="s">
        <v>165</v>
      </c>
      <c r="S314" t="s">
        <v>223</v>
      </c>
      <c r="T314" t="s">
        <v>256</v>
      </c>
      <c r="U314">
        <v>6.2108374941220387E-3</v>
      </c>
      <c r="V314" t="s">
        <v>165</v>
      </c>
    </row>
    <row r="315" spans="9:22" x14ac:dyDescent="0.45">
      <c r="I315" t="s">
        <v>180</v>
      </c>
      <c r="J315" t="s">
        <v>257</v>
      </c>
      <c r="K315">
        <v>3.8677492346063111E-3</v>
      </c>
      <c r="L315" t="s">
        <v>165</v>
      </c>
      <c r="N315" t="s">
        <v>204</v>
      </c>
      <c r="O315" t="s">
        <v>257</v>
      </c>
      <c r="P315">
        <v>7.4323926554923404E-3</v>
      </c>
      <c r="Q315" t="s">
        <v>165</v>
      </c>
      <c r="S315" t="s">
        <v>223</v>
      </c>
      <c r="T315" t="s">
        <v>257</v>
      </c>
      <c r="U315">
        <v>6.1317609464094786E-3</v>
      </c>
      <c r="V315" t="s">
        <v>165</v>
      </c>
    </row>
    <row r="316" spans="9:22" x14ac:dyDescent="0.45">
      <c r="I316" t="s">
        <v>180</v>
      </c>
      <c r="J316" t="s">
        <v>258</v>
      </c>
      <c r="K316">
        <v>3.8623540464285564E-4</v>
      </c>
      <c r="L316" t="s">
        <v>165</v>
      </c>
      <c r="N316" t="s">
        <v>204</v>
      </c>
      <c r="O316" t="s">
        <v>258</v>
      </c>
      <c r="P316">
        <v>3.2862099814919929E-2</v>
      </c>
      <c r="Q316" t="s">
        <v>165</v>
      </c>
      <c r="S316" t="s">
        <v>223</v>
      </c>
      <c r="T316" t="s">
        <v>258</v>
      </c>
      <c r="U316">
        <v>3.6559096375486468E-2</v>
      </c>
      <c r="V316" t="s">
        <v>165</v>
      </c>
    </row>
    <row r="317" spans="9:22" x14ac:dyDescent="0.45">
      <c r="I317" t="s">
        <v>180</v>
      </c>
      <c r="J317" t="s">
        <v>171</v>
      </c>
      <c r="K317">
        <v>5.5161126263109185E-2</v>
      </c>
      <c r="L317" t="s">
        <v>165</v>
      </c>
      <c r="N317" t="s">
        <v>204</v>
      </c>
      <c r="O317" t="s">
        <v>171</v>
      </c>
      <c r="P317">
        <v>8.8790438959011772E-2</v>
      </c>
      <c r="Q317" t="s">
        <v>165</v>
      </c>
      <c r="S317" t="s">
        <v>223</v>
      </c>
      <c r="T317" t="s">
        <v>171</v>
      </c>
      <c r="U317">
        <v>8.4274559703472154E-2</v>
      </c>
      <c r="V317" t="s">
        <v>165</v>
      </c>
    </row>
    <row r="318" spans="9:22" x14ac:dyDescent="0.45">
      <c r="I318" t="s">
        <v>180</v>
      </c>
      <c r="J318" t="s">
        <v>172</v>
      </c>
      <c r="K318">
        <v>3.516722428688495E-2</v>
      </c>
      <c r="L318" t="s">
        <v>165</v>
      </c>
      <c r="N318" t="s">
        <v>204</v>
      </c>
      <c r="O318" t="s">
        <v>172</v>
      </c>
      <c r="P318">
        <v>9.2627335945259393E-3</v>
      </c>
      <c r="Q318" t="s">
        <v>165</v>
      </c>
      <c r="S318" t="s">
        <v>223</v>
      </c>
      <c r="T318" t="s">
        <v>172</v>
      </c>
      <c r="U318">
        <v>9.8601403654603823E-3</v>
      </c>
      <c r="V318" t="s">
        <v>165</v>
      </c>
    </row>
    <row r="319" spans="9:22" x14ac:dyDescent="0.45">
      <c r="I319" t="s">
        <v>180</v>
      </c>
      <c r="J319" t="s">
        <v>173</v>
      </c>
      <c r="K319">
        <v>0.29105967657907023</v>
      </c>
      <c r="L319" t="s">
        <v>165</v>
      </c>
      <c r="N319" t="s">
        <v>204</v>
      </c>
      <c r="O319" t="s">
        <v>173</v>
      </c>
      <c r="P319">
        <v>7.7301540646750558E-2</v>
      </c>
      <c r="Q319" t="s">
        <v>165</v>
      </c>
      <c r="S319" t="s">
        <v>223</v>
      </c>
      <c r="T319" t="s">
        <v>173</v>
      </c>
      <c r="U319">
        <v>7.0268977822913498E-2</v>
      </c>
      <c r="V319" t="s">
        <v>165</v>
      </c>
    </row>
    <row r="320" spans="9:22" x14ac:dyDescent="0.45">
      <c r="I320" t="s">
        <v>180</v>
      </c>
      <c r="J320" t="s">
        <v>259</v>
      </c>
      <c r="K320">
        <v>3.328009004238934E-2</v>
      </c>
      <c r="L320" t="s">
        <v>165</v>
      </c>
      <c r="N320" t="s">
        <v>204</v>
      </c>
      <c r="O320" t="s">
        <v>259</v>
      </c>
      <c r="P320">
        <v>1.3689207776472222E-2</v>
      </c>
      <c r="Q320" t="s">
        <v>165</v>
      </c>
      <c r="S320" t="s">
        <v>223</v>
      </c>
      <c r="T320" t="s">
        <v>259</v>
      </c>
      <c r="U320">
        <v>1.2646714059828512E-2</v>
      </c>
      <c r="V320" t="s">
        <v>165</v>
      </c>
    </row>
    <row r="321" spans="9:22" x14ac:dyDescent="0.45">
      <c r="I321" t="s">
        <v>180</v>
      </c>
      <c r="J321" t="s">
        <v>260</v>
      </c>
      <c r="K321">
        <v>2.5493694015990657E-2</v>
      </c>
      <c r="L321" t="s">
        <v>165</v>
      </c>
      <c r="N321" t="s">
        <v>204</v>
      </c>
      <c r="O321" t="s">
        <v>260</v>
      </c>
      <c r="P321">
        <v>1.2863794691676219E-2</v>
      </c>
      <c r="Q321" t="s">
        <v>165</v>
      </c>
      <c r="S321" t="s">
        <v>223</v>
      </c>
      <c r="T321" t="s">
        <v>260</v>
      </c>
      <c r="U321">
        <v>1.3047845087902519E-2</v>
      </c>
      <c r="V321" t="s">
        <v>165</v>
      </c>
    </row>
    <row r="322" spans="9:22" x14ac:dyDescent="0.45">
      <c r="I322" t="s">
        <v>180</v>
      </c>
      <c r="J322" t="s">
        <v>261</v>
      </c>
      <c r="K322">
        <v>1.9953543716255739E-2</v>
      </c>
      <c r="L322" t="s">
        <v>165</v>
      </c>
      <c r="N322" t="s">
        <v>204</v>
      </c>
      <c r="O322" t="s">
        <v>261</v>
      </c>
      <c r="P322">
        <v>6.5004214936106544E-2</v>
      </c>
      <c r="Q322" t="s">
        <v>165</v>
      </c>
      <c r="S322" t="s">
        <v>223</v>
      </c>
      <c r="T322" t="s">
        <v>261</v>
      </c>
      <c r="U322">
        <v>7.4238308611981316E-2</v>
      </c>
      <c r="V322" t="s">
        <v>165</v>
      </c>
    </row>
    <row r="323" spans="9:22" x14ac:dyDescent="0.45">
      <c r="I323" t="s">
        <v>180</v>
      </c>
      <c r="J323" t="s">
        <v>262</v>
      </c>
      <c r="K323">
        <v>2.1747228916025773E-2</v>
      </c>
      <c r="L323" t="s">
        <v>165</v>
      </c>
      <c r="N323" t="s">
        <v>204</v>
      </c>
      <c r="O323" t="s">
        <v>262</v>
      </c>
      <c r="P323">
        <v>3.5968540113047058E-2</v>
      </c>
      <c r="Q323" t="s">
        <v>165</v>
      </c>
      <c r="S323" t="s">
        <v>223</v>
      </c>
      <c r="T323" t="s">
        <v>262</v>
      </c>
      <c r="U323">
        <v>3.2129831788044426E-2</v>
      </c>
      <c r="V323" t="s">
        <v>165</v>
      </c>
    </row>
    <row r="324" spans="9:22" x14ac:dyDescent="0.45">
      <c r="I324" t="s">
        <v>180</v>
      </c>
      <c r="J324" t="s">
        <v>263</v>
      </c>
      <c r="K324">
        <v>1.709935812831765E-2</v>
      </c>
      <c r="L324" t="s">
        <v>165</v>
      </c>
      <c r="N324" t="s">
        <v>204</v>
      </c>
      <c r="O324" t="s">
        <v>263</v>
      </c>
      <c r="P324">
        <v>3.8054366953468787E-3</v>
      </c>
      <c r="Q324" t="s">
        <v>165</v>
      </c>
      <c r="S324" t="s">
        <v>223</v>
      </c>
      <c r="T324" t="s">
        <v>263</v>
      </c>
      <c r="U324">
        <v>3.6886878806412847E-3</v>
      </c>
      <c r="V324" t="s">
        <v>165</v>
      </c>
    </row>
    <row r="325" spans="9:22" x14ac:dyDescent="0.45">
      <c r="I325" t="s">
        <v>180</v>
      </c>
      <c r="J325" t="s">
        <v>264</v>
      </c>
      <c r="K325">
        <v>0.13950984319893592</v>
      </c>
      <c r="L325" t="s">
        <v>165</v>
      </c>
      <c r="N325" t="s">
        <v>204</v>
      </c>
      <c r="O325" t="s">
        <v>264</v>
      </c>
      <c r="P325">
        <v>2.8288334481084407E-2</v>
      </c>
      <c r="Q325" t="s">
        <v>165</v>
      </c>
      <c r="S325" t="s">
        <v>223</v>
      </c>
      <c r="T325" t="s">
        <v>264</v>
      </c>
      <c r="U325">
        <v>2.544126743882304E-2</v>
      </c>
      <c r="V325" t="s">
        <v>165</v>
      </c>
    </row>
    <row r="326" spans="9:22" x14ac:dyDescent="0.45">
      <c r="I326" t="s">
        <v>180</v>
      </c>
      <c r="J326" t="s">
        <v>265</v>
      </c>
      <c r="K326">
        <v>1.5681489476655836E-2</v>
      </c>
      <c r="L326" t="s">
        <v>165</v>
      </c>
      <c r="N326" t="s">
        <v>204</v>
      </c>
      <c r="O326" t="s">
        <v>265</v>
      </c>
      <c r="P326">
        <v>5.5765860701518163E-3</v>
      </c>
      <c r="Q326" t="s">
        <v>165</v>
      </c>
      <c r="S326" t="s">
        <v>223</v>
      </c>
      <c r="T326" t="s">
        <v>265</v>
      </c>
      <c r="U326">
        <v>4.6403510454562187E-3</v>
      </c>
      <c r="V326" t="s">
        <v>165</v>
      </c>
    </row>
    <row r="327" spans="9:22" x14ac:dyDescent="0.45">
      <c r="I327" t="s">
        <v>180</v>
      </c>
      <c r="J327" t="s">
        <v>266</v>
      </c>
      <c r="K327">
        <v>1.125043667368609E-2</v>
      </c>
      <c r="L327" t="s">
        <v>165</v>
      </c>
      <c r="N327" t="s">
        <v>204</v>
      </c>
      <c r="O327" t="s">
        <v>266</v>
      </c>
      <c r="P327">
        <v>5.0909203847001551E-3</v>
      </c>
      <c r="Q327" t="s">
        <v>165</v>
      </c>
      <c r="S327" t="s">
        <v>223</v>
      </c>
      <c r="T327" t="s">
        <v>266</v>
      </c>
      <c r="U327">
        <v>4.6919623921788641E-3</v>
      </c>
      <c r="V327" t="s">
        <v>165</v>
      </c>
    </row>
    <row r="328" spans="9:22" x14ac:dyDescent="0.45">
      <c r="I328" t="s">
        <v>180</v>
      </c>
      <c r="J328" t="s">
        <v>267</v>
      </c>
      <c r="K328">
        <v>4.6938755005196285E-3</v>
      </c>
      <c r="L328" t="s">
        <v>165</v>
      </c>
      <c r="N328" t="s">
        <v>204</v>
      </c>
      <c r="O328" t="s">
        <v>267</v>
      </c>
      <c r="P328">
        <v>2.4752912995454773E-2</v>
      </c>
      <c r="Q328" t="s">
        <v>165</v>
      </c>
      <c r="S328" t="s">
        <v>223</v>
      </c>
      <c r="T328" t="s">
        <v>267</v>
      </c>
      <c r="U328">
        <v>2.6157465868845632E-2</v>
      </c>
      <c r="V328" t="s">
        <v>165</v>
      </c>
    </row>
    <row r="329" spans="9:22" x14ac:dyDescent="0.45">
      <c r="I329" t="s">
        <v>180</v>
      </c>
      <c r="J329" t="s">
        <v>268</v>
      </c>
      <c r="K329">
        <v>3.3712095565344401E-3</v>
      </c>
      <c r="L329" t="s">
        <v>165</v>
      </c>
      <c r="N329" t="s">
        <v>204</v>
      </c>
      <c r="O329" t="s">
        <v>268</v>
      </c>
      <c r="P329">
        <v>1.4817426949951718E-2</v>
      </c>
      <c r="Q329" t="s">
        <v>165</v>
      </c>
      <c r="S329" t="s">
        <v>223</v>
      </c>
      <c r="T329" t="s">
        <v>268</v>
      </c>
      <c r="U329">
        <v>2.6048570814269586E-2</v>
      </c>
      <c r="V329" t="s">
        <v>165</v>
      </c>
    </row>
    <row r="330" spans="9:22" x14ac:dyDescent="0.45">
      <c r="I330" t="s">
        <v>180</v>
      </c>
      <c r="J330" t="s">
        <v>269</v>
      </c>
      <c r="K330">
        <v>4.944947131780536E-3</v>
      </c>
      <c r="L330" t="s">
        <v>165</v>
      </c>
      <c r="N330" t="s">
        <v>204</v>
      </c>
      <c r="O330" t="s">
        <v>269</v>
      </c>
      <c r="P330">
        <v>1.785146126590025E-3</v>
      </c>
      <c r="Q330" t="s">
        <v>165</v>
      </c>
      <c r="S330" t="s">
        <v>223</v>
      </c>
      <c r="T330" t="s">
        <v>269</v>
      </c>
      <c r="U330">
        <v>3.2921274673939952E-3</v>
      </c>
      <c r="V330" t="s">
        <v>165</v>
      </c>
    </row>
    <row r="331" spans="9:22" x14ac:dyDescent="0.45">
      <c r="I331" t="s">
        <v>180</v>
      </c>
      <c r="J331" t="s">
        <v>270</v>
      </c>
      <c r="K331">
        <v>4.6385383928775718E-2</v>
      </c>
      <c r="L331" t="s">
        <v>165</v>
      </c>
      <c r="N331" t="s">
        <v>204</v>
      </c>
      <c r="O331" t="s">
        <v>270</v>
      </c>
      <c r="P331">
        <v>1.7814374836814213E-2</v>
      </c>
      <c r="Q331" t="s">
        <v>165</v>
      </c>
      <c r="S331" t="s">
        <v>223</v>
      </c>
      <c r="T331" t="s">
        <v>270</v>
      </c>
      <c r="U331">
        <v>2.1908867666809578E-2</v>
      </c>
      <c r="V331" t="s">
        <v>165</v>
      </c>
    </row>
    <row r="332" spans="9:22" x14ac:dyDescent="0.45">
      <c r="I332" t="s">
        <v>180</v>
      </c>
      <c r="J332" t="s">
        <v>271</v>
      </c>
      <c r="K332">
        <v>3.7486317620293768E-3</v>
      </c>
      <c r="L332" t="s">
        <v>165</v>
      </c>
      <c r="N332" t="s">
        <v>204</v>
      </c>
      <c r="O332" t="s">
        <v>271</v>
      </c>
      <c r="P332">
        <v>2.7736595476258066E-3</v>
      </c>
      <c r="Q332" t="s">
        <v>165</v>
      </c>
      <c r="S332" t="s">
        <v>223</v>
      </c>
      <c r="T332" t="s">
        <v>271</v>
      </c>
      <c r="U332">
        <v>3.0201699286162894E-3</v>
      </c>
      <c r="V332" t="s">
        <v>165</v>
      </c>
    </row>
    <row r="333" spans="9:22" x14ac:dyDescent="0.45">
      <c r="I333" t="s">
        <v>180</v>
      </c>
      <c r="J333" t="s">
        <v>272</v>
      </c>
      <c r="K333">
        <v>9.9260016806149826E-4</v>
      </c>
      <c r="L333" t="s">
        <v>165</v>
      </c>
      <c r="N333" t="s">
        <v>204</v>
      </c>
      <c r="O333" t="s">
        <v>272</v>
      </c>
      <c r="P333">
        <v>2.679960026396195E-3</v>
      </c>
      <c r="Q333" t="s">
        <v>165</v>
      </c>
      <c r="S333" t="s">
        <v>223</v>
      </c>
      <c r="T333" t="s">
        <v>272</v>
      </c>
      <c r="U333">
        <v>2.9205649465974038E-3</v>
      </c>
      <c r="V333" t="s">
        <v>165</v>
      </c>
    </row>
    <row r="334" spans="9:22" x14ac:dyDescent="0.45">
      <c r="I334" t="s">
        <v>180</v>
      </c>
      <c r="J334" t="s">
        <v>273</v>
      </c>
      <c r="K334">
        <v>0</v>
      </c>
      <c r="L334" t="s">
        <v>165</v>
      </c>
      <c r="N334" t="s">
        <v>204</v>
      </c>
      <c r="O334" t="s">
        <v>273</v>
      </c>
      <c r="P334">
        <v>1.2421850266270639E-2</v>
      </c>
      <c r="Q334" t="s">
        <v>165</v>
      </c>
      <c r="S334" t="s">
        <v>223</v>
      </c>
      <c r="T334" t="s">
        <v>273</v>
      </c>
      <c r="U334">
        <v>1.8153519470116994E-2</v>
      </c>
      <c r="V334" t="s">
        <v>165</v>
      </c>
    </row>
    <row r="335" spans="9:22" x14ac:dyDescent="0.45">
      <c r="I335" t="s">
        <v>180</v>
      </c>
      <c r="J335" t="s">
        <v>274</v>
      </c>
      <c r="K335">
        <v>1.6872219709507053E-3</v>
      </c>
      <c r="L335" t="s">
        <v>165</v>
      </c>
      <c r="N335" t="s">
        <v>204</v>
      </c>
      <c r="O335" t="s">
        <v>274</v>
      </c>
      <c r="P335">
        <v>4.0281405315147095E-2</v>
      </c>
      <c r="Q335" t="s">
        <v>165</v>
      </c>
      <c r="S335" t="s">
        <v>223</v>
      </c>
      <c r="T335" t="s">
        <v>274</v>
      </c>
      <c r="U335">
        <v>4.1878611432137468E-2</v>
      </c>
      <c r="V335" t="s">
        <v>165</v>
      </c>
    </row>
    <row r="336" spans="9:22" x14ac:dyDescent="0.45">
      <c r="I336" t="s">
        <v>180</v>
      </c>
      <c r="J336" t="s">
        <v>275</v>
      </c>
      <c r="K336">
        <v>4.0658752325438514E-3</v>
      </c>
      <c r="L336" t="s">
        <v>165</v>
      </c>
      <c r="N336" t="s">
        <v>204</v>
      </c>
      <c r="O336" t="s">
        <v>275</v>
      </c>
      <c r="P336">
        <v>5.0955707776032619E-3</v>
      </c>
      <c r="Q336" t="s">
        <v>165</v>
      </c>
      <c r="S336" t="s">
        <v>223</v>
      </c>
      <c r="T336" t="s">
        <v>275</v>
      </c>
      <c r="U336">
        <v>4.9849106772609847E-3</v>
      </c>
      <c r="V336" t="s">
        <v>165</v>
      </c>
    </row>
    <row r="337" spans="9:22" x14ac:dyDescent="0.45">
      <c r="I337" t="s">
        <v>180</v>
      </c>
      <c r="J337" t="s">
        <v>276</v>
      </c>
      <c r="K337">
        <v>3.8479089430521425E-2</v>
      </c>
      <c r="L337" t="s">
        <v>165</v>
      </c>
      <c r="N337" t="s">
        <v>204</v>
      </c>
      <c r="O337" t="s">
        <v>276</v>
      </c>
      <c r="P337">
        <v>3.608903853618798E-2</v>
      </c>
      <c r="Q337" t="s">
        <v>165</v>
      </c>
      <c r="S337" t="s">
        <v>223</v>
      </c>
      <c r="T337" t="s">
        <v>276</v>
      </c>
      <c r="U337">
        <v>3.6748213121834274E-2</v>
      </c>
      <c r="V337" t="s">
        <v>165</v>
      </c>
    </row>
    <row r="338" spans="9:22" x14ac:dyDescent="0.45">
      <c r="I338" t="s">
        <v>180</v>
      </c>
      <c r="J338" t="s">
        <v>277</v>
      </c>
      <c r="K338">
        <v>2.4640446753124434E-3</v>
      </c>
      <c r="L338" t="s">
        <v>165</v>
      </c>
      <c r="N338" t="s">
        <v>204</v>
      </c>
      <c r="O338" t="s">
        <v>277</v>
      </c>
      <c r="P338">
        <v>5.3921850333730603E-3</v>
      </c>
      <c r="Q338" t="s">
        <v>165</v>
      </c>
      <c r="S338" t="s">
        <v>223</v>
      </c>
      <c r="T338" t="s">
        <v>277</v>
      </c>
      <c r="U338">
        <v>5.8073322470492553E-3</v>
      </c>
      <c r="V338" t="s">
        <v>165</v>
      </c>
    </row>
    <row r="339" spans="9:22" x14ac:dyDescent="0.45">
      <c r="I339" t="s">
        <v>180</v>
      </c>
      <c r="J339" t="s">
        <v>278</v>
      </c>
      <c r="K339">
        <v>0</v>
      </c>
      <c r="L339" t="s">
        <v>165</v>
      </c>
      <c r="N339" t="s">
        <v>204</v>
      </c>
      <c r="O339" t="s">
        <v>278</v>
      </c>
      <c r="P339">
        <v>5.5517895758571186E-3</v>
      </c>
      <c r="Q339" t="s">
        <v>165</v>
      </c>
      <c r="S339" t="s">
        <v>223</v>
      </c>
      <c r="T339" t="s">
        <v>278</v>
      </c>
      <c r="U339">
        <v>5.9528910486462668E-3</v>
      </c>
      <c r="V339" t="s">
        <v>165</v>
      </c>
    </row>
    <row r="340" spans="9:22" x14ac:dyDescent="0.45">
      <c r="I340" t="s">
        <v>180</v>
      </c>
      <c r="J340" t="s">
        <v>279</v>
      </c>
      <c r="K340">
        <v>0</v>
      </c>
      <c r="L340" t="s">
        <v>165</v>
      </c>
      <c r="N340" t="s">
        <v>204</v>
      </c>
      <c r="O340" t="s">
        <v>279</v>
      </c>
      <c r="P340">
        <v>3.3601582710939132E-2</v>
      </c>
      <c r="Q340" t="s">
        <v>165</v>
      </c>
      <c r="S340" t="s">
        <v>223</v>
      </c>
      <c r="T340" t="s">
        <v>279</v>
      </c>
      <c r="U340">
        <v>3.7112656796050636E-2</v>
      </c>
      <c r="V340" t="s">
        <v>165</v>
      </c>
    </row>
    <row r="341" spans="9:22" x14ac:dyDescent="0.45">
      <c r="I341" t="s">
        <v>180</v>
      </c>
      <c r="J341" t="s">
        <v>280</v>
      </c>
      <c r="K341">
        <v>0</v>
      </c>
      <c r="L341" t="s">
        <v>165</v>
      </c>
      <c r="N341" t="s">
        <v>204</v>
      </c>
      <c r="O341" t="s">
        <v>280</v>
      </c>
      <c r="P341">
        <v>3.4433612676283615E-2</v>
      </c>
      <c r="Q341" t="s">
        <v>165</v>
      </c>
      <c r="S341" t="s">
        <v>223</v>
      </c>
      <c r="T341" t="s">
        <v>280</v>
      </c>
      <c r="U341">
        <v>2.4030422214791517E-2</v>
      </c>
      <c r="V341" t="s">
        <v>165</v>
      </c>
    </row>
    <row r="342" spans="9:22" x14ac:dyDescent="0.45">
      <c r="I342" t="s">
        <v>180</v>
      </c>
      <c r="J342" t="s">
        <v>281</v>
      </c>
      <c r="K342">
        <v>3.1508282668020675E-3</v>
      </c>
      <c r="L342" t="s">
        <v>165</v>
      </c>
      <c r="N342" t="s">
        <v>204</v>
      </c>
      <c r="O342" t="s">
        <v>281</v>
      </c>
      <c r="P342">
        <v>4.7569135276206579E-3</v>
      </c>
      <c r="Q342" t="s">
        <v>165</v>
      </c>
      <c r="S342" t="s">
        <v>223</v>
      </c>
      <c r="T342" t="s">
        <v>281</v>
      </c>
      <c r="U342">
        <v>2.9466993531902181E-3</v>
      </c>
      <c r="V342" t="s">
        <v>165</v>
      </c>
    </row>
    <row r="343" spans="9:22" x14ac:dyDescent="0.45">
      <c r="I343" t="s">
        <v>180</v>
      </c>
      <c r="J343" t="s">
        <v>282</v>
      </c>
      <c r="K343">
        <v>3.8991057883987372E-2</v>
      </c>
      <c r="L343" t="s">
        <v>165</v>
      </c>
      <c r="N343" t="s">
        <v>204</v>
      </c>
      <c r="O343" t="s">
        <v>282</v>
      </c>
      <c r="P343">
        <v>3.0496294383028255E-2</v>
      </c>
      <c r="Q343" t="s">
        <v>165</v>
      </c>
      <c r="S343" t="s">
        <v>223</v>
      </c>
      <c r="T343" t="s">
        <v>282</v>
      </c>
      <c r="U343">
        <v>1.8419758984544368E-2</v>
      </c>
      <c r="V343" t="s">
        <v>165</v>
      </c>
    </row>
    <row r="344" spans="9:22" x14ac:dyDescent="0.45">
      <c r="I344" t="s">
        <v>180</v>
      </c>
      <c r="J344" t="s">
        <v>283</v>
      </c>
      <c r="K344">
        <v>2.5375196847026741E-3</v>
      </c>
      <c r="L344" t="s">
        <v>165</v>
      </c>
      <c r="N344" t="s">
        <v>204</v>
      </c>
      <c r="O344" t="s">
        <v>283</v>
      </c>
      <c r="P344">
        <v>3.8324474214714091E-3</v>
      </c>
      <c r="Q344" t="s">
        <v>165</v>
      </c>
      <c r="S344" t="s">
        <v>223</v>
      </c>
      <c r="T344" t="s">
        <v>283</v>
      </c>
      <c r="U344">
        <v>2.5970181442073761E-3</v>
      </c>
      <c r="V344" t="s">
        <v>165</v>
      </c>
    </row>
    <row r="345" spans="9:22" x14ac:dyDescent="0.45">
      <c r="I345" t="s">
        <v>180</v>
      </c>
      <c r="J345" t="s">
        <v>284</v>
      </c>
      <c r="K345">
        <v>0</v>
      </c>
      <c r="L345" t="s">
        <v>165</v>
      </c>
      <c r="N345" t="s">
        <v>204</v>
      </c>
      <c r="O345" t="s">
        <v>284</v>
      </c>
      <c r="P345">
        <v>3.807487620105336E-3</v>
      </c>
      <c r="Q345" t="s">
        <v>165</v>
      </c>
      <c r="S345" t="s">
        <v>223</v>
      </c>
      <c r="T345" t="s">
        <v>284</v>
      </c>
      <c r="U345">
        <v>2.6241205577880867E-3</v>
      </c>
      <c r="V345" t="s">
        <v>165</v>
      </c>
    </row>
    <row r="346" spans="9:22" x14ac:dyDescent="0.45">
      <c r="I346" t="s">
        <v>180</v>
      </c>
      <c r="J346" t="s">
        <v>285</v>
      </c>
      <c r="K346">
        <v>0</v>
      </c>
      <c r="L346" t="s">
        <v>165</v>
      </c>
      <c r="N346" t="s">
        <v>204</v>
      </c>
      <c r="O346" t="s">
        <v>285</v>
      </c>
      <c r="P346">
        <v>1.8683425183113458E-2</v>
      </c>
      <c r="Q346" t="s">
        <v>165</v>
      </c>
      <c r="S346" t="s">
        <v>223</v>
      </c>
      <c r="T346" t="s">
        <v>285</v>
      </c>
      <c r="U346">
        <v>1.61997423501309E-2</v>
      </c>
      <c r="V346" t="s">
        <v>165</v>
      </c>
    </row>
    <row r="347" spans="9:22" x14ac:dyDescent="0.45">
      <c r="I347" t="s">
        <v>181</v>
      </c>
      <c r="J347" t="s">
        <v>164</v>
      </c>
      <c r="K347">
        <v>1.6377169592862357E-3</v>
      </c>
      <c r="L347" t="s">
        <v>165</v>
      </c>
      <c r="N347" t="s">
        <v>205</v>
      </c>
      <c r="O347" t="s">
        <v>164</v>
      </c>
      <c r="P347">
        <v>6.2819226090541511E-2</v>
      </c>
      <c r="Q347" t="s">
        <v>165</v>
      </c>
      <c r="S347" t="s">
        <v>224</v>
      </c>
      <c r="T347" t="s">
        <v>164</v>
      </c>
      <c r="U347">
        <v>6.9190871050094763E-2</v>
      </c>
      <c r="V347" t="s">
        <v>165</v>
      </c>
    </row>
    <row r="348" spans="9:22" x14ac:dyDescent="0.45">
      <c r="I348" t="s">
        <v>181</v>
      </c>
      <c r="J348" t="s">
        <v>166</v>
      </c>
      <c r="K348">
        <v>6.8800169956718827E-3</v>
      </c>
      <c r="L348" t="s">
        <v>165</v>
      </c>
      <c r="N348" t="s">
        <v>205</v>
      </c>
      <c r="O348" t="s">
        <v>166</v>
      </c>
      <c r="P348">
        <v>7.488750913952404E-3</v>
      </c>
      <c r="Q348" t="s">
        <v>165</v>
      </c>
      <c r="S348" t="s">
        <v>224</v>
      </c>
      <c r="T348" t="s">
        <v>166</v>
      </c>
      <c r="U348">
        <v>8.7060010259168447E-3</v>
      </c>
      <c r="V348" t="s">
        <v>165</v>
      </c>
    </row>
    <row r="349" spans="9:22" x14ac:dyDescent="0.45">
      <c r="I349" t="s">
        <v>181</v>
      </c>
      <c r="J349" t="s">
        <v>167</v>
      </c>
      <c r="K349">
        <v>8.4428021513399495E-2</v>
      </c>
      <c r="L349" t="s">
        <v>165</v>
      </c>
      <c r="N349" t="s">
        <v>205</v>
      </c>
      <c r="O349" t="s">
        <v>167</v>
      </c>
      <c r="P349">
        <v>5.045181356796935E-2</v>
      </c>
      <c r="Q349" t="s">
        <v>165</v>
      </c>
      <c r="S349" t="s">
        <v>224</v>
      </c>
      <c r="T349" t="s">
        <v>167</v>
      </c>
      <c r="U349">
        <v>5.7930782068159152E-2</v>
      </c>
      <c r="V349" t="s">
        <v>165</v>
      </c>
    </row>
    <row r="350" spans="9:22" x14ac:dyDescent="0.45">
      <c r="I350" t="s">
        <v>181</v>
      </c>
      <c r="J350" t="s">
        <v>253</v>
      </c>
      <c r="K350">
        <v>7.1519803271004254E-3</v>
      </c>
      <c r="L350" t="s">
        <v>165</v>
      </c>
      <c r="N350" t="s">
        <v>205</v>
      </c>
      <c r="O350" t="s">
        <v>253</v>
      </c>
      <c r="P350">
        <v>7.6001628162375347E-3</v>
      </c>
      <c r="Q350" t="s">
        <v>165</v>
      </c>
      <c r="S350" t="s">
        <v>224</v>
      </c>
      <c r="T350" t="s">
        <v>253</v>
      </c>
      <c r="U350">
        <v>8.6432500567317789E-3</v>
      </c>
      <c r="V350" t="s">
        <v>165</v>
      </c>
    </row>
    <row r="351" spans="9:22" x14ac:dyDescent="0.45">
      <c r="I351" t="s">
        <v>181</v>
      </c>
      <c r="J351" t="s">
        <v>254</v>
      </c>
      <c r="K351">
        <v>2.0286216955057684E-3</v>
      </c>
      <c r="L351" t="s">
        <v>165</v>
      </c>
      <c r="N351" t="s">
        <v>205</v>
      </c>
      <c r="O351" t="s">
        <v>254</v>
      </c>
      <c r="P351">
        <v>7.5118455972839745E-3</v>
      </c>
      <c r="Q351" t="s">
        <v>165</v>
      </c>
      <c r="S351" t="s">
        <v>224</v>
      </c>
      <c r="T351" t="s">
        <v>254</v>
      </c>
      <c r="U351">
        <v>8.8297919307130032E-3</v>
      </c>
      <c r="V351" t="s">
        <v>165</v>
      </c>
    </row>
    <row r="352" spans="9:22" x14ac:dyDescent="0.45">
      <c r="I352" t="s">
        <v>181</v>
      </c>
      <c r="J352" t="s">
        <v>255</v>
      </c>
      <c r="K352">
        <v>0</v>
      </c>
      <c r="L352" t="s">
        <v>165</v>
      </c>
      <c r="N352" t="s">
        <v>205</v>
      </c>
      <c r="O352" t="s">
        <v>255</v>
      </c>
      <c r="P352">
        <v>4.7356619485094315E-2</v>
      </c>
      <c r="Q352" t="s">
        <v>165</v>
      </c>
      <c r="S352" t="s">
        <v>224</v>
      </c>
      <c r="T352" t="s">
        <v>255</v>
      </c>
      <c r="U352">
        <v>5.2925646063127371E-2</v>
      </c>
      <c r="V352" t="s">
        <v>165</v>
      </c>
    </row>
    <row r="353" spans="9:22" x14ac:dyDescent="0.45">
      <c r="I353" t="s">
        <v>181</v>
      </c>
      <c r="J353" t="s">
        <v>168</v>
      </c>
      <c r="K353">
        <v>3.8749387122326683E-3</v>
      </c>
      <c r="L353" t="s">
        <v>165</v>
      </c>
      <c r="N353" t="s">
        <v>205</v>
      </c>
      <c r="O353" t="s">
        <v>168</v>
      </c>
      <c r="P353">
        <v>4.3353149573255284E-2</v>
      </c>
      <c r="Q353" t="s">
        <v>165</v>
      </c>
      <c r="S353" t="s">
        <v>224</v>
      </c>
      <c r="T353" t="s">
        <v>168</v>
      </c>
      <c r="U353">
        <v>4.6473125623285101E-2</v>
      </c>
      <c r="V353" t="s">
        <v>165</v>
      </c>
    </row>
    <row r="354" spans="9:22" x14ac:dyDescent="0.45">
      <c r="I354" t="s">
        <v>181</v>
      </c>
      <c r="J354" t="s">
        <v>169</v>
      </c>
      <c r="K354">
        <v>5.1189945524777727E-3</v>
      </c>
      <c r="L354" t="s">
        <v>165</v>
      </c>
      <c r="N354" t="s">
        <v>205</v>
      </c>
      <c r="O354" t="s">
        <v>169</v>
      </c>
      <c r="P354">
        <v>5.2783193586562168E-3</v>
      </c>
      <c r="Q354" t="s">
        <v>165</v>
      </c>
      <c r="S354" t="s">
        <v>224</v>
      </c>
      <c r="T354" t="s">
        <v>169</v>
      </c>
      <c r="U354">
        <v>6.9469123948468397E-3</v>
      </c>
      <c r="V354" t="s">
        <v>165</v>
      </c>
    </row>
    <row r="355" spans="9:22" x14ac:dyDescent="0.45">
      <c r="I355" t="s">
        <v>181</v>
      </c>
      <c r="J355" t="s">
        <v>170</v>
      </c>
      <c r="K355">
        <v>4.824835560282436E-2</v>
      </c>
      <c r="L355" t="s">
        <v>165</v>
      </c>
      <c r="N355" t="s">
        <v>205</v>
      </c>
      <c r="O355" t="s">
        <v>170</v>
      </c>
      <c r="P355">
        <v>3.4172677735465444E-2</v>
      </c>
      <c r="Q355" t="s">
        <v>165</v>
      </c>
      <c r="S355" t="s">
        <v>224</v>
      </c>
      <c r="T355" t="s">
        <v>170</v>
      </c>
      <c r="U355">
        <v>4.6431715100998333E-2</v>
      </c>
      <c r="V355" t="s">
        <v>165</v>
      </c>
    </row>
    <row r="356" spans="9:22" x14ac:dyDescent="0.45">
      <c r="I356" t="s">
        <v>181</v>
      </c>
      <c r="J356" t="s">
        <v>256</v>
      </c>
      <c r="K356">
        <v>4.6759801792979798E-3</v>
      </c>
      <c r="L356" t="s">
        <v>165</v>
      </c>
      <c r="N356" t="s">
        <v>205</v>
      </c>
      <c r="O356" t="s">
        <v>256</v>
      </c>
      <c r="P356">
        <v>5.4315495343974004E-3</v>
      </c>
      <c r="Q356" t="s">
        <v>165</v>
      </c>
      <c r="S356" t="s">
        <v>224</v>
      </c>
      <c r="T356" t="s">
        <v>256</v>
      </c>
      <c r="U356">
        <v>6.0559993707074771E-3</v>
      </c>
      <c r="V356" t="s">
        <v>165</v>
      </c>
    </row>
    <row r="357" spans="9:22" x14ac:dyDescent="0.45">
      <c r="I357" t="s">
        <v>181</v>
      </c>
      <c r="J357" t="s">
        <v>257</v>
      </c>
      <c r="K357">
        <v>3.05834433346641E-3</v>
      </c>
      <c r="L357" t="s">
        <v>165</v>
      </c>
      <c r="N357" t="s">
        <v>205</v>
      </c>
      <c r="O357" t="s">
        <v>257</v>
      </c>
      <c r="P357">
        <v>5.5692107805810891E-3</v>
      </c>
      <c r="Q357" t="s">
        <v>165</v>
      </c>
      <c r="S357" t="s">
        <v>224</v>
      </c>
      <c r="T357" t="s">
        <v>257</v>
      </c>
      <c r="U357">
        <v>5.8248053881900744E-3</v>
      </c>
      <c r="V357" t="s">
        <v>165</v>
      </c>
    </row>
    <row r="358" spans="9:22" x14ac:dyDescent="0.45">
      <c r="I358" t="s">
        <v>181</v>
      </c>
      <c r="J358" t="s">
        <v>258</v>
      </c>
      <c r="K358">
        <v>2.8951708476581621E-4</v>
      </c>
      <c r="L358" t="s">
        <v>165</v>
      </c>
      <c r="N358" t="s">
        <v>205</v>
      </c>
      <c r="O358" t="s">
        <v>258</v>
      </c>
      <c r="P358">
        <v>3.2315066912119744E-2</v>
      </c>
      <c r="Q358" t="s">
        <v>165</v>
      </c>
      <c r="S358" t="s">
        <v>224</v>
      </c>
      <c r="T358" t="s">
        <v>258</v>
      </c>
      <c r="U358">
        <v>3.1028379974505072E-2</v>
      </c>
      <c r="V358" t="s">
        <v>165</v>
      </c>
    </row>
    <row r="359" spans="9:22" x14ac:dyDescent="0.45">
      <c r="I359" t="s">
        <v>181</v>
      </c>
      <c r="J359" t="s">
        <v>171</v>
      </c>
      <c r="K359">
        <v>5.6494263095991072E-2</v>
      </c>
      <c r="L359" t="s">
        <v>165</v>
      </c>
      <c r="N359" t="s">
        <v>205</v>
      </c>
      <c r="O359" t="s">
        <v>171</v>
      </c>
      <c r="P359">
        <v>9.8103821645157283E-2</v>
      </c>
      <c r="Q359" t="s">
        <v>165</v>
      </c>
      <c r="S359" t="s">
        <v>224</v>
      </c>
      <c r="T359" t="s">
        <v>171</v>
      </c>
      <c r="U359">
        <v>7.2721280268352964E-2</v>
      </c>
      <c r="V359" t="s">
        <v>165</v>
      </c>
    </row>
    <row r="360" spans="9:22" x14ac:dyDescent="0.45">
      <c r="I360" t="s">
        <v>181</v>
      </c>
      <c r="J360" t="s">
        <v>172</v>
      </c>
      <c r="K360">
        <v>3.6501473233338404E-2</v>
      </c>
      <c r="L360" t="s">
        <v>165</v>
      </c>
      <c r="N360" t="s">
        <v>205</v>
      </c>
      <c r="O360" t="s">
        <v>172</v>
      </c>
      <c r="P360">
        <v>9.7041275663175813E-3</v>
      </c>
      <c r="Q360" t="s">
        <v>165</v>
      </c>
      <c r="S360" t="s">
        <v>224</v>
      </c>
      <c r="T360" t="s">
        <v>172</v>
      </c>
      <c r="U360">
        <v>8.5443016826622763E-3</v>
      </c>
      <c r="V360" t="s">
        <v>165</v>
      </c>
    </row>
    <row r="361" spans="9:22" x14ac:dyDescent="0.45">
      <c r="I361" t="s">
        <v>181</v>
      </c>
      <c r="J361" t="s">
        <v>173</v>
      </c>
      <c r="K361">
        <v>0.29760939051380397</v>
      </c>
      <c r="L361" t="s">
        <v>165</v>
      </c>
      <c r="N361" t="s">
        <v>205</v>
      </c>
      <c r="O361" t="s">
        <v>173</v>
      </c>
      <c r="P361">
        <v>6.2634813571677481E-2</v>
      </c>
      <c r="Q361" t="s">
        <v>165</v>
      </c>
      <c r="S361" t="s">
        <v>224</v>
      </c>
      <c r="T361" t="s">
        <v>173</v>
      </c>
      <c r="U361">
        <v>6.677414327735956E-2</v>
      </c>
      <c r="V361" t="s">
        <v>165</v>
      </c>
    </row>
    <row r="362" spans="9:22" x14ac:dyDescent="0.45">
      <c r="I362" t="s">
        <v>181</v>
      </c>
      <c r="J362" t="s">
        <v>259</v>
      </c>
      <c r="K362">
        <v>3.2717103953660426E-2</v>
      </c>
      <c r="L362" t="s">
        <v>165</v>
      </c>
      <c r="N362" t="s">
        <v>205</v>
      </c>
      <c r="O362" t="s">
        <v>259</v>
      </c>
      <c r="P362">
        <v>1.1348146788979939E-2</v>
      </c>
      <c r="Q362" t="s">
        <v>165</v>
      </c>
      <c r="S362" t="s">
        <v>224</v>
      </c>
      <c r="T362" t="s">
        <v>259</v>
      </c>
      <c r="U362">
        <v>1.2042901590096597E-2</v>
      </c>
      <c r="V362" t="s">
        <v>165</v>
      </c>
    </row>
    <row r="363" spans="9:22" x14ac:dyDescent="0.45">
      <c r="I363" t="s">
        <v>181</v>
      </c>
      <c r="J363" t="s">
        <v>260</v>
      </c>
      <c r="K363">
        <v>2.5217521853575887E-2</v>
      </c>
      <c r="L363" t="s">
        <v>165</v>
      </c>
      <c r="N363" t="s">
        <v>205</v>
      </c>
      <c r="O363" t="s">
        <v>260</v>
      </c>
      <c r="P363">
        <v>1.1371602926335839E-2</v>
      </c>
      <c r="Q363" t="s">
        <v>165</v>
      </c>
      <c r="S363" t="s">
        <v>224</v>
      </c>
      <c r="T363" t="s">
        <v>260</v>
      </c>
      <c r="U363">
        <v>1.2199704746447786E-2</v>
      </c>
      <c r="V363" t="s">
        <v>165</v>
      </c>
    </row>
    <row r="364" spans="9:22" x14ac:dyDescent="0.45">
      <c r="I364" t="s">
        <v>181</v>
      </c>
      <c r="J364" t="s">
        <v>261</v>
      </c>
      <c r="K364">
        <v>2.0022884945036772E-2</v>
      </c>
      <c r="L364" t="s">
        <v>165</v>
      </c>
      <c r="N364" t="s">
        <v>205</v>
      </c>
      <c r="O364" t="s">
        <v>261</v>
      </c>
      <c r="P364">
        <v>7.2365041417489034E-2</v>
      </c>
      <c r="Q364" t="s">
        <v>165</v>
      </c>
      <c r="S364" t="s">
        <v>224</v>
      </c>
      <c r="T364" t="s">
        <v>261</v>
      </c>
      <c r="U364">
        <v>6.6352938995799748E-2</v>
      </c>
      <c r="V364" t="s">
        <v>165</v>
      </c>
    </row>
    <row r="365" spans="9:22" x14ac:dyDescent="0.45">
      <c r="I365" t="s">
        <v>181</v>
      </c>
      <c r="J365" t="s">
        <v>262</v>
      </c>
      <c r="K365">
        <v>2.28361160007154E-2</v>
      </c>
      <c r="L365" t="s">
        <v>165</v>
      </c>
      <c r="N365" t="s">
        <v>205</v>
      </c>
      <c r="O365" t="s">
        <v>262</v>
      </c>
      <c r="P365">
        <v>4.704888937893173E-2</v>
      </c>
      <c r="Q365" t="s">
        <v>165</v>
      </c>
      <c r="S365" t="s">
        <v>224</v>
      </c>
      <c r="T365" t="s">
        <v>262</v>
      </c>
      <c r="U365">
        <v>3.2814113786884827E-2</v>
      </c>
      <c r="V365" t="s">
        <v>165</v>
      </c>
    </row>
    <row r="366" spans="9:22" x14ac:dyDescent="0.45">
      <c r="I366" t="s">
        <v>181</v>
      </c>
      <c r="J366" t="s">
        <v>263</v>
      </c>
      <c r="K366">
        <v>1.7580737742891425E-2</v>
      </c>
      <c r="L366" t="s">
        <v>165</v>
      </c>
      <c r="N366" t="s">
        <v>205</v>
      </c>
      <c r="O366" t="s">
        <v>263</v>
      </c>
      <c r="P366">
        <v>4.7709505694594903E-3</v>
      </c>
      <c r="Q366" t="s">
        <v>165</v>
      </c>
      <c r="S366" t="s">
        <v>224</v>
      </c>
      <c r="T366" t="s">
        <v>263</v>
      </c>
      <c r="U366">
        <v>3.4285475638515272E-3</v>
      </c>
      <c r="V366" t="s">
        <v>165</v>
      </c>
    </row>
    <row r="367" spans="9:22" x14ac:dyDescent="0.45">
      <c r="I367" t="s">
        <v>181</v>
      </c>
      <c r="J367" t="s">
        <v>264</v>
      </c>
      <c r="K367">
        <v>0.14462206186405258</v>
      </c>
      <c r="L367" t="s">
        <v>165</v>
      </c>
      <c r="N367" t="s">
        <v>205</v>
      </c>
      <c r="O367" t="s">
        <v>264</v>
      </c>
      <c r="P367">
        <v>2.6417210330792928E-2</v>
      </c>
      <c r="Q367" t="s">
        <v>165</v>
      </c>
      <c r="S367" t="s">
        <v>224</v>
      </c>
      <c r="T367" t="s">
        <v>264</v>
      </c>
      <c r="U367">
        <v>2.5867118606930539E-2</v>
      </c>
      <c r="V367" t="s">
        <v>165</v>
      </c>
    </row>
    <row r="368" spans="9:22" x14ac:dyDescent="0.45">
      <c r="I368" t="s">
        <v>181</v>
      </c>
      <c r="J368" t="s">
        <v>265</v>
      </c>
      <c r="K368">
        <v>1.6327101799955404E-2</v>
      </c>
      <c r="L368" t="s">
        <v>165</v>
      </c>
      <c r="N368" t="s">
        <v>205</v>
      </c>
      <c r="O368" t="s">
        <v>265</v>
      </c>
      <c r="P368">
        <v>4.0148589398338198E-3</v>
      </c>
      <c r="Q368" t="s">
        <v>165</v>
      </c>
      <c r="S368" t="s">
        <v>224</v>
      </c>
      <c r="T368" t="s">
        <v>265</v>
      </c>
      <c r="U368">
        <v>5.0833734559344416E-3</v>
      </c>
      <c r="V368" t="s">
        <v>165</v>
      </c>
    </row>
    <row r="369" spans="9:22" x14ac:dyDescent="0.45">
      <c r="I369" t="s">
        <v>181</v>
      </c>
      <c r="J369" t="s">
        <v>266</v>
      </c>
      <c r="K369">
        <v>1.1723957169490347E-2</v>
      </c>
      <c r="L369" t="s">
        <v>165</v>
      </c>
      <c r="N369" t="s">
        <v>205</v>
      </c>
      <c r="O369" t="s">
        <v>266</v>
      </c>
      <c r="P369">
        <v>4.2823364357627534E-3</v>
      </c>
      <c r="Q369" t="s">
        <v>165</v>
      </c>
      <c r="S369" t="s">
        <v>224</v>
      </c>
      <c r="T369" t="s">
        <v>266</v>
      </c>
      <c r="U369">
        <v>5.3175194185017816E-3</v>
      </c>
      <c r="V369" t="s">
        <v>165</v>
      </c>
    </row>
    <row r="370" spans="9:22" x14ac:dyDescent="0.45">
      <c r="I370" t="s">
        <v>181</v>
      </c>
      <c r="J370" t="s">
        <v>267</v>
      </c>
      <c r="K370">
        <v>5.3584803476793876E-3</v>
      </c>
      <c r="L370" t="s">
        <v>165</v>
      </c>
      <c r="N370" t="s">
        <v>205</v>
      </c>
      <c r="O370" t="s">
        <v>267</v>
      </c>
      <c r="P370">
        <v>2.8843941706051847E-2</v>
      </c>
      <c r="Q370" t="s">
        <v>165</v>
      </c>
      <c r="S370" t="s">
        <v>224</v>
      </c>
      <c r="T370" t="s">
        <v>267</v>
      </c>
      <c r="U370">
        <v>2.8583707898886711E-2</v>
      </c>
      <c r="V370" t="s">
        <v>165</v>
      </c>
    </row>
    <row r="371" spans="9:22" x14ac:dyDescent="0.45">
      <c r="I371" t="s">
        <v>181</v>
      </c>
      <c r="J371" t="s">
        <v>268</v>
      </c>
      <c r="K371">
        <v>3.1591173619920357E-3</v>
      </c>
      <c r="L371" t="s">
        <v>165</v>
      </c>
      <c r="N371" t="s">
        <v>205</v>
      </c>
      <c r="O371" t="s">
        <v>268</v>
      </c>
      <c r="P371">
        <v>2.1865013489092162E-2</v>
      </c>
      <c r="Q371" t="s">
        <v>165</v>
      </c>
      <c r="S371" t="s">
        <v>224</v>
      </c>
      <c r="T371" t="s">
        <v>268</v>
      </c>
      <c r="U371">
        <v>3.1586897448179031E-2</v>
      </c>
      <c r="V371" t="s">
        <v>165</v>
      </c>
    </row>
    <row r="372" spans="9:22" x14ac:dyDescent="0.45">
      <c r="I372" t="s">
        <v>181</v>
      </c>
      <c r="J372" t="s">
        <v>269</v>
      </c>
      <c r="K372">
        <v>4.7332031708968835E-3</v>
      </c>
      <c r="L372" t="s">
        <v>165</v>
      </c>
      <c r="N372" t="s">
        <v>205</v>
      </c>
      <c r="O372" t="s">
        <v>269</v>
      </c>
      <c r="P372">
        <v>2.4083238093816168E-3</v>
      </c>
      <c r="Q372" t="s">
        <v>165</v>
      </c>
      <c r="S372" t="s">
        <v>224</v>
      </c>
      <c r="T372" t="s">
        <v>269</v>
      </c>
      <c r="U372">
        <v>3.932481491386427E-3</v>
      </c>
      <c r="V372" t="s">
        <v>165</v>
      </c>
    </row>
    <row r="373" spans="9:22" x14ac:dyDescent="0.45">
      <c r="I373" t="s">
        <v>181</v>
      </c>
      <c r="J373" t="s">
        <v>270</v>
      </c>
      <c r="K373">
        <v>4.4627463410685977E-2</v>
      </c>
      <c r="L373" t="s">
        <v>165</v>
      </c>
      <c r="N373" t="s">
        <v>205</v>
      </c>
      <c r="O373" t="s">
        <v>270</v>
      </c>
      <c r="P373">
        <v>1.8152172448270928E-2</v>
      </c>
      <c r="Q373" t="s">
        <v>165</v>
      </c>
      <c r="S373" t="s">
        <v>224</v>
      </c>
      <c r="T373" t="s">
        <v>270</v>
      </c>
      <c r="U373">
        <v>2.7096980908305923E-2</v>
      </c>
      <c r="V373" t="s">
        <v>165</v>
      </c>
    </row>
    <row r="374" spans="9:22" x14ac:dyDescent="0.45">
      <c r="I374" t="s">
        <v>181</v>
      </c>
      <c r="J374" t="s">
        <v>271</v>
      </c>
      <c r="K374">
        <v>3.6274299661410354E-3</v>
      </c>
      <c r="L374" t="s">
        <v>165</v>
      </c>
      <c r="N374" t="s">
        <v>205</v>
      </c>
      <c r="O374" t="s">
        <v>271</v>
      </c>
      <c r="P374">
        <v>3.1981251782070346E-3</v>
      </c>
      <c r="Q374" t="s">
        <v>165</v>
      </c>
      <c r="S374" t="s">
        <v>224</v>
      </c>
      <c r="T374" t="s">
        <v>271</v>
      </c>
      <c r="U374">
        <v>3.9098821476970047E-3</v>
      </c>
      <c r="V374" t="s">
        <v>165</v>
      </c>
    </row>
    <row r="375" spans="9:22" x14ac:dyDescent="0.45">
      <c r="I375" t="s">
        <v>181</v>
      </c>
      <c r="J375" t="s">
        <v>272</v>
      </c>
      <c r="K375">
        <v>7.7681899167826845E-4</v>
      </c>
      <c r="L375" t="s">
        <v>165</v>
      </c>
      <c r="N375" t="s">
        <v>205</v>
      </c>
      <c r="O375" t="s">
        <v>272</v>
      </c>
      <c r="P375">
        <v>3.5255889774262355E-3</v>
      </c>
      <c r="Q375" t="s">
        <v>165</v>
      </c>
      <c r="S375" t="s">
        <v>224</v>
      </c>
      <c r="T375" t="s">
        <v>272</v>
      </c>
      <c r="U375">
        <v>3.9233312318106284E-3</v>
      </c>
      <c r="V375" t="s">
        <v>165</v>
      </c>
    </row>
    <row r="376" spans="9:22" x14ac:dyDescent="0.45">
      <c r="I376" t="s">
        <v>181</v>
      </c>
      <c r="J376" t="s">
        <v>273</v>
      </c>
      <c r="K376">
        <v>0</v>
      </c>
      <c r="L376" t="s">
        <v>165</v>
      </c>
      <c r="N376" t="s">
        <v>205</v>
      </c>
      <c r="O376" t="s">
        <v>273</v>
      </c>
      <c r="P376">
        <v>2.1884164152636842E-2</v>
      </c>
      <c r="Q376" t="s">
        <v>165</v>
      </c>
      <c r="S376" t="s">
        <v>224</v>
      </c>
      <c r="T376" t="s">
        <v>273</v>
      </c>
      <c r="U376">
        <v>2.3809487487070541E-2</v>
      </c>
      <c r="V376" t="s">
        <v>165</v>
      </c>
    </row>
    <row r="377" spans="9:22" x14ac:dyDescent="0.45">
      <c r="I377" t="s">
        <v>181</v>
      </c>
      <c r="J377" t="s">
        <v>274</v>
      </c>
      <c r="K377">
        <v>1.2216361704379989E-3</v>
      </c>
      <c r="L377" t="s">
        <v>165</v>
      </c>
      <c r="N377" t="s">
        <v>205</v>
      </c>
      <c r="O377" t="s">
        <v>274</v>
      </c>
      <c r="P377">
        <v>4.8616233844669336E-2</v>
      </c>
      <c r="Q377" t="s">
        <v>165</v>
      </c>
      <c r="S377" t="s">
        <v>224</v>
      </c>
      <c r="T377" t="s">
        <v>274</v>
      </c>
      <c r="U377">
        <v>4.4372149823638837E-2</v>
      </c>
      <c r="V377" t="s">
        <v>165</v>
      </c>
    </row>
    <row r="378" spans="9:22" x14ac:dyDescent="0.45">
      <c r="I378" t="s">
        <v>181</v>
      </c>
      <c r="J378" t="s">
        <v>275</v>
      </c>
      <c r="K378">
        <v>3.4931720872358545E-3</v>
      </c>
      <c r="L378" t="s">
        <v>165</v>
      </c>
      <c r="N378" t="s">
        <v>205</v>
      </c>
      <c r="O378" t="s">
        <v>275</v>
      </c>
      <c r="P378">
        <v>6.6890846907723157E-3</v>
      </c>
      <c r="Q378" t="s">
        <v>165</v>
      </c>
      <c r="S378" t="s">
        <v>224</v>
      </c>
      <c r="T378" t="s">
        <v>275</v>
      </c>
      <c r="U378">
        <v>5.4042118968598615E-3</v>
      </c>
      <c r="V378" t="s">
        <v>165</v>
      </c>
    </row>
    <row r="379" spans="9:22" x14ac:dyDescent="0.45">
      <c r="I379" t="s">
        <v>181</v>
      </c>
      <c r="J379" t="s">
        <v>276</v>
      </c>
      <c r="K379">
        <v>3.6949764096976881E-2</v>
      </c>
      <c r="L379" t="s">
        <v>165</v>
      </c>
      <c r="N379" t="s">
        <v>205</v>
      </c>
      <c r="O379" t="s">
        <v>276</v>
      </c>
      <c r="P379">
        <v>4.4675939491304918E-2</v>
      </c>
      <c r="Q379" t="s">
        <v>165</v>
      </c>
      <c r="S379" t="s">
        <v>224</v>
      </c>
      <c r="T379" t="s">
        <v>276</v>
      </c>
      <c r="U379">
        <v>3.9781041098392429E-2</v>
      </c>
      <c r="V379" t="s">
        <v>165</v>
      </c>
    </row>
    <row r="380" spans="9:22" x14ac:dyDescent="0.45">
      <c r="I380" t="s">
        <v>181</v>
      </c>
      <c r="J380" t="s">
        <v>277</v>
      </c>
      <c r="K380">
        <v>2.4459347725762047E-3</v>
      </c>
      <c r="L380" t="s">
        <v>165</v>
      </c>
      <c r="N380" t="s">
        <v>205</v>
      </c>
      <c r="O380" t="s">
        <v>277</v>
      </c>
      <c r="P380">
        <v>6.2129317524902217E-3</v>
      </c>
      <c r="Q380" t="s">
        <v>165</v>
      </c>
      <c r="S380" t="s">
        <v>224</v>
      </c>
      <c r="T380" t="s">
        <v>277</v>
      </c>
      <c r="U380">
        <v>6.0469747390616922E-3</v>
      </c>
      <c r="V380" t="s">
        <v>165</v>
      </c>
    </row>
    <row r="381" spans="9:22" x14ac:dyDescent="0.45">
      <c r="I381" t="s">
        <v>181</v>
      </c>
      <c r="J381" t="s">
        <v>278</v>
      </c>
      <c r="K381">
        <v>0</v>
      </c>
      <c r="L381" t="s">
        <v>165</v>
      </c>
      <c r="N381" t="s">
        <v>205</v>
      </c>
      <c r="O381" t="s">
        <v>278</v>
      </c>
      <c r="P381">
        <v>6.1654574065037604E-3</v>
      </c>
      <c r="Q381" t="s">
        <v>165</v>
      </c>
      <c r="S381" t="s">
        <v>224</v>
      </c>
      <c r="T381" t="s">
        <v>278</v>
      </c>
      <c r="U381">
        <v>6.1275735390695779E-3</v>
      </c>
      <c r="V381" t="s">
        <v>165</v>
      </c>
    </row>
    <row r="382" spans="9:22" x14ac:dyDescent="0.45">
      <c r="I382" t="s">
        <v>181</v>
      </c>
      <c r="J382" t="s">
        <v>279</v>
      </c>
      <c r="K382">
        <v>0</v>
      </c>
      <c r="L382" t="s">
        <v>165</v>
      </c>
      <c r="N382" t="s">
        <v>205</v>
      </c>
      <c r="O382" t="s">
        <v>279</v>
      </c>
      <c r="P382">
        <v>3.9141824876057642E-2</v>
      </c>
      <c r="Q382" t="s">
        <v>165</v>
      </c>
      <c r="S382" t="s">
        <v>224</v>
      </c>
      <c r="T382" t="s">
        <v>279</v>
      </c>
      <c r="U382">
        <v>3.6712868007748388E-2</v>
      </c>
      <c r="V382" t="s">
        <v>165</v>
      </c>
    </row>
    <row r="383" spans="9:22" x14ac:dyDescent="0.45">
      <c r="I383" t="s">
        <v>181</v>
      </c>
      <c r="J383" t="s">
        <v>280</v>
      </c>
      <c r="K383">
        <v>0</v>
      </c>
      <c r="L383" t="s">
        <v>165</v>
      </c>
      <c r="N383" t="s">
        <v>205</v>
      </c>
      <c r="O383" t="s">
        <v>280</v>
      </c>
      <c r="P383">
        <v>3.2942368083706895E-2</v>
      </c>
      <c r="Q383" t="s">
        <v>165</v>
      </c>
      <c r="S383" t="s">
        <v>224</v>
      </c>
      <c r="T383" t="s">
        <v>280</v>
      </c>
      <c r="U383">
        <v>2.8281796902321112E-2</v>
      </c>
      <c r="V383" t="s">
        <v>165</v>
      </c>
    </row>
    <row r="384" spans="9:22" x14ac:dyDescent="0.45">
      <c r="I384" t="s">
        <v>181</v>
      </c>
      <c r="J384" t="s">
        <v>281</v>
      </c>
      <c r="K384">
        <v>3.0974668678528969E-3</v>
      </c>
      <c r="L384" t="s">
        <v>165</v>
      </c>
      <c r="N384" t="s">
        <v>205</v>
      </c>
      <c r="O384" t="s">
        <v>281</v>
      </c>
      <c r="P384">
        <v>4.5906481209231033E-3</v>
      </c>
      <c r="Q384" t="s">
        <v>165</v>
      </c>
      <c r="S384" t="s">
        <v>224</v>
      </c>
      <c r="T384" t="s">
        <v>281</v>
      </c>
      <c r="U384">
        <v>3.2118049102047262E-3</v>
      </c>
      <c r="V384" t="s">
        <v>165</v>
      </c>
    </row>
    <row r="385" spans="9:22" x14ac:dyDescent="0.45">
      <c r="I385" t="s">
        <v>181</v>
      </c>
      <c r="J385" t="s">
        <v>282</v>
      </c>
      <c r="K385">
        <v>4.0052565145205679E-2</v>
      </c>
      <c r="L385" t="s">
        <v>165</v>
      </c>
      <c r="N385" t="s">
        <v>205</v>
      </c>
      <c r="O385" t="s">
        <v>282</v>
      </c>
      <c r="P385">
        <v>2.7292096106390877E-2</v>
      </c>
      <c r="Q385" t="s">
        <v>165</v>
      </c>
      <c r="S385" t="s">
        <v>224</v>
      </c>
      <c r="T385" t="s">
        <v>282</v>
      </c>
      <c r="U385">
        <v>2.1607972495815687E-2</v>
      </c>
      <c r="V385" t="s">
        <v>165</v>
      </c>
    </row>
    <row r="386" spans="9:22" x14ac:dyDescent="0.45">
      <c r="I386" t="s">
        <v>181</v>
      </c>
      <c r="J386" t="s">
        <v>283</v>
      </c>
      <c r="K386">
        <v>1.4118474821033782E-3</v>
      </c>
      <c r="L386" t="s">
        <v>165</v>
      </c>
      <c r="N386" t="s">
        <v>205</v>
      </c>
      <c r="O386" t="s">
        <v>283</v>
      </c>
      <c r="P386">
        <v>3.1083339225627046E-3</v>
      </c>
      <c r="Q386" t="s">
        <v>165</v>
      </c>
      <c r="S386" t="s">
        <v>224</v>
      </c>
      <c r="T386" t="s">
        <v>283</v>
      </c>
      <c r="U386">
        <v>3.1232920339139937E-3</v>
      </c>
      <c r="V386" t="s">
        <v>165</v>
      </c>
    </row>
    <row r="387" spans="9:22" x14ac:dyDescent="0.45">
      <c r="I387" t="s">
        <v>181</v>
      </c>
      <c r="J387" t="s">
        <v>284</v>
      </c>
      <c r="K387">
        <v>0</v>
      </c>
      <c r="L387" t="s">
        <v>165</v>
      </c>
      <c r="N387" t="s">
        <v>205</v>
      </c>
      <c r="O387" t="s">
        <v>284</v>
      </c>
      <c r="P387">
        <v>2.9746225235862673E-3</v>
      </c>
      <c r="Q387" t="s">
        <v>165</v>
      </c>
      <c r="S387" t="s">
        <v>224</v>
      </c>
      <c r="T387" t="s">
        <v>284</v>
      </c>
      <c r="U387">
        <v>3.1721531541811219E-3</v>
      </c>
      <c r="V387" t="s">
        <v>165</v>
      </c>
    </row>
    <row r="388" spans="9:22" x14ac:dyDescent="0.45">
      <c r="I388" t="s">
        <v>181</v>
      </c>
      <c r="J388" t="s">
        <v>285</v>
      </c>
      <c r="K388">
        <v>0</v>
      </c>
      <c r="L388" t="s">
        <v>165</v>
      </c>
      <c r="N388" t="s">
        <v>205</v>
      </c>
      <c r="O388" t="s">
        <v>285</v>
      </c>
      <c r="P388">
        <v>1.6302937483669549E-2</v>
      </c>
      <c r="Q388" t="s">
        <v>165</v>
      </c>
      <c r="S388" t="s">
        <v>224</v>
      </c>
      <c r="T388" t="s">
        <v>285</v>
      </c>
      <c r="U388">
        <v>1.9182169345355989E-2</v>
      </c>
      <c r="V388" t="s">
        <v>165</v>
      </c>
    </row>
    <row r="389" spans="9:22" x14ac:dyDescent="0.45">
      <c r="I389" t="s">
        <v>182</v>
      </c>
      <c r="J389" t="s">
        <v>164</v>
      </c>
      <c r="K389">
        <v>1.6315865690661913E-3</v>
      </c>
      <c r="L389" t="s">
        <v>165</v>
      </c>
      <c r="N389" t="s">
        <v>206</v>
      </c>
      <c r="O389" t="s">
        <v>164</v>
      </c>
      <c r="P389">
        <v>7.5978034007958065E-2</v>
      </c>
      <c r="Q389" t="s">
        <v>165</v>
      </c>
      <c r="S389" t="s">
        <v>225</v>
      </c>
      <c r="T389" t="s">
        <v>164</v>
      </c>
      <c r="U389">
        <v>5.5916499574841481E-2</v>
      </c>
      <c r="V389" t="s">
        <v>165</v>
      </c>
    </row>
    <row r="390" spans="9:22" x14ac:dyDescent="0.45">
      <c r="I390" t="s">
        <v>182</v>
      </c>
      <c r="J390" t="s">
        <v>166</v>
      </c>
      <c r="K390">
        <v>7.5092399967293241E-3</v>
      </c>
      <c r="L390" t="s">
        <v>165</v>
      </c>
      <c r="N390" t="s">
        <v>206</v>
      </c>
      <c r="O390" t="s">
        <v>166</v>
      </c>
      <c r="P390">
        <v>8.8322092098138474E-3</v>
      </c>
      <c r="Q390" t="s">
        <v>165</v>
      </c>
      <c r="S390" t="s">
        <v>225</v>
      </c>
      <c r="T390" t="s">
        <v>166</v>
      </c>
      <c r="U390">
        <v>6.9435779762990271E-3</v>
      </c>
      <c r="V390" t="s">
        <v>165</v>
      </c>
    </row>
    <row r="391" spans="9:22" x14ac:dyDescent="0.45">
      <c r="I391" t="s">
        <v>182</v>
      </c>
      <c r="J391" t="s">
        <v>167</v>
      </c>
      <c r="K391">
        <v>8.9572982499581552E-2</v>
      </c>
      <c r="L391" t="s">
        <v>165</v>
      </c>
      <c r="N391" t="s">
        <v>206</v>
      </c>
      <c r="O391" t="s">
        <v>167</v>
      </c>
      <c r="P391">
        <v>6.4799203189129434E-2</v>
      </c>
      <c r="Q391" t="s">
        <v>165</v>
      </c>
      <c r="S391" t="s">
        <v>225</v>
      </c>
      <c r="T391" t="s">
        <v>167</v>
      </c>
      <c r="U391">
        <v>4.9982418251734079E-2</v>
      </c>
      <c r="V391" t="s">
        <v>165</v>
      </c>
    </row>
    <row r="392" spans="9:22" x14ac:dyDescent="0.45">
      <c r="I392" t="s">
        <v>182</v>
      </c>
      <c r="J392" t="s">
        <v>253</v>
      </c>
      <c r="K392">
        <v>8.0971245856852562E-3</v>
      </c>
      <c r="L392" t="s">
        <v>165</v>
      </c>
      <c r="N392" t="s">
        <v>206</v>
      </c>
      <c r="O392" t="s">
        <v>253</v>
      </c>
      <c r="P392">
        <v>9.3514122763573293E-3</v>
      </c>
      <c r="Q392" t="s">
        <v>165</v>
      </c>
      <c r="S392" t="s">
        <v>225</v>
      </c>
      <c r="T392" t="s">
        <v>253</v>
      </c>
      <c r="U392">
        <v>7.1982908650316041E-3</v>
      </c>
      <c r="V392" t="s">
        <v>165</v>
      </c>
    </row>
    <row r="393" spans="9:22" x14ac:dyDescent="0.45">
      <c r="I393" t="s">
        <v>182</v>
      </c>
      <c r="J393" t="s">
        <v>254</v>
      </c>
      <c r="K393">
        <v>2.7989347324351354E-3</v>
      </c>
      <c r="L393" t="s">
        <v>165</v>
      </c>
      <c r="N393" t="s">
        <v>206</v>
      </c>
      <c r="O393" t="s">
        <v>254</v>
      </c>
      <c r="P393">
        <v>9.2105264508356155E-3</v>
      </c>
      <c r="Q393" t="s">
        <v>165</v>
      </c>
      <c r="S393" t="s">
        <v>225</v>
      </c>
      <c r="T393" t="s">
        <v>254</v>
      </c>
      <c r="U393">
        <v>7.5291385110230575E-3</v>
      </c>
      <c r="V393" t="s">
        <v>165</v>
      </c>
    </row>
    <row r="394" spans="9:22" x14ac:dyDescent="0.45">
      <c r="I394" t="s">
        <v>182</v>
      </c>
      <c r="J394" t="s">
        <v>255</v>
      </c>
      <c r="K394">
        <v>0</v>
      </c>
      <c r="L394" t="s">
        <v>165</v>
      </c>
      <c r="N394" t="s">
        <v>206</v>
      </c>
      <c r="O394" t="s">
        <v>255</v>
      </c>
      <c r="P394">
        <v>5.6179753583311148E-2</v>
      </c>
      <c r="Q394" t="s">
        <v>165</v>
      </c>
      <c r="S394" t="s">
        <v>225</v>
      </c>
      <c r="T394" t="s">
        <v>255</v>
      </c>
      <c r="U394">
        <v>4.3873422429897134E-2</v>
      </c>
      <c r="V394" t="s">
        <v>165</v>
      </c>
    </row>
    <row r="395" spans="9:22" x14ac:dyDescent="0.45">
      <c r="I395" t="s">
        <v>182</v>
      </c>
      <c r="J395" t="s">
        <v>168</v>
      </c>
      <c r="K395">
        <v>3.2826973859307954E-3</v>
      </c>
      <c r="L395" t="s">
        <v>165</v>
      </c>
      <c r="N395" t="s">
        <v>206</v>
      </c>
      <c r="O395" t="s">
        <v>168</v>
      </c>
      <c r="P395">
        <v>3.9444283986856926E-2</v>
      </c>
      <c r="Q395" t="s">
        <v>165</v>
      </c>
      <c r="S395" t="s">
        <v>225</v>
      </c>
      <c r="T395" t="s">
        <v>168</v>
      </c>
      <c r="U395">
        <v>4.5174242758790548E-2</v>
      </c>
      <c r="V395" t="s">
        <v>165</v>
      </c>
    </row>
    <row r="396" spans="9:22" x14ac:dyDescent="0.45">
      <c r="I396" t="s">
        <v>182</v>
      </c>
      <c r="J396" t="s">
        <v>169</v>
      </c>
      <c r="K396">
        <v>4.6673874027353445E-3</v>
      </c>
      <c r="L396" t="s">
        <v>165</v>
      </c>
      <c r="N396" t="s">
        <v>206</v>
      </c>
      <c r="O396" t="s">
        <v>169</v>
      </c>
      <c r="P396">
        <v>4.5725138233753213E-3</v>
      </c>
      <c r="Q396" t="s">
        <v>165</v>
      </c>
      <c r="S396" t="s">
        <v>225</v>
      </c>
      <c r="T396" t="s">
        <v>169</v>
      </c>
      <c r="U396">
        <v>6.0907499475726778E-3</v>
      </c>
      <c r="V396" t="s">
        <v>165</v>
      </c>
    </row>
    <row r="397" spans="9:22" x14ac:dyDescent="0.45">
      <c r="I397" t="s">
        <v>182</v>
      </c>
      <c r="J397" t="s">
        <v>170</v>
      </c>
      <c r="K397">
        <v>5.4191744904572979E-2</v>
      </c>
      <c r="L397" t="s">
        <v>165</v>
      </c>
      <c r="N397" t="s">
        <v>206</v>
      </c>
      <c r="O397" t="s">
        <v>170</v>
      </c>
      <c r="P397">
        <v>3.4481532303983112E-2</v>
      </c>
      <c r="Q397" t="s">
        <v>165</v>
      </c>
      <c r="S397" t="s">
        <v>225</v>
      </c>
      <c r="T397" t="s">
        <v>170</v>
      </c>
      <c r="U397">
        <v>4.2201983842946773E-2</v>
      </c>
      <c r="V397" t="s">
        <v>165</v>
      </c>
    </row>
    <row r="398" spans="9:22" x14ac:dyDescent="0.45">
      <c r="I398" t="s">
        <v>182</v>
      </c>
      <c r="J398" t="s">
        <v>256</v>
      </c>
      <c r="K398">
        <v>6.7854299926174396E-3</v>
      </c>
      <c r="L398" t="s">
        <v>165</v>
      </c>
      <c r="N398" t="s">
        <v>206</v>
      </c>
      <c r="O398" t="s">
        <v>256</v>
      </c>
      <c r="P398">
        <v>6.4023829796988254E-3</v>
      </c>
      <c r="Q398" t="s">
        <v>165</v>
      </c>
      <c r="S398" t="s">
        <v>225</v>
      </c>
      <c r="T398" t="s">
        <v>256</v>
      </c>
      <c r="U398">
        <v>5.8225359110258435E-3</v>
      </c>
      <c r="V398" t="s">
        <v>165</v>
      </c>
    </row>
    <row r="399" spans="9:22" x14ac:dyDescent="0.45">
      <c r="I399" t="s">
        <v>182</v>
      </c>
      <c r="J399" t="s">
        <v>257</v>
      </c>
      <c r="K399">
        <v>4.4358036474388806E-3</v>
      </c>
      <c r="L399" t="s">
        <v>165</v>
      </c>
      <c r="N399" t="s">
        <v>206</v>
      </c>
      <c r="O399" t="s">
        <v>257</v>
      </c>
      <c r="P399">
        <v>6.6361317147916512E-3</v>
      </c>
      <c r="Q399" t="s">
        <v>165</v>
      </c>
      <c r="S399" t="s">
        <v>225</v>
      </c>
      <c r="T399" t="s">
        <v>257</v>
      </c>
      <c r="U399">
        <v>5.9321742483596325E-3</v>
      </c>
      <c r="V399" t="s">
        <v>165</v>
      </c>
    </row>
    <row r="400" spans="9:22" x14ac:dyDescent="0.45">
      <c r="I400" t="s">
        <v>182</v>
      </c>
      <c r="J400" t="s">
        <v>258</v>
      </c>
      <c r="K400">
        <v>7.7769594167513328E-4</v>
      </c>
      <c r="L400" t="s">
        <v>165</v>
      </c>
      <c r="N400" t="s">
        <v>206</v>
      </c>
      <c r="O400" t="s">
        <v>258</v>
      </c>
      <c r="P400">
        <v>3.7168977460220118E-2</v>
      </c>
      <c r="Q400" t="s">
        <v>165</v>
      </c>
      <c r="S400" t="s">
        <v>225</v>
      </c>
      <c r="T400" t="s">
        <v>258</v>
      </c>
      <c r="U400">
        <v>3.2987472278892642E-2</v>
      </c>
      <c r="V400" t="s">
        <v>165</v>
      </c>
    </row>
    <row r="401" spans="9:22" x14ac:dyDescent="0.45">
      <c r="I401" t="s">
        <v>182</v>
      </c>
      <c r="J401" t="s">
        <v>171</v>
      </c>
      <c r="K401">
        <v>5.003199718611831E-2</v>
      </c>
      <c r="L401" t="s">
        <v>165</v>
      </c>
      <c r="N401" t="s">
        <v>206</v>
      </c>
      <c r="O401" t="s">
        <v>171</v>
      </c>
      <c r="P401">
        <v>8.8835249327184229E-2</v>
      </c>
      <c r="Q401" t="s">
        <v>165</v>
      </c>
      <c r="S401" t="s">
        <v>225</v>
      </c>
      <c r="T401" t="s">
        <v>171</v>
      </c>
      <c r="U401">
        <v>8.9993903131268219E-2</v>
      </c>
      <c r="V401" t="s">
        <v>165</v>
      </c>
    </row>
    <row r="402" spans="9:22" x14ac:dyDescent="0.45">
      <c r="I402" t="s">
        <v>182</v>
      </c>
      <c r="J402" t="s">
        <v>172</v>
      </c>
      <c r="K402">
        <v>3.4559931337440918E-2</v>
      </c>
      <c r="L402" t="s">
        <v>165</v>
      </c>
      <c r="N402" t="s">
        <v>206</v>
      </c>
      <c r="O402" t="s">
        <v>172</v>
      </c>
      <c r="P402">
        <v>1.0486215772512455E-2</v>
      </c>
      <c r="Q402" t="s">
        <v>165</v>
      </c>
      <c r="S402" t="s">
        <v>225</v>
      </c>
      <c r="T402" t="s">
        <v>172</v>
      </c>
      <c r="U402">
        <v>1.090461475885437E-2</v>
      </c>
      <c r="V402" t="s">
        <v>165</v>
      </c>
    </row>
    <row r="403" spans="9:22" x14ac:dyDescent="0.45">
      <c r="I403" t="s">
        <v>182</v>
      </c>
      <c r="J403" t="s">
        <v>173</v>
      </c>
      <c r="K403">
        <v>0.28560645123045181</v>
      </c>
      <c r="L403" t="s">
        <v>165</v>
      </c>
      <c r="N403" t="s">
        <v>206</v>
      </c>
      <c r="O403" t="s">
        <v>173</v>
      </c>
      <c r="P403">
        <v>8.6618205805484183E-2</v>
      </c>
      <c r="Q403" t="s">
        <v>165</v>
      </c>
      <c r="S403" t="s">
        <v>225</v>
      </c>
      <c r="T403" t="s">
        <v>173</v>
      </c>
      <c r="U403">
        <v>7.4660054563680606E-2</v>
      </c>
      <c r="V403" t="s">
        <v>165</v>
      </c>
    </row>
    <row r="404" spans="9:22" x14ac:dyDescent="0.45">
      <c r="I404" t="s">
        <v>182</v>
      </c>
      <c r="J404" t="s">
        <v>259</v>
      </c>
      <c r="K404">
        <v>3.2726020480526384E-2</v>
      </c>
      <c r="L404" t="s">
        <v>165</v>
      </c>
      <c r="N404" t="s">
        <v>206</v>
      </c>
      <c r="O404" t="s">
        <v>259</v>
      </c>
      <c r="P404">
        <v>1.4690831637638891E-2</v>
      </c>
      <c r="Q404" t="s">
        <v>165</v>
      </c>
      <c r="S404" t="s">
        <v>225</v>
      </c>
      <c r="T404" t="s">
        <v>259</v>
      </c>
      <c r="U404">
        <v>1.1741441462943676E-2</v>
      </c>
      <c r="V404" t="s">
        <v>165</v>
      </c>
    </row>
    <row r="405" spans="9:22" x14ac:dyDescent="0.45">
      <c r="I405" t="s">
        <v>182</v>
      </c>
      <c r="J405" t="s">
        <v>260</v>
      </c>
      <c r="K405">
        <v>2.5667203344711186E-2</v>
      </c>
      <c r="L405" t="s">
        <v>165</v>
      </c>
      <c r="N405" t="s">
        <v>206</v>
      </c>
      <c r="O405" t="s">
        <v>260</v>
      </c>
      <c r="P405">
        <v>1.3995922911669956E-2</v>
      </c>
      <c r="Q405" t="s">
        <v>165</v>
      </c>
      <c r="S405" t="s">
        <v>225</v>
      </c>
      <c r="T405" t="s">
        <v>260</v>
      </c>
      <c r="U405">
        <v>1.1863024484881662E-2</v>
      </c>
      <c r="V405" t="s">
        <v>165</v>
      </c>
    </row>
    <row r="406" spans="9:22" x14ac:dyDescent="0.45">
      <c r="I406" t="s">
        <v>182</v>
      </c>
      <c r="J406" t="s">
        <v>261</v>
      </c>
      <c r="K406">
        <v>2.0617165824640189E-2</v>
      </c>
      <c r="L406" t="s">
        <v>165</v>
      </c>
      <c r="N406" t="s">
        <v>206</v>
      </c>
      <c r="O406" t="s">
        <v>261</v>
      </c>
      <c r="P406">
        <v>6.9405520162527795E-2</v>
      </c>
      <c r="Q406" t="s">
        <v>165</v>
      </c>
      <c r="S406" t="s">
        <v>225</v>
      </c>
      <c r="T406" t="s">
        <v>261</v>
      </c>
      <c r="U406">
        <v>6.84613585746634E-2</v>
      </c>
      <c r="V406" t="s">
        <v>165</v>
      </c>
    </row>
    <row r="407" spans="9:22" x14ac:dyDescent="0.45">
      <c r="I407" t="s">
        <v>182</v>
      </c>
      <c r="J407" t="s">
        <v>262</v>
      </c>
      <c r="K407">
        <v>1.8825924081216954E-2</v>
      </c>
      <c r="L407" t="s">
        <v>165</v>
      </c>
      <c r="N407" t="s">
        <v>206</v>
      </c>
      <c r="O407" t="s">
        <v>262</v>
      </c>
      <c r="P407">
        <v>3.6499875234237728E-2</v>
      </c>
      <c r="Q407" t="s">
        <v>165</v>
      </c>
      <c r="S407" t="s">
        <v>225</v>
      </c>
      <c r="T407" t="s">
        <v>262</v>
      </c>
      <c r="U407">
        <v>3.1694700702218664E-2</v>
      </c>
      <c r="V407" t="s">
        <v>165</v>
      </c>
    </row>
    <row r="408" spans="9:22" x14ac:dyDescent="0.45">
      <c r="I408" t="s">
        <v>182</v>
      </c>
      <c r="J408" t="s">
        <v>263</v>
      </c>
      <c r="K408">
        <v>1.6189312525209922E-2</v>
      </c>
      <c r="L408" t="s">
        <v>165</v>
      </c>
      <c r="N408" t="s">
        <v>206</v>
      </c>
      <c r="O408" t="s">
        <v>263</v>
      </c>
      <c r="P408">
        <v>4.0577598683407034E-3</v>
      </c>
      <c r="Q408" t="s">
        <v>165</v>
      </c>
      <c r="S408" t="s">
        <v>225</v>
      </c>
      <c r="T408" t="s">
        <v>263</v>
      </c>
      <c r="U408">
        <v>3.1590052601422284E-3</v>
      </c>
      <c r="V408" t="s">
        <v>165</v>
      </c>
    </row>
    <row r="409" spans="9:22" x14ac:dyDescent="0.45">
      <c r="I409" t="s">
        <v>182</v>
      </c>
      <c r="J409" t="s">
        <v>264</v>
      </c>
      <c r="K409">
        <v>0.13533958697990359</v>
      </c>
      <c r="L409" t="s">
        <v>165</v>
      </c>
      <c r="N409" t="s">
        <v>206</v>
      </c>
      <c r="O409" t="s">
        <v>264</v>
      </c>
      <c r="P409">
        <v>3.7370448484799916E-2</v>
      </c>
      <c r="Q409" t="s">
        <v>165</v>
      </c>
      <c r="S409" t="s">
        <v>225</v>
      </c>
      <c r="T409" t="s">
        <v>264</v>
      </c>
      <c r="U409">
        <v>2.2991270515049553E-2</v>
      </c>
      <c r="V409" t="s">
        <v>165</v>
      </c>
    </row>
    <row r="410" spans="9:22" x14ac:dyDescent="0.45">
      <c r="I410" t="s">
        <v>182</v>
      </c>
      <c r="J410" t="s">
        <v>265</v>
      </c>
      <c r="K410">
        <v>1.5138794626633898E-2</v>
      </c>
      <c r="L410" t="s">
        <v>165</v>
      </c>
      <c r="N410" t="s">
        <v>206</v>
      </c>
      <c r="O410" t="s">
        <v>265</v>
      </c>
      <c r="P410">
        <v>6.3349871236799415E-3</v>
      </c>
      <c r="Q410" t="s">
        <v>165</v>
      </c>
      <c r="S410" t="s">
        <v>225</v>
      </c>
      <c r="T410" t="s">
        <v>265</v>
      </c>
      <c r="U410">
        <v>4.6218595678647985E-3</v>
      </c>
      <c r="V410" t="s">
        <v>165</v>
      </c>
    </row>
    <row r="411" spans="9:22" x14ac:dyDescent="0.45">
      <c r="I411" t="s">
        <v>182</v>
      </c>
      <c r="J411" t="s">
        <v>266</v>
      </c>
      <c r="K411">
        <v>1.1080103747476767E-2</v>
      </c>
      <c r="L411" t="s">
        <v>165</v>
      </c>
      <c r="N411" t="s">
        <v>206</v>
      </c>
      <c r="O411" t="s">
        <v>266</v>
      </c>
      <c r="P411">
        <v>5.6743619918636808E-3</v>
      </c>
      <c r="Q411" t="s">
        <v>165</v>
      </c>
      <c r="S411" t="s">
        <v>225</v>
      </c>
      <c r="T411" t="s">
        <v>266</v>
      </c>
      <c r="U411">
        <v>4.9035361897235702E-3</v>
      </c>
      <c r="V411" t="s">
        <v>165</v>
      </c>
    </row>
    <row r="412" spans="9:22" x14ac:dyDescent="0.45">
      <c r="I412" t="s">
        <v>182</v>
      </c>
      <c r="J412" t="s">
        <v>267</v>
      </c>
      <c r="K412">
        <v>4.8521244499833676E-3</v>
      </c>
      <c r="L412" t="s">
        <v>165</v>
      </c>
      <c r="N412" t="s">
        <v>206</v>
      </c>
      <c r="O412" t="s">
        <v>267</v>
      </c>
      <c r="P412">
        <v>2.8661661068050868E-2</v>
      </c>
      <c r="Q412" t="s">
        <v>165</v>
      </c>
      <c r="S412" t="s">
        <v>225</v>
      </c>
      <c r="T412" t="s">
        <v>267</v>
      </c>
      <c r="U412">
        <v>2.8696484980642999E-2</v>
      </c>
      <c r="V412" t="s">
        <v>165</v>
      </c>
    </row>
    <row r="413" spans="9:22" x14ac:dyDescent="0.45">
      <c r="I413" t="s">
        <v>182</v>
      </c>
      <c r="J413" t="s">
        <v>268</v>
      </c>
      <c r="K413">
        <v>3.5447820442773607E-3</v>
      </c>
      <c r="L413" t="s">
        <v>165</v>
      </c>
      <c r="N413" t="s">
        <v>206</v>
      </c>
      <c r="O413" t="s">
        <v>268</v>
      </c>
      <c r="P413">
        <v>1.2100980547881094E-2</v>
      </c>
      <c r="Q413" t="s">
        <v>165</v>
      </c>
      <c r="S413" t="s">
        <v>225</v>
      </c>
      <c r="T413" t="s">
        <v>268</v>
      </c>
      <c r="U413">
        <v>3.2905494372370045E-2</v>
      </c>
      <c r="V413" t="s">
        <v>165</v>
      </c>
    </row>
    <row r="414" spans="9:22" x14ac:dyDescent="0.45">
      <c r="I414" t="s">
        <v>182</v>
      </c>
      <c r="J414" t="s">
        <v>269</v>
      </c>
      <c r="K414">
        <v>5.9557084471642289E-3</v>
      </c>
      <c r="L414" t="s">
        <v>165</v>
      </c>
      <c r="N414" t="s">
        <v>206</v>
      </c>
      <c r="O414" t="s">
        <v>269</v>
      </c>
      <c r="P414">
        <v>1.6289303635175266E-3</v>
      </c>
      <c r="Q414" t="s">
        <v>165</v>
      </c>
      <c r="S414" t="s">
        <v>225</v>
      </c>
      <c r="T414" t="s">
        <v>269</v>
      </c>
      <c r="U414">
        <v>3.9571488001570246E-3</v>
      </c>
      <c r="V414" t="s">
        <v>165</v>
      </c>
    </row>
    <row r="415" spans="9:22" x14ac:dyDescent="0.45">
      <c r="I415" t="s">
        <v>182</v>
      </c>
      <c r="J415" t="s">
        <v>270</v>
      </c>
      <c r="K415">
        <v>5.5205172550096257E-2</v>
      </c>
      <c r="L415" t="s">
        <v>165</v>
      </c>
      <c r="N415" t="s">
        <v>206</v>
      </c>
      <c r="O415" t="s">
        <v>270</v>
      </c>
      <c r="P415">
        <v>1.3198435365032417E-2</v>
      </c>
      <c r="Q415" t="s">
        <v>165</v>
      </c>
      <c r="S415" t="s">
        <v>225</v>
      </c>
      <c r="T415" t="s">
        <v>270</v>
      </c>
      <c r="U415">
        <v>2.6203750143024913E-2</v>
      </c>
      <c r="V415" t="s">
        <v>165</v>
      </c>
    </row>
    <row r="416" spans="9:22" x14ac:dyDescent="0.45">
      <c r="I416" t="s">
        <v>182</v>
      </c>
      <c r="J416" t="s">
        <v>271</v>
      </c>
      <c r="K416">
        <v>4.8245294612135744E-3</v>
      </c>
      <c r="L416" t="s">
        <v>165</v>
      </c>
      <c r="N416" t="s">
        <v>206</v>
      </c>
      <c r="O416" t="s">
        <v>271</v>
      </c>
      <c r="P416">
        <v>2.4951237380777739E-3</v>
      </c>
      <c r="Q416" t="s">
        <v>165</v>
      </c>
      <c r="S416" t="s">
        <v>225</v>
      </c>
      <c r="T416" t="s">
        <v>271</v>
      </c>
      <c r="U416">
        <v>4.0506225204216392E-3</v>
      </c>
      <c r="V416" t="s">
        <v>165</v>
      </c>
    </row>
    <row r="417" spans="9:22" x14ac:dyDescent="0.45">
      <c r="I417" t="s">
        <v>182</v>
      </c>
      <c r="J417" t="s">
        <v>272</v>
      </c>
      <c r="K417">
        <v>1.6520080765414402E-3</v>
      </c>
      <c r="L417" t="s">
        <v>165</v>
      </c>
      <c r="N417" t="s">
        <v>206</v>
      </c>
      <c r="O417" t="s">
        <v>272</v>
      </c>
      <c r="P417">
        <v>2.5241008297973377E-3</v>
      </c>
      <c r="Q417" t="s">
        <v>165</v>
      </c>
      <c r="S417" t="s">
        <v>225</v>
      </c>
      <c r="T417" t="s">
        <v>272</v>
      </c>
      <c r="U417">
        <v>4.1939824349911687E-3</v>
      </c>
      <c r="V417" t="s">
        <v>165</v>
      </c>
    </row>
    <row r="418" spans="9:22" x14ac:dyDescent="0.45">
      <c r="I418" t="s">
        <v>182</v>
      </c>
      <c r="J418" t="s">
        <v>273</v>
      </c>
      <c r="K418">
        <v>0</v>
      </c>
      <c r="L418" t="s">
        <v>165</v>
      </c>
      <c r="N418" t="s">
        <v>206</v>
      </c>
      <c r="O418" t="s">
        <v>273</v>
      </c>
      <c r="P418">
        <v>1.1471073203071077E-2</v>
      </c>
      <c r="Q418" t="s">
        <v>165</v>
      </c>
      <c r="S418" t="s">
        <v>225</v>
      </c>
      <c r="T418" t="s">
        <v>273</v>
      </c>
      <c r="U418">
        <v>2.4562789627964363E-2</v>
      </c>
      <c r="V418" t="s">
        <v>165</v>
      </c>
    </row>
    <row r="419" spans="9:22" x14ac:dyDescent="0.45">
      <c r="I419" t="s">
        <v>182</v>
      </c>
      <c r="J419" t="s">
        <v>274</v>
      </c>
      <c r="K419">
        <v>1.8618113483373682E-3</v>
      </c>
      <c r="L419" t="s">
        <v>165</v>
      </c>
      <c r="N419" t="s">
        <v>206</v>
      </c>
      <c r="O419" t="s">
        <v>274</v>
      </c>
      <c r="P419">
        <v>3.9174771113694995E-2</v>
      </c>
      <c r="Q419" t="s">
        <v>165</v>
      </c>
      <c r="S419" t="s">
        <v>225</v>
      </c>
      <c r="T419" t="s">
        <v>274</v>
      </c>
      <c r="U419">
        <v>5.4386209372994633E-2</v>
      </c>
      <c r="V419" t="s">
        <v>165</v>
      </c>
    </row>
    <row r="420" spans="9:22" x14ac:dyDescent="0.45">
      <c r="I420" t="s">
        <v>182</v>
      </c>
      <c r="J420" t="s">
        <v>275</v>
      </c>
      <c r="K420">
        <v>4.3822397629675845E-3</v>
      </c>
      <c r="L420" t="s">
        <v>165</v>
      </c>
      <c r="N420" t="s">
        <v>206</v>
      </c>
      <c r="O420" t="s">
        <v>275</v>
      </c>
      <c r="P420">
        <v>4.7152267543840946E-3</v>
      </c>
      <c r="Q420" t="s">
        <v>165</v>
      </c>
      <c r="S420" t="s">
        <v>225</v>
      </c>
      <c r="T420" t="s">
        <v>275</v>
      </c>
      <c r="U420">
        <v>6.5579789978901853E-3</v>
      </c>
      <c r="V420" t="s">
        <v>165</v>
      </c>
    </row>
    <row r="421" spans="9:22" x14ac:dyDescent="0.45">
      <c r="I421" t="s">
        <v>182</v>
      </c>
      <c r="J421" t="s">
        <v>276</v>
      </c>
      <c r="K421">
        <v>4.0580451038102677E-2</v>
      </c>
      <c r="L421" t="s">
        <v>165</v>
      </c>
      <c r="N421" t="s">
        <v>206</v>
      </c>
      <c r="O421" t="s">
        <v>276</v>
      </c>
      <c r="P421">
        <v>3.3179930572591165E-2</v>
      </c>
      <c r="Q421" t="s">
        <v>165</v>
      </c>
      <c r="S421" t="s">
        <v>225</v>
      </c>
      <c r="T421" t="s">
        <v>276</v>
      </c>
      <c r="U421">
        <v>4.6085631961607074E-2</v>
      </c>
      <c r="V421" t="s">
        <v>165</v>
      </c>
    </row>
    <row r="422" spans="9:22" x14ac:dyDescent="0.45">
      <c r="I422" t="s">
        <v>182</v>
      </c>
      <c r="J422" t="s">
        <v>277</v>
      </c>
      <c r="K422">
        <v>2.5809951551755144E-3</v>
      </c>
      <c r="L422" t="s">
        <v>165</v>
      </c>
      <c r="N422" t="s">
        <v>206</v>
      </c>
      <c r="O422" t="s">
        <v>277</v>
      </c>
      <c r="P422">
        <v>5.555403886462168E-3</v>
      </c>
      <c r="Q422" t="s">
        <v>165</v>
      </c>
      <c r="S422" t="s">
        <v>225</v>
      </c>
      <c r="T422" t="s">
        <v>277</v>
      </c>
      <c r="U422">
        <v>6.91360126309719E-3</v>
      </c>
      <c r="V422" t="s">
        <v>165</v>
      </c>
    </row>
    <row r="423" spans="9:22" x14ac:dyDescent="0.45">
      <c r="I423" t="s">
        <v>182</v>
      </c>
      <c r="J423" t="s">
        <v>278</v>
      </c>
      <c r="K423">
        <v>0</v>
      </c>
      <c r="L423" t="s">
        <v>165</v>
      </c>
      <c r="N423" t="s">
        <v>206</v>
      </c>
      <c r="O423" t="s">
        <v>278</v>
      </c>
      <c r="P423">
        <v>5.7576479196854028E-3</v>
      </c>
      <c r="Q423" t="s">
        <v>165</v>
      </c>
      <c r="S423" t="s">
        <v>225</v>
      </c>
      <c r="T423" t="s">
        <v>278</v>
      </c>
      <c r="U423">
        <v>6.9398591306894615E-3</v>
      </c>
      <c r="V423" t="s">
        <v>165</v>
      </c>
    </row>
    <row r="424" spans="9:22" x14ac:dyDescent="0.45">
      <c r="I424" t="s">
        <v>182</v>
      </c>
      <c r="J424" t="s">
        <v>279</v>
      </c>
      <c r="K424">
        <v>0</v>
      </c>
      <c r="L424" t="s">
        <v>165</v>
      </c>
      <c r="N424" t="s">
        <v>206</v>
      </c>
      <c r="O424" t="s">
        <v>279</v>
      </c>
      <c r="P424">
        <v>3.2989931504098603E-2</v>
      </c>
      <c r="Q424" t="s">
        <v>165</v>
      </c>
      <c r="S424" t="s">
        <v>225</v>
      </c>
      <c r="T424" t="s">
        <v>279</v>
      </c>
      <c r="U424">
        <v>4.2271732562542581E-2</v>
      </c>
      <c r="V424" t="s">
        <v>165</v>
      </c>
    </row>
    <row r="425" spans="9:22" x14ac:dyDescent="0.45">
      <c r="I425" t="s">
        <v>182</v>
      </c>
      <c r="J425" t="s">
        <v>280</v>
      </c>
      <c r="K425">
        <v>0</v>
      </c>
      <c r="L425" t="s">
        <v>165</v>
      </c>
      <c r="N425" t="s">
        <v>206</v>
      </c>
      <c r="O425" t="s">
        <v>280</v>
      </c>
      <c r="P425">
        <v>2.5538894047459019E-2</v>
      </c>
      <c r="Q425" t="s">
        <v>165</v>
      </c>
      <c r="S425" t="s">
        <v>225</v>
      </c>
      <c r="T425" t="s">
        <v>280</v>
      </c>
      <c r="U425">
        <v>2.4272067222204621E-2</v>
      </c>
      <c r="V425" t="s">
        <v>165</v>
      </c>
    </row>
    <row r="426" spans="9:22" x14ac:dyDescent="0.45">
      <c r="I426" t="s">
        <v>182</v>
      </c>
      <c r="J426" t="s">
        <v>281</v>
      </c>
      <c r="K426">
        <v>2.7040058207382749E-3</v>
      </c>
      <c r="L426" t="s">
        <v>165</v>
      </c>
      <c r="N426" t="s">
        <v>206</v>
      </c>
      <c r="O426" t="s">
        <v>281</v>
      </c>
      <c r="P426">
        <v>3.6193117653367229E-3</v>
      </c>
      <c r="Q426" t="s">
        <v>165</v>
      </c>
      <c r="S426" t="s">
        <v>225</v>
      </c>
      <c r="T426" t="s">
        <v>281</v>
      </c>
      <c r="U426">
        <v>2.8816776868432416E-3</v>
      </c>
      <c r="V426" t="s">
        <v>165</v>
      </c>
    </row>
    <row r="427" spans="9:22" x14ac:dyDescent="0.45">
      <c r="I427" t="s">
        <v>182</v>
      </c>
      <c r="J427" t="s">
        <v>282</v>
      </c>
      <c r="K427">
        <v>3.9551208269297804E-2</v>
      </c>
      <c r="L427" t="s">
        <v>165</v>
      </c>
      <c r="N427" t="s">
        <v>206</v>
      </c>
      <c r="O427" t="s">
        <v>282</v>
      </c>
      <c r="P427">
        <v>2.5541258088570783E-2</v>
      </c>
      <c r="Q427" t="s">
        <v>165</v>
      </c>
      <c r="S427" t="s">
        <v>225</v>
      </c>
      <c r="T427" t="s">
        <v>282</v>
      </c>
      <c r="U427">
        <v>1.9312980687580712E-2</v>
      </c>
      <c r="V427" t="s">
        <v>165</v>
      </c>
    </row>
    <row r="428" spans="9:22" x14ac:dyDescent="0.45">
      <c r="I428" t="s">
        <v>182</v>
      </c>
      <c r="J428" t="s">
        <v>283</v>
      </c>
      <c r="K428">
        <v>2.771844553305381E-3</v>
      </c>
      <c r="L428" t="s">
        <v>165</v>
      </c>
      <c r="N428" t="s">
        <v>206</v>
      </c>
      <c r="O428" t="s">
        <v>283</v>
      </c>
      <c r="P428">
        <v>3.4494831498303657E-3</v>
      </c>
      <c r="Q428" t="s">
        <v>165</v>
      </c>
      <c r="S428" t="s">
        <v>225</v>
      </c>
      <c r="T428" t="s">
        <v>283</v>
      </c>
      <c r="U428">
        <v>2.6002181020431791E-3</v>
      </c>
      <c r="V428" t="s">
        <v>165</v>
      </c>
    </row>
    <row r="429" spans="9:22" x14ac:dyDescent="0.45">
      <c r="I429" t="s">
        <v>182</v>
      </c>
      <c r="J429" t="s">
        <v>284</v>
      </c>
      <c r="K429">
        <v>0</v>
      </c>
      <c r="L429" t="s">
        <v>165</v>
      </c>
      <c r="N429" t="s">
        <v>206</v>
      </c>
      <c r="O429" t="s">
        <v>284</v>
      </c>
      <c r="P429">
        <v>3.5301753571543252E-3</v>
      </c>
      <c r="Q429" t="s">
        <v>165</v>
      </c>
      <c r="S429" t="s">
        <v>225</v>
      </c>
      <c r="T429" t="s">
        <v>284</v>
      </c>
      <c r="U429">
        <v>2.5456636136994416E-3</v>
      </c>
      <c r="V429" t="s">
        <v>165</v>
      </c>
    </row>
    <row r="430" spans="9:22" x14ac:dyDescent="0.45">
      <c r="I430" t="s">
        <v>182</v>
      </c>
      <c r="J430" t="s">
        <v>285</v>
      </c>
      <c r="K430">
        <v>0</v>
      </c>
      <c r="L430" t="s">
        <v>165</v>
      </c>
      <c r="N430" t="s">
        <v>206</v>
      </c>
      <c r="O430" t="s">
        <v>285</v>
      </c>
      <c r="P430">
        <v>1.78413214190314E-2</v>
      </c>
      <c r="Q430" t="s">
        <v>165</v>
      </c>
      <c r="S430" t="s">
        <v>225</v>
      </c>
      <c r="T430" t="s">
        <v>285</v>
      </c>
      <c r="U430">
        <v>1.6014830711529926E-2</v>
      </c>
      <c r="V430" t="s">
        <v>165</v>
      </c>
    </row>
    <row r="431" spans="9:22" x14ac:dyDescent="0.45">
      <c r="I431" t="s">
        <v>183</v>
      </c>
      <c r="J431" t="s">
        <v>164</v>
      </c>
      <c r="K431">
        <v>1.662831588770556E-3</v>
      </c>
      <c r="L431" t="s">
        <v>165</v>
      </c>
      <c r="N431" t="s">
        <v>207</v>
      </c>
      <c r="O431" t="s">
        <v>164</v>
      </c>
      <c r="P431">
        <v>7.3367383536215705E-2</v>
      </c>
      <c r="Q431" t="s">
        <v>165</v>
      </c>
      <c r="S431" t="s">
        <v>226</v>
      </c>
      <c r="T431" t="s">
        <v>164</v>
      </c>
      <c r="U431">
        <v>6.3584635432578487E-2</v>
      </c>
      <c r="V431" t="s">
        <v>165</v>
      </c>
    </row>
    <row r="432" spans="9:22" x14ac:dyDescent="0.45">
      <c r="I432" t="s">
        <v>183</v>
      </c>
      <c r="J432" t="s">
        <v>166</v>
      </c>
      <c r="K432">
        <v>7.7711697310517422E-3</v>
      </c>
      <c r="L432" t="s">
        <v>165</v>
      </c>
      <c r="N432" t="s">
        <v>207</v>
      </c>
      <c r="O432" t="s">
        <v>166</v>
      </c>
      <c r="P432">
        <v>8.2686160765390801E-3</v>
      </c>
      <c r="Q432" t="s">
        <v>165</v>
      </c>
      <c r="S432" t="s">
        <v>226</v>
      </c>
      <c r="T432" t="s">
        <v>166</v>
      </c>
      <c r="U432">
        <v>8.5200643017049986E-3</v>
      </c>
      <c r="V432" t="s">
        <v>165</v>
      </c>
    </row>
    <row r="433" spans="9:22" x14ac:dyDescent="0.45">
      <c r="I433" t="s">
        <v>183</v>
      </c>
      <c r="J433" t="s">
        <v>167</v>
      </c>
      <c r="K433">
        <v>8.8649061242161514E-2</v>
      </c>
      <c r="L433" t="s">
        <v>165</v>
      </c>
      <c r="N433" t="s">
        <v>207</v>
      </c>
      <c r="O433" t="s">
        <v>167</v>
      </c>
      <c r="P433">
        <v>6.0134496604041666E-2</v>
      </c>
      <c r="Q433" t="s">
        <v>165</v>
      </c>
      <c r="S433" t="s">
        <v>226</v>
      </c>
      <c r="T433" t="s">
        <v>167</v>
      </c>
      <c r="U433">
        <v>5.9586700498054604E-2</v>
      </c>
      <c r="V433" t="s">
        <v>165</v>
      </c>
    </row>
    <row r="434" spans="9:22" x14ac:dyDescent="0.45">
      <c r="I434" t="s">
        <v>183</v>
      </c>
      <c r="J434" t="s">
        <v>253</v>
      </c>
      <c r="K434">
        <v>8.0984788432025799E-3</v>
      </c>
      <c r="L434" t="s">
        <v>165</v>
      </c>
      <c r="N434" t="s">
        <v>207</v>
      </c>
      <c r="O434" t="s">
        <v>253</v>
      </c>
      <c r="P434">
        <v>9.1427852878903509E-3</v>
      </c>
      <c r="Q434" t="s">
        <v>165</v>
      </c>
      <c r="S434" t="s">
        <v>226</v>
      </c>
      <c r="T434" t="s">
        <v>253</v>
      </c>
      <c r="U434">
        <v>8.44654728887753E-3</v>
      </c>
      <c r="V434" t="s">
        <v>165</v>
      </c>
    </row>
    <row r="435" spans="9:22" x14ac:dyDescent="0.45">
      <c r="I435" t="s">
        <v>183</v>
      </c>
      <c r="J435" t="s">
        <v>254</v>
      </c>
      <c r="K435">
        <v>3.0298537727698636E-3</v>
      </c>
      <c r="L435" t="s">
        <v>165</v>
      </c>
      <c r="N435" t="s">
        <v>207</v>
      </c>
      <c r="O435" t="s">
        <v>254</v>
      </c>
      <c r="P435">
        <v>9.347649016744489E-3</v>
      </c>
      <c r="Q435" t="s">
        <v>165</v>
      </c>
      <c r="S435" t="s">
        <v>226</v>
      </c>
      <c r="T435" t="s">
        <v>254</v>
      </c>
      <c r="U435">
        <v>8.4722792789894905E-3</v>
      </c>
      <c r="V435" t="s">
        <v>165</v>
      </c>
    </row>
    <row r="436" spans="9:22" x14ac:dyDescent="0.45">
      <c r="I436" t="s">
        <v>183</v>
      </c>
      <c r="J436" t="s">
        <v>255</v>
      </c>
      <c r="K436">
        <v>0</v>
      </c>
      <c r="L436" t="s">
        <v>165</v>
      </c>
      <c r="N436" t="s">
        <v>207</v>
      </c>
      <c r="O436" t="s">
        <v>255</v>
      </c>
      <c r="P436">
        <v>5.9314977813989242E-2</v>
      </c>
      <c r="Q436" t="s">
        <v>165</v>
      </c>
      <c r="S436" t="s">
        <v>226</v>
      </c>
      <c r="T436" t="s">
        <v>255</v>
      </c>
      <c r="U436">
        <v>4.994846510902784E-2</v>
      </c>
      <c r="V436" t="s">
        <v>165</v>
      </c>
    </row>
    <row r="437" spans="9:22" x14ac:dyDescent="0.45">
      <c r="I437" t="s">
        <v>183</v>
      </c>
      <c r="J437" t="s">
        <v>168</v>
      </c>
      <c r="K437">
        <v>3.9364054915807679E-3</v>
      </c>
      <c r="L437" t="s">
        <v>165</v>
      </c>
      <c r="N437" t="s">
        <v>207</v>
      </c>
      <c r="O437" t="s">
        <v>168</v>
      </c>
      <c r="P437">
        <v>4.5859635119278049E-2</v>
      </c>
      <c r="Q437" t="s">
        <v>165</v>
      </c>
      <c r="S437" t="s">
        <v>226</v>
      </c>
      <c r="T437" t="s">
        <v>168</v>
      </c>
      <c r="U437">
        <v>4.307575982016177E-2</v>
      </c>
      <c r="V437" t="s">
        <v>165</v>
      </c>
    </row>
    <row r="438" spans="9:22" x14ac:dyDescent="0.45">
      <c r="I438" t="s">
        <v>183</v>
      </c>
      <c r="J438" t="s">
        <v>169</v>
      </c>
      <c r="K438">
        <v>5.6854735220840226E-3</v>
      </c>
      <c r="L438" t="s">
        <v>165</v>
      </c>
      <c r="N438" t="s">
        <v>207</v>
      </c>
      <c r="O438" t="s">
        <v>169</v>
      </c>
      <c r="P438">
        <v>4.8891097787753263E-3</v>
      </c>
      <c r="Q438" t="s">
        <v>165</v>
      </c>
      <c r="S438" t="s">
        <v>226</v>
      </c>
      <c r="T438" t="s">
        <v>169</v>
      </c>
      <c r="U438">
        <v>5.9324408533967489E-3</v>
      </c>
      <c r="V438" t="s">
        <v>165</v>
      </c>
    </row>
    <row r="439" spans="9:22" x14ac:dyDescent="0.45">
      <c r="I439" t="s">
        <v>183</v>
      </c>
      <c r="J439" t="s">
        <v>170</v>
      </c>
      <c r="K439">
        <v>5.9923013526596888E-2</v>
      </c>
      <c r="L439" t="s">
        <v>165</v>
      </c>
      <c r="N439" t="s">
        <v>207</v>
      </c>
      <c r="O439" t="s">
        <v>170</v>
      </c>
      <c r="P439">
        <v>3.7894989219871784E-2</v>
      </c>
      <c r="Q439" t="s">
        <v>165</v>
      </c>
      <c r="S439" t="s">
        <v>226</v>
      </c>
      <c r="T439" t="s">
        <v>170</v>
      </c>
      <c r="U439">
        <v>4.2218867761961189E-2</v>
      </c>
      <c r="V439" t="s">
        <v>165</v>
      </c>
    </row>
    <row r="440" spans="9:22" x14ac:dyDescent="0.45">
      <c r="I440" t="s">
        <v>183</v>
      </c>
      <c r="J440" t="s">
        <v>256</v>
      </c>
      <c r="K440">
        <v>6.9650118000892563E-3</v>
      </c>
      <c r="L440" t="s">
        <v>165</v>
      </c>
      <c r="N440" t="s">
        <v>207</v>
      </c>
      <c r="O440" t="s">
        <v>256</v>
      </c>
      <c r="P440">
        <v>6.0320655565358197E-3</v>
      </c>
      <c r="Q440" t="s">
        <v>165</v>
      </c>
      <c r="S440" t="s">
        <v>226</v>
      </c>
      <c r="T440" t="s">
        <v>256</v>
      </c>
      <c r="U440">
        <v>6.0044839496562674E-3</v>
      </c>
      <c r="V440" t="s">
        <v>165</v>
      </c>
    </row>
    <row r="441" spans="9:22" x14ac:dyDescent="0.45">
      <c r="I441" t="s">
        <v>183</v>
      </c>
      <c r="J441" t="s">
        <v>257</v>
      </c>
      <c r="K441">
        <v>4.5969808236190337E-3</v>
      </c>
      <c r="L441" t="s">
        <v>165</v>
      </c>
      <c r="N441" t="s">
        <v>207</v>
      </c>
      <c r="O441" t="s">
        <v>257</v>
      </c>
      <c r="P441">
        <v>6.000940474811014E-3</v>
      </c>
      <c r="Q441" t="s">
        <v>165</v>
      </c>
      <c r="S441" t="s">
        <v>226</v>
      </c>
      <c r="T441" t="s">
        <v>257</v>
      </c>
      <c r="U441">
        <v>5.8357470560391833E-3</v>
      </c>
      <c r="V441" t="s">
        <v>165</v>
      </c>
    </row>
    <row r="442" spans="9:22" x14ac:dyDescent="0.45">
      <c r="I442" t="s">
        <v>183</v>
      </c>
      <c r="J442" t="s">
        <v>258</v>
      </c>
      <c r="K442">
        <v>7.8753944763042553E-4</v>
      </c>
      <c r="L442" t="s">
        <v>165</v>
      </c>
      <c r="N442" t="s">
        <v>207</v>
      </c>
      <c r="O442" t="s">
        <v>258</v>
      </c>
      <c r="P442">
        <v>3.647493364388351E-2</v>
      </c>
      <c r="Q442" t="s">
        <v>165</v>
      </c>
      <c r="S442" t="s">
        <v>226</v>
      </c>
      <c r="T442" t="s">
        <v>258</v>
      </c>
      <c r="U442">
        <v>3.0518508580248301E-2</v>
      </c>
      <c r="V442" t="s">
        <v>165</v>
      </c>
    </row>
    <row r="443" spans="9:22" x14ac:dyDescent="0.45">
      <c r="I443" t="s">
        <v>183</v>
      </c>
      <c r="J443" t="s">
        <v>171</v>
      </c>
      <c r="K443">
        <v>4.9389642959606968E-2</v>
      </c>
      <c r="L443" t="s">
        <v>165</v>
      </c>
      <c r="N443" t="s">
        <v>207</v>
      </c>
      <c r="O443" t="s">
        <v>171</v>
      </c>
      <c r="P443">
        <v>0.10335444380998376</v>
      </c>
      <c r="Q443" t="s">
        <v>165</v>
      </c>
      <c r="S443" t="s">
        <v>226</v>
      </c>
      <c r="T443" t="s">
        <v>171</v>
      </c>
      <c r="U443">
        <v>7.4944422349403572E-2</v>
      </c>
      <c r="V443" t="s">
        <v>165</v>
      </c>
    </row>
    <row r="444" spans="9:22" x14ac:dyDescent="0.45">
      <c r="I444" t="s">
        <v>183</v>
      </c>
      <c r="J444" t="s">
        <v>172</v>
      </c>
      <c r="K444">
        <v>3.4024142754315014E-2</v>
      </c>
      <c r="L444" t="s">
        <v>165</v>
      </c>
      <c r="N444" t="s">
        <v>207</v>
      </c>
      <c r="O444" t="s">
        <v>172</v>
      </c>
      <c r="P444">
        <v>1.162722761558721E-2</v>
      </c>
      <c r="Q444" t="s">
        <v>165</v>
      </c>
      <c r="S444" t="s">
        <v>226</v>
      </c>
      <c r="T444" t="s">
        <v>172</v>
      </c>
      <c r="U444">
        <v>9.6412102009569185E-3</v>
      </c>
      <c r="V444" t="s">
        <v>165</v>
      </c>
    </row>
    <row r="445" spans="9:22" x14ac:dyDescent="0.45">
      <c r="I445" t="s">
        <v>183</v>
      </c>
      <c r="J445" t="s">
        <v>173</v>
      </c>
      <c r="K445">
        <v>0.28139589159311107</v>
      </c>
      <c r="L445" t="s">
        <v>165</v>
      </c>
      <c r="N445" t="s">
        <v>207</v>
      </c>
      <c r="O445" t="s">
        <v>173</v>
      </c>
      <c r="P445">
        <v>8.6295257004808848E-2</v>
      </c>
      <c r="Q445" t="s">
        <v>165</v>
      </c>
      <c r="S445" t="s">
        <v>226</v>
      </c>
      <c r="T445" t="s">
        <v>173</v>
      </c>
      <c r="U445">
        <v>6.4828620936638881E-2</v>
      </c>
      <c r="V445" t="s">
        <v>165</v>
      </c>
    </row>
    <row r="446" spans="9:22" x14ac:dyDescent="0.45">
      <c r="I446" t="s">
        <v>183</v>
      </c>
      <c r="J446" t="s">
        <v>259</v>
      </c>
      <c r="K446">
        <v>3.2361925927429792E-2</v>
      </c>
      <c r="L446" t="s">
        <v>165</v>
      </c>
      <c r="N446" t="s">
        <v>207</v>
      </c>
      <c r="O446" t="s">
        <v>259</v>
      </c>
      <c r="P446">
        <v>1.3607056560121983E-2</v>
      </c>
      <c r="Q446" t="s">
        <v>165</v>
      </c>
      <c r="S446" t="s">
        <v>226</v>
      </c>
      <c r="T446" t="s">
        <v>259</v>
      </c>
      <c r="U446">
        <v>9.2398205596541903E-3</v>
      </c>
      <c r="V446" t="s">
        <v>165</v>
      </c>
    </row>
    <row r="447" spans="9:22" x14ac:dyDescent="0.45">
      <c r="I447" t="s">
        <v>183</v>
      </c>
      <c r="J447" t="s">
        <v>260</v>
      </c>
      <c r="K447">
        <v>2.5536328572684584E-2</v>
      </c>
      <c r="L447" t="s">
        <v>165</v>
      </c>
      <c r="N447" t="s">
        <v>207</v>
      </c>
      <c r="O447" t="s">
        <v>260</v>
      </c>
      <c r="P447">
        <v>1.3357138266571185E-2</v>
      </c>
      <c r="Q447" t="s">
        <v>165</v>
      </c>
      <c r="S447" t="s">
        <v>226</v>
      </c>
      <c r="T447" t="s">
        <v>260</v>
      </c>
      <c r="U447">
        <v>9.5068346271882011E-3</v>
      </c>
      <c r="V447" t="s">
        <v>165</v>
      </c>
    </row>
    <row r="448" spans="9:22" x14ac:dyDescent="0.45">
      <c r="I448" t="s">
        <v>183</v>
      </c>
      <c r="J448" t="s">
        <v>261</v>
      </c>
      <c r="K448">
        <v>1.9521009095625607E-2</v>
      </c>
      <c r="L448" t="s">
        <v>165</v>
      </c>
      <c r="N448" t="s">
        <v>207</v>
      </c>
      <c r="O448" t="s">
        <v>261</v>
      </c>
      <c r="P448">
        <v>7.4360892284599855E-2</v>
      </c>
      <c r="Q448" t="s">
        <v>165</v>
      </c>
      <c r="S448" t="s">
        <v>226</v>
      </c>
      <c r="T448" t="s">
        <v>261</v>
      </c>
      <c r="U448">
        <v>5.8356185967643082E-2</v>
      </c>
      <c r="V448" t="s">
        <v>165</v>
      </c>
    </row>
    <row r="449" spans="9:22" x14ac:dyDescent="0.45">
      <c r="I449" t="s">
        <v>183</v>
      </c>
      <c r="J449" t="s">
        <v>262</v>
      </c>
      <c r="K449">
        <v>1.7368165126521187E-2</v>
      </c>
      <c r="L449" t="s">
        <v>165</v>
      </c>
      <c r="N449" t="s">
        <v>207</v>
      </c>
      <c r="O449" t="s">
        <v>262</v>
      </c>
      <c r="P449">
        <v>4.1621690741020331E-2</v>
      </c>
      <c r="Q449" t="s">
        <v>165</v>
      </c>
      <c r="S449" t="s">
        <v>226</v>
      </c>
      <c r="T449" t="s">
        <v>262</v>
      </c>
      <c r="U449">
        <v>2.6560824010579617E-2</v>
      </c>
      <c r="V449" t="s">
        <v>165</v>
      </c>
    </row>
    <row r="450" spans="9:22" x14ac:dyDescent="0.45">
      <c r="I450" t="s">
        <v>183</v>
      </c>
      <c r="J450" t="s">
        <v>263</v>
      </c>
      <c r="K450">
        <v>1.5319489722139113E-2</v>
      </c>
      <c r="L450" t="s">
        <v>165</v>
      </c>
      <c r="N450" t="s">
        <v>207</v>
      </c>
      <c r="O450" t="s">
        <v>263</v>
      </c>
      <c r="P450">
        <v>4.6130605013862741E-3</v>
      </c>
      <c r="Q450" t="s">
        <v>165</v>
      </c>
      <c r="S450" t="s">
        <v>226</v>
      </c>
      <c r="T450" t="s">
        <v>263</v>
      </c>
      <c r="U450">
        <v>3.4203716749383866E-3</v>
      </c>
      <c r="V450" t="s">
        <v>165</v>
      </c>
    </row>
    <row r="451" spans="9:22" x14ac:dyDescent="0.45">
      <c r="I451" t="s">
        <v>183</v>
      </c>
      <c r="J451" t="s">
        <v>264</v>
      </c>
      <c r="K451">
        <v>0.13074770675633565</v>
      </c>
      <c r="L451" t="s">
        <v>165</v>
      </c>
      <c r="N451" t="s">
        <v>207</v>
      </c>
      <c r="O451" t="s">
        <v>264</v>
      </c>
      <c r="P451">
        <v>3.0356602359884077E-2</v>
      </c>
      <c r="Q451" t="s">
        <v>165</v>
      </c>
      <c r="S451" t="s">
        <v>226</v>
      </c>
      <c r="T451" t="s">
        <v>264</v>
      </c>
      <c r="U451">
        <v>1.957489319595886E-2</v>
      </c>
      <c r="V451" t="s">
        <v>165</v>
      </c>
    </row>
    <row r="452" spans="9:22" x14ac:dyDescent="0.45">
      <c r="I452" t="s">
        <v>183</v>
      </c>
      <c r="J452" t="s">
        <v>265</v>
      </c>
      <c r="K452">
        <v>1.4638972818619185E-2</v>
      </c>
      <c r="L452" t="s">
        <v>165</v>
      </c>
      <c r="N452" t="s">
        <v>207</v>
      </c>
      <c r="O452" t="s">
        <v>265</v>
      </c>
      <c r="P452">
        <v>4.9868868735618863E-3</v>
      </c>
      <c r="Q452" t="s">
        <v>165</v>
      </c>
      <c r="S452" t="s">
        <v>226</v>
      </c>
      <c r="T452" t="s">
        <v>265</v>
      </c>
      <c r="U452">
        <v>2.6821907154564915E-3</v>
      </c>
      <c r="V452" t="s">
        <v>165</v>
      </c>
    </row>
    <row r="453" spans="9:22" x14ac:dyDescent="0.45">
      <c r="I453" t="s">
        <v>183</v>
      </c>
      <c r="J453" t="s">
        <v>266</v>
      </c>
      <c r="K453">
        <v>1.050505341691201E-2</v>
      </c>
      <c r="L453" t="s">
        <v>165</v>
      </c>
      <c r="N453" t="s">
        <v>207</v>
      </c>
      <c r="O453" t="s">
        <v>266</v>
      </c>
      <c r="P453">
        <v>4.8335833434783211E-3</v>
      </c>
      <c r="Q453" t="s">
        <v>165</v>
      </c>
      <c r="S453" t="s">
        <v>226</v>
      </c>
      <c r="T453" t="s">
        <v>266</v>
      </c>
      <c r="U453">
        <v>2.5707547246162118E-3</v>
      </c>
      <c r="V453" t="s">
        <v>165</v>
      </c>
    </row>
    <row r="454" spans="9:22" x14ac:dyDescent="0.45">
      <c r="I454" t="s">
        <v>183</v>
      </c>
      <c r="J454" t="s">
        <v>267</v>
      </c>
      <c r="K454">
        <v>4.4365110301936971E-3</v>
      </c>
      <c r="L454" t="s">
        <v>165</v>
      </c>
      <c r="N454" t="s">
        <v>207</v>
      </c>
      <c r="O454" t="s">
        <v>267</v>
      </c>
      <c r="P454">
        <v>2.5149716630746406E-2</v>
      </c>
      <c r="Q454" t="s">
        <v>165</v>
      </c>
      <c r="S454" t="s">
        <v>226</v>
      </c>
      <c r="T454" t="s">
        <v>267</v>
      </c>
      <c r="U454">
        <v>1.6549739447952756E-2</v>
      </c>
      <c r="V454" t="s">
        <v>165</v>
      </c>
    </row>
    <row r="455" spans="9:22" x14ac:dyDescent="0.45">
      <c r="I455" t="s">
        <v>183</v>
      </c>
      <c r="J455" t="s">
        <v>268</v>
      </c>
      <c r="K455">
        <v>4.0790064714125605E-3</v>
      </c>
      <c r="L455" t="s">
        <v>165</v>
      </c>
      <c r="N455" t="s">
        <v>207</v>
      </c>
      <c r="O455" t="s">
        <v>268</v>
      </c>
      <c r="P455">
        <v>1.8404297123754274E-2</v>
      </c>
      <c r="Q455" t="s">
        <v>165</v>
      </c>
      <c r="S455" t="s">
        <v>226</v>
      </c>
      <c r="T455" t="s">
        <v>268</v>
      </c>
      <c r="U455">
        <v>3.5052618382604685E-2</v>
      </c>
      <c r="V455" t="s">
        <v>165</v>
      </c>
    </row>
    <row r="456" spans="9:22" x14ac:dyDescent="0.45">
      <c r="I456" t="s">
        <v>183</v>
      </c>
      <c r="J456" t="s">
        <v>269</v>
      </c>
      <c r="K456">
        <v>6.4773230284458248E-3</v>
      </c>
      <c r="L456" t="s">
        <v>165</v>
      </c>
      <c r="N456" t="s">
        <v>207</v>
      </c>
      <c r="O456" t="s">
        <v>269</v>
      </c>
      <c r="P456">
        <v>2.1470500376361431E-3</v>
      </c>
      <c r="Q456" t="s">
        <v>165</v>
      </c>
      <c r="S456" t="s">
        <v>226</v>
      </c>
      <c r="T456" t="s">
        <v>269</v>
      </c>
      <c r="U456">
        <v>4.3737957234925686E-3</v>
      </c>
      <c r="V456" t="s">
        <v>165</v>
      </c>
    </row>
    <row r="457" spans="9:22" x14ac:dyDescent="0.45">
      <c r="I457" t="s">
        <v>183</v>
      </c>
      <c r="J457" t="s">
        <v>270</v>
      </c>
      <c r="K457">
        <v>5.7389946964108485E-2</v>
      </c>
      <c r="L457" t="s">
        <v>165</v>
      </c>
      <c r="N457" t="s">
        <v>207</v>
      </c>
      <c r="O457" t="s">
        <v>270</v>
      </c>
      <c r="P457">
        <v>1.6361507307043912E-2</v>
      </c>
      <c r="Q457" t="s">
        <v>165</v>
      </c>
      <c r="S457" t="s">
        <v>226</v>
      </c>
      <c r="T457" t="s">
        <v>270</v>
      </c>
      <c r="U457">
        <v>3.0997227004535687E-2</v>
      </c>
      <c r="V457" t="s">
        <v>165</v>
      </c>
    </row>
    <row r="458" spans="9:22" x14ac:dyDescent="0.45">
      <c r="I458" t="s">
        <v>183</v>
      </c>
      <c r="J458" t="s">
        <v>271</v>
      </c>
      <c r="K458">
        <v>5.2540591216126177E-3</v>
      </c>
      <c r="L458" t="s">
        <v>165</v>
      </c>
      <c r="N458" t="s">
        <v>207</v>
      </c>
      <c r="O458" t="s">
        <v>271</v>
      </c>
      <c r="P458">
        <v>2.8612585884407842E-3</v>
      </c>
      <c r="Q458" t="s">
        <v>165</v>
      </c>
      <c r="S458" t="s">
        <v>226</v>
      </c>
      <c r="T458" t="s">
        <v>271</v>
      </c>
      <c r="U458">
        <v>4.9653576332682843E-3</v>
      </c>
      <c r="V458" t="s">
        <v>165</v>
      </c>
    </row>
    <row r="459" spans="9:22" x14ac:dyDescent="0.45">
      <c r="I459" t="s">
        <v>183</v>
      </c>
      <c r="J459" t="s">
        <v>272</v>
      </c>
      <c r="K459">
        <v>1.9875159164693072E-3</v>
      </c>
      <c r="L459" t="s">
        <v>165</v>
      </c>
      <c r="N459" t="s">
        <v>207</v>
      </c>
      <c r="O459" t="s">
        <v>272</v>
      </c>
      <c r="P459">
        <v>3.0523946495821016E-3</v>
      </c>
      <c r="Q459" t="s">
        <v>165</v>
      </c>
      <c r="S459" t="s">
        <v>226</v>
      </c>
      <c r="T459" t="s">
        <v>272</v>
      </c>
      <c r="U459">
        <v>5.07266630236164E-3</v>
      </c>
      <c r="V459" t="s">
        <v>165</v>
      </c>
    </row>
    <row r="460" spans="9:22" x14ac:dyDescent="0.45">
      <c r="I460" t="s">
        <v>183</v>
      </c>
      <c r="J460" t="s">
        <v>273</v>
      </c>
      <c r="K460">
        <v>0</v>
      </c>
      <c r="L460" t="s">
        <v>165</v>
      </c>
      <c r="N460" t="s">
        <v>207</v>
      </c>
      <c r="O460" t="s">
        <v>273</v>
      </c>
      <c r="P460">
        <v>1.7162691482588342E-2</v>
      </c>
      <c r="Q460" t="s">
        <v>165</v>
      </c>
      <c r="S460" t="s">
        <v>226</v>
      </c>
      <c r="T460" t="s">
        <v>273</v>
      </c>
      <c r="U460">
        <v>3.1158936200080249E-2</v>
      </c>
      <c r="V460" t="s">
        <v>165</v>
      </c>
    </row>
    <row r="461" spans="9:22" x14ac:dyDescent="0.45">
      <c r="I461" t="s">
        <v>183</v>
      </c>
      <c r="J461" t="s">
        <v>274</v>
      </c>
      <c r="K461">
        <v>2.2130790494611485E-3</v>
      </c>
      <c r="L461" t="s">
        <v>165</v>
      </c>
      <c r="N461" t="s">
        <v>207</v>
      </c>
      <c r="O461" t="s">
        <v>274</v>
      </c>
      <c r="P461">
        <v>3.2500158396814853E-2</v>
      </c>
      <c r="Q461" t="s">
        <v>165</v>
      </c>
      <c r="S461" t="s">
        <v>226</v>
      </c>
      <c r="T461" t="s">
        <v>274</v>
      </c>
      <c r="U461">
        <v>5.6797534996971093E-2</v>
      </c>
      <c r="V461" t="s">
        <v>165</v>
      </c>
    </row>
    <row r="462" spans="9:22" x14ac:dyDescent="0.45">
      <c r="I462" t="s">
        <v>183</v>
      </c>
      <c r="J462" t="s">
        <v>275</v>
      </c>
      <c r="K462">
        <v>4.6818380155906995E-3</v>
      </c>
      <c r="L462" t="s">
        <v>165</v>
      </c>
      <c r="N462" t="s">
        <v>207</v>
      </c>
      <c r="O462" t="s">
        <v>275</v>
      </c>
      <c r="P462">
        <v>4.1307446069400776E-3</v>
      </c>
      <c r="Q462" t="s">
        <v>165</v>
      </c>
      <c r="S462" t="s">
        <v>226</v>
      </c>
      <c r="T462" t="s">
        <v>275</v>
      </c>
      <c r="U462">
        <v>6.9487336109664601E-3</v>
      </c>
      <c r="V462" t="s">
        <v>165</v>
      </c>
    </row>
    <row r="463" spans="9:22" x14ac:dyDescent="0.45">
      <c r="I463" t="s">
        <v>183</v>
      </c>
      <c r="J463" t="s">
        <v>276</v>
      </c>
      <c r="K463">
        <v>4.3741634564530292E-2</v>
      </c>
      <c r="L463" t="s">
        <v>165</v>
      </c>
      <c r="N463" t="s">
        <v>207</v>
      </c>
      <c r="O463" t="s">
        <v>276</v>
      </c>
      <c r="P463">
        <v>2.8704035393960554E-2</v>
      </c>
      <c r="Q463" t="s">
        <v>165</v>
      </c>
      <c r="S463" t="s">
        <v>226</v>
      </c>
      <c r="T463" t="s">
        <v>276</v>
      </c>
      <c r="U463">
        <v>5.3232584166675367E-2</v>
      </c>
      <c r="V463" t="s">
        <v>165</v>
      </c>
    </row>
    <row r="464" spans="9:22" x14ac:dyDescent="0.45">
      <c r="I464" t="s">
        <v>183</v>
      </c>
      <c r="J464" t="s">
        <v>277</v>
      </c>
      <c r="K464">
        <v>2.9337949402056347E-3</v>
      </c>
      <c r="L464" t="s">
        <v>165</v>
      </c>
      <c r="N464" t="s">
        <v>207</v>
      </c>
      <c r="O464" t="s">
        <v>277</v>
      </c>
      <c r="P464">
        <v>4.0608519465451381E-3</v>
      </c>
      <c r="Q464" t="s">
        <v>165</v>
      </c>
      <c r="S464" t="s">
        <v>226</v>
      </c>
      <c r="T464" t="s">
        <v>277</v>
      </c>
      <c r="U464">
        <v>7.5556489945075222E-3</v>
      </c>
      <c r="V464" t="s">
        <v>165</v>
      </c>
    </row>
    <row r="465" spans="9:22" x14ac:dyDescent="0.45">
      <c r="I465" t="s">
        <v>183</v>
      </c>
      <c r="J465" t="s">
        <v>278</v>
      </c>
      <c r="K465">
        <v>0</v>
      </c>
      <c r="L465" t="s">
        <v>165</v>
      </c>
      <c r="N465" t="s">
        <v>207</v>
      </c>
      <c r="O465" t="s">
        <v>278</v>
      </c>
      <c r="P465">
        <v>4.1053984304996556E-3</v>
      </c>
      <c r="Q465" t="s">
        <v>165</v>
      </c>
      <c r="S465" t="s">
        <v>226</v>
      </c>
      <c r="T465" t="s">
        <v>278</v>
      </c>
      <c r="U465">
        <v>7.6115025700789155E-3</v>
      </c>
      <c r="V465" t="s">
        <v>165</v>
      </c>
    </row>
    <row r="466" spans="9:22" x14ac:dyDescent="0.45">
      <c r="I466" t="s">
        <v>183</v>
      </c>
      <c r="J466" t="s">
        <v>279</v>
      </c>
      <c r="K466">
        <v>0</v>
      </c>
      <c r="L466" t="s">
        <v>165</v>
      </c>
      <c r="N466" t="s">
        <v>207</v>
      </c>
      <c r="O466" t="s">
        <v>279</v>
      </c>
      <c r="P466">
        <v>2.5026217832176019E-2</v>
      </c>
      <c r="Q466" t="s">
        <v>165</v>
      </c>
      <c r="S466" t="s">
        <v>226</v>
      </c>
      <c r="T466" t="s">
        <v>279</v>
      </c>
      <c r="U466">
        <v>4.540007274647604E-2</v>
      </c>
      <c r="V466" t="s">
        <v>165</v>
      </c>
    </row>
    <row r="467" spans="9:22" x14ac:dyDescent="0.45">
      <c r="I467" t="s">
        <v>183</v>
      </c>
      <c r="J467" t="s">
        <v>280</v>
      </c>
      <c r="K467">
        <v>7.4912984705120101E-5</v>
      </c>
      <c r="L467" t="s">
        <v>165</v>
      </c>
      <c r="N467" t="s">
        <v>207</v>
      </c>
      <c r="O467" t="s">
        <v>280</v>
      </c>
      <c r="P467">
        <v>2.485524937713424E-2</v>
      </c>
      <c r="Q467" t="s">
        <v>165</v>
      </c>
      <c r="S467" t="s">
        <v>226</v>
      </c>
      <c r="T467" t="s">
        <v>280</v>
      </c>
      <c r="U467">
        <v>2.8201101210628798E-2</v>
      </c>
      <c r="V467" t="s">
        <v>165</v>
      </c>
    </row>
    <row r="468" spans="9:22" x14ac:dyDescent="0.45">
      <c r="I468" t="s">
        <v>183</v>
      </c>
      <c r="J468" t="s">
        <v>281</v>
      </c>
      <c r="K468">
        <v>3.0747974164132366E-3</v>
      </c>
      <c r="L468" t="s">
        <v>165</v>
      </c>
      <c r="N468" t="s">
        <v>207</v>
      </c>
      <c r="O468" t="s">
        <v>281</v>
      </c>
      <c r="P468">
        <v>3.1370457687413225E-3</v>
      </c>
      <c r="Q468" t="s">
        <v>165</v>
      </c>
      <c r="S468" t="s">
        <v>226</v>
      </c>
      <c r="T468" t="s">
        <v>281</v>
      </c>
      <c r="U468">
        <v>3.4839393479322894E-3</v>
      </c>
      <c r="V468" t="s">
        <v>165</v>
      </c>
    </row>
    <row r="469" spans="9:22" x14ac:dyDescent="0.45">
      <c r="I469" t="s">
        <v>183</v>
      </c>
      <c r="J469" t="s">
        <v>282</v>
      </c>
      <c r="K469">
        <v>3.8952431482355845E-2</v>
      </c>
      <c r="L469" t="s">
        <v>165</v>
      </c>
      <c r="N469" t="s">
        <v>207</v>
      </c>
      <c r="O469" t="s">
        <v>282</v>
      </c>
      <c r="P469">
        <v>2.1464036300869481E-2</v>
      </c>
      <c r="Q469" t="s">
        <v>165</v>
      </c>
      <c r="S469" t="s">
        <v>226</v>
      </c>
      <c r="T469" t="s">
        <v>282</v>
      </c>
      <c r="U469">
        <v>2.1843910596883225E-2</v>
      </c>
      <c r="V469" t="s">
        <v>165</v>
      </c>
    </row>
    <row r="470" spans="9:22" x14ac:dyDescent="0.45">
      <c r="I470" t="s">
        <v>183</v>
      </c>
      <c r="J470" t="s">
        <v>283</v>
      </c>
      <c r="K470">
        <v>2.7890004816401776E-3</v>
      </c>
      <c r="L470" t="s">
        <v>165</v>
      </c>
      <c r="N470" t="s">
        <v>207</v>
      </c>
      <c r="O470" t="s">
        <v>283</v>
      </c>
      <c r="P470">
        <v>2.9573213950054023E-3</v>
      </c>
      <c r="Q470" t="s">
        <v>165</v>
      </c>
      <c r="S470" t="s">
        <v>226</v>
      </c>
      <c r="T470" t="s">
        <v>283</v>
      </c>
      <c r="U470">
        <v>3.2282499483078757E-3</v>
      </c>
      <c r="V470" t="s">
        <v>165</v>
      </c>
    </row>
    <row r="471" spans="9:22" x14ac:dyDescent="0.45">
      <c r="I471" t="s">
        <v>183</v>
      </c>
      <c r="J471" t="s">
        <v>284</v>
      </c>
      <c r="K471">
        <v>0</v>
      </c>
      <c r="L471" t="s">
        <v>165</v>
      </c>
      <c r="N471" t="s">
        <v>207</v>
      </c>
      <c r="O471" t="s">
        <v>284</v>
      </c>
      <c r="P471">
        <v>2.9045915771375177E-3</v>
      </c>
      <c r="Q471" t="s">
        <v>165</v>
      </c>
      <c r="S471" t="s">
        <v>226</v>
      </c>
      <c r="T471" t="s">
        <v>284</v>
      </c>
      <c r="U471">
        <v>3.332653805236228E-3</v>
      </c>
      <c r="V471" t="s">
        <v>165</v>
      </c>
    </row>
    <row r="472" spans="9:22" x14ac:dyDescent="0.45">
      <c r="I472" t="s">
        <v>183</v>
      </c>
      <c r="J472" t="s">
        <v>285</v>
      </c>
      <c r="K472">
        <v>0</v>
      </c>
      <c r="L472" t="s">
        <v>165</v>
      </c>
      <c r="N472" t="s">
        <v>207</v>
      </c>
      <c r="O472" t="s">
        <v>285</v>
      </c>
      <c r="P472">
        <v>1.527401166480568E-2</v>
      </c>
      <c r="Q472" t="s">
        <v>165</v>
      </c>
      <c r="S472" t="s">
        <v>226</v>
      </c>
      <c r="T472" t="s">
        <v>285</v>
      </c>
      <c r="U472">
        <v>2.0723098417311656E-2</v>
      </c>
      <c r="V472" t="s">
        <v>165</v>
      </c>
    </row>
    <row r="473" spans="9:22" x14ac:dyDescent="0.45">
      <c r="I473" t="s">
        <v>184</v>
      </c>
      <c r="J473" t="s">
        <v>164</v>
      </c>
      <c r="K473">
        <v>0</v>
      </c>
      <c r="L473" t="s">
        <v>165</v>
      </c>
      <c r="N473" t="s">
        <v>208</v>
      </c>
      <c r="O473" t="s">
        <v>164</v>
      </c>
      <c r="P473">
        <v>6.8680311118034201E-2</v>
      </c>
      <c r="Q473" t="s">
        <v>165</v>
      </c>
      <c r="S473" t="s">
        <v>227</v>
      </c>
      <c r="T473" t="s">
        <v>164</v>
      </c>
      <c r="U473">
        <v>6.8753518112299225E-2</v>
      </c>
      <c r="V473" t="s">
        <v>165</v>
      </c>
    </row>
    <row r="474" spans="9:22" x14ac:dyDescent="0.45">
      <c r="I474" t="s">
        <v>184</v>
      </c>
      <c r="J474" t="s">
        <v>166</v>
      </c>
      <c r="K474">
        <v>3.9444048358804407E-3</v>
      </c>
      <c r="L474" t="s">
        <v>165</v>
      </c>
      <c r="N474" t="s">
        <v>208</v>
      </c>
      <c r="O474" t="s">
        <v>166</v>
      </c>
      <c r="P474">
        <v>7.088281643294214E-3</v>
      </c>
      <c r="Q474" t="s">
        <v>165</v>
      </c>
      <c r="S474" t="s">
        <v>227</v>
      </c>
      <c r="T474" t="s">
        <v>166</v>
      </c>
      <c r="U474">
        <v>8.1860731652407242E-3</v>
      </c>
      <c r="V474" t="s">
        <v>165</v>
      </c>
    </row>
    <row r="475" spans="9:22" x14ac:dyDescent="0.45">
      <c r="I475" t="s">
        <v>184</v>
      </c>
      <c r="J475" t="s">
        <v>167</v>
      </c>
      <c r="K475">
        <v>8.838734859505086E-2</v>
      </c>
      <c r="L475" t="s">
        <v>165</v>
      </c>
      <c r="N475" t="s">
        <v>208</v>
      </c>
      <c r="O475" t="s">
        <v>167</v>
      </c>
      <c r="P475">
        <v>6.8014828395583316E-2</v>
      </c>
      <c r="Q475" t="s">
        <v>165</v>
      </c>
      <c r="S475" t="s">
        <v>227</v>
      </c>
      <c r="T475" t="s">
        <v>167</v>
      </c>
      <c r="U475">
        <v>6.8628943572447962E-2</v>
      </c>
      <c r="V475" t="s">
        <v>165</v>
      </c>
    </row>
    <row r="476" spans="9:22" x14ac:dyDescent="0.45">
      <c r="I476" t="s">
        <v>184</v>
      </c>
      <c r="J476" t="s">
        <v>253</v>
      </c>
      <c r="K476">
        <v>1.1511231367731875E-2</v>
      </c>
      <c r="L476" t="s">
        <v>165</v>
      </c>
      <c r="N476" t="s">
        <v>208</v>
      </c>
      <c r="O476" t="s">
        <v>253</v>
      </c>
      <c r="P476">
        <v>1.0729986556844274E-2</v>
      </c>
      <c r="Q476" t="s">
        <v>165</v>
      </c>
      <c r="S476" t="s">
        <v>227</v>
      </c>
      <c r="T476" t="s">
        <v>253</v>
      </c>
      <c r="U476">
        <v>1.0177303156388318E-2</v>
      </c>
      <c r="V476" t="s">
        <v>165</v>
      </c>
    </row>
    <row r="477" spans="9:22" x14ac:dyDescent="0.45">
      <c r="I477" t="s">
        <v>184</v>
      </c>
      <c r="J477" t="s">
        <v>254</v>
      </c>
      <c r="K477">
        <v>7.5819201975533598E-3</v>
      </c>
      <c r="L477" t="s">
        <v>165</v>
      </c>
      <c r="N477" t="s">
        <v>208</v>
      </c>
      <c r="O477" t="s">
        <v>254</v>
      </c>
      <c r="P477">
        <v>1.0498569541123857E-2</v>
      </c>
      <c r="Q477" t="s">
        <v>165</v>
      </c>
      <c r="S477" t="s">
        <v>227</v>
      </c>
      <c r="T477" t="s">
        <v>254</v>
      </c>
      <c r="U477">
        <v>1.0103965735055637E-2</v>
      </c>
      <c r="V477" t="s">
        <v>165</v>
      </c>
    </row>
    <row r="478" spans="9:22" x14ac:dyDescent="0.45">
      <c r="I478" t="s">
        <v>184</v>
      </c>
      <c r="J478" t="s">
        <v>255</v>
      </c>
      <c r="K478">
        <v>1.9100717689696969E-3</v>
      </c>
      <c r="L478" t="s">
        <v>165</v>
      </c>
      <c r="N478" t="s">
        <v>208</v>
      </c>
      <c r="O478" t="s">
        <v>255</v>
      </c>
      <c r="P478">
        <v>5.5249606481462522E-2</v>
      </c>
      <c r="Q478" t="s">
        <v>165</v>
      </c>
      <c r="S478" t="s">
        <v>227</v>
      </c>
      <c r="T478" t="s">
        <v>255</v>
      </c>
      <c r="U478">
        <v>5.8333157261417003E-2</v>
      </c>
      <c r="V478" t="s">
        <v>165</v>
      </c>
    </row>
    <row r="479" spans="9:22" x14ac:dyDescent="0.45">
      <c r="I479" t="s">
        <v>184</v>
      </c>
      <c r="J479" t="s">
        <v>168</v>
      </c>
      <c r="K479">
        <v>1.7139582458748546E-3</v>
      </c>
      <c r="L479" t="s">
        <v>165</v>
      </c>
      <c r="N479" t="s">
        <v>208</v>
      </c>
      <c r="O479" t="s">
        <v>168</v>
      </c>
      <c r="P479">
        <v>4.2195051588082441E-2</v>
      </c>
      <c r="Q479" t="s">
        <v>165</v>
      </c>
      <c r="S479" t="s">
        <v>227</v>
      </c>
      <c r="T479" t="s">
        <v>168</v>
      </c>
      <c r="U479">
        <v>5.6123486570078547E-2</v>
      </c>
      <c r="V479" t="s">
        <v>165</v>
      </c>
    </row>
    <row r="480" spans="9:22" x14ac:dyDescent="0.45">
      <c r="I480" t="s">
        <v>184</v>
      </c>
      <c r="J480" t="s">
        <v>169</v>
      </c>
      <c r="K480">
        <v>4.6824051400082478E-3</v>
      </c>
      <c r="L480" t="s">
        <v>165</v>
      </c>
      <c r="N480" t="s">
        <v>208</v>
      </c>
      <c r="O480" t="s">
        <v>169</v>
      </c>
      <c r="P480">
        <v>5.0266032890416909E-3</v>
      </c>
      <c r="Q480" t="s">
        <v>165</v>
      </c>
      <c r="S480" t="s">
        <v>227</v>
      </c>
      <c r="T480" t="s">
        <v>169</v>
      </c>
      <c r="U480">
        <v>6.5370547537147734E-3</v>
      </c>
      <c r="V480" t="s">
        <v>165</v>
      </c>
    </row>
    <row r="481" spans="9:22" x14ac:dyDescent="0.45">
      <c r="I481" t="s">
        <v>184</v>
      </c>
      <c r="J481" t="s">
        <v>170</v>
      </c>
      <c r="K481">
        <v>5.964911997473147E-2</v>
      </c>
      <c r="L481" t="s">
        <v>165</v>
      </c>
      <c r="N481" t="s">
        <v>208</v>
      </c>
      <c r="O481" t="s">
        <v>170</v>
      </c>
      <c r="P481">
        <v>5.9196749136518512E-2</v>
      </c>
      <c r="Q481" t="s">
        <v>165</v>
      </c>
      <c r="S481" t="s">
        <v>227</v>
      </c>
      <c r="T481" t="s">
        <v>170</v>
      </c>
      <c r="U481">
        <v>4.9569216755352079E-2</v>
      </c>
      <c r="V481" t="s">
        <v>165</v>
      </c>
    </row>
    <row r="482" spans="9:22" x14ac:dyDescent="0.45">
      <c r="I482" t="s">
        <v>184</v>
      </c>
      <c r="J482" t="s">
        <v>256</v>
      </c>
      <c r="K482">
        <v>7.9436121679872952E-3</v>
      </c>
      <c r="L482" t="s">
        <v>165</v>
      </c>
      <c r="N482" t="s">
        <v>208</v>
      </c>
      <c r="O482" t="s">
        <v>256</v>
      </c>
      <c r="P482">
        <v>8.3824856918272867E-3</v>
      </c>
      <c r="Q482" t="s">
        <v>165</v>
      </c>
      <c r="S482" t="s">
        <v>227</v>
      </c>
      <c r="T482" t="s">
        <v>256</v>
      </c>
      <c r="U482">
        <v>7.8592689480349483E-3</v>
      </c>
      <c r="V482" t="s">
        <v>165</v>
      </c>
    </row>
    <row r="483" spans="9:22" x14ac:dyDescent="0.45">
      <c r="I483" t="s">
        <v>184</v>
      </c>
      <c r="J483" t="s">
        <v>257</v>
      </c>
      <c r="K483">
        <v>6.3698098759704391E-3</v>
      </c>
      <c r="L483" t="s">
        <v>165</v>
      </c>
      <c r="N483" t="s">
        <v>208</v>
      </c>
      <c r="O483" t="s">
        <v>257</v>
      </c>
      <c r="P483">
        <v>7.3780759469263329E-3</v>
      </c>
      <c r="Q483" t="s">
        <v>165</v>
      </c>
      <c r="S483" t="s">
        <v>227</v>
      </c>
      <c r="T483" t="s">
        <v>257</v>
      </c>
      <c r="U483">
        <v>7.9905667477700552E-3</v>
      </c>
      <c r="V483" t="s">
        <v>165</v>
      </c>
    </row>
    <row r="484" spans="9:22" x14ac:dyDescent="0.45">
      <c r="I484" t="s">
        <v>184</v>
      </c>
      <c r="J484" t="s">
        <v>258</v>
      </c>
      <c r="K484">
        <v>3.9443004893779405E-3</v>
      </c>
      <c r="L484" t="s">
        <v>165</v>
      </c>
      <c r="N484" t="s">
        <v>208</v>
      </c>
      <c r="O484" t="s">
        <v>258</v>
      </c>
      <c r="P484">
        <v>3.8481697436038728E-2</v>
      </c>
      <c r="Q484" t="s">
        <v>165</v>
      </c>
      <c r="S484" t="s">
        <v>227</v>
      </c>
      <c r="T484" t="s">
        <v>258</v>
      </c>
      <c r="U484">
        <v>4.7651233030161687E-2</v>
      </c>
      <c r="V484" t="s">
        <v>165</v>
      </c>
    </row>
    <row r="485" spans="9:22" x14ac:dyDescent="0.45">
      <c r="I485" t="s">
        <v>184</v>
      </c>
      <c r="J485" t="s">
        <v>171</v>
      </c>
      <c r="K485">
        <v>2.7001317048273344E-2</v>
      </c>
      <c r="L485" t="s">
        <v>165</v>
      </c>
      <c r="N485" t="s">
        <v>208</v>
      </c>
      <c r="O485" t="s">
        <v>171</v>
      </c>
      <c r="P485">
        <v>6.3448127275945343E-2</v>
      </c>
      <c r="Q485" t="s">
        <v>165</v>
      </c>
      <c r="S485" t="s">
        <v>227</v>
      </c>
      <c r="T485" t="s">
        <v>171</v>
      </c>
      <c r="U485">
        <v>8.8302236662317374E-2</v>
      </c>
      <c r="V485" t="s">
        <v>165</v>
      </c>
    </row>
    <row r="486" spans="9:22" x14ac:dyDescent="0.45">
      <c r="I486" t="s">
        <v>184</v>
      </c>
      <c r="J486" t="s">
        <v>172</v>
      </c>
      <c r="K486">
        <v>2.9066072011373307E-2</v>
      </c>
      <c r="L486" t="s">
        <v>165</v>
      </c>
      <c r="N486" t="s">
        <v>208</v>
      </c>
      <c r="O486" t="s">
        <v>172</v>
      </c>
      <c r="P486">
        <v>1.0238331736186067E-2</v>
      </c>
      <c r="Q486" t="s">
        <v>165</v>
      </c>
      <c r="S486" t="s">
        <v>227</v>
      </c>
      <c r="T486" t="s">
        <v>172</v>
      </c>
      <c r="U486">
        <v>1.1393091580808815E-2</v>
      </c>
      <c r="V486" t="s">
        <v>165</v>
      </c>
    </row>
    <row r="487" spans="9:22" x14ac:dyDescent="0.45">
      <c r="I487" t="s">
        <v>184</v>
      </c>
      <c r="J487" t="s">
        <v>173</v>
      </c>
      <c r="K487">
        <v>0.28471282392548025</v>
      </c>
      <c r="L487" t="s">
        <v>165</v>
      </c>
      <c r="N487" t="s">
        <v>208</v>
      </c>
      <c r="O487" t="s">
        <v>173</v>
      </c>
      <c r="P487">
        <v>0.11471322805858858</v>
      </c>
      <c r="Q487" t="s">
        <v>165</v>
      </c>
      <c r="S487" t="s">
        <v>227</v>
      </c>
      <c r="T487" t="s">
        <v>173</v>
      </c>
      <c r="U487">
        <v>7.8243784608333658E-2</v>
      </c>
      <c r="V487" t="s">
        <v>165</v>
      </c>
    </row>
    <row r="488" spans="9:22" x14ac:dyDescent="0.45">
      <c r="I488" t="s">
        <v>184</v>
      </c>
      <c r="J488" t="s">
        <v>259</v>
      </c>
      <c r="K488">
        <v>3.7675566955990315E-2</v>
      </c>
      <c r="L488" t="s">
        <v>165</v>
      </c>
      <c r="N488" t="s">
        <v>208</v>
      </c>
      <c r="O488" t="s">
        <v>259</v>
      </c>
      <c r="P488">
        <v>1.7929616807801235E-2</v>
      </c>
      <c r="Q488" t="s">
        <v>165</v>
      </c>
      <c r="S488" t="s">
        <v>227</v>
      </c>
      <c r="T488" t="s">
        <v>259</v>
      </c>
      <c r="U488">
        <v>1.3101825417793188E-2</v>
      </c>
      <c r="V488" t="s">
        <v>165</v>
      </c>
    </row>
    <row r="489" spans="9:22" x14ac:dyDescent="0.45">
      <c r="I489" t="s">
        <v>184</v>
      </c>
      <c r="J489" t="s">
        <v>260</v>
      </c>
      <c r="K489">
        <v>3.2328727205007859E-2</v>
      </c>
      <c r="L489" t="s">
        <v>165</v>
      </c>
      <c r="N489" t="s">
        <v>208</v>
      </c>
      <c r="O489" t="s">
        <v>260</v>
      </c>
      <c r="P489">
        <v>1.6612032797535582E-2</v>
      </c>
      <c r="Q489" t="s">
        <v>165</v>
      </c>
      <c r="S489" t="s">
        <v>227</v>
      </c>
      <c r="T489" t="s">
        <v>260</v>
      </c>
      <c r="U489">
        <v>1.37284749597739E-2</v>
      </c>
      <c r="V489" t="s">
        <v>165</v>
      </c>
    </row>
    <row r="490" spans="9:22" x14ac:dyDescent="0.45">
      <c r="I490" t="s">
        <v>184</v>
      </c>
      <c r="J490" t="s">
        <v>261</v>
      </c>
      <c r="K490">
        <v>3.5948226561318158E-2</v>
      </c>
      <c r="L490" t="s">
        <v>165</v>
      </c>
      <c r="N490" t="s">
        <v>208</v>
      </c>
      <c r="O490" t="s">
        <v>261</v>
      </c>
      <c r="P490">
        <v>6.1494399292599436E-2</v>
      </c>
      <c r="Q490" t="s">
        <v>165</v>
      </c>
      <c r="S490" t="s">
        <v>227</v>
      </c>
      <c r="T490" t="s">
        <v>261</v>
      </c>
      <c r="U490">
        <v>8.0158958477959702E-2</v>
      </c>
      <c r="V490" t="s">
        <v>165</v>
      </c>
    </row>
    <row r="491" spans="9:22" x14ac:dyDescent="0.45">
      <c r="I491" t="s">
        <v>184</v>
      </c>
      <c r="J491" t="s">
        <v>262</v>
      </c>
      <c r="K491">
        <v>7.6234193984814564E-3</v>
      </c>
      <c r="L491" t="s">
        <v>165</v>
      </c>
      <c r="N491" t="s">
        <v>208</v>
      </c>
      <c r="O491" t="s">
        <v>262</v>
      </c>
      <c r="P491">
        <v>2.4998386116340216E-2</v>
      </c>
      <c r="Q491" t="s">
        <v>165</v>
      </c>
      <c r="S491" t="s">
        <v>227</v>
      </c>
      <c r="T491" t="s">
        <v>262</v>
      </c>
      <c r="U491">
        <v>2.325613090714047E-2</v>
      </c>
      <c r="V491" t="s">
        <v>165</v>
      </c>
    </row>
    <row r="492" spans="9:22" x14ac:dyDescent="0.45">
      <c r="I492" t="s">
        <v>184</v>
      </c>
      <c r="J492" t="s">
        <v>263</v>
      </c>
      <c r="K492">
        <v>1.2141877609253145E-2</v>
      </c>
      <c r="L492" t="s">
        <v>165</v>
      </c>
      <c r="N492" t="s">
        <v>208</v>
      </c>
      <c r="O492" t="s">
        <v>263</v>
      </c>
      <c r="P492">
        <v>3.0242145166266849E-3</v>
      </c>
      <c r="Q492" t="s">
        <v>165</v>
      </c>
      <c r="S492" t="s">
        <v>227</v>
      </c>
      <c r="T492" t="s">
        <v>263</v>
      </c>
      <c r="U492">
        <v>2.801938425086662E-3</v>
      </c>
      <c r="V492" t="s">
        <v>165</v>
      </c>
    </row>
    <row r="493" spans="9:22" x14ac:dyDescent="0.45">
      <c r="I493" t="s">
        <v>184</v>
      </c>
      <c r="J493" t="s">
        <v>264</v>
      </c>
      <c r="K493">
        <v>0.12650173231396364</v>
      </c>
      <c r="L493" t="s">
        <v>165</v>
      </c>
      <c r="N493" t="s">
        <v>208</v>
      </c>
      <c r="O493" t="s">
        <v>264</v>
      </c>
      <c r="P493">
        <v>3.8511412781725034E-2</v>
      </c>
      <c r="Q493" t="s">
        <v>165</v>
      </c>
      <c r="S493" t="s">
        <v>227</v>
      </c>
      <c r="T493" t="s">
        <v>264</v>
      </c>
      <c r="U493">
        <v>1.9763758620637166E-2</v>
      </c>
      <c r="V493" t="s">
        <v>165</v>
      </c>
    </row>
    <row r="494" spans="9:22" x14ac:dyDescent="0.45">
      <c r="I494" t="s">
        <v>184</v>
      </c>
      <c r="J494" t="s">
        <v>265</v>
      </c>
      <c r="K494">
        <v>1.6469108937793506E-2</v>
      </c>
      <c r="L494" t="s">
        <v>165</v>
      </c>
      <c r="N494" t="s">
        <v>208</v>
      </c>
      <c r="O494" t="s">
        <v>265</v>
      </c>
      <c r="P494">
        <v>7.1464438127491932E-3</v>
      </c>
      <c r="Q494" t="s">
        <v>165</v>
      </c>
      <c r="S494" t="s">
        <v>227</v>
      </c>
      <c r="T494" t="s">
        <v>265</v>
      </c>
      <c r="U494">
        <v>3.5590314761888972E-3</v>
      </c>
      <c r="V494" t="s">
        <v>165</v>
      </c>
    </row>
    <row r="495" spans="9:22" x14ac:dyDescent="0.45">
      <c r="I495" t="s">
        <v>184</v>
      </c>
      <c r="J495" t="s">
        <v>266</v>
      </c>
      <c r="K495">
        <v>1.3303210099748027E-2</v>
      </c>
      <c r="L495" t="s">
        <v>165</v>
      </c>
      <c r="N495" t="s">
        <v>208</v>
      </c>
      <c r="O495" t="s">
        <v>266</v>
      </c>
      <c r="P495">
        <v>6.3332750477173346E-3</v>
      </c>
      <c r="Q495" t="s">
        <v>165</v>
      </c>
      <c r="S495" t="s">
        <v>227</v>
      </c>
      <c r="T495" t="s">
        <v>266</v>
      </c>
      <c r="U495">
        <v>3.6444100345533123E-3</v>
      </c>
      <c r="V495" t="s">
        <v>165</v>
      </c>
    </row>
    <row r="496" spans="9:22" x14ac:dyDescent="0.45">
      <c r="I496" t="s">
        <v>184</v>
      </c>
      <c r="J496" t="s">
        <v>267</v>
      </c>
      <c r="K496">
        <v>1.1369686753759975E-2</v>
      </c>
      <c r="L496" t="s">
        <v>165</v>
      </c>
      <c r="N496" t="s">
        <v>208</v>
      </c>
      <c r="O496" t="s">
        <v>267</v>
      </c>
      <c r="P496">
        <v>2.0899672596898143E-2</v>
      </c>
      <c r="Q496" t="s">
        <v>165</v>
      </c>
      <c r="S496" t="s">
        <v>227</v>
      </c>
      <c r="T496" t="s">
        <v>267</v>
      </c>
      <c r="U496">
        <v>2.1453207690755195E-2</v>
      </c>
      <c r="V496" t="s">
        <v>165</v>
      </c>
    </row>
    <row r="497" spans="9:22" x14ac:dyDescent="0.45">
      <c r="I497" t="s">
        <v>184</v>
      </c>
      <c r="J497" t="s">
        <v>268</v>
      </c>
      <c r="K497">
        <v>1.3666066208935174E-3</v>
      </c>
      <c r="L497" t="s">
        <v>165</v>
      </c>
      <c r="N497" t="s">
        <v>208</v>
      </c>
      <c r="O497" t="s">
        <v>268</v>
      </c>
      <c r="P497">
        <v>7.9910680053364175E-3</v>
      </c>
      <c r="Q497" t="s">
        <v>165</v>
      </c>
      <c r="S497" t="s">
        <v>227</v>
      </c>
      <c r="T497" t="s">
        <v>268</v>
      </c>
      <c r="U497">
        <v>1.5613460461417051E-2</v>
      </c>
      <c r="V497" t="s">
        <v>165</v>
      </c>
    </row>
    <row r="498" spans="9:22" x14ac:dyDescent="0.45">
      <c r="I498" t="s">
        <v>184</v>
      </c>
      <c r="J498" t="s">
        <v>269</v>
      </c>
      <c r="K498">
        <v>4.5165577774163891E-3</v>
      </c>
      <c r="L498" t="s">
        <v>165</v>
      </c>
      <c r="N498" t="s">
        <v>208</v>
      </c>
      <c r="O498" t="s">
        <v>269</v>
      </c>
      <c r="P498">
        <v>9.0458046083499602E-4</v>
      </c>
      <c r="Q498" t="s">
        <v>165</v>
      </c>
      <c r="S498" t="s">
        <v>227</v>
      </c>
      <c r="T498" t="s">
        <v>269</v>
      </c>
      <c r="U498">
        <v>2.1175056322133776E-3</v>
      </c>
      <c r="V498" t="s">
        <v>165</v>
      </c>
    </row>
    <row r="499" spans="9:22" x14ac:dyDescent="0.45">
      <c r="I499" t="s">
        <v>184</v>
      </c>
      <c r="J499" t="s">
        <v>270</v>
      </c>
      <c r="K499">
        <v>5.4188695877273173E-2</v>
      </c>
      <c r="L499" t="s">
        <v>165</v>
      </c>
      <c r="N499" t="s">
        <v>208</v>
      </c>
      <c r="O499" t="s">
        <v>270</v>
      </c>
      <c r="P499">
        <v>1.1073882826114025E-2</v>
      </c>
      <c r="Q499" t="s">
        <v>165</v>
      </c>
      <c r="S499" t="s">
        <v>227</v>
      </c>
      <c r="T499" t="s">
        <v>270</v>
      </c>
      <c r="U499">
        <v>1.3974244862152452E-2</v>
      </c>
      <c r="V499" t="s">
        <v>165</v>
      </c>
    </row>
    <row r="500" spans="9:22" x14ac:dyDescent="0.45">
      <c r="I500" t="s">
        <v>184</v>
      </c>
      <c r="J500" t="s">
        <v>271</v>
      </c>
      <c r="K500">
        <v>6.2847387949469882E-3</v>
      </c>
      <c r="L500" t="s">
        <v>165</v>
      </c>
      <c r="N500" t="s">
        <v>208</v>
      </c>
      <c r="O500" t="s">
        <v>271</v>
      </c>
      <c r="P500">
        <v>1.5483191887969399E-3</v>
      </c>
      <c r="Q500" t="s">
        <v>165</v>
      </c>
      <c r="S500" t="s">
        <v>227</v>
      </c>
      <c r="T500" t="s">
        <v>271</v>
      </c>
      <c r="U500">
        <v>1.8391867973194336E-3</v>
      </c>
      <c r="V500" t="s">
        <v>165</v>
      </c>
    </row>
    <row r="501" spans="9:22" x14ac:dyDescent="0.45">
      <c r="I501" t="s">
        <v>184</v>
      </c>
      <c r="J501" t="s">
        <v>272</v>
      </c>
      <c r="K501">
        <v>4.1103921941529967E-3</v>
      </c>
      <c r="L501" t="s">
        <v>165</v>
      </c>
      <c r="N501" t="s">
        <v>208</v>
      </c>
      <c r="O501" t="s">
        <v>272</v>
      </c>
      <c r="P501">
        <v>1.4923322642956653E-3</v>
      </c>
      <c r="Q501" t="s">
        <v>165</v>
      </c>
      <c r="S501" t="s">
        <v>227</v>
      </c>
      <c r="T501" t="s">
        <v>272</v>
      </c>
      <c r="U501">
        <v>1.7986438157353466E-3</v>
      </c>
      <c r="V501" t="s">
        <v>165</v>
      </c>
    </row>
    <row r="502" spans="9:22" x14ac:dyDescent="0.45">
      <c r="I502" t="s">
        <v>184</v>
      </c>
      <c r="J502" t="s">
        <v>273</v>
      </c>
      <c r="K502">
        <v>7.0153141670184526E-4</v>
      </c>
      <c r="L502" t="s">
        <v>165</v>
      </c>
      <c r="N502" t="s">
        <v>208</v>
      </c>
      <c r="O502" t="s">
        <v>273</v>
      </c>
      <c r="P502">
        <v>6.7804699952146311E-3</v>
      </c>
      <c r="Q502" t="s">
        <v>165</v>
      </c>
      <c r="S502" t="s">
        <v>227</v>
      </c>
      <c r="T502" t="s">
        <v>273</v>
      </c>
      <c r="U502">
        <v>1.0455514533010465E-2</v>
      </c>
      <c r="V502" t="s">
        <v>165</v>
      </c>
    </row>
    <row r="503" spans="9:22" x14ac:dyDescent="0.45">
      <c r="I503" t="s">
        <v>184</v>
      </c>
      <c r="J503" t="s">
        <v>274</v>
      </c>
      <c r="K503">
        <v>0</v>
      </c>
      <c r="L503" t="s">
        <v>165</v>
      </c>
      <c r="N503" t="s">
        <v>208</v>
      </c>
      <c r="O503" t="s">
        <v>274</v>
      </c>
      <c r="P503">
        <v>4.0377534183124876E-2</v>
      </c>
      <c r="Q503" t="s">
        <v>165</v>
      </c>
      <c r="S503" t="s">
        <v>227</v>
      </c>
      <c r="T503" t="s">
        <v>274</v>
      </c>
      <c r="U503">
        <v>4.2243733917982251E-2</v>
      </c>
      <c r="V503" t="s">
        <v>165</v>
      </c>
    </row>
    <row r="504" spans="9:22" x14ac:dyDescent="0.45">
      <c r="I504" t="s">
        <v>184</v>
      </c>
      <c r="J504" t="s">
        <v>275</v>
      </c>
      <c r="K504">
        <v>2.6345453671336892E-3</v>
      </c>
      <c r="L504" t="s">
        <v>165</v>
      </c>
      <c r="N504" t="s">
        <v>208</v>
      </c>
      <c r="O504" t="s">
        <v>275</v>
      </c>
      <c r="P504">
        <v>4.5224588181581099E-3</v>
      </c>
      <c r="Q504" t="s">
        <v>165</v>
      </c>
      <c r="S504" t="s">
        <v>227</v>
      </c>
      <c r="T504" t="s">
        <v>275</v>
      </c>
      <c r="U504">
        <v>5.0571423829037284E-3</v>
      </c>
      <c r="V504" t="s">
        <v>165</v>
      </c>
    </row>
    <row r="505" spans="9:22" x14ac:dyDescent="0.45">
      <c r="I505" t="s">
        <v>184</v>
      </c>
      <c r="J505" t="s">
        <v>276</v>
      </c>
      <c r="K505">
        <v>4.2434739264424072E-2</v>
      </c>
      <c r="L505" t="s">
        <v>165</v>
      </c>
      <c r="N505" t="s">
        <v>208</v>
      </c>
      <c r="O505" t="s">
        <v>276</v>
      </c>
      <c r="P505">
        <v>3.789255697742748E-2</v>
      </c>
      <c r="Q505" t="s">
        <v>165</v>
      </c>
      <c r="S505" t="s">
        <v>227</v>
      </c>
      <c r="T505" t="s">
        <v>276</v>
      </c>
      <c r="U505">
        <v>3.5165478873467541E-2</v>
      </c>
      <c r="V505" t="s">
        <v>165</v>
      </c>
    </row>
    <row r="506" spans="9:22" x14ac:dyDescent="0.45">
      <c r="I506" t="s">
        <v>184</v>
      </c>
      <c r="J506" t="s">
        <v>277</v>
      </c>
      <c r="K506">
        <v>4.7267115371843445E-3</v>
      </c>
      <c r="L506" t="s">
        <v>165</v>
      </c>
      <c r="N506" t="s">
        <v>208</v>
      </c>
      <c r="O506" t="s">
        <v>277</v>
      </c>
      <c r="P506">
        <v>5.4926359278160272E-3</v>
      </c>
      <c r="Q506" t="s">
        <v>165</v>
      </c>
      <c r="S506" t="s">
        <v>227</v>
      </c>
      <c r="T506" t="s">
        <v>277</v>
      </c>
      <c r="U506">
        <v>5.5536929602806977E-3</v>
      </c>
      <c r="V506" t="s">
        <v>165</v>
      </c>
    </row>
    <row r="507" spans="9:22" x14ac:dyDescent="0.45">
      <c r="I507" t="s">
        <v>184</v>
      </c>
      <c r="J507" t="s">
        <v>278</v>
      </c>
      <c r="K507">
        <v>2.6803027397168948E-3</v>
      </c>
      <c r="L507" t="s">
        <v>165</v>
      </c>
      <c r="N507" t="s">
        <v>208</v>
      </c>
      <c r="O507" t="s">
        <v>278</v>
      </c>
      <c r="P507">
        <v>5.4201365805331544E-3</v>
      </c>
      <c r="Q507" t="s">
        <v>165</v>
      </c>
      <c r="S507" t="s">
        <v>227</v>
      </c>
      <c r="T507" t="s">
        <v>278</v>
      </c>
      <c r="U507">
        <v>5.7589391134976152E-3</v>
      </c>
      <c r="V507" t="s">
        <v>165</v>
      </c>
    </row>
    <row r="508" spans="9:22" x14ac:dyDescent="0.45">
      <c r="I508" t="s">
        <v>184</v>
      </c>
      <c r="J508" t="s">
        <v>279</v>
      </c>
      <c r="K508">
        <v>0</v>
      </c>
      <c r="L508" t="s">
        <v>165</v>
      </c>
      <c r="N508" t="s">
        <v>208</v>
      </c>
      <c r="O508" t="s">
        <v>279</v>
      </c>
      <c r="P508">
        <v>3.2491940948332132E-2</v>
      </c>
      <c r="Q508" t="s">
        <v>165</v>
      </c>
      <c r="S508" t="s">
        <v>227</v>
      </c>
      <c r="T508" t="s">
        <v>279</v>
      </c>
      <c r="U508">
        <v>3.6460373318277471E-2</v>
      </c>
      <c r="V508" t="s">
        <v>165</v>
      </c>
    </row>
    <row r="509" spans="9:22" x14ac:dyDescent="0.45">
      <c r="I509" t="s">
        <v>184</v>
      </c>
      <c r="J509" t="s">
        <v>280</v>
      </c>
      <c r="K509">
        <v>0</v>
      </c>
      <c r="L509" t="s">
        <v>165</v>
      </c>
      <c r="N509" t="s">
        <v>208</v>
      </c>
      <c r="O509" t="s">
        <v>280</v>
      </c>
      <c r="P509">
        <v>2.4557584199673979E-2</v>
      </c>
      <c r="Q509" t="s">
        <v>165</v>
      </c>
      <c r="S509" t="s">
        <v>227</v>
      </c>
      <c r="T509" t="s">
        <v>280</v>
      </c>
      <c r="U509">
        <v>2.2437225554294653E-2</v>
      </c>
      <c r="V509" t="s">
        <v>165</v>
      </c>
    </row>
    <row r="510" spans="9:22" x14ac:dyDescent="0.45">
      <c r="I510" t="s">
        <v>184</v>
      </c>
      <c r="J510" t="s">
        <v>281</v>
      </c>
      <c r="K510">
        <v>1.3798389474588874E-3</v>
      </c>
      <c r="L510" t="s">
        <v>165</v>
      </c>
      <c r="N510" t="s">
        <v>208</v>
      </c>
      <c r="O510" t="s">
        <v>281</v>
      </c>
      <c r="P510">
        <v>3.7804721008425413E-3</v>
      </c>
      <c r="Q510" t="s">
        <v>165</v>
      </c>
      <c r="S510" t="s">
        <v>227</v>
      </c>
      <c r="T510" t="s">
        <v>281</v>
      </c>
      <c r="U510">
        <v>2.7325507001851384E-3</v>
      </c>
      <c r="V510" t="s">
        <v>165</v>
      </c>
    </row>
    <row r="511" spans="9:22" x14ac:dyDescent="0.45">
      <c r="I511" t="s">
        <v>184</v>
      </c>
      <c r="J511" t="s">
        <v>282</v>
      </c>
      <c r="K511">
        <v>3.7047991168834109E-2</v>
      </c>
      <c r="L511" t="s">
        <v>165</v>
      </c>
      <c r="N511" t="s">
        <v>208</v>
      </c>
      <c r="O511" t="s">
        <v>282</v>
      </c>
      <c r="P511">
        <v>2.809670897360764E-2</v>
      </c>
      <c r="Q511" t="s">
        <v>165</v>
      </c>
      <c r="S511" t="s">
        <v>227</v>
      </c>
      <c r="T511" t="s">
        <v>282</v>
      </c>
      <c r="U511">
        <v>1.9320703732552645E-2</v>
      </c>
      <c r="V511" t="s">
        <v>165</v>
      </c>
    </row>
    <row r="512" spans="9:22" x14ac:dyDescent="0.45">
      <c r="I512" t="s">
        <v>184</v>
      </c>
      <c r="J512" t="s">
        <v>283</v>
      </c>
      <c r="K512">
        <v>3.9913208620202013E-3</v>
      </c>
      <c r="L512" t="s">
        <v>165</v>
      </c>
      <c r="N512" t="s">
        <v>208</v>
      </c>
      <c r="O512" t="s">
        <v>283</v>
      </c>
      <c r="P512">
        <v>3.3398034628816012E-3</v>
      </c>
      <c r="Q512" t="s">
        <v>165</v>
      </c>
      <c r="S512" t="s">
        <v>227</v>
      </c>
      <c r="T512" t="s">
        <v>283</v>
      </c>
      <c r="U512">
        <v>2.6104962557287189E-3</v>
      </c>
      <c r="V512" t="s">
        <v>165</v>
      </c>
    </row>
    <row r="513" spans="9:22" x14ac:dyDescent="0.45">
      <c r="I513" t="s">
        <v>184</v>
      </c>
      <c r="J513" t="s">
        <v>284</v>
      </c>
      <c r="K513">
        <v>2.1560759522635626E-3</v>
      </c>
      <c r="L513" t="s">
        <v>165</v>
      </c>
      <c r="N513" t="s">
        <v>208</v>
      </c>
      <c r="O513" t="s">
        <v>284</v>
      </c>
      <c r="P513">
        <v>3.0593178936014261E-3</v>
      </c>
      <c r="Q513" t="s">
        <v>165</v>
      </c>
      <c r="S513" t="s">
        <v>227</v>
      </c>
      <c r="T513" t="s">
        <v>284</v>
      </c>
      <c r="U513">
        <v>2.4976389572615829E-3</v>
      </c>
      <c r="V513" t="s">
        <v>165</v>
      </c>
    </row>
    <row r="514" spans="9:22" x14ac:dyDescent="0.45">
      <c r="I514" t="s">
        <v>184</v>
      </c>
      <c r="J514" t="s">
        <v>285</v>
      </c>
      <c r="K514">
        <v>0</v>
      </c>
      <c r="L514" t="s">
        <v>165</v>
      </c>
      <c r="N514" t="s">
        <v>208</v>
      </c>
      <c r="O514" t="s">
        <v>285</v>
      </c>
      <c r="P514">
        <v>1.4906809527918541E-2</v>
      </c>
      <c r="Q514" t="s">
        <v>165</v>
      </c>
      <c r="S514" t="s">
        <v>227</v>
      </c>
      <c r="T514" t="s">
        <v>285</v>
      </c>
      <c r="U514">
        <v>1.5042831462413938E-2</v>
      </c>
      <c r="V514" t="s">
        <v>165</v>
      </c>
    </row>
    <row r="515" spans="9:22" x14ac:dyDescent="0.45">
      <c r="I515" t="s">
        <v>185</v>
      </c>
      <c r="J515" t="s">
        <v>164</v>
      </c>
      <c r="K515">
        <v>0</v>
      </c>
      <c r="L515" t="s">
        <v>165</v>
      </c>
      <c r="N515" t="s">
        <v>209</v>
      </c>
      <c r="O515" t="s">
        <v>164</v>
      </c>
      <c r="P515">
        <v>8.2824760551566429E-2</v>
      </c>
      <c r="Q515" t="s">
        <v>165</v>
      </c>
      <c r="S515" t="s">
        <v>228</v>
      </c>
      <c r="T515" t="s">
        <v>164</v>
      </c>
      <c r="U515">
        <v>8.4801301394065845E-2</v>
      </c>
      <c r="V515" t="s">
        <v>165</v>
      </c>
    </row>
    <row r="516" spans="9:22" x14ac:dyDescent="0.45">
      <c r="I516" t="s">
        <v>185</v>
      </c>
      <c r="J516" t="s">
        <v>166</v>
      </c>
      <c r="K516">
        <v>5.7036362915102211E-3</v>
      </c>
      <c r="L516" t="s">
        <v>165</v>
      </c>
      <c r="N516" t="s">
        <v>209</v>
      </c>
      <c r="O516" t="s">
        <v>166</v>
      </c>
      <c r="P516">
        <v>8.819734255164564E-3</v>
      </c>
      <c r="Q516" t="s">
        <v>165</v>
      </c>
      <c r="S516" t="s">
        <v>228</v>
      </c>
      <c r="T516" t="s">
        <v>166</v>
      </c>
      <c r="U516">
        <v>9.3620288340560149E-3</v>
      </c>
      <c r="V516" t="s">
        <v>165</v>
      </c>
    </row>
    <row r="517" spans="9:22" x14ac:dyDescent="0.45">
      <c r="I517" t="s">
        <v>185</v>
      </c>
      <c r="J517" t="s">
        <v>167</v>
      </c>
      <c r="K517">
        <v>9.1314684136635904E-2</v>
      </c>
      <c r="L517" t="s">
        <v>165</v>
      </c>
      <c r="N517" t="s">
        <v>209</v>
      </c>
      <c r="O517" t="s">
        <v>167</v>
      </c>
      <c r="P517">
        <v>8.0689358345280363E-2</v>
      </c>
      <c r="Q517" t="s">
        <v>165</v>
      </c>
      <c r="S517" t="s">
        <v>228</v>
      </c>
      <c r="T517" t="s">
        <v>167</v>
      </c>
      <c r="U517">
        <v>7.6929864347334329E-2</v>
      </c>
      <c r="V517" t="s">
        <v>165</v>
      </c>
    </row>
    <row r="518" spans="9:22" x14ac:dyDescent="0.45">
      <c r="I518" t="s">
        <v>185</v>
      </c>
      <c r="J518" t="s">
        <v>253</v>
      </c>
      <c r="K518">
        <v>1.1022127819590973E-2</v>
      </c>
      <c r="L518" t="s">
        <v>165</v>
      </c>
      <c r="N518" t="s">
        <v>209</v>
      </c>
      <c r="O518" t="s">
        <v>253</v>
      </c>
      <c r="P518">
        <v>1.395147629641072E-2</v>
      </c>
      <c r="Q518" t="s">
        <v>165</v>
      </c>
      <c r="S518" t="s">
        <v>228</v>
      </c>
      <c r="T518" t="s">
        <v>253</v>
      </c>
      <c r="U518">
        <v>1.2406557834595424E-2</v>
      </c>
      <c r="V518" t="s">
        <v>165</v>
      </c>
    </row>
    <row r="519" spans="9:22" x14ac:dyDescent="0.45">
      <c r="I519" t="s">
        <v>185</v>
      </c>
      <c r="J519" t="s">
        <v>254</v>
      </c>
      <c r="K519">
        <v>7.1138470180402156E-3</v>
      </c>
      <c r="L519" t="s">
        <v>165</v>
      </c>
      <c r="N519" t="s">
        <v>209</v>
      </c>
      <c r="O519" t="s">
        <v>254</v>
      </c>
      <c r="P519">
        <v>1.3152698987462417E-2</v>
      </c>
      <c r="Q519" t="s">
        <v>165</v>
      </c>
      <c r="S519" t="s">
        <v>228</v>
      </c>
      <c r="T519" t="s">
        <v>254</v>
      </c>
      <c r="U519">
        <v>1.2349696672865344E-2</v>
      </c>
      <c r="V519" t="s">
        <v>165</v>
      </c>
    </row>
    <row r="520" spans="9:22" x14ac:dyDescent="0.45">
      <c r="I520" t="s">
        <v>185</v>
      </c>
      <c r="J520" t="s">
        <v>255</v>
      </c>
      <c r="K520">
        <v>1.2814477018286224E-3</v>
      </c>
      <c r="L520" t="s">
        <v>165</v>
      </c>
      <c r="N520" t="s">
        <v>209</v>
      </c>
      <c r="O520" t="s">
        <v>255</v>
      </c>
      <c r="P520">
        <v>7.0310912450332497E-2</v>
      </c>
      <c r="Q520" t="s">
        <v>165</v>
      </c>
      <c r="S520" t="s">
        <v>228</v>
      </c>
      <c r="T520" t="s">
        <v>255</v>
      </c>
      <c r="U520">
        <v>6.8423975376472351E-2</v>
      </c>
      <c r="V520" t="s">
        <v>165</v>
      </c>
    </row>
    <row r="521" spans="9:22" x14ac:dyDescent="0.45">
      <c r="I521" t="s">
        <v>185</v>
      </c>
      <c r="J521" t="s">
        <v>168</v>
      </c>
      <c r="K521">
        <v>2.1837495610010286E-3</v>
      </c>
      <c r="L521" t="s">
        <v>165</v>
      </c>
      <c r="N521" t="s">
        <v>209</v>
      </c>
      <c r="O521" t="s">
        <v>168</v>
      </c>
      <c r="P521">
        <v>6.7501737403474649E-2</v>
      </c>
      <c r="Q521" t="s">
        <v>165</v>
      </c>
      <c r="S521" t="s">
        <v>228</v>
      </c>
      <c r="T521" t="s">
        <v>168</v>
      </c>
      <c r="U521">
        <v>6.7849300415590549E-2</v>
      </c>
      <c r="V521" t="s">
        <v>165</v>
      </c>
    </row>
    <row r="522" spans="9:22" x14ac:dyDescent="0.45">
      <c r="I522" t="s">
        <v>185</v>
      </c>
      <c r="J522" t="s">
        <v>169</v>
      </c>
      <c r="K522">
        <v>5.167518623299382E-3</v>
      </c>
      <c r="L522" t="s">
        <v>165</v>
      </c>
      <c r="N522" t="s">
        <v>209</v>
      </c>
      <c r="O522" t="s">
        <v>169</v>
      </c>
      <c r="P522">
        <v>7.3413822665263457E-3</v>
      </c>
      <c r="Q522" t="s">
        <v>165</v>
      </c>
      <c r="S522" t="s">
        <v>228</v>
      </c>
      <c r="T522" t="s">
        <v>169</v>
      </c>
      <c r="U522">
        <v>8.0932013960882676E-3</v>
      </c>
      <c r="V522" t="s">
        <v>165</v>
      </c>
    </row>
    <row r="523" spans="9:22" x14ac:dyDescent="0.45">
      <c r="I523" t="s">
        <v>185</v>
      </c>
      <c r="J523" t="s">
        <v>170</v>
      </c>
      <c r="K523">
        <v>5.9792461115226736E-2</v>
      </c>
      <c r="L523" t="s">
        <v>165</v>
      </c>
      <c r="N523" t="s">
        <v>209</v>
      </c>
      <c r="O523" t="s">
        <v>170</v>
      </c>
      <c r="P523">
        <v>6.1096390116728322E-2</v>
      </c>
      <c r="Q523" t="s">
        <v>165</v>
      </c>
      <c r="S523" t="s">
        <v>228</v>
      </c>
      <c r="T523" t="s">
        <v>170</v>
      </c>
      <c r="U523">
        <v>5.091083377206844E-2</v>
      </c>
      <c r="V523" t="s">
        <v>165</v>
      </c>
    </row>
    <row r="524" spans="9:22" x14ac:dyDescent="0.45">
      <c r="I524" t="s">
        <v>185</v>
      </c>
      <c r="J524" t="s">
        <v>256</v>
      </c>
      <c r="K524">
        <v>7.6195561975158574E-3</v>
      </c>
      <c r="L524" t="s">
        <v>165</v>
      </c>
      <c r="N524" t="s">
        <v>209</v>
      </c>
      <c r="O524" t="s">
        <v>256</v>
      </c>
      <c r="P524">
        <v>9.1020628402404494E-3</v>
      </c>
      <c r="Q524" t="s">
        <v>165</v>
      </c>
      <c r="S524" t="s">
        <v>228</v>
      </c>
      <c r="T524" t="s">
        <v>256</v>
      </c>
      <c r="U524">
        <v>7.2606574077319847E-3</v>
      </c>
      <c r="V524" t="s">
        <v>165</v>
      </c>
    </row>
    <row r="525" spans="9:22" x14ac:dyDescent="0.45">
      <c r="I525" t="s">
        <v>185</v>
      </c>
      <c r="J525" t="s">
        <v>257</v>
      </c>
      <c r="K525">
        <v>6.0095188977280587E-3</v>
      </c>
      <c r="L525" t="s">
        <v>165</v>
      </c>
      <c r="N525" t="s">
        <v>209</v>
      </c>
      <c r="O525" t="s">
        <v>257</v>
      </c>
      <c r="P525">
        <v>8.9632666682750231E-3</v>
      </c>
      <c r="Q525" t="s">
        <v>165</v>
      </c>
      <c r="S525" t="s">
        <v>228</v>
      </c>
      <c r="T525" t="s">
        <v>257</v>
      </c>
      <c r="U525">
        <v>7.7468569338350283E-3</v>
      </c>
      <c r="V525" t="s">
        <v>165</v>
      </c>
    </row>
    <row r="526" spans="9:22" x14ac:dyDescent="0.45">
      <c r="I526" t="s">
        <v>185</v>
      </c>
      <c r="J526" t="s">
        <v>258</v>
      </c>
      <c r="K526">
        <v>3.6331450832957492E-3</v>
      </c>
      <c r="L526" t="s">
        <v>165</v>
      </c>
      <c r="N526" t="s">
        <v>209</v>
      </c>
      <c r="O526" t="s">
        <v>258</v>
      </c>
      <c r="P526">
        <v>5.1044545109723359E-2</v>
      </c>
      <c r="Q526" t="s">
        <v>165</v>
      </c>
      <c r="S526" t="s">
        <v>228</v>
      </c>
      <c r="T526" t="s">
        <v>258</v>
      </c>
      <c r="U526">
        <v>5.2949919217292307E-2</v>
      </c>
      <c r="V526" t="s">
        <v>165</v>
      </c>
    </row>
    <row r="527" spans="9:22" x14ac:dyDescent="0.45">
      <c r="I527" t="s">
        <v>185</v>
      </c>
      <c r="J527" t="s">
        <v>171</v>
      </c>
      <c r="K527">
        <v>3.0120541642393365E-2</v>
      </c>
      <c r="L527" t="s">
        <v>165</v>
      </c>
      <c r="N527" t="s">
        <v>209</v>
      </c>
      <c r="O527" t="s">
        <v>171</v>
      </c>
      <c r="P527">
        <v>6.9330579638225767E-2</v>
      </c>
      <c r="Q527" t="s">
        <v>165</v>
      </c>
      <c r="S527" t="s">
        <v>228</v>
      </c>
      <c r="T527" t="s">
        <v>171</v>
      </c>
      <c r="U527">
        <v>9.1960469324669156E-2</v>
      </c>
      <c r="V527" t="s">
        <v>165</v>
      </c>
    </row>
    <row r="528" spans="9:22" x14ac:dyDescent="0.45">
      <c r="I528" t="s">
        <v>185</v>
      </c>
      <c r="J528" t="s">
        <v>172</v>
      </c>
      <c r="K528">
        <v>3.0609707349504196E-2</v>
      </c>
      <c r="L528" t="s">
        <v>165</v>
      </c>
      <c r="N528" t="s">
        <v>209</v>
      </c>
      <c r="O528" t="s">
        <v>172</v>
      </c>
      <c r="P528">
        <v>8.4355191476618834E-3</v>
      </c>
      <c r="Q528" t="s">
        <v>165</v>
      </c>
      <c r="S528" t="s">
        <v>228</v>
      </c>
      <c r="T528" t="s">
        <v>172</v>
      </c>
      <c r="U528">
        <v>1.1205335454585208E-2</v>
      </c>
      <c r="V528" t="s">
        <v>165</v>
      </c>
    </row>
    <row r="529" spans="9:22" x14ac:dyDescent="0.45">
      <c r="I529" t="s">
        <v>185</v>
      </c>
      <c r="J529" t="s">
        <v>173</v>
      </c>
      <c r="K529">
        <v>0.28327419899599166</v>
      </c>
      <c r="L529" t="s">
        <v>165</v>
      </c>
      <c r="N529" t="s">
        <v>209</v>
      </c>
      <c r="O529" t="s">
        <v>173</v>
      </c>
      <c r="P529">
        <v>9.2742710798716058E-2</v>
      </c>
      <c r="Q529" t="s">
        <v>165</v>
      </c>
      <c r="S529" t="s">
        <v>228</v>
      </c>
      <c r="T529" t="s">
        <v>173</v>
      </c>
      <c r="U529">
        <v>7.8884357788278597E-2</v>
      </c>
      <c r="V529" t="s">
        <v>165</v>
      </c>
    </row>
    <row r="530" spans="9:22" x14ac:dyDescent="0.45">
      <c r="I530" t="s">
        <v>185</v>
      </c>
      <c r="J530" t="s">
        <v>259</v>
      </c>
      <c r="K530">
        <v>3.5658991465517459E-2</v>
      </c>
      <c r="L530" t="s">
        <v>165</v>
      </c>
      <c r="N530" t="s">
        <v>209</v>
      </c>
      <c r="O530" t="s">
        <v>259</v>
      </c>
      <c r="P530">
        <v>1.7644956879112685E-2</v>
      </c>
      <c r="Q530" t="s">
        <v>165</v>
      </c>
      <c r="S530" t="s">
        <v>228</v>
      </c>
      <c r="T530" t="s">
        <v>259</v>
      </c>
      <c r="U530">
        <v>1.3299814409955877E-2</v>
      </c>
      <c r="V530" t="s">
        <v>165</v>
      </c>
    </row>
    <row r="531" spans="9:22" x14ac:dyDescent="0.45">
      <c r="I531" t="s">
        <v>185</v>
      </c>
      <c r="J531" t="s">
        <v>260</v>
      </c>
      <c r="K531">
        <v>3.042101829090774E-2</v>
      </c>
      <c r="L531" t="s">
        <v>165</v>
      </c>
      <c r="N531" t="s">
        <v>209</v>
      </c>
      <c r="O531" t="s">
        <v>260</v>
      </c>
      <c r="P531">
        <v>1.6163768560639759E-2</v>
      </c>
      <c r="Q531" t="s">
        <v>165</v>
      </c>
      <c r="S531" t="s">
        <v>228</v>
      </c>
      <c r="T531" t="s">
        <v>260</v>
      </c>
      <c r="U531">
        <v>1.3883359974945397E-2</v>
      </c>
      <c r="V531" t="s">
        <v>165</v>
      </c>
    </row>
    <row r="532" spans="9:22" x14ac:dyDescent="0.45">
      <c r="I532" t="s">
        <v>185</v>
      </c>
      <c r="J532" t="s">
        <v>261</v>
      </c>
      <c r="K532">
        <v>3.2232518913608406E-2</v>
      </c>
      <c r="L532" t="s">
        <v>165</v>
      </c>
      <c r="N532" t="s">
        <v>209</v>
      </c>
      <c r="O532" t="s">
        <v>261</v>
      </c>
      <c r="P532">
        <v>6.6898722358194954E-2</v>
      </c>
      <c r="Q532" t="s">
        <v>165</v>
      </c>
      <c r="S532" t="s">
        <v>228</v>
      </c>
      <c r="T532" t="s">
        <v>261</v>
      </c>
      <c r="U532">
        <v>7.7093310083472574E-2</v>
      </c>
      <c r="V532" t="s">
        <v>165</v>
      </c>
    </row>
    <row r="533" spans="9:22" x14ac:dyDescent="0.45">
      <c r="I533" t="s">
        <v>185</v>
      </c>
      <c r="J533" t="s">
        <v>262</v>
      </c>
      <c r="K533">
        <v>9.262415190626809E-3</v>
      </c>
      <c r="L533" t="s">
        <v>165</v>
      </c>
      <c r="N533" t="s">
        <v>209</v>
      </c>
      <c r="O533" t="s">
        <v>262</v>
      </c>
      <c r="P533">
        <v>8.8570402722558464E-3</v>
      </c>
      <c r="Q533" t="s">
        <v>165</v>
      </c>
      <c r="S533" t="s">
        <v>228</v>
      </c>
      <c r="T533" t="s">
        <v>262</v>
      </c>
      <c r="U533">
        <v>1.5429848120570053E-2</v>
      </c>
      <c r="V533" t="s">
        <v>165</v>
      </c>
    </row>
    <row r="534" spans="9:22" x14ac:dyDescent="0.45">
      <c r="I534" t="s">
        <v>185</v>
      </c>
      <c r="J534" t="s">
        <v>263</v>
      </c>
      <c r="K534">
        <v>1.3135272074304342E-2</v>
      </c>
      <c r="L534" t="s">
        <v>165</v>
      </c>
      <c r="N534" t="s">
        <v>209</v>
      </c>
      <c r="O534" t="s">
        <v>263</v>
      </c>
      <c r="P534">
        <v>6.9584664994497085E-4</v>
      </c>
      <c r="Q534" t="s">
        <v>165</v>
      </c>
      <c r="S534" t="s">
        <v>228</v>
      </c>
      <c r="T534" t="s">
        <v>263</v>
      </c>
      <c r="U534">
        <v>2.0131904359579384E-3</v>
      </c>
      <c r="V534" t="s">
        <v>165</v>
      </c>
    </row>
    <row r="535" spans="9:22" x14ac:dyDescent="0.45">
      <c r="I535" t="s">
        <v>185</v>
      </c>
      <c r="J535" t="s">
        <v>264</v>
      </c>
      <c r="K535">
        <v>0.12761479937313308</v>
      </c>
      <c r="L535" t="s">
        <v>165</v>
      </c>
      <c r="N535" t="s">
        <v>209</v>
      </c>
      <c r="O535" t="s">
        <v>264</v>
      </c>
      <c r="P535">
        <v>1.5464592336665899E-2</v>
      </c>
      <c r="Q535" t="s">
        <v>165</v>
      </c>
      <c r="S535" t="s">
        <v>228</v>
      </c>
      <c r="T535" t="s">
        <v>264</v>
      </c>
      <c r="U535">
        <v>1.6200257727503706E-2</v>
      </c>
      <c r="V535" t="s">
        <v>165</v>
      </c>
    </row>
    <row r="536" spans="9:22" x14ac:dyDescent="0.45">
      <c r="I536" t="s">
        <v>185</v>
      </c>
      <c r="J536" t="s">
        <v>265</v>
      </c>
      <c r="K536">
        <v>1.5266024245763728E-2</v>
      </c>
      <c r="L536" t="s">
        <v>165</v>
      </c>
      <c r="N536" t="s">
        <v>209</v>
      </c>
      <c r="O536" t="s">
        <v>265</v>
      </c>
      <c r="P536">
        <v>4.1298061264479578E-3</v>
      </c>
      <c r="Q536" t="s">
        <v>165</v>
      </c>
      <c r="S536" t="s">
        <v>228</v>
      </c>
      <c r="T536" t="s">
        <v>265</v>
      </c>
      <c r="U536">
        <v>3.1076886808084386E-3</v>
      </c>
      <c r="V536" t="s">
        <v>165</v>
      </c>
    </row>
    <row r="537" spans="9:22" x14ac:dyDescent="0.45">
      <c r="I537" t="s">
        <v>185</v>
      </c>
      <c r="J537" t="s">
        <v>266</v>
      </c>
      <c r="K537">
        <v>1.2081210621077981E-2</v>
      </c>
      <c r="L537" t="s">
        <v>165</v>
      </c>
      <c r="N537" t="s">
        <v>209</v>
      </c>
      <c r="O537" t="s">
        <v>266</v>
      </c>
      <c r="P537">
        <v>3.2797972188804013E-3</v>
      </c>
      <c r="Q537" t="s">
        <v>165</v>
      </c>
      <c r="S537" t="s">
        <v>228</v>
      </c>
      <c r="T537" t="s">
        <v>266</v>
      </c>
      <c r="U537">
        <v>2.9802067510128843E-3</v>
      </c>
      <c r="V537" t="s">
        <v>165</v>
      </c>
    </row>
    <row r="538" spans="9:22" x14ac:dyDescent="0.45">
      <c r="I538" t="s">
        <v>185</v>
      </c>
      <c r="J538" t="s">
        <v>267</v>
      </c>
      <c r="K538">
        <v>9.7958270700194625E-3</v>
      </c>
      <c r="L538" t="s">
        <v>165</v>
      </c>
      <c r="N538" t="s">
        <v>209</v>
      </c>
      <c r="O538" t="s">
        <v>267</v>
      </c>
      <c r="P538">
        <v>1.2163382589994411E-2</v>
      </c>
      <c r="Q538" t="s">
        <v>165</v>
      </c>
      <c r="S538" t="s">
        <v>228</v>
      </c>
      <c r="T538" t="s">
        <v>267</v>
      </c>
      <c r="U538">
        <v>1.3429810075296868E-2</v>
      </c>
      <c r="V538" t="s">
        <v>165</v>
      </c>
    </row>
    <row r="539" spans="9:22" x14ac:dyDescent="0.45">
      <c r="I539" t="s">
        <v>185</v>
      </c>
      <c r="J539" t="s">
        <v>268</v>
      </c>
      <c r="K539">
        <v>1.9807306117227154E-3</v>
      </c>
      <c r="L539" t="s">
        <v>165</v>
      </c>
      <c r="N539" t="s">
        <v>209</v>
      </c>
      <c r="O539" t="s">
        <v>268</v>
      </c>
      <c r="P539">
        <v>7.9828086377561232E-3</v>
      </c>
      <c r="Q539" t="s">
        <v>165</v>
      </c>
      <c r="S539" t="s">
        <v>228</v>
      </c>
      <c r="T539" t="s">
        <v>268</v>
      </c>
      <c r="U539">
        <v>1.0143732808206418E-2</v>
      </c>
      <c r="V539" t="s">
        <v>165</v>
      </c>
    </row>
    <row r="540" spans="9:22" x14ac:dyDescent="0.45">
      <c r="I540" t="s">
        <v>185</v>
      </c>
      <c r="J540" t="s">
        <v>269</v>
      </c>
      <c r="K540">
        <v>4.6247836121714354E-3</v>
      </c>
      <c r="L540" t="s">
        <v>165</v>
      </c>
      <c r="N540" t="s">
        <v>209</v>
      </c>
      <c r="O540" t="s">
        <v>269</v>
      </c>
      <c r="P540">
        <v>1.0567128078268068E-3</v>
      </c>
      <c r="Q540" t="s">
        <v>165</v>
      </c>
      <c r="S540" t="s">
        <v>228</v>
      </c>
      <c r="T540" t="s">
        <v>269</v>
      </c>
      <c r="U540">
        <v>1.3746314426607768E-3</v>
      </c>
      <c r="V540" t="s">
        <v>165</v>
      </c>
    </row>
    <row r="541" spans="9:22" x14ac:dyDescent="0.45">
      <c r="I541" t="s">
        <v>185</v>
      </c>
      <c r="J541" t="s">
        <v>270</v>
      </c>
      <c r="K541">
        <v>5.4828387894162348E-2</v>
      </c>
      <c r="L541" t="s">
        <v>165</v>
      </c>
      <c r="N541" t="s">
        <v>209</v>
      </c>
      <c r="O541" t="s">
        <v>270</v>
      </c>
      <c r="P541">
        <v>9.2886452681199688E-3</v>
      </c>
      <c r="Q541" t="s">
        <v>165</v>
      </c>
      <c r="S541" t="s">
        <v>228</v>
      </c>
      <c r="T541" t="s">
        <v>270</v>
      </c>
      <c r="U541">
        <v>9.7049355946577289E-3</v>
      </c>
      <c r="V541" t="s">
        <v>165</v>
      </c>
    </row>
    <row r="542" spans="9:22" x14ac:dyDescent="0.45">
      <c r="I542" t="s">
        <v>185</v>
      </c>
      <c r="J542" t="s">
        <v>271</v>
      </c>
      <c r="K542">
        <v>6.1822852983411444E-3</v>
      </c>
      <c r="L542" t="s">
        <v>165</v>
      </c>
      <c r="N542" t="s">
        <v>209</v>
      </c>
      <c r="O542" t="s">
        <v>271</v>
      </c>
      <c r="P542">
        <v>1.6773064224529866E-3</v>
      </c>
      <c r="Q542" t="s">
        <v>165</v>
      </c>
      <c r="S542" t="s">
        <v>228</v>
      </c>
      <c r="T542" t="s">
        <v>271</v>
      </c>
      <c r="U542">
        <v>1.4605173871877115E-3</v>
      </c>
      <c r="V542" t="s">
        <v>165</v>
      </c>
    </row>
    <row r="543" spans="9:22" x14ac:dyDescent="0.45">
      <c r="I543" t="s">
        <v>185</v>
      </c>
      <c r="J543" t="s">
        <v>272</v>
      </c>
      <c r="K543">
        <v>3.7595096198303336E-3</v>
      </c>
      <c r="L543" t="s">
        <v>165</v>
      </c>
      <c r="N543" t="s">
        <v>209</v>
      </c>
      <c r="O543" t="s">
        <v>272</v>
      </c>
      <c r="P543">
        <v>1.4382548406747314E-3</v>
      </c>
      <c r="Q543" t="s">
        <v>165</v>
      </c>
      <c r="S543" t="s">
        <v>228</v>
      </c>
      <c r="T543" t="s">
        <v>272</v>
      </c>
      <c r="U543">
        <v>1.5200057402005196E-3</v>
      </c>
      <c r="V543" t="s">
        <v>165</v>
      </c>
    </row>
    <row r="544" spans="9:22" x14ac:dyDescent="0.45">
      <c r="I544" t="s">
        <v>185</v>
      </c>
      <c r="J544" t="s">
        <v>273</v>
      </c>
      <c r="K544">
        <v>2.9428647924801784E-4</v>
      </c>
      <c r="L544" t="s">
        <v>165</v>
      </c>
      <c r="N544" t="s">
        <v>209</v>
      </c>
      <c r="O544" t="s">
        <v>273</v>
      </c>
      <c r="P544">
        <v>6.2869855178317056E-3</v>
      </c>
      <c r="Q544" t="s">
        <v>165</v>
      </c>
      <c r="S544" t="s">
        <v>228</v>
      </c>
      <c r="T544" t="s">
        <v>273</v>
      </c>
      <c r="U544">
        <v>8.6349943051717368E-3</v>
      </c>
      <c r="V544" t="s">
        <v>165</v>
      </c>
    </row>
    <row r="545" spans="9:22" x14ac:dyDescent="0.45">
      <c r="I545" t="s">
        <v>185</v>
      </c>
      <c r="J545" t="s">
        <v>274</v>
      </c>
      <c r="K545">
        <v>0</v>
      </c>
      <c r="L545" t="s">
        <v>165</v>
      </c>
      <c r="N545" t="s">
        <v>209</v>
      </c>
      <c r="O545" t="s">
        <v>274</v>
      </c>
      <c r="P545">
        <v>4.7719109104926105E-2</v>
      </c>
      <c r="Q545" t="s">
        <v>165</v>
      </c>
      <c r="S545" t="s">
        <v>228</v>
      </c>
      <c r="T545" t="s">
        <v>274</v>
      </c>
      <c r="U545">
        <v>3.8322676357313817E-2</v>
      </c>
      <c r="V545" t="s">
        <v>165</v>
      </c>
    </row>
    <row r="546" spans="9:22" x14ac:dyDescent="0.45">
      <c r="I546" t="s">
        <v>185</v>
      </c>
      <c r="J546" t="s">
        <v>275</v>
      </c>
      <c r="K546">
        <v>2.8863018412178813E-3</v>
      </c>
      <c r="L546" t="s">
        <v>165</v>
      </c>
      <c r="N546" t="s">
        <v>209</v>
      </c>
      <c r="O546" t="s">
        <v>275</v>
      </c>
      <c r="P546">
        <v>5.1140390685157329E-3</v>
      </c>
      <c r="Q546" t="s">
        <v>165</v>
      </c>
      <c r="S546" t="s">
        <v>228</v>
      </c>
      <c r="T546" t="s">
        <v>275</v>
      </c>
      <c r="U546">
        <v>4.8246982336717925E-3</v>
      </c>
      <c r="V546" t="s">
        <v>165</v>
      </c>
    </row>
    <row r="547" spans="9:22" x14ac:dyDescent="0.45">
      <c r="I547" t="s">
        <v>185</v>
      </c>
      <c r="J547" t="s">
        <v>276</v>
      </c>
      <c r="K547">
        <v>4.2289513241198666E-2</v>
      </c>
      <c r="L547" t="s">
        <v>165</v>
      </c>
      <c r="N547" t="s">
        <v>209</v>
      </c>
      <c r="O547" t="s">
        <v>276</v>
      </c>
      <c r="P547">
        <v>3.201421644735003E-2</v>
      </c>
      <c r="Q547" t="s">
        <v>165</v>
      </c>
      <c r="S547" t="s">
        <v>228</v>
      </c>
      <c r="T547" t="s">
        <v>276</v>
      </c>
      <c r="U547">
        <v>3.4224294065868487E-2</v>
      </c>
      <c r="V547" t="s">
        <v>165</v>
      </c>
    </row>
    <row r="548" spans="9:22" x14ac:dyDescent="0.45">
      <c r="I548" t="s">
        <v>185</v>
      </c>
      <c r="J548" t="s">
        <v>277</v>
      </c>
      <c r="K548">
        <v>4.097194833088424E-3</v>
      </c>
      <c r="L548" t="s">
        <v>165</v>
      </c>
      <c r="N548" t="s">
        <v>209</v>
      </c>
      <c r="O548" t="s">
        <v>277</v>
      </c>
      <c r="P548">
        <v>4.3022114782288326E-3</v>
      </c>
      <c r="Q548" t="s">
        <v>165</v>
      </c>
      <c r="S548" t="s">
        <v>228</v>
      </c>
      <c r="T548" t="s">
        <v>277</v>
      </c>
      <c r="U548">
        <v>4.867095091463723E-3</v>
      </c>
      <c r="V548" t="s">
        <v>165</v>
      </c>
    </row>
    <row r="549" spans="9:22" x14ac:dyDescent="0.45">
      <c r="I549" t="s">
        <v>185</v>
      </c>
      <c r="J549" t="s">
        <v>278</v>
      </c>
      <c r="K549">
        <v>2.3280078059248282E-3</v>
      </c>
      <c r="L549" t="s">
        <v>165</v>
      </c>
      <c r="N549" t="s">
        <v>209</v>
      </c>
      <c r="O549" t="s">
        <v>278</v>
      </c>
      <c r="P549">
        <v>4.192405750983604E-3</v>
      </c>
      <c r="Q549" t="s">
        <v>165</v>
      </c>
      <c r="S549" t="s">
        <v>228</v>
      </c>
      <c r="T549" t="s">
        <v>278</v>
      </c>
      <c r="U549">
        <v>4.9430563211311134E-3</v>
      </c>
      <c r="V549" t="s">
        <v>165</v>
      </c>
    </row>
    <row r="550" spans="9:22" x14ac:dyDescent="0.45">
      <c r="I550" t="s">
        <v>185</v>
      </c>
      <c r="J550" t="s">
        <v>279</v>
      </c>
      <c r="K550">
        <v>0</v>
      </c>
      <c r="L550" t="s">
        <v>165</v>
      </c>
      <c r="N550" t="s">
        <v>209</v>
      </c>
      <c r="O550" t="s">
        <v>279</v>
      </c>
      <c r="P550">
        <v>2.941286302283062E-2</v>
      </c>
      <c r="Q550" t="s">
        <v>165</v>
      </c>
      <c r="S550" t="s">
        <v>228</v>
      </c>
      <c r="T550" t="s">
        <v>279</v>
      </c>
      <c r="U550">
        <v>3.0243619664894705E-2</v>
      </c>
      <c r="V550" t="s">
        <v>165</v>
      </c>
    </row>
    <row r="551" spans="9:22" x14ac:dyDescent="0.45">
      <c r="I551" t="s">
        <v>185</v>
      </c>
      <c r="J551" t="s">
        <v>280</v>
      </c>
      <c r="K551">
        <v>0</v>
      </c>
      <c r="L551" t="s">
        <v>165</v>
      </c>
      <c r="N551" t="s">
        <v>209</v>
      </c>
      <c r="O551" t="s">
        <v>280</v>
      </c>
      <c r="P551">
        <v>2.1135920815047834E-2</v>
      </c>
      <c r="Q551" t="s">
        <v>165</v>
      </c>
      <c r="S551" t="s">
        <v>228</v>
      </c>
      <c r="T551" t="s">
        <v>280</v>
      </c>
      <c r="U551">
        <v>1.8588470830981953E-2</v>
      </c>
      <c r="V551" t="s">
        <v>165</v>
      </c>
    </row>
    <row r="552" spans="9:22" x14ac:dyDescent="0.45">
      <c r="I552" t="s">
        <v>185</v>
      </c>
      <c r="J552" t="s">
        <v>281</v>
      </c>
      <c r="K552">
        <v>2.0904380674890096E-3</v>
      </c>
      <c r="L552" t="s">
        <v>165</v>
      </c>
      <c r="N552" t="s">
        <v>209</v>
      </c>
      <c r="O552" t="s">
        <v>281</v>
      </c>
      <c r="P552">
        <v>3.2047545577708692E-3</v>
      </c>
      <c r="Q552" t="s">
        <v>165</v>
      </c>
      <c r="S552" t="s">
        <v>228</v>
      </c>
      <c r="T552" t="s">
        <v>281</v>
      </c>
      <c r="U552">
        <v>2.0419430209578713E-3</v>
      </c>
      <c r="V552" t="s">
        <v>165</v>
      </c>
    </row>
    <row r="553" spans="9:22" x14ac:dyDescent="0.45">
      <c r="I553" t="s">
        <v>185</v>
      </c>
      <c r="J553" t="s">
        <v>282</v>
      </c>
      <c r="K553">
        <v>3.8591134967738215E-2</v>
      </c>
      <c r="L553" t="s">
        <v>165</v>
      </c>
      <c r="N553" t="s">
        <v>209</v>
      </c>
      <c r="O553" t="s">
        <v>282</v>
      </c>
      <c r="P553">
        <v>2.0020408450792133E-2</v>
      </c>
      <c r="Q553" t="s">
        <v>165</v>
      </c>
      <c r="S553" t="s">
        <v>228</v>
      </c>
      <c r="T553" t="s">
        <v>282</v>
      </c>
      <c r="U553">
        <v>1.4273475707744097E-2</v>
      </c>
      <c r="V553" t="s">
        <v>165</v>
      </c>
    </row>
    <row r="554" spans="9:22" x14ac:dyDescent="0.45">
      <c r="I554" t="s">
        <v>185</v>
      </c>
      <c r="J554" t="s">
        <v>283</v>
      </c>
      <c r="K554">
        <v>3.6989693379810853E-3</v>
      </c>
      <c r="L554" t="s">
        <v>165</v>
      </c>
      <c r="N554" t="s">
        <v>209</v>
      </c>
      <c r="O554" t="s">
        <v>283</v>
      </c>
      <c r="P554">
        <v>2.2722593379174657E-3</v>
      </c>
      <c r="Q554" t="s">
        <v>165</v>
      </c>
      <c r="S554" t="s">
        <v>228</v>
      </c>
      <c r="T554" t="s">
        <v>283</v>
      </c>
      <c r="U554">
        <v>1.9321825144400988E-3</v>
      </c>
      <c r="V554" t="s">
        <v>165</v>
      </c>
    </row>
    <row r="555" spans="9:22" x14ac:dyDescent="0.45">
      <c r="I555" t="s">
        <v>185</v>
      </c>
      <c r="J555" t="s">
        <v>284</v>
      </c>
      <c r="K555">
        <v>2.0342387113635512E-3</v>
      </c>
      <c r="L555" t="s">
        <v>165</v>
      </c>
      <c r="N555" t="s">
        <v>209</v>
      </c>
      <c r="O555" t="s">
        <v>284</v>
      </c>
      <c r="P555">
        <v>1.8736956685933073E-3</v>
      </c>
      <c r="Q555" t="s">
        <v>165</v>
      </c>
      <c r="S555" t="s">
        <v>228</v>
      </c>
      <c r="T555" t="s">
        <v>284</v>
      </c>
      <c r="U555">
        <v>1.9044389122023376E-3</v>
      </c>
      <c r="V555" t="s">
        <v>165</v>
      </c>
    </row>
    <row r="556" spans="9:22" x14ac:dyDescent="0.45">
      <c r="I556" t="s">
        <v>185</v>
      </c>
      <c r="J556" t="s">
        <v>285</v>
      </c>
      <c r="K556">
        <v>0</v>
      </c>
      <c r="L556" t="s">
        <v>165</v>
      </c>
      <c r="N556" t="s">
        <v>209</v>
      </c>
      <c r="O556" t="s">
        <v>285</v>
      </c>
      <c r="P556">
        <v>1.0402354934449697E-2</v>
      </c>
      <c r="Q556" t="s">
        <v>165</v>
      </c>
      <c r="S556" t="s">
        <v>228</v>
      </c>
      <c r="T556" t="s">
        <v>285</v>
      </c>
      <c r="U556">
        <v>1.2423389572191147E-2</v>
      </c>
      <c r="V556" t="s">
        <v>165</v>
      </c>
    </row>
    <row r="557" spans="9:22" x14ac:dyDescent="0.45">
      <c r="I557" t="s">
        <v>186</v>
      </c>
      <c r="J557" t="s">
        <v>164</v>
      </c>
      <c r="K557">
        <v>0</v>
      </c>
      <c r="L557" t="s">
        <v>165</v>
      </c>
      <c r="N557" t="s">
        <v>210</v>
      </c>
      <c r="O557" t="s">
        <v>164</v>
      </c>
      <c r="P557">
        <v>6.1411603445131691E-2</v>
      </c>
      <c r="Q557" t="s">
        <v>165</v>
      </c>
      <c r="S557" t="s">
        <v>229</v>
      </c>
      <c r="T557" t="s">
        <v>164</v>
      </c>
      <c r="U557">
        <v>8.4537206503642562E-2</v>
      </c>
      <c r="V557" t="s">
        <v>165</v>
      </c>
    </row>
    <row r="558" spans="9:22" x14ac:dyDescent="0.45">
      <c r="I558" t="s">
        <v>186</v>
      </c>
      <c r="J558" t="s">
        <v>166</v>
      </c>
      <c r="K558">
        <v>5.6909938891325611E-3</v>
      </c>
      <c r="L558" t="s">
        <v>165</v>
      </c>
      <c r="N558" t="s">
        <v>210</v>
      </c>
      <c r="O558" t="s">
        <v>166</v>
      </c>
      <c r="P558">
        <v>6.9256741920536548E-3</v>
      </c>
      <c r="Q558" t="s">
        <v>165</v>
      </c>
      <c r="S558" t="s">
        <v>229</v>
      </c>
      <c r="T558" t="s">
        <v>166</v>
      </c>
      <c r="U558">
        <v>1.1120944334641735E-2</v>
      </c>
      <c r="V558" t="s">
        <v>165</v>
      </c>
    </row>
    <row r="559" spans="9:22" x14ac:dyDescent="0.45">
      <c r="I559" t="s">
        <v>186</v>
      </c>
      <c r="J559" t="s">
        <v>167</v>
      </c>
      <c r="K559">
        <v>8.8145952044270559E-2</v>
      </c>
      <c r="L559" t="s">
        <v>165</v>
      </c>
      <c r="N559" t="s">
        <v>210</v>
      </c>
      <c r="O559" t="s">
        <v>167</v>
      </c>
      <c r="P559">
        <v>6.3964447821145215E-2</v>
      </c>
      <c r="Q559" t="s">
        <v>165</v>
      </c>
      <c r="S559" t="s">
        <v>229</v>
      </c>
      <c r="T559" t="s">
        <v>167</v>
      </c>
      <c r="U559">
        <v>8.4910319605679796E-2</v>
      </c>
      <c r="V559" t="s">
        <v>165</v>
      </c>
    </row>
    <row r="560" spans="9:22" x14ac:dyDescent="0.45">
      <c r="I560" t="s">
        <v>186</v>
      </c>
      <c r="J560" t="s">
        <v>253</v>
      </c>
      <c r="K560">
        <v>1.0059370250555541E-2</v>
      </c>
      <c r="L560" t="s">
        <v>165</v>
      </c>
      <c r="N560" t="s">
        <v>210</v>
      </c>
      <c r="O560" t="s">
        <v>253</v>
      </c>
      <c r="P560">
        <v>1.0445824427121921E-2</v>
      </c>
      <c r="Q560" t="s">
        <v>165</v>
      </c>
      <c r="S560" t="s">
        <v>229</v>
      </c>
      <c r="T560" t="s">
        <v>253</v>
      </c>
      <c r="U560">
        <v>1.20667606695693E-2</v>
      </c>
      <c r="V560" t="s">
        <v>165</v>
      </c>
    </row>
    <row r="561" spans="9:22" x14ac:dyDescent="0.45">
      <c r="I561" t="s">
        <v>186</v>
      </c>
      <c r="J561" t="s">
        <v>254</v>
      </c>
      <c r="K561">
        <v>6.4136203545228357E-3</v>
      </c>
      <c r="L561" t="s">
        <v>165</v>
      </c>
      <c r="N561" t="s">
        <v>210</v>
      </c>
      <c r="O561" t="s">
        <v>254</v>
      </c>
      <c r="P561">
        <v>1.0496996809974346E-2</v>
      </c>
      <c r="Q561" t="s">
        <v>165</v>
      </c>
      <c r="S561" t="s">
        <v>229</v>
      </c>
      <c r="T561" t="s">
        <v>254</v>
      </c>
      <c r="U561">
        <v>1.1724245906384252E-2</v>
      </c>
      <c r="V561" t="s">
        <v>165</v>
      </c>
    </row>
    <row r="562" spans="9:22" x14ac:dyDescent="0.45">
      <c r="I562" t="s">
        <v>186</v>
      </c>
      <c r="J562" t="s">
        <v>255</v>
      </c>
      <c r="K562">
        <v>7.6527489898651558E-4</v>
      </c>
      <c r="L562" t="s">
        <v>165</v>
      </c>
      <c r="N562" t="s">
        <v>210</v>
      </c>
      <c r="O562" t="s">
        <v>255</v>
      </c>
      <c r="P562">
        <v>5.6532112353743023E-2</v>
      </c>
      <c r="Q562" t="s">
        <v>165</v>
      </c>
      <c r="S562" t="s">
        <v>229</v>
      </c>
      <c r="T562" t="s">
        <v>255</v>
      </c>
      <c r="U562">
        <v>6.3728158613900562E-2</v>
      </c>
      <c r="V562" t="s">
        <v>165</v>
      </c>
    </row>
    <row r="563" spans="9:22" x14ac:dyDescent="0.45">
      <c r="I563" t="s">
        <v>186</v>
      </c>
      <c r="J563" t="s">
        <v>168</v>
      </c>
      <c r="K563">
        <v>2.4406466549210457E-3</v>
      </c>
      <c r="L563" t="s">
        <v>165</v>
      </c>
      <c r="N563" t="s">
        <v>210</v>
      </c>
      <c r="O563" t="s">
        <v>168</v>
      </c>
      <c r="P563">
        <v>5.4385704723681337E-2</v>
      </c>
      <c r="Q563" t="s">
        <v>165</v>
      </c>
      <c r="S563" t="s">
        <v>229</v>
      </c>
      <c r="T563" t="s">
        <v>168</v>
      </c>
      <c r="U563">
        <v>6.0407488626396111E-2</v>
      </c>
      <c r="V563" t="s">
        <v>165</v>
      </c>
    </row>
    <row r="564" spans="9:22" x14ac:dyDescent="0.45">
      <c r="I564" t="s">
        <v>186</v>
      </c>
      <c r="J564" t="s">
        <v>169</v>
      </c>
      <c r="K564">
        <v>5.1351639262750331E-3</v>
      </c>
      <c r="L564" t="s">
        <v>165</v>
      </c>
      <c r="N564" t="s">
        <v>210</v>
      </c>
      <c r="O564" t="s">
        <v>169</v>
      </c>
      <c r="P564">
        <v>6.5892976307413906E-3</v>
      </c>
      <c r="Q564" t="s">
        <v>165</v>
      </c>
      <c r="S564" t="s">
        <v>229</v>
      </c>
      <c r="T564" t="s">
        <v>169</v>
      </c>
      <c r="U564">
        <v>6.5919204635574834E-3</v>
      </c>
      <c r="V564" t="s">
        <v>165</v>
      </c>
    </row>
    <row r="565" spans="9:22" x14ac:dyDescent="0.45">
      <c r="I565" t="s">
        <v>186</v>
      </c>
      <c r="J565" t="s">
        <v>170</v>
      </c>
      <c r="K565">
        <v>5.8710402066933461E-2</v>
      </c>
      <c r="L565" t="s">
        <v>165</v>
      </c>
      <c r="N565" t="s">
        <v>210</v>
      </c>
      <c r="O565" t="s">
        <v>170</v>
      </c>
      <c r="P565">
        <v>5.1783696954464206E-2</v>
      </c>
      <c r="Q565" t="s">
        <v>165</v>
      </c>
      <c r="S565" t="s">
        <v>229</v>
      </c>
      <c r="T565" t="s">
        <v>170</v>
      </c>
      <c r="U565">
        <v>4.800153913918187E-2</v>
      </c>
      <c r="V565" t="s">
        <v>165</v>
      </c>
    </row>
    <row r="566" spans="9:22" x14ac:dyDescent="0.45">
      <c r="I566" t="s">
        <v>186</v>
      </c>
      <c r="J566" t="s">
        <v>256</v>
      </c>
      <c r="K566">
        <v>6.9893414925604972E-3</v>
      </c>
      <c r="L566" t="s">
        <v>165</v>
      </c>
      <c r="N566" t="s">
        <v>210</v>
      </c>
      <c r="O566" t="s">
        <v>256</v>
      </c>
      <c r="P566">
        <v>7.9080366061315896E-3</v>
      </c>
      <c r="Q566" t="s">
        <v>165</v>
      </c>
      <c r="S566" t="s">
        <v>229</v>
      </c>
      <c r="T566" t="s">
        <v>256</v>
      </c>
      <c r="U566">
        <v>7.6450554359067963E-3</v>
      </c>
      <c r="V566" t="s">
        <v>165</v>
      </c>
    </row>
    <row r="567" spans="9:22" x14ac:dyDescent="0.45">
      <c r="I567" t="s">
        <v>186</v>
      </c>
      <c r="J567" t="s">
        <v>257</v>
      </c>
      <c r="K567">
        <v>5.1507136780625674E-3</v>
      </c>
      <c r="L567" t="s">
        <v>165</v>
      </c>
      <c r="N567" t="s">
        <v>210</v>
      </c>
      <c r="O567" t="s">
        <v>257</v>
      </c>
      <c r="P567">
        <v>7.9112388382272161E-3</v>
      </c>
      <c r="Q567" t="s">
        <v>165</v>
      </c>
      <c r="S567" t="s">
        <v>229</v>
      </c>
      <c r="T567" t="s">
        <v>257</v>
      </c>
      <c r="U567">
        <v>7.7332270252668039E-3</v>
      </c>
      <c r="V567" t="s">
        <v>165</v>
      </c>
    </row>
    <row r="568" spans="9:22" x14ac:dyDescent="0.45">
      <c r="I568" t="s">
        <v>186</v>
      </c>
      <c r="J568" t="s">
        <v>258</v>
      </c>
      <c r="K568">
        <v>2.9183590790652172E-3</v>
      </c>
      <c r="L568" t="s">
        <v>165</v>
      </c>
      <c r="N568" t="s">
        <v>210</v>
      </c>
      <c r="O568" t="s">
        <v>258</v>
      </c>
      <c r="P568">
        <v>4.5352296023557184E-2</v>
      </c>
      <c r="Q568" t="s">
        <v>165</v>
      </c>
      <c r="S568" t="s">
        <v>229</v>
      </c>
      <c r="T568" t="s">
        <v>258</v>
      </c>
      <c r="U568">
        <v>4.8177824283395496E-2</v>
      </c>
      <c r="V568" t="s">
        <v>165</v>
      </c>
    </row>
    <row r="569" spans="9:22" x14ac:dyDescent="0.45">
      <c r="I569" t="s">
        <v>186</v>
      </c>
      <c r="J569" t="s">
        <v>171</v>
      </c>
      <c r="K569">
        <v>3.3651388135146218E-2</v>
      </c>
      <c r="L569" t="s">
        <v>165</v>
      </c>
      <c r="N569" t="s">
        <v>210</v>
      </c>
      <c r="O569" t="s">
        <v>171</v>
      </c>
      <c r="P569">
        <v>7.718808437628967E-2</v>
      </c>
      <c r="Q569" t="s">
        <v>165</v>
      </c>
      <c r="S569" t="s">
        <v>229</v>
      </c>
      <c r="T569" t="s">
        <v>171</v>
      </c>
      <c r="U569">
        <v>8.6690616636705839E-2</v>
      </c>
      <c r="V569" t="s">
        <v>165</v>
      </c>
    </row>
    <row r="570" spans="9:22" x14ac:dyDescent="0.45">
      <c r="I570" t="s">
        <v>186</v>
      </c>
      <c r="J570" t="s">
        <v>172</v>
      </c>
      <c r="K570">
        <v>3.1681602798077871E-2</v>
      </c>
      <c r="L570" t="s">
        <v>165</v>
      </c>
      <c r="N570" t="s">
        <v>210</v>
      </c>
      <c r="O570" t="s">
        <v>172</v>
      </c>
      <c r="P570">
        <v>9.8733279316208823E-3</v>
      </c>
      <c r="Q570" t="s">
        <v>165</v>
      </c>
      <c r="S570" t="s">
        <v>229</v>
      </c>
      <c r="T570" t="s">
        <v>172</v>
      </c>
      <c r="U570">
        <v>1.0933635322928612E-2</v>
      </c>
      <c r="V570" t="s">
        <v>165</v>
      </c>
    </row>
    <row r="571" spans="9:22" x14ac:dyDescent="0.45">
      <c r="I571" t="s">
        <v>186</v>
      </c>
      <c r="J571" t="s">
        <v>173</v>
      </c>
      <c r="K571">
        <v>0.28699641764988393</v>
      </c>
      <c r="L571" t="s">
        <v>165</v>
      </c>
      <c r="N571" t="s">
        <v>210</v>
      </c>
      <c r="O571" t="s">
        <v>173</v>
      </c>
      <c r="P571">
        <v>8.694475083903587E-2</v>
      </c>
      <c r="Q571" t="s">
        <v>165</v>
      </c>
      <c r="S571" t="s">
        <v>229</v>
      </c>
      <c r="T571" t="s">
        <v>173</v>
      </c>
      <c r="U571">
        <v>7.7427354303312865E-2</v>
      </c>
      <c r="V571" t="s">
        <v>165</v>
      </c>
    </row>
    <row r="572" spans="9:22" x14ac:dyDescent="0.45">
      <c r="I572" t="s">
        <v>186</v>
      </c>
      <c r="J572" t="s">
        <v>259</v>
      </c>
      <c r="K572">
        <v>3.545541221031915E-2</v>
      </c>
      <c r="L572" t="s">
        <v>165</v>
      </c>
      <c r="N572" t="s">
        <v>210</v>
      </c>
      <c r="O572" t="s">
        <v>259</v>
      </c>
      <c r="P572">
        <v>1.672731281167757E-2</v>
      </c>
      <c r="Q572" t="s">
        <v>165</v>
      </c>
      <c r="S572" t="s">
        <v>229</v>
      </c>
      <c r="T572" t="s">
        <v>259</v>
      </c>
      <c r="U572">
        <v>1.2855348218454304E-2</v>
      </c>
      <c r="V572" t="s">
        <v>165</v>
      </c>
    </row>
    <row r="573" spans="9:22" x14ac:dyDescent="0.45">
      <c r="I573" t="s">
        <v>186</v>
      </c>
      <c r="J573" t="s">
        <v>260</v>
      </c>
      <c r="K573">
        <v>2.964691410425507E-2</v>
      </c>
      <c r="L573" t="s">
        <v>165</v>
      </c>
      <c r="N573" t="s">
        <v>210</v>
      </c>
      <c r="O573" t="s">
        <v>260</v>
      </c>
      <c r="P573">
        <v>1.66536768274986E-2</v>
      </c>
      <c r="Q573" t="s">
        <v>165</v>
      </c>
      <c r="S573" t="s">
        <v>229</v>
      </c>
      <c r="T573" t="s">
        <v>260</v>
      </c>
      <c r="U573">
        <v>1.2896840794602737E-2</v>
      </c>
      <c r="V573" t="s">
        <v>165</v>
      </c>
    </row>
    <row r="574" spans="9:22" x14ac:dyDescent="0.45">
      <c r="I574" t="s">
        <v>186</v>
      </c>
      <c r="J574" t="s">
        <v>261</v>
      </c>
      <c r="K574">
        <v>3.0016826835753522E-2</v>
      </c>
      <c r="L574" t="s">
        <v>165</v>
      </c>
      <c r="N574" t="s">
        <v>210</v>
      </c>
      <c r="O574" t="s">
        <v>261</v>
      </c>
      <c r="P574">
        <v>8.0750524568274057E-2</v>
      </c>
      <c r="Q574" t="s">
        <v>165</v>
      </c>
      <c r="S574" t="s">
        <v>229</v>
      </c>
      <c r="T574" t="s">
        <v>261</v>
      </c>
      <c r="U574">
        <v>6.7279343880685752E-2</v>
      </c>
      <c r="V574" t="s">
        <v>165</v>
      </c>
    </row>
    <row r="575" spans="9:22" x14ac:dyDescent="0.45">
      <c r="I575" t="s">
        <v>186</v>
      </c>
      <c r="J575" t="s">
        <v>262</v>
      </c>
      <c r="K575">
        <v>1.1697322040217697E-2</v>
      </c>
      <c r="L575" t="s">
        <v>165</v>
      </c>
      <c r="N575" t="s">
        <v>210</v>
      </c>
      <c r="O575" t="s">
        <v>262</v>
      </c>
      <c r="P575">
        <v>1.9246617050298644E-2</v>
      </c>
      <c r="Q575" t="s">
        <v>165</v>
      </c>
      <c r="S575" t="s">
        <v>229</v>
      </c>
      <c r="T575" t="s">
        <v>262</v>
      </c>
      <c r="U575">
        <v>2.2234252910423444E-2</v>
      </c>
      <c r="V575" t="s">
        <v>165</v>
      </c>
    </row>
    <row r="576" spans="9:22" x14ac:dyDescent="0.45">
      <c r="I576" t="s">
        <v>186</v>
      </c>
      <c r="J576" t="s">
        <v>263</v>
      </c>
      <c r="K576">
        <v>1.4213372110160225E-2</v>
      </c>
      <c r="L576" t="s">
        <v>165</v>
      </c>
      <c r="N576" t="s">
        <v>210</v>
      </c>
      <c r="O576" t="s">
        <v>263</v>
      </c>
      <c r="P576">
        <v>2.2616572110798674E-3</v>
      </c>
      <c r="Q576" t="s">
        <v>165</v>
      </c>
      <c r="S576" t="s">
        <v>229</v>
      </c>
      <c r="T576" t="s">
        <v>263</v>
      </c>
      <c r="U576">
        <v>2.8064897035502559E-3</v>
      </c>
      <c r="V576" t="s">
        <v>165</v>
      </c>
    </row>
    <row r="577" spans="9:22" x14ac:dyDescent="0.45">
      <c r="I577" t="s">
        <v>186</v>
      </c>
      <c r="J577" t="s">
        <v>264</v>
      </c>
      <c r="K577">
        <v>0.13102116346573811</v>
      </c>
      <c r="L577" t="s">
        <v>165</v>
      </c>
      <c r="N577" t="s">
        <v>210</v>
      </c>
      <c r="O577" t="s">
        <v>264</v>
      </c>
      <c r="P577">
        <v>2.3158667509726283E-2</v>
      </c>
      <c r="Q577" t="s">
        <v>165</v>
      </c>
      <c r="S577" t="s">
        <v>229</v>
      </c>
      <c r="T577" t="s">
        <v>264</v>
      </c>
      <c r="U577">
        <v>2.301548874490186E-2</v>
      </c>
      <c r="V577" t="s">
        <v>165</v>
      </c>
    </row>
    <row r="578" spans="9:22" x14ac:dyDescent="0.45">
      <c r="I578" t="s">
        <v>186</v>
      </c>
      <c r="J578" t="s">
        <v>265</v>
      </c>
      <c r="K578">
        <v>1.5475915023134055E-2</v>
      </c>
      <c r="L578" t="s">
        <v>165</v>
      </c>
      <c r="N578" t="s">
        <v>210</v>
      </c>
      <c r="O578" t="s">
        <v>265</v>
      </c>
      <c r="P578">
        <v>5.6319219070982886E-3</v>
      </c>
      <c r="Q578" t="s">
        <v>165</v>
      </c>
      <c r="S578" t="s">
        <v>229</v>
      </c>
      <c r="T578" t="s">
        <v>265</v>
      </c>
      <c r="U578">
        <v>3.7596337804672994E-3</v>
      </c>
      <c r="V578" t="s">
        <v>165</v>
      </c>
    </row>
    <row r="579" spans="9:22" x14ac:dyDescent="0.45">
      <c r="I579" t="s">
        <v>186</v>
      </c>
      <c r="J579" t="s">
        <v>266</v>
      </c>
      <c r="K579">
        <v>1.2246338372257325E-2</v>
      </c>
      <c r="L579" t="s">
        <v>165</v>
      </c>
      <c r="N579" t="s">
        <v>210</v>
      </c>
      <c r="O579" t="s">
        <v>266</v>
      </c>
      <c r="P579">
        <v>5.3275888331980456E-3</v>
      </c>
      <c r="Q579" t="s">
        <v>165</v>
      </c>
      <c r="S579" t="s">
        <v>229</v>
      </c>
      <c r="T579" t="s">
        <v>266</v>
      </c>
      <c r="U579">
        <v>3.348058260999218E-3</v>
      </c>
      <c r="V579" t="s">
        <v>165</v>
      </c>
    </row>
    <row r="580" spans="9:22" x14ac:dyDescent="0.45">
      <c r="I580" t="s">
        <v>186</v>
      </c>
      <c r="J580" t="s">
        <v>267</v>
      </c>
      <c r="K580">
        <v>9.3730063881385453E-3</v>
      </c>
      <c r="L580" t="s">
        <v>165</v>
      </c>
      <c r="N580" t="s">
        <v>210</v>
      </c>
      <c r="O580" t="s">
        <v>267</v>
      </c>
      <c r="P580">
        <v>2.2802688203238029E-2</v>
      </c>
      <c r="Q580" t="s">
        <v>165</v>
      </c>
      <c r="S580" t="s">
        <v>229</v>
      </c>
      <c r="T580" t="s">
        <v>267</v>
      </c>
      <c r="U580">
        <v>1.517747617727408E-2</v>
      </c>
      <c r="V580" t="s">
        <v>165</v>
      </c>
    </row>
    <row r="581" spans="9:22" x14ac:dyDescent="0.45">
      <c r="I581" t="s">
        <v>186</v>
      </c>
      <c r="J581" t="s">
        <v>268</v>
      </c>
      <c r="K581">
        <v>2.72918079914316E-3</v>
      </c>
      <c r="L581" t="s">
        <v>165</v>
      </c>
      <c r="N581" t="s">
        <v>210</v>
      </c>
      <c r="O581" t="s">
        <v>268</v>
      </c>
      <c r="P581">
        <v>1.4651668359000503E-2</v>
      </c>
      <c r="Q581" t="s">
        <v>165</v>
      </c>
      <c r="S581" t="s">
        <v>229</v>
      </c>
      <c r="T581" t="s">
        <v>268</v>
      </c>
      <c r="U581">
        <v>1.5766624385125595E-2</v>
      </c>
      <c r="V581" t="s">
        <v>165</v>
      </c>
    </row>
    <row r="582" spans="9:22" x14ac:dyDescent="0.45">
      <c r="I582" t="s">
        <v>186</v>
      </c>
      <c r="J582" t="s">
        <v>269</v>
      </c>
      <c r="K582">
        <v>5.4762294178252804E-3</v>
      </c>
      <c r="L582" t="s">
        <v>165</v>
      </c>
      <c r="N582" t="s">
        <v>210</v>
      </c>
      <c r="O582" t="s">
        <v>269</v>
      </c>
      <c r="P582">
        <v>2.0159780471805566E-3</v>
      </c>
      <c r="Q582" t="s">
        <v>165</v>
      </c>
      <c r="S582" t="s">
        <v>229</v>
      </c>
      <c r="T582" t="s">
        <v>269</v>
      </c>
      <c r="U582">
        <v>1.8453126495245845E-3</v>
      </c>
      <c r="V582" t="s">
        <v>165</v>
      </c>
    </row>
    <row r="583" spans="9:22" x14ac:dyDescent="0.45">
      <c r="I583" t="s">
        <v>186</v>
      </c>
      <c r="J583" t="s">
        <v>270</v>
      </c>
      <c r="K583">
        <v>5.5656942301120345E-2</v>
      </c>
      <c r="L583" t="s">
        <v>165</v>
      </c>
      <c r="N583" t="s">
        <v>210</v>
      </c>
      <c r="O583" t="s">
        <v>270</v>
      </c>
      <c r="P583">
        <v>1.3742379234657312E-2</v>
      </c>
      <c r="Q583" t="s">
        <v>165</v>
      </c>
      <c r="S583" t="s">
        <v>229</v>
      </c>
      <c r="T583" t="s">
        <v>270</v>
      </c>
      <c r="U583">
        <v>1.268870357689E-2</v>
      </c>
      <c r="V583" t="s">
        <v>165</v>
      </c>
    </row>
    <row r="584" spans="9:22" x14ac:dyDescent="0.45">
      <c r="I584" t="s">
        <v>186</v>
      </c>
      <c r="J584" t="s">
        <v>271</v>
      </c>
      <c r="K584">
        <v>5.9840658957321857E-3</v>
      </c>
      <c r="L584" t="s">
        <v>165</v>
      </c>
      <c r="N584" t="s">
        <v>210</v>
      </c>
      <c r="O584" t="s">
        <v>271</v>
      </c>
      <c r="P584">
        <v>2.0063298420746971E-3</v>
      </c>
      <c r="Q584" t="s">
        <v>165</v>
      </c>
      <c r="S584" t="s">
        <v>229</v>
      </c>
      <c r="T584" t="s">
        <v>271</v>
      </c>
      <c r="U584">
        <v>1.9221157844196356E-3</v>
      </c>
      <c r="V584" t="s">
        <v>165</v>
      </c>
    </row>
    <row r="585" spans="9:22" x14ac:dyDescent="0.45">
      <c r="I585" t="s">
        <v>186</v>
      </c>
      <c r="J585" t="s">
        <v>272</v>
      </c>
      <c r="K585">
        <v>3.4741953587274412E-3</v>
      </c>
      <c r="L585" t="s">
        <v>165</v>
      </c>
      <c r="N585" t="s">
        <v>210</v>
      </c>
      <c r="O585" t="s">
        <v>272</v>
      </c>
      <c r="P585">
        <v>1.9384314094889634E-3</v>
      </c>
      <c r="Q585" t="s">
        <v>165</v>
      </c>
      <c r="S585" t="s">
        <v>229</v>
      </c>
      <c r="T585" t="s">
        <v>272</v>
      </c>
      <c r="U585">
        <v>1.9114152490492288E-3</v>
      </c>
      <c r="V585" t="s">
        <v>165</v>
      </c>
    </row>
    <row r="586" spans="9:22" x14ac:dyDescent="0.45">
      <c r="I586" t="s">
        <v>186</v>
      </c>
      <c r="J586" t="s">
        <v>273</v>
      </c>
      <c r="K586">
        <v>1.1370110782168234E-5</v>
      </c>
      <c r="L586" t="s">
        <v>165</v>
      </c>
      <c r="N586" t="s">
        <v>210</v>
      </c>
      <c r="O586" t="s">
        <v>273</v>
      </c>
      <c r="P586">
        <v>1.0941508643029237E-2</v>
      </c>
      <c r="Q586" t="s">
        <v>165</v>
      </c>
      <c r="S586" t="s">
        <v>229</v>
      </c>
      <c r="T586" t="s">
        <v>273</v>
      </c>
      <c r="U586">
        <v>9.5058037862506758E-3</v>
      </c>
      <c r="V586" t="s">
        <v>165</v>
      </c>
    </row>
    <row r="587" spans="9:22" x14ac:dyDescent="0.45">
      <c r="I587" t="s">
        <v>186</v>
      </c>
      <c r="J587" t="s">
        <v>274</v>
      </c>
      <c r="K587">
        <v>1.7846443033654259E-5</v>
      </c>
      <c r="L587" t="s">
        <v>165</v>
      </c>
      <c r="N587" t="s">
        <v>210</v>
      </c>
      <c r="O587" t="s">
        <v>274</v>
      </c>
      <c r="P587">
        <v>4.433423651885967E-2</v>
      </c>
      <c r="Q587" t="s">
        <v>165</v>
      </c>
      <c r="S587" t="s">
        <v>229</v>
      </c>
      <c r="T587" t="s">
        <v>274</v>
      </c>
      <c r="U587">
        <v>3.6967003909243235E-2</v>
      </c>
      <c r="V587" t="s">
        <v>165</v>
      </c>
    </row>
    <row r="588" spans="9:22" x14ac:dyDescent="0.45">
      <c r="I588" t="s">
        <v>186</v>
      </c>
      <c r="J588" t="s">
        <v>275</v>
      </c>
      <c r="K588">
        <v>2.9127677823481304E-3</v>
      </c>
      <c r="L588" t="s">
        <v>165</v>
      </c>
      <c r="N588" t="s">
        <v>210</v>
      </c>
      <c r="O588" t="s">
        <v>275</v>
      </c>
      <c r="P588">
        <v>5.0323803181950661E-3</v>
      </c>
      <c r="Q588" t="s">
        <v>165</v>
      </c>
      <c r="S588" t="s">
        <v>229</v>
      </c>
      <c r="T588" t="s">
        <v>275</v>
      </c>
      <c r="U588">
        <v>4.6323348165344053E-3</v>
      </c>
      <c r="V588" t="s">
        <v>165</v>
      </c>
    </row>
    <row r="589" spans="9:22" x14ac:dyDescent="0.45">
      <c r="I589" t="s">
        <v>186</v>
      </c>
      <c r="J589" t="s">
        <v>276</v>
      </c>
      <c r="K589">
        <v>3.9151541903201963E-2</v>
      </c>
      <c r="L589" t="s">
        <v>165</v>
      </c>
      <c r="N589" t="s">
        <v>210</v>
      </c>
      <c r="O589" t="s">
        <v>276</v>
      </c>
      <c r="P589">
        <v>3.5412427295297685E-2</v>
      </c>
      <c r="Q589" t="s">
        <v>165</v>
      </c>
      <c r="S589" t="s">
        <v>229</v>
      </c>
      <c r="T589" t="s">
        <v>276</v>
      </c>
      <c r="U589">
        <v>3.3427239953249373E-2</v>
      </c>
      <c r="V589" t="s">
        <v>165</v>
      </c>
    </row>
    <row r="590" spans="9:22" x14ac:dyDescent="0.45">
      <c r="I590" t="s">
        <v>186</v>
      </c>
      <c r="J590" t="s">
        <v>277</v>
      </c>
      <c r="K590">
        <v>3.4354564128067397E-3</v>
      </c>
      <c r="L590" t="s">
        <v>165</v>
      </c>
      <c r="N590" t="s">
        <v>210</v>
      </c>
      <c r="O590" t="s">
        <v>277</v>
      </c>
      <c r="P590">
        <v>5.8846657256452183E-3</v>
      </c>
      <c r="Q590" t="s">
        <v>165</v>
      </c>
      <c r="S590" t="s">
        <v>229</v>
      </c>
      <c r="T590" t="s">
        <v>277</v>
      </c>
      <c r="U590">
        <v>5.0339894544752881E-3</v>
      </c>
      <c r="V590" t="s">
        <v>165</v>
      </c>
    </row>
    <row r="591" spans="9:22" x14ac:dyDescent="0.45">
      <c r="I591" t="s">
        <v>186</v>
      </c>
      <c r="J591" t="s">
        <v>278</v>
      </c>
      <c r="K591">
        <v>1.1948288557142894E-3</v>
      </c>
      <c r="L591" t="s">
        <v>165</v>
      </c>
      <c r="N591" t="s">
        <v>210</v>
      </c>
      <c r="O591" t="s">
        <v>278</v>
      </c>
      <c r="P591">
        <v>6.2040123672762095E-3</v>
      </c>
      <c r="Q591" t="s">
        <v>165</v>
      </c>
      <c r="S591" t="s">
        <v>229</v>
      </c>
      <c r="T591" t="s">
        <v>278</v>
      </c>
      <c r="U591">
        <v>5.0074618890949612E-3</v>
      </c>
      <c r="V591" t="s">
        <v>165</v>
      </c>
    </row>
    <row r="592" spans="9:22" x14ac:dyDescent="0.45">
      <c r="I592" t="s">
        <v>186</v>
      </c>
      <c r="J592" t="s">
        <v>279</v>
      </c>
      <c r="K592">
        <v>0</v>
      </c>
      <c r="L592" t="s">
        <v>165</v>
      </c>
      <c r="N592" t="s">
        <v>210</v>
      </c>
      <c r="O592" t="s">
        <v>279</v>
      </c>
      <c r="P592">
        <v>4.0054293679736439E-2</v>
      </c>
      <c r="Q592" t="s">
        <v>165</v>
      </c>
      <c r="S592" t="s">
        <v>229</v>
      </c>
      <c r="T592" t="s">
        <v>279</v>
      </c>
      <c r="U592">
        <v>2.9947650833673643E-2</v>
      </c>
      <c r="V592" t="s">
        <v>165</v>
      </c>
    </row>
    <row r="593" spans="9:22" x14ac:dyDescent="0.45">
      <c r="I593" t="s">
        <v>186</v>
      </c>
      <c r="J593" t="s">
        <v>280</v>
      </c>
      <c r="K593">
        <v>0</v>
      </c>
      <c r="L593" t="s">
        <v>165</v>
      </c>
      <c r="N593" t="s">
        <v>210</v>
      </c>
      <c r="O593" t="s">
        <v>280</v>
      </c>
      <c r="P593">
        <v>2.455849790431841E-2</v>
      </c>
      <c r="Q593" t="s">
        <v>165</v>
      </c>
      <c r="S593" t="s">
        <v>229</v>
      </c>
      <c r="T593" t="s">
        <v>280</v>
      </c>
      <c r="U593">
        <v>2.0544318811690089E-2</v>
      </c>
      <c r="V593" t="s">
        <v>165</v>
      </c>
    </row>
    <row r="594" spans="9:22" x14ac:dyDescent="0.45">
      <c r="I594" t="s">
        <v>186</v>
      </c>
      <c r="J594" t="s">
        <v>281</v>
      </c>
      <c r="K594">
        <v>2.505706758567954E-3</v>
      </c>
      <c r="L594" t="s">
        <v>165</v>
      </c>
      <c r="N594" t="s">
        <v>210</v>
      </c>
      <c r="O594" t="s">
        <v>281</v>
      </c>
      <c r="P594">
        <v>3.0388280701180883E-3</v>
      </c>
      <c r="Q594" t="s">
        <v>165</v>
      </c>
      <c r="S594" t="s">
        <v>229</v>
      </c>
      <c r="T594" t="s">
        <v>281</v>
      </c>
      <c r="U594">
        <v>2.3552369402097895E-3</v>
      </c>
      <c r="V594" t="s">
        <v>165</v>
      </c>
    </row>
    <row r="595" spans="9:22" x14ac:dyDescent="0.45">
      <c r="I595" t="s">
        <v>186</v>
      </c>
      <c r="J595" t="s">
        <v>282</v>
      </c>
      <c r="K595">
        <v>3.991045396586336E-2</v>
      </c>
      <c r="L595" t="s">
        <v>165</v>
      </c>
      <c r="N595" t="s">
        <v>210</v>
      </c>
      <c r="O595" t="s">
        <v>282</v>
      </c>
      <c r="P595">
        <v>1.9584809463504192E-2</v>
      </c>
      <c r="Q595" t="s">
        <v>165</v>
      </c>
      <c r="S595" t="s">
        <v>229</v>
      </c>
      <c r="T595" t="s">
        <v>282</v>
      </c>
      <c r="U595">
        <v>1.5836162292000345E-2</v>
      </c>
      <c r="V595" t="s">
        <v>165</v>
      </c>
    </row>
    <row r="596" spans="9:22" x14ac:dyDescent="0.45">
      <c r="I596" t="s">
        <v>186</v>
      </c>
      <c r="J596" t="s">
        <v>283</v>
      </c>
      <c r="K596">
        <v>3.4935162059479149E-3</v>
      </c>
      <c r="L596" t="s">
        <v>165</v>
      </c>
      <c r="N596" t="s">
        <v>210</v>
      </c>
      <c r="O596" t="s">
        <v>283</v>
      </c>
      <c r="P596">
        <v>2.6876651093505391E-3</v>
      </c>
      <c r="Q596" t="s">
        <v>165</v>
      </c>
      <c r="S596" t="s">
        <v>229</v>
      </c>
      <c r="T596" t="s">
        <v>283</v>
      </c>
      <c r="U596">
        <v>2.2280992657963839E-3</v>
      </c>
      <c r="V596" t="s">
        <v>165</v>
      </c>
    </row>
    <row r="597" spans="9:22" x14ac:dyDescent="0.45">
      <c r="I597" t="s">
        <v>186</v>
      </c>
      <c r="J597" t="s">
        <v>284</v>
      </c>
      <c r="K597">
        <v>1.5038032081835976E-4</v>
      </c>
      <c r="L597" t="s">
        <v>165</v>
      </c>
      <c r="N597" t="s">
        <v>210</v>
      </c>
      <c r="O597" t="s">
        <v>284</v>
      </c>
      <c r="P597">
        <v>2.5693246818258961E-3</v>
      </c>
      <c r="Q597" t="s">
        <v>165</v>
      </c>
      <c r="S597" t="s">
        <v>229</v>
      </c>
      <c r="T597" t="s">
        <v>284</v>
      </c>
      <c r="U597">
        <v>2.2940391413586152E-3</v>
      </c>
      <c r="V597" t="s">
        <v>165</v>
      </c>
    </row>
    <row r="598" spans="9:22" x14ac:dyDescent="0.45">
      <c r="I598" t="s">
        <v>186</v>
      </c>
      <c r="J598" t="s">
        <v>285</v>
      </c>
      <c r="K598">
        <v>0</v>
      </c>
      <c r="L598" t="s">
        <v>165</v>
      </c>
      <c r="N598" t="s">
        <v>210</v>
      </c>
      <c r="O598" t="s">
        <v>285</v>
      </c>
      <c r="P598">
        <v>1.5068815435426007E-2</v>
      </c>
      <c r="Q598" t="s">
        <v>165</v>
      </c>
      <c r="S598" t="s">
        <v>229</v>
      </c>
      <c r="T598" t="s">
        <v>285</v>
      </c>
      <c r="U598">
        <v>1.301725791958146E-2</v>
      </c>
      <c r="V598" t="s">
        <v>165</v>
      </c>
    </row>
    <row r="599" spans="9:22" x14ac:dyDescent="0.45">
      <c r="I599" t="s">
        <v>187</v>
      </c>
      <c r="J599" t="s">
        <v>164</v>
      </c>
      <c r="K599">
        <v>0</v>
      </c>
      <c r="L599" t="s">
        <v>165</v>
      </c>
      <c r="N599" t="s">
        <v>211</v>
      </c>
      <c r="O599" t="s">
        <v>164</v>
      </c>
      <c r="P599">
        <v>7.6129805188991248E-2</v>
      </c>
      <c r="Q599" t="s">
        <v>165</v>
      </c>
      <c r="S599" t="s">
        <v>230</v>
      </c>
      <c r="T599" t="s">
        <v>164</v>
      </c>
      <c r="U599">
        <v>8.0333282983695853E-2</v>
      </c>
      <c r="V599" t="s">
        <v>165</v>
      </c>
    </row>
    <row r="600" spans="9:22" x14ac:dyDescent="0.45">
      <c r="I600" t="s">
        <v>187</v>
      </c>
      <c r="J600" t="s">
        <v>166</v>
      </c>
      <c r="K600">
        <v>5.4390947707566679E-3</v>
      </c>
      <c r="L600" t="s">
        <v>165</v>
      </c>
      <c r="N600" t="s">
        <v>211</v>
      </c>
      <c r="O600" t="s">
        <v>166</v>
      </c>
      <c r="P600">
        <v>9.3033798860237774E-3</v>
      </c>
      <c r="Q600" t="s">
        <v>165</v>
      </c>
      <c r="S600" t="s">
        <v>230</v>
      </c>
      <c r="T600" t="s">
        <v>166</v>
      </c>
      <c r="U600">
        <v>1.0474734447556311E-2</v>
      </c>
      <c r="V600" t="s">
        <v>165</v>
      </c>
    </row>
    <row r="601" spans="9:22" x14ac:dyDescent="0.45">
      <c r="I601" t="s">
        <v>187</v>
      </c>
      <c r="J601" t="s">
        <v>167</v>
      </c>
      <c r="K601">
        <v>8.6137764780726128E-2</v>
      </c>
      <c r="L601" t="s">
        <v>165</v>
      </c>
      <c r="N601" t="s">
        <v>211</v>
      </c>
      <c r="O601" t="s">
        <v>167</v>
      </c>
      <c r="P601">
        <v>7.0579838189250843E-2</v>
      </c>
      <c r="Q601" t="s">
        <v>165</v>
      </c>
      <c r="S601" t="s">
        <v>230</v>
      </c>
      <c r="T601" t="s">
        <v>167</v>
      </c>
      <c r="U601">
        <v>7.12548332589166E-2</v>
      </c>
      <c r="V601" t="s">
        <v>165</v>
      </c>
    </row>
    <row r="602" spans="9:22" x14ac:dyDescent="0.45">
      <c r="I602" t="s">
        <v>187</v>
      </c>
      <c r="J602" t="s">
        <v>253</v>
      </c>
      <c r="K602">
        <v>9.2783734536730569E-3</v>
      </c>
      <c r="L602" t="s">
        <v>165</v>
      </c>
      <c r="N602" t="s">
        <v>211</v>
      </c>
      <c r="O602" t="s">
        <v>253</v>
      </c>
      <c r="P602">
        <v>9.9308163002067348E-3</v>
      </c>
      <c r="Q602" t="s">
        <v>165</v>
      </c>
      <c r="S602" t="s">
        <v>230</v>
      </c>
      <c r="T602" t="s">
        <v>253</v>
      </c>
      <c r="U602">
        <v>9.8052289351975401E-3</v>
      </c>
      <c r="V602" t="s">
        <v>165</v>
      </c>
    </row>
    <row r="603" spans="9:22" x14ac:dyDescent="0.45">
      <c r="I603" t="s">
        <v>187</v>
      </c>
      <c r="J603" t="s">
        <v>254</v>
      </c>
      <c r="K603">
        <v>4.5357648719877271E-3</v>
      </c>
      <c r="L603" t="s">
        <v>165</v>
      </c>
      <c r="N603" t="s">
        <v>211</v>
      </c>
      <c r="O603" t="s">
        <v>254</v>
      </c>
      <c r="P603">
        <v>9.6566438402906109E-3</v>
      </c>
      <c r="Q603" t="s">
        <v>165</v>
      </c>
      <c r="S603" t="s">
        <v>230</v>
      </c>
      <c r="T603" t="s">
        <v>254</v>
      </c>
      <c r="U603">
        <v>9.6616244161184285E-3</v>
      </c>
      <c r="V603" t="s">
        <v>165</v>
      </c>
    </row>
    <row r="604" spans="9:22" x14ac:dyDescent="0.45">
      <c r="I604" t="s">
        <v>187</v>
      </c>
      <c r="J604" t="s">
        <v>255</v>
      </c>
      <c r="K604">
        <v>2.2667407950313133E-5</v>
      </c>
      <c r="L604" t="s">
        <v>165</v>
      </c>
      <c r="N604" t="s">
        <v>211</v>
      </c>
      <c r="O604" t="s">
        <v>255</v>
      </c>
      <c r="P604">
        <v>5.7801381025127913E-2</v>
      </c>
      <c r="Q604" t="s">
        <v>165</v>
      </c>
      <c r="S604" t="s">
        <v>230</v>
      </c>
      <c r="T604" t="s">
        <v>255</v>
      </c>
      <c r="U604">
        <v>5.5844429287414642E-2</v>
      </c>
      <c r="V604" t="s">
        <v>165</v>
      </c>
    </row>
    <row r="605" spans="9:22" x14ac:dyDescent="0.45">
      <c r="I605" t="s">
        <v>187</v>
      </c>
      <c r="J605" t="s">
        <v>168</v>
      </c>
      <c r="K605">
        <v>2.8537446140640614E-3</v>
      </c>
      <c r="L605" t="s">
        <v>165</v>
      </c>
      <c r="N605" t="s">
        <v>211</v>
      </c>
      <c r="O605" t="s">
        <v>168</v>
      </c>
      <c r="P605">
        <v>4.4174333834985792E-2</v>
      </c>
      <c r="Q605" t="s">
        <v>165</v>
      </c>
      <c r="S605" t="s">
        <v>230</v>
      </c>
      <c r="T605" t="s">
        <v>168</v>
      </c>
      <c r="U605">
        <v>4.7629828664208909E-2</v>
      </c>
      <c r="V605" t="s">
        <v>165</v>
      </c>
    </row>
    <row r="606" spans="9:22" x14ac:dyDescent="0.45">
      <c r="I606" t="s">
        <v>187</v>
      </c>
      <c r="J606" t="s">
        <v>169</v>
      </c>
      <c r="K606">
        <v>5.2057122019692793E-3</v>
      </c>
      <c r="L606" t="s">
        <v>165</v>
      </c>
      <c r="N606" t="s">
        <v>211</v>
      </c>
      <c r="O606" t="s">
        <v>169</v>
      </c>
      <c r="P606">
        <v>5.7008119656470069E-3</v>
      </c>
      <c r="Q606" t="s">
        <v>165</v>
      </c>
      <c r="S606" t="s">
        <v>230</v>
      </c>
      <c r="T606" t="s">
        <v>169</v>
      </c>
      <c r="U606">
        <v>5.587448504651398E-3</v>
      </c>
      <c r="V606" t="s">
        <v>165</v>
      </c>
    </row>
    <row r="607" spans="9:22" x14ac:dyDescent="0.45">
      <c r="I607" t="s">
        <v>187</v>
      </c>
      <c r="J607" t="s">
        <v>170</v>
      </c>
      <c r="K607">
        <v>5.7775055687479399E-2</v>
      </c>
      <c r="L607" t="s">
        <v>165</v>
      </c>
      <c r="N607" t="s">
        <v>211</v>
      </c>
      <c r="O607" t="s">
        <v>170</v>
      </c>
      <c r="P607">
        <v>4.465083205991284E-2</v>
      </c>
      <c r="Q607" t="s">
        <v>165</v>
      </c>
      <c r="S607" t="s">
        <v>230</v>
      </c>
      <c r="T607" t="s">
        <v>170</v>
      </c>
      <c r="U607">
        <v>4.0935638911014031E-2</v>
      </c>
      <c r="V607" t="s">
        <v>165</v>
      </c>
    </row>
    <row r="608" spans="9:22" x14ac:dyDescent="0.45">
      <c r="I608" t="s">
        <v>187</v>
      </c>
      <c r="J608" t="s">
        <v>256</v>
      </c>
      <c r="K608">
        <v>6.7334443709014032E-3</v>
      </c>
      <c r="L608" t="s">
        <v>165</v>
      </c>
      <c r="N608" t="s">
        <v>211</v>
      </c>
      <c r="O608" t="s">
        <v>256</v>
      </c>
      <c r="P608">
        <v>6.4455801350903905E-3</v>
      </c>
      <c r="Q608" t="s">
        <v>165</v>
      </c>
      <c r="S608" t="s">
        <v>230</v>
      </c>
      <c r="T608" t="s">
        <v>256</v>
      </c>
      <c r="U608">
        <v>6.2387949857376597E-3</v>
      </c>
      <c r="V608" t="s">
        <v>165</v>
      </c>
    </row>
    <row r="609" spans="9:22" x14ac:dyDescent="0.45">
      <c r="I609" t="s">
        <v>187</v>
      </c>
      <c r="J609" t="s">
        <v>257</v>
      </c>
      <c r="K609">
        <v>4.8490587930947364E-3</v>
      </c>
      <c r="L609" t="s">
        <v>165</v>
      </c>
      <c r="N609" t="s">
        <v>211</v>
      </c>
      <c r="O609" t="s">
        <v>257</v>
      </c>
      <c r="P609">
        <v>6.3173917291597772E-3</v>
      </c>
      <c r="Q609" t="s">
        <v>165</v>
      </c>
      <c r="S609" t="s">
        <v>230</v>
      </c>
      <c r="T609" t="s">
        <v>257</v>
      </c>
      <c r="U609">
        <v>6.3826369996672115E-3</v>
      </c>
      <c r="V609" t="s">
        <v>165</v>
      </c>
    </row>
    <row r="610" spans="9:22" x14ac:dyDescent="0.45">
      <c r="I610" t="s">
        <v>187</v>
      </c>
      <c r="J610" t="s">
        <v>258</v>
      </c>
      <c r="K610">
        <v>2.6165843551519477E-3</v>
      </c>
      <c r="L610" t="s">
        <v>165</v>
      </c>
      <c r="N610" t="s">
        <v>211</v>
      </c>
      <c r="O610" t="s">
        <v>258</v>
      </c>
      <c r="P610">
        <v>3.4632379577802297E-2</v>
      </c>
      <c r="Q610" t="s">
        <v>165</v>
      </c>
      <c r="S610" t="s">
        <v>230</v>
      </c>
      <c r="T610" t="s">
        <v>258</v>
      </c>
      <c r="U610">
        <v>3.7753073813517585E-2</v>
      </c>
      <c r="V610" t="s">
        <v>165</v>
      </c>
    </row>
    <row r="611" spans="9:22" x14ac:dyDescent="0.45">
      <c r="I611" t="s">
        <v>187</v>
      </c>
      <c r="J611" t="s">
        <v>171</v>
      </c>
      <c r="K611">
        <v>3.955573390161303E-2</v>
      </c>
      <c r="L611" t="s">
        <v>165</v>
      </c>
      <c r="N611" t="s">
        <v>211</v>
      </c>
      <c r="O611" t="s">
        <v>171</v>
      </c>
      <c r="P611">
        <v>8.4407695353067261E-2</v>
      </c>
      <c r="Q611" t="s">
        <v>165</v>
      </c>
      <c r="S611" t="s">
        <v>230</v>
      </c>
      <c r="T611" t="s">
        <v>171</v>
      </c>
      <c r="U611">
        <v>9.7954276662707784E-2</v>
      </c>
      <c r="V611" t="s">
        <v>165</v>
      </c>
    </row>
    <row r="612" spans="9:22" x14ac:dyDescent="0.45">
      <c r="I612" t="s">
        <v>187</v>
      </c>
      <c r="J612" t="s">
        <v>172</v>
      </c>
      <c r="K612">
        <v>3.29727642831791E-2</v>
      </c>
      <c r="L612" t="s">
        <v>165</v>
      </c>
      <c r="N612" t="s">
        <v>211</v>
      </c>
      <c r="O612" t="s">
        <v>172</v>
      </c>
      <c r="P612">
        <v>1.053822140129153E-2</v>
      </c>
      <c r="Q612" t="s">
        <v>165</v>
      </c>
      <c r="S612" t="s">
        <v>230</v>
      </c>
      <c r="T612" t="s">
        <v>172</v>
      </c>
      <c r="U612">
        <v>1.1146360983526752E-2</v>
      </c>
      <c r="V612" t="s">
        <v>165</v>
      </c>
    </row>
    <row r="613" spans="9:22" x14ac:dyDescent="0.45">
      <c r="I613" t="s">
        <v>187</v>
      </c>
      <c r="J613" t="s">
        <v>173</v>
      </c>
      <c r="K613">
        <v>0.28854188964037325</v>
      </c>
      <c r="L613" t="s">
        <v>165</v>
      </c>
      <c r="N613" t="s">
        <v>211</v>
      </c>
      <c r="O613" t="s">
        <v>173</v>
      </c>
      <c r="P613">
        <v>9.0040209905016821E-2</v>
      </c>
      <c r="Q613" t="s">
        <v>165</v>
      </c>
      <c r="S613" t="s">
        <v>230</v>
      </c>
      <c r="T613" t="s">
        <v>173</v>
      </c>
      <c r="U613">
        <v>7.8095915381093228E-2</v>
      </c>
      <c r="V613" t="s">
        <v>165</v>
      </c>
    </row>
    <row r="614" spans="9:22" x14ac:dyDescent="0.45">
      <c r="I614" t="s">
        <v>187</v>
      </c>
      <c r="J614" t="s">
        <v>259</v>
      </c>
      <c r="K614">
        <v>3.5803676711783972E-2</v>
      </c>
      <c r="L614" t="s">
        <v>165</v>
      </c>
      <c r="N614" t="s">
        <v>211</v>
      </c>
      <c r="O614" t="s">
        <v>259</v>
      </c>
      <c r="P614">
        <v>1.4807878779998363E-2</v>
      </c>
      <c r="Q614" t="s">
        <v>165</v>
      </c>
      <c r="S614" t="s">
        <v>230</v>
      </c>
      <c r="T614" t="s">
        <v>259</v>
      </c>
      <c r="U614">
        <v>1.2437332202032967E-2</v>
      </c>
      <c r="V614" t="s">
        <v>165</v>
      </c>
    </row>
    <row r="615" spans="9:22" x14ac:dyDescent="0.45">
      <c r="I615" t="s">
        <v>187</v>
      </c>
      <c r="J615" t="s">
        <v>260</v>
      </c>
      <c r="K615">
        <v>2.9434593838971953E-2</v>
      </c>
      <c r="L615" t="s">
        <v>165</v>
      </c>
      <c r="N615" t="s">
        <v>211</v>
      </c>
      <c r="O615" t="s">
        <v>260</v>
      </c>
      <c r="P615">
        <v>1.3937636654279615E-2</v>
      </c>
      <c r="Q615" t="s">
        <v>165</v>
      </c>
      <c r="S615" t="s">
        <v>230</v>
      </c>
      <c r="T615" t="s">
        <v>260</v>
      </c>
      <c r="U615">
        <v>1.2724105529401503E-2</v>
      </c>
      <c r="V615" t="s">
        <v>165</v>
      </c>
    </row>
    <row r="616" spans="9:22" x14ac:dyDescent="0.45">
      <c r="I616" t="s">
        <v>187</v>
      </c>
      <c r="J616" t="s">
        <v>261</v>
      </c>
      <c r="K616">
        <v>2.9062237392802056E-2</v>
      </c>
      <c r="L616" t="s">
        <v>165</v>
      </c>
      <c r="N616" t="s">
        <v>211</v>
      </c>
      <c r="O616" t="s">
        <v>261</v>
      </c>
      <c r="P616">
        <v>6.8446410922624282E-2</v>
      </c>
      <c r="Q616" t="s">
        <v>165</v>
      </c>
      <c r="S616" t="s">
        <v>230</v>
      </c>
      <c r="T616" t="s">
        <v>261</v>
      </c>
      <c r="U616">
        <v>7.7824328936434498E-2</v>
      </c>
      <c r="V616" t="s">
        <v>165</v>
      </c>
    </row>
    <row r="617" spans="9:22" x14ac:dyDescent="0.45">
      <c r="I617" t="s">
        <v>187</v>
      </c>
      <c r="J617" t="s">
        <v>262</v>
      </c>
      <c r="K617">
        <v>1.4251152771982835E-2</v>
      </c>
      <c r="L617" t="s">
        <v>165</v>
      </c>
      <c r="N617" t="s">
        <v>211</v>
      </c>
      <c r="O617" t="s">
        <v>262</v>
      </c>
      <c r="P617">
        <v>2.8172342296272253E-2</v>
      </c>
      <c r="Q617" t="s">
        <v>165</v>
      </c>
      <c r="S617" t="s">
        <v>230</v>
      </c>
      <c r="T617" t="s">
        <v>262</v>
      </c>
      <c r="U617">
        <v>2.841444494205916E-2</v>
      </c>
      <c r="V617" t="s">
        <v>165</v>
      </c>
    </row>
    <row r="618" spans="9:22" x14ac:dyDescent="0.45">
      <c r="I618" t="s">
        <v>187</v>
      </c>
      <c r="J618" t="s">
        <v>263</v>
      </c>
      <c r="K618">
        <v>1.5293779383116711E-2</v>
      </c>
      <c r="L618" t="s">
        <v>165</v>
      </c>
      <c r="N618" t="s">
        <v>211</v>
      </c>
      <c r="O618" t="s">
        <v>263</v>
      </c>
      <c r="P618">
        <v>3.6083120510279573E-3</v>
      </c>
      <c r="Q618" t="s">
        <v>165</v>
      </c>
      <c r="S618" t="s">
        <v>230</v>
      </c>
      <c r="T618" t="s">
        <v>263</v>
      </c>
      <c r="U618">
        <v>3.209228488718306E-3</v>
      </c>
      <c r="V618" t="s">
        <v>165</v>
      </c>
    </row>
    <row r="619" spans="9:22" x14ac:dyDescent="0.45">
      <c r="I619" t="s">
        <v>187</v>
      </c>
      <c r="J619" t="s">
        <v>264</v>
      </c>
      <c r="K619">
        <v>0.13316691433763084</v>
      </c>
      <c r="L619" t="s">
        <v>165</v>
      </c>
      <c r="N619" t="s">
        <v>211</v>
      </c>
      <c r="O619" t="s">
        <v>264</v>
      </c>
      <c r="P619">
        <v>3.1999216356309874E-2</v>
      </c>
      <c r="Q619" t="s">
        <v>165</v>
      </c>
      <c r="S619" t="s">
        <v>230</v>
      </c>
      <c r="T619" t="s">
        <v>264</v>
      </c>
      <c r="U619">
        <v>2.3306289737980438E-2</v>
      </c>
      <c r="V619" t="s">
        <v>165</v>
      </c>
    </row>
    <row r="620" spans="9:22" x14ac:dyDescent="0.45">
      <c r="I620" t="s">
        <v>187</v>
      </c>
      <c r="J620" t="s">
        <v>265</v>
      </c>
      <c r="K620">
        <v>1.6109152531628035E-2</v>
      </c>
      <c r="L620" t="s">
        <v>165</v>
      </c>
      <c r="N620" t="s">
        <v>211</v>
      </c>
      <c r="O620" t="s">
        <v>265</v>
      </c>
      <c r="P620">
        <v>5.336807010897616E-3</v>
      </c>
      <c r="Q620" t="s">
        <v>165</v>
      </c>
      <c r="S620" t="s">
        <v>230</v>
      </c>
      <c r="T620" t="s">
        <v>265</v>
      </c>
      <c r="U620">
        <v>3.7001792135402845E-3</v>
      </c>
      <c r="V620" t="s">
        <v>165</v>
      </c>
    </row>
    <row r="621" spans="9:22" x14ac:dyDescent="0.45">
      <c r="I621" t="s">
        <v>187</v>
      </c>
      <c r="J621" t="s">
        <v>266</v>
      </c>
      <c r="K621">
        <v>1.2937866631837389E-2</v>
      </c>
      <c r="L621" t="s">
        <v>165</v>
      </c>
      <c r="N621" t="s">
        <v>211</v>
      </c>
      <c r="O621" t="s">
        <v>266</v>
      </c>
      <c r="P621">
        <v>4.8006982059632395E-3</v>
      </c>
      <c r="Q621" t="s">
        <v>165</v>
      </c>
      <c r="S621" t="s">
        <v>230</v>
      </c>
      <c r="T621" t="s">
        <v>266</v>
      </c>
      <c r="U621">
        <v>3.7257193515325923E-3</v>
      </c>
      <c r="V621" t="s">
        <v>165</v>
      </c>
    </row>
    <row r="622" spans="9:22" x14ac:dyDescent="0.45">
      <c r="I622" t="s">
        <v>187</v>
      </c>
      <c r="J622" t="s">
        <v>267</v>
      </c>
      <c r="K622">
        <v>9.4926857176851395E-3</v>
      </c>
      <c r="L622" t="s">
        <v>165</v>
      </c>
      <c r="N622" t="s">
        <v>211</v>
      </c>
      <c r="O622" t="s">
        <v>267</v>
      </c>
      <c r="P622">
        <v>2.2537898673229001E-2</v>
      </c>
      <c r="Q622" t="s">
        <v>165</v>
      </c>
      <c r="S622" t="s">
        <v>230</v>
      </c>
      <c r="T622" t="s">
        <v>267</v>
      </c>
      <c r="U622">
        <v>2.2377377278326463E-2</v>
      </c>
      <c r="V622" t="s">
        <v>165</v>
      </c>
    </row>
    <row r="623" spans="9:22" x14ac:dyDescent="0.45">
      <c r="I623" t="s">
        <v>187</v>
      </c>
      <c r="J623" t="s">
        <v>268</v>
      </c>
      <c r="K623">
        <v>2.4107272690166957E-3</v>
      </c>
      <c r="L623" t="s">
        <v>165</v>
      </c>
      <c r="N623" t="s">
        <v>211</v>
      </c>
      <c r="O623" t="s">
        <v>268</v>
      </c>
      <c r="P623">
        <v>2.1128330897960249E-2</v>
      </c>
      <c r="Q623" t="s">
        <v>165</v>
      </c>
      <c r="S623" t="s">
        <v>230</v>
      </c>
      <c r="T623" t="s">
        <v>268</v>
      </c>
      <c r="U623">
        <v>2.6477519613597109E-2</v>
      </c>
      <c r="V623" t="s">
        <v>165</v>
      </c>
    </row>
    <row r="624" spans="9:22" x14ac:dyDescent="0.45">
      <c r="I624" t="s">
        <v>187</v>
      </c>
      <c r="J624" t="s">
        <v>269</v>
      </c>
      <c r="K624">
        <v>4.9662014992492226E-3</v>
      </c>
      <c r="L624" t="s">
        <v>165</v>
      </c>
      <c r="N624" t="s">
        <v>211</v>
      </c>
      <c r="O624" t="s">
        <v>269</v>
      </c>
      <c r="P624">
        <v>2.5396669598987359E-3</v>
      </c>
      <c r="Q624" t="s">
        <v>165</v>
      </c>
      <c r="S624" t="s">
        <v>230</v>
      </c>
      <c r="T624" t="s">
        <v>269</v>
      </c>
      <c r="U624">
        <v>3.136617837533765E-3</v>
      </c>
      <c r="V624" t="s">
        <v>165</v>
      </c>
    </row>
    <row r="625" spans="9:22" x14ac:dyDescent="0.45">
      <c r="I625" t="s">
        <v>187</v>
      </c>
      <c r="J625" t="s">
        <v>270</v>
      </c>
      <c r="K625">
        <v>5.3461608847160606E-2</v>
      </c>
      <c r="L625" t="s">
        <v>165</v>
      </c>
      <c r="N625" t="s">
        <v>211</v>
      </c>
      <c r="O625" t="s">
        <v>270</v>
      </c>
      <c r="P625">
        <v>2.0285889988139495E-2</v>
      </c>
      <c r="Q625" t="s">
        <v>165</v>
      </c>
      <c r="S625" t="s">
        <v>230</v>
      </c>
      <c r="T625" t="s">
        <v>270</v>
      </c>
      <c r="U625">
        <v>2.0479351047688922E-2</v>
      </c>
      <c r="V625" t="s">
        <v>165</v>
      </c>
    </row>
    <row r="626" spans="9:22" x14ac:dyDescent="0.45">
      <c r="I626" t="s">
        <v>187</v>
      </c>
      <c r="J626" t="s">
        <v>271</v>
      </c>
      <c r="K626">
        <v>5.5827804801633898E-3</v>
      </c>
      <c r="L626" t="s">
        <v>165</v>
      </c>
      <c r="N626" t="s">
        <v>211</v>
      </c>
      <c r="O626" t="s">
        <v>271</v>
      </c>
      <c r="P626">
        <v>2.8552716734880569E-3</v>
      </c>
      <c r="Q626" t="s">
        <v>165</v>
      </c>
      <c r="S626" t="s">
        <v>230</v>
      </c>
      <c r="T626" t="s">
        <v>271</v>
      </c>
      <c r="U626">
        <v>2.9130243548945839E-3</v>
      </c>
      <c r="V626" t="s">
        <v>165</v>
      </c>
    </row>
    <row r="627" spans="9:22" x14ac:dyDescent="0.45">
      <c r="I627" t="s">
        <v>187</v>
      </c>
      <c r="J627" t="s">
        <v>272</v>
      </c>
      <c r="K627">
        <v>3.2158305997694969E-3</v>
      </c>
      <c r="L627" t="s">
        <v>165</v>
      </c>
      <c r="N627" t="s">
        <v>211</v>
      </c>
      <c r="O627" t="s">
        <v>272</v>
      </c>
      <c r="P627">
        <v>2.7311480997792054E-3</v>
      </c>
      <c r="Q627" t="s">
        <v>165</v>
      </c>
      <c r="S627" t="s">
        <v>230</v>
      </c>
      <c r="T627" t="s">
        <v>272</v>
      </c>
      <c r="U627">
        <v>2.9714008812617805E-3</v>
      </c>
      <c r="V627" t="s">
        <v>165</v>
      </c>
    </row>
    <row r="628" spans="9:22" x14ac:dyDescent="0.45">
      <c r="I628" t="s">
        <v>187</v>
      </c>
      <c r="J628" t="s">
        <v>273</v>
      </c>
      <c r="K628">
        <v>0</v>
      </c>
      <c r="L628" t="s">
        <v>165</v>
      </c>
      <c r="N628" t="s">
        <v>211</v>
      </c>
      <c r="O628" t="s">
        <v>273</v>
      </c>
      <c r="P628">
        <v>1.6037216800251022E-2</v>
      </c>
      <c r="Q628" t="s">
        <v>165</v>
      </c>
      <c r="S628" t="s">
        <v>230</v>
      </c>
      <c r="T628" t="s">
        <v>273</v>
      </c>
      <c r="U628">
        <v>1.922320399975003E-2</v>
      </c>
      <c r="V628" t="s">
        <v>165</v>
      </c>
    </row>
    <row r="629" spans="9:22" x14ac:dyDescent="0.45">
      <c r="I629" t="s">
        <v>187</v>
      </c>
      <c r="J629" t="s">
        <v>274</v>
      </c>
      <c r="K629">
        <v>1.178886307320487E-4</v>
      </c>
      <c r="L629" t="s">
        <v>165</v>
      </c>
      <c r="N629" t="s">
        <v>211</v>
      </c>
      <c r="O629" t="s">
        <v>274</v>
      </c>
      <c r="P629">
        <v>3.9167714776698372E-2</v>
      </c>
      <c r="Q629" t="s">
        <v>165</v>
      </c>
      <c r="S629" t="s">
        <v>230</v>
      </c>
      <c r="T629" t="s">
        <v>274</v>
      </c>
      <c r="U629">
        <v>3.5007162483848747E-2</v>
      </c>
      <c r="V629" t="s">
        <v>165</v>
      </c>
    </row>
    <row r="630" spans="9:22" x14ac:dyDescent="0.45">
      <c r="I630" t="s">
        <v>187</v>
      </c>
      <c r="J630" t="s">
        <v>275</v>
      </c>
      <c r="K630">
        <v>2.6910771620401084E-3</v>
      </c>
      <c r="L630" t="s">
        <v>165</v>
      </c>
      <c r="N630" t="s">
        <v>211</v>
      </c>
      <c r="O630" t="s">
        <v>275</v>
      </c>
      <c r="P630">
        <v>4.6842873500661623E-3</v>
      </c>
      <c r="Q630" t="s">
        <v>165</v>
      </c>
      <c r="S630" t="s">
        <v>230</v>
      </c>
      <c r="T630" t="s">
        <v>275</v>
      </c>
      <c r="U630">
        <v>4.1173466664330572E-3</v>
      </c>
      <c r="V630" t="s">
        <v>165</v>
      </c>
    </row>
    <row r="631" spans="9:22" x14ac:dyDescent="0.45">
      <c r="I631" t="s">
        <v>187</v>
      </c>
      <c r="J631" t="s">
        <v>276</v>
      </c>
      <c r="K631">
        <v>3.6602877025202478E-2</v>
      </c>
      <c r="L631" t="s">
        <v>165</v>
      </c>
      <c r="N631" t="s">
        <v>211</v>
      </c>
      <c r="O631" t="s">
        <v>276</v>
      </c>
      <c r="P631">
        <v>3.4706496346913918E-2</v>
      </c>
      <c r="Q631" t="s">
        <v>165</v>
      </c>
      <c r="S631" t="s">
        <v>230</v>
      </c>
      <c r="T631" t="s">
        <v>276</v>
      </c>
      <c r="U631">
        <v>2.8011213010035139E-2</v>
      </c>
      <c r="V631" t="s">
        <v>165</v>
      </c>
    </row>
    <row r="632" spans="9:22" x14ac:dyDescent="0.45">
      <c r="I632" t="s">
        <v>187</v>
      </c>
      <c r="J632" t="s">
        <v>277</v>
      </c>
      <c r="K632">
        <v>3.0626678713273174E-3</v>
      </c>
      <c r="L632" t="s">
        <v>165</v>
      </c>
      <c r="N632" t="s">
        <v>211</v>
      </c>
      <c r="O632" t="s">
        <v>277</v>
      </c>
      <c r="P632">
        <v>5.1154593367128123E-3</v>
      </c>
      <c r="Q632" t="s">
        <v>165</v>
      </c>
      <c r="S632" t="s">
        <v>230</v>
      </c>
      <c r="T632" t="s">
        <v>277</v>
      </c>
      <c r="U632">
        <v>4.2323879983942204E-3</v>
      </c>
      <c r="V632" t="s">
        <v>165</v>
      </c>
    </row>
    <row r="633" spans="9:22" x14ac:dyDescent="0.45">
      <c r="I633" t="s">
        <v>187</v>
      </c>
      <c r="J633" t="s">
        <v>278</v>
      </c>
      <c r="K633">
        <v>4.3159312583626992E-4</v>
      </c>
      <c r="L633" t="s">
        <v>165</v>
      </c>
      <c r="N633" t="s">
        <v>211</v>
      </c>
      <c r="O633" t="s">
        <v>278</v>
      </c>
      <c r="P633">
        <v>5.0959888097577878E-3</v>
      </c>
      <c r="Q633" t="s">
        <v>165</v>
      </c>
      <c r="S633" t="s">
        <v>230</v>
      </c>
      <c r="T633" t="s">
        <v>278</v>
      </c>
      <c r="U633">
        <v>4.2902237698705841E-3</v>
      </c>
      <c r="V633" t="s">
        <v>165</v>
      </c>
    </row>
    <row r="634" spans="9:22" x14ac:dyDescent="0.45">
      <c r="I634" t="s">
        <v>187</v>
      </c>
      <c r="J634" t="s">
        <v>279</v>
      </c>
      <c r="K634">
        <v>0</v>
      </c>
      <c r="L634" t="s">
        <v>165</v>
      </c>
      <c r="N634" t="s">
        <v>211</v>
      </c>
      <c r="O634" t="s">
        <v>279</v>
      </c>
      <c r="P634">
        <v>3.032182519812867E-2</v>
      </c>
      <c r="Q634" t="s">
        <v>165</v>
      </c>
      <c r="S634" t="s">
        <v>230</v>
      </c>
      <c r="T634" t="s">
        <v>279</v>
      </c>
      <c r="U634">
        <v>2.7137766737893011E-2</v>
      </c>
      <c r="V634" t="s">
        <v>165</v>
      </c>
    </row>
    <row r="635" spans="9:22" x14ac:dyDescent="0.45">
      <c r="I635" t="s">
        <v>187</v>
      </c>
      <c r="J635" t="s">
        <v>280</v>
      </c>
      <c r="K635">
        <v>0</v>
      </c>
      <c r="L635" t="s">
        <v>165</v>
      </c>
      <c r="N635" t="s">
        <v>211</v>
      </c>
      <c r="O635" t="s">
        <v>280</v>
      </c>
      <c r="P635">
        <v>2.0199079675761122E-2</v>
      </c>
      <c r="Q635" t="s">
        <v>165</v>
      </c>
      <c r="S635" t="s">
        <v>230</v>
      </c>
      <c r="T635" t="s">
        <v>280</v>
      </c>
      <c r="U635">
        <v>2.2153831566297029E-2</v>
      </c>
      <c r="V635" t="s">
        <v>165</v>
      </c>
    </row>
    <row r="636" spans="9:22" x14ac:dyDescent="0.45">
      <c r="I636" t="s">
        <v>187</v>
      </c>
      <c r="J636" t="s">
        <v>281</v>
      </c>
      <c r="K636">
        <v>2.4891709811901636E-3</v>
      </c>
      <c r="L636" t="s">
        <v>165</v>
      </c>
      <c r="N636" t="s">
        <v>211</v>
      </c>
      <c r="O636" t="s">
        <v>281</v>
      </c>
      <c r="P636">
        <v>2.5405907897689717E-3</v>
      </c>
      <c r="Q636" t="s">
        <v>165</v>
      </c>
      <c r="S636" t="s">
        <v>230</v>
      </c>
      <c r="T636" t="s">
        <v>281</v>
      </c>
      <c r="U636">
        <v>2.6665702748901133E-3</v>
      </c>
      <c r="V636" t="s">
        <v>165</v>
      </c>
    </row>
    <row r="637" spans="9:22" x14ac:dyDescent="0.45">
      <c r="I637" t="s">
        <v>187</v>
      </c>
      <c r="J637" t="s">
        <v>282</v>
      </c>
      <c r="K637">
        <v>3.9590721264774136E-2</v>
      </c>
      <c r="L637" t="s">
        <v>165</v>
      </c>
      <c r="N637" t="s">
        <v>211</v>
      </c>
      <c r="O637" t="s">
        <v>282</v>
      </c>
      <c r="P637">
        <v>1.874745127485087E-2</v>
      </c>
      <c r="Q637" t="s">
        <v>165</v>
      </c>
      <c r="S637" t="s">
        <v>230</v>
      </c>
      <c r="T637" t="s">
        <v>282</v>
      </c>
      <c r="U637">
        <v>1.864872719567277E-2</v>
      </c>
      <c r="V637" t="s">
        <v>165</v>
      </c>
    </row>
    <row r="638" spans="9:22" x14ac:dyDescent="0.45">
      <c r="I638" t="s">
        <v>187</v>
      </c>
      <c r="J638" t="s">
        <v>283</v>
      </c>
      <c r="K638">
        <v>3.3071427931777968E-3</v>
      </c>
      <c r="L638" t="s">
        <v>165</v>
      </c>
      <c r="N638" t="s">
        <v>211</v>
      </c>
      <c r="O638" t="s">
        <v>283</v>
      </c>
      <c r="P638">
        <v>2.5830574926712009E-3</v>
      </c>
      <c r="Q638" t="s">
        <v>165</v>
      </c>
      <c r="S638" t="s">
        <v>230</v>
      </c>
      <c r="T638" t="s">
        <v>283</v>
      </c>
      <c r="U638">
        <v>2.7124925752316496E-3</v>
      </c>
      <c r="V638" t="s">
        <v>165</v>
      </c>
    </row>
    <row r="639" spans="9:22" x14ac:dyDescent="0.45">
      <c r="I639" t="s">
        <v>187</v>
      </c>
      <c r="J639" t="s">
        <v>284</v>
      </c>
      <c r="K639">
        <v>0</v>
      </c>
      <c r="L639" t="s">
        <v>165</v>
      </c>
      <c r="N639" t="s">
        <v>211</v>
      </c>
      <c r="O639" t="s">
        <v>284</v>
      </c>
      <c r="P639">
        <v>2.5655486847719119E-3</v>
      </c>
      <c r="Q639" t="s">
        <v>165</v>
      </c>
      <c r="S639" t="s">
        <v>230</v>
      </c>
      <c r="T639" t="s">
        <v>284</v>
      </c>
      <c r="U639">
        <v>2.7461708390291665E-3</v>
      </c>
      <c r="V639" t="s">
        <v>165</v>
      </c>
    </row>
    <row r="640" spans="9:22" x14ac:dyDescent="0.45">
      <c r="I640" t="s">
        <v>187</v>
      </c>
      <c r="J640" t="s">
        <v>285</v>
      </c>
      <c r="K640">
        <v>0</v>
      </c>
      <c r="L640" t="s">
        <v>165</v>
      </c>
      <c r="N640" t="s">
        <v>211</v>
      </c>
      <c r="O640" t="s">
        <v>285</v>
      </c>
      <c r="P640">
        <v>1.4738454501918888E-2</v>
      </c>
      <c r="Q640" t="s">
        <v>165</v>
      </c>
      <c r="S640" t="s">
        <v>230</v>
      </c>
      <c r="T640" t="s">
        <v>285</v>
      </c>
      <c r="U640">
        <v>1.6257875232629313E-2</v>
      </c>
      <c r="V640" t="s">
        <v>165</v>
      </c>
    </row>
    <row r="641" spans="9:22" x14ac:dyDescent="0.45">
      <c r="I641" t="s">
        <v>188</v>
      </c>
      <c r="J641" t="s">
        <v>164</v>
      </c>
      <c r="K641">
        <v>0</v>
      </c>
      <c r="L641" t="s">
        <v>165</v>
      </c>
      <c r="N641" t="s">
        <v>212</v>
      </c>
      <c r="O641" t="s">
        <v>164</v>
      </c>
      <c r="P641">
        <v>7.7005101471764079E-2</v>
      </c>
      <c r="Q641" t="s">
        <v>165</v>
      </c>
      <c r="S641" t="s">
        <v>231</v>
      </c>
      <c r="T641" t="s">
        <v>164</v>
      </c>
      <c r="U641">
        <v>8.3521699184469098E-2</v>
      </c>
      <c r="V641" t="s">
        <v>165</v>
      </c>
    </row>
    <row r="642" spans="9:22" x14ac:dyDescent="0.45">
      <c r="I642" t="s">
        <v>188</v>
      </c>
      <c r="J642" t="s">
        <v>166</v>
      </c>
      <c r="K642">
        <v>4.313165327807171E-3</v>
      </c>
      <c r="L642" t="s">
        <v>165</v>
      </c>
      <c r="N642" t="s">
        <v>212</v>
      </c>
      <c r="O642" t="s">
        <v>166</v>
      </c>
      <c r="P642">
        <v>9.9609506928929458E-3</v>
      </c>
      <c r="Q642" t="s">
        <v>165</v>
      </c>
      <c r="S642" t="s">
        <v>231</v>
      </c>
      <c r="T642" t="s">
        <v>166</v>
      </c>
      <c r="U642">
        <v>1.0073658786964212E-2</v>
      </c>
      <c r="V642" t="s">
        <v>165</v>
      </c>
    </row>
    <row r="643" spans="9:22" x14ac:dyDescent="0.45">
      <c r="I643" t="s">
        <v>188</v>
      </c>
      <c r="J643" t="s">
        <v>167</v>
      </c>
      <c r="K643">
        <v>8.0983932241699322E-2</v>
      </c>
      <c r="L643" t="s">
        <v>165</v>
      </c>
      <c r="N643" t="s">
        <v>212</v>
      </c>
      <c r="O643" t="s">
        <v>167</v>
      </c>
      <c r="P643">
        <v>7.7785984055170398E-2</v>
      </c>
      <c r="Q643" t="s">
        <v>165</v>
      </c>
      <c r="S643" t="s">
        <v>231</v>
      </c>
      <c r="T643" t="s">
        <v>167</v>
      </c>
      <c r="U643">
        <v>7.2669821750693461E-2</v>
      </c>
      <c r="V643" t="s">
        <v>165</v>
      </c>
    </row>
    <row r="644" spans="9:22" x14ac:dyDescent="0.45">
      <c r="I644" t="s">
        <v>188</v>
      </c>
      <c r="J644" t="s">
        <v>253</v>
      </c>
      <c r="K644">
        <v>8.4273741448873327E-3</v>
      </c>
      <c r="L644" t="s">
        <v>165</v>
      </c>
      <c r="N644" t="s">
        <v>212</v>
      </c>
      <c r="O644" t="s">
        <v>253</v>
      </c>
      <c r="P644">
        <v>1.1554848829138981E-2</v>
      </c>
      <c r="Q644" t="s">
        <v>165</v>
      </c>
      <c r="S644" t="s">
        <v>231</v>
      </c>
      <c r="T644" t="s">
        <v>253</v>
      </c>
      <c r="U644">
        <v>1.0257765762153591E-2</v>
      </c>
      <c r="V644" t="s">
        <v>165</v>
      </c>
    </row>
    <row r="645" spans="9:22" x14ac:dyDescent="0.45">
      <c r="I645" t="s">
        <v>188</v>
      </c>
      <c r="J645" t="s">
        <v>254</v>
      </c>
      <c r="K645">
        <v>4.9063196391387108E-3</v>
      </c>
      <c r="L645" t="s">
        <v>165</v>
      </c>
      <c r="N645" t="s">
        <v>212</v>
      </c>
      <c r="O645" t="s">
        <v>254</v>
      </c>
      <c r="P645">
        <v>1.1349679619530938E-2</v>
      </c>
      <c r="Q645" t="s">
        <v>165</v>
      </c>
      <c r="S645" t="s">
        <v>231</v>
      </c>
      <c r="T645" t="s">
        <v>254</v>
      </c>
      <c r="U645">
        <v>1.0089901365619854E-2</v>
      </c>
      <c r="V645" t="s">
        <v>165</v>
      </c>
    </row>
    <row r="646" spans="9:22" x14ac:dyDescent="0.45">
      <c r="I646" t="s">
        <v>188</v>
      </c>
      <c r="J646" t="s">
        <v>255</v>
      </c>
      <c r="K646">
        <v>4.9739713982070797E-4</v>
      </c>
      <c r="L646" t="s">
        <v>165</v>
      </c>
      <c r="N646" t="s">
        <v>212</v>
      </c>
      <c r="O646" t="s">
        <v>255</v>
      </c>
      <c r="P646">
        <v>6.0951165924241636E-2</v>
      </c>
      <c r="Q646" t="s">
        <v>165</v>
      </c>
      <c r="S646" t="s">
        <v>231</v>
      </c>
      <c r="T646" t="s">
        <v>255</v>
      </c>
      <c r="U646">
        <v>6.1433797482922055E-2</v>
      </c>
      <c r="V646" t="s">
        <v>165</v>
      </c>
    </row>
    <row r="647" spans="9:22" x14ac:dyDescent="0.45">
      <c r="I647" t="s">
        <v>188</v>
      </c>
      <c r="J647" t="s">
        <v>168</v>
      </c>
      <c r="K647">
        <v>2.2401707664146948E-3</v>
      </c>
      <c r="L647" t="s">
        <v>165</v>
      </c>
      <c r="N647" t="s">
        <v>212</v>
      </c>
      <c r="O647" t="s">
        <v>168</v>
      </c>
      <c r="P647">
        <v>4.4634478303125891E-2</v>
      </c>
      <c r="Q647" t="s">
        <v>165</v>
      </c>
      <c r="S647" t="s">
        <v>231</v>
      </c>
      <c r="T647" t="s">
        <v>168</v>
      </c>
      <c r="U647">
        <v>4.4719057468427692E-2</v>
      </c>
      <c r="V647" t="s">
        <v>165</v>
      </c>
    </row>
    <row r="648" spans="9:22" x14ac:dyDescent="0.45">
      <c r="I648" t="s">
        <v>188</v>
      </c>
      <c r="J648" t="s">
        <v>169</v>
      </c>
      <c r="K648">
        <v>4.8184532812659883E-3</v>
      </c>
      <c r="L648" t="s">
        <v>165</v>
      </c>
      <c r="N648" t="s">
        <v>212</v>
      </c>
      <c r="O648" t="s">
        <v>169</v>
      </c>
      <c r="P648">
        <v>5.4706173671513359E-3</v>
      </c>
      <c r="Q648" t="s">
        <v>165</v>
      </c>
      <c r="S648" t="s">
        <v>231</v>
      </c>
      <c r="T648" t="s">
        <v>169</v>
      </c>
      <c r="U648">
        <v>5.5622133971926094E-3</v>
      </c>
      <c r="V648" t="s">
        <v>165</v>
      </c>
    </row>
    <row r="649" spans="9:22" x14ac:dyDescent="0.45">
      <c r="I649" t="s">
        <v>188</v>
      </c>
      <c r="J649" t="s">
        <v>170</v>
      </c>
      <c r="K649">
        <v>5.7031949466693384E-2</v>
      </c>
      <c r="L649" t="s">
        <v>165</v>
      </c>
      <c r="N649" t="s">
        <v>212</v>
      </c>
      <c r="O649" t="s">
        <v>170</v>
      </c>
      <c r="P649">
        <v>4.066394603639225E-2</v>
      </c>
      <c r="Q649" t="s">
        <v>165</v>
      </c>
      <c r="S649" t="s">
        <v>231</v>
      </c>
      <c r="T649" t="s">
        <v>170</v>
      </c>
      <c r="U649">
        <v>4.2362322453615785E-2</v>
      </c>
      <c r="V649" t="s">
        <v>165</v>
      </c>
    </row>
    <row r="650" spans="9:22" x14ac:dyDescent="0.45">
      <c r="I650" t="s">
        <v>188</v>
      </c>
      <c r="J650" t="s">
        <v>256</v>
      </c>
      <c r="K650">
        <v>6.5065966218993245E-3</v>
      </c>
      <c r="L650" t="s">
        <v>165</v>
      </c>
      <c r="N650" t="s">
        <v>212</v>
      </c>
      <c r="O650" t="s">
        <v>256</v>
      </c>
      <c r="P650">
        <v>5.8950181202680934E-3</v>
      </c>
      <c r="Q650" t="s">
        <v>165</v>
      </c>
      <c r="S650" t="s">
        <v>231</v>
      </c>
      <c r="T650" t="s">
        <v>256</v>
      </c>
      <c r="U650">
        <v>6.0983033175999925E-3</v>
      </c>
      <c r="V650" t="s">
        <v>165</v>
      </c>
    </row>
    <row r="651" spans="9:22" x14ac:dyDescent="0.45">
      <c r="I651" t="s">
        <v>188</v>
      </c>
      <c r="J651" t="s">
        <v>257</v>
      </c>
      <c r="K651">
        <v>4.8144632536323449E-3</v>
      </c>
      <c r="L651" t="s">
        <v>165</v>
      </c>
      <c r="N651" t="s">
        <v>212</v>
      </c>
      <c r="O651" t="s">
        <v>257</v>
      </c>
      <c r="P651">
        <v>5.8055310747370447E-3</v>
      </c>
      <c r="Q651" t="s">
        <v>165</v>
      </c>
      <c r="S651" t="s">
        <v>231</v>
      </c>
      <c r="T651" t="s">
        <v>257</v>
      </c>
      <c r="U651">
        <v>5.9769170206700976E-3</v>
      </c>
      <c r="V651" t="s">
        <v>165</v>
      </c>
    </row>
    <row r="652" spans="9:22" x14ac:dyDescent="0.45">
      <c r="I652" t="s">
        <v>188</v>
      </c>
      <c r="J652" t="s">
        <v>258</v>
      </c>
      <c r="K652">
        <v>2.7516337743983075E-3</v>
      </c>
      <c r="L652" t="s">
        <v>165</v>
      </c>
      <c r="N652" t="s">
        <v>212</v>
      </c>
      <c r="O652" t="s">
        <v>258</v>
      </c>
      <c r="P652">
        <v>3.3278872934535707E-2</v>
      </c>
      <c r="Q652" t="s">
        <v>165</v>
      </c>
      <c r="S652" t="s">
        <v>231</v>
      </c>
      <c r="T652" t="s">
        <v>258</v>
      </c>
      <c r="U652">
        <v>3.2207036476508577E-2</v>
      </c>
      <c r="V652" t="s">
        <v>165</v>
      </c>
    </row>
    <row r="653" spans="9:22" x14ac:dyDescent="0.45">
      <c r="I653" t="s">
        <v>188</v>
      </c>
      <c r="J653" t="s">
        <v>171</v>
      </c>
      <c r="K653">
        <v>3.5467243270572407E-2</v>
      </c>
      <c r="L653" t="s">
        <v>165</v>
      </c>
      <c r="N653" t="s">
        <v>212</v>
      </c>
      <c r="O653" t="s">
        <v>171</v>
      </c>
      <c r="P653">
        <v>9.3244055182554922E-2</v>
      </c>
      <c r="Q653" t="s">
        <v>165</v>
      </c>
      <c r="S653" t="s">
        <v>231</v>
      </c>
      <c r="T653" t="s">
        <v>171</v>
      </c>
      <c r="U653">
        <v>9.0791597347428019E-2</v>
      </c>
      <c r="V653" t="s">
        <v>165</v>
      </c>
    </row>
    <row r="654" spans="9:22" x14ac:dyDescent="0.45">
      <c r="I654" t="s">
        <v>188</v>
      </c>
      <c r="J654" t="s">
        <v>172</v>
      </c>
      <c r="K654">
        <v>3.2871091534114008E-2</v>
      </c>
      <c r="L654" t="s">
        <v>165</v>
      </c>
      <c r="N654" t="s">
        <v>212</v>
      </c>
      <c r="O654" t="s">
        <v>172</v>
      </c>
      <c r="P654">
        <v>1.1008031899407137E-2</v>
      </c>
      <c r="Q654" t="s">
        <v>165</v>
      </c>
      <c r="S654" t="s">
        <v>231</v>
      </c>
      <c r="T654" t="s">
        <v>172</v>
      </c>
      <c r="U654">
        <v>1.0961206698137863E-2</v>
      </c>
      <c r="V654" t="s">
        <v>165</v>
      </c>
    </row>
    <row r="655" spans="9:22" x14ac:dyDescent="0.45">
      <c r="I655" t="s">
        <v>188</v>
      </c>
      <c r="J655" t="s">
        <v>173</v>
      </c>
      <c r="K655">
        <v>0.2943775327255605</v>
      </c>
      <c r="L655" t="s">
        <v>165</v>
      </c>
      <c r="N655" t="s">
        <v>212</v>
      </c>
      <c r="O655" t="s">
        <v>173</v>
      </c>
      <c r="P655">
        <v>9.0390288434322758E-2</v>
      </c>
      <c r="Q655" t="s">
        <v>165</v>
      </c>
      <c r="S655" t="s">
        <v>231</v>
      </c>
      <c r="T655" t="s">
        <v>173</v>
      </c>
      <c r="U655">
        <v>8.6402519921090659E-2</v>
      </c>
      <c r="V655" t="s">
        <v>165</v>
      </c>
    </row>
    <row r="656" spans="9:22" x14ac:dyDescent="0.45">
      <c r="I656" t="s">
        <v>188</v>
      </c>
      <c r="J656" t="s">
        <v>259</v>
      </c>
      <c r="K656">
        <v>3.5292669680337091E-2</v>
      </c>
      <c r="L656" t="s">
        <v>165</v>
      </c>
      <c r="N656" t="s">
        <v>212</v>
      </c>
      <c r="O656" t="s">
        <v>259</v>
      </c>
      <c r="P656">
        <v>1.561917601011217E-2</v>
      </c>
      <c r="Q656" t="s">
        <v>165</v>
      </c>
      <c r="S656" t="s">
        <v>231</v>
      </c>
      <c r="T656" t="s">
        <v>259</v>
      </c>
      <c r="U656">
        <v>1.4513909374934766E-2</v>
      </c>
      <c r="V656" t="s">
        <v>165</v>
      </c>
    </row>
    <row r="657" spans="9:22" x14ac:dyDescent="0.45">
      <c r="I657" t="s">
        <v>188</v>
      </c>
      <c r="J657" t="s">
        <v>260</v>
      </c>
      <c r="K657">
        <v>2.9254940330484022E-2</v>
      </c>
      <c r="L657" t="s">
        <v>165</v>
      </c>
      <c r="N657" t="s">
        <v>212</v>
      </c>
      <c r="O657" t="s">
        <v>260</v>
      </c>
      <c r="P657">
        <v>1.5455142368335806E-2</v>
      </c>
      <c r="Q657" t="s">
        <v>165</v>
      </c>
      <c r="S657" t="s">
        <v>231</v>
      </c>
      <c r="T657" t="s">
        <v>260</v>
      </c>
      <c r="U657">
        <v>1.4240599464173637E-2</v>
      </c>
      <c r="V657" t="s">
        <v>165</v>
      </c>
    </row>
    <row r="658" spans="9:22" x14ac:dyDescent="0.45">
      <c r="I658" t="s">
        <v>188</v>
      </c>
      <c r="J658" t="s">
        <v>261</v>
      </c>
      <c r="K658">
        <v>3.0554834340724386E-2</v>
      </c>
      <c r="L658" t="s">
        <v>165</v>
      </c>
      <c r="N658" t="s">
        <v>212</v>
      </c>
      <c r="O658" t="s">
        <v>261</v>
      </c>
      <c r="P658">
        <v>8.063374645230087E-2</v>
      </c>
      <c r="Q658" t="s">
        <v>165</v>
      </c>
      <c r="S658" t="s">
        <v>231</v>
      </c>
      <c r="T658" t="s">
        <v>261</v>
      </c>
      <c r="U658">
        <v>7.4610936410810458E-2</v>
      </c>
      <c r="V658" t="s">
        <v>165</v>
      </c>
    </row>
    <row r="659" spans="9:22" x14ac:dyDescent="0.45">
      <c r="I659" t="s">
        <v>188</v>
      </c>
      <c r="J659" t="s">
        <v>262</v>
      </c>
      <c r="K659">
        <v>1.2866276456750547E-2</v>
      </c>
      <c r="L659" t="s">
        <v>165</v>
      </c>
      <c r="N659" t="s">
        <v>212</v>
      </c>
      <c r="O659" t="s">
        <v>262</v>
      </c>
      <c r="P659">
        <v>2.5067311167962739E-2</v>
      </c>
      <c r="Q659" t="s">
        <v>165</v>
      </c>
      <c r="S659" t="s">
        <v>231</v>
      </c>
      <c r="T659" t="s">
        <v>262</v>
      </c>
      <c r="U659">
        <v>2.6931545635557011E-2</v>
      </c>
      <c r="V659" t="s">
        <v>165</v>
      </c>
    </row>
    <row r="660" spans="9:22" x14ac:dyDescent="0.45">
      <c r="I660" t="s">
        <v>188</v>
      </c>
      <c r="J660" t="s">
        <v>263</v>
      </c>
      <c r="K660">
        <v>1.5144313252186571E-2</v>
      </c>
      <c r="L660" t="s">
        <v>165</v>
      </c>
      <c r="N660" t="s">
        <v>212</v>
      </c>
      <c r="O660" t="s">
        <v>263</v>
      </c>
      <c r="P660">
        <v>3.010994485159884E-3</v>
      </c>
      <c r="Q660" t="s">
        <v>165</v>
      </c>
      <c r="S660" t="s">
        <v>231</v>
      </c>
      <c r="T660" t="s">
        <v>263</v>
      </c>
      <c r="U660">
        <v>3.2320538343972084E-3</v>
      </c>
      <c r="V660" t="s">
        <v>165</v>
      </c>
    </row>
    <row r="661" spans="9:22" x14ac:dyDescent="0.45">
      <c r="I661" t="s">
        <v>188</v>
      </c>
      <c r="J661" t="s">
        <v>264</v>
      </c>
      <c r="K661">
        <v>0.13696711838113709</v>
      </c>
      <c r="L661" t="s">
        <v>165</v>
      </c>
      <c r="N661" t="s">
        <v>212</v>
      </c>
      <c r="O661" t="s">
        <v>264</v>
      </c>
      <c r="P661">
        <v>2.7427321533299166E-2</v>
      </c>
      <c r="Q661" t="s">
        <v>165</v>
      </c>
      <c r="S661" t="s">
        <v>231</v>
      </c>
      <c r="T661" t="s">
        <v>264</v>
      </c>
      <c r="U661">
        <v>2.4912355565126356E-2</v>
      </c>
      <c r="V661" t="s">
        <v>165</v>
      </c>
    </row>
    <row r="662" spans="9:22" x14ac:dyDescent="0.45">
      <c r="I662" t="s">
        <v>188</v>
      </c>
      <c r="J662" t="s">
        <v>265</v>
      </c>
      <c r="K662">
        <v>1.6193358693862771E-2</v>
      </c>
      <c r="L662" t="s">
        <v>165</v>
      </c>
      <c r="N662" t="s">
        <v>212</v>
      </c>
      <c r="O662" t="s">
        <v>265</v>
      </c>
      <c r="P662">
        <v>5.011262133430624E-3</v>
      </c>
      <c r="Q662" t="s">
        <v>165</v>
      </c>
      <c r="S662" t="s">
        <v>231</v>
      </c>
      <c r="T662" t="s">
        <v>265</v>
      </c>
      <c r="U662">
        <v>4.3537503497722363E-3</v>
      </c>
      <c r="V662" t="s">
        <v>165</v>
      </c>
    </row>
    <row r="663" spans="9:22" x14ac:dyDescent="0.45">
      <c r="I663" t="s">
        <v>188</v>
      </c>
      <c r="J663" t="s">
        <v>266</v>
      </c>
      <c r="K663">
        <v>1.2685048753095628E-2</v>
      </c>
      <c r="L663" t="s">
        <v>165</v>
      </c>
      <c r="N663" t="s">
        <v>212</v>
      </c>
      <c r="O663" t="s">
        <v>266</v>
      </c>
      <c r="P663">
        <v>4.8363329130127015E-3</v>
      </c>
      <c r="Q663" t="s">
        <v>165</v>
      </c>
      <c r="S663" t="s">
        <v>231</v>
      </c>
      <c r="T663" t="s">
        <v>266</v>
      </c>
      <c r="U663">
        <v>4.2281271260266578E-3</v>
      </c>
      <c r="V663" t="s">
        <v>165</v>
      </c>
    </row>
    <row r="664" spans="9:22" x14ac:dyDescent="0.45">
      <c r="I664" t="s">
        <v>188</v>
      </c>
      <c r="J664" t="s">
        <v>267</v>
      </c>
      <c r="K664">
        <v>1.0085106659641555E-2</v>
      </c>
      <c r="L664" t="s">
        <v>165</v>
      </c>
      <c r="N664" t="s">
        <v>212</v>
      </c>
      <c r="O664" t="s">
        <v>267</v>
      </c>
      <c r="P664">
        <v>2.3291425149761492E-2</v>
      </c>
      <c r="Q664" t="s">
        <v>165</v>
      </c>
      <c r="S664" t="s">
        <v>231</v>
      </c>
      <c r="T664" t="s">
        <v>267</v>
      </c>
      <c r="U664">
        <v>2.0876331886166472E-2</v>
      </c>
      <c r="V664" t="s">
        <v>165</v>
      </c>
    </row>
    <row r="665" spans="9:22" x14ac:dyDescent="0.45">
      <c r="I665" t="s">
        <v>188</v>
      </c>
      <c r="J665" t="s">
        <v>268</v>
      </c>
      <c r="K665">
        <v>2.3084768617282567E-3</v>
      </c>
      <c r="L665" t="s">
        <v>165</v>
      </c>
      <c r="N665" t="s">
        <v>212</v>
      </c>
      <c r="O665" t="s">
        <v>268</v>
      </c>
      <c r="P665">
        <v>1.8905831057217562E-2</v>
      </c>
      <c r="Q665" t="s">
        <v>165</v>
      </c>
      <c r="S665" t="s">
        <v>231</v>
      </c>
      <c r="T665" t="s">
        <v>268</v>
      </c>
      <c r="U665">
        <v>2.4107295346622631E-2</v>
      </c>
      <c r="V665" t="s">
        <v>165</v>
      </c>
    </row>
    <row r="666" spans="9:22" x14ac:dyDescent="0.45">
      <c r="I666" t="s">
        <v>188</v>
      </c>
      <c r="J666" t="s">
        <v>269</v>
      </c>
      <c r="K666">
        <v>5.0417080616489149E-3</v>
      </c>
      <c r="L666" t="s">
        <v>165</v>
      </c>
      <c r="N666" t="s">
        <v>212</v>
      </c>
      <c r="O666" t="s">
        <v>269</v>
      </c>
      <c r="P666">
        <v>2.4081266483242107E-3</v>
      </c>
      <c r="Q666" t="s">
        <v>165</v>
      </c>
      <c r="S666" t="s">
        <v>231</v>
      </c>
      <c r="T666" t="s">
        <v>269</v>
      </c>
      <c r="U666">
        <v>2.6888515173150132E-3</v>
      </c>
      <c r="V666" t="s">
        <v>165</v>
      </c>
    </row>
    <row r="667" spans="9:22" x14ac:dyDescent="0.45">
      <c r="I667" t="s">
        <v>188</v>
      </c>
      <c r="J667" t="s">
        <v>270</v>
      </c>
      <c r="K667">
        <v>5.5779742169876106E-2</v>
      </c>
      <c r="L667" t="s">
        <v>165</v>
      </c>
      <c r="N667" t="s">
        <v>212</v>
      </c>
      <c r="O667" t="s">
        <v>270</v>
      </c>
      <c r="P667">
        <v>1.792940249695911E-2</v>
      </c>
      <c r="Q667" t="s">
        <v>165</v>
      </c>
      <c r="S667" t="s">
        <v>231</v>
      </c>
      <c r="T667" t="s">
        <v>270</v>
      </c>
      <c r="U667">
        <v>1.8646884540703429E-2</v>
      </c>
      <c r="V667" t="s">
        <v>165</v>
      </c>
    </row>
    <row r="668" spans="9:22" x14ac:dyDescent="0.45">
      <c r="I668" t="s">
        <v>188</v>
      </c>
      <c r="J668" t="s">
        <v>271</v>
      </c>
      <c r="K668">
        <v>6.2952797938780718E-3</v>
      </c>
      <c r="L668" t="s">
        <v>165</v>
      </c>
      <c r="N668" t="s">
        <v>212</v>
      </c>
      <c r="O668" t="s">
        <v>271</v>
      </c>
      <c r="P668">
        <v>2.4206781552732182E-3</v>
      </c>
      <c r="Q668" t="s">
        <v>165</v>
      </c>
      <c r="S668" t="s">
        <v>231</v>
      </c>
      <c r="T668" t="s">
        <v>271</v>
      </c>
      <c r="U668">
        <v>2.6896697543853862E-3</v>
      </c>
      <c r="V668" t="s">
        <v>165</v>
      </c>
    </row>
    <row r="669" spans="9:22" x14ac:dyDescent="0.45">
      <c r="I669" t="s">
        <v>188</v>
      </c>
      <c r="J669" t="s">
        <v>272</v>
      </c>
      <c r="K669">
        <v>3.7028123795768116E-3</v>
      </c>
      <c r="L669" t="s">
        <v>165</v>
      </c>
      <c r="N669" t="s">
        <v>212</v>
      </c>
      <c r="O669" t="s">
        <v>272</v>
      </c>
      <c r="P669">
        <v>2.3795268163484427E-3</v>
      </c>
      <c r="Q669" t="s">
        <v>165</v>
      </c>
      <c r="S669" t="s">
        <v>231</v>
      </c>
      <c r="T669" t="s">
        <v>272</v>
      </c>
      <c r="U669">
        <v>2.7325482397924723E-3</v>
      </c>
      <c r="V669" t="s">
        <v>165</v>
      </c>
    </row>
    <row r="670" spans="9:22" x14ac:dyDescent="0.45">
      <c r="I670" t="s">
        <v>188</v>
      </c>
      <c r="J670" t="s">
        <v>273</v>
      </c>
      <c r="K670">
        <v>2.3446851959501372E-5</v>
      </c>
      <c r="L670" t="s">
        <v>165</v>
      </c>
      <c r="N670" t="s">
        <v>212</v>
      </c>
      <c r="O670" t="s">
        <v>273</v>
      </c>
      <c r="P670">
        <v>1.363038981199048E-2</v>
      </c>
      <c r="Q670" t="s">
        <v>165</v>
      </c>
      <c r="S670" t="s">
        <v>231</v>
      </c>
      <c r="T670" t="s">
        <v>273</v>
      </c>
      <c r="U670">
        <v>1.7575815074082901E-2</v>
      </c>
      <c r="V670" t="s">
        <v>165</v>
      </c>
    </row>
    <row r="671" spans="9:22" x14ac:dyDescent="0.45">
      <c r="I671" t="s">
        <v>188</v>
      </c>
      <c r="J671" t="s">
        <v>274</v>
      </c>
      <c r="K671">
        <v>3.6061437118621338E-8</v>
      </c>
      <c r="L671" t="s">
        <v>165</v>
      </c>
      <c r="N671" t="s">
        <v>212</v>
      </c>
      <c r="O671" t="s">
        <v>274</v>
      </c>
      <c r="P671">
        <v>3.0803376929549816E-2</v>
      </c>
      <c r="Q671" t="s">
        <v>165</v>
      </c>
      <c r="S671" t="s">
        <v>231</v>
      </c>
      <c r="T671" t="s">
        <v>274</v>
      </c>
      <c r="U671">
        <v>3.4119663406601525E-2</v>
      </c>
      <c r="V671" t="s">
        <v>165</v>
      </c>
    </row>
    <row r="672" spans="9:22" x14ac:dyDescent="0.45">
      <c r="I672" t="s">
        <v>188</v>
      </c>
      <c r="J672" t="s">
        <v>275</v>
      </c>
      <c r="K672">
        <v>2.1063816354586098E-3</v>
      </c>
      <c r="L672" t="s">
        <v>165</v>
      </c>
      <c r="N672" t="s">
        <v>212</v>
      </c>
      <c r="O672" t="s">
        <v>275</v>
      </c>
      <c r="P672">
        <v>3.7246248164265953E-3</v>
      </c>
      <c r="Q672" t="s">
        <v>165</v>
      </c>
      <c r="S672" t="s">
        <v>231</v>
      </c>
      <c r="T672" t="s">
        <v>275</v>
      </c>
      <c r="U672">
        <v>3.86444457989498E-3</v>
      </c>
      <c r="V672" t="s">
        <v>165</v>
      </c>
    </row>
    <row r="673" spans="9:22" x14ac:dyDescent="0.45">
      <c r="I673" t="s">
        <v>188</v>
      </c>
      <c r="J673" t="s">
        <v>276</v>
      </c>
      <c r="K673">
        <v>3.5429866009966872E-2</v>
      </c>
      <c r="L673" t="s">
        <v>165</v>
      </c>
      <c r="N673" t="s">
        <v>212</v>
      </c>
      <c r="O673" t="s">
        <v>276</v>
      </c>
      <c r="P673">
        <v>2.754686166689517E-2</v>
      </c>
      <c r="Q673" t="s">
        <v>165</v>
      </c>
      <c r="S673" t="s">
        <v>231</v>
      </c>
      <c r="T673" t="s">
        <v>276</v>
      </c>
      <c r="U673">
        <v>2.9441828029663858E-2</v>
      </c>
      <c r="V673" t="s">
        <v>165</v>
      </c>
    </row>
    <row r="674" spans="9:22" x14ac:dyDescent="0.45">
      <c r="I674" t="s">
        <v>188</v>
      </c>
      <c r="J674" t="s">
        <v>277</v>
      </c>
      <c r="K674">
        <v>3.049106378886909E-3</v>
      </c>
      <c r="L674" t="s">
        <v>165</v>
      </c>
      <c r="N674" t="s">
        <v>212</v>
      </c>
      <c r="O674" t="s">
        <v>277</v>
      </c>
      <c r="P674">
        <v>4.0862762343884321E-3</v>
      </c>
      <c r="Q674" t="s">
        <v>165</v>
      </c>
      <c r="S674" t="s">
        <v>231</v>
      </c>
      <c r="T674" t="s">
        <v>277</v>
      </c>
      <c r="U674">
        <v>4.5253320285225775E-3</v>
      </c>
      <c r="V674" t="s">
        <v>165</v>
      </c>
    </row>
    <row r="675" spans="9:22" x14ac:dyDescent="0.45">
      <c r="I675" t="s">
        <v>188</v>
      </c>
      <c r="J675" t="s">
        <v>278</v>
      </c>
      <c r="K675">
        <v>9.7730645116137003E-4</v>
      </c>
      <c r="L675" t="s">
        <v>165</v>
      </c>
      <c r="N675" t="s">
        <v>212</v>
      </c>
      <c r="O675" t="s">
        <v>278</v>
      </c>
      <c r="P675">
        <v>4.0435511684942631E-3</v>
      </c>
      <c r="Q675" t="s">
        <v>165</v>
      </c>
      <c r="S675" t="s">
        <v>231</v>
      </c>
      <c r="T675" t="s">
        <v>278</v>
      </c>
      <c r="U675">
        <v>4.6183788782505871E-3</v>
      </c>
      <c r="V675" t="s">
        <v>165</v>
      </c>
    </row>
    <row r="676" spans="9:22" x14ac:dyDescent="0.45">
      <c r="I676" t="s">
        <v>188</v>
      </c>
      <c r="J676" t="s">
        <v>279</v>
      </c>
      <c r="K676">
        <v>0</v>
      </c>
      <c r="L676" t="s">
        <v>165</v>
      </c>
      <c r="N676" t="s">
        <v>212</v>
      </c>
      <c r="O676" t="s">
        <v>279</v>
      </c>
      <c r="P676">
        <v>2.4183871612279747E-2</v>
      </c>
      <c r="Q676" t="s">
        <v>165</v>
      </c>
      <c r="S676" t="s">
        <v>231</v>
      </c>
      <c r="T676" t="s">
        <v>279</v>
      </c>
      <c r="U676">
        <v>2.7840839697099148E-2</v>
      </c>
      <c r="V676" t="s">
        <v>165</v>
      </c>
    </row>
    <row r="677" spans="9:22" x14ac:dyDescent="0.45">
      <c r="I677" t="s">
        <v>188</v>
      </c>
      <c r="J677" t="s">
        <v>280</v>
      </c>
      <c r="K677">
        <v>0</v>
      </c>
      <c r="L677" t="s">
        <v>165</v>
      </c>
      <c r="N677" t="s">
        <v>212</v>
      </c>
      <c r="O677" t="s">
        <v>280</v>
      </c>
      <c r="P677">
        <v>2.3495397205885549E-2</v>
      </c>
      <c r="Q677" t="s">
        <v>165</v>
      </c>
      <c r="S677" t="s">
        <v>231</v>
      </c>
      <c r="T677" t="s">
        <v>280</v>
      </c>
      <c r="U677">
        <v>2.2379789610535699E-2</v>
      </c>
      <c r="V677" t="s">
        <v>165</v>
      </c>
    </row>
    <row r="678" spans="9:22" x14ac:dyDescent="0.45">
      <c r="I678" t="s">
        <v>188</v>
      </c>
      <c r="J678" t="s">
        <v>281</v>
      </c>
      <c r="K678">
        <v>2.0564051620165823E-3</v>
      </c>
      <c r="L678" t="s">
        <v>165</v>
      </c>
      <c r="N678" t="s">
        <v>212</v>
      </c>
      <c r="O678" t="s">
        <v>281</v>
      </c>
      <c r="P678">
        <v>2.6950732320548229E-3</v>
      </c>
      <c r="Q678" t="s">
        <v>165</v>
      </c>
      <c r="S678" t="s">
        <v>231</v>
      </c>
      <c r="T678" t="s">
        <v>281</v>
      </c>
      <c r="U678">
        <v>2.6809642782658089E-3</v>
      </c>
      <c r="V678" t="s">
        <v>165</v>
      </c>
    </row>
    <row r="679" spans="9:22" x14ac:dyDescent="0.45">
      <c r="I679" t="s">
        <v>188</v>
      </c>
      <c r="J679" t="s">
        <v>282</v>
      </c>
      <c r="K679">
        <v>4.0476011825533974E-2</v>
      </c>
      <c r="L679" t="s">
        <v>165</v>
      </c>
      <c r="N679" t="s">
        <v>212</v>
      </c>
      <c r="O679" t="s">
        <v>282</v>
      </c>
      <c r="P679">
        <v>1.8585176596069671E-2</v>
      </c>
      <c r="Q679" t="s">
        <v>165</v>
      </c>
      <c r="S679" t="s">
        <v>231</v>
      </c>
      <c r="T679" t="s">
        <v>282</v>
      </c>
      <c r="U679">
        <v>1.9127773485965924E-2</v>
      </c>
      <c r="V679" t="s">
        <v>165</v>
      </c>
    </row>
    <row r="680" spans="9:22" x14ac:dyDescent="0.45">
      <c r="I680" t="s">
        <v>188</v>
      </c>
      <c r="J680" t="s">
        <v>283</v>
      </c>
      <c r="K680">
        <v>3.6955770628633619E-3</v>
      </c>
      <c r="L680" t="s">
        <v>165</v>
      </c>
      <c r="N680" t="s">
        <v>212</v>
      </c>
      <c r="O680" t="s">
        <v>283</v>
      </c>
      <c r="P680">
        <v>2.8657789476714489E-3</v>
      </c>
      <c r="Q680" t="s">
        <v>165</v>
      </c>
      <c r="S680" t="s">
        <v>231</v>
      </c>
      <c r="T680" t="s">
        <v>283</v>
      </c>
      <c r="U680">
        <v>2.7070692847525769E-3</v>
      </c>
      <c r="V680" t="s">
        <v>165</v>
      </c>
    </row>
    <row r="681" spans="9:22" x14ac:dyDescent="0.45">
      <c r="I681" t="s">
        <v>188</v>
      </c>
      <c r="J681" t="s">
        <v>284</v>
      </c>
      <c r="K681">
        <v>6.8535578863357264E-6</v>
      </c>
      <c r="L681" t="s">
        <v>165</v>
      </c>
      <c r="N681" t="s">
        <v>212</v>
      </c>
      <c r="O681" t="s">
        <v>284</v>
      </c>
      <c r="P681">
        <v>2.9707182943411467E-3</v>
      </c>
      <c r="Q681" t="s">
        <v>165</v>
      </c>
      <c r="S681" t="s">
        <v>231</v>
      </c>
      <c r="T681" t="s">
        <v>284</v>
      </c>
      <c r="U681">
        <v>2.7499176572115393E-3</v>
      </c>
      <c r="V681" t="s">
        <v>165</v>
      </c>
    </row>
    <row r="682" spans="9:22" x14ac:dyDescent="0.45">
      <c r="I682" t="s">
        <v>188</v>
      </c>
      <c r="J682" t="s">
        <v>285</v>
      </c>
      <c r="K682">
        <v>0</v>
      </c>
      <c r="L682" t="s">
        <v>165</v>
      </c>
      <c r="N682" t="s">
        <v>212</v>
      </c>
      <c r="O682" t="s">
        <v>285</v>
      </c>
      <c r="P682">
        <v>1.7974056151222946E-2</v>
      </c>
      <c r="Q682" t="s">
        <v>165</v>
      </c>
      <c r="S682" t="s">
        <v>231</v>
      </c>
      <c r="T682" t="s">
        <v>285</v>
      </c>
      <c r="U682">
        <v>1.6475506509881693E-2</v>
      </c>
      <c r="V682" t="s">
        <v>165</v>
      </c>
    </row>
    <row r="683" spans="9:22" x14ac:dyDescent="0.45">
      <c r="I683" t="s">
        <v>189</v>
      </c>
      <c r="J683" t="s">
        <v>164</v>
      </c>
      <c r="K683">
        <v>0</v>
      </c>
      <c r="L683" t="s">
        <v>165</v>
      </c>
      <c r="N683" t="s">
        <v>213</v>
      </c>
      <c r="O683" t="s">
        <v>164</v>
      </c>
      <c r="P683">
        <v>8.2890073680358708E-2</v>
      </c>
      <c r="Q683" t="s">
        <v>165</v>
      </c>
      <c r="S683" t="s">
        <v>232</v>
      </c>
      <c r="T683" t="s">
        <v>164</v>
      </c>
      <c r="U683">
        <v>8.5255842282371638E-2</v>
      </c>
      <c r="V683" t="s">
        <v>165</v>
      </c>
    </row>
    <row r="684" spans="9:22" x14ac:dyDescent="0.45">
      <c r="I684" t="s">
        <v>189</v>
      </c>
      <c r="J684" t="s">
        <v>166</v>
      </c>
      <c r="K684">
        <v>1.7837246821318304E-3</v>
      </c>
      <c r="L684" t="s">
        <v>165</v>
      </c>
      <c r="N684" t="s">
        <v>213</v>
      </c>
      <c r="O684" t="s">
        <v>166</v>
      </c>
      <c r="P684">
        <v>1.000246079449778E-2</v>
      </c>
      <c r="Q684" t="s">
        <v>165</v>
      </c>
      <c r="S684" t="s">
        <v>232</v>
      </c>
      <c r="T684" t="s">
        <v>166</v>
      </c>
      <c r="U684">
        <v>1.0539497417150543E-2</v>
      </c>
      <c r="V684" t="s">
        <v>165</v>
      </c>
    </row>
    <row r="685" spans="9:22" x14ac:dyDescent="0.45">
      <c r="I685" t="s">
        <v>189</v>
      </c>
      <c r="J685" t="s">
        <v>167</v>
      </c>
      <c r="K685">
        <v>7.9094746547563682E-2</v>
      </c>
      <c r="L685" t="s">
        <v>165</v>
      </c>
      <c r="N685" t="s">
        <v>213</v>
      </c>
      <c r="O685" t="s">
        <v>167</v>
      </c>
      <c r="P685">
        <v>9.4751321986460912E-2</v>
      </c>
      <c r="Q685" t="s">
        <v>165</v>
      </c>
      <c r="S685" t="s">
        <v>232</v>
      </c>
      <c r="T685" t="s">
        <v>167</v>
      </c>
      <c r="U685">
        <v>8.0899546222834878E-2</v>
      </c>
      <c r="V685" t="s">
        <v>165</v>
      </c>
    </row>
    <row r="686" spans="9:22" x14ac:dyDescent="0.45">
      <c r="I686" t="s">
        <v>189</v>
      </c>
      <c r="J686" t="s">
        <v>253</v>
      </c>
      <c r="K686">
        <v>9.3009715928267199E-3</v>
      </c>
      <c r="L686" t="s">
        <v>165</v>
      </c>
      <c r="N686" t="s">
        <v>213</v>
      </c>
      <c r="O686" t="s">
        <v>253</v>
      </c>
      <c r="P686">
        <v>1.4071523557040982E-2</v>
      </c>
      <c r="Q686" t="s">
        <v>165</v>
      </c>
      <c r="S686" t="s">
        <v>232</v>
      </c>
      <c r="T686" t="s">
        <v>253</v>
      </c>
      <c r="U686">
        <v>1.2482627261925143E-2</v>
      </c>
      <c r="V686" t="s">
        <v>165</v>
      </c>
    </row>
    <row r="687" spans="9:22" x14ac:dyDescent="0.45">
      <c r="I687" t="s">
        <v>189</v>
      </c>
      <c r="J687" t="s">
        <v>254</v>
      </c>
      <c r="K687">
        <v>4.8280165751854939E-3</v>
      </c>
      <c r="L687" t="s">
        <v>165</v>
      </c>
      <c r="N687" t="s">
        <v>213</v>
      </c>
      <c r="O687" t="s">
        <v>254</v>
      </c>
      <c r="P687">
        <v>1.3268490928633487E-2</v>
      </c>
      <c r="Q687" t="s">
        <v>165</v>
      </c>
      <c r="S687" t="s">
        <v>232</v>
      </c>
      <c r="T687" t="s">
        <v>254</v>
      </c>
      <c r="U687">
        <v>1.2541926260411555E-2</v>
      </c>
      <c r="V687" t="s">
        <v>165</v>
      </c>
    </row>
    <row r="688" spans="9:22" x14ac:dyDescent="0.45">
      <c r="I688" t="s">
        <v>189</v>
      </c>
      <c r="J688" t="s">
        <v>255</v>
      </c>
      <c r="K688">
        <v>6.7272670620608516E-4</v>
      </c>
      <c r="L688" t="s">
        <v>165</v>
      </c>
      <c r="N688" t="s">
        <v>213</v>
      </c>
      <c r="O688" t="s">
        <v>255</v>
      </c>
      <c r="P688">
        <v>6.849892485510202E-2</v>
      </c>
      <c r="Q688" t="s">
        <v>165</v>
      </c>
      <c r="S688" t="s">
        <v>232</v>
      </c>
      <c r="T688" t="s">
        <v>255</v>
      </c>
      <c r="U688">
        <v>7.0499776269765405E-2</v>
      </c>
      <c r="V688" t="s">
        <v>165</v>
      </c>
    </row>
    <row r="689" spans="9:22" x14ac:dyDescent="0.45">
      <c r="I689" t="s">
        <v>189</v>
      </c>
      <c r="J689" t="s">
        <v>168</v>
      </c>
      <c r="K689">
        <v>1.0469396029729222E-3</v>
      </c>
      <c r="L689" t="s">
        <v>165</v>
      </c>
      <c r="N689" t="s">
        <v>213</v>
      </c>
      <c r="O689" t="s">
        <v>168</v>
      </c>
      <c r="P689">
        <v>5.7805097560873688E-2</v>
      </c>
      <c r="Q689" t="s">
        <v>165</v>
      </c>
      <c r="S689" t="s">
        <v>232</v>
      </c>
      <c r="T689" t="s">
        <v>168</v>
      </c>
      <c r="U689">
        <v>4.7022251468016703E-2</v>
      </c>
      <c r="V689" t="s">
        <v>165</v>
      </c>
    </row>
    <row r="690" spans="9:22" x14ac:dyDescent="0.45">
      <c r="I690" t="s">
        <v>189</v>
      </c>
      <c r="J690" t="s">
        <v>169</v>
      </c>
      <c r="K690">
        <v>3.7497255037390181E-3</v>
      </c>
      <c r="L690" t="s">
        <v>165</v>
      </c>
      <c r="N690" t="s">
        <v>213</v>
      </c>
      <c r="O690" t="s">
        <v>169</v>
      </c>
      <c r="P690">
        <v>6.682679878011898E-3</v>
      </c>
      <c r="Q690" t="s">
        <v>165</v>
      </c>
      <c r="S690" t="s">
        <v>232</v>
      </c>
      <c r="T690" t="s">
        <v>169</v>
      </c>
      <c r="U690">
        <v>5.9674719298575974E-3</v>
      </c>
      <c r="V690" t="s">
        <v>165</v>
      </c>
    </row>
    <row r="691" spans="9:22" x14ac:dyDescent="0.45">
      <c r="I691" t="s">
        <v>189</v>
      </c>
      <c r="J691" t="s">
        <v>170</v>
      </c>
      <c r="K691">
        <v>5.5914344762732091E-2</v>
      </c>
      <c r="L691" t="s">
        <v>165</v>
      </c>
      <c r="N691" t="s">
        <v>213</v>
      </c>
      <c r="O691" t="s">
        <v>170</v>
      </c>
      <c r="P691">
        <v>5.8487472527729414E-2</v>
      </c>
      <c r="Q691" t="s">
        <v>165</v>
      </c>
      <c r="S691" t="s">
        <v>232</v>
      </c>
      <c r="T691" t="s">
        <v>170</v>
      </c>
      <c r="U691">
        <v>4.2239544007708921E-2</v>
      </c>
      <c r="V691" t="s">
        <v>165</v>
      </c>
    </row>
    <row r="692" spans="9:22" x14ac:dyDescent="0.45">
      <c r="I692" t="s">
        <v>189</v>
      </c>
      <c r="J692" t="s">
        <v>256</v>
      </c>
      <c r="K692">
        <v>6.6978887578484185E-3</v>
      </c>
      <c r="L692" t="s">
        <v>165</v>
      </c>
      <c r="N692" t="s">
        <v>213</v>
      </c>
      <c r="O692" t="s">
        <v>256</v>
      </c>
      <c r="P692">
        <v>9.1932228485370575E-3</v>
      </c>
      <c r="Q692" t="s">
        <v>165</v>
      </c>
      <c r="S692" t="s">
        <v>232</v>
      </c>
      <c r="T692" t="s">
        <v>256</v>
      </c>
      <c r="U692">
        <v>6.0399620015650444E-3</v>
      </c>
      <c r="V692" t="s">
        <v>165</v>
      </c>
    </row>
    <row r="693" spans="9:22" x14ac:dyDescent="0.45">
      <c r="I693" t="s">
        <v>189</v>
      </c>
      <c r="J693" t="s">
        <v>257</v>
      </c>
      <c r="K693">
        <v>4.738779730684527E-3</v>
      </c>
      <c r="L693" t="s">
        <v>165</v>
      </c>
      <c r="N693" t="s">
        <v>213</v>
      </c>
      <c r="O693" t="s">
        <v>257</v>
      </c>
      <c r="P693">
        <v>8.7621361171193492E-3</v>
      </c>
      <c r="Q693" t="s">
        <v>165</v>
      </c>
      <c r="S693" t="s">
        <v>232</v>
      </c>
      <c r="T693" t="s">
        <v>257</v>
      </c>
      <c r="U693">
        <v>6.0023824833515885E-3</v>
      </c>
      <c r="V693" t="s">
        <v>165</v>
      </c>
    </row>
    <row r="694" spans="9:22" x14ac:dyDescent="0.45">
      <c r="I694" t="s">
        <v>189</v>
      </c>
      <c r="J694" t="s">
        <v>258</v>
      </c>
      <c r="K694">
        <v>2.7130932938392192E-3</v>
      </c>
      <c r="L694" t="s">
        <v>165</v>
      </c>
      <c r="N694" t="s">
        <v>213</v>
      </c>
      <c r="O694" t="s">
        <v>258</v>
      </c>
      <c r="P694">
        <v>4.8511127809810359E-2</v>
      </c>
      <c r="Q694" t="s">
        <v>165</v>
      </c>
      <c r="S694" t="s">
        <v>232</v>
      </c>
      <c r="T694" t="s">
        <v>258</v>
      </c>
      <c r="U694">
        <v>3.3719237179415433E-2</v>
      </c>
      <c r="V694" t="s">
        <v>165</v>
      </c>
    </row>
    <row r="695" spans="9:22" x14ac:dyDescent="0.45">
      <c r="I695" t="s">
        <v>189</v>
      </c>
      <c r="J695" t="s">
        <v>171</v>
      </c>
      <c r="K695">
        <v>3.3832690349183063E-2</v>
      </c>
      <c r="L695" t="s">
        <v>165</v>
      </c>
      <c r="N695" t="s">
        <v>213</v>
      </c>
      <c r="O695" t="s">
        <v>171</v>
      </c>
      <c r="P695">
        <v>7.5251458910238517E-2</v>
      </c>
      <c r="Q695" t="s">
        <v>165</v>
      </c>
      <c r="S695" t="s">
        <v>232</v>
      </c>
      <c r="T695" t="s">
        <v>171</v>
      </c>
      <c r="U695">
        <v>9.3272155287499298E-2</v>
      </c>
      <c r="V695" t="s">
        <v>165</v>
      </c>
    </row>
    <row r="696" spans="9:22" x14ac:dyDescent="0.45">
      <c r="I696" t="s">
        <v>189</v>
      </c>
      <c r="J696" t="s">
        <v>172</v>
      </c>
      <c r="K696">
        <v>3.2147660241874008E-2</v>
      </c>
      <c r="L696" t="s">
        <v>165</v>
      </c>
      <c r="N696" t="s">
        <v>213</v>
      </c>
      <c r="O696" t="s">
        <v>172</v>
      </c>
      <c r="P696">
        <v>9.5811234215036466E-3</v>
      </c>
      <c r="Q696" t="s">
        <v>165</v>
      </c>
      <c r="S696" t="s">
        <v>232</v>
      </c>
      <c r="T696" t="s">
        <v>172</v>
      </c>
      <c r="U696">
        <v>1.1829581891683186E-2</v>
      </c>
      <c r="V696" t="s">
        <v>165</v>
      </c>
    </row>
    <row r="697" spans="9:22" x14ac:dyDescent="0.45">
      <c r="I697" t="s">
        <v>189</v>
      </c>
      <c r="J697" t="s">
        <v>173</v>
      </c>
      <c r="K697">
        <v>0.30879986483570543</v>
      </c>
      <c r="L697" t="s">
        <v>165</v>
      </c>
      <c r="N697" t="s">
        <v>213</v>
      </c>
      <c r="O697" t="s">
        <v>173</v>
      </c>
      <c r="P697">
        <v>8.7216366149465097E-2</v>
      </c>
      <c r="Q697" t="s">
        <v>165</v>
      </c>
      <c r="S697" t="s">
        <v>232</v>
      </c>
      <c r="T697" t="s">
        <v>173</v>
      </c>
      <c r="U697">
        <v>9.2549972116586304E-2</v>
      </c>
      <c r="V697" t="s">
        <v>165</v>
      </c>
    </row>
    <row r="698" spans="9:22" x14ac:dyDescent="0.45">
      <c r="I698" t="s">
        <v>189</v>
      </c>
      <c r="J698" t="s">
        <v>259</v>
      </c>
      <c r="K698">
        <v>3.7302064692733845E-2</v>
      </c>
      <c r="L698" t="s">
        <v>165</v>
      </c>
      <c r="N698" t="s">
        <v>213</v>
      </c>
      <c r="O698" t="s">
        <v>259</v>
      </c>
      <c r="P698">
        <v>1.5373319608973604E-2</v>
      </c>
      <c r="Q698" t="s">
        <v>165</v>
      </c>
      <c r="S698" t="s">
        <v>232</v>
      </c>
      <c r="T698" t="s">
        <v>259</v>
      </c>
      <c r="U698">
        <v>1.5505836839302489E-2</v>
      </c>
      <c r="V698" t="s">
        <v>165</v>
      </c>
    </row>
    <row r="699" spans="9:22" x14ac:dyDescent="0.45">
      <c r="I699" t="s">
        <v>189</v>
      </c>
      <c r="J699" t="s">
        <v>260</v>
      </c>
      <c r="K699">
        <v>3.0016671217983407E-2</v>
      </c>
      <c r="L699" t="s">
        <v>165</v>
      </c>
      <c r="N699" t="s">
        <v>213</v>
      </c>
      <c r="O699" t="s">
        <v>260</v>
      </c>
      <c r="P699">
        <v>1.4602416203274488E-2</v>
      </c>
      <c r="Q699" t="s">
        <v>165</v>
      </c>
      <c r="S699" t="s">
        <v>232</v>
      </c>
      <c r="T699" t="s">
        <v>260</v>
      </c>
      <c r="U699">
        <v>1.5663864589690789E-2</v>
      </c>
      <c r="V699" t="s">
        <v>165</v>
      </c>
    </row>
    <row r="700" spans="9:22" x14ac:dyDescent="0.45">
      <c r="I700" t="s">
        <v>189</v>
      </c>
      <c r="J700" t="s">
        <v>261</v>
      </c>
      <c r="K700">
        <v>3.8034240956741426E-2</v>
      </c>
      <c r="L700" t="s">
        <v>165</v>
      </c>
      <c r="N700" t="s">
        <v>213</v>
      </c>
      <c r="O700" t="s">
        <v>261</v>
      </c>
      <c r="P700">
        <v>6.5755912903331451E-2</v>
      </c>
      <c r="Q700" t="s">
        <v>165</v>
      </c>
      <c r="S700" t="s">
        <v>232</v>
      </c>
      <c r="T700" t="s">
        <v>261</v>
      </c>
      <c r="U700">
        <v>8.2935363286349539E-2</v>
      </c>
      <c r="V700" t="s">
        <v>165</v>
      </c>
    </row>
    <row r="701" spans="9:22" x14ac:dyDescent="0.45">
      <c r="I701" t="s">
        <v>189</v>
      </c>
      <c r="J701" t="s">
        <v>262</v>
      </c>
      <c r="K701">
        <v>1.1885250659454999E-2</v>
      </c>
      <c r="L701" t="s">
        <v>165</v>
      </c>
      <c r="N701" t="s">
        <v>213</v>
      </c>
      <c r="O701" t="s">
        <v>262</v>
      </c>
      <c r="P701">
        <v>1.5607785790709559E-2</v>
      </c>
      <c r="Q701" t="s">
        <v>165</v>
      </c>
      <c r="S701" t="s">
        <v>232</v>
      </c>
      <c r="T701" t="s">
        <v>262</v>
      </c>
      <c r="U701">
        <v>2.0736761199687048E-2</v>
      </c>
      <c r="V701" t="s">
        <v>165</v>
      </c>
    </row>
    <row r="702" spans="9:22" x14ac:dyDescent="0.45">
      <c r="I702" t="s">
        <v>189</v>
      </c>
      <c r="J702" t="s">
        <v>263</v>
      </c>
      <c r="K702">
        <v>1.3910575213024093E-2</v>
      </c>
      <c r="L702" t="s">
        <v>165</v>
      </c>
      <c r="N702" t="s">
        <v>213</v>
      </c>
      <c r="O702" t="s">
        <v>263</v>
      </c>
      <c r="P702">
        <v>1.9743878633358249E-3</v>
      </c>
      <c r="Q702" t="s">
        <v>165</v>
      </c>
      <c r="S702" t="s">
        <v>232</v>
      </c>
      <c r="T702" t="s">
        <v>263</v>
      </c>
      <c r="U702">
        <v>2.9006390243081427E-3</v>
      </c>
      <c r="V702" t="s">
        <v>165</v>
      </c>
    </row>
    <row r="703" spans="9:22" x14ac:dyDescent="0.45">
      <c r="I703" t="s">
        <v>189</v>
      </c>
      <c r="J703" t="s">
        <v>264</v>
      </c>
      <c r="K703">
        <v>0.14019469055834383</v>
      </c>
      <c r="L703" t="s">
        <v>165</v>
      </c>
      <c r="N703" t="s">
        <v>213</v>
      </c>
      <c r="O703" t="s">
        <v>264</v>
      </c>
      <c r="P703">
        <v>2.2532609684253534E-2</v>
      </c>
      <c r="Q703" t="s">
        <v>165</v>
      </c>
      <c r="S703" t="s">
        <v>232</v>
      </c>
      <c r="T703" t="s">
        <v>264</v>
      </c>
      <c r="U703">
        <v>2.4115751958317885E-2</v>
      </c>
      <c r="V703" t="s">
        <v>165</v>
      </c>
    </row>
    <row r="704" spans="9:22" x14ac:dyDescent="0.45">
      <c r="I704" t="s">
        <v>189</v>
      </c>
      <c r="J704" t="s">
        <v>265</v>
      </c>
      <c r="K704">
        <v>1.6539318127704077E-2</v>
      </c>
      <c r="L704" t="s">
        <v>165</v>
      </c>
      <c r="N704" t="s">
        <v>213</v>
      </c>
      <c r="O704" t="s">
        <v>265</v>
      </c>
      <c r="P704">
        <v>4.2475880076979361E-3</v>
      </c>
      <c r="Q704" t="s">
        <v>165</v>
      </c>
      <c r="S704" t="s">
        <v>232</v>
      </c>
      <c r="T704" t="s">
        <v>265</v>
      </c>
      <c r="U704">
        <v>4.3914488363690487E-3</v>
      </c>
      <c r="V704" t="s">
        <v>165</v>
      </c>
    </row>
    <row r="705" spans="9:22" x14ac:dyDescent="0.45">
      <c r="I705" t="s">
        <v>189</v>
      </c>
      <c r="J705" t="s">
        <v>266</v>
      </c>
      <c r="K705">
        <v>1.4016528024452815E-2</v>
      </c>
      <c r="L705" t="s">
        <v>165</v>
      </c>
      <c r="N705" t="s">
        <v>213</v>
      </c>
      <c r="O705" t="s">
        <v>266</v>
      </c>
      <c r="P705">
        <v>3.5763743165678611E-3</v>
      </c>
      <c r="Q705" t="s">
        <v>165</v>
      </c>
      <c r="S705" t="s">
        <v>232</v>
      </c>
      <c r="T705" t="s">
        <v>266</v>
      </c>
      <c r="U705">
        <v>4.4769673219282194E-3</v>
      </c>
      <c r="V705" t="s">
        <v>165</v>
      </c>
    </row>
    <row r="706" spans="9:22" x14ac:dyDescent="0.45">
      <c r="I706" t="s">
        <v>189</v>
      </c>
      <c r="J706" t="s">
        <v>267</v>
      </c>
      <c r="K706">
        <v>1.4341186495410238E-2</v>
      </c>
      <c r="L706" t="s">
        <v>165</v>
      </c>
      <c r="N706" t="s">
        <v>213</v>
      </c>
      <c r="O706" t="s">
        <v>267</v>
      </c>
      <c r="P706">
        <v>1.2688124087613653E-2</v>
      </c>
      <c r="Q706" t="s">
        <v>165</v>
      </c>
      <c r="S706" t="s">
        <v>232</v>
      </c>
      <c r="T706" t="s">
        <v>267</v>
      </c>
      <c r="U706">
        <v>2.2345283827072567E-2</v>
      </c>
      <c r="V706" t="s">
        <v>165</v>
      </c>
    </row>
    <row r="707" spans="9:22" x14ac:dyDescent="0.45">
      <c r="I707" t="s">
        <v>189</v>
      </c>
      <c r="J707" t="s">
        <v>268</v>
      </c>
      <c r="K707">
        <v>6.0329207473427591E-4</v>
      </c>
      <c r="L707" t="s">
        <v>165</v>
      </c>
      <c r="N707" t="s">
        <v>213</v>
      </c>
      <c r="O707" t="s">
        <v>268</v>
      </c>
      <c r="P707">
        <v>1.0848289630890084E-2</v>
      </c>
      <c r="Q707" t="s">
        <v>165</v>
      </c>
      <c r="S707" t="s">
        <v>232</v>
      </c>
      <c r="T707" t="s">
        <v>268</v>
      </c>
      <c r="U707">
        <v>1.181542612511109E-2</v>
      </c>
      <c r="V707" t="s">
        <v>165</v>
      </c>
    </row>
    <row r="708" spans="9:22" x14ac:dyDescent="0.45">
      <c r="I708" t="s">
        <v>189</v>
      </c>
      <c r="J708" t="s">
        <v>269</v>
      </c>
      <c r="K708">
        <v>2.3096489791783617E-3</v>
      </c>
      <c r="L708" t="s">
        <v>165</v>
      </c>
      <c r="N708" t="s">
        <v>213</v>
      </c>
      <c r="O708" t="s">
        <v>269</v>
      </c>
      <c r="P708">
        <v>1.2216775524957172E-3</v>
      </c>
      <c r="Q708" t="s">
        <v>165</v>
      </c>
      <c r="S708" t="s">
        <v>232</v>
      </c>
      <c r="T708" t="s">
        <v>269</v>
      </c>
      <c r="U708">
        <v>1.5691174491297474E-3</v>
      </c>
      <c r="V708" t="s">
        <v>165</v>
      </c>
    </row>
    <row r="709" spans="9:22" x14ac:dyDescent="0.45">
      <c r="I709" t="s">
        <v>189</v>
      </c>
      <c r="J709" t="s">
        <v>270</v>
      </c>
      <c r="K709">
        <v>4.2235909792489194E-2</v>
      </c>
      <c r="L709" t="s">
        <v>165</v>
      </c>
      <c r="N709" t="s">
        <v>213</v>
      </c>
      <c r="O709" t="s">
        <v>270</v>
      </c>
      <c r="P709">
        <v>1.2797561471925973E-2</v>
      </c>
      <c r="Q709" t="s">
        <v>165</v>
      </c>
      <c r="S709" t="s">
        <v>232</v>
      </c>
      <c r="T709" t="s">
        <v>270</v>
      </c>
      <c r="U709">
        <v>1.2853389646867249E-2</v>
      </c>
      <c r="V709" t="s">
        <v>165</v>
      </c>
    </row>
    <row r="710" spans="9:22" x14ac:dyDescent="0.45">
      <c r="I710" t="s">
        <v>189</v>
      </c>
      <c r="J710" t="s">
        <v>271</v>
      </c>
      <c r="K710">
        <v>4.8333295817748322E-3</v>
      </c>
      <c r="L710" t="s">
        <v>165</v>
      </c>
      <c r="N710" t="s">
        <v>213</v>
      </c>
      <c r="O710" t="s">
        <v>271</v>
      </c>
      <c r="P710">
        <v>2.0559786275570744E-3</v>
      </c>
      <c r="Q710" t="s">
        <v>165</v>
      </c>
      <c r="S710" t="s">
        <v>232</v>
      </c>
      <c r="T710" t="s">
        <v>271</v>
      </c>
      <c r="U710">
        <v>1.7565715077774559E-3</v>
      </c>
      <c r="V710" t="s">
        <v>165</v>
      </c>
    </row>
    <row r="711" spans="9:22" x14ac:dyDescent="0.45">
      <c r="I711" t="s">
        <v>189</v>
      </c>
      <c r="J711" t="s">
        <v>272</v>
      </c>
      <c r="K711">
        <v>3.0918555797728067E-3</v>
      </c>
      <c r="L711" t="s">
        <v>165</v>
      </c>
      <c r="N711" t="s">
        <v>213</v>
      </c>
      <c r="O711" t="s">
        <v>272</v>
      </c>
      <c r="P711">
        <v>1.9259384996425414E-3</v>
      </c>
      <c r="Q711" t="s">
        <v>165</v>
      </c>
      <c r="S711" t="s">
        <v>232</v>
      </c>
      <c r="T711" t="s">
        <v>272</v>
      </c>
      <c r="U711">
        <v>1.7147237576318351E-3</v>
      </c>
      <c r="V711" t="s">
        <v>165</v>
      </c>
    </row>
    <row r="712" spans="9:22" x14ac:dyDescent="0.45">
      <c r="I712" t="s">
        <v>189</v>
      </c>
      <c r="J712" t="s">
        <v>273</v>
      </c>
      <c r="K712">
        <v>3.6930341130754946E-4</v>
      </c>
      <c r="L712" t="s">
        <v>165</v>
      </c>
      <c r="N712" t="s">
        <v>213</v>
      </c>
      <c r="O712" t="s">
        <v>273</v>
      </c>
      <c r="P712">
        <v>7.2231056072129115E-3</v>
      </c>
      <c r="Q712" t="s">
        <v>165</v>
      </c>
      <c r="S712" t="s">
        <v>232</v>
      </c>
      <c r="T712" t="s">
        <v>273</v>
      </c>
      <c r="U712">
        <v>9.8385153704765027E-3</v>
      </c>
      <c r="V712" t="s">
        <v>165</v>
      </c>
    </row>
    <row r="713" spans="9:22" x14ac:dyDescent="0.45">
      <c r="I713" t="s">
        <v>189</v>
      </c>
      <c r="J713" t="s">
        <v>274</v>
      </c>
      <c r="K713">
        <v>0</v>
      </c>
      <c r="L713" t="s">
        <v>165</v>
      </c>
      <c r="N713" t="s">
        <v>213</v>
      </c>
      <c r="O713" t="s">
        <v>274</v>
      </c>
      <c r="P713">
        <v>3.3723884390776497E-2</v>
      </c>
      <c r="Q713" t="s">
        <v>165</v>
      </c>
      <c r="S713" t="s">
        <v>232</v>
      </c>
      <c r="T713" t="s">
        <v>274</v>
      </c>
      <c r="U713">
        <v>2.742568310730575E-2</v>
      </c>
      <c r="V713" t="s">
        <v>165</v>
      </c>
    </row>
    <row r="714" spans="9:22" x14ac:dyDescent="0.45">
      <c r="I714" t="s">
        <v>189</v>
      </c>
      <c r="J714" t="s">
        <v>275</v>
      </c>
      <c r="K714">
        <v>1.1362185657888741E-3</v>
      </c>
      <c r="L714" t="s">
        <v>165</v>
      </c>
      <c r="N714" t="s">
        <v>213</v>
      </c>
      <c r="O714" t="s">
        <v>275</v>
      </c>
      <c r="P714">
        <v>4.2755628265317876E-3</v>
      </c>
      <c r="Q714" t="s">
        <v>165</v>
      </c>
      <c r="S714" t="s">
        <v>232</v>
      </c>
      <c r="T714" t="s">
        <v>275</v>
      </c>
      <c r="U714">
        <v>3.2918708962588147E-3</v>
      </c>
      <c r="V714" t="s">
        <v>165</v>
      </c>
    </row>
    <row r="715" spans="9:22" x14ac:dyDescent="0.45">
      <c r="I715" t="s">
        <v>189</v>
      </c>
      <c r="J715" t="s">
        <v>276</v>
      </c>
      <c r="K715">
        <v>3.3955313679186382E-2</v>
      </c>
      <c r="L715" t="s">
        <v>165</v>
      </c>
      <c r="N715" t="s">
        <v>213</v>
      </c>
      <c r="O715" t="s">
        <v>276</v>
      </c>
      <c r="P715">
        <v>3.8882394767450514E-2</v>
      </c>
      <c r="Q715" t="s">
        <v>165</v>
      </c>
      <c r="S715" t="s">
        <v>232</v>
      </c>
      <c r="T715" t="s">
        <v>276</v>
      </c>
      <c r="U715">
        <v>2.5802391012031193E-2</v>
      </c>
      <c r="V715" t="s">
        <v>165</v>
      </c>
    </row>
    <row r="716" spans="9:22" x14ac:dyDescent="0.45">
      <c r="I716" t="s">
        <v>189</v>
      </c>
      <c r="J716" t="s">
        <v>277</v>
      </c>
      <c r="K716">
        <v>3.5180751668389058E-3</v>
      </c>
      <c r="L716" t="s">
        <v>165</v>
      </c>
      <c r="N716" t="s">
        <v>213</v>
      </c>
      <c r="O716" t="s">
        <v>277</v>
      </c>
      <c r="P716">
        <v>5.3713905360110387E-3</v>
      </c>
      <c r="Q716" t="s">
        <v>165</v>
      </c>
      <c r="S716" t="s">
        <v>232</v>
      </c>
      <c r="T716" t="s">
        <v>277</v>
      </c>
      <c r="U716">
        <v>3.9241135031702085E-3</v>
      </c>
      <c r="V716" t="s">
        <v>165</v>
      </c>
    </row>
    <row r="717" spans="9:22" x14ac:dyDescent="0.45">
      <c r="I717" t="s">
        <v>189</v>
      </c>
      <c r="J717" t="s">
        <v>278</v>
      </c>
      <c r="K717">
        <v>5.6993035633740854E-4</v>
      </c>
      <c r="L717" t="s">
        <v>165</v>
      </c>
      <c r="N717" t="s">
        <v>213</v>
      </c>
      <c r="O717" t="s">
        <v>278</v>
      </c>
      <c r="P717">
        <v>4.9789532285698908E-3</v>
      </c>
      <c r="Q717" t="s">
        <v>165</v>
      </c>
      <c r="S717" t="s">
        <v>232</v>
      </c>
      <c r="T717" t="s">
        <v>278</v>
      </c>
      <c r="U717">
        <v>3.885990032072109E-3</v>
      </c>
      <c r="V717" t="s">
        <v>165</v>
      </c>
    </row>
    <row r="718" spans="9:22" x14ac:dyDescent="0.45">
      <c r="I718" t="s">
        <v>189</v>
      </c>
      <c r="J718" t="s">
        <v>279</v>
      </c>
      <c r="K718">
        <v>0</v>
      </c>
      <c r="L718" t="s">
        <v>165</v>
      </c>
      <c r="N718" t="s">
        <v>213</v>
      </c>
      <c r="O718" t="s">
        <v>279</v>
      </c>
      <c r="P718">
        <v>2.6086653611180295E-2</v>
      </c>
      <c r="Q718" t="s">
        <v>165</v>
      </c>
      <c r="S718" t="s">
        <v>232</v>
      </c>
      <c r="T718" t="s">
        <v>279</v>
      </c>
      <c r="U718">
        <v>2.2661314957660984E-2</v>
      </c>
      <c r="V718" t="s">
        <v>165</v>
      </c>
    </row>
    <row r="719" spans="9:22" x14ac:dyDescent="0.45">
      <c r="I719" t="s">
        <v>189</v>
      </c>
      <c r="J719" t="s">
        <v>280</v>
      </c>
      <c r="K719">
        <v>0</v>
      </c>
      <c r="L719" t="s">
        <v>165</v>
      </c>
      <c r="N719" t="s">
        <v>213</v>
      </c>
      <c r="O719" t="s">
        <v>280</v>
      </c>
      <c r="P719">
        <v>1.9178279867381461E-2</v>
      </c>
      <c r="Q719" t="s">
        <v>165</v>
      </c>
      <c r="S719" t="s">
        <v>232</v>
      </c>
      <c r="T719" t="s">
        <v>280</v>
      </c>
      <c r="U719">
        <v>2.461580887490494E-2</v>
      </c>
      <c r="V719" t="s">
        <v>165</v>
      </c>
    </row>
    <row r="720" spans="9:22" x14ac:dyDescent="0.45">
      <c r="I720" t="s">
        <v>189</v>
      </c>
      <c r="J720" t="s">
        <v>281</v>
      </c>
      <c r="K720">
        <v>0</v>
      </c>
      <c r="L720" t="s">
        <v>165</v>
      </c>
      <c r="N720" t="s">
        <v>213</v>
      </c>
      <c r="O720" t="s">
        <v>281</v>
      </c>
      <c r="P720">
        <v>1.9030595454125486E-3</v>
      </c>
      <c r="Q720" t="s">
        <v>165</v>
      </c>
      <c r="S720" t="s">
        <v>232</v>
      </c>
      <c r="T720" t="s">
        <v>281</v>
      </c>
      <c r="U720">
        <v>2.7441754363009144E-3</v>
      </c>
      <c r="V720" t="s">
        <v>165</v>
      </c>
    </row>
    <row r="721" spans="9:22" x14ac:dyDescent="0.45">
      <c r="I721" t="s">
        <v>189</v>
      </c>
      <c r="J721" t="s">
        <v>282</v>
      </c>
      <c r="K721">
        <v>4.1738394955892412E-2</v>
      </c>
      <c r="L721" t="s">
        <v>165</v>
      </c>
      <c r="N721" t="s">
        <v>213</v>
      </c>
      <c r="O721" t="s">
        <v>282</v>
      </c>
      <c r="P721">
        <v>1.2730132786313613E-2</v>
      </c>
      <c r="Q721" t="s">
        <v>165</v>
      </c>
      <c r="S721" t="s">
        <v>232</v>
      </c>
      <c r="T721" t="s">
        <v>282</v>
      </c>
      <c r="U721">
        <v>1.7389316055054227E-2</v>
      </c>
      <c r="V721" t="s">
        <v>165</v>
      </c>
    </row>
    <row r="722" spans="9:22" x14ac:dyDescent="0.45">
      <c r="I722" t="s">
        <v>189</v>
      </c>
      <c r="J722" t="s">
        <v>283</v>
      </c>
      <c r="K722">
        <v>4.0770287283565182E-3</v>
      </c>
      <c r="L722" t="s">
        <v>165</v>
      </c>
      <c r="N722" t="s">
        <v>213</v>
      </c>
      <c r="O722" t="s">
        <v>283</v>
      </c>
      <c r="P722">
        <v>1.9358260801303905E-3</v>
      </c>
      <c r="Q722" t="s">
        <v>165</v>
      </c>
      <c r="S722" t="s">
        <v>232</v>
      </c>
      <c r="T722" t="s">
        <v>283</v>
      </c>
      <c r="U722">
        <v>2.7604349308345466E-3</v>
      </c>
      <c r="V722" t="s">
        <v>165</v>
      </c>
    </row>
    <row r="723" spans="9:22" x14ac:dyDescent="0.45">
      <c r="I723" t="s">
        <v>189</v>
      </c>
      <c r="J723" t="s">
        <v>284</v>
      </c>
      <c r="K723">
        <v>0</v>
      </c>
      <c r="L723" t="s">
        <v>165</v>
      </c>
      <c r="N723" t="s">
        <v>213</v>
      </c>
      <c r="O723" t="s">
        <v>284</v>
      </c>
      <c r="P723">
        <v>1.9440818106445847E-3</v>
      </c>
      <c r="Q723" t="s">
        <v>165</v>
      </c>
      <c r="S723" t="s">
        <v>232</v>
      </c>
      <c r="T723" t="s">
        <v>284</v>
      </c>
      <c r="U723">
        <v>2.9244877285457454E-3</v>
      </c>
      <c r="V723" t="s">
        <v>165</v>
      </c>
    </row>
    <row r="724" spans="9:22" x14ac:dyDescent="0.45">
      <c r="I724" t="s">
        <v>189</v>
      </c>
      <c r="J724" t="s">
        <v>285</v>
      </c>
      <c r="K724">
        <v>0</v>
      </c>
      <c r="L724" t="s">
        <v>165</v>
      </c>
      <c r="N724" t="s">
        <v>213</v>
      </c>
      <c r="O724" t="s">
        <v>285</v>
      </c>
      <c r="P724">
        <v>1.158522966872926E-2</v>
      </c>
      <c r="Q724" t="s">
        <v>165</v>
      </c>
      <c r="S724" t="s">
        <v>232</v>
      </c>
      <c r="T724" t="s">
        <v>285</v>
      </c>
      <c r="U724">
        <v>1.9092978645698363E-2</v>
      </c>
      <c r="V724" t="s">
        <v>165</v>
      </c>
    </row>
    <row r="725" spans="9:22" x14ac:dyDescent="0.45">
      <c r="I725" t="s">
        <v>190</v>
      </c>
      <c r="J725" t="s">
        <v>164</v>
      </c>
      <c r="K725">
        <v>0</v>
      </c>
      <c r="L725" t="s">
        <v>165</v>
      </c>
      <c r="N725" t="s">
        <v>214</v>
      </c>
      <c r="O725" t="s">
        <v>164</v>
      </c>
      <c r="P725">
        <v>8.8077228208730568E-2</v>
      </c>
      <c r="Q725" t="s">
        <v>165</v>
      </c>
      <c r="S725" t="s">
        <v>233</v>
      </c>
      <c r="T725" t="s">
        <v>164</v>
      </c>
      <c r="U725">
        <v>8.0671827190574655E-2</v>
      </c>
      <c r="V725" t="s">
        <v>165</v>
      </c>
    </row>
    <row r="726" spans="9:22" x14ac:dyDescent="0.45">
      <c r="I726" t="s">
        <v>190</v>
      </c>
      <c r="J726" t="s">
        <v>166</v>
      </c>
      <c r="K726">
        <v>1.805085266228891E-3</v>
      </c>
      <c r="L726" t="s">
        <v>165</v>
      </c>
      <c r="N726" t="s">
        <v>214</v>
      </c>
      <c r="O726" t="s">
        <v>166</v>
      </c>
      <c r="P726">
        <v>1.0015754444216547E-2</v>
      </c>
      <c r="Q726" t="s">
        <v>165</v>
      </c>
      <c r="S726" t="s">
        <v>233</v>
      </c>
      <c r="T726" t="s">
        <v>166</v>
      </c>
      <c r="U726">
        <v>1.0595838535307475E-2</v>
      </c>
      <c r="V726" t="s">
        <v>165</v>
      </c>
    </row>
    <row r="727" spans="9:22" x14ac:dyDescent="0.45">
      <c r="I727" t="s">
        <v>190</v>
      </c>
      <c r="J727" t="s">
        <v>167</v>
      </c>
      <c r="K727">
        <v>9.0662010574685065E-2</v>
      </c>
      <c r="L727" t="s">
        <v>165</v>
      </c>
      <c r="N727" t="s">
        <v>214</v>
      </c>
      <c r="O727" t="s">
        <v>167</v>
      </c>
      <c r="P727">
        <v>8.462752765921315E-2</v>
      </c>
      <c r="Q727" t="s">
        <v>165</v>
      </c>
      <c r="S727" t="s">
        <v>233</v>
      </c>
      <c r="T727" t="s">
        <v>167</v>
      </c>
      <c r="U727">
        <v>7.6116877039117278E-2</v>
      </c>
      <c r="V727" t="s">
        <v>165</v>
      </c>
    </row>
    <row r="728" spans="9:22" x14ac:dyDescent="0.45">
      <c r="I728" t="s">
        <v>190</v>
      </c>
      <c r="J728" t="s">
        <v>253</v>
      </c>
      <c r="K728">
        <v>1.0808046919430304E-2</v>
      </c>
      <c r="L728" t="s">
        <v>165</v>
      </c>
      <c r="N728" t="s">
        <v>214</v>
      </c>
      <c r="O728" t="s">
        <v>253</v>
      </c>
      <c r="P728">
        <v>1.291559284783666E-2</v>
      </c>
      <c r="Q728" t="s">
        <v>165</v>
      </c>
      <c r="S728" t="s">
        <v>233</v>
      </c>
      <c r="T728" t="s">
        <v>253</v>
      </c>
      <c r="U728">
        <v>1.1089232932642495E-2</v>
      </c>
      <c r="V728" t="s">
        <v>165</v>
      </c>
    </row>
    <row r="729" spans="9:22" x14ac:dyDescent="0.45">
      <c r="I729" t="s">
        <v>190</v>
      </c>
      <c r="J729" t="s">
        <v>254</v>
      </c>
      <c r="K729">
        <v>5.9927064868582442E-3</v>
      </c>
      <c r="L729" t="s">
        <v>165</v>
      </c>
      <c r="N729" t="s">
        <v>214</v>
      </c>
      <c r="O729" t="s">
        <v>254</v>
      </c>
      <c r="P729">
        <v>1.297760193073152E-2</v>
      </c>
      <c r="Q729" t="s">
        <v>165</v>
      </c>
      <c r="S729" t="s">
        <v>233</v>
      </c>
      <c r="T729" t="s">
        <v>254</v>
      </c>
      <c r="U729">
        <v>1.0971910756154748E-2</v>
      </c>
      <c r="V729" t="s">
        <v>165</v>
      </c>
    </row>
    <row r="730" spans="9:22" x14ac:dyDescent="0.45">
      <c r="I730" t="s">
        <v>190</v>
      </c>
      <c r="J730" t="s">
        <v>255</v>
      </c>
      <c r="K730">
        <v>1.0089342819611421E-3</v>
      </c>
      <c r="L730" t="s">
        <v>165</v>
      </c>
      <c r="N730" t="s">
        <v>214</v>
      </c>
      <c r="O730" t="s">
        <v>255</v>
      </c>
      <c r="P730">
        <v>7.1508839770852886E-2</v>
      </c>
      <c r="Q730" t="s">
        <v>165</v>
      </c>
      <c r="S730" t="s">
        <v>233</v>
      </c>
      <c r="T730" t="s">
        <v>255</v>
      </c>
      <c r="U730">
        <v>6.3138491069683875E-2</v>
      </c>
      <c r="V730" t="s">
        <v>165</v>
      </c>
    </row>
    <row r="731" spans="9:22" x14ac:dyDescent="0.45">
      <c r="I731" t="s">
        <v>190</v>
      </c>
      <c r="J731" t="s">
        <v>168</v>
      </c>
      <c r="K731">
        <v>1.0172017855670501E-3</v>
      </c>
      <c r="L731" t="s">
        <v>165</v>
      </c>
      <c r="N731" t="s">
        <v>214</v>
      </c>
      <c r="O731" t="s">
        <v>168</v>
      </c>
      <c r="P731">
        <v>5.1041727834710442E-2</v>
      </c>
      <c r="Q731" t="s">
        <v>165</v>
      </c>
      <c r="S731" t="s">
        <v>233</v>
      </c>
      <c r="T731" t="s">
        <v>168</v>
      </c>
      <c r="U731">
        <v>3.9848213034880231E-2</v>
      </c>
      <c r="V731" t="s">
        <v>165</v>
      </c>
    </row>
    <row r="732" spans="9:22" x14ac:dyDescent="0.45">
      <c r="I732" t="s">
        <v>190</v>
      </c>
      <c r="J732" t="s">
        <v>169</v>
      </c>
      <c r="K732">
        <v>4.0428487488225646E-3</v>
      </c>
      <c r="L732" t="s">
        <v>165</v>
      </c>
      <c r="N732" t="s">
        <v>214</v>
      </c>
      <c r="O732" t="s">
        <v>169</v>
      </c>
      <c r="P732">
        <v>6.2220396285960159E-3</v>
      </c>
      <c r="Q732" t="s">
        <v>165</v>
      </c>
      <c r="S732" t="s">
        <v>233</v>
      </c>
      <c r="T732" t="s">
        <v>169</v>
      </c>
      <c r="U732">
        <v>4.9346169728813919E-3</v>
      </c>
      <c r="V732" t="s">
        <v>165</v>
      </c>
    </row>
    <row r="733" spans="9:22" x14ac:dyDescent="0.45">
      <c r="I733" t="s">
        <v>190</v>
      </c>
      <c r="J733" t="s">
        <v>170</v>
      </c>
      <c r="K733">
        <v>5.9976887932322698E-2</v>
      </c>
      <c r="L733" t="s">
        <v>165</v>
      </c>
      <c r="N733" t="s">
        <v>214</v>
      </c>
      <c r="O733" t="s">
        <v>170</v>
      </c>
      <c r="P733">
        <v>4.7138863990426702E-2</v>
      </c>
      <c r="Q733" t="s">
        <v>165</v>
      </c>
      <c r="S733" t="s">
        <v>233</v>
      </c>
      <c r="T733" t="s">
        <v>170</v>
      </c>
      <c r="U733">
        <v>3.3572151521831725E-2</v>
      </c>
      <c r="V733" t="s">
        <v>165</v>
      </c>
    </row>
    <row r="734" spans="9:22" x14ac:dyDescent="0.45">
      <c r="I734" t="s">
        <v>190</v>
      </c>
      <c r="J734" t="s">
        <v>256</v>
      </c>
      <c r="K734">
        <v>6.9049897501134464E-3</v>
      </c>
      <c r="L734" t="s">
        <v>165</v>
      </c>
      <c r="N734" t="s">
        <v>214</v>
      </c>
      <c r="O734" t="s">
        <v>256</v>
      </c>
      <c r="P734">
        <v>6.2839954008663077E-3</v>
      </c>
      <c r="Q734" t="s">
        <v>165</v>
      </c>
      <c r="S734" t="s">
        <v>233</v>
      </c>
      <c r="T734" t="s">
        <v>256</v>
      </c>
      <c r="U734">
        <v>4.2889519012302172E-3</v>
      </c>
      <c r="V734" t="s">
        <v>165</v>
      </c>
    </row>
    <row r="735" spans="9:22" x14ac:dyDescent="0.45">
      <c r="I735" t="s">
        <v>190</v>
      </c>
      <c r="J735" t="s">
        <v>257</v>
      </c>
      <c r="K735">
        <v>4.9827585371456096E-3</v>
      </c>
      <c r="L735" t="s">
        <v>165</v>
      </c>
      <c r="N735" t="s">
        <v>214</v>
      </c>
      <c r="O735" t="s">
        <v>257</v>
      </c>
      <c r="P735">
        <v>6.2245896567876512E-3</v>
      </c>
      <c r="Q735" t="s">
        <v>165</v>
      </c>
      <c r="S735" t="s">
        <v>233</v>
      </c>
      <c r="T735" t="s">
        <v>257</v>
      </c>
      <c r="U735">
        <v>4.2316574468145686E-3</v>
      </c>
      <c r="V735" t="s">
        <v>165</v>
      </c>
    </row>
    <row r="736" spans="9:22" x14ac:dyDescent="0.45">
      <c r="I736" t="s">
        <v>190</v>
      </c>
      <c r="J736" t="s">
        <v>258</v>
      </c>
      <c r="K736">
        <v>2.8180023061943104E-3</v>
      </c>
      <c r="L736" t="s">
        <v>165</v>
      </c>
      <c r="N736" t="s">
        <v>214</v>
      </c>
      <c r="O736" t="s">
        <v>258</v>
      </c>
      <c r="P736">
        <v>3.9588346178443298E-2</v>
      </c>
      <c r="Q736" t="s">
        <v>165</v>
      </c>
      <c r="S736" t="s">
        <v>233</v>
      </c>
      <c r="T736" t="s">
        <v>258</v>
      </c>
      <c r="U736">
        <v>2.7094417722520706E-2</v>
      </c>
      <c r="V736" t="s">
        <v>165</v>
      </c>
    </row>
    <row r="737" spans="9:22" x14ac:dyDescent="0.45">
      <c r="I737" t="s">
        <v>190</v>
      </c>
      <c r="J737" t="s">
        <v>171</v>
      </c>
      <c r="K737">
        <v>3.0722364788242945E-2</v>
      </c>
      <c r="L737" t="s">
        <v>165</v>
      </c>
      <c r="N737" t="s">
        <v>214</v>
      </c>
      <c r="O737" t="s">
        <v>171</v>
      </c>
      <c r="P737">
        <v>9.5015462766745454E-2</v>
      </c>
      <c r="Q737" t="s">
        <v>165</v>
      </c>
      <c r="S737" t="s">
        <v>233</v>
      </c>
      <c r="T737" t="s">
        <v>171</v>
      </c>
      <c r="U737">
        <v>0.11112605053274276</v>
      </c>
      <c r="V737" t="s">
        <v>165</v>
      </c>
    </row>
    <row r="738" spans="9:22" x14ac:dyDescent="0.45">
      <c r="I738" t="s">
        <v>190</v>
      </c>
      <c r="J738" t="s">
        <v>172</v>
      </c>
      <c r="K738">
        <v>3.1032943774651534E-2</v>
      </c>
      <c r="L738" t="s">
        <v>165</v>
      </c>
      <c r="N738" t="s">
        <v>214</v>
      </c>
      <c r="O738" t="s">
        <v>172</v>
      </c>
      <c r="P738">
        <v>1.0327931310073708E-2</v>
      </c>
      <c r="Q738" t="s">
        <v>165</v>
      </c>
      <c r="S738" t="s">
        <v>233</v>
      </c>
      <c r="T738" t="s">
        <v>172</v>
      </c>
      <c r="U738">
        <v>1.2911388954338042E-2</v>
      </c>
      <c r="V738" t="s">
        <v>165</v>
      </c>
    </row>
    <row r="739" spans="9:22" x14ac:dyDescent="0.45">
      <c r="I739" t="s">
        <v>190</v>
      </c>
      <c r="J739" t="s">
        <v>173</v>
      </c>
      <c r="K739">
        <v>0.29215657855188581</v>
      </c>
      <c r="L739" t="s">
        <v>165</v>
      </c>
      <c r="N739" t="s">
        <v>214</v>
      </c>
      <c r="O739" t="s">
        <v>173</v>
      </c>
      <c r="P739">
        <v>7.3784711110758586E-2</v>
      </c>
      <c r="Q739" t="s">
        <v>165</v>
      </c>
      <c r="S739" t="s">
        <v>233</v>
      </c>
      <c r="T739" t="s">
        <v>173</v>
      </c>
      <c r="U739">
        <v>8.3956087985800301E-2</v>
      </c>
      <c r="V739" t="s">
        <v>165</v>
      </c>
    </row>
    <row r="740" spans="9:22" x14ac:dyDescent="0.45">
      <c r="I740" t="s">
        <v>190</v>
      </c>
      <c r="J740" t="s">
        <v>259</v>
      </c>
      <c r="K740">
        <v>3.3906467447299207E-2</v>
      </c>
      <c r="L740" t="s">
        <v>165</v>
      </c>
      <c r="N740" t="s">
        <v>214</v>
      </c>
      <c r="O740" t="s">
        <v>259</v>
      </c>
      <c r="P740">
        <v>1.3001352213900438E-2</v>
      </c>
      <c r="Q740" t="s">
        <v>165</v>
      </c>
      <c r="S740" t="s">
        <v>233</v>
      </c>
      <c r="T740" t="s">
        <v>259</v>
      </c>
      <c r="U740">
        <v>1.2377214918719043E-2</v>
      </c>
      <c r="V740" t="s">
        <v>165</v>
      </c>
    </row>
    <row r="741" spans="9:22" x14ac:dyDescent="0.45">
      <c r="I741" t="s">
        <v>190</v>
      </c>
      <c r="J741" t="s">
        <v>260</v>
      </c>
      <c r="K741">
        <v>2.7645057749590585E-2</v>
      </c>
      <c r="L741" t="s">
        <v>165</v>
      </c>
      <c r="N741" t="s">
        <v>214</v>
      </c>
      <c r="O741" t="s">
        <v>260</v>
      </c>
      <c r="P741">
        <v>1.2872483791681622E-2</v>
      </c>
      <c r="Q741" t="s">
        <v>165</v>
      </c>
      <c r="S741" t="s">
        <v>233</v>
      </c>
      <c r="T741" t="s">
        <v>260</v>
      </c>
      <c r="U741">
        <v>1.2922718284820335E-2</v>
      </c>
      <c r="V741" t="s">
        <v>165</v>
      </c>
    </row>
    <row r="742" spans="9:22" x14ac:dyDescent="0.45">
      <c r="I742" t="s">
        <v>190</v>
      </c>
      <c r="J742" t="s">
        <v>261</v>
      </c>
      <c r="K742">
        <v>3.6808611559517902E-2</v>
      </c>
      <c r="L742" t="s">
        <v>165</v>
      </c>
      <c r="N742" t="s">
        <v>214</v>
      </c>
      <c r="O742" t="s">
        <v>261</v>
      </c>
      <c r="P742">
        <v>7.4305493789085561E-2</v>
      </c>
      <c r="Q742" t="s">
        <v>165</v>
      </c>
      <c r="S742" t="s">
        <v>233</v>
      </c>
      <c r="T742" t="s">
        <v>261</v>
      </c>
      <c r="U742">
        <v>8.173540420566161E-2</v>
      </c>
      <c r="V742" t="s">
        <v>165</v>
      </c>
    </row>
    <row r="743" spans="9:22" x14ac:dyDescent="0.45">
      <c r="I743" t="s">
        <v>190</v>
      </c>
      <c r="J743" t="s">
        <v>262</v>
      </c>
      <c r="K743">
        <v>1.0809486225422018E-2</v>
      </c>
      <c r="L743" t="s">
        <v>165</v>
      </c>
      <c r="N743" t="s">
        <v>214</v>
      </c>
      <c r="O743" t="s">
        <v>262</v>
      </c>
      <c r="P743">
        <v>2.6266852185240015E-2</v>
      </c>
      <c r="Q743" t="s">
        <v>165</v>
      </c>
      <c r="S743" t="s">
        <v>233</v>
      </c>
      <c r="T743" t="s">
        <v>262</v>
      </c>
      <c r="U743">
        <v>2.7235197589921267E-2</v>
      </c>
      <c r="V743" t="s">
        <v>165</v>
      </c>
    </row>
    <row r="744" spans="9:22" x14ac:dyDescent="0.45">
      <c r="I744" t="s">
        <v>190</v>
      </c>
      <c r="J744" t="s">
        <v>263</v>
      </c>
      <c r="K744">
        <v>1.3438100547381895E-2</v>
      </c>
      <c r="L744" t="s">
        <v>165</v>
      </c>
      <c r="N744" t="s">
        <v>214</v>
      </c>
      <c r="O744" t="s">
        <v>263</v>
      </c>
      <c r="P744">
        <v>2.7496274689423378E-3</v>
      </c>
      <c r="Q744" t="s">
        <v>165</v>
      </c>
      <c r="S744" t="s">
        <v>233</v>
      </c>
      <c r="T744" t="s">
        <v>263</v>
      </c>
      <c r="U744">
        <v>3.284323188559749E-3</v>
      </c>
      <c r="V744" t="s">
        <v>165</v>
      </c>
    </row>
    <row r="745" spans="9:22" x14ac:dyDescent="0.45">
      <c r="I745" t="s">
        <v>190</v>
      </c>
      <c r="J745" t="s">
        <v>264</v>
      </c>
      <c r="K745">
        <v>0.14140890738377376</v>
      </c>
      <c r="L745" t="s">
        <v>165</v>
      </c>
      <c r="N745" t="s">
        <v>214</v>
      </c>
      <c r="O745" t="s">
        <v>264</v>
      </c>
      <c r="P745">
        <v>1.7988746270642855E-2</v>
      </c>
      <c r="Q745" t="s">
        <v>165</v>
      </c>
      <c r="S745" t="s">
        <v>233</v>
      </c>
      <c r="T745" t="s">
        <v>264</v>
      </c>
      <c r="U745">
        <v>2.241844902254082E-2</v>
      </c>
      <c r="V745" t="s">
        <v>165</v>
      </c>
    </row>
    <row r="746" spans="9:22" x14ac:dyDescent="0.45">
      <c r="I746" t="s">
        <v>190</v>
      </c>
      <c r="J746" t="s">
        <v>265</v>
      </c>
      <c r="K746">
        <v>1.7347906124127312E-2</v>
      </c>
      <c r="L746" t="s">
        <v>165</v>
      </c>
      <c r="N746" t="s">
        <v>214</v>
      </c>
      <c r="O746" t="s">
        <v>265</v>
      </c>
      <c r="P746">
        <v>3.2725011679107688E-3</v>
      </c>
      <c r="Q746" t="s">
        <v>165</v>
      </c>
      <c r="S746" t="s">
        <v>233</v>
      </c>
      <c r="T746" t="s">
        <v>265</v>
      </c>
      <c r="U746">
        <v>3.4873152235356704E-3</v>
      </c>
      <c r="V746" t="s">
        <v>165</v>
      </c>
    </row>
    <row r="747" spans="9:22" x14ac:dyDescent="0.45">
      <c r="I747" t="s">
        <v>190</v>
      </c>
      <c r="J747" t="s">
        <v>266</v>
      </c>
      <c r="K747">
        <v>1.4701230948290586E-2</v>
      </c>
      <c r="L747" t="s">
        <v>165</v>
      </c>
      <c r="N747" t="s">
        <v>214</v>
      </c>
      <c r="O747" t="s">
        <v>266</v>
      </c>
      <c r="P747">
        <v>3.2365956524810701E-3</v>
      </c>
      <c r="Q747" t="s">
        <v>165</v>
      </c>
      <c r="S747" t="s">
        <v>233</v>
      </c>
      <c r="T747" t="s">
        <v>266</v>
      </c>
      <c r="U747">
        <v>3.627315810300743E-3</v>
      </c>
      <c r="V747" t="s">
        <v>165</v>
      </c>
    </row>
    <row r="748" spans="9:22" x14ac:dyDescent="0.45">
      <c r="I748" t="s">
        <v>190</v>
      </c>
      <c r="J748" t="s">
        <v>267</v>
      </c>
      <c r="K748">
        <v>1.4850702995381429E-2</v>
      </c>
      <c r="L748" t="s">
        <v>165</v>
      </c>
      <c r="N748" t="s">
        <v>214</v>
      </c>
      <c r="O748" t="s">
        <v>267</v>
      </c>
      <c r="P748">
        <v>1.9368063557898746E-2</v>
      </c>
      <c r="Q748" t="s">
        <v>165</v>
      </c>
      <c r="S748" t="s">
        <v>233</v>
      </c>
      <c r="T748" t="s">
        <v>267</v>
      </c>
      <c r="U748">
        <v>2.2868564219904786E-2</v>
      </c>
      <c r="V748" t="s">
        <v>165</v>
      </c>
    </row>
    <row r="749" spans="9:22" x14ac:dyDescent="0.45">
      <c r="I749" t="s">
        <v>190</v>
      </c>
      <c r="J749" t="s">
        <v>268</v>
      </c>
      <c r="K749">
        <v>3.4493519668107918E-4</v>
      </c>
      <c r="L749" t="s">
        <v>165</v>
      </c>
      <c r="N749" t="s">
        <v>214</v>
      </c>
      <c r="O749" t="s">
        <v>268</v>
      </c>
      <c r="P749">
        <v>1.1014906859707508E-2</v>
      </c>
      <c r="Q749" t="s">
        <v>165</v>
      </c>
      <c r="S749" t="s">
        <v>233</v>
      </c>
      <c r="T749" t="s">
        <v>268</v>
      </c>
      <c r="U749">
        <v>1.6896960272529009E-2</v>
      </c>
      <c r="V749" t="s">
        <v>165</v>
      </c>
    </row>
    <row r="750" spans="9:22" x14ac:dyDescent="0.45">
      <c r="I750" t="s">
        <v>190</v>
      </c>
      <c r="J750" t="s">
        <v>269</v>
      </c>
      <c r="K750">
        <v>2.5303912110082819E-3</v>
      </c>
      <c r="L750" t="s">
        <v>165</v>
      </c>
      <c r="N750" t="s">
        <v>214</v>
      </c>
      <c r="O750" t="s">
        <v>269</v>
      </c>
      <c r="P750">
        <v>1.475307464279022E-3</v>
      </c>
      <c r="Q750" t="s">
        <v>165</v>
      </c>
      <c r="S750" t="s">
        <v>233</v>
      </c>
      <c r="T750" t="s">
        <v>269</v>
      </c>
      <c r="U750">
        <v>1.9491312348080378E-3</v>
      </c>
      <c r="V750" t="s">
        <v>165</v>
      </c>
    </row>
    <row r="751" spans="9:22" x14ac:dyDescent="0.45">
      <c r="I751" t="s">
        <v>190</v>
      </c>
      <c r="J751" t="s">
        <v>270</v>
      </c>
      <c r="K751">
        <v>4.1789195538505963E-2</v>
      </c>
      <c r="L751" t="s">
        <v>165</v>
      </c>
      <c r="N751" t="s">
        <v>214</v>
      </c>
      <c r="O751" t="s">
        <v>270</v>
      </c>
      <c r="P751">
        <v>1.1846059001370764E-2</v>
      </c>
      <c r="Q751" t="s">
        <v>165</v>
      </c>
      <c r="S751" t="s">
        <v>233</v>
      </c>
      <c r="T751" t="s">
        <v>270</v>
      </c>
      <c r="U751">
        <v>1.3250537963880539E-2</v>
      </c>
      <c r="V751" t="s">
        <v>165</v>
      </c>
    </row>
    <row r="752" spans="9:22" x14ac:dyDescent="0.45">
      <c r="I752" t="s">
        <v>190</v>
      </c>
      <c r="J752" t="s">
        <v>271</v>
      </c>
      <c r="K752">
        <v>4.5782942279766177E-3</v>
      </c>
      <c r="L752" t="s">
        <v>165</v>
      </c>
      <c r="N752" t="s">
        <v>214</v>
      </c>
      <c r="O752" t="s">
        <v>271</v>
      </c>
      <c r="P752">
        <v>1.9540815069502243E-3</v>
      </c>
      <c r="Q752" t="s">
        <v>165</v>
      </c>
      <c r="S752" t="s">
        <v>233</v>
      </c>
      <c r="T752" t="s">
        <v>271</v>
      </c>
      <c r="U752">
        <v>1.5602168223167641E-3</v>
      </c>
      <c r="V752" t="s">
        <v>165</v>
      </c>
    </row>
    <row r="753" spans="9:22" x14ac:dyDescent="0.45">
      <c r="I753" t="s">
        <v>190</v>
      </c>
      <c r="J753" t="s">
        <v>272</v>
      </c>
      <c r="K753">
        <v>3.178118249406781E-3</v>
      </c>
      <c r="L753" t="s">
        <v>165</v>
      </c>
      <c r="N753" t="s">
        <v>214</v>
      </c>
      <c r="O753" t="s">
        <v>272</v>
      </c>
      <c r="P753">
        <v>1.9353259094050054E-3</v>
      </c>
      <c r="Q753" t="s">
        <v>165</v>
      </c>
      <c r="S753" t="s">
        <v>233</v>
      </c>
      <c r="T753" t="s">
        <v>272</v>
      </c>
      <c r="U753">
        <v>1.638822856908405E-3</v>
      </c>
      <c r="V753" t="s">
        <v>165</v>
      </c>
    </row>
    <row r="754" spans="9:22" x14ac:dyDescent="0.45">
      <c r="I754" t="s">
        <v>190</v>
      </c>
      <c r="J754" t="s">
        <v>273</v>
      </c>
      <c r="K754">
        <v>3.4992598001577064E-4</v>
      </c>
      <c r="L754" t="s">
        <v>165</v>
      </c>
      <c r="N754" t="s">
        <v>214</v>
      </c>
      <c r="O754" t="s">
        <v>273</v>
      </c>
      <c r="P754">
        <v>9.480069394185258E-3</v>
      </c>
      <c r="Q754" t="s">
        <v>165</v>
      </c>
      <c r="S754" t="s">
        <v>233</v>
      </c>
      <c r="T754" t="s">
        <v>273</v>
      </c>
      <c r="U754">
        <v>1.3019273660841451E-2</v>
      </c>
      <c r="V754" t="s">
        <v>165</v>
      </c>
    </row>
    <row r="755" spans="9:22" x14ac:dyDescent="0.45">
      <c r="I755" t="s">
        <v>190</v>
      </c>
      <c r="J755" t="s">
        <v>274</v>
      </c>
      <c r="K755">
        <v>0</v>
      </c>
      <c r="L755" t="s">
        <v>165</v>
      </c>
      <c r="N755" t="s">
        <v>214</v>
      </c>
      <c r="O755" t="s">
        <v>274</v>
      </c>
      <c r="P755">
        <v>3.3299822227030318E-2</v>
      </c>
      <c r="Q755" t="s">
        <v>165</v>
      </c>
      <c r="S755" t="s">
        <v>233</v>
      </c>
      <c r="T755" t="s">
        <v>274</v>
      </c>
      <c r="U755">
        <v>3.442350446886993E-2</v>
      </c>
      <c r="V755" t="s">
        <v>165</v>
      </c>
    </row>
    <row r="756" spans="9:22" x14ac:dyDescent="0.45">
      <c r="I756" t="s">
        <v>190</v>
      </c>
      <c r="J756" t="s">
        <v>275</v>
      </c>
      <c r="K756">
        <v>1.1220645929836091E-3</v>
      </c>
      <c r="L756" t="s">
        <v>165</v>
      </c>
      <c r="N756" t="s">
        <v>214</v>
      </c>
      <c r="O756" t="s">
        <v>275</v>
      </c>
      <c r="P756">
        <v>4.528616675436122E-3</v>
      </c>
      <c r="Q756" t="s">
        <v>165</v>
      </c>
      <c r="S756" t="s">
        <v>233</v>
      </c>
      <c r="T756" t="s">
        <v>275</v>
      </c>
      <c r="U756">
        <v>4.0614479082279236E-3</v>
      </c>
      <c r="V756" t="s">
        <v>165</v>
      </c>
    </row>
    <row r="757" spans="9:22" x14ac:dyDescent="0.45">
      <c r="I757" t="s">
        <v>190</v>
      </c>
      <c r="J757" t="s">
        <v>276</v>
      </c>
      <c r="K757">
        <v>3.729257866210179E-2</v>
      </c>
      <c r="L757" t="s">
        <v>165</v>
      </c>
      <c r="N757" t="s">
        <v>214</v>
      </c>
      <c r="O757" t="s">
        <v>276</v>
      </c>
      <c r="P757">
        <v>3.6284788060618439E-2</v>
      </c>
      <c r="Q757" t="s">
        <v>165</v>
      </c>
      <c r="S757" t="s">
        <v>233</v>
      </c>
      <c r="T757" t="s">
        <v>276</v>
      </c>
      <c r="U757">
        <v>2.6508553730142926E-2</v>
      </c>
      <c r="V757" t="s">
        <v>165</v>
      </c>
    </row>
    <row r="758" spans="9:22" x14ac:dyDescent="0.45">
      <c r="I758" t="s">
        <v>190</v>
      </c>
      <c r="J758" t="s">
        <v>277</v>
      </c>
      <c r="K758">
        <v>3.7849503157863741E-3</v>
      </c>
      <c r="L758" t="s">
        <v>165</v>
      </c>
      <c r="N758" t="s">
        <v>214</v>
      </c>
      <c r="O758" t="s">
        <v>277</v>
      </c>
      <c r="P758">
        <v>4.9727791593263881E-3</v>
      </c>
      <c r="Q758" t="s">
        <v>165</v>
      </c>
      <c r="S758" t="s">
        <v>233</v>
      </c>
      <c r="T758" t="s">
        <v>277</v>
      </c>
      <c r="U758">
        <v>3.8647837534976589E-3</v>
      </c>
      <c r="V758" t="s">
        <v>165</v>
      </c>
    </row>
    <row r="759" spans="9:22" x14ac:dyDescent="0.45">
      <c r="I759" t="s">
        <v>190</v>
      </c>
      <c r="J759" t="s">
        <v>278</v>
      </c>
      <c r="K759">
        <v>7.8151037131663848E-4</v>
      </c>
      <c r="L759" t="s">
        <v>165</v>
      </c>
      <c r="N759" t="s">
        <v>214</v>
      </c>
      <c r="O759" t="s">
        <v>278</v>
      </c>
      <c r="P759">
        <v>4.8230334303336741E-3</v>
      </c>
      <c r="Q759" t="s">
        <v>165</v>
      </c>
      <c r="S759" t="s">
        <v>233</v>
      </c>
      <c r="T759" t="s">
        <v>278</v>
      </c>
      <c r="U759">
        <v>4.0260004117793104E-3</v>
      </c>
      <c r="V759" t="s">
        <v>165</v>
      </c>
    </row>
    <row r="760" spans="9:22" x14ac:dyDescent="0.45">
      <c r="I760" t="s">
        <v>190</v>
      </c>
      <c r="J760" t="s">
        <v>279</v>
      </c>
      <c r="K760">
        <v>0</v>
      </c>
      <c r="L760" t="s">
        <v>165</v>
      </c>
      <c r="N760" t="s">
        <v>214</v>
      </c>
      <c r="O760" t="s">
        <v>279</v>
      </c>
      <c r="P760">
        <v>2.6815384206646763E-2</v>
      </c>
      <c r="Q760" t="s">
        <v>165</v>
      </c>
      <c r="S760" t="s">
        <v>233</v>
      </c>
      <c r="T760" t="s">
        <v>279</v>
      </c>
      <c r="U760">
        <v>2.5237148558044448E-2</v>
      </c>
      <c r="V760" t="s">
        <v>165</v>
      </c>
    </row>
    <row r="761" spans="9:22" x14ac:dyDescent="0.45">
      <c r="I761" t="s">
        <v>190</v>
      </c>
      <c r="J761" t="s">
        <v>280</v>
      </c>
      <c r="K761">
        <v>0</v>
      </c>
      <c r="L761" t="s">
        <v>165</v>
      </c>
      <c r="N761" t="s">
        <v>214</v>
      </c>
      <c r="O761" t="s">
        <v>280</v>
      </c>
      <c r="P761">
        <v>2.4463670796033898E-2</v>
      </c>
      <c r="Q761" t="s">
        <v>165</v>
      </c>
      <c r="S761" t="s">
        <v>233</v>
      </c>
      <c r="T761" t="s">
        <v>280</v>
      </c>
      <c r="U761">
        <v>2.8266846820103476E-2</v>
      </c>
      <c r="V761" t="s">
        <v>165</v>
      </c>
    </row>
    <row r="762" spans="9:22" x14ac:dyDescent="0.45">
      <c r="I762" t="s">
        <v>190</v>
      </c>
      <c r="J762" t="s">
        <v>281</v>
      </c>
      <c r="K762">
        <v>0</v>
      </c>
      <c r="L762" t="s">
        <v>165</v>
      </c>
      <c r="N762" t="s">
        <v>214</v>
      </c>
      <c r="O762" t="s">
        <v>281</v>
      </c>
      <c r="P762">
        <v>2.8252769244141553E-3</v>
      </c>
      <c r="Q762" t="s">
        <v>165</v>
      </c>
      <c r="S762" t="s">
        <v>233</v>
      </c>
      <c r="T762" t="s">
        <v>281</v>
      </c>
      <c r="U762">
        <v>3.5295599377112392E-3</v>
      </c>
      <c r="V762" t="s">
        <v>165</v>
      </c>
    </row>
    <row r="763" spans="9:22" x14ac:dyDescent="0.45">
      <c r="I763" t="s">
        <v>190</v>
      </c>
      <c r="J763" t="s">
        <v>282</v>
      </c>
      <c r="K763">
        <v>4.4703427543909914E-2</v>
      </c>
      <c r="L763" t="s">
        <v>165</v>
      </c>
      <c r="N763" t="s">
        <v>214</v>
      </c>
      <c r="O763" t="s">
        <v>282</v>
      </c>
      <c r="P763">
        <v>1.7098973454290248E-2</v>
      </c>
      <c r="Q763" t="s">
        <v>165</v>
      </c>
      <c r="S763" t="s">
        <v>233</v>
      </c>
      <c r="T763" t="s">
        <v>282</v>
      </c>
      <c r="U763">
        <v>2.6260483749621841E-2</v>
      </c>
      <c r="V763" t="s">
        <v>165</v>
      </c>
    </row>
    <row r="764" spans="9:22" x14ac:dyDescent="0.45">
      <c r="I764" t="s">
        <v>190</v>
      </c>
      <c r="J764" t="s">
        <v>283</v>
      </c>
      <c r="K764">
        <v>4.6967774254134537E-3</v>
      </c>
      <c r="L764" t="s">
        <v>165</v>
      </c>
      <c r="N764" t="s">
        <v>214</v>
      </c>
      <c r="O764" t="s">
        <v>283</v>
      </c>
      <c r="P764">
        <v>2.0572558856032713E-3</v>
      </c>
      <c r="Q764" t="s">
        <v>165</v>
      </c>
      <c r="S764" t="s">
        <v>233</v>
      </c>
      <c r="T764" t="s">
        <v>283</v>
      </c>
      <c r="U764">
        <v>3.8161780227523459E-3</v>
      </c>
      <c r="V764" t="s">
        <v>165</v>
      </c>
    </row>
    <row r="765" spans="9:22" x14ac:dyDescent="0.45">
      <c r="I765" t="s">
        <v>190</v>
      </c>
      <c r="J765" t="s">
        <v>284</v>
      </c>
      <c r="K765">
        <v>0</v>
      </c>
      <c r="L765" t="s">
        <v>165</v>
      </c>
      <c r="N765" t="s">
        <v>214</v>
      </c>
      <c r="O765" t="s">
        <v>284</v>
      </c>
      <c r="P765">
        <v>2.0688983374630935E-3</v>
      </c>
      <c r="Q765" t="s">
        <v>165</v>
      </c>
      <c r="S765" t="s">
        <v>233</v>
      </c>
      <c r="T765" t="s">
        <v>284</v>
      </c>
      <c r="U765">
        <v>3.8794746686786627E-3</v>
      </c>
      <c r="V765" t="s">
        <v>165</v>
      </c>
    </row>
    <row r="766" spans="9:22" x14ac:dyDescent="0.45">
      <c r="I766" t="s">
        <v>190</v>
      </c>
      <c r="J766" t="s">
        <v>285</v>
      </c>
      <c r="K766">
        <v>0</v>
      </c>
      <c r="L766" t="s">
        <v>165</v>
      </c>
      <c r="N766" t="s">
        <v>214</v>
      </c>
      <c r="O766" t="s">
        <v>285</v>
      </c>
      <c r="P766">
        <v>1.4243821870133493E-2</v>
      </c>
      <c r="Q766" t="s">
        <v>165</v>
      </c>
      <c r="S766" t="s">
        <v>233</v>
      </c>
      <c r="T766" t="s">
        <v>285</v>
      </c>
      <c r="U766">
        <v>2.3306859098805664E-2</v>
      </c>
      <c r="V766" t="s">
        <v>165</v>
      </c>
    </row>
    <row r="767" spans="9:22" x14ac:dyDescent="0.45">
      <c r="I767" t="s">
        <v>191</v>
      </c>
      <c r="J767" t="s">
        <v>164</v>
      </c>
      <c r="K767">
        <v>0</v>
      </c>
      <c r="L767" t="s">
        <v>165</v>
      </c>
      <c r="N767" t="s">
        <v>215</v>
      </c>
      <c r="O767" t="s">
        <v>164</v>
      </c>
      <c r="P767">
        <v>8.7818064750543351E-2</v>
      </c>
      <c r="Q767" t="s">
        <v>165</v>
      </c>
      <c r="S767" t="s">
        <v>234</v>
      </c>
      <c r="T767" t="s">
        <v>164</v>
      </c>
      <c r="U767">
        <v>7.6856701555165427E-2</v>
      </c>
      <c r="V767" t="s">
        <v>165</v>
      </c>
    </row>
    <row r="768" spans="9:22" x14ac:dyDescent="0.45">
      <c r="I768" t="s">
        <v>191</v>
      </c>
      <c r="J768" t="s">
        <v>166</v>
      </c>
      <c r="K768">
        <v>2.7244222263183315E-3</v>
      </c>
      <c r="L768" t="s">
        <v>165</v>
      </c>
      <c r="N768" t="s">
        <v>215</v>
      </c>
      <c r="O768" t="s">
        <v>166</v>
      </c>
      <c r="P768">
        <v>1.008821074922232E-2</v>
      </c>
      <c r="Q768" t="s">
        <v>165</v>
      </c>
      <c r="S768" t="s">
        <v>234</v>
      </c>
      <c r="T768" t="s">
        <v>166</v>
      </c>
      <c r="U768">
        <v>1.0340630796562972E-2</v>
      </c>
      <c r="V768" t="s">
        <v>165</v>
      </c>
    </row>
    <row r="769" spans="9:22" x14ac:dyDescent="0.45">
      <c r="I769" t="s">
        <v>191</v>
      </c>
      <c r="J769" t="s">
        <v>167</v>
      </c>
      <c r="K769">
        <v>8.0362979540463869E-2</v>
      </c>
      <c r="L769" t="s">
        <v>165</v>
      </c>
      <c r="N769" t="s">
        <v>215</v>
      </c>
      <c r="O769" t="s">
        <v>167</v>
      </c>
      <c r="P769">
        <v>8.0120482069428553E-2</v>
      </c>
      <c r="Q769" t="s">
        <v>165</v>
      </c>
      <c r="S769" t="s">
        <v>234</v>
      </c>
      <c r="T769" t="s">
        <v>167</v>
      </c>
      <c r="U769">
        <v>7.6770356990525285E-2</v>
      </c>
      <c r="V769" t="s">
        <v>165</v>
      </c>
    </row>
    <row r="770" spans="9:22" x14ac:dyDescent="0.45">
      <c r="I770" t="s">
        <v>191</v>
      </c>
      <c r="J770" t="s">
        <v>253</v>
      </c>
      <c r="K770">
        <v>9.2339397396325271E-3</v>
      </c>
      <c r="L770" t="s">
        <v>165</v>
      </c>
      <c r="N770" t="s">
        <v>215</v>
      </c>
      <c r="O770" t="s">
        <v>253</v>
      </c>
      <c r="P770">
        <v>1.2355061533010364E-2</v>
      </c>
      <c r="Q770" t="s">
        <v>165</v>
      </c>
      <c r="S770" t="s">
        <v>234</v>
      </c>
      <c r="T770" t="s">
        <v>253</v>
      </c>
      <c r="U770">
        <v>1.1215369831654E-2</v>
      </c>
      <c r="V770" t="s">
        <v>165</v>
      </c>
    </row>
    <row r="771" spans="9:22" x14ac:dyDescent="0.45">
      <c r="I771" t="s">
        <v>191</v>
      </c>
      <c r="J771" t="s">
        <v>254</v>
      </c>
      <c r="K771">
        <v>5.7794226827642646E-3</v>
      </c>
      <c r="L771" t="s">
        <v>165</v>
      </c>
      <c r="N771" t="s">
        <v>215</v>
      </c>
      <c r="O771" t="s">
        <v>254</v>
      </c>
      <c r="P771">
        <v>1.243992274786428E-2</v>
      </c>
      <c r="Q771" t="s">
        <v>165</v>
      </c>
      <c r="S771" t="s">
        <v>234</v>
      </c>
      <c r="T771" t="s">
        <v>254</v>
      </c>
      <c r="U771">
        <v>1.1137506256514542E-2</v>
      </c>
      <c r="V771" t="s">
        <v>165</v>
      </c>
    </row>
    <row r="772" spans="9:22" x14ac:dyDescent="0.45">
      <c r="I772" t="s">
        <v>191</v>
      </c>
      <c r="J772" t="s">
        <v>255</v>
      </c>
      <c r="K772">
        <v>7.7062828590010468E-4</v>
      </c>
      <c r="L772" t="s">
        <v>165</v>
      </c>
      <c r="N772" t="s">
        <v>215</v>
      </c>
      <c r="O772" t="s">
        <v>255</v>
      </c>
      <c r="P772">
        <v>7.0488543561692013E-2</v>
      </c>
      <c r="Q772" t="s">
        <v>165</v>
      </c>
      <c r="S772" t="s">
        <v>234</v>
      </c>
      <c r="T772" t="s">
        <v>255</v>
      </c>
      <c r="U772">
        <v>6.1677695473628655E-2</v>
      </c>
      <c r="V772" t="s">
        <v>165</v>
      </c>
    </row>
    <row r="773" spans="9:22" x14ac:dyDescent="0.45">
      <c r="I773" t="s">
        <v>191</v>
      </c>
      <c r="J773" t="s">
        <v>168</v>
      </c>
      <c r="K773">
        <v>1.5132497487369747E-3</v>
      </c>
      <c r="L773" t="s">
        <v>165</v>
      </c>
      <c r="N773" t="s">
        <v>215</v>
      </c>
      <c r="O773" t="s">
        <v>168</v>
      </c>
      <c r="P773">
        <v>6.5251150092803814E-2</v>
      </c>
      <c r="Q773" t="s">
        <v>165</v>
      </c>
      <c r="S773" t="s">
        <v>234</v>
      </c>
      <c r="T773" t="s">
        <v>168</v>
      </c>
      <c r="U773">
        <v>4.240392059752577E-2</v>
      </c>
      <c r="V773" t="s">
        <v>165</v>
      </c>
    </row>
    <row r="774" spans="9:22" x14ac:dyDescent="0.45">
      <c r="I774" t="s">
        <v>191</v>
      </c>
      <c r="J774" t="s">
        <v>169</v>
      </c>
      <c r="K774">
        <v>4.0461321848286498E-3</v>
      </c>
      <c r="L774" t="s">
        <v>165</v>
      </c>
      <c r="N774" t="s">
        <v>215</v>
      </c>
      <c r="O774" t="s">
        <v>169</v>
      </c>
      <c r="P774">
        <v>8.2178992290458872E-3</v>
      </c>
      <c r="Q774" t="s">
        <v>165</v>
      </c>
      <c r="S774" t="s">
        <v>234</v>
      </c>
      <c r="T774" t="s">
        <v>169</v>
      </c>
      <c r="U774">
        <v>5.2690540719693745E-3</v>
      </c>
      <c r="V774" t="s">
        <v>165</v>
      </c>
    </row>
    <row r="775" spans="9:22" x14ac:dyDescent="0.45">
      <c r="I775" t="s">
        <v>191</v>
      </c>
      <c r="J775" t="s">
        <v>170</v>
      </c>
      <c r="K775">
        <v>5.6528308684309775E-2</v>
      </c>
      <c r="L775" t="s">
        <v>165</v>
      </c>
      <c r="N775" t="s">
        <v>215</v>
      </c>
      <c r="O775" t="s">
        <v>170</v>
      </c>
      <c r="P775">
        <v>5.3658366406707493E-2</v>
      </c>
      <c r="Q775" t="s">
        <v>165</v>
      </c>
      <c r="S775" t="s">
        <v>234</v>
      </c>
      <c r="T775" t="s">
        <v>170</v>
      </c>
      <c r="U775">
        <v>3.6492290847684704E-2</v>
      </c>
      <c r="V775" t="s">
        <v>165</v>
      </c>
    </row>
    <row r="776" spans="9:22" x14ac:dyDescent="0.45">
      <c r="I776" t="s">
        <v>191</v>
      </c>
      <c r="J776" t="s">
        <v>256</v>
      </c>
      <c r="K776">
        <v>6.5982934299332373E-3</v>
      </c>
      <c r="L776" t="s">
        <v>165</v>
      </c>
      <c r="N776" t="s">
        <v>215</v>
      </c>
      <c r="O776" t="s">
        <v>256</v>
      </c>
      <c r="P776">
        <v>6.8554378279752611E-3</v>
      </c>
      <c r="Q776" t="s">
        <v>165</v>
      </c>
      <c r="S776" t="s">
        <v>234</v>
      </c>
      <c r="T776" t="s">
        <v>256</v>
      </c>
      <c r="U776">
        <v>4.804282777820453E-3</v>
      </c>
      <c r="V776" t="s">
        <v>165</v>
      </c>
    </row>
    <row r="777" spans="9:22" x14ac:dyDescent="0.45">
      <c r="I777" t="s">
        <v>191</v>
      </c>
      <c r="J777" t="s">
        <v>257</v>
      </c>
      <c r="K777">
        <v>4.682616488938759E-3</v>
      </c>
      <c r="L777" t="s">
        <v>165</v>
      </c>
      <c r="N777" t="s">
        <v>215</v>
      </c>
      <c r="O777" t="s">
        <v>257</v>
      </c>
      <c r="P777">
        <v>6.9118183942936309E-3</v>
      </c>
      <c r="Q777" t="s">
        <v>165</v>
      </c>
      <c r="S777" t="s">
        <v>234</v>
      </c>
      <c r="T777" t="s">
        <v>257</v>
      </c>
      <c r="U777">
        <v>4.7547880729345293E-3</v>
      </c>
      <c r="V777" t="s">
        <v>165</v>
      </c>
    </row>
    <row r="778" spans="9:22" x14ac:dyDescent="0.45">
      <c r="I778" t="s">
        <v>191</v>
      </c>
      <c r="J778" t="s">
        <v>258</v>
      </c>
      <c r="K778">
        <v>2.5668280767285412E-3</v>
      </c>
      <c r="L778" t="s">
        <v>165</v>
      </c>
      <c r="N778" t="s">
        <v>215</v>
      </c>
      <c r="O778" t="s">
        <v>258</v>
      </c>
      <c r="P778">
        <v>4.497650716560038E-2</v>
      </c>
      <c r="Q778" t="s">
        <v>165</v>
      </c>
      <c r="S778" t="s">
        <v>234</v>
      </c>
      <c r="T778" t="s">
        <v>258</v>
      </c>
      <c r="U778">
        <v>2.8740622671493739E-2</v>
      </c>
      <c r="V778" t="s">
        <v>165</v>
      </c>
    </row>
    <row r="779" spans="9:22" x14ac:dyDescent="0.45">
      <c r="I779" t="s">
        <v>191</v>
      </c>
      <c r="J779" t="s">
        <v>171</v>
      </c>
      <c r="K779">
        <v>3.2501418180057091E-2</v>
      </c>
      <c r="L779" t="s">
        <v>165</v>
      </c>
      <c r="N779" t="s">
        <v>215</v>
      </c>
      <c r="O779" t="s">
        <v>171</v>
      </c>
      <c r="P779">
        <v>9.5044980931065212E-2</v>
      </c>
      <c r="Q779" t="s">
        <v>165</v>
      </c>
      <c r="S779" t="s">
        <v>234</v>
      </c>
      <c r="T779" t="s">
        <v>171</v>
      </c>
      <c r="U779">
        <v>0.10267903524992829</v>
      </c>
      <c r="V779" t="s">
        <v>165</v>
      </c>
    </row>
    <row r="780" spans="9:22" x14ac:dyDescent="0.45">
      <c r="I780" t="s">
        <v>191</v>
      </c>
      <c r="J780" t="s">
        <v>172</v>
      </c>
      <c r="K780">
        <v>3.1720730855548773E-2</v>
      </c>
      <c r="L780" t="s">
        <v>165</v>
      </c>
      <c r="N780" t="s">
        <v>215</v>
      </c>
      <c r="O780" t="s">
        <v>172</v>
      </c>
      <c r="P780">
        <v>1.1611547824610368E-2</v>
      </c>
      <c r="Q780" t="s">
        <v>165</v>
      </c>
      <c r="S780" t="s">
        <v>234</v>
      </c>
      <c r="T780" t="s">
        <v>172</v>
      </c>
      <c r="U780">
        <v>1.1878696305331553E-2</v>
      </c>
      <c r="V780" t="s">
        <v>165</v>
      </c>
    </row>
    <row r="781" spans="9:22" x14ac:dyDescent="0.45">
      <c r="I781" t="s">
        <v>191</v>
      </c>
      <c r="J781" t="s">
        <v>173</v>
      </c>
      <c r="K781">
        <v>0.29730800593339785</v>
      </c>
      <c r="L781" t="s">
        <v>165</v>
      </c>
      <c r="N781" t="s">
        <v>215</v>
      </c>
      <c r="O781" t="s">
        <v>173</v>
      </c>
      <c r="P781">
        <v>9.2009249974302543E-2</v>
      </c>
      <c r="Q781" t="s">
        <v>165</v>
      </c>
      <c r="S781" t="s">
        <v>234</v>
      </c>
      <c r="T781" t="s">
        <v>173</v>
      </c>
      <c r="U781">
        <v>8.8771955422193849E-2</v>
      </c>
      <c r="V781" t="s">
        <v>165</v>
      </c>
    </row>
    <row r="782" spans="9:22" x14ac:dyDescent="0.45">
      <c r="I782" t="s">
        <v>191</v>
      </c>
      <c r="J782" t="s">
        <v>259</v>
      </c>
      <c r="K782">
        <v>3.5652824740297705E-2</v>
      </c>
      <c r="L782" t="s">
        <v>165</v>
      </c>
      <c r="N782" t="s">
        <v>215</v>
      </c>
      <c r="O782" t="s">
        <v>259</v>
      </c>
      <c r="P782">
        <v>1.5205281278211734E-2</v>
      </c>
      <c r="Q782" t="s">
        <v>165</v>
      </c>
      <c r="S782" t="s">
        <v>234</v>
      </c>
      <c r="T782" t="s">
        <v>259</v>
      </c>
      <c r="U782">
        <v>1.4939097469722683E-2</v>
      </c>
      <c r="V782" t="s">
        <v>165</v>
      </c>
    </row>
    <row r="783" spans="9:22" x14ac:dyDescent="0.45">
      <c r="I783" t="s">
        <v>191</v>
      </c>
      <c r="J783" t="s">
        <v>260</v>
      </c>
      <c r="K783">
        <v>2.9796001541482573E-2</v>
      </c>
      <c r="L783" t="s">
        <v>165</v>
      </c>
      <c r="N783" t="s">
        <v>215</v>
      </c>
      <c r="O783" t="s">
        <v>260</v>
      </c>
      <c r="P783">
        <v>1.4720139714320936E-2</v>
      </c>
      <c r="Q783" t="s">
        <v>165</v>
      </c>
      <c r="S783" t="s">
        <v>234</v>
      </c>
      <c r="T783" t="s">
        <v>260</v>
      </c>
      <c r="U783">
        <v>1.5230748925316411E-2</v>
      </c>
      <c r="V783" t="s">
        <v>165</v>
      </c>
    </row>
    <row r="784" spans="9:22" x14ac:dyDescent="0.45">
      <c r="I784" t="s">
        <v>191</v>
      </c>
      <c r="J784" t="s">
        <v>261</v>
      </c>
      <c r="K784">
        <v>3.2904102372833303E-2</v>
      </c>
      <c r="L784" t="s">
        <v>165</v>
      </c>
      <c r="N784" t="s">
        <v>215</v>
      </c>
      <c r="O784" t="s">
        <v>261</v>
      </c>
      <c r="P784">
        <v>7.7669563571739403E-2</v>
      </c>
      <c r="Q784" t="s">
        <v>165</v>
      </c>
      <c r="S784" t="s">
        <v>234</v>
      </c>
      <c r="T784" t="s">
        <v>261</v>
      </c>
      <c r="U784">
        <v>8.6492364098899308E-2</v>
      </c>
      <c r="V784" t="s">
        <v>165</v>
      </c>
    </row>
    <row r="785" spans="9:22" x14ac:dyDescent="0.45">
      <c r="I785" t="s">
        <v>191</v>
      </c>
      <c r="J785" t="s">
        <v>262</v>
      </c>
      <c r="K785">
        <v>1.1823910296235241E-2</v>
      </c>
      <c r="L785" t="s">
        <v>165</v>
      </c>
      <c r="N785" t="s">
        <v>215</v>
      </c>
      <c r="O785" t="s">
        <v>262</v>
      </c>
      <c r="P785">
        <v>1.6721702372478987E-2</v>
      </c>
      <c r="Q785" t="s">
        <v>165</v>
      </c>
      <c r="S785" t="s">
        <v>234</v>
      </c>
      <c r="T785" t="s">
        <v>262</v>
      </c>
      <c r="U785">
        <v>2.5675001102192292E-2</v>
      </c>
      <c r="V785" t="s">
        <v>165</v>
      </c>
    </row>
    <row r="786" spans="9:22" x14ac:dyDescent="0.45">
      <c r="I786" t="s">
        <v>191</v>
      </c>
      <c r="J786" t="s">
        <v>263</v>
      </c>
      <c r="K786">
        <v>1.4422348334431848E-2</v>
      </c>
      <c r="L786" t="s">
        <v>165</v>
      </c>
      <c r="N786" t="s">
        <v>215</v>
      </c>
      <c r="O786" t="s">
        <v>263</v>
      </c>
      <c r="P786">
        <v>2.1979972057757217E-3</v>
      </c>
      <c r="Q786" t="s">
        <v>165</v>
      </c>
      <c r="S786" t="s">
        <v>234</v>
      </c>
      <c r="T786" t="s">
        <v>263</v>
      </c>
      <c r="U786">
        <v>2.9371494253144625E-3</v>
      </c>
      <c r="V786" t="s">
        <v>165</v>
      </c>
    </row>
    <row r="787" spans="9:22" x14ac:dyDescent="0.45">
      <c r="I787" t="s">
        <v>191</v>
      </c>
      <c r="J787" t="s">
        <v>264</v>
      </c>
      <c r="K787">
        <v>0.14034744737299315</v>
      </c>
      <c r="L787" t="s">
        <v>165</v>
      </c>
      <c r="N787" t="s">
        <v>215</v>
      </c>
      <c r="O787" t="s">
        <v>264</v>
      </c>
      <c r="P787">
        <v>1.9470854927552711E-2</v>
      </c>
      <c r="Q787" t="s">
        <v>165</v>
      </c>
      <c r="S787" t="s">
        <v>234</v>
      </c>
      <c r="T787" t="s">
        <v>264</v>
      </c>
      <c r="U787">
        <v>2.4103041711467058E-2</v>
      </c>
      <c r="V787" t="s">
        <v>165</v>
      </c>
    </row>
    <row r="788" spans="9:22" x14ac:dyDescent="0.45">
      <c r="I788" t="s">
        <v>191</v>
      </c>
      <c r="J788" t="s">
        <v>265</v>
      </c>
      <c r="K788">
        <v>1.6684953879494271E-2</v>
      </c>
      <c r="L788" t="s">
        <v>165</v>
      </c>
      <c r="N788" t="s">
        <v>215</v>
      </c>
      <c r="O788" t="s">
        <v>265</v>
      </c>
      <c r="P788">
        <v>3.8270296938680598E-3</v>
      </c>
      <c r="Q788" t="s">
        <v>165</v>
      </c>
      <c r="S788" t="s">
        <v>234</v>
      </c>
      <c r="T788" t="s">
        <v>265</v>
      </c>
      <c r="U788">
        <v>4.2419716344361917E-3</v>
      </c>
      <c r="V788" t="s">
        <v>165</v>
      </c>
    </row>
    <row r="789" spans="9:22" x14ac:dyDescent="0.45">
      <c r="I789" t="s">
        <v>191</v>
      </c>
      <c r="J789" t="s">
        <v>266</v>
      </c>
      <c r="K789">
        <v>1.3244968050954875E-2</v>
      </c>
      <c r="L789" t="s">
        <v>165</v>
      </c>
      <c r="N789" t="s">
        <v>215</v>
      </c>
      <c r="O789" t="s">
        <v>266</v>
      </c>
      <c r="P789">
        <v>3.5616216651034706E-3</v>
      </c>
      <c r="Q789" t="s">
        <v>165</v>
      </c>
      <c r="S789" t="s">
        <v>234</v>
      </c>
      <c r="T789" t="s">
        <v>266</v>
      </c>
      <c r="U789">
        <v>4.3003984150709208E-3</v>
      </c>
      <c r="V789" t="s">
        <v>165</v>
      </c>
    </row>
    <row r="790" spans="9:22" x14ac:dyDescent="0.45">
      <c r="I790" t="s">
        <v>191</v>
      </c>
      <c r="J790" t="s">
        <v>267</v>
      </c>
      <c r="K790">
        <v>1.137652677534251E-2</v>
      </c>
      <c r="L790" t="s">
        <v>165</v>
      </c>
      <c r="N790" t="s">
        <v>215</v>
      </c>
      <c r="O790" t="s">
        <v>267</v>
      </c>
      <c r="P790">
        <v>1.5118218531261827E-2</v>
      </c>
      <c r="Q790" t="s">
        <v>165</v>
      </c>
      <c r="S790" t="s">
        <v>234</v>
      </c>
      <c r="T790" t="s">
        <v>267</v>
      </c>
      <c r="U790">
        <v>2.32489757502518E-2</v>
      </c>
      <c r="V790" t="s">
        <v>165</v>
      </c>
    </row>
    <row r="791" spans="9:22" x14ac:dyDescent="0.45">
      <c r="I791" t="s">
        <v>191</v>
      </c>
      <c r="J791" t="s">
        <v>268</v>
      </c>
      <c r="K791">
        <v>1.5419092504545195E-3</v>
      </c>
      <c r="L791" t="s">
        <v>165</v>
      </c>
      <c r="N791" t="s">
        <v>215</v>
      </c>
      <c r="O791" t="s">
        <v>268</v>
      </c>
      <c r="P791">
        <v>9.9483816864450528E-3</v>
      </c>
      <c r="Q791" t="s">
        <v>165</v>
      </c>
      <c r="S791" t="s">
        <v>234</v>
      </c>
      <c r="T791" t="s">
        <v>268</v>
      </c>
      <c r="U791">
        <v>1.9673707652257875E-2</v>
      </c>
      <c r="V791" t="s">
        <v>165</v>
      </c>
    </row>
    <row r="792" spans="9:22" x14ac:dyDescent="0.45">
      <c r="I792" t="s">
        <v>191</v>
      </c>
      <c r="J792" t="s">
        <v>269</v>
      </c>
      <c r="K792">
        <v>4.418484934214306E-3</v>
      </c>
      <c r="L792" t="s">
        <v>165</v>
      </c>
      <c r="N792" t="s">
        <v>215</v>
      </c>
      <c r="O792" t="s">
        <v>269</v>
      </c>
      <c r="P792">
        <v>1.4145465126072622E-3</v>
      </c>
      <c r="Q792" t="s">
        <v>165</v>
      </c>
      <c r="S792" t="s">
        <v>234</v>
      </c>
      <c r="T792" t="s">
        <v>269</v>
      </c>
      <c r="U792">
        <v>2.4707319135377124E-3</v>
      </c>
      <c r="V792" t="s">
        <v>165</v>
      </c>
    </row>
    <row r="793" spans="9:22" x14ac:dyDescent="0.45">
      <c r="I793" t="s">
        <v>191</v>
      </c>
      <c r="J793" t="s">
        <v>270</v>
      </c>
      <c r="K793">
        <v>5.4944582392129224E-2</v>
      </c>
      <c r="L793" t="s">
        <v>165</v>
      </c>
      <c r="N793" t="s">
        <v>215</v>
      </c>
      <c r="O793" t="s">
        <v>270</v>
      </c>
      <c r="P793">
        <v>1.0376483826761172E-2</v>
      </c>
      <c r="Q793" t="s">
        <v>165</v>
      </c>
      <c r="S793" t="s">
        <v>234</v>
      </c>
      <c r="T793" t="s">
        <v>270</v>
      </c>
      <c r="U793">
        <v>1.7203859328243847E-2</v>
      </c>
      <c r="V793" t="s">
        <v>165</v>
      </c>
    </row>
    <row r="794" spans="9:22" x14ac:dyDescent="0.45">
      <c r="I794" t="s">
        <v>191</v>
      </c>
      <c r="J794" t="s">
        <v>271</v>
      </c>
      <c r="K794">
        <v>6.2122110869322041E-3</v>
      </c>
      <c r="L794" t="s">
        <v>165</v>
      </c>
      <c r="N794" t="s">
        <v>215</v>
      </c>
      <c r="O794" t="s">
        <v>271</v>
      </c>
      <c r="P794">
        <v>1.7783254551867794E-3</v>
      </c>
      <c r="Q794" t="s">
        <v>165</v>
      </c>
      <c r="S794" t="s">
        <v>234</v>
      </c>
      <c r="T794" t="s">
        <v>271</v>
      </c>
      <c r="U794">
        <v>2.2006716796127293E-3</v>
      </c>
      <c r="V794" t="s">
        <v>165</v>
      </c>
    </row>
    <row r="795" spans="9:22" x14ac:dyDescent="0.45">
      <c r="I795" t="s">
        <v>191</v>
      </c>
      <c r="J795" t="s">
        <v>272</v>
      </c>
      <c r="K795">
        <v>3.8032024958567032E-3</v>
      </c>
      <c r="L795" t="s">
        <v>165</v>
      </c>
      <c r="N795" t="s">
        <v>215</v>
      </c>
      <c r="O795" t="s">
        <v>272</v>
      </c>
      <c r="P795">
        <v>1.824980970467617E-3</v>
      </c>
      <c r="Q795" t="s">
        <v>165</v>
      </c>
      <c r="S795" t="s">
        <v>234</v>
      </c>
      <c r="T795" t="s">
        <v>272</v>
      </c>
      <c r="U795">
        <v>2.2723996507051899E-3</v>
      </c>
      <c r="V795" t="s">
        <v>165</v>
      </c>
    </row>
    <row r="796" spans="9:22" x14ac:dyDescent="0.45">
      <c r="I796" t="s">
        <v>191</v>
      </c>
      <c r="J796" t="s">
        <v>273</v>
      </c>
      <c r="K796">
        <v>2.0850799934672386E-4</v>
      </c>
      <c r="L796" t="s">
        <v>165</v>
      </c>
      <c r="N796" t="s">
        <v>215</v>
      </c>
      <c r="O796" t="s">
        <v>273</v>
      </c>
      <c r="P796">
        <v>9.4451326596733196E-3</v>
      </c>
      <c r="Q796" t="s">
        <v>165</v>
      </c>
      <c r="S796" t="s">
        <v>234</v>
      </c>
      <c r="T796" t="s">
        <v>273</v>
      </c>
      <c r="U796">
        <v>1.406922471299892E-2</v>
      </c>
      <c r="V796" t="s">
        <v>165</v>
      </c>
    </row>
    <row r="797" spans="9:22" x14ac:dyDescent="0.45">
      <c r="I797" t="s">
        <v>191</v>
      </c>
      <c r="J797" t="s">
        <v>274</v>
      </c>
      <c r="K797">
        <v>0</v>
      </c>
      <c r="L797" t="s">
        <v>165</v>
      </c>
      <c r="N797" t="s">
        <v>215</v>
      </c>
      <c r="O797" t="s">
        <v>274</v>
      </c>
      <c r="P797">
        <v>2.9764382759189609E-2</v>
      </c>
      <c r="Q797" t="s">
        <v>165</v>
      </c>
      <c r="S797" t="s">
        <v>234</v>
      </c>
      <c r="T797" t="s">
        <v>274</v>
      </c>
      <c r="U797">
        <v>3.1896552824588448E-2</v>
      </c>
      <c r="V797" t="s">
        <v>165</v>
      </c>
    </row>
    <row r="798" spans="9:22" x14ac:dyDescent="0.45">
      <c r="I798" t="s">
        <v>191</v>
      </c>
      <c r="J798" t="s">
        <v>275</v>
      </c>
      <c r="K798">
        <v>1.8477401930875057E-3</v>
      </c>
      <c r="L798" t="s">
        <v>165</v>
      </c>
      <c r="N798" t="s">
        <v>215</v>
      </c>
      <c r="O798" t="s">
        <v>275</v>
      </c>
      <c r="P798">
        <v>3.9285831282020213E-3</v>
      </c>
      <c r="Q798" t="s">
        <v>165</v>
      </c>
      <c r="S798" t="s">
        <v>234</v>
      </c>
      <c r="T798" t="s">
        <v>275</v>
      </c>
      <c r="U798">
        <v>3.6767763652905813E-3</v>
      </c>
      <c r="V798" t="s">
        <v>165</v>
      </c>
    </row>
    <row r="799" spans="9:22" x14ac:dyDescent="0.45">
      <c r="I799" t="s">
        <v>191</v>
      </c>
      <c r="J799" t="s">
        <v>276</v>
      </c>
      <c r="K799">
        <v>3.5364192360557663E-2</v>
      </c>
      <c r="L799" t="s">
        <v>165</v>
      </c>
      <c r="N799" t="s">
        <v>215</v>
      </c>
      <c r="O799" t="s">
        <v>276</v>
      </c>
      <c r="P799">
        <v>3.0435515987722039E-2</v>
      </c>
      <c r="Q799" t="s">
        <v>165</v>
      </c>
      <c r="S799" t="s">
        <v>234</v>
      </c>
      <c r="T799" t="s">
        <v>276</v>
      </c>
      <c r="U799">
        <v>2.5226781896889858E-2</v>
      </c>
      <c r="V799" t="s">
        <v>165</v>
      </c>
    </row>
    <row r="800" spans="9:22" x14ac:dyDescent="0.45">
      <c r="I800" t="s">
        <v>191</v>
      </c>
      <c r="J800" t="s">
        <v>277</v>
      </c>
      <c r="K800">
        <v>3.1689513848776776E-3</v>
      </c>
      <c r="L800" t="s">
        <v>165</v>
      </c>
      <c r="N800" t="s">
        <v>215</v>
      </c>
      <c r="O800" t="s">
        <v>277</v>
      </c>
      <c r="P800">
        <v>4.0362422167479648E-3</v>
      </c>
      <c r="Q800" t="s">
        <v>165</v>
      </c>
      <c r="S800" t="s">
        <v>234</v>
      </c>
      <c r="T800" t="s">
        <v>277</v>
      </c>
      <c r="U800">
        <v>3.7166225064179537E-3</v>
      </c>
      <c r="V800" t="s">
        <v>165</v>
      </c>
    </row>
    <row r="801" spans="9:22" x14ac:dyDescent="0.45">
      <c r="I801" t="s">
        <v>191</v>
      </c>
      <c r="J801" t="s">
        <v>278</v>
      </c>
      <c r="K801">
        <v>1.026118933685573E-3</v>
      </c>
      <c r="L801" t="s">
        <v>165</v>
      </c>
      <c r="N801" t="s">
        <v>215</v>
      </c>
      <c r="O801" t="s">
        <v>278</v>
      </c>
      <c r="P801">
        <v>3.8419091986445029E-3</v>
      </c>
      <c r="Q801" t="s">
        <v>165</v>
      </c>
      <c r="S801" t="s">
        <v>234</v>
      </c>
      <c r="T801" t="s">
        <v>278</v>
      </c>
      <c r="U801">
        <v>3.7381667117084853E-3</v>
      </c>
      <c r="V801" t="s">
        <v>165</v>
      </c>
    </row>
    <row r="802" spans="9:22" x14ac:dyDescent="0.45">
      <c r="I802" t="s">
        <v>191</v>
      </c>
      <c r="J802" t="s">
        <v>279</v>
      </c>
      <c r="K802">
        <v>0</v>
      </c>
      <c r="L802" t="s">
        <v>165</v>
      </c>
      <c r="N802" t="s">
        <v>215</v>
      </c>
      <c r="O802" t="s">
        <v>279</v>
      </c>
      <c r="P802">
        <v>2.1942268344154643E-2</v>
      </c>
      <c r="Q802" t="s">
        <v>165</v>
      </c>
      <c r="S802" t="s">
        <v>234</v>
      </c>
      <c r="T802" t="s">
        <v>279</v>
      </c>
      <c r="U802">
        <v>2.3846254331267615E-2</v>
      </c>
      <c r="V802" t="s">
        <v>165</v>
      </c>
    </row>
    <row r="803" spans="9:22" x14ac:dyDescent="0.45">
      <c r="I803" t="s">
        <v>191</v>
      </c>
      <c r="J803" t="s">
        <v>280</v>
      </c>
      <c r="K803">
        <v>0</v>
      </c>
      <c r="L803" t="s">
        <v>165</v>
      </c>
      <c r="N803" t="s">
        <v>215</v>
      </c>
      <c r="O803" t="s">
        <v>280</v>
      </c>
      <c r="P803">
        <v>1.6385661857610239E-2</v>
      </c>
      <c r="Q803" t="s">
        <v>165</v>
      </c>
      <c r="S803" t="s">
        <v>234</v>
      </c>
      <c r="T803" t="s">
        <v>280</v>
      </c>
      <c r="U803">
        <v>2.4219175048249969E-2</v>
      </c>
      <c r="V803" t="s">
        <v>165</v>
      </c>
    </row>
    <row r="804" spans="9:22" x14ac:dyDescent="0.45">
      <c r="I804" t="s">
        <v>191</v>
      </c>
      <c r="J804" t="s">
        <v>281</v>
      </c>
      <c r="K804">
        <v>8.0453637755092792E-4</v>
      </c>
      <c r="L804" t="s">
        <v>165</v>
      </c>
      <c r="N804" t="s">
        <v>215</v>
      </c>
      <c r="O804" t="s">
        <v>281</v>
      </c>
      <c r="P804">
        <v>1.6650861632295608E-3</v>
      </c>
      <c r="Q804" t="s">
        <v>165</v>
      </c>
      <c r="S804" t="s">
        <v>234</v>
      </c>
      <c r="T804" t="s">
        <v>281</v>
      </c>
      <c r="U804">
        <v>2.792290268597568E-3</v>
      </c>
      <c r="V804" t="s">
        <v>165</v>
      </c>
    </row>
    <row r="805" spans="9:22" x14ac:dyDescent="0.45">
      <c r="I805" t="s">
        <v>191</v>
      </c>
      <c r="J805" t="s">
        <v>282</v>
      </c>
      <c r="K805">
        <v>3.9993914814827988E-2</v>
      </c>
      <c r="L805" t="s">
        <v>165</v>
      </c>
      <c r="N805" t="s">
        <v>215</v>
      </c>
      <c r="O805" t="s">
        <v>282</v>
      </c>
      <c r="P805">
        <v>1.2515106792730234E-2</v>
      </c>
      <c r="Q805" t="s">
        <v>165</v>
      </c>
      <c r="S805" t="s">
        <v>234</v>
      </c>
      <c r="T805" t="s">
        <v>282</v>
      </c>
      <c r="U805">
        <v>2.0893407628700993E-2</v>
      </c>
      <c r="V805" t="s">
        <v>165</v>
      </c>
    </row>
    <row r="806" spans="9:22" x14ac:dyDescent="0.45">
      <c r="I806" t="s">
        <v>191</v>
      </c>
      <c r="J806" t="s">
        <v>283</v>
      </c>
      <c r="K806">
        <v>4.058736608000082E-3</v>
      </c>
      <c r="L806" t="s">
        <v>165</v>
      </c>
      <c r="N806" t="s">
        <v>215</v>
      </c>
      <c r="O806" t="s">
        <v>283</v>
      </c>
      <c r="P806">
        <v>1.7592330699612241E-3</v>
      </c>
      <c r="Q806" t="s">
        <v>165</v>
      </c>
      <c r="S806" t="s">
        <v>234</v>
      </c>
      <c r="T806" t="s">
        <v>283</v>
      </c>
      <c r="U806">
        <v>3.3313692619241662E-3</v>
      </c>
      <c r="V806" t="s">
        <v>165</v>
      </c>
    </row>
    <row r="807" spans="9:22" x14ac:dyDescent="0.45">
      <c r="I807" t="s">
        <v>191</v>
      </c>
      <c r="J807" t="s">
        <v>284</v>
      </c>
      <c r="K807">
        <v>1.6851746853239743E-5</v>
      </c>
      <c r="L807" t="s">
        <v>165</v>
      </c>
      <c r="N807" t="s">
        <v>215</v>
      </c>
      <c r="O807" t="s">
        <v>284</v>
      </c>
      <c r="P807">
        <v>1.672731179417055E-3</v>
      </c>
      <c r="Q807" t="s">
        <v>165</v>
      </c>
      <c r="S807" t="s">
        <v>234</v>
      </c>
      <c r="T807" t="s">
        <v>284</v>
      </c>
      <c r="U807">
        <v>3.4185018952145895E-3</v>
      </c>
      <c r="V807" t="s">
        <v>165</v>
      </c>
    </row>
    <row r="808" spans="9:22" x14ac:dyDescent="0.45">
      <c r="I808" t="s">
        <v>191</v>
      </c>
      <c r="J808" t="s">
        <v>285</v>
      </c>
      <c r="K808">
        <v>0</v>
      </c>
      <c r="L808" t="s">
        <v>165</v>
      </c>
      <c r="N808" t="s">
        <v>215</v>
      </c>
      <c r="O808" t="s">
        <v>285</v>
      </c>
      <c r="P808">
        <v>1.0925775972774016E-2</v>
      </c>
      <c r="Q808" t="s">
        <v>165</v>
      </c>
      <c r="S808" t="s">
        <v>234</v>
      </c>
      <c r="T808" t="s">
        <v>285</v>
      </c>
      <c r="U808">
        <v>2.0391850870192008E-2</v>
      </c>
      <c r="V808" t="s">
        <v>165</v>
      </c>
    </row>
    <row r="809" spans="9:22" x14ac:dyDescent="0.45">
      <c r="I809" t="s">
        <v>192</v>
      </c>
      <c r="J809" t="s">
        <v>164</v>
      </c>
      <c r="K809">
        <v>0</v>
      </c>
      <c r="L809" t="s">
        <v>165</v>
      </c>
    </row>
    <row r="810" spans="9:22" x14ac:dyDescent="0.45">
      <c r="I810" t="s">
        <v>192</v>
      </c>
      <c r="J810" t="s">
        <v>166</v>
      </c>
      <c r="K810">
        <v>2.384529635708529E-3</v>
      </c>
      <c r="L810" t="s">
        <v>165</v>
      </c>
    </row>
    <row r="811" spans="9:22" x14ac:dyDescent="0.45">
      <c r="I811" t="s">
        <v>192</v>
      </c>
      <c r="J811" t="s">
        <v>167</v>
      </c>
      <c r="K811">
        <v>8.4639831451637379E-2</v>
      </c>
      <c r="L811" t="s">
        <v>165</v>
      </c>
    </row>
    <row r="812" spans="9:22" x14ac:dyDescent="0.45">
      <c r="I812" t="s">
        <v>192</v>
      </c>
      <c r="J812" t="s">
        <v>253</v>
      </c>
      <c r="K812">
        <v>1.1032348691216836E-2</v>
      </c>
      <c r="L812" t="s">
        <v>165</v>
      </c>
    </row>
    <row r="813" spans="9:22" x14ac:dyDescent="0.45">
      <c r="I813" t="s">
        <v>192</v>
      </c>
      <c r="J813" t="s">
        <v>254</v>
      </c>
      <c r="K813">
        <v>7.3786774659334951E-3</v>
      </c>
      <c r="L813" t="s">
        <v>165</v>
      </c>
    </row>
    <row r="814" spans="9:22" x14ac:dyDescent="0.45">
      <c r="I814" t="s">
        <v>192</v>
      </c>
      <c r="J814" t="s">
        <v>255</v>
      </c>
      <c r="K814">
        <v>1.7150189851936871E-3</v>
      </c>
      <c r="L814" t="s">
        <v>165</v>
      </c>
    </row>
    <row r="815" spans="9:22" x14ac:dyDescent="0.45">
      <c r="I815" t="s">
        <v>192</v>
      </c>
      <c r="J815" t="s">
        <v>168</v>
      </c>
      <c r="K815">
        <v>1.2658058381185893E-3</v>
      </c>
      <c r="L815" t="s">
        <v>165</v>
      </c>
    </row>
    <row r="816" spans="9:22" x14ac:dyDescent="0.45">
      <c r="I816" t="s">
        <v>192</v>
      </c>
      <c r="J816" t="s">
        <v>169</v>
      </c>
      <c r="K816">
        <v>3.8158002456770011E-3</v>
      </c>
      <c r="L816" t="s">
        <v>165</v>
      </c>
    </row>
    <row r="817" spans="9:12" x14ac:dyDescent="0.45">
      <c r="I817" t="s">
        <v>192</v>
      </c>
      <c r="J817" t="s">
        <v>170</v>
      </c>
      <c r="K817">
        <v>5.2252958126443982E-2</v>
      </c>
      <c r="L817" t="s">
        <v>165</v>
      </c>
    </row>
    <row r="818" spans="9:12" x14ac:dyDescent="0.45">
      <c r="I818" t="s">
        <v>192</v>
      </c>
      <c r="J818" t="s">
        <v>256</v>
      </c>
      <c r="K818">
        <v>6.5601416394475759E-3</v>
      </c>
      <c r="L818" t="s">
        <v>165</v>
      </c>
    </row>
    <row r="819" spans="9:12" x14ac:dyDescent="0.45">
      <c r="I819" t="s">
        <v>192</v>
      </c>
      <c r="J819" t="s">
        <v>257</v>
      </c>
      <c r="K819">
        <v>5.2661178990472818E-3</v>
      </c>
      <c r="L819" t="s">
        <v>165</v>
      </c>
    </row>
    <row r="820" spans="9:12" x14ac:dyDescent="0.45">
      <c r="I820" t="s">
        <v>192</v>
      </c>
      <c r="J820" t="s">
        <v>258</v>
      </c>
      <c r="K820">
        <v>3.2246781775222759E-3</v>
      </c>
      <c r="L820" t="s">
        <v>165</v>
      </c>
    </row>
    <row r="821" spans="9:12" x14ac:dyDescent="0.45">
      <c r="I821" t="s">
        <v>192</v>
      </c>
      <c r="J821" t="s">
        <v>171</v>
      </c>
      <c r="K821">
        <v>2.8032749895722082E-2</v>
      </c>
      <c r="L821" t="s">
        <v>165</v>
      </c>
    </row>
    <row r="822" spans="9:12" x14ac:dyDescent="0.45">
      <c r="I822" t="s">
        <v>192</v>
      </c>
      <c r="J822" t="s">
        <v>172</v>
      </c>
      <c r="K822">
        <v>2.9915457842821104E-2</v>
      </c>
      <c r="L822" t="s">
        <v>165</v>
      </c>
    </row>
    <row r="823" spans="9:12" x14ac:dyDescent="0.45">
      <c r="I823" t="s">
        <v>192</v>
      </c>
      <c r="J823" t="s">
        <v>173</v>
      </c>
      <c r="K823">
        <v>0.29079263517499826</v>
      </c>
      <c r="L823" t="s">
        <v>165</v>
      </c>
    </row>
    <row r="824" spans="9:12" x14ac:dyDescent="0.45">
      <c r="I824" t="s">
        <v>192</v>
      </c>
      <c r="J824" t="s">
        <v>259</v>
      </c>
      <c r="K824">
        <v>3.6075074710612956E-2</v>
      </c>
      <c r="L824" t="s">
        <v>165</v>
      </c>
    </row>
    <row r="825" spans="9:12" x14ac:dyDescent="0.45">
      <c r="I825" t="s">
        <v>192</v>
      </c>
      <c r="J825" t="s">
        <v>260</v>
      </c>
      <c r="K825">
        <v>3.0562258463626538E-2</v>
      </c>
      <c r="L825" t="s">
        <v>165</v>
      </c>
    </row>
    <row r="826" spans="9:12" x14ac:dyDescent="0.45">
      <c r="I826" t="s">
        <v>192</v>
      </c>
      <c r="J826" t="s">
        <v>261</v>
      </c>
      <c r="K826">
        <v>3.9635072047584152E-2</v>
      </c>
      <c r="L826" t="s">
        <v>165</v>
      </c>
    </row>
    <row r="827" spans="9:12" x14ac:dyDescent="0.45">
      <c r="I827" t="s">
        <v>192</v>
      </c>
      <c r="J827" t="s">
        <v>262</v>
      </c>
      <c r="K827">
        <v>1.0034454881603415E-2</v>
      </c>
      <c r="L827" t="s">
        <v>165</v>
      </c>
    </row>
    <row r="828" spans="9:12" x14ac:dyDescent="0.45">
      <c r="I828" t="s">
        <v>192</v>
      </c>
      <c r="J828" t="s">
        <v>263</v>
      </c>
      <c r="K828">
        <v>1.4166520506232159E-2</v>
      </c>
      <c r="L828" t="s">
        <v>165</v>
      </c>
    </row>
    <row r="829" spans="9:12" x14ac:dyDescent="0.45">
      <c r="I829" t="s">
        <v>192</v>
      </c>
      <c r="J829" t="s">
        <v>264</v>
      </c>
      <c r="K829">
        <v>0.1385632862398915</v>
      </c>
      <c r="L829" t="s">
        <v>165</v>
      </c>
    </row>
    <row r="830" spans="9:12" x14ac:dyDescent="0.45">
      <c r="I830" t="s">
        <v>192</v>
      </c>
      <c r="J830" t="s">
        <v>265</v>
      </c>
      <c r="K830">
        <v>1.7874177520421378E-2</v>
      </c>
      <c r="L830" t="s">
        <v>165</v>
      </c>
    </row>
    <row r="831" spans="9:12" x14ac:dyDescent="0.45">
      <c r="I831" t="s">
        <v>192</v>
      </c>
      <c r="J831" t="s">
        <v>266</v>
      </c>
      <c r="K831">
        <v>1.4989281528015439E-2</v>
      </c>
      <c r="L831" t="s">
        <v>165</v>
      </c>
    </row>
    <row r="832" spans="9:12" x14ac:dyDescent="0.45">
      <c r="I832" t="s">
        <v>192</v>
      </c>
      <c r="J832" t="s">
        <v>267</v>
      </c>
      <c r="K832">
        <v>1.4285267336822201E-2</v>
      </c>
      <c r="L832" t="s">
        <v>165</v>
      </c>
    </row>
    <row r="833" spans="9:12" x14ac:dyDescent="0.45">
      <c r="I833" t="s">
        <v>192</v>
      </c>
      <c r="J833" t="s">
        <v>268</v>
      </c>
      <c r="K833">
        <v>7.2145769263844042E-4</v>
      </c>
      <c r="L833" t="s">
        <v>165</v>
      </c>
    </row>
    <row r="834" spans="9:12" x14ac:dyDescent="0.45">
      <c r="I834" t="s">
        <v>192</v>
      </c>
      <c r="J834" t="s">
        <v>269</v>
      </c>
      <c r="K834">
        <v>3.4110133742731108E-3</v>
      </c>
      <c r="L834" t="s">
        <v>165</v>
      </c>
    </row>
    <row r="835" spans="9:12" x14ac:dyDescent="0.45">
      <c r="I835" t="s">
        <v>192</v>
      </c>
      <c r="J835" t="s">
        <v>270</v>
      </c>
      <c r="K835">
        <v>4.888110962408318E-2</v>
      </c>
      <c r="L835" t="s">
        <v>165</v>
      </c>
    </row>
    <row r="836" spans="9:12" x14ac:dyDescent="0.45">
      <c r="I836" t="s">
        <v>192</v>
      </c>
      <c r="J836" t="s">
        <v>271</v>
      </c>
      <c r="K836">
        <v>6.3273805232532416E-3</v>
      </c>
      <c r="L836" t="s">
        <v>165</v>
      </c>
    </row>
    <row r="837" spans="9:12" x14ac:dyDescent="0.45">
      <c r="I837" t="s">
        <v>192</v>
      </c>
      <c r="J837" t="s">
        <v>272</v>
      </c>
      <c r="K837">
        <v>4.0825176511315323E-3</v>
      </c>
      <c r="L837" t="s">
        <v>165</v>
      </c>
    </row>
    <row r="838" spans="9:12" x14ac:dyDescent="0.45">
      <c r="I838" t="s">
        <v>192</v>
      </c>
      <c r="J838" t="s">
        <v>273</v>
      </c>
      <c r="K838">
        <v>6.5433080744176932E-4</v>
      </c>
      <c r="L838" t="s">
        <v>165</v>
      </c>
    </row>
    <row r="839" spans="9:12" x14ac:dyDescent="0.45">
      <c r="I839" t="s">
        <v>192</v>
      </c>
      <c r="J839" t="s">
        <v>274</v>
      </c>
      <c r="K839">
        <v>0</v>
      </c>
      <c r="L839" t="s">
        <v>165</v>
      </c>
    </row>
    <row r="840" spans="9:12" x14ac:dyDescent="0.45">
      <c r="I840" t="s">
        <v>192</v>
      </c>
      <c r="J840" t="s">
        <v>275</v>
      </c>
      <c r="K840">
        <v>2.2542946389701177E-3</v>
      </c>
      <c r="L840" t="s">
        <v>165</v>
      </c>
    </row>
    <row r="841" spans="9:12" x14ac:dyDescent="0.45">
      <c r="I841" t="s">
        <v>192</v>
      </c>
      <c r="J841" t="s">
        <v>276</v>
      </c>
      <c r="K841">
        <v>3.957443352683758E-2</v>
      </c>
      <c r="L841" t="s">
        <v>165</v>
      </c>
    </row>
    <row r="842" spans="9:12" x14ac:dyDescent="0.45">
      <c r="I842" t="s">
        <v>192</v>
      </c>
      <c r="J842" t="s">
        <v>277</v>
      </c>
      <c r="K842">
        <v>3.8756869975571906E-3</v>
      </c>
      <c r="L842" t="s">
        <v>165</v>
      </c>
    </row>
    <row r="843" spans="9:12" x14ac:dyDescent="0.45">
      <c r="I843" t="s">
        <v>192</v>
      </c>
      <c r="J843" t="s">
        <v>278</v>
      </c>
      <c r="K843">
        <v>2.0214410865245637E-3</v>
      </c>
      <c r="L843" t="s">
        <v>165</v>
      </c>
    </row>
    <row r="844" spans="9:12" x14ac:dyDescent="0.45">
      <c r="I844" t="s">
        <v>192</v>
      </c>
      <c r="J844" t="s">
        <v>279</v>
      </c>
      <c r="K844">
        <v>0</v>
      </c>
      <c r="L844" t="s">
        <v>165</v>
      </c>
    </row>
    <row r="845" spans="9:12" x14ac:dyDescent="0.45">
      <c r="I845" t="s">
        <v>192</v>
      </c>
      <c r="J845" t="s">
        <v>280</v>
      </c>
      <c r="K845">
        <v>0</v>
      </c>
      <c r="L845" t="s">
        <v>165</v>
      </c>
    </row>
    <row r="846" spans="9:12" x14ac:dyDescent="0.45">
      <c r="I846" t="s">
        <v>192</v>
      </c>
      <c r="J846" t="s">
        <v>281</v>
      </c>
      <c r="K846">
        <v>1.3265959444817674E-5</v>
      </c>
      <c r="L846" t="s">
        <v>165</v>
      </c>
    </row>
    <row r="847" spans="9:12" x14ac:dyDescent="0.45">
      <c r="I847" t="s">
        <v>192</v>
      </c>
      <c r="J847" t="s">
        <v>282</v>
      </c>
      <c r="K847">
        <v>3.8411679051404399E-2</v>
      </c>
      <c r="L847" t="s">
        <v>165</v>
      </c>
    </row>
    <row r="848" spans="9:12" x14ac:dyDescent="0.45">
      <c r="I848" t="s">
        <v>192</v>
      </c>
      <c r="J848" t="s">
        <v>283</v>
      </c>
      <c r="K848">
        <v>4.2587924506706145E-3</v>
      </c>
      <c r="L848" t="s">
        <v>165</v>
      </c>
    </row>
    <row r="849" spans="9:12" x14ac:dyDescent="0.45">
      <c r="I849" t="s">
        <v>192</v>
      </c>
      <c r="J849" t="s">
        <v>284</v>
      </c>
      <c r="K849">
        <v>1.0504523114684109E-3</v>
      </c>
      <c r="L849" t="s">
        <v>165</v>
      </c>
    </row>
    <row r="850" spans="9:12" x14ac:dyDescent="0.45">
      <c r="I850" t="s">
        <v>192</v>
      </c>
      <c r="J850" t="s">
        <v>285</v>
      </c>
      <c r="K850">
        <v>0</v>
      </c>
      <c r="L850" t="s">
        <v>165</v>
      </c>
    </row>
    <row r="851" spans="9:12" x14ac:dyDescent="0.45">
      <c r="I851" t="s">
        <v>193</v>
      </c>
      <c r="J851" t="s">
        <v>164</v>
      </c>
      <c r="K851">
        <v>0</v>
      </c>
      <c r="L851" t="s">
        <v>165</v>
      </c>
    </row>
    <row r="852" spans="9:12" x14ac:dyDescent="0.45">
      <c r="I852" t="s">
        <v>193</v>
      </c>
      <c r="J852" t="s">
        <v>166</v>
      </c>
      <c r="K852">
        <v>2.6776926449829062E-3</v>
      </c>
      <c r="L852" t="s">
        <v>165</v>
      </c>
    </row>
    <row r="853" spans="9:12" x14ac:dyDescent="0.45">
      <c r="I853" t="s">
        <v>193</v>
      </c>
      <c r="J853" t="s">
        <v>167</v>
      </c>
      <c r="K853">
        <v>8.5687967795750025E-2</v>
      </c>
      <c r="L853" t="s">
        <v>165</v>
      </c>
    </row>
    <row r="854" spans="9:12" x14ac:dyDescent="0.45">
      <c r="I854" t="s">
        <v>193</v>
      </c>
      <c r="J854" t="s">
        <v>253</v>
      </c>
      <c r="K854">
        <v>1.0447652456929976E-2</v>
      </c>
      <c r="L854" t="s">
        <v>165</v>
      </c>
    </row>
    <row r="855" spans="9:12" x14ac:dyDescent="0.45">
      <c r="I855" t="s">
        <v>193</v>
      </c>
      <c r="J855" t="s">
        <v>254</v>
      </c>
      <c r="K855">
        <v>6.8626093820559775E-3</v>
      </c>
      <c r="L855" t="s">
        <v>165</v>
      </c>
    </row>
    <row r="856" spans="9:12" x14ac:dyDescent="0.45">
      <c r="I856" t="s">
        <v>193</v>
      </c>
      <c r="J856" t="s">
        <v>255</v>
      </c>
      <c r="K856">
        <v>1.2815093455354266E-3</v>
      </c>
      <c r="L856" t="s">
        <v>165</v>
      </c>
    </row>
    <row r="857" spans="9:12" x14ac:dyDescent="0.45">
      <c r="I857" t="s">
        <v>193</v>
      </c>
      <c r="J857" t="s">
        <v>168</v>
      </c>
      <c r="K857">
        <v>1.4388582576836718E-3</v>
      </c>
      <c r="L857" t="s">
        <v>165</v>
      </c>
    </row>
    <row r="858" spans="9:12" x14ac:dyDescent="0.45">
      <c r="I858" t="s">
        <v>193</v>
      </c>
      <c r="J858" t="s">
        <v>169</v>
      </c>
      <c r="K858">
        <v>3.6753672647901075E-3</v>
      </c>
      <c r="L858" t="s">
        <v>165</v>
      </c>
    </row>
    <row r="859" spans="9:12" x14ac:dyDescent="0.45">
      <c r="I859" t="s">
        <v>193</v>
      </c>
      <c r="J859" t="s">
        <v>170</v>
      </c>
      <c r="K859">
        <v>5.221138122921451E-2</v>
      </c>
      <c r="L859" t="s">
        <v>165</v>
      </c>
    </row>
    <row r="860" spans="9:12" x14ac:dyDescent="0.45">
      <c r="I860" t="s">
        <v>193</v>
      </c>
      <c r="J860" t="s">
        <v>256</v>
      </c>
      <c r="K860">
        <v>6.0568180725785199E-3</v>
      </c>
      <c r="L860" t="s">
        <v>165</v>
      </c>
    </row>
    <row r="861" spans="9:12" x14ac:dyDescent="0.45">
      <c r="I861" t="s">
        <v>193</v>
      </c>
      <c r="J861" t="s">
        <v>257</v>
      </c>
      <c r="K861">
        <v>4.5106109783560932E-3</v>
      </c>
      <c r="L861" t="s">
        <v>165</v>
      </c>
    </row>
    <row r="862" spans="9:12" x14ac:dyDescent="0.45">
      <c r="I862" t="s">
        <v>193</v>
      </c>
      <c r="J862" t="s">
        <v>258</v>
      </c>
      <c r="K862">
        <v>2.6733597260783972E-3</v>
      </c>
      <c r="L862" t="s">
        <v>165</v>
      </c>
    </row>
    <row r="863" spans="9:12" x14ac:dyDescent="0.45">
      <c r="I863" t="s">
        <v>193</v>
      </c>
      <c r="J863" t="s">
        <v>171</v>
      </c>
      <c r="K863">
        <v>2.9416373359377367E-2</v>
      </c>
      <c r="L863" t="s">
        <v>165</v>
      </c>
    </row>
    <row r="864" spans="9:12" x14ac:dyDescent="0.45">
      <c r="I864" t="s">
        <v>193</v>
      </c>
      <c r="J864" t="s">
        <v>172</v>
      </c>
      <c r="K864">
        <v>3.0711010407325171E-2</v>
      </c>
      <c r="L864" t="s">
        <v>165</v>
      </c>
    </row>
    <row r="865" spans="9:12" x14ac:dyDescent="0.45">
      <c r="I865" t="s">
        <v>193</v>
      </c>
      <c r="J865" t="s">
        <v>173</v>
      </c>
      <c r="K865">
        <v>0.29649857920214784</v>
      </c>
      <c r="L865" t="s">
        <v>165</v>
      </c>
    </row>
    <row r="866" spans="9:12" x14ac:dyDescent="0.45">
      <c r="I866" t="s">
        <v>193</v>
      </c>
      <c r="J866" t="s">
        <v>259</v>
      </c>
      <c r="K866">
        <v>3.5834223709801952E-2</v>
      </c>
      <c r="L866" t="s">
        <v>165</v>
      </c>
    </row>
    <row r="867" spans="9:12" x14ac:dyDescent="0.45">
      <c r="I867" t="s">
        <v>193</v>
      </c>
      <c r="J867" t="s">
        <v>260</v>
      </c>
      <c r="K867">
        <v>3.0044425100946376E-2</v>
      </c>
      <c r="L867" t="s">
        <v>165</v>
      </c>
    </row>
    <row r="868" spans="9:12" x14ac:dyDescent="0.45">
      <c r="I868" t="s">
        <v>193</v>
      </c>
      <c r="J868" t="s">
        <v>261</v>
      </c>
      <c r="K868">
        <v>3.4661374401353286E-2</v>
      </c>
      <c r="L868" t="s">
        <v>165</v>
      </c>
    </row>
    <row r="869" spans="9:12" x14ac:dyDescent="0.45">
      <c r="I869" t="s">
        <v>193</v>
      </c>
      <c r="J869" t="s">
        <v>262</v>
      </c>
      <c r="K869">
        <v>1.0683352290404517E-2</v>
      </c>
      <c r="L869" t="s">
        <v>165</v>
      </c>
    </row>
    <row r="870" spans="9:12" x14ac:dyDescent="0.45">
      <c r="I870" t="s">
        <v>193</v>
      </c>
      <c r="J870" t="s">
        <v>263</v>
      </c>
      <c r="K870">
        <v>1.39888446831644E-2</v>
      </c>
      <c r="L870" t="s">
        <v>165</v>
      </c>
    </row>
    <row r="871" spans="9:12" x14ac:dyDescent="0.45">
      <c r="I871" t="s">
        <v>193</v>
      </c>
      <c r="J871" t="s">
        <v>264</v>
      </c>
      <c r="K871">
        <v>0.13838755498508867</v>
      </c>
      <c r="L871" t="s">
        <v>165</v>
      </c>
    </row>
    <row r="872" spans="9:12" x14ac:dyDescent="0.45">
      <c r="I872" t="s">
        <v>193</v>
      </c>
      <c r="J872" t="s">
        <v>265</v>
      </c>
      <c r="K872">
        <v>1.6566687954114985E-2</v>
      </c>
      <c r="L872" t="s">
        <v>165</v>
      </c>
    </row>
    <row r="873" spans="9:12" x14ac:dyDescent="0.45">
      <c r="I873" t="s">
        <v>193</v>
      </c>
      <c r="J873" t="s">
        <v>266</v>
      </c>
      <c r="K873">
        <v>1.3260153952237322E-2</v>
      </c>
      <c r="L873" t="s">
        <v>165</v>
      </c>
    </row>
    <row r="874" spans="9:12" x14ac:dyDescent="0.45">
      <c r="I874" t="s">
        <v>193</v>
      </c>
      <c r="J874" t="s">
        <v>267</v>
      </c>
      <c r="K874">
        <v>1.1702577541990899E-2</v>
      </c>
      <c r="L874" t="s">
        <v>165</v>
      </c>
    </row>
    <row r="875" spans="9:12" x14ac:dyDescent="0.45">
      <c r="I875" t="s">
        <v>193</v>
      </c>
      <c r="J875" t="s">
        <v>268</v>
      </c>
      <c r="K875">
        <v>1.2177301089273751E-3</v>
      </c>
      <c r="L875" t="s">
        <v>165</v>
      </c>
    </row>
    <row r="876" spans="9:12" x14ac:dyDescent="0.45">
      <c r="I876" t="s">
        <v>193</v>
      </c>
      <c r="J876" t="s">
        <v>269</v>
      </c>
      <c r="K876">
        <v>4.1978144105438474E-3</v>
      </c>
      <c r="L876" t="s">
        <v>165</v>
      </c>
    </row>
    <row r="877" spans="9:12" x14ac:dyDescent="0.45">
      <c r="I877" t="s">
        <v>193</v>
      </c>
      <c r="J877" t="s">
        <v>270</v>
      </c>
      <c r="K877">
        <v>5.4241223403622738E-2</v>
      </c>
      <c r="L877" t="s">
        <v>165</v>
      </c>
    </row>
    <row r="878" spans="9:12" x14ac:dyDescent="0.45">
      <c r="I878" t="s">
        <v>193</v>
      </c>
      <c r="J878" t="s">
        <v>271</v>
      </c>
      <c r="K878">
        <v>6.4488597698848585E-3</v>
      </c>
      <c r="L878" t="s">
        <v>165</v>
      </c>
    </row>
    <row r="879" spans="9:12" x14ac:dyDescent="0.45">
      <c r="I879" t="s">
        <v>193</v>
      </c>
      <c r="J879" t="s">
        <v>272</v>
      </c>
      <c r="K879">
        <v>4.0418450673310293E-3</v>
      </c>
      <c r="L879" t="s">
        <v>165</v>
      </c>
    </row>
    <row r="880" spans="9:12" x14ac:dyDescent="0.45">
      <c r="I880" t="s">
        <v>193</v>
      </c>
      <c r="J880" t="s">
        <v>273</v>
      </c>
      <c r="K880">
        <v>4.2825359284312623E-4</v>
      </c>
      <c r="L880" t="s">
        <v>165</v>
      </c>
    </row>
    <row r="881" spans="9:12" x14ac:dyDescent="0.45">
      <c r="I881" t="s">
        <v>193</v>
      </c>
      <c r="J881" t="s">
        <v>274</v>
      </c>
      <c r="K881">
        <v>0</v>
      </c>
      <c r="L881" t="s">
        <v>165</v>
      </c>
    </row>
    <row r="882" spans="9:12" x14ac:dyDescent="0.45">
      <c r="I882" t="s">
        <v>193</v>
      </c>
      <c r="J882" t="s">
        <v>275</v>
      </c>
      <c r="K882">
        <v>2.1099594148275592E-3</v>
      </c>
      <c r="L882" t="s">
        <v>165</v>
      </c>
    </row>
    <row r="883" spans="9:12" x14ac:dyDescent="0.45">
      <c r="I883" t="s">
        <v>193</v>
      </c>
      <c r="J883" t="s">
        <v>276</v>
      </c>
      <c r="K883">
        <v>3.6744976393188869E-2</v>
      </c>
      <c r="L883" t="s">
        <v>165</v>
      </c>
    </row>
    <row r="884" spans="9:12" x14ac:dyDescent="0.45">
      <c r="I884" t="s">
        <v>193</v>
      </c>
      <c r="J884" t="s">
        <v>277</v>
      </c>
      <c r="K884">
        <v>3.5063012684243104E-3</v>
      </c>
      <c r="L884" t="s">
        <v>165</v>
      </c>
    </row>
    <row r="885" spans="9:12" x14ac:dyDescent="0.45">
      <c r="I885" t="s">
        <v>193</v>
      </c>
      <c r="J885" t="s">
        <v>278</v>
      </c>
      <c r="K885">
        <v>1.3985987774084473E-3</v>
      </c>
      <c r="L885" t="s">
        <v>165</v>
      </c>
    </row>
    <row r="886" spans="9:12" x14ac:dyDescent="0.45">
      <c r="I886" t="s">
        <v>193</v>
      </c>
      <c r="J886" t="s">
        <v>279</v>
      </c>
      <c r="K886">
        <v>0</v>
      </c>
      <c r="L886" t="s">
        <v>165</v>
      </c>
    </row>
    <row r="887" spans="9:12" x14ac:dyDescent="0.45">
      <c r="I887" t="s">
        <v>193</v>
      </c>
      <c r="J887" t="s">
        <v>280</v>
      </c>
      <c r="K887">
        <v>0</v>
      </c>
      <c r="L887" t="s">
        <v>165</v>
      </c>
    </row>
    <row r="888" spans="9:12" x14ac:dyDescent="0.45">
      <c r="I888" t="s">
        <v>193</v>
      </c>
      <c r="J888" t="s">
        <v>281</v>
      </c>
      <c r="K888">
        <v>6.2538750666889145E-4</v>
      </c>
      <c r="L888" t="s">
        <v>165</v>
      </c>
    </row>
    <row r="889" spans="9:12" x14ac:dyDescent="0.45">
      <c r="I889" t="s">
        <v>193</v>
      </c>
      <c r="J889" t="s">
        <v>282</v>
      </c>
      <c r="K889">
        <v>4.0969217287837957E-2</v>
      </c>
      <c r="L889" t="s">
        <v>165</v>
      </c>
    </row>
    <row r="890" spans="9:12" x14ac:dyDescent="0.45">
      <c r="I890" t="s">
        <v>193</v>
      </c>
      <c r="J890" t="s">
        <v>283</v>
      </c>
      <c r="K890">
        <v>4.3214728142761619E-3</v>
      </c>
      <c r="L890" t="s">
        <v>165</v>
      </c>
    </row>
    <row r="891" spans="9:12" x14ac:dyDescent="0.45">
      <c r="I891" t="s">
        <v>193</v>
      </c>
      <c r="J891" t="s">
        <v>284</v>
      </c>
      <c r="K891">
        <v>4.6937544230812574E-4</v>
      </c>
      <c r="L891" t="s">
        <v>165</v>
      </c>
    </row>
    <row r="892" spans="9:12" x14ac:dyDescent="0.45">
      <c r="I892" t="s">
        <v>193</v>
      </c>
      <c r="J892" t="s">
        <v>285</v>
      </c>
      <c r="K892">
        <v>0</v>
      </c>
      <c r="L892" t="s">
        <v>165</v>
      </c>
    </row>
    <row r="893" spans="9:12" x14ac:dyDescent="0.45">
      <c r="I893" t="s">
        <v>194</v>
      </c>
      <c r="J893" t="s">
        <v>164</v>
      </c>
      <c r="K893">
        <v>0</v>
      </c>
      <c r="L893" t="s">
        <v>165</v>
      </c>
    </row>
    <row r="894" spans="9:12" x14ac:dyDescent="0.45">
      <c r="I894" t="s">
        <v>194</v>
      </c>
      <c r="J894" t="s">
        <v>166</v>
      </c>
      <c r="K894">
        <v>1.9171321207941993E-3</v>
      </c>
      <c r="L894" t="s">
        <v>165</v>
      </c>
    </row>
    <row r="895" spans="9:12" x14ac:dyDescent="0.45">
      <c r="I895" t="s">
        <v>194</v>
      </c>
      <c r="J895" t="s">
        <v>167</v>
      </c>
      <c r="K895">
        <v>7.5363757751861993E-2</v>
      </c>
      <c r="L895" t="s">
        <v>165</v>
      </c>
    </row>
    <row r="896" spans="9:12" x14ac:dyDescent="0.45">
      <c r="I896" t="s">
        <v>194</v>
      </c>
      <c r="J896" t="s">
        <v>253</v>
      </c>
      <c r="K896">
        <v>9.6408208063393126E-3</v>
      </c>
      <c r="L896" t="s">
        <v>165</v>
      </c>
    </row>
    <row r="897" spans="9:12" x14ac:dyDescent="0.45">
      <c r="I897" t="s">
        <v>194</v>
      </c>
      <c r="J897" t="s">
        <v>254</v>
      </c>
      <c r="K897">
        <v>6.0003872289534632E-3</v>
      </c>
      <c r="L897" t="s">
        <v>165</v>
      </c>
    </row>
    <row r="898" spans="9:12" x14ac:dyDescent="0.45">
      <c r="I898" t="s">
        <v>194</v>
      </c>
      <c r="J898" t="s">
        <v>255</v>
      </c>
      <c r="K898">
        <v>1.2798912422675498E-3</v>
      </c>
      <c r="L898" t="s">
        <v>165</v>
      </c>
    </row>
    <row r="899" spans="9:12" x14ac:dyDescent="0.45">
      <c r="I899" t="s">
        <v>194</v>
      </c>
      <c r="J899" t="s">
        <v>168</v>
      </c>
      <c r="K899">
        <v>1.0039793319966746E-3</v>
      </c>
      <c r="L899" t="s">
        <v>165</v>
      </c>
    </row>
    <row r="900" spans="9:12" x14ac:dyDescent="0.45">
      <c r="I900" t="s">
        <v>194</v>
      </c>
      <c r="J900" t="s">
        <v>169</v>
      </c>
      <c r="K900">
        <v>3.5791359497968252E-3</v>
      </c>
      <c r="L900" t="s">
        <v>165</v>
      </c>
    </row>
    <row r="901" spans="9:12" x14ac:dyDescent="0.45">
      <c r="I901" t="s">
        <v>194</v>
      </c>
      <c r="J901" t="s">
        <v>170</v>
      </c>
      <c r="K901">
        <v>5.108276873498218E-2</v>
      </c>
      <c r="L901" t="s">
        <v>165</v>
      </c>
    </row>
    <row r="902" spans="9:12" x14ac:dyDescent="0.45">
      <c r="I902" t="s">
        <v>194</v>
      </c>
      <c r="J902" t="s">
        <v>256</v>
      </c>
      <c r="K902">
        <v>6.1057490118951781E-3</v>
      </c>
      <c r="L902" t="s">
        <v>165</v>
      </c>
    </row>
    <row r="903" spans="9:12" x14ac:dyDescent="0.45">
      <c r="I903" t="s">
        <v>194</v>
      </c>
      <c r="J903" t="s">
        <v>257</v>
      </c>
      <c r="K903">
        <v>4.5227608206422475E-3</v>
      </c>
      <c r="L903" t="s">
        <v>165</v>
      </c>
    </row>
    <row r="904" spans="9:12" x14ac:dyDescent="0.45">
      <c r="I904" t="s">
        <v>194</v>
      </c>
      <c r="J904" t="s">
        <v>258</v>
      </c>
      <c r="K904">
        <v>2.879623147128153E-3</v>
      </c>
      <c r="L904" t="s">
        <v>165</v>
      </c>
    </row>
    <row r="905" spans="9:12" x14ac:dyDescent="0.45">
      <c r="I905" t="s">
        <v>194</v>
      </c>
      <c r="J905" t="s">
        <v>171</v>
      </c>
      <c r="K905">
        <v>3.0146291433521745E-2</v>
      </c>
      <c r="L905" t="s">
        <v>165</v>
      </c>
    </row>
    <row r="906" spans="9:12" x14ac:dyDescent="0.45">
      <c r="I906" t="s">
        <v>194</v>
      </c>
      <c r="J906" t="s">
        <v>172</v>
      </c>
      <c r="K906">
        <v>3.0351559117864392E-2</v>
      </c>
      <c r="L906" t="s">
        <v>165</v>
      </c>
    </row>
    <row r="907" spans="9:12" x14ac:dyDescent="0.45">
      <c r="I907" t="s">
        <v>194</v>
      </c>
      <c r="J907" t="s">
        <v>173</v>
      </c>
      <c r="K907">
        <v>0.30336357963915467</v>
      </c>
      <c r="L907" t="s">
        <v>165</v>
      </c>
    </row>
    <row r="908" spans="9:12" x14ac:dyDescent="0.45">
      <c r="I908" t="s">
        <v>194</v>
      </c>
      <c r="J908" t="s">
        <v>259</v>
      </c>
      <c r="K908">
        <v>3.8915743560930909E-2</v>
      </c>
      <c r="L908" t="s">
        <v>165</v>
      </c>
    </row>
    <row r="909" spans="9:12" x14ac:dyDescent="0.45">
      <c r="I909" t="s">
        <v>194</v>
      </c>
      <c r="J909" t="s">
        <v>260</v>
      </c>
      <c r="K909">
        <v>3.2441617357291973E-2</v>
      </c>
      <c r="L909" t="s">
        <v>165</v>
      </c>
    </row>
    <row r="910" spans="9:12" x14ac:dyDescent="0.45">
      <c r="I910" t="s">
        <v>194</v>
      </c>
      <c r="J910" t="s">
        <v>261</v>
      </c>
      <c r="K910">
        <v>4.2202520176777392E-2</v>
      </c>
      <c r="L910" t="s">
        <v>165</v>
      </c>
    </row>
    <row r="911" spans="9:12" x14ac:dyDescent="0.45">
      <c r="I911" t="s">
        <v>194</v>
      </c>
      <c r="J911" t="s">
        <v>262</v>
      </c>
      <c r="K911">
        <v>1.0847498297179471E-2</v>
      </c>
      <c r="L911" t="s">
        <v>165</v>
      </c>
    </row>
    <row r="912" spans="9:12" x14ac:dyDescent="0.45">
      <c r="I912" t="s">
        <v>194</v>
      </c>
      <c r="J912" t="s">
        <v>263</v>
      </c>
      <c r="K912">
        <v>1.421867416583056E-2</v>
      </c>
      <c r="L912" t="s">
        <v>165</v>
      </c>
    </row>
    <row r="913" spans="9:12" x14ac:dyDescent="0.45">
      <c r="I913" t="s">
        <v>194</v>
      </c>
      <c r="J913" t="s">
        <v>264</v>
      </c>
      <c r="K913">
        <v>0.14473047808068168</v>
      </c>
      <c r="L913" t="s">
        <v>165</v>
      </c>
    </row>
    <row r="914" spans="9:12" x14ac:dyDescent="0.45">
      <c r="I914" t="s">
        <v>194</v>
      </c>
      <c r="J914" t="s">
        <v>265</v>
      </c>
      <c r="K914">
        <v>1.9156388573080479E-2</v>
      </c>
      <c r="L914" t="s">
        <v>165</v>
      </c>
    </row>
    <row r="915" spans="9:12" x14ac:dyDescent="0.45">
      <c r="I915" t="s">
        <v>194</v>
      </c>
      <c r="J915" t="s">
        <v>266</v>
      </c>
      <c r="K915">
        <v>1.5957424016165431E-2</v>
      </c>
      <c r="L915" t="s">
        <v>165</v>
      </c>
    </row>
    <row r="916" spans="9:12" x14ac:dyDescent="0.45">
      <c r="I916" t="s">
        <v>194</v>
      </c>
      <c r="J916" t="s">
        <v>267</v>
      </c>
      <c r="K916">
        <v>1.5671139376888892E-2</v>
      </c>
      <c r="L916" t="s">
        <v>165</v>
      </c>
    </row>
    <row r="917" spans="9:12" x14ac:dyDescent="0.45">
      <c r="I917" t="s">
        <v>194</v>
      </c>
      <c r="J917" t="s">
        <v>268</v>
      </c>
      <c r="K917">
        <v>3.3046745766245002E-4</v>
      </c>
      <c r="L917" t="s">
        <v>165</v>
      </c>
    </row>
    <row r="918" spans="9:12" x14ac:dyDescent="0.45">
      <c r="I918" t="s">
        <v>194</v>
      </c>
      <c r="J918" t="s">
        <v>269</v>
      </c>
      <c r="K918">
        <v>2.5159043895682793E-3</v>
      </c>
      <c r="L918" t="s">
        <v>165</v>
      </c>
    </row>
    <row r="919" spans="9:12" x14ac:dyDescent="0.45">
      <c r="I919" t="s">
        <v>194</v>
      </c>
      <c r="J919" t="s">
        <v>270</v>
      </c>
      <c r="K919">
        <v>4.1373662999713713E-2</v>
      </c>
      <c r="L919" t="s">
        <v>165</v>
      </c>
    </row>
    <row r="920" spans="9:12" x14ac:dyDescent="0.45">
      <c r="I920" t="s">
        <v>194</v>
      </c>
      <c r="J920" t="s">
        <v>271</v>
      </c>
      <c r="K920">
        <v>4.9454875565437062E-3</v>
      </c>
      <c r="L920" t="s">
        <v>165</v>
      </c>
    </row>
    <row r="921" spans="9:12" x14ac:dyDescent="0.45">
      <c r="I921" t="s">
        <v>194</v>
      </c>
      <c r="J921" t="s">
        <v>272</v>
      </c>
      <c r="K921">
        <v>3.2896082227805378E-3</v>
      </c>
      <c r="L921" t="s">
        <v>165</v>
      </c>
    </row>
    <row r="922" spans="9:12" x14ac:dyDescent="0.45">
      <c r="I922" t="s">
        <v>194</v>
      </c>
      <c r="J922" t="s">
        <v>273</v>
      </c>
      <c r="K922">
        <v>4.0429954019951468E-4</v>
      </c>
      <c r="L922" t="s">
        <v>165</v>
      </c>
    </row>
    <row r="923" spans="9:12" x14ac:dyDescent="0.45">
      <c r="I923" t="s">
        <v>194</v>
      </c>
      <c r="J923" t="s">
        <v>274</v>
      </c>
      <c r="K923">
        <v>0</v>
      </c>
      <c r="L923" t="s">
        <v>165</v>
      </c>
    </row>
    <row r="924" spans="9:12" x14ac:dyDescent="0.45">
      <c r="I924" t="s">
        <v>194</v>
      </c>
      <c r="J924" t="s">
        <v>275</v>
      </c>
      <c r="K924">
        <v>1.4542057435416927E-3</v>
      </c>
      <c r="L924" t="s">
        <v>165</v>
      </c>
    </row>
    <row r="925" spans="9:12" x14ac:dyDescent="0.45">
      <c r="I925" t="s">
        <v>194</v>
      </c>
      <c r="J925" t="s">
        <v>276</v>
      </c>
      <c r="K925">
        <v>3.5953957480861054E-2</v>
      </c>
      <c r="L925" t="s">
        <v>165</v>
      </c>
    </row>
    <row r="926" spans="9:12" x14ac:dyDescent="0.45">
      <c r="I926" t="s">
        <v>194</v>
      </c>
      <c r="J926" t="s">
        <v>277</v>
      </c>
      <c r="K926">
        <v>3.7188403312249387E-3</v>
      </c>
      <c r="L926" t="s">
        <v>165</v>
      </c>
    </row>
    <row r="927" spans="9:12" x14ac:dyDescent="0.45">
      <c r="I927" t="s">
        <v>194</v>
      </c>
      <c r="J927" t="s">
        <v>278</v>
      </c>
      <c r="K927">
        <v>1.2032361159152447E-3</v>
      </c>
      <c r="L927" t="s">
        <v>165</v>
      </c>
    </row>
    <row r="928" spans="9:12" x14ac:dyDescent="0.45">
      <c r="I928" t="s">
        <v>194</v>
      </c>
      <c r="J928" t="s">
        <v>279</v>
      </c>
      <c r="K928">
        <v>0</v>
      </c>
      <c r="L928" t="s">
        <v>165</v>
      </c>
    </row>
    <row r="929" spans="9:12" x14ac:dyDescent="0.45">
      <c r="I929" t="s">
        <v>194</v>
      </c>
      <c r="J929" t="s">
        <v>280</v>
      </c>
      <c r="K929">
        <v>0</v>
      </c>
      <c r="L929" t="s">
        <v>165</v>
      </c>
    </row>
    <row r="930" spans="9:12" x14ac:dyDescent="0.45">
      <c r="I930" t="s">
        <v>194</v>
      </c>
      <c r="J930" t="s">
        <v>281</v>
      </c>
      <c r="K930">
        <v>0</v>
      </c>
      <c r="L930" t="s">
        <v>165</v>
      </c>
    </row>
    <row r="931" spans="9:12" x14ac:dyDescent="0.45">
      <c r="I931" t="s">
        <v>194</v>
      </c>
      <c r="J931" t="s">
        <v>282</v>
      </c>
      <c r="K931">
        <v>3.8776803675341323E-2</v>
      </c>
      <c r="L931" t="s">
        <v>165</v>
      </c>
    </row>
    <row r="932" spans="9:12" x14ac:dyDescent="0.45">
      <c r="I932" t="s">
        <v>194</v>
      </c>
      <c r="J932" t="s">
        <v>283</v>
      </c>
      <c r="K932">
        <v>4.6207285852661014E-3</v>
      </c>
      <c r="L932" t="s">
        <v>165</v>
      </c>
    </row>
    <row r="933" spans="9:12" x14ac:dyDescent="0.45">
      <c r="I933" t="s">
        <v>194</v>
      </c>
      <c r="J933" t="s">
        <v>284</v>
      </c>
      <c r="K933">
        <v>3.3877959355165534E-5</v>
      </c>
      <c r="L933" t="s">
        <v>165</v>
      </c>
    </row>
    <row r="934" spans="9:12" x14ac:dyDescent="0.45">
      <c r="I934" t="s">
        <v>194</v>
      </c>
      <c r="J934" t="s">
        <v>285</v>
      </c>
      <c r="K934">
        <v>0</v>
      </c>
      <c r="L934" t="s">
        <v>165</v>
      </c>
    </row>
    <row r="935" spans="9:12" x14ac:dyDescent="0.45">
      <c r="I935" t="s">
        <v>195</v>
      </c>
      <c r="J935" t="s">
        <v>164</v>
      </c>
      <c r="K935">
        <v>0</v>
      </c>
      <c r="L935" t="s">
        <v>165</v>
      </c>
    </row>
    <row r="936" spans="9:12" x14ac:dyDescent="0.45">
      <c r="I936" t="s">
        <v>195</v>
      </c>
      <c r="J936" t="s">
        <v>166</v>
      </c>
      <c r="K936">
        <v>1.8669475501079341E-3</v>
      </c>
      <c r="L936" t="s">
        <v>165</v>
      </c>
    </row>
    <row r="937" spans="9:12" x14ac:dyDescent="0.45">
      <c r="I937" t="s">
        <v>195</v>
      </c>
      <c r="J937" t="s">
        <v>167</v>
      </c>
      <c r="K937">
        <v>7.5068372657579582E-2</v>
      </c>
      <c r="L937" t="s">
        <v>165</v>
      </c>
    </row>
    <row r="938" spans="9:12" x14ac:dyDescent="0.45">
      <c r="I938" t="s">
        <v>195</v>
      </c>
      <c r="J938" t="s">
        <v>253</v>
      </c>
      <c r="K938">
        <v>8.8548312921452738E-3</v>
      </c>
      <c r="L938" t="s">
        <v>165</v>
      </c>
    </row>
    <row r="939" spans="9:12" x14ac:dyDescent="0.45">
      <c r="I939" t="s">
        <v>195</v>
      </c>
      <c r="J939" t="s">
        <v>254</v>
      </c>
      <c r="K939">
        <v>5.4440219794552203E-3</v>
      </c>
      <c r="L939" t="s">
        <v>165</v>
      </c>
    </row>
    <row r="940" spans="9:12" x14ac:dyDescent="0.45">
      <c r="I940" t="s">
        <v>195</v>
      </c>
      <c r="J940" t="s">
        <v>255</v>
      </c>
      <c r="K940">
        <v>1.0347531176647276E-3</v>
      </c>
      <c r="L940" t="s">
        <v>165</v>
      </c>
    </row>
    <row r="941" spans="9:12" x14ac:dyDescent="0.45">
      <c r="I941" t="s">
        <v>195</v>
      </c>
      <c r="J941" t="s">
        <v>168</v>
      </c>
      <c r="K941">
        <v>1.319483772562013E-3</v>
      </c>
      <c r="L941" t="s">
        <v>165</v>
      </c>
    </row>
    <row r="942" spans="9:12" x14ac:dyDescent="0.45">
      <c r="I942" t="s">
        <v>195</v>
      </c>
      <c r="J942" t="s">
        <v>169</v>
      </c>
      <c r="K942">
        <v>4.1847875031589595E-3</v>
      </c>
      <c r="L942" t="s">
        <v>165</v>
      </c>
    </row>
    <row r="943" spans="9:12" x14ac:dyDescent="0.45">
      <c r="I943" t="s">
        <v>195</v>
      </c>
      <c r="J943" t="s">
        <v>170</v>
      </c>
      <c r="K943">
        <v>5.6128709972735905E-2</v>
      </c>
      <c r="L943" t="s">
        <v>165</v>
      </c>
    </row>
    <row r="944" spans="9:12" x14ac:dyDescent="0.45">
      <c r="I944" t="s">
        <v>195</v>
      </c>
      <c r="J944" t="s">
        <v>256</v>
      </c>
      <c r="K944">
        <v>6.2652252044833271E-3</v>
      </c>
      <c r="L944" t="s">
        <v>165</v>
      </c>
    </row>
    <row r="945" spans="9:12" x14ac:dyDescent="0.45">
      <c r="I945" t="s">
        <v>195</v>
      </c>
      <c r="J945" t="s">
        <v>257</v>
      </c>
      <c r="K945">
        <v>4.9188655385360028E-3</v>
      </c>
      <c r="L945" t="s">
        <v>165</v>
      </c>
    </row>
    <row r="946" spans="9:12" x14ac:dyDescent="0.45">
      <c r="I946" t="s">
        <v>195</v>
      </c>
      <c r="J946" t="s">
        <v>258</v>
      </c>
      <c r="K946">
        <v>2.9314817993954996E-3</v>
      </c>
      <c r="L946" t="s">
        <v>165</v>
      </c>
    </row>
    <row r="947" spans="9:12" x14ac:dyDescent="0.45">
      <c r="I947" t="s">
        <v>195</v>
      </c>
      <c r="J947" t="s">
        <v>171</v>
      </c>
      <c r="K947">
        <v>3.1228318332625744E-2</v>
      </c>
      <c r="L947" t="s">
        <v>165</v>
      </c>
    </row>
    <row r="948" spans="9:12" x14ac:dyDescent="0.45">
      <c r="I948" t="s">
        <v>195</v>
      </c>
      <c r="J948" t="s">
        <v>172</v>
      </c>
      <c r="K948">
        <v>3.1222616429096989E-2</v>
      </c>
      <c r="L948" t="s">
        <v>165</v>
      </c>
    </row>
    <row r="949" spans="9:12" x14ac:dyDescent="0.45">
      <c r="I949" t="s">
        <v>195</v>
      </c>
      <c r="J949" t="s">
        <v>173</v>
      </c>
      <c r="K949">
        <v>0.29740081125813711</v>
      </c>
      <c r="L949" t="s">
        <v>165</v>
      </c>
    </row>
    <row r="950" spans="9:12" x14ac:dyDescent="0.45">
      <c r="I950" t="s">
        <v>195</v>
      </c>
      <c r="J950" t="s">
        <v>259</v>
      </c>
      <c r="K950">
        <v>3.6611890506805855E-2</v>
      </c>
      <c r="L950" t="s">
        <v>165</v>
      </c>
    </row>
    <row r="951" spans="9:12" x14ac:dyDescent="0.45">
      <c r="I951" t="s">
        <v>195</v>
      </c>
      <c r="J951" t="s">
        <v>260</v>
      </c>
      <c r="K951">
        <v>3.0258665440891491E-2</v>
      </c>
      <c r="L951" t="s">
        <v>165</v>
      </c>
    </row>
    <row r="952" spans="9:12" x14ac:dyDescent="0.45">
      <c r="I952" t="s">
        <v>195</v>
      </c>
      <c r="J952" t="s">
        <v>261</v>
      </c>
      <c r="K952">
        <v>3.8729521279510667E-2</v>
      </c>
      <c r="L952" t="s">
        <v>165</v>
      </c>
    </row>
    <row r="953" spans="9:12" x14ac:dyDescent="0.45">
      <c r="I953" t="s">
        <v>195</v>
      </c>
      <c r="J953" t="s">
        <v>262</v>
      </c>
      <c r="K953">
        <v>1.1525752401144984E-2</v>
      </c>
      <c r="L953" t="s">
        <v>165</v>
      </c>
    </row>
    <row r="954" spans="9:12" x14ac:dyDescent="0.45">
      <c r="I954" t="s">
        <v>195</v>
      </c>
      <c r="J954" t="s">
        <v>263</v>
      </c>
      <c r="K954">
        <v>1.5423492377527669E-2</v>
      </c>
      <c r="L954" t="s">
        <v>165</v>
      </c>
    </row>
    <row r="955" spans="9:12" x14ac:dyDescent="0.45">
      <c r="I955" t="s">
        <v>195</v>
      </c>
      <c r="J955" t="s">
        <v>264</v>
      </c>
      <c r="K955">
        <v>0.14465450268388771</v>
      </c>
      <c r="L955" t="s">
        <v>165</v>
      </c>
    </row>
    <row r="956" spans="9:12" x14ac:dyDescent="0.45">
      <c r="I956" t="s">
        <v>195</v>
      </c>
      <c r="J956" t="s">
        <v>265</v>
      </c>
      <c r="K956">
        <v>1.8175632200919872E-2</v>
      </c>
      <c r="L956" t="s">
        <v>165</v>
      </c>
    </row>
    <row r="957" spans="9:12" x14ac:dyDescent="0.45">
      <c r="I957" t="s">
        <v>195</v>
      </c>
      <c r="J957" t="s">
        <v>266</v>
      </c>
      <c r="K957">
        <v>1.5001208402303578E-2</v>
      </c>
      <c r="L957" t="s">
        <v>165</v>
      </c>
    </row>
    <row r="958" spans="9:12" x14ac:dyDescent="0.45">
      <c r="I958" t="s">
        <v>195</v>
      </c>
      <c r="J958" t="s">
        <v>267</v>
      </c>
      <c r="K958">
        <v>1.3950100912411438E-2</v>
      </c>
      <c r="L958" t="s">
        <v>165</v>
      </c>
    </row>
    <row r="959" spans="9:12" x14ac:dyDescent="0.45">
      <c r="I959" t="s">
        <v>195</v>
      </c>
      <c r="J959" t="s">
        <v>268</v>
      </c>
      <c r="K959">
        <v>6.5896420035503329E-4</v>
      </c>
      <c r="L959" t="s">
        <v>165</v>
      </c>
    </row>
    <row r="960" spans="9:12" x14ac:dyDescent="0.45">
      <c r="I960" t="s">
        <v>195</v>
      </c>
      <c r="J960" t="s">
        <v>269</v>
      </c>
      <c r="K960">
        <v>3.4213702282668117E-3</v>
      </c>
      <c r="L960" t="s">
        <v>165</v>
      </c>
    </row>
    <row r="961" spans="9:12" x14ac:dyDescent="0.45">
      <c r="I961" t="s">
        <v>195</v>
      </c>
      <c r="J961" t="s">
        <v>270</v>
      </c>
      <c r="K961">
        <v>4.8968507629429718E-2</v>
      </c>
      <c r="L961" t="s">
        <v>165</v>
      </c>
    </row>
    <row r="962" spans="9:12" x14ac:dyDescent="0.45">
      <c r="I962" t="s">
        <v>195</v>
      </c>
      <c r="J962" t="s">
        <v>271</v>
      </c>
      <c r="K962">
        <v>5.9304063038453638E-3</v>
      </c>
      <c r="L962" t="s">
        <v>165</v>
      </c>
    </row>
    <row r="963" spans="9:12" x14ac:dyDescent="0.45">
      <c r="I963" t="s">
        <v>195</v>
      </c>
      <c r="J963" t="s">
        <v>272</v>
      </c>
      <c r="K963">
        <v>3.8068665921363138E-3</v>
      </c>
      <c r="L963" t="s">
        <v>165</v>
      </c>
    </row>
    <row r="964" spans="9:12" x14ac:dyDescent="0.45">
      <c r="I964" t="s">
        <v>195</v>
      </c>
      <c r="J964" t="s">
        <v>273</v>
      </c>
      <c r="K964">
        <v>5.0047390229592079E-4</v>
      </c>
      <c r="L964" t="s">
        <v>165</v>
      </c>
    </row>
    <row r="965" spans="9:12" x14ac:dyDescent="0.45">
      <c r="I965" t="s">
        <v>195</v>
      </c>
      <c r="J965" t="s">
        <v>274</v>
      </c>
      <c r="K965">
        <v>0</v>
      </c>
      <c r="L965" t="s">
        <v>165</v>
      </c>
    </row>
    <row r="966" spans="9:12" x14ac:dyDescent="0.45">
      <c r="I966" t="s">
        <v>195</v>
      </c>
      <c r="J966" t="s">
        <v>275</v>
      </c>
      <c r="K966">
        <v>1.7648185122109961E-3</v>
      </c>
      <c r="L966" t="s">
        <v>165</v>
      </c>
    </row>
    <row r="967" spans="9:12" x14ac:dyDescent="0.45">
      <c r="I967" t="s">
        <v>195</v>
      </c>
      <c r="J967" t="s">
        <v>276</v>
      </c>
      <c r="K967">
        <v>3.5048713144308317E-2</v>
      </c>
      <c r="L967" t="s">
        <v>165</v>
      </c>
    </row>
    <row r="968" spans="9:12" x14ac:dyDescent="0.45">
      <c r="I968" t="s">
        <v>195</v>
      </c>
      <c r="J968" t="s">
        <v>277</v>
      </c>
      <c r="K968">
        <v>3.1226566442301958E-3</v>
      </c>
      <c r="L968" t="s">
        <v>165</v>
      </c>
    </row>
    <row r="969" spans="9:12" x14ac:dyDescent="0.45">
      <c r="I969" t="s">
        <v>195</v>
      </c>
      <c r="J969" t="s">
        <v>278</v>
      </c>
      <c r="K969">
        <v>9.4624065015581568E-4</v>
      </c>
      <c r="L969" t="s">
        <v>165</v>
      </c>
    </row>
    <row r="970" spans="9:12" x14ac:dyDescent="0.45">
      <c r="I970" t="s">
        <v>195</v>
      </c>
      <c r="J970" t="s">
        <v>279</v>
      </c>
      <c r="K970">
        <v>0</v>
      </c>
      <c r="L970" t="s">
        <v>165</v>
      </c>
    </row>
    <row r="971" spans="9:12" x14ac:dyDescent="0.45">
      <c r="I971" t="s">
        <v>195</v>
      </c>
      <c r="J971" t="s">
        <v>280</v>
      </c>
      <c r="K971">
        <v>0</v>
      </c>
      <c r="L971" t="s">
        <v>165</v>
      </c>
    </row>
    <row r="972" spans="9:12" x14ac:dyDescent="0.45">
      <c r="I972" t="s">
        <v>195</v>
      </c>
      <c r="J972" t="s">
        <v>281</v>
      </c>
      <c r="K972">
        <v>7.2926214923768813E-6</v>
      </c>
      <c r="L972" t="s">
        <v>165</v>
      </c>
    </row>
    <row r="973" spans="9:12" x14ac:dyDescent="0.45">
      <c r="I973" t="s">
        <v>195</v>
      </c>
      <c r="J973" t="s">
        <v>282</v>
      </c>
      <c r="K973">
        <v>3.9397377891654026E-2</v>
      </c>
      <c r="L973" t="s">
        <v>165</v>
      </c>
    </row>
    <row r="974" spans="9:12" x14ac:dyDescent="0.45">
      <c r="I974" t="s">
        <v>195</v>
      </c>
      <c r="J974" t="s">
        <v>283</v>
      </c>
      <c r="K974">
        <v>4.2096093016736795E-3</v>
      </c>
      <c r="L974" t="s">
        <v>165</v>
      </c>
    </row>
    <row r="975" spans="9:12" x14ac:dyDescent="0.45">
      <c r="I975" t="s">
        <v>195</v>
      </c>
      <c r="J975" t="s">
        <v>284</v>
      </c>
      <c r="K975">
        <v>1.6709764856667851E-5</v>
      </c>
      <c r="L975" t="s">
        <v>165</v>
      </c>
    </row>
    <row r="976" spans="9:12" x14ac:dyDescent="0.45">
      <c r="I976" t="s">
        <v>195</v>
      </c>
      <c r="J976" t="s">
        <v>285</v>
      </c>
      <c r="K976">
        <v>0</v>
      </c>
      <c r="L976" t="s">
        <v>165</v>
      </c>
    </row>
    <row r="977" spans="9:12" x14ac:dyDescent="0.45">
      <c r="I977" t="s">
        <v>196</v>
      </c>
      <c r="J977" t="s">
        <v>164</v>
      </c>
      <c r="K977">
        <v>0</v>
      </c>
      <c r="L977" t="s">
        <v>165</v>
      </c>
    </row>
    <row r="978" spans="9:12" x14ac:dyDescent="0.45">
      <c r="I978" t="s">
        <v>196</v>
      </c>
      <c r="J978" t="s">
        <v>166</v>
      </c>
      <c r="K978">
        <v>1.6845455725303445E-3</v>
      </c>
      <c r="L978" t="s">
        <v>165</v>
      </c>
    </row>
    <row r="979" spans="9:12" x14ac:dyDescent="0.45">
      <c r="I979" t="s">
        <v>196</v>
      </c>
      <c r="J979" t="s">
        <v>167</v>
      </c>
      <c r="K979">
        <v>7.7009260255393966E-2</v>
      </c>
      <c r="L979" t="s">
        <v>165</v>
      </c>
    </row>
    <row r="980" spans="9:12" x14ac:dyDescent="0.45">
      <c r="I980" t="s">
        <v>196</v>
      </c>
      <c r="J980" t="s">
        <v>253</v>
      </c>
      <c r="K980">
        <v>9.8515857923318767E-3</v>
      </c>
      <c r="L980" t="s">
        <v>165</v>
      </c>
    </row>
    <row r="981" spans="9:12" x14ac:dyDescent="0.45">
      <c r="I981" t="s">
        <v>196</v>
      </c>
      <c r="J981" t="s">
        <v>254</v>
      </c>
      <c r="K981">
        <v>6.3107274542754692E-3</v>
      </c>
      <c r="L981" t="s">
        <v>165</v>
      </c>
    </row>
    <row r="982" spans="9:12" x14ac:dyDescent="0.45">
      <c r="I982" t="s">
        <v>196</v>
      </c>
      <c r="J982" t="s">
        <v>255</v>
      </c>
      <c r="K982">
        <v>1.5863149455701241E-3</v>
      </c>
      <c r="L982" t="s">
        <v>165</v>
      </c>
    </row>
    <row r="983" spans="9:12" x14ac:dyDescent="0.45">
      <c r="I983" t="s">
        <v>196</v>
      </c>
      <c r="J983" t="s">
        <v>168</v>
      </c>
      <c r="K983">
        <v>8.3707155862192096E-4</v>
      </c>
      <c r="L983" t="s">
        <v>165</v>
      </c>
    </row>
    <row r="984" spans="9:12" x14ac:dyDescent="0.45">
      <c r="I984" t="s">
        <v>196</v>
      </c>
      <c r="J984" t="s">
        <v>169</v>
      </c>
      <c r="K984">
        <v>3.3579241637031517E-3</v>
      </c>
      <c r="L984" t="s">
        <v>165</v>
      </c>
    </row>
    <row r="985" spans="9:12" x14ac:dyDescent="0.45">
      <c r="I985" t="s">
        <v>196</v>
      </c>
      <c r="J985" t="s">
        <v>170</v>
      </c>
      <c r="K985">
        <v>5.1892962344608079E-2</v>
      </c>
      <c r="L985" t="s">
        <v>165</v>
      </c>
    </row>
    <row r="986" spans="9:12" x14ac:dyDescent="0.45">
      <c r="I986" t="s">
        <v>196</v>
      </c>
      <c r="J986" t="s">
        <v>256</v>
      </c>
      <c r="K986">
        <v>6.0589290224300841E-3</v>
      </c>
      <c r="L986" t="s">
        <v>165</v>
      </c>
    </row>
    <row r="987" spans="9:12" x14ac:dyDescent="0.45">
      <c r="I987" t="s">
        <v>196</v>
      </c>
      <c r="J987" t="s">
        <v>257</v>
      </c>
      <c r="K987">
        <v>4.6476466593976416E-3</v>
      </c>
      <c r="L987" t="s">
        <v>165</v>
      </c>
    </row>
    <row r="988" spans="9:12" x14ac:dyDescent="0.45">
      <c r="I988" t="s">
        <v>196</v>
      </c>
      <c r="J988" t="s">
        <v>258</v>
      </c>
      <c r="K988">
        <v>2.9103706828491212E-3</v>
      </c>
      <c r="L988" t="s">
        <v>165</v>
      </c>
    </row>
    <row r="989" spans="9:12" x14ac:dyDescent="0.45">
      <c r="I989" t="s">
        <v>196</v>
      </c>
      <c r="J989" t="s">
        <v>171</v>
      </c>
      <c r="K989">
        <v>2.9862117600962541E-2</v>
      </c>
      <c r="L989" t="s">
        <v>165</v>
      </c>
    </row>
    <row r="990" spans="9:12" x14ac:dyDescent="0.45">
      <c r="I990" t="s">
        <v>196</v>
      </c>
      <c r="J990" t="s">
        <v>172</v>
      </c>
      <c r="K990">
        <v>3.0376599370982575E-2</v>
      </c>
      <c r="L990" t="s">
        <v>165</v>
      </c>
    </row>
    <row r="991" spans="9:12" x14ac:dyDescent="0.45">
      <c r="I991" t="s">
        <v>196</v>
      </c>
      <c r="J991" t="s">
        <v>173</v>
      </c>
      <c r="K991">
        <v>0.30090670329982644</v>
      </c>
      <c r="L991" t="s">
        <v>165</v>
      </c>
    </row>
    <row r="992" spans="9:12" x14ac:dyDescent="0.45">
      <c r="I992" t="s">
        <v>196</v>
      </c>
      <c r="J992" t="s">
        <v>259</v>
      </c>
      <c r="K992">
        <v>3.6990846507810614E-2</v>
      </c>
      <c r="L992" t="s">
        <v>165</v>
      </c>
    </row>
    <row r="993" spans="9:12" x14ac:dyDescent="0.45">
      <c r="I993" t="s">
        <v>196</v>
      </c>
      <c r="J993" t="s">
        <v>260</v>
      </c>
      <c r="K993">
        <v>3.1313828289650618E-2</v>
      </c>
      <c r="L993" t="s">
        <v>165</v>
      </c>
    </row>
    <row r="994" spans="9:12" x14ac:dyDescent="0.45">
      <c r="I994" t="s">
        <v>196</v>
      </c>
      <c r="J994" t="s">
        <v>261</v>
      </c>
      <c r="K994">
        <v>4.1821063545007399E-2</v>
      </c>
      <c r="L994" t="s">
        <v>165</v>
      </c>
    </row>
    <row r="995" spans="9:12" x14ac:dyDescent="0.45">
      <c r="I995" t="s">
        <v>196</v>
      </c>
      <c r="J995" t="s">
        <v>262</v>
      </c>
      <c r="K995">
        <v>1.1029067726008849E-2</v>
      </c>
      <c r="L995" t="s">
        <v>165</v>
      </c>
    </row>
    <row r="996" spans="9:12" x14ac:dyDescent="0.45">
      <c r="I996" t="s">
        <v>196</v>
      </c>
      <c r="J996" t="s">
        <v>263</v>
      </c>
      <c r="K996">
        <v>1.477784113806499E-2</v>
      </c>
      <c r="L996" t="s">
        <v>165</v>
      </c>
    </row>
    <row r="997" spans="9:12" x14ac:dyDescent="0.45">
      <c r="I997" t="s">
        <v>196</v>
      </c>
      <c r="J997" t="s">
        <v>264</v>
      </c>
      <c r="K997">
        <v>0.14690476783798467</v>
      </c>
      <c r="L997" t="s">
        <v>165</v>
      </c>
    </row>
    <row r="998" spans="9:12" x14ac:dyDescent="0.45">
      <c r="I998" t="s">
        <v>196</v>
      </c>
      <c r="J998" t="s">
        <v>265</v>
      </c>
      <c r="K998">
        <v>1.8920835074106156E-2</v>
      </c>
      <c r="L998" t="s">
        <v>165</v>
      </c>
    </row>
    <row r="999" spans="9:12" x14ac:dyDescent="0.45">
      <c r="I999" t="s">
        <v>196</v>
      </c>
      <c r="J999" t="s">
        <v>266</v>
      </c>
      <c r="K999">
        <v>1.5506923289209596E-2</v>
      </c>
      <c r="L999" t="s">
        <v>165</v>
      </c>
    </row>
    <row r="1000" spans="9:12" x14ac:dyDescent="0.45">
      <c r="I1000" t="s">
        <v>196</v>
      </c>
      <c r="J1000" t="s">
        <v>267</v>
      </c>
      <c r="K1000">
        <v>1.5860561597342712E-2</v>
      </c>
      <c r="L1000" t="s">
        <v>165</v>
      </c>
    </row>
    <row r="1001" spans="9:12" x14ac:dyDescent="0.45">
      <c r="I1001" t="s">
        <v>196</v>
      </c>
      <c r="J1001" t="s">
        <v>268</v>
      </c>
      <c r="K1001">
        <v>3.8914199346699104E-4</v>
      </c>
      <c r="L1001" t="s">
        <v>165</v>
      </c>
    </row>
    <row r="1002" spans="9:12" x14ac:dyDescent="0.45">
      <c r="I1002" t="s">
        <v>196</v>
      </c>
      <c r="J1002" t="s">
        <v>269</v>
      </c>
      <c r="K1002">
        <v>2.4048272890128267E-3</v>
      </c>
      <c r="L1002" t="s">
        <v>165</v>
      </c>
    </row>
    <row r="1003" spans="9:12" x14ac:dyDescent="0.45">
      <c r="I1003" t="s">
        <v>196</v>
      </c>
      <c r="J1003" t="s">
        <v>270</v>
      </c>
      <c r="K1003">
        <v>4.5127315481295845E-2</v>
      </c>
      <c r="L1003" t="s">
        <v>165</v>
      </c>
    </row>
    <row r="1004" spans="9:12" x14ac:dyDescent="0.45">
      <c r="I1004" t="s">
        <v>196</v>
      </c>
      <c r="J1004" t="s">
        <v>271</v>
      </c>
      <c r="K1004">
        <v>5.5937398476330162E-3</v>
      </c>
      <c r="L1004" t="s">
        <v>165</v>
      </c>
    </row>
    <row r="1005" spans="9:12" x14ac:dyDescent="0.45">
      <c r="I1005" t="s">
        <v>196</v>
      </c>
      <c r="J1005" t="s">
        <v>272</v>
      </c>
      <c r="K1005">
        <v>3.5790342313192333E-3</v>
      </c>
      <c r="L1005" t="s">
        <v>165</v>
      </c>
    </row>
    <row r="1006" spans="9:12" x14ac:dyDescent="0.45">
      <c r="I1006" t="s">
        <v>196</v>
      </c>
      <c r="J1006" t="s">
        <v>273</v>
      </c>
      <c r="K1006">
        <v>5.0413619653470818E-4</v>
      </c>
      <c r="L1006" t="s">
        <v>165</v>
      </c>
    </row>
    <row r="1007" spans="9:12" x14ac:dyDescent="0.45">
      <c r="I1007" t="s">
        <v>196</v>
      </c>
      <c r="J1007" t="s">
        <v>274</v>
      </c>
      <c r="K1007">
        <v>0</v>
      </c>
      <c r="L1007" t="s">
        <v>165</v>
      </c>
    </row>
    <row r="1008" spans="9:12" x14ac:dyDescent="0.45">
      <c r="I1008" t="s">
        <v>196</v>
      </c>
      <c r="J1008" t="s">
        <v>275</v>
      </c>
      <c r="K1008">
        <v>1.0423591089469143E-3</v>
      </c>
      <c r="L1008" t="s">
        <v>165</v>
      </c>
    </row>
    <row r="1009" spans="9:12" x14ac:dyDescent="0.45">
      <c r="I1009" t="s">
        <v>196</v>
      </c>
      <c r="J1009" t="s">
        <v>276</v>
      </c>
      <c r="K1009">
        <v>3.3761338094896308E-2</v>
      </c>
      <c r="L1009" t="s">
        <v>165</v>
      </c>
    </row>
    <row r="1010" spans="9:12" x14ac:dyDescent="0.45">
      <c r="I1010" t="s">
        <v>196</v>
      </c>
      <c r="J1010" t="s">
        <v>277</v>
      </c>
      <c r="K1010">
        <v>3.5520031657782967E-3</v>
      </c>
      <c r="L1010" t="s">
        <v>165</v>
      </c>
    </row>
    <row r="1011" spans="9:12" x14ac:dyDescent="0.45">
      <c r="I1011" t="s">
        <v>196</v>
      </c>
      <c r="J1011" t="s">
        <v>278</v>
      </c>
      <c r="K1011">
        <v>1.5136304020147429E-3</v>
      </c>
      <c r="L1011" t="s">
        <v>165</v>
      </c>
    </row>
    <row r="1012" spans="9:12" x14ac:dyDescent="0.45">
      <c r="I1012" t="s">
        <v>196</v>
      </c>
      <c r="J1012" t="s">
        <v>279</v>
      </c>
      <c r="K1012">
        <v>0</v>
      </c>
      <c r="L1012" t="s">
        <v>165</v>
      </c>
    </row>
    <row r="1013" spans="9:12" x14ac:dyDescent="0.45">
      <c r="I1013" t="s">
        <v>196</v>
      </c>
      <c r="J1013" t="s">
        <v>280</v>
      </c>
      <c r="K1013">
        <v>0</v>
      </c>
      <c r="L1013" t="s">
        <v>165</v>
      </c>
    </row>
    <row r="1014" spans="9:12" x14ac:dyDescent="0.45">
      <c r="I1014" t="s">
        <v>196</v>
      </c>
      <c r="J1014" t="s">
        <v>281</v>
      </c>
      <c r="K1014">
        <v>0</v>
      </c>
      <c r="L1014" t="s">
        <v>165</v>
      </c>
    </row>
    <row r="1015" spans="9:12" x14ac:dyDescent="0.45">
      <c r="I1015" t="s">
        <v>196</v>
      </c>
      <c r="J1015" t="s">
        <v>282</v>
      </c>
      <c r="K1015">
        <v>3.744350205955882E-2</v>
      </c>
      <c r="L1015" t="s">
        <v>165</v>
      </c>
    </row>
    <row r="1016" spans="9:12" x14ac:dyDescent="0.45">
      <c r="I1016" t="s">
        <v>196</v>
      </c>
      <c r="J1016" t="s">
        <v>283</v>
      </c>
      <c r="K1016">
        <v>4.3812470310179499E-3</v>
      </c>
      <c r="L1016" t="s">
        <v>165</v>
      </c>
    </row>
    <row r="1017" spans="9:12" x14ac:dyDescent="0.45">
      <c r="I1017" t="s">
        <v>196</v>
      </c>
      <c r="J1017" t="s">
        <v>284</v>
      </c>
      <c r="K1017">
        <v>2.892313698541906E-4</v>
      </c>
      <c r="L1017" t="s">
        <v>165</v>
      </c>
    </row>
    <row r="1018" spans="9:12" x14ac:dyDescent="0.45">
      <c r="I1018" t="s">
        <v>196</v>
      </c>
      <c r="J1018" t="s">
        <v>285</v>
      </c>
      <c r="K1018">
        <v>0</v>
      </c>
      <c r="L1018" t="s">
        <v>165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E6B56B-66EB-482B-9C80-B3F1E77296CB}">
  <dimension ref="A9:AN39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162</v>
      </c>
      <c r="L10" t="s">
        <v>30</v>
      </c>
      <c r="N10" t="s">
        <v>13</v>
      </c>
      <c r="O10" t="s">
        <v>122</v>
      </c>
      <c r="P10" t="s">
        <v>162</v>
      </c>
      <c r="Q10" t="s">
        <v>30</v>
      </c>
      <c r="S10" t="s">
        <v>13</v>
      </c>
      <c r="T10" t="s">
        <v>122</v>
      </c>
      <c r="U10" t="s">
        <v>162</v>
      </c>
      <c r="V10" t="s">
        <v>30</v>
      </c>
      <c r="X10" t="s">
        <v>235</v>
      </c>
      <c r="Y10" t="s">
        <v>162</v>
      </c>
      <c r="Z10" t="s">
        <v>122</v>
      </c>
      <c r="AA10" t="s">
        <v>13</v>
      </c>
      <c r="AC10" t="s">
        <v>13</v>
      </c>
      <c r="AD10" t="s">
        <v>122</v>
      </c>
      <c r="AE10" t="s">
        <v>162</v>
      </c>
      <c r="AG10" t="s">
        <v>13</v>
      </c>
      <c r="AH10" t="s">
        <v>122</v>
      </c>
      <c r="AI10" t="s">
        <v>241</v>
      </c>
      <c r="AK10" t="s">
        <v>47</v>
      </c>
      <c r="AL10" t="s">
        <v>122</v>
      </c>
      <c r="AM10" t="s">
        <v>242</v>
      </c>
      <c r="AN10" t="s">
        <v>243</v>
      </c>
    </row>
    <row r="11" spans="1:40" x14ac:dyDescent="0.45">
      <c r="A11" t="str">
        <f>IFERROR(IF(Veda!D5=A10,"ok","x"),"")</f>
        <v>ok</v>
      </c>
      <c r="C11" t="s">
        <v>288</v>
      </c>
      <c r="D11" t="s">
        <v>155</v>
      </c>
      <c r="E11" t="s">
        <v>289</v>
      </c>
      <c r="F11" t="s">
        <v>288</v>
      </c>
      <c r="G11" t="s">
        <v>155</v>
      </c>
      <c r="I11" t="s">
        <v>163</v>
      </c>
      <c r="J11" t="s">
        <v>290</v>
      </c>
      <c r="K11">
        <v>1.0000000000000004</v>
      </c>
      <c r="L11" t="s">
        <v>165</v>
      </c>
      <c r="N11" t="s">
        <v>197</v>
      </c>
      <c r="O11" t="s">
        <v>290</v>
      </c>
      <c r="P11">
        <v>0.999999999999998</v>
      </c>
      <c r="Q11" t="s">
        <v>165</v>
      </c>
      <c r="S11" t="s">
        <v>216</v>
      </c>
      <c r="T11" t="s">
        <v>290</v>
      </c>
      <c r="U11">
        <v>1.0000000000000007</v>
      </c>
      <c r="V11" t="s">
        <v>165</v>
      </c>
      <c r="X11">
        <v>1</v>
      </c>
      <c r="Y11">
        <v>1.0000000000000002</v>
      </c>
      <c r="Z11" t="s">
        <v>290</v>
      </c>
      <c r="AA11" t="s">
        <v>25</v>
      </c>
      <c r="AC11" t="s">
        <v>22</v>
      </c>
      <c r="AD11" t="s">
        <v>290</v>
      </c>
      <c r="AE11">
        <v>1</v>
      </c>
      <c r="AG11" t="s">
        <v>97</v>
      </c>
      <c r="AH11" t="s">
        <v>290</v>
      </c>
      <c r="AI11">
        <v>0.29960038929139898</v>
      </c>
      <c r="AK11">
        <v>2020</v>
      </c>
      <c r="AL11" t="s">
        <v>288</v>
      </c>
      <c r="AM11">
        <v>0.26517207047611197</v>
      </c>
      <c r="AN11" t="s">
        <v>244</v>
      </c>
    </row>
    <row r="12" spans="1:40" x14ac:dyDescent="0.45">
      <c r="I12" t="s">
        <v>174</v>
      </c>
      <c r="J12" t="s">
        <v>290</v>
      </c>
      <c r="K12">
        <v>0.99999999999999722</v>
      </c>
      <c r="L12" t="s">
        <v>165</v>
      </c>
      <c r="N12" t="s">
        <v>198</v>
      </c>
      <c r="O12" t="s">
        <v>290</v>
      </c>
      <c r="P12">
        <v>0.99999999999999978</v>
      </c>
      <c r="Q12" t="s">
        <v>165</v>
      </c>
      <c r="S12" t="s">
        <v>217</v>
      </c>
      <c r="T12" t="s">
        <v>290</v>
      </c>
      <c r="U12">
        <v>0.99999999999999967</v>
      </c>
      <c r="V12" t="s">
        <v>165</v>
      </c>
      <c r="AC12" t="s">
        <v>19</v>
      </c>
      <c r="AD12" t="s">
        <v>290</v>
      </c>
      <c r="AE12">
        <v>1</v>
      </c>
      <c r="AK12">
        <v>2021</v>
      </c>
      <c r="AL12" t="s">
        <v>288</v>
      </c>
      <c r="AM12">
        <v>0.24868903323440203</v>
      </c>
      <c r="AN12" t="s">
        <v>244</v>
      </c>
    </row>
    <row r="13" spans="1:40" x14ac:dyDescent="0.45">
      <c r="I13" t="s">
        <v>175</v>
      </c>
      <c r="J13" t="s">
        <v>290</v>
      </c>
      <c r="K13">
        <v>1.0000000000000038</v>
      </c>
      <c r="L13" t="s">
        <v>165</v>
      </c>
      <c r="N13" t="s">
        <v>199</v>
      </c>
      <c r="O13" t="s">
        <v>290</v>
      </c>
      <c r="P13">
        <v>0.999999999999997</v>
      </c>
      <c r="Q13" t="s">
        <v>165</v>
      </c>
      <c r="S13" t="s">
        <v>218</v>
      </c>
      <c r="T13" t="s">
        <v>290</v>
      </c>
      <c r="U13">
        <v>1.0000000000000067</v>
      </c>
      <c r="V13" t="s">
        <v>165</v>
      </c>
      <c r="AK13">
        <v>2022</v>
      </c>
      <c r="AL13" t="s">
        <v>288</v>
      </c>
      <c r="AM13">
        <v>0.15871711334515723</v>
      </c>
      <c r="AN13" t="s">
        <v>244</v>
      </c>
    </row>
    <row r="14" spans="1:40" x14ac:dyDescent="0.45">
      <c r="I14" t="s">
        <v>176</v>
      </c>
      <c r="J14" t="s">
        <v>290</v>
      </c>
      <c r="K14">
        <v>0.99999999999999956</v>
      </c>
      <c r="L14" t="s">
        <v>165</v>
      </c>
      <c r="N14" t="s">
        <v>200</v>
      </c>
      <c r="O14" t="s">
        <v>290</v>
      </c>
      <c r="P14">
        <v>0.99999999999999711</v>
      </c>
      <c r="Q14" t="s">
        <v>165</v>
      </c>
      <c r="S14" t="s">
        <v>219</v>
      </c>
      <c r="T14" t="s">
        <v>290</v>
      </c>
      <c r="U14">
        <v>1</v>
      </c>
      <c r="V14" t="s">
        <v>165</v>
      </c>
      <c r="AK14">
        <v>2025</v>
      </c>
      <c r="AL14" t="s">
        <v>288</v>
      </c>
      <c r="AM14">
        <v>0.26771666666666666</v>
      </c>
      <c r="AN14" t="s">
        <v>244</v>
      </c>
    </row>
    <row r="15" spans="1:40" x14ac:dyDescent="0.45">
      <c r="I15" t="s">
        <v>177</v>
      </c>
      <c r="J15" t="s">
        <v>290</v>
      </c>
      <c r="K15">
        <v>1</v>
      </c>
      <c r="L15" t="s">
        <v>165</v>
      </c>
      <c r="N15" t="s">
        <v>201</v>
      </c>
      <c r="O15" t="s">
        <v>290</v>
      </c>
      <c r="P15">
        <v>1</v>
      </c>
      <c r="Q15" t="s">
        <v>165</v>
      </c>
      <c r="S15" t="s">
        <v>220</v>
      </c>
      <c r="T15" t="s">
        <v>290</v>
      </c>
      <c r="U15">
        <v>1.000000000000004</v>
      </c>
      <c r="V15" t="s">
        <v>165</v>
      </c>
      <c r="AK15">
        <v>2026</v>
      </c>
      <c r="AL15" t="s">
        <v>288</v>
      </c>
      <c r="AM15">
        <v>0.19987500000000002</v>
      </c>
      <c r="AN15" t="s">
        <v>244</v>
      </c>
    </row>
    <row r="16" spans="1:40" x14ac:dyDescent="0.45">
      <c r="I16" t="s">
        <v>178</v>
      </c>
      <c r="J16" t="s">
        <v>290</v>
      </c>
      <c r="K16">
        <v>1.0000000000000029</v>
      </c>
      <c r="L16" t="s">
        <v>165</v>
      </c>
      <c r="N16" t="s">
        <v>202</v>
      </c>
      <c r="O16" t="s">
        <v>290</v>
      </c>
      <c r="P16">
        <v>0.99999999999999911</v>
      </c>
      <c r="Q16" t="s">
        <v>165</v>
      </c>
      <c r="S16" t="s">
        <v>221</v>
      </c>
      <c r="T16" t="s">
        <v>290</v>
      </c>
      <c r="U16">
        <v>0.99999999999999989</v>
      </c>
      <c r="V16" t="s">
        <v>165</v>
      </c>
      <c r="AK16">
        <v>2027</v>
      </c>
      <c r="AL16" t="s">
        <v>288</v>
      </c>
      <c r="AM16">
        <v>0.20223333333333329</v>
      </c>
      <c r="AN16" t="s">
        <v>244</v>
      </c>
    </row>
    <row r="17" spans="9:40" x14ac:dyDescent="0.45">
      <c r="I17" t="s">
        <v>179</v>
      </c>
      <c r="J17" t="s">
        <v>290</v>
      </c>
      <c r="K17">
        <v>1.0000000000000022</v>
      </c>
      <c r="L17" t="s">
        <v>165</v>
      </c>
      <c r="N17" t="s">
        <v>203</v>
      </c>
      <c r="O17" t="s">
        <v>290</v>
      </c>
      <c r="P17">
        <v>0.99999999999999778</v>
      </c>
      <c r="Q17" t="s">
        <v>165</v>
      </c>
      <c r="S17" t="s">
        <v>222</v>
      </c>
      <c r="T17" t="s">
        <v>290</v>
      </c>
      <c r="U17">
        <v>1.0000000000000013</v>
      </c>
      <c r="V17" t="s">
        <v>165</v>
      </c>
      <c r="AK17">
        <v>2028</v>
      </c>
      <c r="AL17" t="s">
        <v>288</v>
      </c>
      <c r="AM17">
        <v>0.236175</v>
      </c>
      <c r="AN17" t="s">
        <v>244</v>
      </c>
    </row>
    <row r="18" spans="9:40" x14ac:dyDescent="0.45">
      <c r="I18" t="s">
        <v>180</v>
      </c>
      <c r="J18" t="s">
        <v>290</v>
      </c>
      <c r="K18">
        <v>1.0000000000000009</v>
      </c>
      <c r="L18" t="s">
        <v>165</v>
      </c>
      <c r="N18" t="s">
        <v>204</v>
      </c>
      <c r="O18" t="s">
        <v>290</v>
      </c>
      <c r="P18">
        <v>1.0000000000000004</v>
      </c>
      <c r="Q18" t="s">
        <v>165</v>
      </c>
      <c r="S18" t="s">
        <v>223</v>
      </c>
      <c r="T18" t="s">
        <v>290</v>
      </c>
      <c r="U18">
        <v>1.000000000000002</v>
      </c>
      <c r="V18" t="s">
        <v>165</v>
      </c>
      <c r="AK18">
        <v>2029</v>
      </c>
      <c r="AL18" t="s">
        <v>288</v>
      </c>
      <c r="AM18">
        <v>0.22822500000000001</v>
      </c>
      <c r="AN18" t="s">
        <v>244</v>
      </c>
    </row>
    <row r="19" spans="9:40" x14ac:dyDescent="0.45">
      <c r="I19" t="s">
        <v>181</v>
      </c>
      <c r="J19" t="s">
        <v>290</v>
      </c>
      <c r="K19">
        <v>1.0000000000000029</v>
      </c>
      <c r="L19" t="s">
        <v>165</v>
      </c>
      <c r="N19" t="s">
        <v>205</v>
      </c>
      <c r="O19" t="s">
        <v>290</v>
      </c>
      <c r="P19">
        <v>0.99999999999999645</v>
      </c>
      <c r="Q19" t="s">
        <v>165</v>
      </c>
      <c r="S19" t="s">
        <v>224</v>
      </c>
      <c r="T19" t="s">
        <v>290</v>
      </c>
      <c r="U19">
        <v>0.99999999999999756</v>
      </c>
      <c r="V19" t="s">
        <v>165</v>
      </c>
      <c r="AK19">
        <v>2030</v>
      </c>
      <c r="AL19" t="s">
        <v>288</v>
      </c>
      <c r="AM19">
        <v>0.23554166666666665</v>
      </c>
      <c r="AN19" t="s">
        <v>244</v>
      </c>
    </row>
    <row r="20" spans="9:40" x14ac:dyDescent="0.45">
      <c r="I20" t="s">
        <v>182</v>
      </c>
      <c r="J20" t="s">
        <v>290</v>
      </c>
      <c r="K20">
        <v>0.99999999999999878</v>
      </c>
      <c r="L20" t="s">
        <v>165</v>
      </c>
      <c r="N20" t="s">
        <v>206</v>
      </c>
      <c r="O20" t="s">
        <v>290</v>
      </c>
      <c r="P20">
        <v>0.999999999999998</v>
      </c>
      <c r="Q20" t="s">
        <v>165</v>
      </c>
      <c r="S20" t="s">
        <v>225</v>
      </c>
      <c r="T20" t="s">
        <v>290</v>
      </c>
      <c r="U20">
        <v>0.99999999999999967</v>
      </c>
      <c r="V20" t="s">
        <v>165</v>
      </c>
      <c r="AK20">
        <v>2031</v>
      </c>
      <c r="AL20" t="s">
        <v>288</v>
      </c>
      <c r="AM20">
        <v>0.23180000000000001</v>
      </c>
      <c r="AN20" t="s">
        <v>244</v>
      </c>
    </row>
    <row r="21" spans="9:40" x14ac:dyDescent="0.45">
      <c r="I21" t="s">
        <v>183</v>
      </c>
      <c r="J21" t="s">
        <v>290</v>
      </c>
      <c r="K21">
        <v>1.0000000000000016</v>
      </c>
      <c r="L21" t="s">
        <v>165</v>
      </c>
      <c r="N21" t="s">
        <v>207</v>
      </c>
      <c r="O21" t="s">
        <v>290</v>
      </c>
      <c r="P21">
        <v>1.0000000000000018</v>
      </c>
      <c r="Q21" t="s">
        <v>165</v>
      </c>
      <c r="S21" t="s">
        <v>226</v>
      </c>
      <c r="T21" t="s">
        <v>290</v>
      </c>
      <c r="U21">
        <v>1.0000000000000022</v>
      </c>
      <c r="V21" t="s">
        <v>165</v>
      </c>
      <c r="AK21">
        <v>2032</v>
      </c>
      <c r="AL21" t="s">
        <v>288</v>
      </c>
      <c r="AM21">
        <v>0.23264166666666664</v>
      </c>
      <c r="AN21" t="s">
        <v>244</v>
      </c>
    </row>
    <row r="22" spans="9:40" x14ac:dyDescent="0.45">
      <c r="I22" t="s">
        <v>184</v>
      </c>
      <c r="J22" t="s">
        <v>290</v>
      </c>
      <c r="K22">
        <v>1.0000000000000002</v>
      </c>
      <c r="L22" t="s">
        <v>165</v>
      </c>
      <c r="N22" t="s">
        <v>208</v>
      </c>
      <c r="O22" t="s">
        <v>290</v>
      </c>
      <c r="P22">
        <v>1.0000000000000004</v>
      </c>
      <c r="Q22" t="s">
        <v>165</v>
      </c>
      <c r="S22" t="s">
        <v>227</v>
      </c>
      <c r="T22" t="s">
        <v>290</v>
      </c>
      <c r="U22">
        <v>1.0000000000000033</v>
      </c>
      <c r="V22" t="s">
        <v>165</v>
      </c>
      <c r="AK22">
        <v>2033</v>
      </c>
      <c r="AL22" t="s">
        <v>288</v>
      </c>
      <c r="AM22">
        <v>0.22911666666666666</v>
      </c>
      <c r="AN22" t="s">
        <v>244</v>
      </c>
    </row>
    <row r="23" spans="9:40" x14ac:dyDescent="0.45">
      <c r="I23" t="s">
        <v>185</v>
      </c>
      <c r="J23" t="s">
        <v>290</v>
      </c>
      <c r="K23">
        <v>0.99999999999999867</v>
      </c>
      <c r="L23" t="s">
        <v>165</v>
      </c>
      <c r="N23" t="s">
        <v>209</v>
      </c>
      <c r="O23" t="s">
        <v>290</v>
      </c>
      <c r="P23">
        <v>0.99999999999999423</v>
      </c>
      <c r="Q23" t="s">
        <v>165</v>
      </c>
      <c r="S23" t="s">
        <v>228</v>
      </c>
      <c r="T23" t="s">
        <v>290</v>
      </c>
      <c r="U23">
        <v>0.99999999999999867</v>
      </c>
      <c r="V23" t="s">
        <v>165</v>
      </c>
      <c r="AK23">
        <v>2034</v>
      </c>
      <c r="AL23" t="s">
        <v>288</v>
      </c>
      <c r="AM23">
        <v>0.23709999999999998</v>
      </c>
      <c r="AN23" t="s">
        <v>244</v>
      </c>
    </row>
    <row r="24" spans="9:40" x14ac:dyDescent="0.45">
      <c r="I24" t="s">
        <v>186</v>
      </c>
      <c r="J24" t="s">
        <v>290</v>
      </c>
      <c r="K24">
        <v>1.0000000000000004</v>
      </c>
      <c r="L24" t="s">
        <v>165</v>
      </c>
      <c r="N24" t="s">
        <v>210</v>
      </c>
      <c r="O24" t="s">
        <v>290</v>
      </c>
      <c r="P24">
        <v>0.99999999999999323</v>
      </c>
      <c r="Q24" t="s">
        <v>165</v>
      </c>
      <c r="S24" t="s">
        <v>229</v>
      </c>
      <c r="T24" t="s">
        <v>290</v>
      </c>
      <c r="U24">
        <v>0.99999999999999634</v>
      </c>
      <c r="V24" t="s">
        <v>165</v>
      </c>
      <c r="AK24">
        <v>2035</v>
      </c>
      <c r="AL24" t="s">
        <v>288</v>
      </c>
      <c r="AM24">
        <v>0.23117499999999999</v>
      </c>
      <c r="AN24" t="s">
        <v>244</v>
      </c>
    </row>
    <row r="25" spans="9:40" x14ac:dyDescent="0.45">
      <c r="I25" t="s">
        <v>187</v>
      </c>
      <c r="J25" t="s">
        <v>290</v>
      </c>
      <c r="K25">
        <v>0.99999999999999878</v>
      </c>
      <c r="L25" t="s">
        <v>165</v>
      </c>
      <c r="N25" t="s">
        <v>211</v>
      </c>
      <c r="O25" t="s">
        <v>290</v>
      </c>
      <c r="P25">
        <v>1.0000000000000044</v>
      </c>
      <c r="Q25" t="s">
        <v>165</v>
      </c>
      <c r="S25" t="s">
        <v>230</v>
      </c>
      <c r="T25" t="s">
        <v>290</v>
      </c>
      <c r="U25">
        <v>1.0000000000000011</v>
      </c>
      <c r="V25" t="s">
        <v>165</v>
      </c>
      <c r="AK25">
        <v>2036</v>
      </c>
      <c r="AL25" t="s">
        <v>288</v>
      </c>
      <c r="AM25">
        <v>0.22721666666666665</v>
      </c>
      <c r="AN25" t="s">
        <v>244</v>
      </c>
    </row>
    <row r="26" spans="9:40" x14ac:dyDescent="0.45">
      <c r="I26" t="s">
        <v>188</v>
      </c>
      <c r="J26" t="s">
        <v>290</v>
      </c>
      <c r="K26">
        <v>1.0000000000000027</v>
      </c>
      <c r="L26" t="s">
        <v>165</v>
      </c>
      <c r="N26" t="s">
        <v>212</v>
      </c>
      <c r="O26" t="s">
        <v>290</v>
      </c>
      <c r="P26">
        <v>1.0000000000000022</v>
      </c>
      <c r="Q26" t="s">
        <v>165</v>
      </c>
      <c r="S26" t="s">
        <v>231</v>
      </c>
      <c r="T26" t="s">
        <v>290</v>
      </c>
      <c r="U26">
        <v>1.0000000000000062</v>
      </c>
      <c r="V26" t="s">
        <v>165</v>
      </c>
      <c r="AK26">
        <v>2037</v>
      </c>
      <c r="AL26" t="s">
        <v>288</v>
      </c>
      <c r="AM26">
        <v>0.23520833333333332</v>
      </c>
      <c r="AN26" t="s">
        <v>244</v>
      </c>
    </row>
    <row r="27" spans="9:40" x14ac:dyDescent="0.45">
      <c r="I27" t="s">
        <v>189</v>
      </c>
      <c r="J27" t="s">
        <v>290</v>
      </c>
      <c r="K27">
        <v>0.99999999999999878</v>
      </c>
      <c r="L27" t="s">
        <v>165</v>
      </c>
      <c r="N27" t="s">
        <v>213</v>
      </c>
      <c r="O27" t="s">
        <v>290</v>
      </c>
      <c r="P27">
        <v>0.999999999999997</v>
      </c>
      <c r="Q27" t="s">
        <v>165</v>
      </c>
      <c r="S27" t="s">
        <v>232</v>
      </c>
      <c r="T27" t="s">
        <v>290</v>
      </c>
      <c r="U27">
        <v>1.0000000000000007</v>
      </c>
      <c r="V27" t="s">
        <v>165</v>
      </c>
      <c r="AK27">
        <v>2038</v>
      </c>
      <c r="AL27" t="s">
        <v>288</v>
      </c>
      <c r="AM27">
        <v>0.23155000000000003</v>
      </c>
      <c r="AN27" t="s">
        <v>244</v>
      </c>
    </row>
    <row r="28" spans="9:40" x14ac:dyDescent="0.45">
      <c r="I28" t="s">
        <v>190</v>
      </c>
      <c r="J28" t="s">
        <v>290</v>
      </c>
      <c r="K28">
        <v>1.0000000000000007</v>
      </c>
      <c r="L28" t="s">
        <v>165</v>
      </c>
      <c r="N28" t="s">
        <v>214</v>
      </c>
      <c r="O28" t="s">
        <v>290</v>
      </c>
      <c r="P28">
        <v>1.0000000000000004</v>
      </c>
      <c r="Q28" t="s">
        <v>165</v>
      </c>
      <c r="S28" t="s">
        <v>233</v>
      </c>
      <c r="T28" t="s">
        <v>290</v>
      </c>
      <c r="U28">
        <v>1.000000000000004</v>
      </c>
      <c r="V28" t="s">
        <v>165</v>
      </c>
      <c r="AK28">
        <v>2039</v>
      </c>
      <c r="AL28" t="s">
        <v>288</v>
      </c>
      <c r="AM28">
        <v>0.22626666666666664</v>
      </c>
      <c r="AN28" t="s">
        <v>244</v>
      </c>
    </row>
    <row r="29" spans="9:40" x14ac:dyDescent="0.45">
      <c r="I29" t="s">
        <v>191</v>
      </c>
      <c r="J29" t="s">
        <v>290</v>
      </c>
      <c r="K29">
        <v>0.99999999999999856</v>
      </c>
      <c r="L29" t="s">
        <v>165</v>
      </c>
      <c r="N29" t="s">
        <v>215</v>
      </c>
      <c r="O29" t="s">
        <v>290</v>
      </c>
      <c r="P29">
        <v>1.0000000000000027</v>
      </c>
      <c r="Q29" t="s">
        <v>165</v>
      </c>
      <c r="S29" t="s">
        <v>234</v>
      </c>
      <c r="T29" t="s">
        <v>290</v>
      </c>
      <c r="U29">
        <v>1.0000000000000027</v>
      </c>
      <c r="V29" t="s">
        <v>165</v>
      </c>
      <c r="AK29">
        <v>2040</v>
      </c>
      <c r="AL29" t="s">
        <v>288</v>
      </c>
      <c r="AM29">
        <v>0.22933333333333331</v>
      </c>
      <c r="AN29" t="s">
        <v>244</v>
      </c>
    </row>
    <row r="30" spans="9:40" x14ac:dyDescent="0.45">
      <c r="I30" t="s">
        <v>192</v>
      </c>
      <c r="J30" t="s">
        <v>290</v>
      </c>
      <c r="K30">
        <v>0.99999999999999678</v>
      </c>
      <c r="L30" t="s">
        <v>165</v>
      </c>
      <c r="AK30">
        <v>2041</v>
      </c>
      <c r="AL30" t="s">
        <v>288</v>
      </c>
      <c r="AM30">
        <v>0.22550833333333334</v>
      </c>
      <c r="AN30" t="s">
        <v>244</v>
      </c>
    </row>
    <row r="31" spans="9:40" x14ac:dyDescent="0.45">
      <c r="I31" t="s">
        <v>193</v>
      </c>
      <c r="J31" t="s">
        <v>290</v>
      </c>
      <c r="K31">
        <v>1.0000000000000018</v>
      </c>
      <c r="L31" t="s">
        <v>165</v>
      </c>
      <c r="AK31">
        <v>2042</v>
      </c>
      <c r="AL31" t="s">
        <v>288</v>
      </c>
      <c r="AM31">
        <v>0.23632499999999998</v>
      </c>
      <c r="AN31" t="s">
        <v>244</v>
      </c>
    </row>
    <row r="32" spans="9:40" x14ac:dyDescent="0.45">
      <c r="I32" t="s">
        <v>194</v>
      </c>
      <c r="J32" t="s">
        <v>290</v>
      </c>
      <c r="K32">
        <v>0.99999999999999911</v>
      </c>
      <c r="L32" t="s">
        <v>165</v>
      </c>
      <c r="AK32">
        <v>2043</v>
      </c>
      <c r="AL32" t="s">
        <v>288</v>
      </c>
      <c r="AM32">
        <v>0.22924999999999998</v>
      </c>
      <c r="AN32" t="s">
        <v>244</v>
      </c>
    </row>
    <row r="33" spans="9:40" x14ac:dyDescent="0.45">
      <c r="I33" t="s">
        <v>195</v>
      </c>
      <c r="J33" t="s">
        <v>290</v>
      </c>
      <c r="K33">
        <v>0.99999999999999878</v>
      </c>
      <c r="L33" t="s">
        <v>165</v>
      </c>
      <c r="AK33">
        <v>2044</v>
      </c>
      <c r="AL33" t="s">
        <v>288</v>
      </c>
      <c r="AM33">
        <v>0.23615</v>
      </c>
      <c r="AN33" t="s">
        <v>244</v>
      </c>
    </row>
    <row r="34" spans="9:40" x14ac:dyDescent="0.45">
      <c r="I34" t="s">
        <v>196</v>
      </c>
      <c r="J34" t="s">
        <v>290</v>
      </c>
      <c r="K34">
        <v>0.99999999999999878</v>
      </c>
      <c r="L34" t="s">
        <v>165</v>
      </c>
      <c r="AK34">
        <v>2045</v>
      </c>
      <c r="AL34" t="s">
        <v>288</v>
      </c>
      <c r="AM34">
        <v>0.23394166666666669</v>
      </c>
      <c r="AN34" t="s">
        <v>244</v>
      </c>
    </row>
    <row r="35" spans="9:40" x14ac:dyDescent="0.45">
      <c r="AK35">
        <v>2046</v>
      </c>
      <c r="AL35" t="s">
        <v>288</v>
      </c>
      <c r="AM35">
        <v>0.22216666666666665</v>
      </c>
      <c r="AN35" t="s">
        <v>244</v>
      </c>
    </row>
    <row r="36" spans="9:40" x14ac:dyDescent="0.45">
      <c r="AK36">
        <v>2047</v>
      </c>
      <c r="AL36" t="s">
        <v>288</v>
      </c>
      <c r="AM36">
        <v>0.2347083333333333</v>
      </c>
      <c r="AN36" t="s">
        <v>244</v>
      </c>
    </row>
    <row r="37" spans="9:40" x14ac:dyDescent="0.45">
      <c r="AK37">
        <v>2048</v>
      </c>
      <c r="AL37" t="s">
        <v>288</v>
      </c>
      <c r="AM37">
        <v>0.22973333333333332</v>
      </c>
      <c r="AN37" t="s">
        <v>244</v>
      </c>
    </row>
    <row r="38" spans="9:40" x14ac:dyDescent="0.45">
      <c r="AK38">
        <v>2049</v>
      </c>
      <c r="AL38" t="s">
        <v>288</v>
      </c>
      <c r="AM38">
        <v>0.23582500000000003</v>
      </c>
      <c r="AN38" t="s">
        <v>244</v>
      </c>
    </row>
    <row r="39" spans="9:40" x14ac:dyDescent="0.45">
      <c r="AK39">
        <v>2050</v>
      </c>
      <c r="AL39" t="s">
        <v>288</v>
      </c>
      <c r="AM39">
        <v>0.22640000000000002</v>
      </c>
      <c r="AN39" t="s">
        <v>244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EB287B-7D67-43BD-95CC-5C03C5211296}">
  <dimension ref="A9:AN298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162</v>
      </c>
      <c r="L10" t="s">
        <v>30</v>
      </c>
      <c r="N10" t="s">
        <v>13</v>
      </c>
      <c r="O10" t="s">
        <v>122</v>
      </c>
      <c r="P10" t="s">
        <v>162</v>
      </c>
      <c r="Q10" t="s">
        <v>30</v>
      </c>
      <c r="S10" t="s">
        <v>13</v>
      </c>
      <c r="T10" t="s">
        <v>122</v>
      </c>
      <c r="U10" t="s">
        <v>162</v>
      </c>
      <c r="V10" t="s">
        <v>30</v>
      </c>
      <c r="X10" t="s">
        <v>235</v>
      </c>
      <c r="Y10" t="s">
        <v>162</v>
      </c>
      <c r="Z10" t="s">
        <v>122</v>
      </c>
      <c r="AA10" t="s">
        <v>13</v>
      </c>
      <c r="AC10" t="s">
        <v>13</v>
      </c>
      <c r="AD10" t="s">
        <v>122</v>
      </c>
      <c r="AE10" t="s">
        <v>162</v>
      </c>
      <c r="AG10" t="s">
        <v>13</v>
      </c>
      <c r="AH10" t="s">
        <v>122</v>
      </c>
      <c r="AI10" t="s">
        <v>241</v>
      </c>
      <c r="AK10" t="s">
        <v>47</v>
      </c>
      <c r="AL10" t="s">
        <v>122</v>
      </c>
      <c r="AM10" t="s">
        <v>242</v>
      </c>
      <c r="AN10" t="s">
        <v>243</v>
      </c>
    </row>
    <row r="11" spans="1:40" x14ac:dyDescent="0.45">
      <c r="A11" t="str">
        <f>IFERROR(IF(Veda!D5=A10,"ok","x"),"")</f>
        <v>x</v>
      </c>
      <c r="C11" t="s">
        <v>291</v>
      </c>
      <c r="D11" t="s">
        <v>155</v>
      </c>
      <c r="E11" t="s">
        <v>237</v>
      </c>
      <c r="F11" t="s">
        <v>292</v>
      </c>
      <c r="G11" t="s">
        <v>155</v>
      </c>
      <c r="I11" t="s">
        <v>163</v>
      </c>
      <c r="J11" t="s">
        <v>297</v>
      </c>
      <c r="K11">
        <v>0.18030244890058381</v>
      </c>
      <c r="L11" t="s">
        <v>165</v>
      </c>
      <c r="N11" t="s">
        <v>197</v>
      </c>
      <c r="O11" t="s">
        <v>297</v>
      </c>
      <c r="P11">
        <v>0.12679564460401607</v>
      </c>
      <c r="Q11" t="s">
        <v>165</v>
      </c>
      <c r="S11" t="s">
        <v>216</v>
      </c>
      <c r="T11" t="s">
        <v>297</v>
      </c>
      <c r="U11">
        <v>0.10377296270056627</v>
      </c>
      <c r="V11" t="s">
        <v>165</v>
      </c>
      <c r="X11">
        <v>0.11426940639269406</v>
      </c>
      <c r="Y11">
        <v>0.16087081189037786</v>
      </c>
      <c r="Z11" t="s">
        <v>297</v>
      </c>
      <c r="AA11" t="s">
        <v>25</v>
      </c>
      <c r="AC11" t="s">
        <v>22</v>
      </c>
      <c r="AD11" t="s">
        <v>297</v>
      </c>
      <c r="AE11">
        <v>0.11819115625337555</v>
      </c>
      <c r="AG11" t="s">
        <v>97</v>
      </c>
      <c r="AH11" t="s">
        <v>297</v>
      </c>
      <c r="AI11">
        <v>0.18444393583567309</v>
      </c>
      <c r="AK11">
        <v>2020</v>
      </c>
      <c r="AL11" t="s">
        <v>291</v>
      </c>
      <c r="AM11">
        <v>0.25956192751891671</v>
      </c>
      <c r="AN11" t="s">
        <v>244</v>
      </c>
    </row>
    <row r="12" spans="1:40" x14ac:dyDescent="0.45">
      <c r="C12" t="s">
        <v>293</v>
      </c>
      <c r="E12" t="s">
        <v>239</v>
      </c>
      <c r="G12" t="s">
        <v>155</v>
      </c>
      <c r="I12" t="s">
        <v>163</v>
      </c>
      <c r="J12" t="s">
        <v>298</v>
      </c>
      <c r="K12">
        <v>0</v>
      </c>
      <c r="L12" t="s">
        <v>165</v>
      </c>
      <c r="N12" t="s">
        <v>197</v>
      </c>
      <c r="O12" t="s">
        <v>298</v>
      </c>
      <c r="P12">
        <v>0.15478134194884366</v>
      </c>
      <c r="Q12" t="s">
        <v>165</v>
      </c>
      <c r="S12" t="s">
        <v>216</v>
      </c>
      <c r="T12" t="s">
        <v>298</v>
      </c>
      <c r="U12">
        <v>0.11413670043658376</v>
      </c>
      <c r="V12" t="s">
        <v>165</v>
      </c>
      <c r="X12">
        <v>0.11426940639269406</v>
      </c>
      <c r="Y12">
        <v>5.2547713165767528E-2</v>
      </c>
      <c r="Z12" t="s">
        <v>298</v>
      </c>
      <c r="AA12" t="s">
        <v>25</v>
      </c>
      <c r="AC12" t="s">
        <v>22</v>
      </c>
      <c r="AD12" t="s">
        <v>298</v>
      </c>
      <c r="AE12">
        <v>9.764364422569162E-2</v>
      </c>
      <c r="AG12" t="s">
        <v>97</v>
      </c>
      <c r="AH12" t="s">
        <v>298</v>
      </c>
      <c r="AI12">
        <v>0.33632064062675737</v>
      </c>
      <c r="AK12">
        <v>2020</v>
      </c>
      <c r="AL12" t="s">
        <v>293</v>
      </c>
      <c r="AM12">
        <v>0.26168857029072085</v>
      </c>
      <c r="AN12" t="s">
        <v>244</v>
      </c>
    </row>
    <row r="13" spans="1:40" x14ac:dyDescent="0.45">
      <c r="C13" t="s">
        <v>294</v>
      </c>
      <c r="E13" t="s">
        <v>295</v>
      </c>
      <c r="G13" t="s">
        <v>155</v>
      </c>
      <c r="I13" t="s">
        <v>163</v>
      </c>
      <c r="J13" t="s">
        <v>299</v>
      </c>
      <c r="K13">
        <v>6.899666662235137E-3</v>
      </c>
      <c r="L13" t="s">
        <v>165</v>
      </c>
      <c r="N13" t="s">
        <v>197</v>
      </c>
      <c r="O13" t="s">
        <v>299</v>
      </c>
      <c r="P13">
        <v>2.4231785901520923E-2</v>
      </c>
      <c r="Q13" t="s">
        <v>165</v>
      </c>
      <c r="S13" t="s">
        <v>216</v>
      </c>
      <c r="T13" t="s">
        <v>299</v>
      </c>
      <c r="U13">
        <v>2.3585988793125193E-2</v>
      </c>
      <c r="V13" t="s">
        <v>165</v>
      </c>
      <c r="X13">
        <v>2.0776255707762557E-2</v>
      </c>
      <c r="Y13">
        <v>3.5896543437005365E-2</v>
      </c>
      <c r="Z13" t="s">
        <v>299</v>
      </c>
      <c r="AA13" t="s">
        <v>25</v>
      </c>
      <c r="AC13" t="s">
        <v>22</v>
      </c>
      <c r="AD13" t="s">
        <v>299</v>
      </c>
      <c r="AE13">
        <v>2.2218061012861254E-2</v>
      </c>
      <c r="AG13" t="s">
        <v>97</v>
      </c>
      <c r="AH13" t="s">
        <v>299</v>
      </c>
      <c r="AI13">
        <v>0.16828062521923326</v>
      </c>
      <c r="AK13">
        <v>2020</v>
      </c>
      <c r="AL13" t="s">
        <v>294</v>
      </c>
      <c r="AM13">
        <v>0.32595778574273199</v>
      </c>
      <c r="AN13" t="s">
        <v>244</v>
      </c>
    </row>
    <row r="14" spans="1:40" x14ac:dyDescent="0.45">
      <c r="C14" t="s">
        <v>296</v>
      </c>
      <c r="I14" t="s">
        <v>163</v>
      </c>
      <c r="J14" t="s">
        <v>300</v>
      </c>
      <c r="K14">
        <v>0.26911982160636416</v>
      </c>
      <c r="L14" t="s">
        <v>165</v>
      </c>
      <c r="N14" t="s">
        <v>197</v>
      </c>
      <c r="O14" t="s">
        <v>300</v>
      </c>
      <c r="P14">
        <v>0.11443031506546844</v>
      </c>
      <c r="Q14" t="s">
        <v>165</v>
      </c>
      <c r="S14" t="s">
        <v>216</v>
      </c>
      <c r="T14" t="s">
        <v>300</v>
      </c>
      <c r="U14">
        <v>0.11892081879238772</v>
      </c>
      <c r="V14" t="s">
        <v>165</v>
      </c>
      <c r="X14">
        <v>0.11552511415525114</v>
      </c>
      <c r="Y14">
        <v>0.16263862301005233</v>
      </c>
      <c r="Z14" t="s">
        <v>300</v>
      </c>
      <c r="AA14" t="s">
        <v>25</v>
      </c>
      <c r="AC14" t="s">
        <v>22</v>
      </c>
      <c r="AD14" t="s">
        <v>300</v>
      </c>
      <c r="AE14">
        <v>0.12251447003662695</v>
      </c>
      <c r="AG14" t="s">
        <v>97</v>
      </c>
      <c r="AH14" t="s">
        <v>300</v>
      </c>
      <c r="AI14">
        <v>0.19174320375688136</v>
      </c>
      <c r="AK14">
        <v>2020</v>
      </c>
      <c r="AL14" t="s">
        <v>296</v>
      </c>
      <c r="AM14">
        <v>0.2134799983520784</v>
      </c>
      <c r="AN14" t="s">
        <v>244</v>
      </c>
    </row>
    <row r="15" spans="1:40" x14ac:dyDescent="0.45">
      <c r="I15" t="s">
        <v>163</v>
      </c>
      <c r="J15" t="s">
        <v>301</v>
      </c>
      <c r="K15">
        <v>2.8457955124799291E-3</v>
      </c>
      <c r="L15" t="s">
        <v>165</v>
      </c>
      <c r="N15" t="s">
        <v>197</v>
      </c>
      <c r="O15" t="s">
        <v>301</v>
      </c>
      <c r="P15">
        <v>0.13857091466167004</v>
      </c>
      <c r="Q15" t="s">
        <v>165</v>
      </c>
      <c r="S15" t="s">
        <v>216</v>
      </c>
      <c r="T15" t="s">
        <v>301</v>
      </c>
      <c r="U15">
        <v>0.14523463513515086</v>
      </c>
      <c r="V15" t="s">
        <v>165</v>
      </c>
      <c r="X15">
        <v>0.11552511415525114</v>
      </c>
      <c r="Y15">
        <v>5.3125160563193538E-2</v>
      </c>
      <c r="Z15" t="s">
        <v>301</v>
      </c>
      <c r="AA15" t="s">
        <v>25</v>
      </c>
      <c r="AC15" t="s">
        <v>22</v>
      </c>
      <c r="AD15" t="s">
        <v>301</v>
      </c>
      <c r="AE15">
        <v>9.9430561690573876E-2</v>
      </c>
      <c r="AG15" t="s">
        <v>97</v>
      </c>
      <c r="AH15" t="s">
        <v>301</v>
      </c>
      <c r="AI15">
        <v>0.37712195612715815</v>
      </c>
      <c r="AK15">
        <v>2021</v>
      </c>
      <c r="AL15" t="s">
        <v>291</v>
      </c>
      <c r="AM15">
        <v>0.19475710383086345</v>
      </c>
      <c r="AN15" t="s">
        <v>244</v>
      </c>
    </row>
    <row r="16" spans="1:40" x14ac:dyDescent="0.45">
      <c r="I16" t="s">
        <v>163</v>
      </c>
      <c r="J16" t="s">
        <v>302</v>
      </c>
      <c r="K16">
        <v>2.4278533768006209E-2</v>
      </c>
      <c r="L16" t="s">
        <v>165</v>
      </c>
      <c r="N16" t="s">
        <v>197</v>
      </c>
      <c r="O16" t="s">
        <v>302</v>
      </c>
      <c r="P16">
        <v>2.1750952246668884E-2</v>
      </c>
      <c r="Q16" t="s">
        <v>165</v>
      </c>
      <c r="S16" t="s">
        <v>216</v>
      </c>
      <c r="T16" t="s">
        <v>302</v>
      </c>
      <c r="U16">
        <v>2.9127079410696151E-2</v>
      </c>
      <c r="V16" t="s">
        <v>165</v>
      </c>
      <c r="X16">
        <v>2.1004566210045664E-2</v>
      </c>
      <c r="Y16">
        <v>3.6291010947302131E-2</v>
      </c>
      <c r="Z16" t="s">
        <v>302</v>
      </c>
      <c r="AA16" t="s">
        <v>25</v>
      </c>
      <c r="AC16" t="s">
        <v>22</v>
      </c>
      <c r="AD16" t="s">
        <v>302</v>
      </c>
      <c r="AE16">
        <v>2.2965271391870858E-2</v>
      </c>
      <c r="AG16" t="s">
        <v>97</v>
      </c>
      <c r="AH16" t="s">
        <v>302</v>
      </c>
      <c r="AI16">
        <v>0.1680616153557668</v>
      </c>
      <c r="AK16">
        <v>2021</v>
      </c>
      <c r="AL16" t="s">
        <v>293</v>
      </c>
      <c r="AM16">
        <v>0.23614596572529031</v>
      </c>
      <c r="AN16" t="s">
        <v>244</v>
      </c>
    </row>
    <row r="17" spans="9:40" x14ac:dyDescent="0.45">
      <c r="I17" t="s">
        <v>163</v>
      </c>
      <c r="J17" t="s">
        <v>303</v>
      </c>
      <c r="K17">
        <v>0.29992853670961939</v>
      </c>
      <c r="L17" t="s">
        <v>165</v>
      </c>
      <c r="N17" t="s">
        <v>197</v>
      </c>
      <c r="O17" t="s">
        <v>303</v>
      </c>
      <c r="P17">
        <v>5.9076456259950234E-2</v>
      </c>
      <c r="Q17" t="s">
        <v>165</v>
      </c>
      <c r="S17" t="s">
        <v>216</v>
      </c>
      <c r="T17" t="s">
        <v>303</v>
      </c>
      <c r="U17">
        <v>7.4956088637450055E-2</v>
      </c>
      <c r="V17" t="s">
        <v>165</v>
      </c>
      <c r="X17">
        <v>0.11552511415525114</v>
      </c>
      <c r="Y17">
        <v>0.16263862301005233</v>
      </c>
      <c r="Z17" t="s">
        <v>303</v>
      </c>
      <c r="AA17" t="s">
        <v>25</v>
      </c>
      <c r="AC17" t="s">
        <v>22</v>
      </c>
      <c r="AD17" t="s">
        <v>303</v>
      </c>
      <c r="AE17">
        <v>0.12264326156561349</v>
      </c>
      <c r="AG17" t="s">
        <v>97</v>
      </c>
      <c r="AH17" t="s">
        <v>303</v>
      </c>
      <c r="AI17">
        <v>0.14769495408386679</v>
      </c>
      <c r="AK17">
        <v>2021</v>
      </c>
      <c r="AL17" t="s">
        <v>294</v>
      </c>
      <c r="AM17">
        <v>0.33718464910692791</v>
      </c>
      <c r="AN17" t="s">
        <v>244</v>
      </c>
    </row>
    <row r="18" spans="9:40" x14ac:dyDescent="0.45">
      <c r="I18" t="s">
        <v>163</v>
      </c>
      <c r="J18" t="s">
        <v>304</v>
      </c>
      <c r="K18">
        <v>1.0251001267775077E-2</v>
      </c>
      <c r="L18" t="s">
        <v>165</v>
      </c>
      <c r="N18" t="s">
        <v>197</v>
      </c>
      <c r="O18" t="s">
        <v>304</v>
      </c>
      <c r="P18">
        <v>7.8285858701281602E-2</v>
      </c>
      <c r="Q18" t="s">
        <v>165</v>
      </c>
      <c r="S18" t="s">
        <v>216</v>
      </c>
      <c r="T18" t="s">
        <v>304</v>
      </c>
      <c r="U18">
        <v>8.9547619482852378E-2</v>
      </c>
      <c r="V18" t="s">
        <v>165</v>
      </c>
      <c r="X18">
        <v>0.11552511415525114</v>
      </c>
      <c r="Y18">
        <v>5.3125160563193538E-2</v>
      </c>
      <c r="Z18" t="s">
        <v>304</v>
      </c>
      <c r="AA18" t="s">
        <v>25</v>
      </c>
      <c r="AC18" t="s">
        <v>22</v>
      </c>
      <c r="AD18" t="s">
        <v>304</v>
      </c>
      <c r="AE18">
        <v>0.10045386194730507</v>
      </c>
      <c r="AG18" t="s">
        <v>97</v>
      </c>
      <c r="AH18" t="s">
        <v>304</v>
      </c>
      <c r="AI18">
        <v>0.31451538907064003</v>
      </c>
      <c r="AK18">
        <v>2021</v>
      </c>
      <c r="AL18" t="s">
        <v>296</v>
      </c>
      <c r="AM18">
        <v>0.2266684142745263</v>
      </c>
      <c r="AN18" t="s">
        <v>244</v>
      </c>
    </row>
    <row r="19" spans="9:40" x14ac:dyDescent="0.45">
      <c r="I19" t="s">
        <v>163</v>
      </c>
      <c r="J19" t="s">
        <v>305</v>
      </c>
      <c r="K19">
        <v>3.1451806046485321E-2</v>
      </c>
      <c r="L19" t="s">
        <v>165</v>
      </c>
      <c r="N19" t="s">
        <v>197</v>
      </c>
      <c r="O19" t="s">
        <v>305</v>
      </c>
      <c r="P19">
        <v>8.5903250051629128E-3</v>
      </c>
      <c r="Q19" t="s">
        <v>165</v>
      </c>
      <c r="S19" t="s">
        <v>216</v>
      </c>
      <c r="T19" t="s">
        <v>305</v>
      </c>
      <c r="U19">
        <v>1.8615680030583399E-2</v>
      </c>
      <c r="V19" t="s">
        <v>165</v>
      </c>
      <c r="X19">
        <v>2.1004566210045664E-2</v>
      </c>
      <c r="Y19">
        <v>3.6291010947302131E-2</v>
      </c>
      <c r="Z19" t="s">
        <v>305</v>
      </c>
      <c r="AA19" t="s">
        <v>25</v>
      </c>
      <c r="AC19" t="s">
        <v>22</v>
      </c>
      <c r="AD19" t="s">
        <v>305</v>
      </c>
      <c r="AE19">
        <v>2.2611873364752143E-2</v>
      </c>
      <c r="AG19" t="s">
        <v>97</v>
      </c>
      <c r="AH19" t="s">
        <v>305</v>
      </c>
      <c r="AI19">
        <v>0.1070148299237299</v>
      </c>
      <c r="AK19">
        <v>2022</v>
      </c>
      <c r="AL19" t="s">
        <v>291</v>
      </c>
      <c r="AM19">
        <v>0.13758795688826531</v>
      </c>
      <c r="AN19" t="s">
        <v>244</v>
      </c>
    </row>
    <row r="20" spans="9:40" x14ac:dyDescent="0.45">
      <c r="I20" t="s">
        <v>163</v>
      </c>
      <c r="J20" t="s">
        <v>306</v>
      </c>
      <c r="K20">
        <v>0.17207619233408997</v>
      </c>
      <c r="L20" t="s">
        <v>165</v>
      </c>
      <c r="N20" t="s">
        <v>197</v>
      </c>
      <c r="O20" t="s">
        <v>306</v>
      </c>
      <c r="P20">
        <v>0.11593882206091109</v>
      </c>
      <c r="Q20" t="s">
        <v>165</v>
      </c>
      <c r="S20" t="s">
        <v>216</v>
      </c>
      <c r="T20" t="s">
        <v>306</v>
      </c>
      <c r="U20">
        <v>0.12871656095401485</v>
      </c>
      <c r="V20" t="s">
        <v>165</v>
      </c>
      <c r="X20">
        <v>0.11301369863013698</v>
      </c>
      <c r="Y20">
        <v>0.15910300077070333</v>
      </c>
      <c r="Z20" t="s">
        <v>306</v>
      </c>
      <c r="AA20" t="s">
        <v>25</v>
      </c>
      <c r="AC20" t="s">
        <v>22</v>
      </c>
      <c r="AD20" t="s">
        <v>306</v>
      </c>
      <c r="AE20">
        <v>0.13762287724714475</v>
      </c>
      <c r="AG20" t="s">
        <v>97</v>
      </c>
      <c r="AH20" t="s">
        <v>306</v>
      </c>
      <c r="AI20">
        <v>0.10814855721490635</v>
      </c>
      <c r="AK20">
        <v>2022</v>
      </c>
      <c r="AL20" t="s">
        <v>293</v>
      </c>
      <c r="AM20">
        <v>0.14520894119755798</v>
      </c>
      <c r="AN20" t="s">
        <v>244</v>
      </c>
    </row>
    <row r="21" spans="9:40" x14ac:dyDescent="0.45">
      <c r="I21" t="s">
        <v>163</v>
      </c>
      <c r="J21" t="s">
        <v>307</v>
      </c>
      <c r="K21">
        <v>0</v>
      </c>
      <c r="L21" t="s">
        <v>165</v>
      </c>
      <c r="N21" t="s">
        <v>197</v>
      </c>
      <c r="O21" t="s">
        <v>307</v>
      </c>
      <c r="P21">
        <v>0.1360794441701238</v>
      </c>
      <c r="Q21" t="s">
        <v>165</v>
      </c>
      <c r="S21" t="s">
        <v>216</v>
      </c>
      <c r="T21" t="s">
        <v>307</v>
      </c>
      <c r="U21">
        <v>0.12941953381337595</v>
      </c>
      <c r="V21" t="s">
        <v>165</v>
      </c>
      <c r="X21">
        <v>0.11301369863013698</v>
      </c>
      <c r="Y21">
        <v>5.197026576834151E-2</v>
      </c>
      <c r="Z21" t="s">
        <v>307</v>
      </c>
      <c r="AA21" t="s">
        <v>25</v>
      </c>
      <c r="AC21" t="s">
        <v>22</v>
      </c>
      <c r="AD21" t="s">
        <v>307</v>
      </c>
      <c r="AE21">
        <v>0.10709107236508457</v>
      </c>
      <c r="AG21" t="s">
        <v>97</v>
      </c>
      <c r="AH21" t="s">
        <v>307</v>
      </c>
      <c r="AI21">
        <v>0.30643668094329723</v>
      </c>
      <c r="AK21">
        <v>2022</v>
      </c>
      <c r="AL21" t="s">
        <v>294</v>
      </c>
      <c r="AM21">
        <v>0.2086540300333051</v>
      </c>
      <c r="AN21" t="s">
        <v>244</v>
      </c>
    </row>
    <row r="22" spans="9:40" x14ac:dyDescent="0.45">
      <c r="I22" t="s">
        <v>163</v>
      </c>
      <c r="J22" t="s">
        <v>308</v>
      </c>
      <c r="K22">
        <v>2.8461971923613616E-3</v>
      </c>
      <c r="L22" t="s">
        <v>165</v>
      </c>
      <c r="N22" t="s">
        <v>197</v>
      </c>
      <c r="O22" t="s">
        <v>308</v>
      </c>
      <c r="P22">
        <v>2.1468139374380368E-2</v>
      </c>
      <c r="Q22" t="s">
        <v>165</v>
      </c>
      <c r="S22" t="s">
        <v>216</v>
      </c>
      <c r="T22" t="s">
        <v>308</v>
      </c>
      <c r="U22">
        <v>2.3966331813214187E-2</v>
      </c>
      <c r="V22" t="s">
        <v>165</v>
      </c>
      <c r="X22">
        <v>2.0547945205479451E-2</v>
      </c>
      <c r="Y22">
        <v>3.5502075926708607E-2</v>
      </c>
      <c r="Z22" t="s">
        <v>308</v>
      </c>
      <c r="AA22" t="s">
        <v>25</v>
      </c>
      <c r="AC22" t="s">
        <v>22</v>
      </c>
      <c r="AD22" t="s">
        <v>308</v>
      </c>
      <c r="AE22">
        <v>2.6613888899099897E-2</v>
      </c>
      <c r="AG22" t="s">
        <v>97</v>
      </c>
      <c r="AH22" t="s">
        <v>308</v>
      </c>
      <c r="AI22">
        <v>5.2768244206291559E-2</v>
      </c>
      <c r="AK22">
        <v>2022</v>
      </c>
      <c r="AL22" t="s">
        <v>296</v>
      </c>
      <c r="AM22">
        <v>0.14341752526150053</v>
      </c>
      <c r="AN22" t="s">
        <v>244</v>
      </c>
    </row>
    <row r="23" spans="9:40" x14ac:dyDescent="0.45">
      <c r="I23" t="s">
        <v>174</v>
      </c>
      <c r="J23" t="s">
        <v>297</v>
      </c>
      <c r="K23">
        <v>0.17644920749643755</v>
      </c>
      <c r="L23" t="s">
        <v>165</v>
      </c>
      <c r="N23" t="s">
        <v>198</v>
      </c>
      <c r="O23" t="s">
        <v>297</v>
      </c>
      <c r="P23">
        <v>0.13056666014806387</v>
      </c>
      <c r="Q23" t="s">
        <v>165</v>
      </c>
      <c r="S23" t="s">
        <v>217</v>
      </c>
      <c r="T23" t="s">
        <v>297</v>
      </c>
      <c r="U23">
        <v>0.12249313578911611</v>
      </c>
      <c r="V23" t="s">
        <v>165</v>
      </c>
      <c r="AC23" t="s">
        <v>19</v>
      </c>
      <c r="AD23" t="s">
        <v>297</v>
      </c>
      <c r="AE23">
        <v>0.11495523261944324</v>
      </c>
      <c r="AK23">
        <v>2025</v>
      </c>
      <c r="AL23" t="s">
        <v>291</v>
      </c>
      <c r="AM23">
        <v>0.23970000000000002</v>
      </c>
      <c r="AN23" t="s">
        <v>244</v>
      </c>
    </row>
    <row r="24" spans="9:40" x14ac:dyDescent="0.45">
      <c r="I24" t="s">
        <v>174</v>
      </c>
      <c r="J24" t="s">
        <v>298</v>
      </c>
      <c r="K24">
        <v>0</v>
      </c>
      <c r="L24" t="s">
        <v>165</v>
      </c>
      <c r="N24" t="s">
        <v>198</v>
      </c>
      <c r="O24" t="s">
        <v>298</v>
      </c>
      <c r="P24">
        <v>0.13653238540169152</v>
      </c>
      <c r="Q24" t="s">
        <v>165</v>
      </c>
      <c r="S24" t="s">
        <v>217</v>
      </c>
      <c r="T24" t="s">
        <v>298</v>
      </c>
      <c r="U24">
        <v>0.13243094329614849</v>
      </c>
      <c r="V24" t="s">
        <v>165</v>
      </c>
      <c r="AC24" t="s">
        <v>19</v>
      </c>
      <c r="AD24" t="s">
        <v>298</v>
      </c>
      <c r="AE24">
        <v>0.11331233725982839</v>
      </c>
      <c r="AK24">
        <v>2025</v>
      </c>
      <c r="AL24" t="s">
        <v>293</v>
      </c>
      <c r="AM24">
        <v>0.2588333333333333</v>
      </c>
      <c r="AN24" t="s">
        <v>244</v>
      </c>
    </row>
    <row r="25" spans="9:40" x14ac:dyDescent="0.45">
      <c r="I25" t="s">
        <v>174</v>
      </c>
      <c r="J25" t="s">
        <v>299</v>
      </c>
      <c r="K25">
        <v>7.827357553146088E-3</v>
      </c>
      <c r="L25" t="s">
        <v>165</v>
      </c>
      <c r="N25" t="s">
        <v>198</v>
      </c>
      <c r="O25" t="s">
        <v>299</v>
      </c>
      <c r="P25">
        <v>2.602999496019328E-2</v>
      </c>
      <c r="Q25" t="s">
        <v>165</v>
      </c>
      <c r="S25" t="s">
        <v>217</v>
      </c>
      <c r="T25" t="s">
        <v>299</v>
      </c>
      <c r="U25">
        <v>2.2169951647495981E-2</v>
      </c>
      <c r="V25" t="s">
        <v>165</v>
      </c>
      <c r="AC25" t="s">
        <v>19</v>
      </c>
      <c r="AD25" t="s">
        <v>299</v>
      </c>
      <c r="AE25">
        <v>2.0959220056360785E-2</v>
      </c>
      <c r="AK25">
        <v>2025</v>
      </c>
      <c r="AL25" t="s">
        <v>294</v>
      </c>
      <c r="AM25">
        <v>0.36296666666666666</v>
      </c>
      <c r="AN25" t="s">
        <v>244</v>
      </c>
    </row>
    <row r="26" spans="9:40" x14ac:dyDescent="0.45">
      <c r="I26" t="s">
        <v>174</v>
      </c>
      <c r="J26" t="s">
        <v>300</v>
      </c>
      <c r="K26">
        <v>0.24748958942427146</v>
      </c>
      <c r="L26" t="s">
        <v>165</v>
      </c>
      <c r="N26" t="s">
        <v>198</v>
      </c>
      <c r="O26" t="s">
        <v>300</v>
      </c>
      <c r="P26">
        <v>0.14748702830544547</v>
      </c>
      <c r="Q26" t="s">
        <v>165</v>
      </c>
      <c r="S26" t="s">
        <v>217</v>
      </c>
      <c r="T26" t="s">
        <v>300</v>
      </c>
      <c r="U26">
        <v>0.12215896981750889</v>
      </c>
      <c r="V26" t="s">
        <v>165</v>
      </c>
      <c r="AC26" t="s">
        <v>19</v>
      </c>
      <c r="AD26" t="s">
        <v>300</v>
      </c>
      <c r="AE26">
        <v>0.11632010738895902</v>
      </c>
      <c r="AK26">
        <v>2025</v>
      </c>
      <c r="AL26" t="s">
        <v>296</v>
      </c>
      <c r="AM26">
        <v>0.20936666666666667</v>
      </c>
      <c r="AN26" t="s">
        <v>244</v>
      </c>
    </row>
    <row r="27" spans="9:40" x14ac:dyDescent="0.45">
      <c r="I27" t="s">
        <v>174</v>
      </c>
      <c r="J27" t="s">
        <v>301</v>
      </c>
      <c r="K27">
        <v>3.279955176275353E-3</v>
      </c>
      <c r="L27" t="s">
        <v>165</v>
      </c>
      <c r="N27" t="s">
        <v>198</v>
      </c>
      <c r="O27" t="s">
        <v>301</v>
      </c>
      <c r="P27">
        <v>0.13119302078591979</v>
      </c>
      <c r="Q27" t="s">
        <v>165</v>
      </c>
      <c r="S27" t="s">
        <v>217</v>
      </c>
      <c r="T27" t="s">
        <v>301</v>
      </c>
      <c r="U27">
        <v>0.14109521424487528</v>
      </c>
      <c r="V27" t="s">
        <v>165</v>
      </c>
      <c r="AC27" t="s">
        <v>19</v>
      </c>
      <c r="AD27" t="s">
        <v>301</v>
      </c>
      <c r="AE27">
        <v>0.11447441211196349</v>
      </c>
      <c r="AK27">
        <v>2026</v>
      </c>
      <c r="AL27" t="s">
        <v>291</v>
      </c>
      <c r="AM27">
        <v>0.18663333333333335</v>
      </c>
      <c r="AN27" t="s">
        <v>244</v>
      </c>
    </row>
    <row r="28" spans="9:40" x14ac:dyDescent="0.45">
      <c r="I28" t="s">
        <v>174</v>
      </c>
      <c r="J28" t="s">
        <v>302</v>
      </c>
      <c r="K28">
        <v>2.2511453047495952E-2</v>
      </c>
      <c r="L28" t="s">
        <v>165</v>
      </c>
      <c r="N28" t="s">
        <v>198</v>
      </c>
      <c r="O28" t="s">
        <v>302</v>
      </c>
      <c r="P28">
        <v>2.7025300507589046E-2</v>
      </c>
      <c r="Q28" t="s">
        <v>165</v>
      </c>
      <c r="S28" t="s">
        <v>217</v>
      </c>
      <c r="T28" t="s">
        <v>302</v>
      </c>
      <c r="U28">
        <v>2.5371983694879946E-2</v>
      </c>
      <c r="V28" t="s">
        <v>165</v>
      </c>
      <c r="AC28" t="s">
        <v>19</v>
      </c>
      <c r="AD28" t="s">
        <v>302</v>
      </c>
      <c r="AE28">
        <v>2.1204273083676676E-2</v>
      </c>
      <c r="AK28">
        <v>2026</v>
      </c>
      <c r="AL28" t="s">
        <v>293</v>
      </c>
      <c r="AM28">
        <v>0.19436666666666666</v>
      </c>
      <c r="AN28" t="s">
        <v>244</v>
      </c>
    </row>
    <row r="29" spans="9:40" x14ac:dyDescent="0.45">
      <c r="I29" t="s">
        <v>174</v>
      </c>
      <c r="J29" t="s">
        <v>303</v>
      </c>
      <c r="K29">
        <v>0.33880134884834273</v>
      </c>
      <c r="L29" t="s">
        <v>165</v>
      </c>
      <c r="N29" t="s">
        <v>198</v>
      </c>
      <c r="O29" t="s">
        <v>303</v>
      </c>
      <c r="P29">
        <v>4.965791734764767E-2</v>
      </c>
      <c r="Q29" t="s">
        <v>165</v>
      </c>
      <c r="S29" t="s">
        <v>217</v>
      </c>
      <c r="T29" t="s">
        <v>303</v>
      </c>
      <c r="U29">
        <v>6.1624041852605033E-2</v>
      </c>
      <c r="V29" t="s">
        <v>165</v>
      </c>
      <c r="AC29" t="s">
        <v>19</v>
      </c>
      <c r="AD29" t="s">
        <v>303</v>
      </c>
      <c r="AE29">
        <v>0.11630400514669803</v>
      </c>
      <c r="AK29">
        <v>2026</v>
      </c>
      <c r="AL29" t="s">
        <v>294</v>
      </c>
      <c r="AM29">
        <v>0.27333333333333337</v>
      </c>
      <c r="AN29" t="s">
        <v>244</v>
      </c>
    </row>
    <row r="30" spans="9:40" x14ac:dyDescent="0.45">
      <c r="I30" t="s">
        <v>174</v>
      </c>
      <c r="J30" t="s">
        <v>304</v>
      </c>
      <c r="K30">
        <v>1.2058375099891543E-2</v>
      </c>
      <c r="L30" t="s">
        <v>165</v>
      </c>
      <c r="N30" t="s">
        <v>198</v>
      </c>
      <c r="O30" t="s">
        <v>304</v>
      </c>
      <c r="P30">
        <v>5.5346436430336016E-2</v>
      </c>
      <c r="Q30" t="s">
        <v>165</v>
      </c>
      <c r="S30" t="s">
        <v>217</v>
      </c>
      <c r="T30" t="s">
        <v>304</v>
      </c>
      <c r="U30">
        <v>7.7130666748338642E-2</v>
      </c>
      <c r="V30" t="s">
        <v>165</v>
      </c>
      <c r="AC30" t="s">
        <v>19</v>
      </c>
      <c r="AD30" t="s">
        <v>304</v>
      </c>
      <c r="AE30">
        <v>0.11452983114371207</v>
      </c>
      <c r="AK30">
        <v>2026</v>
      </c>
      <c r="AL30" t="s">
        <v>296</v>
      </c>
      <c r="AM30">
        <v>0.14516666666666667</v>
      </c>
      <c r="AN30" t="s">
        <v>244</v>
      </c>
    </row>
    <row r="31" spans="9:40" x14ac:dyDescent="0.45">
      <c r="I31" t="s">
        <v>174</v>
      </c>
      <c r="J31" t="s">
        <v>305</v>
      </c>
      <c r="K31">
        <v>3.5985686491694063E-2</v>
      </c>
      <c r="L31" t="s">
        <v>165</v>
      </c>
      <c r="N31" t="s">
        <v>198</v>
      </c>
      <c r="O31" t="s">
        <v>305</v>
      </c>
      <c r="P31">
        <v>1.3630798221471573E-2</v>
      </c>
      <c r="Q31" t="s">
        <v>165</v>
      </c>
      <c r="S31" t="s">
        <v>217</v>
      </c>
      <c r="T31" t="s">
        <v>305</v>
      </c>
      <c r="U31">
        <v>1.3776265251552971E-2</v>
      </c>
      <c r="V31" t="s">
        <v>165</v>
      </c>
      <c r="AC31" t="s">
        <v>19</v>
      </c>
      <c r="AD31" t="s">
        <v>305</v>
      </c>
      <c r="AE31">
        <v>2.1171216837340218E-2</v>
      </c>
      <c r="AK31">
        <v>2027</v>
      </c>
      <c r="AL31" t="s">
        <v>291</v>
      </c>
      <c r="AM31">
        <v>0.18623333333333336</v>
      </c>
      <c r="AN31" t="s">
        <v>244</v>
      </c>
    </row>
    <row r="32" spans="9:40" x14ac:dyDescent="0.45">
      <c r="I32" t="s">
        <v>174</v>
      </c>
      <c r="J32" t="s">
        <v>306</v>
      </c>
      <c r="K32">
        <v>0.15303433929252713</v>
      </c>
      <c r="L32" t="s">
        <v>165</v>
      </c>
      <c r="N32" t="s">
        <v>198</v>
      </c>
      <c r="O32" t="s">
        <v>306</v>
      </c>
      <c r="P32">
        <v>0.12875232664863784</v>
      </c>
      <c r="Q32" t="s">
        <v>165</v>
      </c>
      <c r="S32" t="s">
        <v>217</v>
      </c>
      <c r="T32" t="s">
        <v>306</v>
      </c>
      <c r="U32">
        <v>0.1257884580383242</v>
      </c>
      <c r="V32" t="s">
        <v>165</v>
      </c>
      <c r="AC32" t="s">
        <v>19</v>
      </c>
      <c r="AD32" t="s">
        <v>306</v>
      </c>
      <c r="AE32">
        <v>0.11416318349107028</v>
      </c>
      <c r="AK32">
        <v>2027</v>
      </c>
      <c r="AL32" t="s">
        <v>293</v>
      </c>
      <c r="AM32">
        <v>0.1996</v>
      </c>
      <c r="AN32" t="s">
        <v>244</v>
      </c>
    </row>
    <row r="33" spans="9:40" x14ac:dyDescent="0.45">
      <c r="I33" t="s">
        <v>174</v>
      </c>
      <c r="J33" t="s">
        <v>307</v>
      </c>
      <c r="K33">
        <v>0</v>
      </c>
      <c r="L33" t="s">
        <v>165</v>
      </c>
      <c r="N33" t="s">
        <v>198</v>
      </c>
      <c r="O33" t="s">
        <v>307</v>
      </c>
      <c r="P33">
        <v>0.12984191592957986</v>
      </c>
      <c r="Q33" t="s">
        <v>165</v>
      </c>
      <c r="S33" t="s">
        <v>217</v>
      </c>
      <c r="T33" t="s">
        <v>307</v>
      </c>
      <c r="U33">
        <v>0.13267519274694647</v>
      </c>
      <c r="V33" t="s">
        <v>165</v>
      </c>
      <c r="AC33" t="s">
        <v>19</v>
      </c>
      <c r="AD33" t="s">
        <v>307</v>
      </c>
      <c r="AE33">
        <v>0.11172198474672497</v>
      </c>
      <c r="AK33">
        <v>2027</v>
      </c>
      <c r="AL33" t="s">
        <v>294</v>
      </c>
      <c r="AM33">
        <v>0.26099999999999995</v>
      </c>
      <c r="AN33" t="s">
        <v>244</v>
      </c>
    </row>
    <row r="34" spans="9:40" x14ac:dyDescent="0.45">
      <c r="I34" t="s">
        <v>174</v>
      </c>
      <c r="J34" t="s">
        <v>308</v>
      </c>
      <c r="K34">
        <v>2.562687569915401E-3</v>
      </c>
      <c r="L34" t="s">
        <v>165</v>
      </c>
      <c r="N34" t="s">
        <v>198</v>
      </c>
      <c r="O34" t="s">
        <v>308</v>
      </c>
      <c r="P34">
        <v>2.3936215313423822E-2</v>
      </c>
      <c r="Q34" t="s">
        <v>165</v>
      </c>
      <c r="S34" t="s">
        <v>217</v>
      </c>
      <c r="T34" t="s">
        <v>308</v>
      </c>
      <c r="U34">
        <v>2.3285176872207613E-2</v>
      </c>
      <c r="V34" t="s">
        <v>165</v>
      </c>
      <c r="AC34" t="s">
        <v>19</v>
      </c>
      <c r="AD34" t="s">
        <v>308</v>
      </c>
      <c r="AE34">
        <v>2.0884196114222889E-2</v>
      </c>
      <c r="AK34">
        <v>2027</v>
      </c>
      <c r="AL34" t="s">
        <v>296</v>
      </c>
      <c r="AM34">
        <v>0.16209999999999999</v>
      </c>
      <c r="AN34" t="s">
        <v>244</v>
      </c>
    </row>
    <row r="35" spans="9:40" x14ac:dyDescent="0.45">
      <c r="I35" t="s">
        <v>175</v>
      </c>
      <c r="J35" t="s">
        <v>297</v>
      </c>
      <c r="K35">
        <v>0.19459495617702249</v>
      </c>
      <c r="L35" t="s">
        <v>165</v>
      </c>
      <c r="N35" t="s">
        <v>199</v>
      </c>
      <c r="O35" t="s">
        <v>297</v>
      </c>
      <c r="P35">
        <v>0.12711657336911472</v>
      </c>
      <c r="Q35" t="s">
        <v>165</v>
      </c>
      <c r="S35" t="s">
        <v>218</v>
      </c>
      <c r="T35" t="s">
        <v>297</v>
      </c>
      <c r="U35">
        <v>9.8176680006863998E-2</v>
      </c>
      <c r="V35" t="s">
        <v>165</v>
      </c>
      <c r="AK35">
        <v>2028</v>
      </c>
      <c r="AL35" t="s">
        <v>291</v>
      </c>
      <c r="AM35">
        <v>0.21579999999999999</v>
      </c>
      <c r="AN35" t="s">
        <v>244</v>
      </c>
    </row>
    <row r="36" spans="9:40" x14ac:dyDescent="0.45">
      <c r="I36" t="s">
        <v>175</v>
      </c>
      <c r="J36" t="s">
        <v>298</v>
      </c>
      <c r="K36">
        <v>0</v>
      </c>
      <c r="L36" t="s">
        <v>165</v>
      </c>
      <c r="N36" t="s">
        <v>199</v>
      </c>
      <c r="O36" t="s">
        <v>298</v>
      </c>
      <c r="P36">
        <v>0.12522575979531264</v>
      </c>
      <c r="Q36" t="s">
        <v>165</v>
      </c>
      <c r="S36" t="s">
        <v>218</v>
      </c>
      <c r="T36" t="s">
        <v>298</v>
      </c>
      <c r="U36">
        <v>0.10789251960963051</v>
      </c>
      <c r="V36" t="s">
        <v>165</v>
      </c>
      <c r="AK36">
        <v>2028</v>
      </c>
      <c r="AL36" t="s">
        <v>293</v>
      </c>
      <c r="AM36">
        <v>0.23303333333333334</v>
      </c>
      <c r="AN36" t="s">
        <v>244</v>
      </c>
    </row>
    <row r="37" spans="9:40" x14ac:dyDescent="0.45">
      <c r="I37" t="s">
        <v>175</v>
      </c>
      <c r="J37" t="s">
        <v>299</v>
      </c>
      <c r="K37">
        <v>8.0081154751807035E-3</v>
      </c>
      <c r="L37" t="s">
        <v>165</v>
      </c>
      <c r="N37" t="s">
        <v>199</v>
      </c>
      <c r="O37" t="s">
        <v>299</v>
      </c>
      <c r="P37">
        <v>2.5521826937079464E-2</v>
      </c>
      <c r="Q37" t="s">
        <v>165</v>
      </c>
      <c r="S37" t="s">
        <v>218</v>
      </c>
      <c r="T37" t="s">
        <v>299</v>
      </c>
      <c r="U37">
        <v>2.0657634674127581E-2</v>
      </c>
      <c r="V37" t="s">
        <v>165</v>
      </c>
      <c r="AK37">
        <v>2028</v>
      </c>
      <c r="AL37" t="s">
        <v>294</v>
      </c>
      <c r="AM37">
        <v>0.32106666666666667</v>
      </c>
      <c r="AN37" t="s">
        <v>244</v>
      </c>
    </row>
    <row r="38" spans="9:40" x14ac:dyDescent="0.45">
      <c r="I38" t="s">
        <v>175</v>
      </c>
      <c r="J38" t="s">
        <v>300</v>
      </c>
      <c r="K38">
        <v>0.25562007391699693</v>
      </c>
      <c r="L38" t="s">
        <v>165</v>
      </c>
      <c r="N38" t="s">
        <v>199</v>
      </c>
      <c r="O38" t="s">
        <v>300</v>
      </c>
      <c r="P38">
        <v>0.14743920602788835</v>
      </c>
      <c r="Q38" t="s">
        <v>165</v>
      </c>
      <c r="S38" t="s">
        <v>218</v>
      </c>
      <c r="T38" t="s">
        <v>300</v>
      </c>
      <c r="U38">
        <v>0.120458239394928</v>
      </c>
      <c r="V38" t="s">
        <v>165</v>
      </c>
      <c r="AK38">
        <v>2028</v>
      </c>
      <c r="AL38" t="s">
        <v>296</v>
      </c>
      <c r="AM38">
        <v>0.17479999999999998</v>
      </c>
      <c r="AN38" t="s">
        <v>244</v>
      </c>
    </row>
    <row r="39" spans="9:40" x14ac:dyDescent="0.45">
      <c r="I39" t="s">
        <v>175</v>
      </c>
      <c r="J39" t="s">
        <v>301</v>
      </c>
      <c r="K39">
        <v>3.5611384157117169E-3</v>
      </c>
      <c r="L39" t="s">
        <v>165</v>
      </c>
      <c r="N39" t="s">
        <v>199</v>
      </c>
      <c r="O39" t="s">
        <v>301</v>
      </c>
      <c r="P39">
        <v>0.12435863315167088</v>
      </c>
      <c r="Q39" t="s">
        <v>165</v>
      </c>
      <c r="S39" t="s">
        <v>218</v>
      </c>
      <c r="T39" t="s">
        <v>301</v>
      </c>
      <c r="U39">
        <v>0.15047783823838956</v>
      </c>
      <c r="V39" t="s">
        <v>165</v>
      </c>
      <c r="AK39">
        <v>2029</v>
      </c>
      <c r="AL39" t="s">
        <v>291</v>
      </c>
      <c r="AM39">
        <v>0.19823333333333334</v>
      </c>
      <c r="AN39" t="s">
        <v>244</v>
      </c>
    </row>
    <row r="40" spans="9:40" x14ac:dyDescent="0.45">
      <c r="I40" t="s">
        <v>175</v>
      </c>
      <c r="J40" t="s">
        <v>302</v>
      </c>
      <c r="K40">
        <v>2.4247303594511674E-2</v>
      </c>
      <c r="L40" t="s">
        <v>165</v>
      </c>
      <c r="N40" t="s">
        <v>199</v>
      </c>
      <c r="O40" t="s">
        <v>302</v>
      </c>
      <c r="P40">
        <v>2.8464220348391741E-2</v>
      </c>
      <c r="Q40" t="s">
        <v>165</v>
      </c>
      <c r="S40" t="s">
        <v>218</v>
      </c>
      <c r="T40" t="s">
        <v>302</v>
      </c>
      <c r="U40">
        <v>2.5514230103279197E-2</v>
      </c>
      <c r="V40" t="s">
        <v>165</v>
      </c>
      <c r="AK40">
        <v>2029</v>
      </c>
      <c r="AL40" t="s">
        <v>293</v>
      </c>
      <c r="AM40">
        <v>0.22133333333333335</v>
      </c>
      <c r="AN40" t="s">
        <v>244</v>
      </c>
    </row>
    <row r="41" spans="9:40" x14ac:dyDescent="0.45">
      <c r="I41" t="s">
        <v>175</v>
      </c>
      <c r="J41" t="s">
        <v>303</v>
      </c>
      <c r="K41">
        <v>0.30581155265700521</v>
      </c>
      <c r="L41" t="s">
        <v>165</v>
      </c>
      <c r="N41" t="s">
        <v>199</v>
      </c>
      <c r="O41" t="s">
        <v>303</v>
      </c>
      <c r="P41">
        <v>4.8227032806178155E-2</v>
      </c>
      <c r="Q41" t="s">
        <v>165</v>
      </c>
      <c r="S41" t="s">
        <v>218</v>
      </c>
      <c r="T41" t="s">
        <v>303</v>
      </c>
      <c r="U41">
        <v>8.402163182622617E-2</v>
      </c>
      <c r="V41" t="s">
        <v>165</v>
      </c>
      <c r="AK41">
        <v>2029</v>
      </c>
      <c r="AL41" t="s">
        <v>294</v>
      </c>
      <c r="AM41">
        <v>0.311</v>
      </c>
      <c r="AN41" t="s">
        <v>244</v>
      </c>
    </row>
    <row r="42" spans="9:40" x14ac:dyDescent="0.45">
      <c r="I42" t="s">
        <v>175</v>
      </c>
      <c r="J42" t="s">
        <v>304</v>
      </c>
      <c r="K42">
        <v>1.0722873491446901E-2</v>
      </c>
      <c r="L42" t="s">
        <v>165</v>
      </c>
      <c r="N42" t="s">
        <v>199</v>
      </c>
      <c r="O42" t="s">
        <v>304</v>
      </c>
      <c r="P42">
        <v>4.9717943815655703E-2</v>
      </c>
      <c r="Q42" t="s">
        <v>165</v>
      </c>
      <c r="S42" t="s">
        <v>218</v>
      </c>
      <c r="T42" t="s">
        <v>304</v>
      </c>
      <c r="U42">
        <v>0.10152805935195404</v>
      </c>
      <c r="V42" t="s">
        <v>165</v>
      </c>
      <c r="AK42">
        <v>2029</v>
      </c>
      <c r="AL42" t="s">
        <v>296</v>
      </c>
      <c r="AM42">
        <v>0.18233333333333335</v>
      </c>
      <c r="AN42" t="s">
        <v>244</v>
      </c>
    </row>
    <row r="43" spans="9:40" x14ac:dyDescent="0.45">
      <c r="I43" t="s">
        <v>175</v>
      </c>
      <c r="J43" t="s">
        <v>305</v>
      </c>
      <c r="K43">
        <v>3.2464939983957782E-2</v>
      </c>
      <c r="L43" t="s">
        <v>165</v>
      </c>
      <c r="N43" t="s">
        <v>199</v>
      </c>
      <c r="O43" t="s">
        <v>305</v>
      </c>
      <c r="P43">
        <v>1.3749011502971713E-2</v>
      </c>
      <c r="Q43" t="s">
        <v>165</v>
      </c>
      <c r="S43" t="s">
        <v>218</v>
      </c>
      <c r="T43" t="s">
        <v>305</v>
      </c>
      <c r="U43">
        <v>1.9410366408402088E-2</v>
      </c>
      <c r="V43" t="s">
        <v>165</v>
      </c>
      <c r="AK43">
        <v>2030</v>
      </c>
      <c r="AL43" t="s">
        <v>291</v>
      </c>
      <c r="AM43">
        <v>0.22030000000000002</v>
      </c>
      <c r="AN43" t="s">
        <v>244</v>
      </c>
    </row>
    <row r="44" spans="9:40" x14ac:dyDescent="0.45">
      <c r="I44" t="s">
        <v>175</v>
      </c>
      <c r="J44" t="s">
        <v>306</v>
      </c>
      <c r="K44">
        <v>0.16186826622294023</v>
      </c>
      <c r="L44" t="s">
        <v>165</v>
      </c>
      <c r="N44" t="s">
        <v>199</v>
      </c>
      <c r="O44" t="s">
        <v>306</v>
      </c>
      <c r="P44">
        <v>0.14258757098213748</v>
      </c>
      <c r="Q44" t="s">
        <v>165</v>
      </c>
      <c r="S44" t="s">
        <v>218</v>
      </c>
      <c r="T44" t="s">
        <v>306</v>
      </c>
      <c r="U44">
        <v>0.11931999515982915</v>
      </c>
      <c r="V44" t="s">
        <v>165</v>
      </c>
      <c r="AK44">
        <v>2030</v>
      </c>
      <c r="AL44" t="s">
        <v>293</v>
      </c>
      <c r="AM44">
        <v>0.23766666666666669</v>
      </c>
      <c r="AN44" t="s">
        <v>244</v>
      </c>
    </row>
    <row r="45" spans="9:40" x14ac:dyDescent="0.45">
      <c r="I45" t="s">
        <v>175</v>
      </c>
      <c r="J45" t="s">
        <v>307</v>
      </c>
      <c r="K45">
        <v>0</v>
      </c>
      <c r="L45" t="s">
        <v>165</v>
      </c>
      <c r="N45" t="s">
        <v>199</v>
      </c>
      <c r="O45" t="s">
        <v>307</v>
      </c>
      <c r="P45">
        <v>0.14235972041252545</v>
      </c>
      <c r="Q45" t="s">
        <v>165</v>
      </c>
      <c r="S45" t="s">
        <v>218</v>
      </c>
      <c r="T45" t="s">
        <v>307</v>
      </c>
      <c r="U45">
        <v>0.12974735088427772</v>
      </c>
      <c r="V45" t="s">
        <v>165</v>
      </c>
      <c r="AK45">
        <v>2030</v>
      </c>
      <c r="AL45" t="s">
        <v>294</v>
      </c>
      <c r="AM45">
        <v>0.30509999999999998</v>
      </c>
      <c r="AN45" t="s">
        <v>244</v>
      </c>
    </row>
    <row r="46" spans="9:40" x14ac:dyDescent="0.45">
      <c r="I46" t="s">
        <v>175</v>
      </c>
      <c r="J46" t="s">
        <v>308</v>
      </c>
      <c r="K46">
        <v>3.1007800652300579E-3</v>
      </c>
      <c r="L46" t="s">
        <v>165</v>
      </c>
      <c r="N46" t="s">
        <v>199</v>
      </c>
      <c r="O46" t="s">
        <v>308</v>
      </c>
      <c r="P46">
        <v>2.5232500851070729E-2</v>
      </c>
      <c r="Q46" t="s">
        <v>165</v>
      </c>
      <c r="S46" t="s">
        <v>218</v>
      </c>
      <c r="T46" t="s">
        <v>308</v>
      </c>
      <c r="U46">
        <v>2.2795454342098571E-2</v>
      </c>
      <c r="V46" t="s">
        <v>165</v>
      </c>
      <c r="AK46">
        <v>2030</v>
      </c>
      <c r="AL46" t="s">
        <v>296</v>
      </c>
      <c r="AM46">
        <v>0.17910000000000001</v>
      </c>
      <c r="AN46" t="s">
        <v>244</v>
      </c>
    </row>
    <row r="47" spans="9:40" x14ac:dyDescent="0.45">
      <c r="I47" t="s">
        <v>176</v>
      </c>
      <c r="J47" t="s">
        <v>297</v>
      </c>
      <c r="K47">
        <v>0.17671857587606279</v>
      </c>
      <c r="L47" t="s">
        <v>165</v>
      </c>
      <c r="N47" t="s">
        <v>200</v>
      </c>
      <c r="O47" t="s">
        <v>297</v>
      </c>
      <c r="P47">
        <v>0.13889209889004328</v>
      </c>
      <c r="Q47" t="s">
        <v>165</v>
      </c>
      <c r="S47" t="s">
        <v>219</v>
      </c>
      <c r="T47" t="s">
        <v>297</v>
      </c>
      <c r="U47">
        <v>8.9793813042268286E-2</v>
      </c>
      <c r="V47" t="s">
        <v>165</v>
      </c>
      <c r="AK47">
        <v>2031</v>
      </c>
      <c r="AL47" t="s">
        <v>291</v>
      </c>
      <c r="AM47">
        <v>0.20273333333333332</v>
      </c>
      <c r="AN47" t="s">
        <v>244</v>
      </c>
    </row>
    <row r="48" spans="9:40" x14ac:dyDescent="0.45">
      <c r="I48" t="s">
        <v>176</v>
      </c>
      <c r="J48" t="s">
        <v>298</v>
      </c>
      <c r="K48">
        <v>0</v>
      </c>
      <c r="L48" t="s">
        <v>165</v>
      </c>
      <c r="N48" t="s">
        <v>200</v>
      </c>
      <c r="O48" t="s">
        <v>298</v>
      </c>
      <c r="P48">
        <v>0.14187085756184334</v>
      </c>
      <c r="Q48" t="s">
        <v>165</v>
      </c>
      <c r="S48" t="s">
        <v>219</v>
      </c>
      <c r="T48" t="s">
        <v>298</v>
      </c>
      <c r="U48">
        <v>9.304882151518129E-2</v>
      </c>
      <c r="V48" t="s">
        <v>165</v>
      </c>
      <c r="AK48">
        <v>2031</v>
      </c>
      <c r="AL48" t="s">
        <v>293</v>
      </c>
      <c r="AM48">
        <v>0.2167</v>
      </c>
      <c r="AN48" t="s">
        <v>244</v>
      </c>
    </row>
    <row r="49" spans="9:40" x14ac:dyDescent="0.45">
      <c r="I49" t="s">
        <v>176</v>
      </c>
      <c r="J49" t="s">
        <v>299</v>
      </c>
      <c r="K49">
        <v>7.9017219997273465E-3</v>
      </c>
      <c r="L49" t="s">
        <v>165</v>
      </c>
      <c r="N49" t="s">
        <v>200</v>
      </c>
      <c r="O49" t="s">
        <v>299</v>
      </c>
      <c r="P49">
        <v>2.6142548642177889E-2</v>
      </c>
      <c r="Q49" t="s">
        <v>165</v>
      </c>
      <c r="S49" t="s">
        <v>219</v>
      </c>
      <c r="T49" t="s">
        <v>299</v>
      </c>
      <c r="U49">
        <v>1.7183508503271543E-2</v>
      </c>
      <c r="V49" t="s">
        <v>165</v>
      </c>
      <c r="AK49">
        <v>2031</v>
      </c>
      <c r="AL49" t="s">
        <v>294</v>
      </c>
      <c r="AM49">
        <v>0.31953333333333328</v>
      </c>
      <c r="AN49" t="s">
        <v>244</v>
      </c>
    </row>
    <row r="50" spans="9:40" x14ac:dyDescent="0.45">
      <c r="I50" t="s">
        <v>176</v>
      </c>
      <c r="J50" t="s">
        <v>300</v>
      </c>
      <c r="K50">
        <v>0.25392253228684852</v>
      </c>
      <c r="L50" t="s">
        <v>165</v>
      </c>
      <c r="N50" t="s">
        <v>200</v>
      </c>
      <c r="O50" t="s">
        <v>300</v>
      </c>
      <c r="P50">
        <v>0.13764603553961613</v>
      </c>
      <c r="Q50" t="s">
        <v>165</v>
      </c>
      <c r="S50" t="s">
        <v>219</v>
      </c>
      <c r="T50" t="s">
        <v>300</v>
      </c>
      <c r="U50">
        <v>0.13424437191025365</v>
      </c>
      <c r="V50" t="s">
        <v>165</v>
      </c>
      <c r="AK50">
        <v>2031</v>
      </c>
      <c r="AL50" t="s">
        <v>296</v>
      </c>
      <c r="AM50">
        <v>0.18823333333333334</v>
      </c>
      <c r="AN50" t="s">
        <v>244</v>
      </c>
    </row>
    <row r="51" spans="9:40" x14ac:dyDescent="0.45">
      <c r="I51" t="s">
        <v>176</v>
      </c>
      <c r="J51" t="s">
        <v>301</v>
      </c>
      <c r="K51">
        <v>3.4634092392453017E-3</v>
      </c>
      <c r="L51" t="s">
        <v>165</v>
      </c>
      <c r="N51" t="s">
        <v>200</v>
      </c>
      <c r="O51" t="s">
        <v>301</v>
      </c>
      <c r="P51">
        <v>0.12485691447094706</v>
      </c>
      <c r="Q51" t="s">
        <v>165</v>
      </c>
      <c r="S51" t="s">
        <v>219</v>
      </c>
      <c r="T51" t="s">
        <v>301</v>
      </c>
      <c r="U51">
        <v>0.14352923730362449</v>
      </c>
      <c r="V51" t="s">
        <v>165</v>
      </c>
      <c r="AK51">
        <v>2032</v>
      </c>
      <c r="AL51" t="s">
        <v>291</v>
      </c>
      <c r="AM51">
        <v>0.21560000000000001</v>
      </c>
      <c r="AN51" t="s">
        <v>244</v>
      </c>
    </row>
    <row r="52" spans="9:40" x14ac:dyDescent="0.45">
      <c r="I52" t="s">
        <v>176</v>
      </c>
      <c r="J52" t="s">
        <v>302</v>
      </c>
      <c r="K52">
        <v>2.4432003295148136E-2</v>
      </c>
      <c r="L52" t="s">
        <v>165</v>
      </c>
      <c r="N52" t="s">
        <v>200</v>
      </c>
      <c r="O52" t="s">
        <v>302</v>
      </c>
      <c r="P52">
        <v>2.4668845393099832E-2</v>
      </c>
      <c r="Q52" t="s">
        <v>165</v>
      </c>
      <c r="S52" t="s">
        <v>219</v>
      </c>
      <c r="T52" t="s">
        <v>302</v>
      </c>
      <c r="U52">
        <v>2.6378796453725702E-2</v>
      </c>
      <c r="V52" t="s">
        <v>165</v>
      </c>
      <c r="AK52">
        <v>2032</v>
      </c>
      <c r="AL52" t="s">
        <v>293</v>
      </c>
      <c r="AM52">
        <v>0.22623333333333331</v>
      </c>
      <c r="AN52" t="s">
        <v>244</v>
      </c>
    </row>
    <row r="53" spans="9:40" x14ac:dyDescent="0.45">
      <c r="I53" t="s">
        <v>176</v>
      </c>
      <c r="J53" t="s">
        <v>303</v>
      </c>
      <c r="K53">
        <v>0.30902781498525345</v>
      </c>
      <c r="L53" t="s">
        <v>165</v>
      </c>
      <c r="N53" t="s">
        <v>200</v>
      </c>
      <c r="O53" t="s">
        <v>303</v>
      </c>
      <c r="P53">
        <v>4.7078369182401075E-2</v>
      </c>
      <c r="Q53" t="s">
        <v>165</v>
      </c>
      <c r="S53" t="s">
        <v>219</v>
      </c>
      <c r="T53" t="s">
        <v>303</v>
      </c>
      <c r="U53">
        <v>6.993247965270559E-2</v>
      </c>
      <c r="V53" t="s">
        <v>165</v>
      </c>
      <c r="AK53">
        <v>2032</v>
      </c>
      <c r="AL53" t="s">
        <v>294</v>
      </c>
      <c r="AM53">
        <v>0.3039</v>
      </c>
      <c r="AN53" t="s">
        <v>244</v>
      </c>
    </row>
    <row r="54" spans="9:40" x14ac:dyDescent="0.45">
      <c r="I54" t="s">
        <v>176</v>
      </c>
      <c r="J54" t="s">
        <v>304</v>
      </c>
      <c r="K54">
        <v>1.1122227493745664E-2</v>
      </c>
      <c r="L54" t="s">
        <v>165</v>
      </c>
      <c r="N54" t="s">
        <v>200</v>
      </c>
      <c r="O54" t="s">
        <v>304</v>
      </c>
      <c r="P54">
        <v>3.6420126140006538E-2</v>
      </c>
      <c r="Q54" t="s">
        <v>165</v>
      </c>
      <c r="S54" t="s">
        <v>219</v>
      </c>
      <c r="T54" t="s">
        <v>304</v>
      </c>
      <c r="U54">
        <v>8.3226092965558288E-2</v>
      </c>
      <c r="V54" t="s">
        <v>165</v>
      </c>
      <c r="AK54">
        <v>2032</v>
      </c>
      <c r="AL54" t="s">
        <v>296</v>
      </c>
      <c r="AM54">
        <v>0.18483333333333332</v>
      </c>
      <c r="AN54" t="s">
        <v>244</v>
      </c>
    </row>
    <row r="55" spans="9:40" x14ac:dyDescent="0.45">
      <c r="I55" t="s">
        <v>176</v>
      </c>
      <c r="J55" t="s">
        <v>305</v>
      </c>
      <c r="K55">
        <v>3.323549399704176E-2</v>
      </c>
      <c r="L55" t="s">
        <v>165</v>
      </c>
      <c r="N55" t="s">
        <v>200</v>
      </c>
      <c r="O55" t="s">
        <v>305</v>
      </c>
      <c r="P55">
        <v>5.1221410779996434E-3</v>
      </c>
      <c r="Q55" t="s">
        <v>165</v>
      </c>
      <c r="S55" t="s">
        <v>219</v>
      </c>
      <c r="T55" t="s">
        <v>305</v>
      </c>
      <c r="U55">
        <v>1.0419268194928387E-2</v>
      </c>
      <c r="V55" t="s">
        <v>165</v>
      </c>
      <c r="AK55">
        <v>2033</v>
      </c>
      <c r="AL55" t="s">
        <v>291</v>
      </c>
      <c r="AM55">
        <v>0.20766666666666667</v>
      </c>
      <c r="AN55" t="s">
        <v>244</v>
      </c>
    </row>
    <row r="56" spans="9:40" x14ac:dyDescent="0.45">
      <c r="I56" t="s">
        <v>176</v>
      </c>
      <c r="J56" t="s">
        <v>306</v>
      </c>
      <c r="K56">
        <v>0.17692881430891313</v>
      </c>
      <c r="L56" t="s">
        <v>165</v>
      </c>
      <c r="N56" t="s">
        <v>200</v>
      </c>
      <c r="O56" t="s">
        <v>306</v>
      </c>
      <c r="P56">
        <v>0.14157440172914973</v>
      </c>
      <c r="Q56" t="s">
        <v>165</v>
      </c>
      <c r="S56" t="s">
        <v>219</v>
      </c>
      <c r="T56" t="s">
        <v>306</v>
      </c>
      <c r="U56">
        <v>0.15071463236712776</v>
      </c>
      <c r="V56" t="s">
        <v>165</v>
      </c>
      <c r="AK56">
        <v>2033</v>
      </c>
      <c r="AL56" t="s">
        <v>293</v>
      </c>
      <c r="AM56">
        <v>0.22276666666666667</v>
      </c>
      <c r="AN56" t="s">
        <v>244</v>
      </c>
    </row>
    <row r="57" spans="9:40" x14ac:dyDescent="0.45">
      <c r="I57" t="s">
        <v>176</v>
      </c>
      <c r="J57" t="s">
        <v>307</v>
      </c>
      <c r="K57">
        <v>0</v>
      </c>
      <c r="L57" t="s">
        <v>165</v>
      </c>
      <c r="N57" t="s">
        <v>200</v>
      </c>
      <c r="O57" t="s">
        <v>307</v>
      </c>
      <c r="P57">
        <v>0.14841428380562191</v>
      </c>
      <c r="Q57" t="s">
        <v>165</v>
      </c>
      <c r="S57" t="s">
        <v>219</v>
      </c>
      <c r="T57" t="s">
        <v>307</v>
      </c>
      <c r="U57">
        <v>0.15192555695543783</v>
      </c>
      <c r="V57" t="s">
        <v>165</v>
      </c>
      <c r="AK57">
        <v>2033</v>
      </c>
      <c r="AL57" t="s">
        <v>294</v>
      </c>
      <c r="AM57">
        <v>0.29526666666666662</v>
      </c>
      <c r="AN57" t="s">
        <v>244</v>
      </c>
    </row>
    <row r="58" spans="9:40" x14ac:dyDescent="0.45">
      <c r="I58" t="s">
        <v>176</v>
      </c>
      <c r="J58" t="s">
        <v>308</v>
      </c>
      <c r="K58">
        <v>3.2474065180134264E-3</v>
      </c>
      <c r="L58" t="s">
        <v>165</v>
      </c>
      <c r="N58" t="s">
        <v>200</v>
      </c>
      <c r="O58" t="s">
        <v>308</v>
      </c>
      <c r="P58">
        <v>2.7313377567090659E-2</v>
      </c>
      <c r="Q58" t="s">
        <v>165</v>
      </c>
      <c r="S58" t="s">
        <v>219</v>
      </c>
      <c r="T58" t="s">
        <v>308</v>
      </c>
      <c r="U58">
        <v>2.9603421135917244E-2</v>
      </c>
      <c r="V58" t="s">
        <v>165</v>
      </c>
      <c r="AK58">
        <v>2033</v>
      </c>
      <c r="AL58" t="s">
        <v>296</v>
      </c>
      <c r="AM58">
        <v>0.19076666666666667</v>
      </c>
      <c r="AN58" t="s">
        <v>244</v>
      </c>
    </row>
    <row r="59" spans="9:40" x14ac:dyDescent="0.45">
      <c r="I59" t="s">
        <v>177</v>
      </c>
      <c r="J59" t="s">
        <v>297</v>
      </c>
      <c r="K59">
        <v>0.18971189612386211</v>
      </c>
      <c r="L59" t="s">
        <v>165</v>
      </c>
      <c r="N59" t="s">
        <v>201</v>
      </c>
      <c r="O59" t="s">
        <v>297</v>
      </c>
      <c r="P59">
        <v>0.14527024553039236</v>
      </c>
      <c r="Q59" t="s">
        <v>165</v>
      </c>
      <c r="S59" t="s">
        <v>220</v>
      </c>
      <c r="T59" t="s">
        <v>297</v>
      </c>
      <c r="U59">
        <v>9.1371564229255145E-2</v>
      </c>
      <c r="V59" t="s">
        <v>165</v>
      </c>
      <c r="AK59">
        <v>2034</v>
      </c>
      <c r="AL59" t="s">
        <v>291</v>
      </c>
      <c r="AM59">
        <v>0.21489999999999998</v>
      </c>
      <c r="AN59" t="s">
        <v>244</v>
      </c>
    </row>
    <row r="60" spans="9:40" x14ac:dyDescent="0.45">
      <c r="I60" t="s">
        <v>177</v>
      </c>
      <c r="J60" t="s">
        <v>298</v>
      </c>
      <c r="K60">
        <v>0</v>
      </c>
      <c r="L60" t="s">
        <v>165</v>
      </c>
      <c r="N60" t="s">
        <v>201</v>
      </c>
      <c r="O60" t="s">
        <v>298</v>
      </c>
      <c r="P60">
        <v>0.1511823653640699</v>
      </c>
      <c r="Q60" t="s">
        <v>165</v>
      </c>
      <c r="S60" t="s">
        <v>220</v>
      </c>
      <c r="T60" t="s">
        <v>298</v>
      </c>
      <c r="U60">
        <v>0.10138911564481028</v>
      </c>
      <c r="V60" t="s">
        <v>165</v>
      </c>
      <c r="AK60">
        <v>2034</v>
      </c>
      <c r="AL60" t="s">
        <v>293</v>
      </c>
      <c r="AM60">
        <v>0.2261</v>
      </c>
      <c r="AN60" t="s">
        <v>244</v>
      </c>
    </row>
    <row r="61" spans="9:40" x14ac:dyDescent="0.45">
      <c r="I61" t="s">
        <v>177</v>
      </c>
      <c r="J61" t="s">
        <v>299</v>
      </c>
      <c r="K61">
        <v>5.6349734917946577E-3</v>
      </c>
      <c r="L61" t="s">
        <v>165</v>
      </c>
      <c r="N61" t="s">
        <v>201</v>
      </c>
      <c r="O61" t="s">
        <v>299</v>
      </c>
      <c r="P61">
        <v>2.8236807991897508E-2</v>
      </c>
      <c r="Q61" t="s">
        <v>165</v>
      </c>
      <c r="S61" t="s">
        <v>220</v>
      </c>
      <c r="T61" t="s">
        <v>299</v>
      </c>
      <c r="U61">
        <v>1.83696203888217E-2</v>
      </c>
      <c r="V61" t="s">
        <v>165</v>
      </c>
      <c r="AK61">
        <v>2034</v>
      </c>
      <c r="AL61" t="s">
        <v>294</v>
      </c>
      <c r="AM61">
        <v>0.32620000000000005</v>
      </c>
      <c r="AN61" t="s">
        <v>244</v>
      </c>
    </row>
    <row r="62" spans="9:40" x14ac:dyDescent="0.45">
      <c r="I62" t="s">
        <v>177</v>
      </c>
      <c r="J62" t="s">
        <v>300</v>
      </c>
      <c r="K62">
        <v>0.27917997287836227</v>
      </c>
      <c r="L62" t="s">
        <v>165</v>
      </c>
      <c r="N62" t="s">
        <v>201</v>
      </c>
      <c r="O62" t="s">
        <v>300</v>
      </c>
      <c r="P62">
        <v>0.15833333506962358</v>
      </c>
      <c r="Q62" t="s">
        <v>165</v>
      </c>
      <c r="S62" t="s">
        <v>220</v>
      </c>
      <c r="T62" t="s">
        <v>300</v>
      </c>
      <c r="U62">
        <v>0.12524118048336277</v>
      </c>
      <c r="V62" t="s">
        <v>165</v>
      </c>
      <c r="AK62">
        <v>2034</v>
      </c>
      <c r="AL62" t="s">
        <v>296</v>
      </c>
      <c r="AM62">
        <v>0.1812</v>
      </c>
      <c r="AN62" t="s">
        <v>244</v>
      </c>
    </row>
    <row r="63" spans="9:40" x14ac:dyDescent="0.45">
      <c r="I63" t="s">
        <v>177</v>
      </c>
      <c r="J63" t="s">
        <v>301</v>
      </c>
      <c r="K63">
        <v>2.7403213354616927E-3</v>
      </c>
      <c r="L63" t="s">
        <v>165</v>
      </c>
      <c r="N63" t="s">
        <v>201</v>
      </c>
      <c r="O63" t="s">
        <v>301</v>
      </c>
      <c r="P63">
        <v>0.13594183590213099</v>
      </c>
      <c r="Q63" t="s">
        <v>165</v>
      </c>
      <c r="S63" t="s">
        <v>220</v>
      </c>
      <c r="T63" t="s">
        <v>301</v>
      </c>
      <c r="U63">
        <v>0.14540719986864872</v>
      </c>
      <c r="V63" t="s">
        <v>165</v>
      </c>
      <c r="AK63">
        <v>2035</v>
      </c>
      <c r="AL63" t="s">
        <v>291</v>
      </c>
      <c r="AM63">
        <v>0.20979999999999999</v>
      </c>
      <c r="AN63" t="s">
        <v>244</v>
      </c>
    </row>
    <row r="64" spans="9:40" x14ac:dyDescent="0.45">
      <c r="I64" t="s">
        <v>177</v>
      </c>
      <c r="J64" t="s">
        <v>302</v>
      </c>
      <c r="K64">
        <v>2.0072526434213603E-2</v>
      </c>
      <c r="L64" t="s">
        <v>165</v>
      </c>
      <c r="N64" t="s">
        <v>201</v>
      </c>
      <c r="O64" t="s">
        <v>302</v>
      </c>
      <c r="P64">
        <v>2.4620450092869194E-2</v>
      </c>
      <c r="Q64" t="s">
        <v>165</v>
      </c>
      <c r="S64" t="s">
        <v>220</v>
      </c>
      <c r="T64" t="s">
        <v>302</v>
      </c>
      <c r="U64">
        <v>2.5049546926477734E-2</v>
      </c>
      <c r="V64" t="s">
        <v>165</v>
      </c>
      <c r="AK64">
        <v>2035</v>
      </c>
      <c r="AL64" t="s">
        <v>293</v>
      </c>
      <c r="AM64">
        <v>0.21226666666666669</v>
      </c>
      <c r="AN64" t="s">
        <v>244</v>
      </c>
    </row>
    <row r="65" spans="9:40" x14ac:dyDescent="0.45">
      <c r="I65" t="s">
        <v>177</v>
      </c>
      <c r="J65" t="s">
        <v>303</v>
      </c>
      <c r="K65">
        <v>0.2956298617722613</v>
      </c>
      <c r="L65" t="s">
        <v>165</v>
      </c>
      <c r="N65" t="s">
        <v>201</v>
      </c>
      <c r="O65" t="s">
        <v>303</v>
      </c>
      <c r="P65">
        <v>4.2851484504464077E-2</v>
      </c>
      <c r="Q65" t="s">
        <v>165</v>
      </c>
      <c r="S65" t="s">
        <v>220</v>
      </c>
      <c r="T65" t="s">
        <v>303</v>
      </c>
      <c r="U65">
        <v>8.273490052694206E-2</v>
      </c>
      <c r="V65" t="s">
        <v>165</v>
      </c>
      <c r="AK65">
        <v>2035</v>
      </c>
      <c r="AL65" t="s">
        <v>294</v>
      </c>
      <c r="AM65">
        <v>0.3174333333333334</v>
      </c>
      <c r="AN65" t="s">
        <v>244</v>
      </c>
    </row>
    <row r="66" spans="9:40" x14ac:dyDescent="0.45">
      <c r="I66" t="s">
        <v>177</v>
      </c>
      <c r="J66" t="s">
        <v>304</v>
      </c>
      <c r="K66">
        <v>1.0016333788463522E-2</v>
      </c>
      <c r="L66" t="s">
        <v>165</v>
      </c>
      <c r="N66" t="s">
        <v>201</v>
      </c>
      <c r="O66" t="s">
        <v>304</v>
      </c>
      <c r="P66">
        <v>3.6916542282360347E-2</v>
      </c>
      <c r="Q66" t="s">
        <v>165</v>
      </c>
      <c r="S66" t="s">
        <v>220</v>
      </c>
      <c r="T66" t="s">
        <v>304</v>
      </c>
      <c r="U66">
        <v>9.2183094165493848E-2</v>
      </c>
      <c r="V66" t="s">
        <v>165</v>
      </c>
      <c r="AK66">
        <v>2035</v>
      </c>
      <c r="AL66" t="s">
        <v>296</v>
      </c>
      <c r="AM66">
        <v>0.1852</v>
      </c>
      <c r="AN66" t="s">
        <v>244</v>
      </c>
    </row>
    <row r="67" spans="9:40" x14ac:dyDescent="0.45">
      <c r="I67" t="s">
        <v>177</v>
      </c>
      <c r="J67" t="s">
        <v>305</v>
      </c>
      <c r="K67">
        <v>2.6826797637608323E-2</v>
      </c>
      <c r="L67" t="s">
        <v>165</v>
      </c>
      <c r="N67" t="s">
        <v>201</v>
      </c>
      <c r="O67" t="s">
        <v>305</v>
      </c>
      <c r="P67">
        <v>9.8072760082053567E-3</v>
      </c>
      <c r="Q67" t="s">
        <v>165</v>
      </c>
      <c r="S67" t="s">
        <v>220</v>
      </c>
      <c r="T67" t="s">
        <v>305</v>
      </c>
      <c r="U67">
        <v>1.4995473539040759E-2</v>
      </c>
      <c r="V67" t="s">
        <v>165</v>
      </c>
      <c r="AK67">
        <v>2036</v>
      </c>
      <c r="AL67" t="s">
        <v>291</v>
      </c>
      <c r="AM67">
        <v>0.19973333333333332</v>
      </c>
      <c r="AN67" t="s">
        <v>244</v>
      </c>
    </row>
    <row r="68" spans="9:40" x14ac:dyDescent="0.45">
      <c r="I68" t="s">
        <v>177</v>
      </c>
      <c r="J68" t="s">
        <v>306</v>
      </c>
      <c r="K68">
        <v>0.16825970353361175</v>
      </c>
      <c r="L68" t="s">
        <v>165</v>
      </c>
      <c r="N68" t="s">
        <v>201</v>
      </c>
      <c r="O68" t="s">
        <v>306</v>
      </c>
      <c r="P68">
        <v>0.12405636934317413</v>
      </c>
      <c r="Q68" t="s">
        <v>165</v>
      </c>
      <c r="S68" t="s">
        <v>220</v>
      </c>
      <c r="T68" t="s">
        <v>306</v>
      </c>
      <c r="U68">
        <v>0.13379447889215254</v>
      </c>
      <c r="V68" t="s">
        <v>165</v>
      </c>
      <c r="AK68">
        <v>2036</v>
      </c>
      <c r="AL68" t="s">
        <v>293</v>
      </c>
      <c r="AM68">
        <v>0.21996666666666664</v>
      </c>
      <c r="AN68" t="s">
        <v>244</v>
      </c>
    </row>
    <row r="69" spans="9:40" x14ac:dyDescent="0.45">
      <c r="I69" t="s">
        <v>177</v>
      </c>
      <c r="J69" t="s">
        <v>307</v>
      </c>
      <c r="K69">
        <v>0</v>
      </c>
      <c r="L69" t="s">
        <v>165</v>
      </c>
      <c r="N69" t="s">
        <v>201</v>
      </c>
      <c r="O69" t="s">
        <v>307</v>
      </c>
      <c r="P69">
        <v>0.12238903305836064</v>
      </c>
      <c r="Q69" t="s">
        <v>165</v>
      </c>
      <c r="S69" t="s">
        <v>220</v>
      </c>
      <c r="T69" t="s">
        <v>307</v>
      </c>
      <c r="U69">
        <v>0.14336963908168388</v>
      </c>
      <c r="V69" t="s">
        <v>165</v>
      </c>
      <c r="AK69">
        <v>2036</v>
      </c>
      <c r="AL69" t="s">
        <v>294</v>
      </c>
      <c r="AM69">
        <v>0.30590000000000001</v>
      </c>
      <c r="AN69" t="s">
        <v>244</v>
      </c>
    </row>
    <row r="70" spans="9:40" x14ac:dyDescent="0.45">
      <c r="I70" t="s">
        <v>177</v>
      </c>
      <c r="J70" t="s">
        <v>308</v>
      </c>
      <c r="K70">
        <v>1.9276130043607369E-3</v>
      </c>
      <c r="L70" t="s">
        <v>165</v>
      </c>
      <c r="N70" t="s">
        <v>201</v>
      </c>
      <c r="O70" t="s">
        <v>308</v>
      </c>
      <c r="P70">
        <v>2.0394254852452019E-2</v>
      </c>
      <c r="Q70" t="s">
        <v>165</v>
      </c>
      <c r="S70" t="s">
        <v>220</v>
      </c>
      <c r="T70" t="s">
        <v>308</v>
      </c>
      <c r="U70">
        <v>2.6094186253314628E-2</v>
      </c>
      <c r="V70" t="s">
        <v>165</v>
      </c>
      <c r="AK70">
        <v>2036</v>
      </c>
      <c r="AL70" t="s">
        <v>296</v>
      </c>
      <c r="AM70">
        <v>0.18326666666666669</v>
      </c>
      <c r="AN70" t="s">
        <v>244</v>
      </c>
    </row>
    <row r="71" spans="9:40" x14ac:dyDescent="0.45">
      <c r="I71" t="s">
        <v>178</v>
      </c>
      <c r="J71" t="s">
        <v>297</v>
      </c>
      <c r="K71">
        <v>0.18686815943331808</v>
      </c>
      <c r="L71" t="s">
        <v>165</v>
      </c>
      <c r="N71" t="s">
        <v>202</v>
      </c>
      <c r="O71" t="s">
        <v>297</v>
      </c>
      <c r="P71">
        <v>0.15317616366529344</v>
      </c>
      <c r="Q71" t="s">
        <v>165</v>
      </c>
      <c r="S71" t="s">
        <v>221</v>
      </c>
      <c r="T71" t="s">
        <v>297</v>
      </c>
      <c r="U71">
        <v>0.1201473609812827</v>
      </c>
      <c r="V71" t="s">
        <v>165</v>
      </c>
      <c r="AK71">
        <v>2037</v>
      </c>
      <c r="AL71" t="s">
        <v>291</v>
      </c>
      <c r="AM71">
        <v>0.21493333333333334</v>
      </c>
      <c r="AN71" t="s">
        <v>244</v>
      </c>
    </row>
    <row r="72" spans="9:40" x14ac:dyDescent="0.45">
      <c r="I72" t="s">
        <v>178</v>
      </c>
      <c r="J72" t="s">
        <v>298</v>
      </c>
      <c r="K72">
        <v>0</v>
      </c>
      <c r="L72" t="s">
        <v>165</v>
      </c>
      <c r="N72" t="s">
        <v>202</v>
      </c>
      <c r="O72" t="s">
        <v>298</v>
      </c>
      <c r="P72">
        <v>0.14141797372232387</v>
      </c>
      <c r="Q72" t="s">
        <v>165</v>
      </c>
      <c r="S72" t="s">
        <v>221</v>
      </c>
      <c r="T72" t="s">
        <v>298</v>
      </c>
      <c r="U72">
        <v>0.11863526671642451</v>
      </c>
      <c r="V72" t="s">
        <v>165</v>
      </c>
      <c r="AK72">
        <v>2037</v>
      </c>
      <c r="AL72" t="s">
        <v>293</v>
      </c>
      <c r="AM72">
        <v>0.24016666666666664</v>
      </c>
      <c r="AN72" t="s">
        <v>244</v>
      </c>
    </row>
    <row r="73" spans="9:40" x14ac:dyDescent="0.45">
      <c r="I73" t="s">
        <v>178</v>
      </c>
      <c r="J73" t="s">
        <v>299</v>
      </c>
      <c r="K73">
        <v>5.5846060597347924E-3</v>
      </c>
      <c r="L73" t="s">
        <v>165</v>
      </c>
      <c r="N73" t="s">
        <v>202</v>
      </c>
      <c r="O73" t="s">
        <v>299</v>
      </c>
      <c r="P73">
        <v>2.9023005536516096E-2</v>
      </c>
      <c r="Q73" t="s">
        <v>165</v>
      </c>
      <c r="S73" t="s">
        <v>221</v>
      </c>
      <c r="T73" t="s">
        <v>299</v>
      </c>
      <c r="U73">
        <v>2.0978249773479809E-2</v>
      </c>
      <c r="V73" t="s">
        <v>165</v>
      </c>
      <c r="AK73">
        <v>2037</v>
      </c>
      <c r="AL73" t="s">
        <v>294</v>
      </c>
      <c r="AM73">
        <v>0.30233333333333334</v>
      </c>
      <c r="AN73" t="s">
        <v>244</v>
      </c>
    </row>
    <row r="74" spans="9:40" x14ac:dyDescent="0.45">
      <c r="I74" t="s">
        <v>178</v>
      </c>
      <c r="J74" t="s">
        <v>300</v>
      </c>
      <c r="K74">
        <v>0.25879822403571273</v>
      </c>
      <c r="L74" t="s">
        <v>165</v>
      </c>
      <c r="N74" t="s">
        <v>202</v>
      </c>
      <c r="O74" t="s">
        <v>300</v>
      </c>
      <c r="P74">
        <v>0.15938552813094073</v>
      </c>
      <c r="Q74" t="s">
        <v>165</v>
      </c>
      <c r="S74" t="s">
        <v>221</v>
      </c>
      <c r="T74" t="s">
        <v>300</v>
      </c>
      <c r="U74">
        <v>0.15923272233583802</v>
      </c>
      <c r="V74" t="s">
        <v>165</v>
      </c>
      <c r="AK74">
        <v>2037</v>
      </c>
      <c r="AL74" t="s">
        <v>296</v>
      </c>
      <c r="AM74">
        <v>0.18339999999999998</v>
      </c>
      <c r="AN74" t="s">
        <v>244</v>
      </c>
    </row>
    <row r="75" spans="9:40" x14ac:dyDescent="0.45">
      <c r="I75" t="s">
        <v>178</v>
      </c>
      <c r="J75" t="s">
        <v>301</v>
      </c>
      <c r="K75">
        <v>3.2300659970525879E-3</v>
      </c>
      <c r="L75" t="s">
        <v>165</v>
      </c>
      <c r="N75" t="s">
        <v>202</v>
      </c>
      <c r="O75" t="s">
        <v>301</v>
      </c>
      <c r="P75">
        <v>0.10911564147457202</v>
      </c>
      <c r="Q75" t="s">
        <v>165</v>
      </c>
      <c r="S75" t="s">
        <v>221</v>
      </c>
      <c r="T75" t="s">
        <v>301</v>
      </c>
      <c r="U75">
        <v>0.15425331465819936</v>
      </c>
      <c r="V75" t="s">
        <v>165</v>
      </c>
      <c r="AK75">
        <v>2038</v>
      </c>
      <c r="AL75" t="s">
        <v>291</v>
      </c>
      <c r="AM75">
        <v>0.20746666666666669</v>
      </c>
      <c r="AN75" t="s">
        <v>244</v>
      </c>
    </row>
    <row r="76" spans="9:40" x14ac:dyDescent="0.45">
      <c r="I76" t="s">
        <v>178</v>
      </c>
      <c r="J76" t="s">
        <v>302</v>
      </c>
      <c r="K76">
        <v>1.8032557531977314E-2</v>
      </c>
      <c r="L76" t="s">
        <v>165</v>
      </c>
      <c r="N76" t="s">
        <v>202</v>
      </c>
      <c r="O76" t="s">
        <v>302</v>
      </c>
      <c r="P76">
        <v>2.8061436929399126E-2</v>
      </c>
      <c r="Q76" t="s">
        <v>165</v>
      </c>
      <c r="S76" t="s">
        <v>221</v>
      </c>
      <c r="T76" t="s">
        <v>302</v>
      </c>
      <c r="U76">
        <v>3.0302473895418156E-2</v>
      </c>
      <c r="V76" t="s">
        <v>165</v>
      </c>
      <c r="AK76">
        <v>2038</v>
      </c>
      <c r="AL76" t="s">
        <v>293</v>
      </c>
      <c r="AM76">
        <v>0.23093333333333332</v>
      </c>
      <c r="AN76" t="s">
        <v>244</v>
      </c>
    </row>
    <row r="77" spans="9:40" x14ac:dyDescent="0.45">
      <c r="I77" t="s">
        <v>178</v>
      </c>
      <c r="J77" t="s">
        <v>303</v>
      </c>
      <c r="K77">
        <v>0.31676074192292181</v>
      </c>
      <c r="L77" t="s">
        <v>165</v>
      </c>
      <c r="N77" t="s">
        <v>202</v>
      </c>
      <c r="O77" t="s">
        <v>303</v>
      </c>
      <c r="P77">
        <v>5.6262555369782828E-2</v>
      </c>
      <c r="Q77" t="s">
        <v>165</v>
      </c>
      <c r="S77" t="s">
        <v>221</v>
      </c>
      <c r="T77" t="s">
        <v>303</v>
      </c>
      <c r="U77">
        <v>4.8484458273117599E-2</v>
      </c>
      <c r="V77" t="s">
        <v>165</v>
      </c>
      <c r="AK77">
        <v>2038</v>
      </c>
      <c r="AL77" t="s">
        <v>294</v>
      </c>
      <c r="AM77">
        <v>0.30306666666666665</v>
      </c>
      <c r="AN77" t="s">
        <v>244</v>
      </c>
    </row>
    <row r="78" spans="9:40" x14ac:dyDescent="0.45">
      <c r="I78" t="s">
        <v>178</v>
      </c>
      <c r="J78" t="s">
        <v>304</v>
      </c>
      <c r="K78">
        <v>1.1672146747138498E-2</v>
      </c>
      <c r="L78" t="s">
        <v>165</v>
      </c>
      <c r="N78" t="s">
        <v>202</v>
      </c>
      <c r="O78" t="s">
        <v>304</v>
      </c>
      <c r="P78">
        <v>4.7289957274799267E-2</v>
      </c>
      <c r="Q78" t="s">
        <v>165</v>
      </c>
      <c r="S78" t="s">
        <v>221</v>
      </c>
      <c r="T78" t="s">
        <v>304</v>
      </c>
      <c r="U78">
        <v>4.129379892464264E-2</v>
      </c>
      <c r="V78" t="s">
        <v>165</v>
      </c>
      <c r="AK78">
        <v>2038</v>
      </c>
      <c r="AL78" t="s">
        <v>296</v>
      </c>
      <c r="AM78">
        <v>0.18473333333333333</v>
      </c>
      <c r="AN78" t="s">
        <v>244</v>
      </c>
    </row>
    <row r="79" spans="9:40" x14ac:dyDescent="0.45">
      <c r="I79" t="s">
        <v>178</v>
      </c>
      <c r="J79" t="s">
        <v>305</v>
      </c>
      <c r="K79">
        <v>2.851949587801815E-2</v>
      </c>
      <c r="L79" t="s">
        <v>165</v>
      </c>
      <c r="N79" t="s">
        <v>202</v>
      </c>
      <c r="O79" t="s">
        <v>305</v>
      </c>
      <c r="P79">
        <v>1.4726363330270118E-2</v>
      </c>
      <c r="Q79" t="s">
        <v>165</v>
      </c>
      <c r="S79" t="s">
        <v>221</v>
      </c>
      <c r="T79" t="s">
        <v>305</v>
      </c>
      <c r="U79">
        <v>1.0081962669025743E-2</v>
      </c>
      <c r="V79" t="s">
        <v>165</v>
      </c>
      <c r="AK79">
        <v>2039</v>
      </c>
      <c r="AL79" t="s">
        <v>291</v>
      </c>
      <c r="AM79">
        <v>0.20520000000000002</v>
      </c>
      <c r="AN79" t="s">
        <v>244</v>
      </c>
    </row>
    <row r="80" spans="9:40" x14ac:dyDescent="0.45">
      <c r="I80" t="s">
        <v>178</v>
      </c>
      <c r="J80" t="s">
        <v>306</v>
      </c>
      <c r="K80">
        <v>0.16864938885304817</v>
      </c>
      <c r="L80" t="s">
        <v>165</v>
      </c>
      <c r="N80" t="s">
        <v>202</v>
      </c>
      <c r="O80" t="s">
        <v>306</v>
      </c>
      <c r="P80">
        <v>0.12217024238290233</v>
      </c>
      <c r="Q80" t="s">
        <v>165</v>
      </c>
      <c r="S80" t="s">
        <v>221</v>
      </c>
      <c r="T80" t="s">
        <v>306</v>
      </c>
      <c r="U80">
        <v>0.13826154481915237</v>
      </c>
      <c r="V80" t="s">
        <v>165</v>
      </c>
      <c r="AK80">
        <v>2039</v>
      </c>
      <c r="AL80" t="s">
        <v>293</v>
      </c>
      <c r="AM80">
        <v>0.21623333333333336</v>
      </c>
      <c r="AN80" t="s">
        <v>244</v>
      </c>
    </row>
    <row r="81" spans="9:40" x14ac:dyDescent="0.45">
      <c r="I81" t="s">
        <v>178</v>
      </c>
      <c r="J81" t="s">
        <v>307</v>
      </c>
      <c r="K81">
        <v>0</v>
      </c>
      <c r="L81" t="s">
        <v>165</v>
      </c>
      <c r="N81" t="s">
        <v>202</v>
      </c>
      <c r="O81" t="s">
        <v>307</v>
      </c>
      <c r="P81">
        <v>0.12040891725786922</v>
      </c>
      <c r="Q81" t="s">
        <v>165</v>
      </c>
      <c r="S81" t="s">
        <v>221</v>
      </c>
      <c r="T81" t="s">
        <v>307</v>
      </c>
      <c r="U81">
        <v>0.13252109541139501</v>
      </c>
      <c r="V81" t="s">
        <v>165</v>
      </c>
      <c r="AK81">
        <v>2039</v>
      </c>
      <c r="AL81" t="s">
        <v>294</v>
      </c>
      <c r="AM81">
        <v>0.30213333333333336</v>
      </c>
      <c r="AN81" t="s">
        <v>244</v>
      </c>
    </row>
    <row r="82" spans="9:40" x14ac:dyDescent="0.45">
      <c r="I82" t="s">
        <v>178</v>
      </c>
      <c r="J82" t="s">
        <v>308</v>
      </c>
      <c r="K82">
        <v>1.884613541080854E-3</v>
      </c>
      <c r="L82" t="s">
        <v>165</v>
      </c>
      <c r="N82" t="s">
        <v>202</v>
      </c>
      <c r="O82" t="s">
        <v>308</v>
      </c>
      <c r="P82">
        <v>1.8962214925330095E-2</v>
      </c>
      <c r="Q82" t="s">
        <v>165</v>
      </c>
      <c r="S82" t="s">
        <v>221</v>
      </c>
      <c r="T82" t="s">
        <v>308</v>
      </c>
      <c r="U82">
        <v>2.5807751542024051E-2</v>
      </c>
      <c r="V82" t="s">
        <v>165</v>
      </c>
      <c r="AK82">
        <v>2039</v>
      </c>
      <c r="AL82" t="s">
        <v>296</v>
      </c>
      <c r="AM82">
        <v>0.18149999999999999</v>
      </c>
      <c r="AN82" t="s">
        <v>244</v>
      </c>
    </row>
    <row r="83" spans="9:40" x14ac:dyDescent="0.45">
      <c r="I83" t="s">
        <v>179</v>
      </c>
      <c r="J83" t="s">
        <v>297</v>
      </c>
      <c r="K83">
        <v>0.18172750445107461</v>
      </c>
      <c r="L83" t="s">
        <v>165</v>
      </c>
      <c r="N83" t="s">
        <v>203</v>
      </c>
      <c r="O83" t="s">
        <v>297</v>
      </c>
      <c r="P83">
        <v>0.1419483993261087</v>
      </c>
      <c r="Q83" t="s">
        <v>165</v>
      </c>
      <c r="S83" t="s">
        <v>222</v>
      </c>
      <c r="T83" t="s">
        <v>297</v>
      </c>
      <c r="U83">
        <v>0.12535963461322511</v>
      </c>
      <c r="V83" t="s">
        <v>165</v>
      </c>
      <c r="AK83">
        <v>2040</v>
      </c>
      <c r="AL83" t="s">
        <v>291</v>
      </c>
      <c r="AM83">
        <v>0.21253333333333335</v>
      </c>
      <c r="AN83" t="s">
        <v>244</v>
      </c>
    </row>
    <row r="84" spans="9:40" x14ac:dyDescent="0.45">
      <c r="I84" t="s">
        <v>179</v>
      </c>
      <c r="J84" t="s">
        <v>298</v>
      </c>
      <c r="K84">
        <v>0</v>
      </c>
      <c r="L84" t="s">
        <v>165</v>
      </c>
      <c r="N84" t="s">
        <v>203</v>
      </c>
      <c r="O84" t="s">
        <v>298</v>
      </c>
      <c r="P84">
        <v>0.1174822284849687</v>
      </c>
      <c r="Q84" t="s">
        <v>165</v>
      </c>
      <c r="S84" t="s">
        <v>222</v>
      </c>
      <c r="T84" t="s">
        <v>298</v>
      </c>
      <c r="U84">
        <v>0.1270469655242181</v>
      </c>
      <c r="V84" t="s">
        <v>165</v>
      </c>
      <c r="AK84">
        <v>2040</v>
      </c>
      <c r="AL84" t="s">
        <v>293</v>
      </c>
      <c r="AM84">
        <v>0.22776666666666667</v>
      </c>
      <c r="AN84" t="s">
        <v>244</v>
      </c>
    </row>
    <row r="85" spans="9:40" x14ac:dyDescent="0.45">
      <c r="I85" t="s">
        <v>179</v>
      </c>
      <c r="J85" t="s">
        <v>299</v>
      </c>
      <c r="K85">
        <v>6.1993287222899107E-3</v>
      </c>
      <c r="L85" t="s">
        <v>165</v>
      </c>
      <c r="N85" t="s">
        <v>203</v>
      </c>
      <c r="O85" t="s">
        <v>299</v>
      </c>
      <c r="P85">
        <v>2.8825839909546718E-2</v>
      </c>
      <c r="Q85" t="s">
        <v>165</v>
      </c>
      <c r="S85" t="s">
        <v>222</v>
      </c>
      <c r="T85" t="s">
        <v>299</v>
      </c>
      <c r="U85">
        <v>2.3961951056395942E-2</v>
      </c>
      <c r="V85" t="s">
        <v>165</v>
      </c>
      <c r="AK85">
        <v>2040</v>
      </c>
      <c r="AL85" t="s">
        <v>294</v>
      </c>
      <c r="AM85">
        <v>0.30069999999999997</v>
      </c>
      <c r="AN85" t="s">
        <v>244</v>
      </c>
    </row>
    <row r="86" spans="9:40" x14ac:dyDescent="0.45">
      <c r="I86" t="s">
        <v>179</v>
      </c>
      <c r="J86" t="s">
        <v>300</v>
      </c>
      <c r="K86">
        <v>0.24887425669020188</v>
      </c>
      <c r="L86" t="s">
        <v>165</v>
      </c>
      <c r="N86" t="s">
        <v>203</v>
      </c>
      <c r="O86" t="s">
        <v>300</v>
      </c>
      <c r="P86">
        <v>0.16196028898034667</v>
      </c>
      <c r="Q86" t="s">
        <v>165</v>
      </c>
      <c r="S86" t="s">
        <v>222</v>
      </c>
      <c r="T86" t="s">
        <v>300</v>
      </c>
      <c r="U86">
        <v>0.14745472227690576</v>
      </c>
      <c r="V86" t="s">
        <v>165</v>
      </c>
      <c r="AK86">
        <v>2040</v>
      </c>
      <c r="AL86" t="s">
        <v>296</v>
      </c>
      <c r="AM86">
        <v>0.17633333333333331</v>
      </c>
      <c r="AN86" t="s">
        <v>244</v>
      </c>
    </row>
    <row r="87" spans="9:40" x14ac:dyDescent="0.45">
      <c r="I87" t="s">
        <v>179</v>
      </c>
      <c r="J87" t="s">
        <v>301</v>
      </c>
      <c r="K87">
        <v>3.2937057873938511E-3</v>
      </c>
      <c r="L87" t="s">
        <v>165</v>
      </c>
      <c r="N87" t="s">
        <v>203</v>
      </c>
      <c r="O87" t="s">
        <v>301</v>
      </c>
      <c r="P87">
        <v>0.10864484471828195</v>
      </c>
      <c r="Q87" t="s">
        <v>165</v>
      </c>
      <c r="S87" t="s">
        <v>222</v>
      </c>
      <c r="T87" t="s">
        <v>301</v>
      </c>
      <c r="U87">
        <v>0.15318502282827465</v>
      </c>
      <c r="V87" t="s">
        <v>165</v>
      </c>
      <c r="AK87">
        <v>2041</v>
      </c>
      <c r="AL87" t="s">
        <v>291</v>
      </c>
      <c r="AM87">
        <v>0.2039</v>
      </c>
      <c r="AN87" t="s">
        <v>244</v>
      </c>
    </row>
    <row r="88" spans="9:40" x14ac:dyDescent="0.45">
      <c r="I88" t="s">
        <v>179</v>
      </c>
      <c r="J88" t="s">
        <v>302</v>
      </c>
      <c r="K88">
        <v>1.9593469614529967E-2</v>
      </c>
      <c r="L88" t="s">
        <v>165</v>
      </c>
      <c r="N88" t="s">
        <v>203</v>
      </c>
      <c r="O88" t="s">
        <v>302</v>
      </c>
      <c r="P88">
        <v>2.7334025446244789E-2</v>
      </c>
      <c r="Q88" t="s">
        <v>165</v>
      </c>
      <c r="S88" t="s">
        <v>222</v>
      </c>
      <c r="T88" t="s">
        <v>302</v>
      </c>
      <c r="U88">
        <v>2.9049710653147518E-2</v>
      </c>
      <c r="V88" t="s">
        <v>165</v>
      </c>
      <c r="AK88">
        <v>2041</v>
      </c>
      <c r="AL88" t="s">
        <v>293</v>
      </c>
      <c r="AM88">
        <v>0.22096666666666667</v>
      </c>
      <c r="AN88" t="s">
        <v>244</v>
      </c>
    </row>
    <row r="89" spans="9:40" x14ac:dyDescent="0.45">
      <c r="I89" t="s">
        <v>179</v>
      </c>
      <c r="J89" t="s">
        <v>303</v>
      </c>
      <c r="K89">
        <v>0.34741509556818817</v>
      </c>
      <c r="L89" t="s">
        <v>165</v>
      </c>
      <c r="N89" t="s">
        <v>203</v>
      </c>
      <c r="O89" t="s">
        <v>303</v>
      </c>
      <c r="P89">
        <v>5.2255794876999349E-2</v>
      </c>
      <c r="Q89" t="s">
        <v>165</v>
      </c>
      <c r="S89" t="s">
        <v>222</v>
      </c>
      <c r="T89" t="s">
        <v>303</v>
      </c>
      <c r="U89">
        <v>4.5803279318070357E-2</v>
      </c>
      <c r="V89" t="s">
        <v>165</v>
      </c>
      <c r="AK89">
        <v>2041</v>
      </c>
      <c r="AL89" t="s">
        <v>294</v>
      </c>
      <c r="AM89">
        <v>0.29353333333333337</v>
      </c>
      <c r="AN89" t="s">
        <v>244</v>
      </c>
    </row>
    <row r="90" spans="9:40" x14ac:dyDescent="0.45">
      <c r="I90" t="s">
        <v>179</v>
      </c>
      <c r="J90" t="s">
        <v>304</v>
      </c>
      <c r="K90">
        <v>1.2382139380387855E-2</v>
      </c>
      <c r="L90" t="s">
        <v>165</v>
      </c>
      <c r="N90" t="s">
        <v>203</v>
      </c>
      <c r="O90" t="s">
        <v>304</v>
      </c>
      <c r="P90">
        <v>4.0450008718176035E-2</v>
      </c>
      <c r="Q90" t="s">
        <v>165</v>
      </c>
      <c r="S90" t="s">
        <v>222</v>
      </c>
      <c r="T90" t="s">
        <v>304</v>
      </c>
      <c r="U90">
        <v>5.6628416191982299E-2</v>
      </c>
      <c r="V90" t="s">
        <v>165</v>
      </c>
      <c r="AK90">
        <v>2041</v>
      </c>
      <c r="AL90" t="s">
        <v>296</v>
      </c>
      <c r="AM90">
        <v>0.18363333333333332</v>
      </c>
      <c r="AN90" t="s">
        <v>244</v>
      </c>
    </row>
    <row r="91" spans="9:40" x14ac:dyDescent="0.45">
      <c r="I91" t="s">
        <v>179</v>
      </c>
      <c r="J91" t="s">
        <v>305</v>
      </c>
      <c r="K91">
        <v>3.4104171704599472E-2</v>
      </c>
      <c r="L91" t="s">
        <v>165</v>
      </c>
      <c r="N91" t="s">
        <v>203</v>
      </c>
      <c r="O91" t="s">
        <v>305</v>
      </c>
      <c r="P91">
        <v>1.2168812605643871E-2</v>
      </c>
      <c r="Q91" t="s">
        <v>165</v>
      </c>
      <c r="S91" t="s">
        <v>222</v>
      </c>
      <c r="T91" t="s">
        <v>305</v>
      </c>
      <c r="U91">
        <v>9.8724576960324741E-3</v>
      </c>
      <c r="V91" t="s">
        <v>165</v>
      </c>
      <c r="AK91">
        <v>2042</v>
      </c>
      <c r="AL91" t="s">
        <v>291</v>
      </c>
      <c r="AM91">
        <v>0.20793333333333333</v>
      </c>
      <c r="AN91" t="s">
        <v>244</v>
      </c>
    </row>
    <row r="92" spans="9:40" x14ac:dyDescent="0.45">
      <c r="I92" t="s">
        <v>179</v>
      </c>
      <c r="J92" t="s">
        <v>306</v>
      </c>
      <c r="K92">
        <v>0.1445197441960468</v>
      </c>
      <c r="L92" t="s">
        <v>165</v>
      </c>
      <c r="N92" t="s">
        <v>203</v>
      </c>
      <c r="O92" t="s">
        <v>306</v>
      </c>
      <c r="P92">
        <v>0.14922431666845562</v>
      </c>
      <c r="Q92" t="s">
        <v>165</v>
      </c>
      <c r="S92" t="s">
        <v>222</v>
      </c>
      <c r="T92" t="s">
        <v>306</v>
      </c>
      <c r="U92">
        <v>0.12713292647406849</v>
      </c>
      <c r="V92" t="s">
        <v>165</v>
      </c>
      <c r="AK92">
        <v>2042</v>
      </c>
      <c r="AL92" t="s">
        <v>293</v>
      </c>
      <c r="AM92">
        <v>0.23263333333333333</v>
      </c>
      <c r="AN92" t="s">
        <v>244</v>
      </c>
    </row>
    <row r="93" spans="9:40" x14ac:dyDescent="0.45">
      <c r="I93" t="s">
        <v>179</v>
      </c>
      <c r="J93" t="s">
        <v>307</v>
      </c>
      <c r="K93">
        <v>0</v>
      </c>
      <c r="L93" t="s">
        <v>165</v>
      </c>
      <c r="N93" t="s">
        <v>203</v>
      </c>
      <c r="O93" t="s">
        <v>307</v>
      </c>
      <c r="P93">
        <v>0.13430932109946042</v>
      </c>
      <c r="Q93" t="s">
        <v>165</v>
      </c>
      <c r="S93" t="s">
        <v>222</v>
      </c>
      <c r="T93" t="s">
        <v>307</v>
      </c>
      <c r="U93">
        <v>0.13144274717860016</v>
      </c>
      <c r="V93" t="s">
        <v>165</v>
      </c>
      <c r="AK93">
        <v>2042</v>
      </c>
      <c r="AL93" t="s">
        <v>294</v>
      </c>
      <c r="AM93">
        <v>0.32769999999999999</v>
      </c>
      <c r="AN93" t="s">
        <v>244</v>
      </c>
    </row>
    <row r="94" spans="9:40" x14ac:dyDescent="0.45">
      <c r="I94" t="s">
        <v>179</v>
      </c>
      <c r="J94" t="s">
        <v>308</v>
      </c>
      <c r="K94">
        <v>1.8905838852896781E-3</v>
      </c>
      <c r="L94" t="s">
        <v>165</v>
      </c>
      <c r="N94" t="s">
        <v>203</v>
      </c>
      <c r="O94" t="s">
        <v>308</v>
      </c>
      <c r="P94">
        <v>2.5396119165764904E-2</v>
      </c>
      <c r="Q94" t="s">
        <v>165</v>
      </c>
      <c r="S94" t="s">
        <v>222</v>
      </c>
      <c r="T94" t="s">
        <v>308</v>
      </c>
      <c r="U94">
        <v>2.306216618908042E-2</v>
      </c>
      <c r="V94" t="s">
        <v>165</v>
      </c>
      <c r="AK94">
        <v>2042</v>
      </c>
      <c r="AL94" t="s">
        <v>296</v>
      </c>
      <c r="AM94">
        <v>0.17703333333333335</v>
      </c>
      <c r="AN94" t="s">
        <v>244</v>
      </c>
    </row>
    <row r="95" spans="9:40" x14ac:dyDescent="0.45">
      <c r="I95" t="s">
        <v>180</v>
      </c>
      <c r="J95" t="s">
        <v>297</v>
      </c>
      <c r="K95">
        <v>0.19227457209189136</v>
      </c>
      <c r="L95" t="s">
        <v>165</v>
      </c>
      <c r="N95" t="s">
        <v>204</v>
      </c>
      <c r="O95" t="s">
        <v>297</v>
      </c>
      <c r="P95">
        <v>0.10256723033046147</v>
      </c>
      <c r="Q95" t="s">
        <v>165</v>
      </c>
      <c r="S95" t="s">
        <v>223</v>
      </c>
      <c r="T95" t="s">
        <v>297</v>
      </c>
      <c r="U95">
        <v>0.11953770804997355</v>
      </c>
      <c r="V95" t="s">
        <v>165</v>
      </c>
      <c r="AK95">
        <v>2043</v>
      </c>
      <c r="AL95" t="s">
        <v>291</v>
      </c>
      <c r="AM95">
        <v>0.20673333333333335</v>
      </c>
      <c r="AN95" t="s">
        <v>244</v>
      </c>
    </row>
    <row r="96" spans="9:40" x14ac:dyDescent="0.45">
      <c r="I96" t="s">
        <v>180</v>
      </c>
      <c r="J96" t="s">
        <v>298</v>
      </c>
      <c r="K96">
        <v>0</v>
      </c>
      <c r="L96" t="s">
        <v>165</v>
      </c>
      <c r="N96" t="s">
        <v>204</v>
      </c>
      <c r="O96" t="s">
        <v>298</v>
      </c>
      <c r="P96">
        <v>9.7598332638898375E-2</v>
      </c>
      <c r="Q96" t="s">
        <v>165</v>
      </c>
      <c r="S96" t="s">
        <v>223</v>
      </c>
      <c r="T96" t="s">
        <v>298</v>
      </c>
      <c r="U96">
        <v>0.12593992124372921</v>
      </c>
      <c r="V96" t="s">
        <v>165</v>
      </c>
      <c r="AK96">
        <v>2043</v>
      </c>
      <c r="AL96" t="s">
        <v>293</v>
      </c>
      <c r="AM96">
        <v>0.22589999999999999</v>
      </c>
      <c r="AN96" t="s">
        <v>244</v>
      </c>
    </row>
    <row r="97" spans="9:40" x14ac:dyDescent="0.45">
      <c r="I97" t="s">
        <v>180</v>
      </c>
      <c r="J97" t="s">
        <v>299</v>
      </c>
      <c r="K97">
        <v>6.3068403131019595E-3</v>
      </c>
      <c r="L97" t="s">
        <v>165</v>
      </c>
      <c r="N97" t="s">
        <v>204</v>
      </c>
      <c r="O97" t="s">
        <v>299</v>
      </c>
      <c r="P97">
        <v>2.139804177527577E-2</v>
      </c>
      <c r="Q97" t="s">
        <v>165</v>
      </c>
      <c r="S97" t="s">
        <v>223</v>
      </c>
      <c r="T97" t="s">
        <v>299</v>
      </c>
      <c r="U97">
        <v>2.3332690751967759E-2</v>
      </c>
      <c r="V97" t="s">
        <v>165</v>
      </c>
      <c r="AK97">
        <v>2043</v>
      </c>
      <c r="AL97" t="s">
        <v>294</v>
      </c>
      <c r="AM97">
        <v>0.30316666666666664</v>
      </c>
      <c r="AN97" t="s">
        <v>244</v>
      </c>
    </row>
    <row r="98" spans="9:40" x14ac:dyDescent="0.45">
      <c r="I98" t="s">
        <v>180</v>
      </c>
      <c r="J98" t="s">
        <v>300</v>
      </c>
      <c r="K98">
        <v>0.26104438751057302</v>
      </c>
      <c r="L98" t="s">
        <v>165</v>
      </c>
      <c r="N98" t="s">
        <v>204</v>
      </c>
      <c r="O98" t="s">
        <v>300</v>
      </c>
      <c r="P98">
        <v>0.1381219552323055</v>
      </c>
      <c r="Q98" t="s">
        <v>165</v>
      </c>
      <c r="S98" t="s">
        <v>223</v>
      </c>
      <c r="T98" t="s">
        <v>300</v>
      </c>
      <c r="U98">
        <v>0.15608595826033636</v>
      </c>
      <c r="V98" t="s">
        <v>165</v>
      </c>
      <c r="AK98">
        <v>2043</v>
      </c>
      <c r="AL98" t="s">
        <v>296</v>
      </c>
      <c r="AM98">
        <v>0.1812</v>
      </c>
      <c r="AN98" t="s">
        <v>244</v>
      </c>
    </row>
    <row r="99" spans="9:40" x14ac:dyDescent="0.45">
      <c r="I99" t="s">
        <v>180</v>
      </c>
      <c r="J99" t="s">
        <v>301</v>
      </c>
      <c r="K99">
        <v>2.7166646444448531E-3</v>
      </c>
      <c r="L99" t="s">
        <v>165</v>
      </c>
      <c r="N99" t="s">
        <v>204</v>
      </c>
      <c r="O99" t="s">
        <v>301</v>
      </c>
      <c r="P99">
        <v>0.12349356666091582</v>
      </c>
      <c r="Q99" t="s">
        <v>165</v>
      </c>
      <c r="S99" t="s">
        <v>223</v>
      </c>
      <c r="T99" t="s">
        <v>301</v>
      </c>
      <c r="U99">
        <v>0.15329212030709508</v>
      </c>
      <c r="V99" t="s">
        <v>165</v>
      </c>
      <c r="AK99">
        <v>2044</v>
      </c>
      <c r="AL99" t="s">
        <v>291</v>
      </c>
      <c r="AM99">
        <v>0.21386666666666665</v>
      </c>
      <c r="AN99" t="s">
        <v>244</v>
      </c>
    </row>
    <row r="100" spans="9:40" x14ac:dyDescent="0.45">
      <c r="I100" t="s">
        <v>180</v>
      </c>
      <c r="J100" t="s">
        <v>302</v>
      </c>
      <c r="K100">
        <v>2.2343564568333408E-2</v>
      </c>
      <c r="L100" t="s">
        <v>165</v>
      </c>
      <c r="N100" t="s">
        <v>204</v>
      </c>
      <c r="O100" t="s">
        <v>302</v>
      </c>
      <c r="P100">
        <v>3.0635903220240106E-2</v>
      </c>
      <c r="Q100" t="s">
        <v>165</v>
      </c>
      <c r="S100" t="s">
        <v>223</v>
      </c>
      <c r="T100" t="s">
        <v>302</v>
      </c>
      <c r="U100">
        <v>3.0681710942904034E-2</v>
      </c>
      <c r="V100" t="s">
        <v>165</v>
      </c>
      <c r="AK100">
        <v>2044</v>
      </c>
      <c r="AL100" t="s">
        <v>293</v>
      </c>
      <c r="AM100">
        <v>0.22770000000000001</v>
      </c>
      <c r="AN100" t="s">
        <v>244</v>
      </c>
    </row>
    <row r="101" spans="9:40" x14ac:dyDescent="0.45">
      <c r="I101" t="s">
        <v>180</v>
      </c>
      <c r="J101" t="s">
        <v>303</v>
      </c>
      <c r="K101">
        <v>0.32097135792536408</v>
      </c>
      <c r="L101" t="s">
        <v>165</v>
      </c>
      <c r="N101" t="s">
        <v>204</v>
      </c>
      <c r="O101" t="s">
        <v>303</v>
      </c>
      <c r="P101">
        <v>7.5826807347844485E-2</v>
      </c>
      <c r="Q101" t="s">
        <v>165</v>
      </c>
      <c r="S101" t="s">
        <v>223</v>
      </c>
      <c r="T101" t="s">
        <v>303</v>
      </c>
      <c r="U101">
        <v>4.0237448256541665E-2</v>
      </c>
      <c r="V101" t="s">
        <v>165</v>
      </c>
      <c r="AK101">
        <v>2044</v>
      </c>
      <c r="AL101" t="s">
        <v>294</v>
      </c>
      <c r="AM101">
        <v>0.31549999999999995</v>
      </c>
      <c r="AN101" t="s">
        <v>244</v>
      </c>
    </row>
    <row r="102" spans="9:40" x14ac:dyDescent="0.45">
      <c r="I102" t="s">
        <v>180</v>
      </c>
      <c r="J102" t="s">
        <v>304</v>
      </c>
      <c r="K102">
        <v>1.0046592863154119E-2</v>
      </c>
      <c r="L102" t="s">
        <v>165</v>
      </c>
      <c r="N102" t="s">
        <v>204</v>
      </c>
      <c r="O102" t="s">
        <v>304</v>
      </c>
      <c r="P102">
        <v>8.0463004985795936E-2</v>
      </c>
      <c r="Q102" t="s">
        <v>165</v>
      </c>
      <c r="S102" t="s">
        <v>223</v>
      </c>
      <c r="T102" t="s">
        <v>304</v>
      </c>
      <c r="U102">
        <v>5.1049874742507363E-2</v>
      </c>
      <c r="V102" t="s">
        <v>165</v>
      </c>
      <c r="AK102">
        <v>2044</v>
      </c>
      <c r="AL102" t="s">
        <v>296</v>
      </c>
      <c r="AM102">
        <v>0.18753333333333333</v>
      </c>
      <c r="AN102" t="s">
        <v>244</v>
      </c>
    </row>
    <row r="103" spans="9:40" x14ac:dyDescent="0.45">
      <c r="I103" t="s">
        <v>180</v>
      </c>
      <c r="J103" t="s">
        <v>305</v>
      </c>
      <c r="K103">
        <v>3.3671987621726455E-2</v>
      </c>
      <c r="L103" t="s">
        <v>165</v>
      </c>
      <c r="N103" t="s">
        <v>204</v>
      </c>
      <c r="O103" t="s">
        <v>305</v>
      </c>
      <c r="P103">
        <v>1.3345766968756528E-2</v>
      </c>
      <c r="Q103" t="s">
        <v>165</v>
      </c>
      <c r="S103" t="s">
        <v>223</v>
      </c>
      <c r="T103" t="s">
        <v>305</v>
      </c>
      <c r="U103">
        <v>1.1771737868744582E-2</v>
      </c>
      <c r="V103" t="s">
        <v>165</v>
      </c>
      <c r="AK103">
        <v>2045</v>
      </c>
      <c r="AL103" t="s">
        <v>291</v>
      </c>
      <c r="AM103">
        <v>0.2059</v>
      </c>
      <c r="AN103" t="s">
        <v>244</v>
      </c>
    </row>
    <row r="104" spans="9:40" x14ac:dyDescent="0.45">
      <c r="I104" t="s">
        <v>180</v>
      </c>
      <c r="J104" t="s">
        <v>306</v>
      </c>
      <c r="K104">
        <v>0.14814347993363577</v>
      </c>
      <c r="L104" t="s">
        <v>165</v>
      </c>
      <c r="N104" t="s">
        <v>204</v>
      </c>
      <c r="O104" t="s">
        <v>306</v>
      </c>
      <c r="P104">
        <v>0.14865951523621934</v>
      </c>
      <c r="Q104" t="s">
        <v>165</v>
      </c>
      <c r="S104" t="s">
        <v>223</v>
      </c>
      <c r="T104" t="s">
        <v>306</v>
      </c>
      <c r="U104">
        <v>0.12850262998356826</v>
      </c>
      <c r="V104" t="s">
        <v>165</v>
      </c>
      <c r="AK104">
        <v>2045</v>
      </c>
      <c r="AL104" t="s">
        <v>293</v>
      </c>
      <c r="AM104">
        <v>0.23340000000000002</v>
      </c>
      <c r="AN104" t="s">
        <v>244</v>
      </c>
    </row>
    <row r="105" spans="9:40" x14ac:dyDescent="0.45">
      <c r="I105" t="s">
        <v>180</v>
      </c>
      <c r="J105" t="s">
        <v>307</v>
      </c>
      <c r="K105">
        <v>0</v>
      </c>
      <c r="L105" t="s">
        <v>165</v>
      </c>
      <c r="N105" t="s">
        <v>204</v>
      </c>
      <c r="O105" t="s">
        <v>307</v>
      </c>
      <c r="P105">
        <v>0.14093317277055176</v>
      </c>
      <c r="Q105" t="s">
        <v>165</v>
      </c>
      <c r="S105" t="s">
        <v>223</v>
      </c>
      <c r="T105" t="s">
        <v>307</v>
      </c>
      <c r="U105">
        <v>0.13505484465499135</v>
      </c>
      <c r="V105" t="s">
        <v>165</v>
      </c>
      <c r="AK105">
        <v>2045</v>
      </c>
      <c r="AL105" t="s">
        <v>294</v>
      </c>
      <c r="AM105">
        <v>0.31616666666666665</v>
      </c>
      <c r="AN105" t="s">
        <v>244</v>
      </c>
    </row>
    <row r="106" spans="9:40" x14ac:dyDescent="0.45">
      <c r="I106" t="s">
        <v>180</v>
      </c>
      <c r="J106" t="s">
        <v>308</v>
      </c>
      <c r="K106">
        <v>2.4805525277758339E-3</v>
      </c>
      <c r="L106" t="s">
        <v>165</v>
      </c>
      <c r="N106" t="s">
        <v>204</v>
      </c>
      <c r="O106" t="s">
        <v>308</v>
      </c>
      <c r="P106">
        <v>2.6956702832735286E-2</v>
      </c>
      <c r="Q106" t="s">
        <v>165</v>
      </c>
      <c r="S106" t="s">
        <v>223</v>
      </c>
      <c r="T106" t="s">
        <v>308</v>
      </c>
      <c r="U106">
        <v>2.451335493764269E-2</v>
      </c>
      <c r="V106" t="s">
        <v>165</v>
      </c>
      <c r="AK106">
        <v>2045</v>
      </c>
      <c r="AL106" t="s">
        <v>296</v>
      </c>
      <c r="AM106">
        <v>0.18029999999999999</v>
      </c>
      <c r="AN106" t="s">
        <v>244</v>
      </c>
    </row>
    <row r="107" spans="9:40" x14ac:dyDescent="0.45">
      <c r="I107" t="s">
        <v>181</v>
      </c>
      <c r="J107" t="s">
        <v>297</v>
      </c>
      <c r="K107">
        <v>0.18578062692988223</v>
      </c>
      <c r="L107" t="s">
        <v>165</v>
      </c>
      <c r="N107" t="s">
        <v>205</v>
      </c>
      <c r="O107" t="s">
        <v>297</v>
      </c>
      <c r="P107">
        <v>0.12139471091502035</v>
      </c>
      <c r="Q107" t="s">
        <v>165</v>
      </c>
      <c r="S107" t="s">
        <v>224</v>
      </c>
      <c r="T107" t="s">
        <v>297</v>
      </c>
      <c r="U107">
        <v>0.12983409859486983</v>
      </c>
      <c r="V107" t="s">
        <v>165</v>
      </c>
      <c r="AK107">
        <v>2046</v>
      </c>
      <c r="AL107" t="s">
        <v>291</v>
      </c>
      <c r="AM107">
        <v>0.20000000000000004</v>
      </c>
      <c r="AN107" t="s">
        <v>244</v>
      </c>
    </row>
    <row r="108" spans="9:40" x14ac:dyDescent="0.45">
      <c r="I108" t="s">
        <v>181</v>
      </c>
      <c r="J108" t="s">
        <v>298</v>
      </c>
      <c r="K108">
        <v>0</v>
      </c>
      <c r="L108" t="s">
        <v>165</v>
      </c>
      <c r="N108" t="s">
        <v>205</v>
      </c>
      <c r="O108" t="s">
        <v>298</v>
      </c>
      <c r="P108">
        <v>0.13660646848930857</v>
      </c>
      <c r="Q108" t="s">
        <v>165</v>
      </c>
      <c r="S108" t="s">
        <v>224</v>
      </c>
      <c r="T108" t="s">
        <v>298</v>
      </c>
      <c r="U108">
        <v>0.13370043360817438</v>
      </c>
      <c r="V108" t="s">
        <v>165</v>
      </c>
      <c r="AK108">
        <v>2046</v>
      </c>
      <c r="AL108" t="s">
        <v>293</v>
      </c>
      <c r="AM108">
        <v>0.22303333333333333</v>
      </c>
      <c r="AN108" t="s">
        <v>244</v>
      </c>
    </row>
    <row r="109" spans="9:40" x14ac:dyDescent="0.45">
      <c r="I109" t="s">
        <v>181</v>
      </c>
      <c r="J109" t="s">
        <v>299</v>
      </c>
      <c r="K109">
        <v>6.1195355644251851E-3</v>
      </c>
      <c r="L109" t="s">
        <v>165</v>
      </c>
      <c r="N109" t="s">
        <v>205</v>
      </c>
      <c r="O109" t="s">
        <v>299</v>
      </c>
      <c r="P109">
        <v>2.4443063002567145E-2</v>
      </c>
      <c r="Q109" t="s">
        <v>165</v>
      </c>
      <c r="S109" t="s">
        <v>224</v>
      </c>
      <c r="T109" t="s">
        <v>299</v>
      </c>
      <c r="U109">
        <v>2.5763564867417328E-2</v>
      </c>
      <c r="V109" t="s">
        <v>165</v>
      </c>
      <c r="AK109">
        <v>2046</v>
      </c>
      <c r="AL109" t="s">
        <v>294</v>
      </c>
      <c r="AM109">
        <v>0.28106666666666663</v>
      </c>
      <c r="AN109" t="s">
        <v>244</v>
      </c>
    </row>
    <row r="110" spans="9:40" x14ac:dyDescent="0.45">
      <c r="I110" t="s">
        <v>181</v>
      </c>
      <c r="J110" t="s">
        <v>300</v>
      </c>
      <c r="K110">
        <v>0.25168674068216457</v>
      </c>
      <c r="L110" t="s">
        <v>165</v>
      </c>
      <c r="N110" t="s">
        <v>205</v>
      </c>
      <c r="O110" t="s">
        <v>300</v>
      </c>
      <c r="P110">
        <v>0.13229635448439309</v>
      </c>
      <c r="Q110" t="s">
        <v>165</v>
      </c>
      <c r="S110" t="s">
        <v>224</v>
      </c>
      <c r="T110" t="s">
        <v>300</v>
      </c>
      <c r="U110">
        <v>0.15063663770069569</v>
      </c>
      <c r="V110" t="s">
        <v>165</v>
      </c>
      <c r="AK110">
        <v>2046</v>
      </c>
      <c r="AL110" t="s">
        <v>296</v>
      </c>
      <c r="AM110">
        <v>0.18456666666666666</v>
      </c>
      <c r="AN110" t="s">
        <v>244</v>
      </c>
    </row>
    <row r="111" spans="9:40" x14ac:dyDescent="0.45">
      <c r="I111" t="s">
        <v>181</v>
      </c>
      <c r="J111" t="s">
        <v>301</v>
      </c>
      <c r="K111">
        <v>2.7124311920498734E-3</v>
      </c>
      <c r="L111" t="s">
        <v>165</v>
      </c>
      <c r="N111" t="s">
        <v>205</v>
      </c>
      <c r="O111" t="s">
        <v>301</v>
      </c>
      <c r="P111">
        <v>0.15455928172642552</v>
      </c>
      <c r="Q111" t="s">
        <v>165</v>
      </c>
      <c r="S111" t="s">
        <v>224</v>
      </c>
      <c r="T111" t="s">
        <v>301</v>
      </c>
      <c r="U111">
        <v>0.13806121977614003</v>
      </c>
      <c r="V111" t="s">
        <v>165</v>
      </c>
      <c r="AK111">
        <v>2047</v>
      </c>
      <c r="AL111" t="s">
        <v>291</v>
      </c>
      <c r="AM111">
        <v>0.21663333333333334</v>
      </c>
      <c r="AN111" t="s">
        <v>244</v>
      </c>
    </row>
    <row r="112" spans="9:40" x14ac:dyDescent="0.45">
      <c r="I112" t="s">
        <v>181</v>
      </c>
      <c r="J112" t="s">
        <v>302</v>
      </c>
      <c r="K112">
        <v>2.1388067301258574E-2</v>
      </c>
      <c r="L112" t="s">
        <v>165</v>
      </c>
      <c r="N112" t="s">
        <v>205</v>
      </c>
      <c r="O112" t="s">
        <v>302</v>
      </c>
      <c r="P112">
        <v>2.8708594990636216E-2</v>
      </c>
      <c r="Q112" t="s">
        <v>165</v>
      </c>
      <c r="S112" t="s">
        <v>224</v>
      </c>
      <c r="T112" t="s">
        <v>302</v>
      </c>
      <c r="U112">
        <v>2.8443444619708873E-2</v>
      </c>
      <c r="V112" t="s">
        <v>165</v>
      </c>
      <c r="AK112">
        <v>2047</v>
      </c>
      <c r="AL112" t="s">
        <v>293</v>
      </c>
      <c r="AM112">
        <v>0.22326666666666664</v>
      </c>
      <c r="AN112" t="s">
        <v>244</v>
      </c>
    </row>
    <row r="113" spans="9:40" x14ac:dyDescent="0.45">
      <c r="I113" t="s">
        <v>181</v>
      </c>
      <c r="J113" t="s">
        <v>303</v>
      </c>
      <c r="K113">
        <v>0.34034067839626075</v>
      </c>
      <c r="L113" t="s">
        <v>165</v>
      </c>
      <c r="N113" t="s">
        <v>205</v>
      </c>
      <c r="O113" t="s">
        <v>303</v>
      </c>
      <c r="P113">
        <v>5.3346286082520553E-2</v>
      </c>
      <c r="Q113" t="s">
        <v>165</v>
      </c>
      <c r="S113" t="s">
        <v>224</v>
      </c>
      <c r="T113" t="s">
        <v>303</v>
      </c>
      <c r="U113">
        <v>4.3745721150196419E-2</v>
      </c>
      <c r="V113" t="s">
        <v>165</v>
      </c>
      <c r="AK113">
        <v>2047</v>
      </c>
      <c r="AL113" t="s">
        <v>294</v>
      </c>
      <c r="AM113">
        <v>0.31559999999999999</v>
      </c>
      <c r="AN113" t="s">
        <v>244</v>
      </c>
    </row>
    <row r="114" spans="9:40" x14ac:dyDescent="0.45">
      <c r="I114" t="s">
        <v>181</v>
      </c>
      <c r="J114" t="s">
        <v>304</v>
      </c>
      <c r="K114">
        <v>1.1069188602801119E-2</v>
      </c>
      <c r="L114" t="s">
        <v>165</v>
      </c>
      <c r="N114" t="s">
        <v>205</v>
      </c>
      <c r="O114" t="s">
        <v>304</v>
      </c>
      <c r="P114">
        <v>6.8795011357832087E-2</v>
      </c>
      <c r="Q114" t="s">
        <v>165</v>
      </c>
      <c r="S114" t="s">
        <v>224</v>
      </c>
      <c r="T114" t="s">
        <v>304</v>
      </c>
      <c r="U114">
        <v>5.2711681537934721E-2</v>
      </c>
      <c r="V114" t="s">
        <v>165</v>
      </c>
      <c r="AK114">
        <v>2047</v>
      </c>
      <c r="AL114" t="s">
        <v>296</v>
      </c>
      <c r="AM114">
        <v>0.18333333333333335</v>
      </c>
      <c r="AN114" t="s">
        <v>244</v>
      </c>
    </row>
    <row r="115" spans="9:40" x14ac:dyDescent="0.45">
      <c r="I115" t="s">
        <v>181</v>
      </c>
      <c r="J115" t="s">
        <v>305</v>
      </c>
      <c r="K115">
        <v>3.421449434503486E-2</v>
      </c>
      <c r="L115" t="s">
        <v>165</v>
      </c>
      <c r="N115" t="s">
        <v>205</v>
      </c>
      <c r="O115" t="s">
        <v>305</v>
      </c>
      <c r="P115">
        <v>9.4108042393744058E-3</v>
      </c>
      <c r="Q115" t="s">
        <v>165</v>
      </c>
      <c r="S115" t="s">
        <v>224</v>
      </c>
      <c r="T115" t="s">
        <v>305</v>
      </c>
      <c r="U115">
        <v>1.2297667108324731E-2</v>
      </c>
      <c r="V115" t="s">
        <v>165</v>
      </c>
      <c r="AK115">
        <v>2048</v>
      </c>
      <c r="AL115" t="s">
        <v>291</v>
      </c>
      <c r="AM115">
        <v>0.20303333333333337</v>
      </c>
      <c r="AN115" t="s">
        <v>244</v>
      </c>
    </row>
    <row r="116" spans="9:40" x14ac:dyDescent="0.45">
      <c r="I116" t="s">
        <v>181</v>
      </c>
      <c r="J116" t="s">
        <v>306</v>
      </c>
      <c r="K116">
        <v>0.14465961529061999</v>
      </c>
      <c r="L116" t="s">
        <v>165</v>
      </c>
      <c r="N116" t="s">
        <v>205</v>
      </c>
      <c r="O116" t="s">
        <v>306</v>
      </c>
      <c r="P116">
        <v>0.1246212924442604</v>
      </c>
      <c r="Q116" t="s">
        <v>165</v>
      </c>
      <c r="S116" t="s">
        <v>224</v>
      </c>
      <c r="T116" t="s">
        <v>306</v>
      </c>
      <c r="U116">
        <v>0.12721326127239177</v>
      </c>
      <c r="V116" t="s">
        <v>165</v>
      </c>
      <c r="AK116">
        <v>2048</v>
      </c>
      <c r="AL116" t="s">
        <v>293</v>
      </c>
      <c r="AM116">
        <v>0.21740000000000004</v>
      </c>
      <c r="AN116" t="s">
        <v>244</v>
      </c>
    </row>
    <row r="117" spans="9:40" x14ac:dyDescent="0.45">
      <c r="I117" t="s">
        <v>181</v>
      </c>
      <c r="J117" t="s">
        <v>307</v>
      </c>
      <c r="K117">
        <v>0</v>
      </c>
      <c r="L117" t="s">
        <v>165</v>
      </c>
      <c r="N117" t="s">
        <v>205</v>
      </c>
      <c r="O117" t="s">
        <v>307</v>
      </c>
      <c r="P117">
        <v>0.12493155788998775</v>
      </c>
      <c r="Q117" t="s">
        <v>165</v>
      </c>
      <c r="S117" t="s">
        <v>224</v>
      </c>
      <c r="T117" t="s">
        <v>307</v>
      </c>
      <c r="U117">
        <v>0.1334947412076713</v>
      </c>
      <c r="V117" t="s">
        <v>165</v>
      </c>
      <c r="AK117">
        <v>2048</v>
      </c>
      <c r="AL117" t="s">
        <v>294</v>
      </c>
      <c r="AM117">
        <v>0.30860000000000004</v>
      </c>
      <c r="AN117" t="s">
        <v>244</v>
      </c>
    </row>
    <row r="118" spans="9:40" x14ac:dyDescent="0.45">
      <c r="I118" t="s">
        <v>181</v>
      </c>
      <c r="J118" t="s">
        <v>308</v>
      </c>
      <c r="K118">
        <v>2.0286216955057684E-3</v>
      </c>
      <c r="L118" t="s">
        <v>165</v>
      </c>
      <c r="N118" t="s">
        <v>205</v>
      </c>
      <c r="O118" t="s">
        <v>308</v>
      </c>
      <c r="P118">
        <v>2.0886574377670341E-2</v>
      </c>
      <c r="Q118" t="s">
        <v>165</v>
      </c>
      <c r="S118" t="s">
        <v>224</v>
      </c>
      <c r="T118" t="s">
        <v>308</v>
      </c>
      <c r="U118">
        <v>2.4097528556472497E-2</v>
      </c>
      <c r="V118" t="s">
        <v>165</v>
      </c>
      <c r="AK118">
        <v>2048</v>
      </c>
      <c r="AL118" t="s">
        <v>296</v>
      </c>
      <c r="AM118">
        <v>0.18989999999999999</v>
      </c>
      <c r="AN118" t="s">
        <v>244</v>
      </c>
    </row>
    <row r="119" spans="9:40" x14ac:dyDescent="0.45">
      <c r="I119" t="s">
        <v>182</v>
      </c>
      <c r="J119" t="s">
        <v>297</v>
      </c>
      <c r="K119">
        <v>0.20364195384971687</v>
      </c>
      <c r="L119" t="s">
        <v>165</v>
      </c>
      <c r="N119" t="s">
        <v>206</v>
      </c>
      <c r="O119" t="s">
        <v>297</v>
      </c>
      <c r="P119">
        <v>9.9826156380003861E-2</v>
      </c>
      <c r="Q119" t="s">
        <v>165</v>
      </c>
      <c r="S119" t="s">
        <v>225</v>
      </c>
      <c r="T119" t="s">
        <v>297</v>
      </c>
      <c r="U119">
        <v>0.13919447226097234</v>
      </c>
      <c r="V119" t="s">
        <v>165</v>
      </c>
      <c r="AK119">
        <v>2049</v>
      </c>
      <c r="AL119" t="s">
        <v>291</v>
      </c>
      <c r="AM119">
        <v>0.2271</v>
      </c>
      <c r="AN119" t="s">
        <v>244</v>
      </c>
    </row>
    <row r="120" spans="9:40" x14ac:dyDescent="0.45">
      <c r="I120" t="s">
        <v>182</v>
      </c>
      <c r="J120" t="s">
        <v>298</v>
      </c>
      <c r="K120">
        <v>0</v>
      </c>
      <c r="L120" t="s">
        <v>165</v>
      </c>
      <c r="N120" t="s">
        <v>206</v>
      </c>
      <c r="O120" t="s">
        <v>298</v>
      </c>
      <c r="P120">
        <v>0.10015068786689396</v>
      </c>
      <c r="Q120" t="s">
        <v>165</v>
      </c>
      <c r="S120" t="s">
        <v>225</v>
      </c>
      <c r="T120" t="s">
        <v>298</v>
      </c>
      <c r="U120">
        <v>0.15356081540838387</v>
      </c>
      <c r="V120" t="s">
        <v>165</v>
      </c>
      <c r="AK120">
        <v>2049</v>
      </c>
      <c r="AL120" t="s">
        <v>293</v>
      </c>
      <c r="AM120">
        <v>0.22660000000000002</v>
      </c>
      <c r="AN120" t="s">
        <v>244</v>
      </c>
    </row>
    <row r="121" spans="9:40" x14ac:dyDescent="0.45">
      <c r="I121" t="s">
        <v>182</v>
      </c>
      <c r="J121" t="s">
        <v>299</v>
      </c>
      <c r="K121">
        <v>7.0774470529880234E-3</v>
      </c>
      <c r="L121" t="s">
        <v>165</v>
      </c>
      <c r="N121" t="s">
        <v>206</v>
      </c>
      <c r="O121" t="s">
        <v>299</v>
      </c>
      <c r="P121">
        <v>2.2224732387500983E-2</v>
      </c>
      <c r="Q121" t="s">
        <v>165</v>
      </c>
      <c r="S121" t="s">
        <v>225</v>
      </c>
      <c r="T121" t="s">
        <v>299</v>
      </c>
      <c r="U121">
        <v>2.8681370305750565E-2</v>
      </c>
      <c r="V121" t="s">
        <v>165</v>
      </c>
      <c r="AK121">
        <v>2049</v>
      </c>
      <c r="AL121" t="s">
        <v>294</v>
      </c>
      <c r="AM121">
        <v>0.30459999999999998</v>
      </c>
      <c r="AN121" t="s">
        <v>244</v>
      </c>
    </row>
    <row r="122" spans="9:40" x14ac:dyDescent="0.45">
      <c r="I122" t="s">
        <v>182</v>
      </c>
      <c r="J122" t="s">
        <v>300</v>
      </c>
      <c r="K122">
        <v>0.25652906227923122</v>
      </c>
      <c r="L122" t="s">
        <v>165</v>
      </c>
      <c r="N122" t="s">
        <v>206</v>
      </c>
      <c r="O122" t="s">
        <v>300</v>
      </c>
      <c r="P122">
        <v>0.13116032464227531</v>
      </c>
      <c r="Q122" t="s">
        <v>165</v>
      </c>
      <c r="S122" t="s">
        <v>225</v>
      </c>
      <c r="T122" t="s">
        <v>300</v>
      </c>
      <c r="U122">
        <v>0.15944965989197096</v>
      </c>
      <c r="V122" t="s">
        <v>165</v>
      </c>
      <c r="AK122">
        <v>2049</v>
      </c>
      <c r="AL122" t="s">
        <v>296</v>
      </c>
      <c r="AM122">
        <v>0.18500000000000003</v>
      </c>
      <c r="AN122" t="s">
        <v>244</v>
      </c>
    </row>
    <row r="123" spans="9:40" x14ac:dyDescent="0.45">
      <c r="I123" t="s">
        <v>182</v>
      </c>
      <c r="J123" t="s">
        <v>301</v>
      </c>
      <c r="K123">
        <v>1.9653678702994844E-3</v>
      </c>
      <c r="L123" t="s">
        <v>165</v>
      </c>
      <c r="N123" t="s">
        <v>206</v>
      </c>
      <c r="O123" t="s">
        <v>301</v>
      </c>
      <c r="P123">
        <v>0.13291578676483201</v>
      </c>
      <c r="Q123" t="s">
        <v>165</v>
      </c>
      <c r="S123" t="s">
        <v>225</v>
      </c>
      <c r="T123" t="s">
        <v>301</v>
      </c>
      <c r="U123">
        <v>0.15542921296096837</v>
      </c>
      <c r="V123" t="s">
        <v>165</v>
      </c>
      <c r="AK123">
        <v>2050</v>
      </c>
      <c r="AL123" t="s">
        <v>291</v>
      </c>
      <c r="AM123">
        <v>0.20783333333333334</v>
      </c>
      <c r="AN123" t="s">
        <v>244</v>
      </c>
    </row>
    <row r="124" spans="9:40" x14ac:dyDescent="0.45">
      <c r="I124" t="s">
        <v>182</v>
      </c>
      <c r="J124" t="s">
        <v>302</v>
      </c>
      <c r="K124">
        <v>2.3390671859836124E-2</v>
      </c>
      <c r="L124" t="s">
        <v>165</v>
      </c>
      <c r="N124" t="s">
        <v>206</v>
      </c>
      <c r="O124" t="s">
        <v>302</v>
      </c>
      <c r="P124">
        <v>2.9682894340285218E-2</v>
      </c>
      <c r="Q124" t="s">
        <v>165</v>
      </c>
      <c r="S124" t="s">
        <v>225</v>
      </c>
      <c r="T124" t="s">
        <v>302</v>
      </c>
      <c r="U124">
        <v>2.9445372767241598E-2</v>
      </c>
      <c r="V124" t="s">
        <v>165</v>
      </c>
      <c r="AK124">
        <v>2050</v>
      </c>
      <c r="AL124" t="s">
        <v>293</v>
      </c>
      <c r="AM124">
        <v>0.22013333333333338</v>
      </c>
      <c r="AN124" t="s">
        <v>244</v>
      </c>
    </row>
    <row r="125" spans="9:40" x14ac:dyDescent="0.45">
      <c r="I125" t="s">
        <v>182</v>
      </c>
      <c r="J125" t="s">
        <v>303</v>
      </c>
      <c r="K125">
        <v>0.31005345046252974</v>
      </c>
      <c r="L125" t="s">
        <v>165</v>
      </c>
      <c r="N125" t="s">
        <v>206</v>
      </c>
      <c r="O125" t="s">
        <v>303</v>
      </c>
      <c r="P125">
        <v>8.6635280653550806E-2</v>
      </c>
      <c r="Q125" t="s">
        <v>165</v>
      </c>
      <c r="S125" t="s">
        <v>225</v>
      </c>
      <c r="T125" t="s">
        <v>303</v>
      </c>
      <c r="U125">
        <v>3.9799451995350676E-2</v>
      </c>
      <c r="V125" t="s">
        <v>165</v>
      </c>
      <c r="AK125">
        <v>2050</v>
      </c>
      <c r="AL125" t="s">
        <v>294</v>
      </c>
      <c r="AM125">
        <v>0.30036666666666667</v>
      </c>
      <c r="AN125" t="s">
        <v>244</v>
      </c>
    </row>
    <row r="126" spans="9:40" x14ac:dyDescent="0.45">
      <c r="I126" t="s">
        <v>182</v>
      </c>
      <c r="J126" t="s">
        <v>304</v>
      </c>
      <c r="K126">
        <v>8.6124126085267965E-3</v>
      </c>
      <c r="L126" t="s">
        <v>165</v>
      </c>
      <c r="N126" t="s">
        <v>206</v>
      </c>
      <c r="O126" t="s">
        <v>304</v>
      </c>
      <c r="P126">
        <v>7.7887247598211001E-2</v>
      </c>
      <c r="Q126" t="s">
        <v>165</v>
      </c>
      <c r="S126" t="s">
        <v>225</v>
      </c>
      <c r="T126" t="s">
        <v>304</v>
      </c>
      <c r="U126">
        <v>4.5658927273794121E-2</v>
      </c>
      <c r="V126" t="s">
        <v>165</v>
      </c>
      <c r="AK126">
        <v>2050</v>
      </c>
      <c r="AL126" t="s">
        <v>296</v>
      </c>
      <c r="AM126">
        <v>0.17726666666666668</v>
      </c>
      <c r="AN126" t="s">
        <v>244</v>
      </c>
    </row>
    <row r="127" spans="9:40" x14ac:dyDescent="0.45">
      <c r="I127" t="s">
        <v>182</v>
      </c>
      <c r="J127" t="s">
        <v>305</v>
      </c>
      <c r="K127">
        <v>3.4092706990031606E-2</v>
      </c>
      <c r="L127" t="s">
        <v>165</v>
      </c>
      <c r="N127" t="s">
        <v>206</v>
      </c>
      <c r="O127" t="s">
        <v>305</v>
      </c>
      <c r="P127">
        <v>1.5645306821656813E-2</v>
      </c>
      <c r="Q127" t="s">
        <v>165</v>
      </c>
      <c r="S127" t="s">
        <v>225</v>
      </c>
      <c r="T127" t="s">
        <v>305</v>
      </c>
      <c r="U127">
        <v>9.7099315028396638E-3</v>
      </c>
      <c r="V127" t="s">
        <v>165</v>
      </c>
    </row>
    <row r="128" spans="9:40" x14ac:dyDescent="0.45">
      <c r="I128" t="s">
        <v>182</v>
      </c>
      <c r="J128" t="s">
        <v>306</v>
      </c>
      <c r="K128">
        <v>0.15183799229440378</v>
      </c>
      <c r="L128" t="s">
        <v>165</v>
      </c>
      <c r="N128" t="s">
        <v>206</v>
      </c>
      <c r="O128" t="s">
        <v>306</v>
      </c>
      <c r="P128">
        <v>0.1407642694341707</v>
      </c>
      <c r="Q128" t="s">
        <v>165</v>
      </c>
      <c r="S128" t="s">
        <v>225</v>
      </c>
      <c r="T128" t="s">
        <v>306</v>
      </c>
      <c r="U128">
        <v>0.10892461267062899</v>
      </c>
      <c r="V128" t="s">
        <v>165</v>
      </c>
    </row>
    <row r="129" spans="9:22" x14ac:dyDescent="0.45">
      <c r="I129" t="s">
        <v>182</v>
      </c>
      <c r="J129" t="s">
        <v>307</v>
      </c>
      <c r="K129">
        <v>0</v>
      </c>
      <c r="L129" t="s">
        <v>165</v>
      </c>
      <c r="N129" t="s">
        <v>206</v>
      </c>
      <c r="O129" t="s">
        <v>307</v>
      </c>
      <c r="P129">
        <v>0.13775186208125614</v>
      </c>
      <c r="Q129" t="s">
        <v>165</v>
      </c>
      <c r="S129" t="s">
        <v>225</v>
      </c>
      <c r="T129" t="s">
        <v>307</v>
      </c>
      <c r="U129">
        <v>0.10986994497576981</v>
      </c>
      <c r="V129" t="s">
        <v>165</v>
      </c>
    </row>
    <row r="130" spans="9:22" x14ac:dyDescent="0.45">
      <c r="I130" t="s">
        <v>182</v>
      </c>
      <c r="J130" t="s">
        <v>308</v>
      </c>
      <c r="K130">
        <v>2.7989347324351354E-3</v>
      </c>
      <c r="L130" t="s">
        <v>165</v>
      </c>
      <c r="N130" t="s">
        <v>206</v>
      </c>
      <c r="O130" t="s">
        <v>308</v>
      </c>
      <c r="P130">
        <v>2.5355451029361216E-2</v>
      </c>
      <c r="Q130" t="s">
        <v>165</v>
      </c>
      <c r="S130" t="s">
        <v>225</v>
      </c>
      <c r="T130" t="s">
        <v>308</v>
      </c>
      <c r="U130">
        <v>2.0276227986328707E-2</v>
      </c>
      <c r="V130" t="s">
        <v>165</v>
      </c>
    </row>
    <row r="131" spans="9:22" x14ac:dyDescent="0.45">
      <c r="I131" t="s">
        <v>183</v>
      </c>
      <c r="J131" t="s">
        <v>297</v>
      </c>
      <c r="K131">
        <v>0.20715823870500366</v>
      </c>
      <c r="L131" t="s">
        <v>165</v>
      </c>
      <c r="N131" t="s">
        <v>207</v>
      </c>
      <c r="O131" t="s">
        <v>297</v>
      </c>
      <c r="P131">
        <v>9.4356134930241656E-2</v>
      </c>
      <c r="Q131" t="s">
        <v>165</v>
      </c>
      <c r="S131" t="s">
        <v>226</v>
      </c>
      <c r="T131" t="s">
        <v>297</v>
      </c>
      <c r="U131">
        <v>0.14446642888242353</v>
      </c>
      <c r="V131" t="s">
        <v>165</v>
      </c>
    </row>
    <row r="132" spans="9:22" x14ac:dyDescent="0.45">
      <c r="I132" t="s">
        <v>183</v>
      </c>
      <c r="J132" t="s">
        <v>298</v>
      </c>
      <c r="K132">
        <v>0</v>
      </c>
      <c r="L132" t="s">
        <v>165</v>
      </c>
      <c r="N132" t="s">
        <v>207</v>
      </c>
      <c r="O132" t="s">
        <v>298</v>
      </c>
      <c r="P132">
        <v>9.7641818686695053E-2</v>
      </c>
      <c r="Q132" t="s">
        <v>165</v>
      </c>
      <c r="S132" t="s">
        <v>226</v>
      </c>
      <c r="T132" t="s">
        <v>298</v>
      </c>
      <c r="U132">
        <v>0.14933611112545728</v>
      </c>
      <c r="V132" t="s">
        <v>165</v>
      </c>
    </row>
    <row r="133" spans="9:22" x14ac:dyDescent="0.45">
      <c r="I133" t="s">
        <v>183</v>
      </c>
      <c r="J133" t="s">
        <v>299</v>
      </c>
      <c r="K133">
        <v>6.7368983371903033E-3</v>
      </c>
      <c r="L133" t="s">
        <v>165</v>
      </c>
      <c r="N133" t="s">
        <v>207</v>
      </c>
      <c r="O133" t="s">
        <v>299</v>
      </c>
      <c r="P133">
        <v>1.913581201470483E-2</v>
      </c>
      <c r="Q133" t="s">
        <v>165</v>
      </c>
      <c r="S133" t="s">
        <v>226</v>
      </c>
      <c r="T133" t="s">
        <v>299</v>
      </c>
      <c r="U133">
        <v>2.8745662642712586E-2</v>
      </c>
      <c r="V133" t="s">
        <v>165</v>
      </c>
    </row>
    <row r="134" spans="9:22" x14ac:dyDescent="0.45">
      <c r="I134" t="s">
        <v>183</v>
      </c>
      <c r="J134" t="s">
        <v>300</v>
      </c>
      <c r="K134">
        <v>0.26463768488701772</v>
      </c>
      <c r="L134" t="s">
        <v>165</v>
      </c>
      <c r="N134" t="s">
        <v>207</v>
      </c>
      <c r="O134" t="s">
        <v>300</v>
      </c>
      <c r="P134">
        <v>0.13433589938931373</v>
      </c>
      <c r="Q134" t="s">
        <v>165</v>
      </c>
      <c r="S134" t="s">
        <v>226</v>
      </c>
      <c r="T134" t="s">
        <v>300</v>
      </c>
      <c r="U134">
        <v>0.14166419583896364</v>
      </c>
      <c r="V134" t="s">
        <v>165</v>
      </c>
    </row>
    <row r="135" spans="9:22" x14ac:dyDescent="0.45">
      <c r="I135" t="s">
        <v>183</v>
      </c>
      <c r="J135" t="s">
        <v>301</v>
      </c>
      <c r="K135">
        <v>1.7371789839420613E-3</v>
      </c>
      <c r="L135" t="s">
        <v>165</v>
      </c>
      <c r="N135" t="s">
        <v>207</v>
      </c>
      <c r="O135" t="s">
        <v>301</v>
      </c>
      <c r="P135">
        <v>0.1424455676814616</v>
      </c>
      <c r="Q135" t="s">
        <v>165</v>
      </c>
      <c r="S135" t="s">
        <v>226</v>
      </c>
      <c r="T135" t="s">
        <v>301</v>
      </c>
      <c r="U135">
        <v>0.13708199946298227</v>
      </c>
      <c r="V135" t="s">
        <v>165</v>
      </c>
    </row>
    <row r="136" spans="9:22" x14ac:dyDescent="0.45">
      <c r="I136" t="s">
        <v>183</v>
      </c>
      <c r="J136" t="s">
        <v>302</v>
      </c>
      <c r="K136">
        <v>2.3949953017894918E-2</v>
      </c>
      <c r="L136" t="s">
        <v>165</v>
      </c>
      <c r="N136" t="s">
        <v>207</v>
      </c>
      <c r="O136" t="s">
        <v>302</v>
      </c>
      <c r="P136">
        <v>2.7096411621679396E-2</v>
      </c>
      <c r="Q136" t="s">
        <v>165</v>
      </c>
      <c r="S136" t="s">
        <v>226</v>
      </c>
      <c r="T136" t="s">
        <v>302</v>
      </c>
      <c r="U136">
        <v>2.6133110858742079E-2</v>
      </c>
      <c r="V136" t="s">
        <v>165</v>
      </c>
    </row>
    <row r="137" spans="9:22" x14ac:dyDescent="0.45">
      <c r="I137" t="s">
        <v>183</v>
      </c>
      <c r="J137" t="s">
        <v>303</v>
      </c>
      <c r="K137">
        <v>0.30125775822506917</v>
      </c>
      <c r="L137" t="s">
        <v>165</v>
      </c>
      <c r="N137" t="s">
        <v>207</v>
      </c>
      <c r="O137" t="s">
        <v>303</v>
      </c>
      <c r="P137">
        <v>8.7569630071446941E-2</v>
      </c>
      <c r="Q137" t="s">
        <v>165</v>
      </c>
      <c r="S137" t="s">
        <v>226</v>
      </c>
      <c r="T137" t="s">
        <v>303</v>
      </c>
      <c r="U137">
        <v>4.5048814323294939E-2</v>
      </c>
      <c r="V137" t="s">
        <v>165</v>
      </c>
    </row>
    <row r="138" spans="9:22" x14ac:dyDescent="0.45">
      <c r="I138" t="s">
        <v>183</v>
      </c>
      <c r="J138" t="s">
        <v>304</v>
      </c>
      <c r="K138">
        <v>7.4859843374625043E-3</v>
      </c>
      <c r="L138" t="s">
        <v>165</v>
      </c>
      <c r="N138" t="s">
        <v>207</v>
      </c>
      <c r="O138" t="s">
        <v>304</v>
      </c>
      <c r="P138">
        <v>9.1524764859927929E-2</v>
      </c>
      <c r="Q138" t="s">
        <v>165</v>
      </c>
      <c r="S138" t="s">
        <v>226</v>
      </c>
      <c r="T138" t="s">
        <v>304</v>
      </c>
      <c r="U138">
        <v>4.1891722641135914E-2</v>
      </c>
      <c r="V138" t="s">
        <v>165</v>
      </c>
    </row>
    <row r="139" spans="9:22" x14ac:dyDescent="0.45">
      <c r="I139" t="s">
        <v>183</v>
      </c>
      <c r="J139" t="s">
        <v>305</v>
      </c>
      <c r="K139">
        <v>3.29337659633505E-2</v>
      </c>
      <c r="L139" t="s">
        <v>165</v>
      </c>
      <c r="N139" t="s">
        <v>207</v>
      </c>
      <c r="O139" t="s">
        <v>305</v>
      </c>
      <c r="P139">
        <v>1.572579632541635E-2</v>
      </c>
      <c r="Q139" t="s">
        <v>165</v>
      </c>
      <c r="S139" t="s">
        <v>226</v>
      </c>
      <c r="T139" t="s">
        <v>305</v>
      </c>
      <c r="U139">
        <v>6.2603089887568976E-3</v>
      </c>
      <c r="V139" t="s">
        <v>165</v>
      </c>
    </row>
    <row r="140" spans="9:22" x14ac:dyDescent="0.45">
      <c r="I140" t="s">
        <v>183</v>
      </c>
      <c r="J140" t="s">
        <v>306</v>
      </c>
      <c r="K140">
        <v>0.15107268377030078</v>
      </c>
      <c r="L140" t="s">
        <v>165</v>
      </c>
      <c r="N140" t="s">
        <v>207</v>
      </c>
      <c r="O140" t="s">
        <v>306</v>
      </c>
      <c r="P140">
        <v>0.12874447677342829</v>
      </c>
      <c r="Q140" t="s">
        <v>165</v>
      </c>
      <c r="S140" t="s">
        <v>226</v>
      </c>
      <c r="T140" t="s">
        <v>306</v>
      </c>
      <c r="U140">
        <v>0.12844712418123092</v>
      </c>
      <c r="V140" t="s">
        <v>165</v>
      </c>
    </row>
    <row r="141" spans="9:22" x14ac:dyDescent="0.45">
      <c r="I141" t="s">
        <v>183</v>
      </c>
      <c r="J141" t="s">
        <v>307</v>
      </c>
      <c r="K141">
        <v>0</v>
      </c>
      <c r="L141" t="s">
        <v>165</v>
      </c>
      <c r="N141" t="s">
        <v>207</v>
      </c>
      <c r="O141" t="s">
        <v>307</v>
      </c>
      <c r="P141">
        <v>0.13678737686765371</v>
      </c>
      <c r="Q141" t="s">
        <v>165</v>
      </c>
      <c r="S141" t="s">
        <v>226</v>
      </c>
      <c r="T141" t="s">
        <v>307</v>
      </c>
      <c r="U141">
        <v>0.12718925862178815</v>
      </c>
      <c r="V141" t="s">
        <v>165</v>
      </c>
    </row>
    <row r="142" spans="9:22" x14ac:dyDescent="0.45">
      <c r="I142" t="s">
        <v>183</v>
      </c>
      <c r="J142" t="s">
        <v>308</v>
      </c>
      <c r="K142">
        <v>3.0298537727698636E-3</v>
      </c>
      <c r="L142" t="s">
        <v>165</v>
      </c>
      <c r="N142" t="s">
        <v>207</v>
      </c>
      <c r="O142" t="s">
        <v>308</v>
      </c>
      <c r="P142">
        <v>2.4636310778032165E-2</v>
      </c>
      <c r="Q142" t="s">
        <v>165</v>
      </c>
      <c r="S142" t="s">
        <v>226</v>
      </c>
      <c r="T142" t="s">
        <v>308</v>
      </c>
      <c r="U142">
        <v>2.3735262432513962E-2</v>
      </c>
      <c r="V142" t="s">
        <v>165</v>
      </c>
    </row>
    <row r="143" spans="9:22" x14ac:dyDescent="0.45">
      <c r="I143" t="s">
        <v>184</v>
      </c>
      <c r="J143" t="s">
        <v>297</v>
      </c>
      <c r="K143">
        <v>0.18937405449137631</v>
      </c>
      <c r="L143" t="s">
        <v>165</v>
      </c>
      <c r="N143" t="s">
        <v>208</v>
      </c>
      <c r="O143" t="s">
        <v>297</v>
      </c>
      <c r="P143">
        <v>0.10980177928647243</v>
      </c>
      <c r="Q143" t="s">
        <v>165</v>
      </c>
      <c r="S143" t="s">
        <v>227</v>
      </c>
      <c r="T143" t="s">
        <v>297</v>
      </c>
      <c r="U143">
        <v>0.10087213975977466</v>
      </c>
      <c r="V143" t="s">
        <v>165</v>
      </c>
    </row>
    <row r="144" spans="9:22" x14ac:dyDescent="0.45">
      <c r="I144" t="s">
        <v>184</v>
      </c>
      <c r="J144" t="s">
        <v>298</v>
      </c>
      <c r="K144">
        <v>3.0364368532960506E-5</v>
      </c>
      <c r="L144" t="s">
        <v>165</v>
      </c>
      <c r="N144" t="s">
        <v>208</v>
      </c>
      <c r="O144" t="s">
        <v>298</v>
      </c>
      <c r="P144">
        <v>9.3622335501121062E-2</v>
      </c>
      <c r="Q144" t="s">
        <v>165</v>
      </c>
      <c r="S144" t="s">
        <v>227</v>
      </c>
      <c r="T144" t="s">
        <v>298</v>
      </c>
      <c r="U144">
        <v>0.10710749079798032</v>
      </c>
      <c r="V144" t="s">
        <v>165</v>
      </c>
    </row>
    <row r="145" spans="9:22" x14ac:dyDescent="0.45">
      <c r="I145" t="s">
        <v>184</v>
      </c>
      <c r="J145" t="s">
        <v>299</v>
      </c>
      <c r="K145">
        <v>1.6452549078384164E-2</v>
      </c>
      <c r="L145" t="s">
        <v>165</v>
      </c>
      <c r="N145" t="s">
        <v>208</v>
      </c>
      <c r="O145" t="s">
        <v>299</v>
      </c>
      <c r="P145">
        <v>2.1417652349263336E-2</v>
      </c>
      <c r="Q145" t="s">
        <v>165</v>
      </c>
      <c r="S145" t="s">
        <v>227</v>
      </c>
      <c r="T145" t="s">
        <v>299</v>
      </c>
      <c r="U145">
        <v>1.9557193116129065E-2</v>
      </c>
      <c r="V145" t="s">
        <v>165</v>
      </c>
    </row>
    <row r="146" spans="9:22" x14ac:dyDescent="0.45">
      <c r="I146" t="s">
        <v>184</v>
      </c>
      <c r="J146" t="s">
        <v>300</v>
      </c>
      <c r="K146">
        <v>0.25583776866131575</v>
      </c>
      <c r="L146" t="s">
        <v>165</v>
      </c>
      <c r="N146" t="s">
        <v>208</v>
      </c>
      <c r="O146" t="s">
        <v>300</v>
      </c>
      <c r="P146">
        <v>0.19638390193100125</v>
      </c>
      <c r="Q146" t="s">
        <v>165</v>
      </c>
      <c r="S146" t="s">
        <v>227</v>
      </c>
      <c r="T146" t="s">
        <v>300</v>
      </c>
      <c r="U146">
        <v>0.17732734007435547</v>
      </c>
      <c r="V146" t="s">
        <v>165</v>
      </c>
    </row>
    <row r="147" spans="9:22" x14ac:dyDescent="0.45">
      <c r="I147" t="s">
        <v>184</v>
      </c>
      <c r="J147" t="s">
        <v>301</v>
      </c>
      <c r="K147">
        <v>4.5025677671178274E-3</v>
      </c>
      <c r="L147" t="s">
        <v>165</v>
      </c>
      <c r="N147" t="s">
        <v>208</v>
      </c>
      <c r="O147" t="s">
        <v>301</v>
      </c>
      <c r="P147">
        <v>0.12779540632692113</v>
      </c>
      <c r="Q147" t="s">
        <v>165</v>
      </c>
      <c r="S147" t="s">
        <v>227</v>
      </c>
      <c r="T147" t="s">
        <v>301</v>
      </c>
      <c r="U147">
        <v>0.18694008807264403</v>
      </c>
      <c r="V147" t="s">
        <v>165</v>
      </c>
    </row>
    <row r="148" spans="9:22" x14ac:dyDescent="0.45">
      <c r="I148" t="s">
        <v>184</v>
      </c>
      <c r="J148" t="s">
        <v>302</v>
      </c>
      <c r="K148">
        <v>3.672722627399827E-2</v>
      </c>
      <c r="L148" t="s">
        <v>165</v>
      </c>
      <c r="N148" t="s">
        <v>208</v>
      </c>
      <c r="O148" t="s">
        <v>302</v>
      </c>
      <c r="P148">
        <v>3.520371712131002E-2</v>
      </c>
      <c r="Q148" t="s">
        <v>165</v>
      </c>
      <c r="S148" t="s">
        <v>227</v>
      </c>
      <c r="T148" t="s">
        <v>302</v>
      </c>
      <c r="U148">
        <v>3.5707301589037829E-2</v>
      </c>
      <c r="V148" t="s">
        <v>165</v>
      </c>
    </row>
    <row r="149" spans="9:22" x14ac:dyDescent="0.45">
      <c r="I149" t="s">
        <v>184</v>
      </c>
      <c r="J149" t="s">
        <v>303</v>
      </c>
      <c r="K149">
        <v>0.28612178581579095</v>
      </c>
      <c r="L149" t="s">
        <v>165</v>
      </c>
      <c r="N149" t="s">
        <v>208</v>
      </c>
      <c r="O149" t="s">
        <v>303</v>
      </c>
      <c r="P149">
        <v>6.3027530502553067E-2</v>
      </c>
      <c r="Q149" t="s">
        <v>165</v>
      </c>
      <c r="S149" t="s">
        <v>227</v>
      </c>
      <c r="T149" t="s">
        <v>303</v>
      </c>
      <c r="U149">
        <v>3.3346794553955755E-2</v>
      </c>
      <c r="V149" t="s">
        <v>165</v>
      </c>
    </row>
    <row r="150" spans="9:22" x14ac:dyDescent="0.45">
      <c r="I150" t="s">
        <v>184</v>
      </c>
      <c r="J150" t="s">
        <v>304</v>
      </c>
      <c r="K150">
        <v>1.0120096714860572E-2</v>
      </c>
      <c r="L150" t="s">
        <v>165</v>
      </c>
      <c r="N150" t="s">
        <v>208</v>
      </c>
      <c r="O150" t="s">
        <v>304</v>
      </c>
      <c r="P150">
        <v>4.0898314612464647E-2</v>
      </c>
      <c r="Q150" t="s">
        <v>165</v>
      </c>
      <c r="S150" t="s">
        <v>227</v>
      </c>
      <c r="T150" t="s">
        <v>304</v>
      </c>
      <c r="U150">
        <v>3.9139345448267721E-2</v>
      </c>
      <c r="V150" t="s">
        <v>165</v>
      </c>
    </row>
    <row r="151" spans="9:22" x14ac:dyDescent="0.45">
      <c r="I151" t="s">
        <v>184</v>
      </c>
      <c r="J151" t="s">
        <v>305</v>
      </c>
      <c r="K151">
        <v>4.2923383132860336E-2</v>
      </c>
      <c r="L151" t="s">
        <v>165</v>
      </c>
      <c r="N151" t="s">
        <v>208</v>
      </c>
      <c r="O151" t="s">
        <v>305</v>
      </c>
      <c r="P151">
        <v>1.3847082474025373E-2</v>
      </c>
      <c r="Q151" t="s">
        <v>165</v>
      </c>
      <c r="S151" t="s">
        <v>227</v>
      </c>
      <c r="T151" t="s">
        <v>305</v>
      </c>
      <c r="U151">
        <v>1.1177898922573018E-2</v>
      </c>
      <c r="V151" t="s">
        <v>165</v>
      </c>
    </row>
    <row r="152" spans="9:22" x14ac:dyDescent="0.45">
      <c r="I152" t="s">
        <v>184</v>
      </c>
      <c r="J152" t="s">
        <v>306</v>
      </c>
      <c r="K152">
        <v>0.14626213577697636</v>
      </c>
      <c r="L152" t="s">
        <v>165</v>
      </c>
      <c r="N152" t="s">
        <v>208</v>
      </c>
      <c r="O152" t="s">
        <v>306</v>
      </c>
      <c r="P152">
        <v>0.14392509777727125</v>
      </c>
      <c r="Q152" t="s">
        <v>165</v>
      </c>
      <c r="S152" t="s">
        <v>227</v>
      </c>
      <c r="T152" t="s">
        <v>306</v>
      </c>
      <c r="U152">
        <v>0.13290662779692883</v>
      </c>
      <c r="V152" t="s">
        <v>165</v>
      </c>
    </row>
    <row r="153" spans="9:22" x14ac:dyDescent="0.45">
      <c r="I153" t="s">
        <v>184</v>
      </c>
      <c r="J153" t="s">
        <v>307</v>
      </c>
      <c r="K153">
        <v>0</v>
      </c>
      <c r="L153" t="s">
        <v>165</v>
      </c>
      <c r="N153" t="s">
        <v>208</v>
      </c>
      <c r="O153" t="s">
        <v>307</v>
      </c>
      <c r="P153">
        <v>0.12766014353290273</v>
      </c>
      <c r="Q153" t="s">
        <v>165</v>
      </c>
      <c r="S153" t="s">
        <v>227</v>
      </c>
      <c r="T153" t="s">
        <v>307</v>
      </c>
      <c r="U153">
        <v>0.13081675422506572</v>
      </c>
      <c r="V153" t="s">
        <v>165</v>
      </c>
    </row>
    <row r="154" spans="9:22" x14ac:dyDescent="0.45">
      <c r="I154" t="s">
        <v>184</v>
      </c>
      <c r="J154" t="s">
        <v>308</v>
      </c>
      <c r="K154">
        <v>1.1648067918786619E-2</v>
      </c>
      <c r="L154" t="s">
        <v>165</v>
      </c>
      <c r="N154" t="s">
        <v>208</v>
      </c>
      <c r="O154" t="s">
        <v>308</v>
      </c>
      <c r="P154">
        <v>2.6417038584694137E-2</v>
      </c>
      <c r="Q154" t="s">
        <v>165</v>
      </c>
      <c r="S154" t="s">
        <v>227</v>
      </c>
      <c r="T154" t="s">
        <v>308</v>
      </c>
      <c r="U154">
        <v>2.5101025643290982E-2</v>
      </c>
      <c r="V154" t="s">
        <v>165</v>
      </c>
    </row>
    <row r="155" spans="9:22" x14ac:dyDescent="0.45">
      <c r="I155" t="s">
        <v>185</v>
      </c>
      <c r="J155" t="s">
        <v>297</v>
      </c>
      <c r="K155">
        <v>0.19265135134795563</v>
      </c>
      <c r="L155" t="s">
        <v>165</v>
      </c>
      <c r="N155" t="s">
        <v>209</v>
      </c>
      <c r="O155" t="s">
        <v>297</v>
      </c>
      <c r="P155">
        <v>8.1223231955020486E-2</v>
      </c>
      <c r="Q155" t="s">
        <v>165</v>
      </c>
      <c r="S155" t="s">
        <v>228</v>
      </c>
      <c r="T155" t="s">
        <v>297</v>
      </c>
      <c r="U155">
        <v>8.9487150459148554E-2</v>
      </c>
      <c r="V155" t="s">
        <v>165</v>
      </c>
    </row>
    <row r="156" spans="9:22" x14ac:dyDescent="0.45">
      <c r="I156" t="s">
        <v>185</v>
      </c>
      <c r="J156" t="s">
        <v>298</v>
      </c>
      <c r="K156">
        <v>0</v>
      </c>
      <c r="L156" t="s">
        <v>165</v>
      </c>
      <c r="N156" t="s">
        <v>209</v>
      </c>
      <c r="O156" t="s">
        <v>298</v>
      </c>
      <c r="P156">
        <v>8.6093088076959354E-2</v>
      </c>
      <c r="Q156" t="s">
        <v>165</v>
      </c>
      <c r="S156" t="s">
        <v>228</v>
      </c>
      <c r="T156" t="s">
        <v>298</v>
      </c>
      <c r="U156">
        <v>8.4205835632329709E-2</v>
      </c>
      <c r="V156" t="s">
        <v>165</v>
      </c>
    </row>
    <row r="157" spans="9:22" x14ac:dyDescent="0.45">
      <c r="I157" t="s">
        <v>185</v>
      </c>
      <c r="J157" t="s">
        <v>299</v>
      </c>
      <c r="K157">
        <v>1.4650696990740378E-2</v>
      </c>
      <c r="L157" t="s">
        <v>165</v>
      </c>
      <c r="N157" t="s">
        <v>209</v>
      </c>
      <c r="O157" t="s">
        <v>299</v>
      </c>
      <c r="P157">
        <v>1.49389676137139E-2</v>
      </c>
      <c r="Q157" t="s">
        <v>165</v>
      </c>
      <c r="S157" t="s">
        <v>228</v>
      </c>
      <c r="T157" t="s">
        <v>299</v>
      </c>
      <c r="U157">
        <v>1.7041216709262196E-2</v>
      </c>
      <c r="V157" t="s">
        <v>165</v>
      </c>
    </row>
    <row r="158" spans="9:22" x14ac:dyDescent="0.45">
      <c r="I158" t="s">
        <v>185</v>
      </c>
      <c r="J158" t="s">
        <v>300</v>
      </c>
      <c r="K158">
        <v>0.25854194626882443</v>
      </c>
      <c r="L158" t="s">
        <v>165</v>
      </c>
      <c r="N158" t="s">
        <v>209</v>
      </c>
      <c r="O158" t="s">
        <v>300</v>
      </c>
      <c r="P158">
        <v>0.19260845603602417</v>
      </c>
      <c r="Q158" t="s">
        <v>165</v>
      </c>
      <c r="S158" t="s">
        <v>228</v>
      </c>
      <c r="T158" t="s">
        <v>300</v>
      </c>
      <c r="U158">
        <v>0.18507655761898653</v>
      </c>
      <c r="V158" t="s">
        <v>165</v>
      </c>
    </row>
    <row r="159" spans="9:22" x14ac:dyDescent="0.45">
      <c r="I159" t="s">
        <v>185</v>
      </c>
      <c r="J159" t="s">
        <v>301</v>
      </c>
      <c r="K159">
        <v>3.2917569661362329E-3</v>
      </c>
      <c r="L159" t="s">
        <v>165</v>
      </c>
      <c r="N159" t="s">
        <v>209</v>
      </c>
      <c r="O159" t="s">
        <v>301</v>
      </c>
      <c r="P159">
        <v>0.18126456976572794</v>
      </c>
      <c r="Q159" t="s">
        <v>165</v>
      </c>
      <c r="S159" t="s">
        <v>228</v>
      </c>
      <c r="T159" t="s">
        <v>301</v>
      </c>
      <c r="U159">
        <v>0.20328240157655464</v>
      </c>
      <c r="V159" t="s">
        <v>165</v>
      </c>
    </row>
    <row r="160" spans="9:22" x14ac:dyDescent="0.45">
      <c r="I160" t="s">
        <v>185</v>
      </c>
      <c r="J160" t="s">
        <v>302</v>
      </c>
      <c r="K160">
        <v>3.4381350424059542E-2</v>
      </c>
      <c r="L160" t="s">
        <v>165</v>
      </c>
      <c r="N160" t="s">
        <v>209</v>
      </c>
      <c r="O160" t="s">
        <v>302</v>
      </c>
      <c r="P160">
        <v>3.6169856301569513E-2</v>
      </c>
      <c r="Q160" t="s">
        <v>165</v>
      </c>
      <c r="S160" t="s">
        <v>228</v>
      </c>
      <c r="T160" t="s">
        <v>302</v>
      </c>
      <c r="U160">
        <v>3.6322007594546644E-2</v>
      </c>
      <c r="V160" t="s">
        <v>165</v>
      </c>
    </row>
    <row r="161" spans="9:22" x14ac:dyDescent="0.45">
      <c r="I161" t="s">
        <v>185</v>
      </c>
      <c r="J161" t="s">
        <v>303</v>
      </c>
      <c r="K161">
        <v>0.28540113554940022</v>
      </c>
      <c r="L161" t="s">
        <v>165</v>
      </c>
      <c r="N161" t="s">
        <v>209</v>
      </c>
      <c r="O161" t="s">
        <v>303</v>
      </c>
      <c r="P161">
        <v>4.2635232493411404E-2</v>
      </c>
      <c r="Q161" t="s">
        <v>165</v>
      </c>
      <c r="S161" t="s">
        <v>228</v>
      </c>
      <c r="T161" t="s">
        <v>303</v>
      </c>
      <c r="U161">
        <v>2.8646019057683044E-2</v>
      </c>
      <c r="V161" t="s">
        <v>165</v>
      </c>
    </row>
    <row r="162" spans="9:22" x14ac:dyDescent="0.45">
      <c r="I162" t="s">
        <v>185</v>
      </c>
      <c r="J162" t="s">
        <v>304</v>
      </c>
      <c r="K162">
        <v>8.7620490748935229E-3</v>
      </c>
      <c r="L162" t="s">
        <v>165</v>
      </c>
      <c r="N162" t="s">
        <v>209</v>
      </c>
      <c r="O162" t="s">
        <v>304</v>
      </c>
      <c r="P162">
        <v>2.3091484122258338E-2</v>
      </c>
      <c r="Q162" t="s">
        <v>165</v>
      </c>
      <c r="S162" t="s">
        <v>228</v>
      </c>
      <c r="T162" t="s">
        <v>304</v>
      </c>
      <c r="U162">
        <v>3.1209786365053033E-2</v>
      </c>
      <c r="V162" t="s">
        <v>165</v>
      </c>
    </row>
    <row r="163" spans="9:22" x14ac:dyDescent="0.45">
      <c r="I163" t="s">
        <v>185</v>
      </c>
      <c r="J163" t="s">
        <v>305</v>
      </c>
      <c r="K163">
        <v>3.9469189325810901E-2</v>
      </c>
      <c r="L163" t="s">
        <v>165</v>
      </c>
      <c r="N163" t="s">
        <v>209</v>
      </c>
      <c r="O163" t="s">
        <v>305</v>
      </c>
      <c r="P163">
        <v>1.3316778984520878E-2</v>
      </c>
      <c r="Q163" t="s">
        <v>165</v>
      </c>
      <c r="S163" t="s">
        <v>228</v>
      </c>
      <c r="T163" t="s">
        <v>305</v>
      </c>
      <c r="U163">
        <v>9.2916999685274532E-3</v>
      </c>
      <c r="V163" t="s">
        <v>165</v>
      </c>
    </row>
    <row r="164" spans="9:22" x14ac:dyDescent="0.45">
      <c r="I164" t="s">
        <v>185</v>
      </c>
      <c r="J164" t="s">
        <v>306</v>
      </c>
      <c r="K164">
        <v>0.15242099062094541</v>
      </c>
      <c r="L164" t="s">
        <v>165</v>
      </c>
      <c r="N164" t="s">
        <v>209</v>
      </c>
      <c r="O164" t="s">
        <v>306</v>
      </c>
      <c r="P164">
        <v>0.15475775263342337</v>
      </c>
      <c r="Q164" t="s">
        <v>165</v>
      </c>
      <c r="S164" t="s">
        <v>228</v>
      </c>
      <c r="T164" t="s">
        <v>306</v>
      </c>
      <c r="U164">
        <v>0.14096951982651107</v>
      </c>
      <c r="V164" t="s">
        <v>165</v>
      </c>
    </row>
    <row r="165" spans="9:22" x14ac:dyDescent="0.45">
      <c r="I165" t="s">
        <v>185</v>
      </c>
      <c r="J165" t="s">
        <v>307</v>
      </c>
      <c r="K165">
        <v>0</v>
      </c>
      <c r="L165" t="s">
        <v>165</v>
      </c>
      <c r="N165" t="s">
        <v>209</v>
      </c>
      <c r="O165" t="s">
        <v>307</v>
      </c>
      <c r="P165">
        <v>0.14467038275906619</v>
      </c>
      <c r="Q165" t="s">
        <v>165</v>
      </c>
      <c r="S165" t="s">
        <v>228</v>
      </c>
      <c r="T165" t="s">
        <v>307</v>
      </c>
      <c r="U165">
        <v>0.14620271636898574</v>
      </c>
      <c r="V165" t="s">
        <v>165</v>
      </c>
    </row>
    <row r="166" spans="9:22" x14ac:dyDescent="0.45">
      <c r="I166" t="s">
        <v>185</v>
      </c>
      <c r="J166" t="s">
        <v>308</v>
      </c>
      <c r="K166">
        <v>1.042953343123239E-2</v>
      </c>
      <c r="L166" t="s">
        <v>165</v>
      </c>
      <c r="N166" t="s">
        <v>209</v>
      </c>
      <c r="O166" t="s">
        <v>308</v>
      </c>
      <c r="P166">
        <v>2.9230199258298731E-2</v>
      </c>
      <c r="Q166" t="s">
        <v>165</v>
      </c>
      <c r="S166" t="s">
        <v>228</v>
      </c>
      <c r="T166" t="s">
        <v>308</v>
      </c>
      <c r="U166">
        <v>2.8265088822410016E-2</v>
      </c>
      <c r="V166" t="s">
        <v>165</v>
      </c>
    </row>
    <row r="167" spans="9:22" x14ac:dyDescent="0.45">
      <c r="I167" t="s">
        <v>186</v>
      </c>
      <c r="J167" t="s">
        <v>297</v>
      </c>
      <c r="K167">
        <v>0.19303447798453632</v>
      </c>
      <c r="L167" t="s">
        <v>165</v>
      </c>
      <c r="N167" t="s">
        <v>210</v>
      </c>
      <c r="O167" t="s">
        <v>297</v>
      </c>
      <c r="P167">
        <v>0.10197749028390272</v>
      </c>
      <c r="Q167" t="s">
        <v>165</v>
      </c>
      <c r="S167" t="s">
        <v>229</v>
      </c>
      <c r="T167" t="s">
        <v>297</v>
      </c>
      <c r="U167">
        <v>9.6081875334626282E-2</v>
      </c>
      <c r="V167" t="s">
        <v>165</v>
      </c>
    </row>
    <row r="168" spans="9:22" x14ac:dyDescent="0.45">
      <c r="I168" t="s">
        <v>186</v>
      </c>
      <c r="J168" t="s">
        <v>298</v>
      </c>
      <c r="K168">
        <v>0</v>
      </c>
      <c r="L168" t="s">
        <v>165</v>
      </c>
      <c r="N168" t="s">
        <v>210</v>
      </c>
      <c r="O168" t="s">
        <v>298</v>
      </c>
      <c r="P168">
        <v>0.10855751254227179</v>
      </c>
      <c r="Q168" t="s">
        <v>165</v>
      </c>
      <c r="S168" t="s">
        <v>229</v>
      </c>
      <c r="T168" t="s">
        <v>298</v>
      </c>
      <c r="U168">
        <v>9.0848739100244699E-2</v>
      </c>
      <c r="V168" t="s">
        <v>165</v>
      </c>
    </row>
    <row r="169" spans="9:22" x14ac:dyDescent="0.45">
      <c r="I169" t="s">
        <v>186</v>
      </c>
      <c r="J169" t="s">
        <v>299</v>
      </c>
      <c r="K169">
        <v>1.2610287948492579E-2</v>
      </c>
      <c r="L169" t="s">
        <v>165</v>
      </c>
      <c r="N169" t="s">
        <v>210</v>
      </c>
      <c r="O169" t="s">
        <v>299</v>
      </c>
      <c r="P169">
        <v>2.19369911713704E-2</v>
      </c>
      <c r="Q169" t="s">
        <v>165</v>
      </c>
      <c r="S169" t="s">
        <v>229</v>
      </c>
      <c r="T169" t="s">
        <v>299</v>
      </c>
      <c r="U169">
        <v>1.7486438829289921E-2</v>
      </c>
      <c r="V169" t="s">
        <v>165</v>
      </c>
    </row>
    <row r="170" spans="9:22" x14ac:dyDescent="0.45">
      <c r="I170" t="s">
        <v>186</v>
      </c>
      <c r="J170" t="s">
        <v>300</v>
      </c>
      <c r="K170">
        <v>0.26291339460987367</v>
      </c>
      <c r="L170" t="s">
        <v>165</v>
      </c>
      <c r="N170" t="s">
        <v>210</v>
      </c>
      <c r="O170" t="s">
        <v>300</v>
      </c>
      <c r="P170">
        <v>0.18158705164570879</v>
      </c>
      <c r="Q170" t="s">
        <v>165</v>
      </c>
      <c r="S170" t="s">
        <v>229</v>
      </c>
      <c r="T170" t="s">
        <v>300</v>
      </c>
      <c r="U170">
        <v>0.17049965770479489</v>
      </c>
      <c r="V170" t="s">
        <v>165</v>
      </c>
    </row>
    <row r="171" spans="9:22" x14ac:dyDescent="0.45">
      <c r="I171" t="s">
        <v>186</v>
      </c>
      <c r="J171" t="s">
        <v>301</v>
      </c>
      <c r="K171">
        <v>2.7134491078739543E-3</v>
      </c>
      <c r="L171" t="s">
        <v>165</v>
      </c>
      <c r="N171" t="s">
        <v>210</v>
      </c>
      <c r="O171" t="s">
        <v>301</v>
      </c>
      <c r="P171">
        <v>0.17538156034752742</v>
      </c>
      <c r="Q171" t="s">
        <v>165</v>
      </c>
      <c r="S171" t="s">
        <v>229</v>
      </c>
      <c r="T171" t="s">
        <v>301</v>
      </c>
      <c r="U171">
        <v>0.17996087958431364</v>
      </c>
      <c r="V171" t="s">
        <v>165</v>
      </c>
    </row>
    <row r="172" spans="9:22" x14ac:dyDescent="0.45">
      <c r="I172" t="s">
        <v>186</v>
      </c>
      <c r="J172" t="s">
        <v>302</v>
      </c>
      <c r="K172">
        <v>3.2027750729463532E-2</v>
      </c>
      <c r="L172" t="s">
        <v>165</v>
      </c>
      <c r="N172" t="s">
        <v>210</v>
      </c>
      <c r="O172" t="s">
        <v>302</v>
      </c>
      <c r="P172">
        <v>3.6984369039928397E-2</v>
      </c>
      <c r="Q172" t="s">
        <v>165</v>
      </c>
      <c r="S172" t="s">
        <v>229</v>
      </c>
      <c r="T172" t="s">
        <v>302</v>
      </c>
      <c r="U172">
        <v>3.4062971509662726E-2</v>
      </c>
      <c r="V172" t="s">
        <v>165</v>
      </c>
    </row>
    <row r="173" spans="9:22" x14ac:dyDescent="0.45">
      <c r="I173" t="s">
        <v>186</v>
      </c>
      <c r="J173" t="s">
        <v>303</v>
      </c>
      <c r="K173">
        <v>0.2928843059341687</v>
      </c>
      <c r="L173" t="s">
        <v>165</v>
      </c>
      <c r="N173" t="s">
        <v>210</v>
      </c>
      <c r="O173" t="s">
        <v>303</v>
      </c>
      <c r="P173">
        <v>4.2127683603802098E-2</v>
      </c>
      <c r="Q173" t="s">
        <v>165</v>
      </c>
      <c r="S173" t="s">
        <v>229</v>
      </c>
      <c r="T173" t="s">
        <v>303</v>
      </c>
      <c r="U173">
        <v>4.151231255269907E-2</v>
      </c>
      <c r="V173" t="s">
        <v>165</v>
      </c>
    </row>
    <row r="174" spans="9:22" x14ac:dyDescent="0.45">
      <c r="I174" t="s">
        <v>186</v>
      </c>
      <c r="J174" t="s">
        <v>304</v>
      </c>
      <c r="K174">
        <v>8.0120983414230362E-3</v>
      </c>
      <c r="L174" t="s">
        <v>165</v>
      </c>
      <c r="N174" t="s">
        <v>210</v>
      </c>
      <c r="O174" t="s">
        <v>304</v>
      </c>
      <c r="P174">
        <v>3.7947708868114834E-2</v>
      </c>
      <c r="Q174" t="s">
        <v>165</v>
      </c>
      <c r="S174" t="s">
        <v>229</v>
      </c>
      <c r="T174" t="s">
        <v>304</v>
      </c>
      <c r="U174">
        <v>3.5697185857089572E-2</v>
      </c>
      <c r="V174" t="s">
        <v>165</v>
      </c>
    </row>
    <row r="175" spans="9:22" x14ac:dyDescent="0.45">
      <c r="I175" t="s">
        <v>186</v>
      </c>
      <c r="J175" t="s">
        <v>305</v>
      </c>
      <c r="K175">
        <v>3.866896665550304E-2</v>
      </c>
      <c r="L175" t="s">
        <v>165</v>
      </c>
      <c r="N175" t="s">
        <v>210</v>
      </c>
      <c r="O175" t="s">
        <v>305</v>
      </c>
      <c r="P175">
        <v>1.6215032783653837E-2</v>
      </c>
      <c r="Q175" t="s">
        <v>165</v>
      </c>
      <c r="S175" t="s">
        <v>229</v>
      </c>
      <c r="T175" t="s">
        <v>305</v>
      </c>
      <c r="U175">
        <v>9.4871895228206393E-3</v>
      </c>
      <c r="V175" t="s">
        <v>165</v>
      </c>
    </row>
    <row r="176" spans="9:22" x14ac:dyDescent="0.45">
      <c r="I176" t="s">
        <v>186</v>
      </c>
      <c r="J176" t="s">
        <v>306</v>
      </c>
      <c r="K176">
        <v>0.14980599311433787</v>
      </c>
      <c r="L176" t="s">
        <v>165</v>
      </c>
      <c r="N176" t="s">
        <v>210</v>
      </c>
      <c r="O176" t="s">
        <v>306</v>
      </c>
      <c r="P176">
        <v>0.12633449238665873</v>
      </c>
      <c r="Q176" t="s">
        <v>165</v>
      </c>
      <c r="S176" t="s">
        <v>229</v>
      </c>
      <c r="T176" t="s">
        <v>306</v>
      </c>
      <c r="U176">
        <v>0.15508449093644697</v>
      </c>
      <c r="V176" t="s">
        <v>165</v>
      </c>
    </row>
    <row r="177" spans="9:22" x14ac:dyDescent="0.45">
      <c r="I177" t="s">
        <v>186</v>
      </c>
      <c r="J177" t="s">
        <v>307</v>
      </c>
      <c r="K177">
        <v>0</v>
      </c>
      <c r="L177" t="s">
        <v>165</v>
      </c>
      <c r="N177" t="s">
        <v>210</v>
      </c>
      <c r="O177" t="s">
        <v>307</v>
      </c>
      <c r="P177">
        <v>0.12501836798731358</v>
      </c>
      <c r="Q177" t="s">
        <v>165</v>
      </c>
      <c r="S177" t="s">
        <v>229</v>
      </c>
      <c r="T177" t="s">
        <v>307</v>
      </c>
      <c r="U177">
        <v>0.1415592114772134</v>
      </c>
      <c r="V177" t="s">
        <v>165</v>
      </c>
    </row>
    <row r="178" spans="9:22" x14ac:dyDescent="0.45">
      <c r="I178" t="s">
        <v>186</v>
      </c>
      <c r="J178" t="s">
        <v>308</v>
      </c>
      <c r="K178">
        <v>7.3292755743277109E-3</v>
      </c>
      <c r="L178" t="s">
        <v>165</v>
      </c>
      <c r="N178" t="s">
        <v>210</v>
      </c>
      <c r="O178" t="s">
        <v>308</v>
      </c>
      <c r="P178">
        <v>2.5931739339740693E-2</v>
      </c>
      <c r="Q178" t="s">
        <v>165</v>
      </c>
      <c r="S178" t="s">
        <v>229</v>
      </c>
      <c r="T178" t="s">
        <v>308</v>
      </c>
      <c r="U178">
        <v>2.7719047590794514E-2</v>
      </c>
      <c r="V178" t="s">
        <v>165</v>
      </c>
    </row>
    <row r="179" spans="9:22" x14ac:dyDescent="0.45">
      <c r="I179" t="s">
        <v>187</v>
      </c>
      <c r="J179" t="s">
        <v>297</v>
      </c>
      <c r="K179">
        <v>0.19119334464921539</v>
      </c>
      <c r="L179" t="s">
        <v>165</v>
      </c>
      <c r="N179" t="s">
        <v>211</v>
      </c>
      <c r="O179" t="s">
        <v>297</v>
      </c>
      <c r="P179">
        <v>0.11532571620615925</v>
      </c>
      <c r="Q179" t="s">
        <v>165</v>
      </c>
      <c r="S179" t="s">
        <v>230</v>
      </c>
      <c r="T179" t="s">
        <v>297</v>
      </c>
      <c r="U179">
        <v>0.1005171870867589</v>
      </c>
      <c r="V179" t="s">
        <v>165</v>
      </c>
    </row>
    <row r="180" spans="9:22" x14ac:dyDescent="0.45">
      <c r="I180" t="s">
        <v>187</v>
      </c>
      <c r="J180" t="s">
        <v>298</v>
      </c>
      <c r="K180">
        <v>0</v>
      </c>
      <c r="L180" t="s">
        <v>165</v>
      </c>
      <c r="N180" t="s">
        <v>211</v>
      </c>
      <c r="O180" t="s">
        <v>298</v>
      </c>
      <c r="P180">
        <v>0.10883035771757255</v>
      </c>
      <c r="Q180" t="s">
        <v>165</v>
      </c>
      <c r="S180" t="s">
        <v>230</v>
      </c>
      <c r="T180" t="s">
        <v>298</v>
      </c>
      <c r="U180">
        <v>0.10966459297920809</v>
      </c>
      <c r="V180" t="s">
        <v>165</v>
      </c>
    </row>
    <row r="181" spans="9:22" x14ac:dyDescent="0.45">
      <c r="I181" t="s">
        <v>187</v>
      </c>
      <c r="J181" t="s">
        <v>299</v>
      </c>
      <c r="K181">
        <v>1.194286740052933E-2</v>
      </c>
      <c r="L181" t="s">
        <v>165</v>
      </c>
      <c r="N181" t="s">
        <v>211</v>
      </c>
      <c r="O181" t="s">
        <v>299</v>
      </c>
      <c r="P181">
        <v>2.1022467274422675E-2</v>
      </c>
      <c r="Q181" t="s">
        <v>165</v>
      </c>
      <c r="S181" t="s">
        <v>230</v>
      </c>
      <c r="T181" t="s">
        <v>299</v>
      </c>
      <c r="U181">
        <v>1.9156670772344377E-2</v>
      </c>
      <c r="V181" t="s">
        <v>165</v>
      </c>
    </row>
    <row r="182" spans="9:22" x14ac:dyDescent="0.45">
      <c r="I182" t="s">
        <v>187</v>
      </c>
      <c r="J182" t="s">
        <v>300</v>
      </c>
      <c r="K182">
        <v>0.2653988857470318</v>
      </c>
      <c r="L182" t="s">
        <v>165</v>
      </c>
      <c r="N182" t="s">
        <v>211</v>
      </c>
      <c r="O182" t="s">
        <v>300</v>
      </c>
      <c r="P182">
        <v>0.158386565582814</v>
      </c>
      <c r="Q182" t="s">
        <v>165</v>
      </c>
      <c r="S182" t="s">
        <v>230</v>
      </c>
      <c r="T182" t="s">
        <v>300</v>
      </c>
      <c r="U182">
        <v>0.14693799677707825</v>
      </c>
      <c r="V182" t="s">
        <v>165</v>
      </c>
    </row>
    <row r="183" spans="9:22" x14ac:dyDescent="0.45">
      <c r="I183" t="s">
        <v>187</v>
      </c>
      <c r="J183" t="s">
        <v>301</v>
      </c>
      <c r="K183">
        <v>2.4753796764280739E-3</v>
      </c>
      <c r="L183" t="s">
        <v>165</v>
      </c>
      <c r="N183" t="s">
        <v>211</v>
      </c>
      <c r="O183" t="s">
        <v>301</v>
      </c>
      <c r="P183">
        <v>0.14440475258533628</v>
      </c>
      <c r="Q183" t="s">
        <v>165</v>
      </c>
      <c r="S183" t="s">
        <v>230</v>
      </c>
      <c r="T183" t="s">
        <v>301</v>
      </c>
      <c r="U183">
        <v>0.16123084750012934</v>
      </c>
      <c r="V183" t="s">
        <v>165</v>
      </c>
    </row>
    <row r="184" spans="9:22" x14ac:dyDescent="0.45">
      <c r="I184" t="s">
        <v>187</v>
      </c>
      <c r="J184" t="s">
        <v>302</v>
      </c>
      <c r="K184">
        <v>3.0872197868284844E-2</v>
      </c>
      <c r="L184" t="s">
        <v>165</v>
      </c>
      <c r="N184" t="s">
        <v>211</v>
      </c>
      <c r="O184" t="s">
        <v>302</v>
      </c>
      <c r="P184">
        <v>2.9650961108457736E-2</v>
      </c>
      <c r="Q184" t="s">
        <v>165</v>
      </c>
      <c r="S184" t="s">
        <v>230</v>
      </c>
      <c r="T184" t="s">
        <v>302</v>
      </c>
      <c r="U184">
        <v>2.8876983252846256E-2</v>
      </c>
      <c r="V184" t="s">
        <v>165</v>
      </c>
    </row>
    <row r="185" spans="9:22" x14ac:dyDescent="0.45">
      <c r="I185" t="s">
        <v>187</v>
      </c>
      <c r="J185" t="s">
        <v>303</v>
      </c>
      <c r="K185">
        <v>0.29941255724970395</v>
      </c>
      <c r="L185" t="s">
        <v>165</v>
      </c>
      <c r="N185" t="s">
        <v>211</v>
      </c>
      <c r="O185" t="s">
        <v>303</v>
      </c>
      <c r="P185">
        <v>6.2108833367325152E-2</v>
      </c>
      <c r="Q185" t="s">
        <v>165</v>
      </c>
      <c r="S185" t="s">
        <v>230</v>
      </c>
      <c r="T185" t="s">
        <v>303</v>
      </c>
      <c r="U185">
        <v>5.6313823773394889E-2</v>
      </c>
      <c r="V185" t="s">
        <v>165</v>
      </c>
    </row>
    <row r="186" spans="9:22" x14ac:dyDescent="0.45">
      <c r="I186" t="s">
        <v>187</v>
      </c>
      <c r="J186" t="s">
        <v>304</v>
      </c>
      <c r="K186">
        <v>8.8813633420221205E-3</v>
      </c>
      <c r="L186" t="s">
        <v>165</v>
      </c>
      <c r="N186" t="s">
        <v>211</v>
      </c>
      <c r="O186" t="s">
        <v>304</v>
      </c>
      <c r="P186">
        <v>5.2183826942709288E-2</v>
      </c>
      <c r="Q186" t="s">
        <v>165</v>
      </c>
      <c r="S186" t="s">
        <v>230</v>
      </c>
      <c r="T186" t="s">
        <v>304</v>
      </c>
      <c r="U186">
        <v>6.2092696433603482E-2</v>
      </c>
      <c r="V186" t="s">
        <v>165</v>
      </c>
    </row>
    <row r="187" spans="9:22" x14ac:dyDescent="0.45">
      <c r="I187" t="s">
        <v>187</v>
      </c>
      <c r="J187" t="s">
        <v>305</v>
      </c>
      <c r="K187">
        <v>3.9022703742547252E-2</v>
      </c>
      <c r="L187" t="s">
        <v>165</v>
      </c>
      <c r="N187" t="s">
        <v>211</v>
      </c>
      <c r="O187" t="s">
        <v>305</v>
      </c>
      <c r="P187">
        <v>1.331047236557348E-2</v>
      </c>
      <c r="Q187" t="s">
        <v>165</v>
      </c>
      <c r="S187" t="s">
        <v>230</v>
      </c>
      <c r="T187" t="s">
        <v>305</v>
      </c>
      <c r="U187">
        <v>1.2649400411988148E-2</v>
      </c>
      <c r="V187" t="s">
        <v>165</v>
      </c>
    </row>
    <row r="188" spans="9:22" x14ac:dyDescent="0.45">
      <c r="I188" t="s">
        <v>187</v>
      </c>
      <c r="J188" t="s">
        <v>306</v>
      </c>
      <c r="K188">
        <v>0.14624226804429794</v>
      </c>
      <c r="L188" t="s">
        <v>165</v>
      </c>
      <c r="N188" t="s">
        <v>211</v>
      </c>
      <c r="O188" t="s">
        <v>306</v>
      </c>
      <c r="P188">
        <v>0.13759742614415132</v>
      </c>
      <c r="Q188" t="s">
        <v>165</v>
      </c>
      <c r="S188" t="s">
        <v>230</v>
      </c>
      <c r="T188" t="s">
        <v>306</v>
      </c>
      <c r="U188">
        <v>0.14178085918611244</v>
      </c>
      <c r="V188" t="s">
        <v>165</v>
      </c>
    </row>
    <row r="189" spans="9:22" x14ac:dyDescent="0.45">
      <c r="I189" t="s">
        <v>187</v>
      </c>
      <c r="J189" t="s">
        <v>307</v>
      </c>
      <c r="K189">
        <v>0</v>
      </c>
      <c r="L189" t="s">
        <v>165</v>
      </c>
      <c r="N189" t="s">
        <v>211</v>
      </c>
      <c r="O189" t="s">
        <v>307</v>
      </c>
      <c r="P189">
        <v>0.13290654056846063</v>
      </c>
      <c r="Q189" t="s">
        <v>165</v>
      </c>
      <c r="S189" t="s">
        <v>230</v>
      </c>
      <c r="T189" t="s">
        <v>307</v>
      </c>
      <c r="U189">
        <v>0.13613469540133633</v>
      </c>
      <c r="V189" t="s">
        <v>165</v>
      </c>
    </row>
    <row r="190" spans="9:22" x14ac:dyDescent="0.45">
      <c r="I190" t="s">
        <v>187</v>
      </c>
      <c r="J190" t="s">
        <v>308</v>
      </c>
      <c r="K190">
        <v>4.55843227993804E-3</v>
      </c>
      <c r="L190" t="s">
        <v>165</v>
      </c>
      <c r="N190" t="s">
        <v>211</v>
      </c>
      <c r="O190" t="s">
        <v>308</v>
      </c>
      <c r="P190">
        <v>2.4272080137022152E-2</v>
      </c>
      <c r="Q190" t="s">
        <v>165</v>
      </c>
      <c r="S190" t="s">
        <v>230</v>
      </c>
      <c r="T190" t="s">
        <v>308</v>
      </c>
      <c r="U190">
        <v>2.4644246425200644E-2</v>
      </c>
      <c r="V190" t="s">
        <v>165</v>
      </c>
    </row>
    <row r="191" spans="9:22" x14ac:dyDescent="0.45">
      <c r="I191" t="s">
        <v>188</v>
      </c>
      <c r="J191" t="s">
        <v>297</v>
      </c>
      <c r="K191">
        <v>0.19306643583849459</v>
      </c>
      <c r="L191" t="s">
        <v>165</v>
      </c>
      <c r="N191" t="s">
        <v>212</v>
      </c>
      <c r="O191" t="s">
        <v>297</v>
      </c>
      <c r="P191">
        <v>9.4495355316138063E-2</v>
      </c>
      <c r="Q191" t="s">
        <v>165</v>
      </c>
      <c r="S191" t="s">
        <v>231</v>
      </c>
      <c r="T191" t="s">
        <v>297</v>
      </c>
      <c r="U191">
        <v>9.6709618576525436E-2</v>
      </c>
      <c r="V191" t="s">
        <v>165</v>
      </c>
    </row>
    <row r="192" spans="9:22" x14ac:dyDescent="0.45">
      <c r="I192" t="s">
        <v>188</v>
      </c>
      <c r="J192" t="s">
        <v>298</v>
      </c>
      <c r="K192">
        <v>0</v>
      </c>
      <c r="L192" t="s">
        <v>165</v>
      </c>
      <c r="N192" t="s">
        <v>212</v>
      </c>
      <c r="O192" t="s">
        <v>298</v>
      </c>
      <c r="P192">
        <v>8.9962832026285536E-2</v>
      </c>
      <c r="Q192" t="s">
        <v>165</v>
      </c>
      <c r="S192" t="s">
        <v>231</v>
      </c>
      <c r="T192" t="s">
        <v>298</v>
      </c>
      <c r="U192">
        <v>0.10131933930690679</v>
      </c>
      <c r="V192" t="s">
        <v>165</v>
      </c>
    </row>
    <row r="193" spans="9:22" x14ac:dyDescent="0.45">
      <c r="I193" t="s">
        <v>188</v>
      </c>
      <c r="J193" t="s">
        <v>299</v>
      </c>
      <c r="K193">
        <v>1.3794240311546633E-2</v>
      </c>
      <c r="L193" t="s">
        <v>165</v>
      </c>
      <c r="N193" t="s">
        <v>212</v>
      </c>
      <c r="O193" t="s">
        <v>299</v>
      </c>
      <c r="P193">
        <v>1.7781275707387124E-2</v>
      </c>
      <c r="Q193" t="s">
        <v>165</v>
      </c>
      <c r="S193" t="s">
        <v>231</v>
      </c>
      <c r="T193" t="s">
        <v>299</v>
      </c>
      <c r="U193">
        <v>1.886305256551267E-2</v>
      </c>
      <c r="V193" t="s">
        <v>165</v>
      </c>
    </row>
    <row r="194" spans="9:22" x14ac:dyDescent="0.45">
      <c r="I194" t="s">
        <v>188</v>
      </c>
      <c r="J194" t="s">
        <v>300</v>
      </c>
      <c r="K194">
        <v>0.26545782511555976</v>
      </c>
      <c r="L194" t="s">
        <v>165</v>
      </c>
      <c r="N194" t="s">
        <v>212</v>
      </c>
      <c r="O194" t="s">
        <v>300</v>
      </c>
      <c r="P194">
        <v>0.15674962298352624</v>
      </c>
      <c r="Q194" t="s">
        <v>165</v>
      </c>
      <c r="S194" t="s">
        <v>231</v>
      </c>
      <c r="T194" t="s">
        <v>300</v>
      </c>
      <c r="U194">
        <v>0.14416953784661343</v>
      </c>
      <c r="V194" t="s">
        <v>165</v>
      </c>
    </row>
    <row r="195" spans="9:22" x14ac:dyDescent="0.45">
      <c r="I195" t="s">
        <v>188</v>
      </c>
      <c r="J195" t="s">
        <v>301</v>
      </c>
      <c r="K195">
        <v>3.163656205848285E-3</v>
      </c>
      <c r="L195" t="s">
        <v>165</v>
      </c>
      <c r="N195" t="s">
        <v>212</v>
      </c>
      <c r="O195" t="s">
        <v>301</v>
      </c>
      <c r="P195">
        <v>0.15140263645775953</v>
      </c>
      <c r="Q195" t="s">
        <v>165</v>
      </c>
      <c r="S195" t="s">
        <v>231</v>
      </c>
      <c r="T195" t="s">
        <v>301</v>
      </c>
      <c r="U195">
        <v>0.13813118772402588</v>
      </c>
      <c r="V195" t="s">
        <v>165</v>
      </c>
    </row>
    <row r="196" spans="9:22" x14ac:dyDescent="0.45">
      <c r="I196" t="s">
        <v>188</v>
      </c>
      <c r="J196" t="s">
        <v>302</v>
      </c>
      <c r="K196">
        <v>3.201404198056413E-2</v>
      </c>
      <c r="L196" t="s">
        <v>165</v>
      </c>
      <c r="N196" t="s">
        <v>212</v>
      </c>
      <c r="O196" t="s">
        <v>302</v>
      </c>
      <c r="P196">
        <v>3.0121635012456426E-2</v>
      </c>
      <c r="Q196" t="s">
        <v>165</v>
      </c>
      <c r="S196" t="s">
        <v>231</v>
      </c>
      <c r="T196" t="s">
        <v>302</v>
      </c>
      <c r="U196">
        <v>2.7588332696135587E-2</v>
      </c>
      <c r="V196" t="s">
        <v>165</v>
      </c>
    </row>
    <row r="197" spans="9:22" x14ac:dyDescent="0.45">
      <c r="I197" t="s">
        <v>188</v>
      </c>
      <c r="J197" t="s">
        <v>303</v>
      </c>
      <c r="K197">
        <v>0.30119119933897459</v>
      </c>
      <c r="L197" t="s">
        <v>165</v>
      </c>
      <c r="N197" t="s">
        <v>212</v>
      </c>
      <c r="O197" t="s">
        <v>303</v>
      </c>
      <c r="P197">
        <v>6.3670382796937347E-2</v>
      </c>
      <c r="Q197" t="s">
        <v>165</v>
      </c>
      <c r="S197" t="s">
        <v>231</v>
      </c>
      <c r="T197" t="s">
        <v>303</v>
      </c>
      <c r="U197">
        <v>7.2360139081644931E-2</v>
      </c>
      <c r="V197" t="s">
        <v>165</v>
      </c>
    </row>
    <row r="198" spans="9:22" x14ac:dyDescent="0.45">
      <c r="I198" t="s">
        <v>188</v>
      </c>
      <c r="J198" t="s">
        <v>304</v>
      </c>
      <c r="K198">
        <v>8.474538073720804E-3</v>
      </c>
      <c r="L198" t="s">
        <v>165</v>
      </c>
      <c r="N198" t="s">
        <v>212</v>
      </c>
      <c r="O198" t="s">
        <v>304</v>
      </c>
      <c r="P198">
        <v>6.2331607899122107E-2</v>
      </c>
      <c r="Q198" t="s">
        <v>165</v>
      </c>
      <c r="S198" t="s">
        <v>231</v>
      </c>
      <c r="T198" t="s">
        <v>304</v>
      </c>
      <c r="U198">
        <v>7.0346640772009569E-2</v>
      </c>
      <c r="V198" t="s">
        <v>165</v>
      </c>
    </row>
    <row r="199" spans="9:22" x14ac:dyDescent="0.45">
      <c r="I199" t="s">
        <v>188</v>
      </c>
      <c r="J199" t="s">
        <v>305</v>
      </c>
      <c r="K199">
        <v>3.7475027033640362E-2</v>
      </c>
      <c r="L199" t="s">
        <v>165</v>
      </c>
      <c r="N199" t="s">
        <v>212</v>
      </c>
      <c r="O199" t="s">
        <v>305</v>
      </c>
      <c r="P199">
        <v>1.6290720780405284E-2</v>
      </c>
      <c r="Q199" t="s">
        <v>165</v>
      </c>
      <c r="S199" t="s">
        <v>231</v>
      </c>
      <c r="T199" t="s">
        <v>305</v>
      </c>
      <c r="U199">
        <v>1.6344486271196317E-2</v>
      </c>
      <c r="V199" t="s">
        <v>165</v>
      </c>
    </row>
    <row r="200" spans="9:22" x14ac:dyDescent="0.45">
      <c r="I200" t="s">
        <v>188</v>
      </c>
      <c r="J200" t="s">
        <v>306</v>
      </c>
      <c r="K200">
        <v>0.13995246576480774</v>
      </c>
      <c r="L200" t="s">
        <v>165</v>
      </c>
      <c r="N200" t="s">
        <v>212</v>
      </c>
      <c r="O200" t="s">
        <v>306</v>
      </c>
      <c r="P200">
        <v>0.14876483687925274</v>
      </c>
      <c r="Q200" t="s">
        <v>165</v>
      </c>
      <c r="S200" t="s">
        <v>231</v>
      </c>
      <c r="T200" t="s">
        <v>306</v>
      </c>
      <c r="U200">
        <v>0.14365889878599913</v>
      </c>
      <c r="V200" t="s">
        <v>165</v>
      </c>
    </row>
    <row r="201" spans="9:22" x14ac:dyDescent="0.45">
      <c r="I201" t="s">
        <v>188</v>
      </c>
      <c r="J201" t="s">
        <v>307</v>
      </c>
      <c r="K201">
        <v>0</v>
      </c>
      <c r="L201" t="s">
        <v>165</v>
      </c>
      <c r="N201" t="s">
        <v>212</v>
      </c>
      <c r="O201" t="s">
        <v>307</v>
      </c>
      <c r="P201">
        <v>0.14002657572860347</v>
      </c>
      <c r="Q201" t="s">
        <v>165</v>
      </c>
      <c r="S201" t="s">
        <v>231</v>
      </c>
      <c r="T201" t="s">
        <v>307</v>
      </c>
      <c r="U201">
        <v>0.14491594923177747</v>
      </c>
      <c r="V201" t="s">
        <v>165</v>
      </c>
    </row>
    <row r="202" spans="9:22" x14ac:dyDescent="0.45">
      <c r="I202" t="s">
        <v>188</v>
      </c>
      <c r="J202" t="s">
        <v>308</v>
      </c>
      <c r="K202">
        <v>5.4105703368457544E-3</v>
      </c>
      <c r="L202" t="s">
        <v>165</v>
      </c>
      <c r="N202" t="s">
        <v>212</v>
      </c>
      <c r="O202" t="s">
        <v>308</v>
      </c>
      <c r="P202">
        <v>2.8402518412128354E-2</v>
      </c>
      <c r="Q202" t="s">
        <v>165</v>
      </c>
      <c r="S202" t="s">
        <v>231</v>
      </c>
      <c r="T202" t="s">
        <v>308</v>
      </c>
      <c r="U202">
        <v>2.5592817141658938E-2</v>
      </c>
      <c r="V202" t="s">
        <v>165</v>
      </c>
    </row>
    <row r="203" spans="9:22" x14ac:dyDescent="0.45">
      <c r="I203" t="s">
        <v>189</v>
      </c>
      <c r="J203" t="s">
        <v>297</v>
      </c>
      <c r="K203">
        <v>0.16446750547334862</v>
      </c>
      <c r="L203" t="s">
        <v>165</v>
      </c>
      <c r="N203" t="s">
        <v>213</v>
      </c>
      <c r="O203" t="s">
        <v>297</v>
      </c>
      <c r="P203">
        <v>9.6982918271173071E-2</v>
      </c>
      <c r="Q203" t="s">
        <v>165</v>
      </c>
      <c r="S203" t="s">
        <v>232</v>
      </c>
      <c r="T203" t="s">
        <v>297</v>
      </c>
      <c r="U203">
        <v>8.3744074053931028E-2</v>
      </c>
      <c r="V203" t="s">
        <v>165</v>
      </c>
    </row>
    <row r="204" spans="9:22" x14ac:dyDescent="0.45">
      <c r="I204" t="s">
        <v>189</v>
      </c>
      <c r="J204" t="s">
        <v>298</v>
      </c>
      <c r="K204">
        <v>3.010381487530787E-4</v>
      </c>
      <c r="L204" t="s">
        <v>165</v>
      </c>
      <c r="N204" t="s">
        <v>213</v>
      </c>
      <c r="O204" t="s">
        <v>298</v>
      </c>
      <c r="P204">
        <v>7.3403382294052091E-2</v>
      </c>
      <c r="Q204" t="s">
        <v>165</v>
      </c>
      <c r="S204" t="s">
        <v>232</v>
      </c>
      <c r="T204" t="s">
        <v>298</v>
      </c>
      <c r="U204">
        <v>7.8084931730892482E-2</v>
      </c>
      <c r="V204" t="s">
        <v>165</v>
      </c>
    </row>
    <row r="205" spans="9:22" x14ac:dyDescent="0.45">
      <c r="I205" t="s">
        <v>189</v>
      </c>
      <c r="J205" t="s">
        <v>299</v>
      </c>
      <c r="K205">
        <v>1.3216468834235707E-2</v>
      </c>
      <c r="L205" t="s">
        <v>165</v>
      </c>
      <c r="N205" t="s">
        <v>213</v>
      </c>
      <c r="O205" t="s">
        <v>299</v>
      </c>
      <c r="P205">
        <v>1.6881657725794651E-2</v>
      </c>
      <c r="Q205" t="s">
        <v>165</v>
      </c>
      <c r="S205" t="s">
        <v>232</v>
      </c>
      <c r="T205" t="s">
        <v>299</v>
      </c>
      <c r="U205">
        <v>1.6773270723178531E-2</v>
      </c>
      <c r="V205" t="s">
        <v>165</v>
      </c>
    </row>
    <row r="206" spans="9:22" x14ac:dyDescent="0.45">
      <c r="I206" t="s">
        <v>189</v>
      </c>
      <c r="J206" t="s">
        <v>300</v>
      </c>
      <c r="K206">
        <v>0.24565695511500599</v>
      </c>
      <c r="L206" t="s">
        <v>165</v>
      </c>
      <c r="N206" t="s">
        <v>213</v>
      </c>
      <c r="O206" t="s">
        <v>300</v>
      </c>
      <c r="P206">
        <v>0.18823048052889876</v>
      </c>
      <c r="Q206" t="s">
        <v>165</v>
      </c>
      <c r="S206" t="s">
        <v>232</v>
      </c>
      <c r="T206" t="s">
        <v>300</v>
      </c>
      <c r="U206">
        <v>0.17359484372945144</v>
      </c>
      <c r="V206" t="s">
        <v>165</v>
      </c>
    </row>
    <row r="207" spans="9:22" x14ac:dyDescent="0.45">
      <c r="I207" t="s">
        <v>189</v>
      </c>
      <c r="J207" t="s">
        <v>301</v>
      </c>
      <c r="K207">
        <v>4.6802766733519772E-3</v>
      </c>
      <c r="L207" t="s">
        <v>165</v>
      </c>
      <c r="N207" t="s">
        <v>213</v>
      </c>
      <c r="O207" t="s">
        <v>301</v>
      </c>
      <c r="P207">
        <v>0.17203896106535574</v>
      </c>
      <c r="Q207" t="s">
        <v>165</v>
      </c>
      <c r="S207" t="s">
        <v>232</v>
      </c>
      <c r="T207" t="s">
        <v>301</v>
      </c>
      <c r="U207">
        <v>0.16017954104333226</v>
      </c>
      <c r="V207" t="s">
        <v>165</v>
      </c>
    </row>
    <row r="208" spans="9:22" x14ac:dyDescent="0.45">
      <c r="I208" t="s">
        <v>189</v>
      </c>
      <c r="J208" t="s">
        <v>302</v>
      </c>
      <c r="K208">
        <v>2.9811603662617796E-2</v>
      </c>
      <c r="L208" t="s">
        <v>165</v>
      </c>
      <c r="N208" t="s">
        <v>213</v>
      </c>
      <c r="O208" t="s">
        <v>302</v>
      </c>
      <c r="P208">
        <v>3.743493619377572E-2</v>
      </c>
      <c r="Q208" t="s">
        <v>165</v>
      </c>
      <c r="S208" t="s">
        <v>232</v>
      </c>
      <c r="T208" t="s">
        <v>302</v>
      </c>
      <c r="U208">
        <v>3.3923040977651614E-2</v>
      </c>
      <c r="V208" t="s">
        <v>165</v>
      </c>
    </row>
    <row r="209" spans="9:22" x14ac:dyDescent="0.45">
      <c r="I209" t="s">
        <v>189</v>
      </c>
      <c r="J209" t="s">
        <v>303</v>
      </c>
      <c r="K209">
        <v>0.33943763643128622</v>
      </c>
      <c r="L209" t="s">
        <v>165</v>
      </c>
      <c r="N209" t="s">
        <v>213</v>
      </c>
      <c r="O209" t="s">
        <v>303</v>
      </c>
      <c r="P209">
        <v>4.2622294061311954E-2</v>
      </c>
      <c r="Q209" t="s">
        <v>165</v>
      </c>
      <c r="S209" t="s">
        <v>232</v>
      </c>
      <c r="T209" t="s">
        <v>303</v>
      </c>
      <c r="U209">
        <v>4.8020908712580329E-2</v>
      </c>
      <c r="V209" t="s">
        <v>165</v>
      </c>
    </row>
    <row r="210" spans="9:22" x14ac:dyDescent="0.45">
      <c r="I210" t="s">
        <v>189</v>
      </c>
      <c r="J210" t="s">
        <v>304</v>
      </c>
      <c r="K210">
        <v>1.6593943708379074E-2</v>
      </c>
      <c r="L210" t="s">
        <v>165</v>
      </c>
      <c r="N210" t="s">
        <v>213</v>
      </c>
      <c r="O210" t="s">
        <v>304</v>
      </c>
      <c r="P210">
        <v>2.9093812983714759E-2</v>
      </c>
      <c r="Q210" t="s">
        <v>165</v>
      </c>
      <c r="S210" t="s">
        <v>232</v>
      </c>
      <c r="T210" t="s">
        <v>304</v>
      </c>
      <c r="U210">
        <v>5.1398544479092693E-2</v>
      </c>
      <c r="V210" t="s">
        <v>165</v>
      </c>
    </row>
    <row r="211" spans="9:22" x14ac:dyDescent="0.45">
      <c r="I211" t="s">
        <v>189</v>
      </c>
      <c r="J211" t="s">
        <v>305</v>
      </c>
      <c r="K211">
        <v>4.4338962164857547E-2</v>
      </c>
      <c r="L211" t="s">
        <v>165</v>
      </c>
      <c r="N211" t="s">
        <v>213</v>
      </c>
      <c r="O211" t="s">
        <v>305</v>
      </c>
      <c r="P211">
        <v>1.0552151315214496E-2</v>
      </c>
      <c r="Q211" t="s">
        <v>165</v>
      </c>
      <c r="S211" t="s">
        <v>232</v>
      </c>
      <c r="T211" t="s">
        <v>305</v>
      </c>
      <c r="U211">
        <v>1.253442716409236E-2</v>
      </c>
      <c r="V211" t="s">
        <v>165</v>
      </c>
    </row>
    <row r="212" spans="9:22" x14ac:dyDescent="0.45">
      <c r="I212" t="s">
        <v>189</v>
      </c>
      <c r="J212" t="s">
        <v>306</v>
      </c>
      <c r="K212">
        <v>0.13599486650677117</v>
      </c>
      <c r="L212" t="s">
        <v>165</v>
      </c>
      <c r="N212" t="s">
        <v>213</v>
      </c>
      <c r="O212" t="s">
        <v>306</v>
      </c>
      <c r="P212">
        <v>0.15981125165622539</v>
      </c>
      <c r="Q212" t="s">
        <v>165</v>
      </c>
      <c r="S212" t="s">
        <v>232</v>
      </c>
      <c r="T212" t="s">
        <v>306</v>
      </c>
      <c r="U212">
        <v>0.15357372472995665</v>
      </c>
      <c r="V212" t="s">
        <v>165</v>
      </c>
    </row>
    <row r="213" spans="9:22" x14ac:dyDescent="0.45">
      <c r="I213" t="s">
        <v>189</v>
      </c>
      <c r="J213" t="s">
        <v>307</v>
      </c>
      <c r="K213">
        <v>0</v>
      </c>
      <c r="L213" t="s">
        <v>165</v>
      </c>
      <c r="N213" t="s">
        <v>213</v>
      </c>
      <c r="O213" t="s">
        <v>307</v>
      </c>
      <c r="P213">
        <v>0.14351472691818354</v>
      </c>
      <c r="Q213" t="s">
        <v>165</v>
      </c>
      <c r="S213" t="s">
        <v>232</v>
      </c>
      <c r="T213" t="s">
        <v>307</v>
      </c>
      <c r="U213">
        <v>0.15717887783121073</v>
      </c>
      <c r="V213" t="s">
        <v>165</v>
      </c>
    </row>
    <row r="214" spans="9:22" x14ac:dyDescent="0.45">
      <c r="I214" t="s">
        <v>189</v>
      </c>
      <c r="J214" t="s">
        <v>308</v>
      </c>
      <c r="K214">
        <v>5.5007432813915791E-3</v>
      </c>
      <c r="L214" t="s">
        <v>165</v>
      </c>
      <c r="N214" t="s">
        <v>213</v>
      </c>
      <c r="O214" t="s">
        <v>308</v>
      </c>
      <c r="P214">
        <v>2.9433426986296807E-2</v>
      </c>
      <c r="Q214" t="s">
        <v>165</v>
      </c>
      <c r="S214" t="s">
        <v>232</v>
      </c>
      <c r="T214" t="s">
        <v>308</v>
      </c>
      <c r="U214">
        <v>3.0993814824630508E-2</v>
      </c>
      <c r="V214" t="s">
        <v>165</v>
      </c>
    </row>
    <row r="215" spans="9:22" x14ac:dyDescent="0.45">
      <c r="I215" t="s">
        <v>190</v>
      </c>
      <c r="J215" t="s">
        <v>297</v>
      </c>
      <c r="K215">
        <v>0.1706030924574039</v>
      </c>
      <c r="L215" t="s">
        <v>165</v>
      </c>
      <c r="N215" t="s">
        <v>214</v>
      </c>
      <c r="O215" t="s">
        <v>297</v>
      </c>
      <c r="P215">
        <v>8.9961732261020264E-2</v>
      </c>
      <c r="Q215" t="s">
        <v>165</v>
      </c>
      <c r="S215" t="s">
        <v>233</v>
      </c>
      <c r="T215" t="s">
        <v>297</v>
      </c>
      <c r="U215">
        <v>8.176119634105819E-2</v>
      </c>
      <c r="V215" t="s">
        <v>165</v>
      </c>
    </row>
    <row r="216" spans="9:22" x14ac:dyDescent="0.45">
      <c r="I216" t="s">
        <v>190</v>
      </c>
      <c r="J216" t="s">
        <v>298</v>
      </c>
      <c r="K216">
        <v>6.0576316319225772E-4</v>
      </c>
      <c r="L216" t="s">
        <v>165</v>
      </c>
      <c r="N216" t="s">
        <v>214</v>
      </c>
      <c r="O216" t="s">
        <v>298</v>
      </c>
      <c r="P216">
        <v>7.5599752558285188E-2</v>
      </c>
      <c r="Q216" t="s">
        <v>165</v>
      </c>
      <c r="S216" t="s">
        <v>233</v>
      </c>
      <c r="T216" t="s">
        <v>298</v>
      </c>
      <c r="U216">
        <v>9.1771840956998182E-2</v>
      </c>
      <c r="V216" t="s">
        <v>165</v>
      </c>
    </row>
    <row r="217" spans="9:22" x14ac:dyDescent="0.45">
      <c r="I217" t="s">
        <v>190</v>
      </c>
      <c r="J217" t="s">
        <v>299</v>
      </c>
      <c r="K217">
        <v>1.4253330419459273E-2</v>
      </c>
      <c r="L217" t="s">
        <v>165</v>
      </c>
      <c r="N217" t="s">
        <v>214</v>
      </c>
      <c r="O217" t="s">
        <v>299</v>
      </c>
      <c r="P217">
        <v>1.6812984758506067E-2</v>
      </c>
      <c r="Q217" t="s">
        <v>165</v>
      </c>
      <c r="S217" t="s">
        <v>233</v>
      </c>
      <c r="T217" t="s">
        <v>299</v>
      </c>
      <c r="U217">
        <v>1.4932087399069269E-2</v>
      </c>
      <c r="V217" t="s">
        <v>165</v>
      </c>
    </row>
    <row r="218" spans="9:22" x14ac:dyDescent="0.45">
      <c r="I218" t="s">
        <v>190</v>
      </c>
      <c r="J218" t="s">
        <v>300</v>
      </c>
      <c r="K218">
        <v>0.24074523832679751</v>
      </c>
      <c r="L218" t="s">
        <v>165</v>
      </c>
      <c r="N218" t="s">
        <v>214</v>
      </c>
      <c r="O218" t="s">
        <v>300</v>
      </c>
      <c r="P218">
        <v>0.15517774670735768</v>
      </c>
      <c r="Q218" t="s">
        <v>165</v>
      </c>
      <c r="S218" t="s">
        <v>233</v>
      </c>
      <c r="T218" t="s">
        <v>300</v>
      </c>
      <c r="U218">
        <v>0.14324403067275859</v>
      </c>
      <c r="V218" t="s">
        <v>165</v>
      </c>
    </row>
    <row r="219" spans="9:22" x14ac:dyDescent="0.45">
      <c r="I219" t="s">
        <v>190</v>
      </c>
      <c r="J219" t="s">
        <v>301</v>
      </c>
      <c r="K219">
        <v>4.7400286331754481E-3</v>
      </c>
      <c r="L219" t="s">
        <v>165</v>
      </c>
      <c r="N219" t="s">
        <v>214</v>
      </c>
      <c r="O219" t="s">
        <v>301</v>
      </c>
      <c r="P219">
        <v>0.15357311774236304</v>
      </c>
      <c r="Q219" t="s">
        <v>165</v>
      </c>
      <c r="S219" t="s">
        <v>233</v>
      </c>
      <c r="T219" t="s">
        <v>301</v>
      </c>
      <c r="U219">
        <v>0.15204652367824406</v>
      </c>
      <c r="V219" t="s">
        <v>165</v>
      </c>
    </row>
    <row r="220" spans="9:22" x14ac:dyDescent="0.45">
      <c r="I220" t="s">
        <v>190</v>
      </c>
      <c r="J220" t="s">
        <v>302</v>
      </c>
      <c r="K220">
        <v>2.9094206335995788E-2</v>
      </c>
      <c r="L220" t="s">
        <v>165</v>
      </c>
      <c r="N220" t="s">
        <v>214</v>
      </c>
      <c r="O220" t="s">
        <v>302</v>
      </c>
      <c r="P220">
        <v>3.0824877993573797E-2</v>
      </c>
      <c r="Q220" t="s">
        <v>165</v>
      </c>
      <c r="S220" t="s">
        <v>233</v>
      </c>
      <c r="T220" t="s">
        <v>302</v>
      </c>
      <c r="U220">
        <v>2.5813696349864173E-2</v>
      </c>
      <c r="V220" t="s">
        <v>165</v>
      </c>
    </row>
    <row r="221" spans="9:22" x14ac:dyDescent="0.45">
      <c r="I221" t="s">
        <v>190</v>
      </c>
      <c r="J221" t="s">
        <v>303</v>
      </c>
      <c r="K221">
        <v>0.32272156770324234</v>
      </c>
      <c r="L221" t="s">
        <v>165</v>
      </c>
      <c r="N221" t="s">
        <v>214</v>
      </c>
      <c r="O221" t="s">
        <v>303</v>
      </c>
      <c r="P221">
        <v>5.0423725420577624E-2</v>
      </c>
      <c r="Q221" t="s">
        <v>165</v>
      </c>
      <c r="S221" t="s">
        <v>233</v>
      </c>
      <c r="T221" t="s">
        <v>303</v>
      </c>
      <c r="U221">
        <v>6.370306080577455E-2</v>
      </c>
      <c r="V221" t="s">
        <v>165</v>
      </c>
    </row>
    <row r="222" spans="9:22" x14ac:dyDescent="0.45">
      <c r="I222" t="s">
        <v>190</v>
      </c>
      <c r="J222" t="s">
        <v>304</v>
      </c>
      <c r="K222">
        <v>1.5519614368849386E-2</v>
      </c>
      <c r="L222" t="s">
        <v>165</v>
      </c>
      <c r="N222" t="s">
        <v>214</v>
      </c>
      <c r="O222" t="s">
        <v>304</v>
      </c>
      <c r="P222">
        <v>7.4320839448967058E-2</v>
      </c>
      <c r="Q222" t="s">
        <v>165</v>
      </c>
      <c r="S222" t="s">
        <v>233</v>
      </c>
      <c r="T222" t="s">
        <v>304</v>
      </c>
      <c r="U222">
        <v>7.190817856945983E-2</v>
      </c>
      <c r="V222" t="s">
        <v>165</v>
      </c>
    </row>
    <row r="223" spans="9:22" x14ac:dyDescent="0.45">
      <c r="I223" t="s">
        <v>190</v>
      </c>
      <c r="J223" t="s">
        <v>305</v>
      </c>
      <c r="K223">
        <v>4.2040170093397639E-2</v>
      </c>
      <c r="L223" t="s">
        <v>165</v>
      </c>
      <c r="N223" t="s">
        <v>214</v>
      </c>
      <c r="O223" t="s">
        <v>305</v>
      </c>
      <c r="P223">
        <v>1.0424780979830369E-2</v>
      </c>
      <c r="Q223" t="s">
        <v>165</v>
      </c>
      <c r="S223" t="s">
        <v>233</v>
      </c>
      <c r="T223" t="s">
        <v>305</v>
      </c>
      <c r="U223">
        <v>1.3175805405623492E-2</v>
      </c>
      <c r="V223" t="s">
        <v>165</v>
      </c>
    </row>
    <row r="224" spans="9:22" x14ac:dyDescent="0.45">
      <c r="I224" t="s">
        <v>190</v>
      </c>
      <c r="J224" t="s">
        <v>306</v>
      </c>
      <c r="K224">
        <v>0.15267534772966762</v>
      </c>
      <c r="L224" t="s">
        <v>165</v>
      </c>
      <c r="N224" t="s">
        <v>214</v>
      </c>
      <c r="O224" t="s">
        <v>306</v>
      </c>
      <c r="P224">
        <v>0.15666173823560581</v>
      </c>
      <c r="Q224" t="s">
        <v>165</v>
      </c>
      <c r="S224" t="s">
        <v>233</v>
      </c>
      <c r="T224" t="s">
        <v>306</v>
      </c>
      <c r="U224">
        <v>0.15922326996690847</v>
      </c>
      <c r="V224" t="s">
        <v>165</v>
      </c>
    </row>
    <row r="225" spans="9:22" x14ac:dyDescent="0.45">
      <c r="I225" t="s">
        <v>190</v>
      </c>
      <c r="J225" t="s">
        <v>307</v>
      </c>
      <c r="K225">
        <v>0</v>
      </c>
      <c r="L225" t="s">
        <v>165</v>
      </c>
      <c r="N225" t="s">
        <v>214</v>
      </c>
      <c r="O225" t="s">
        <v>307</v>
      </c>
      <c r="P225">
        <v>0.1560746363825373</v>
      </c>
      <c r="Q225" t="s">
        <v>165</v>
      </c>
      <c r="S225" t="s">
        <v>233</v>
      </c>
      <c r="T225" t="s">
        <v>307</v>
      </c>
      <c r="U225">
        <v>0.15276913266897432</v>
      </c>
      <c r="V225" t="s">
        <v>165</v>
      </c>
    </row>
    <row r="226" spans="9:22" x14ac:dyDescent="0.45">
      <c r="I226" t="s">
        <v>190</v>
      </c>
      <c r="J226" t="s">
        <v>308</v>
      </c>
      <c r="K226">
        <v>7.0016407688193866E-3</v>
      </c>
      <c r="L226" t="s">
        <v>165</v>
      </c>
      <c r="N226" t="s">
        <v>214</v>
      </c>
      <c r="O226" t="s">
        <v>308</v>
      </c>
      <c r="P226">
        <v>3.0144067511376382E-2</v>
      </c>
      <c r="Q226" t="s">
        <v>165</v>
      </c>
      <c r="S226" t="s">
        <v>233</v>
      </c>
      <c r="T226" t="s">
        <v>308</v>
      </c>
      <c r="U226">
        <v>2.9651177185270949E-2</v>
      </c>
      <c r="V226" t="s">
        <v>165</v>
      </c>
    </row>
    <row r="227" spans="9:22" x14ac:dyDescent="0.45">
      <c r="I227" t="s">
        <v>191</v>
      </c>
      <c r="J227" t="s">
        <v>297</v>
      </c>
      <c r="K227">
        <v>0.19289127435060058</v>
      </c>
      <c r="L227" t="s">
        <v>165</v>
      </c>
      <c r="N227" t="s">
        <v>215</v>
      </c>
      <c r="O227" t="s">
        <v>297</v>
      </c>
      <c r="P227">
        <v>8.6054249587030396E-2</v>
      </c>
      <c r="Q227" t="s">
        <v>165</v>
      </c>
      <c r="S227" t="s">
        <v>234</v>
      </c>
      <c r="T227" t="s">
        <v>297</v>
      </c>
      <c r="U227">
        <v>8.6226286240200692E-2</v>
      </c>
      <c r="V227" t="s">
        <v>165</v>
      </c>
    </row>
    <row r="228" spans="9:22" x14ac:dyDescent="0.45">
      <c r="I228" t="s">
        <v>191</v>
      </c>
      <c r="J228" t="s">
        <v>298</v>
      </c>
      <c r="K228">
        <v>6.0976063367927898E-6</v>
      </c>
      <c r="L228" t="s">
        <v>165</v>
      </c>
      <c r="N228" t="s">
        <v>215</v>
      </c>
      <c r="O228" t="s">
        <v>298</v>
      </c>
      <c r="P228">
        <v>7.2228033721671164E-2</v>
      </c>
      <c r="Q228" t="s">
        <v>165</v>
      </c>
      <c r="S228" t="s">
        <v>234</v>
      </c>
      <c r="T228" t="s">
        <v>298</v>
      </c>
      <c r="U228">
        <v>8.9669252116020892E-2</v>
      </c>
      <c r="V228" t="s">
        <v>165</v>
      </c>
    </row>
    <row r="229" spans="9:22" x14ac:dyDescent="0.45">
      <c r="I229" t="s">
        <v>191</v>
      </c>
      <c r="J229" t="s">
        <v>299</v>
      </c>
      <c r="K229">
        <v>1.47244723076257E-2</v>
      </c>
      <c r="L229" t="s">
        <v>165</v>
      </c>
      <c r="N229" t="s">
        <v>215</v>
      </c>
      <c r="O229" t="s">
        <v>299</v>
      </c>
      <c r="P229">
        <v>1.6153096458950029E-2</v>
      </c>
      <c r="Q229" t="s">
        <v>165</v>
      </c>
      <c r="S229" t="s">
        <v>234</v>
      </c>
      <c r="T229" t="s">
        <v>299</v>
      </c>
      <c r="U229">
        <v>1.5883913591275164E-2</v>
      </c>
      <c r="V229" t="s">
        <v>165</v>
      </c>
    </row>
    <row r="230" spans="9:22" x14ac:dyDescent="0.45">
      <c r="I230" t="s">
        <v>191</v>
      </c>
      <c r="J230" t="s">
        <v>300</v>
      </c>
      <c r="K230">
        <v>0.26189971236390197</v>
      </c>
      <c r="L230" t="s">
        <v>165</v>
      </c>
      <c r="N230" t="s">
        <v>215</v>
      </c>
      <c r="O230" t="s">
        <v>300</v>
      </c>
      <c r="P230">
        <v>0.1954209910645168</v>
      </c>
      <c r="Q230" t="s">
        <v>165</v>
      </c>
      <c r="S230" t="s">
        <v>234</v>
      </c>
      <c r="T230" t="s">
        <v>300</v>
      </c>
      <c r="U230">
        <v>0.14640422828201646</v>
      </c>
      <c r="V230" t="s">
        <v>165</v>
      </c>
    </row>
    <row r="231" spans="9:22" x14ac:dyDescent="0.45">
      <c r="I231" t="s">
        <v>191</v>
      </c>
      <c r="J231" t="s">
        <v>301</v>
      </c>
      <c r="K231">
        <v>4.1532929690058246E-3</v>
      </c>
      <c r="L231" t="s">
        <v>165</v>
      </c>
      <c r="N231" t="s">
        <v>215</v>
      </c>
      <c r="O231" t="s">
        <v>301</v>
      </c>
      <c r="P231">
        <v>0.19052602258020684</v>
      </c>
      <c r="Q231" t="s">
        <v>165</v>
      </c>
      <c r="S231" t="s">
        <v>234</v>
      </c>
      <c r="T231" t="s">
        <v>301</v>
      </c>
      <c r="U231">
        <v>0.15000406504379543</v>
      </c>
      <c r="V231" t="s">
        <v>165</v>
      </c>
    </row>
    <row r="232" spans="9:22" x14ac:dyDescent="0.45">
      <c r="I232" t="s">
        <v>191</v>
      </c>
      <c r="J232" t="s">
        <v>302</v>
      </c>
      <c r="K232">
        <v>3.2249550770953025E-2</v>
      </c>
      <c r="L232" t="s">
        <v>165</v>
      </c>
      <c r="N232" t="s">
        <v>215</v>
      </c>
      <c r="O232" t="s">
        <v>302</v>
      </c>
      <c r="P232">
        <v>3.4698083795444472E-2</v>
      </c>
      <c r="Q232" t="s">
        <v>165</v>
      </c>
      <c r="S232" t="s">
        <v>234</v>
      </c>
      <c r="T232" t="s">
        <v>302</v>
      </c>
      <c r="U232">
        <v>2.6822457771292729E-2</v>
      </c>
      <c r="V232" t="s">
        <v>165</v>
      </c>
    </row>
    <row r="233" spans="9:22" x14ac:dyDescent="0.45">
      <c r="I233" t="s">
        <v>191</v>
      </c>
      <c r="J233" t="s">
        <v>303</v>
      </c>
      <c r="K233">
        <v>0.3018547085280151</v>
      </c>
      <c r="L233" t="s">
        <v>165</v>
      </c>
      <c r="N233" t="s">
        <v>215</v>
      </c>
      <c r="O233" t="s">
        <v>303</v>
      </c>
      <c r="P233">
        <v>3.827273277091011E-2</v>
      </c>
      <c r="Q233" t="s">
        <v>165</v>
      </c>
      <c r="S233" t="s">
        <v>234</v>
      </c>
      <c r="T233" t="s">
        <v>303</v>
      </c>
      <c r="U233">
        <v>6.894932913897503E-2</v>
      </c>
      <c r="V233" t="s">
        <v>165</v>
      </c>
    </row>
    <row r="234" spans="9:22" x14ac:dyDescent="0.45">
      <c r="I234" t="s">
        <v>191</v>
      </c>
      <c r="J234" t="s">
        <v>304</v>
      </c>
      <c r="K234">
        <v>9.8097585607738076E-3</v>
      </c>
      <c r="L234" t="s">
        <v>165</v>
      </c>
      <c r="N234" t="s">
        <v>215</v>
      </c>
      <c r="O234" t="s">
        <v>304</v>
      </c>
      <c r="P234">
        <v>3.8605370491636717E-2</v>
      </c>
      <c r="Q234" t="s">
        <v>165</v>
      </c>
      <c r="S234" t="s">
        <v>234</v>
      </c>
      <c r="T234" t="s">
        <v>304</v>
      </c>
      <c r="U234">
        <v>7.5223719683161147E-2</v>
      </c>
      <c r="V234" t="s">
        <v>165</v>
      </c>
    </row>
    <row r="235" spans="9:22" x14ac:dyDescent="0.45">
      <c r="I235" t="s">
        <v>191</v>
      </c>
      <c r="J235" t="s">
        <v>305</v>
      </c>
      <c r="K235">
        <v>3.8665700520474411E-2</v>
      </c>
      <c r="L235" t="s">
        <v>165</v>
      </c>
      <c r="N235" t="s">
        <v>215</v>
      </c>
      <c r="O235" t="s">
        <v>305</v>
      </c>
      <c r="P235">
        <v>9.8075390821528857E-3</v>
      </c>
      <c r="Q235" t="s">
        <v>165</v>
      </c>
      <c r="S235" t="s">
        <v>234</v>
      </c>
      <c r="T235" t="s">
        <v>305</v>
      </c>
      <c r="U235">
        <v>1.7771892256335055E-2</v>
      </c>
      <c r="V235" t="s">
        <v>165</v>
      </c>
    </row>
    <row r="236" spans="9:22" x14ac:dyDescent="0.45">
      <c r="I236" t="s">
        <v>191</v>
      </c>
      <c r="J236" t="s">
        <v>306</v>
      </c>
      <c r="K236">
        <v>0.13717852930679372</v>
      </c>
      <c r="L236" t="s">
        <v>165</v>
      </c>
      <c r="N236" t="s">
        <v>215</v>
      </c>
      <c r="O236" t="s">
        <v>306</v>
      </c>
      <c r="P236">
        <v>0.14345364905599317</v>
      </c>
      <c r="Q236" t="s">
        <v>165</v>
      </c>
      <c r="S236" t="s">
        <v>234</v>
      </c>
      <c r="T236" t="s">
        <v>306</v>
      </c>
      <c r="U236">
        <v>0.15120902321944524</v>
      </c>
      <c r="V236" t="s">
        <v>165</v>
      </c>
    </row>
    <row r="237" spans="9:22" x14ac:dyDescent="0.45">
      <c r="I237" t="s">
        <v>191</v>
      </c>
      <c r="J237" t="s">
        <v>307</v>
      </c>
      <c r="K237">
        <v>0</v>
      </c>
      <c r="L237" t="s">
        <v>165</v>
      </c>
      <c r="N237" t="s">
        <v>215</v>
      </c>
      <c r="O237" t="s">
        <v>307</v>
      </c>
      <c r="P237">
        <v>0.14664336705975167</v>
      </c>
      <c r="Q237" t="s">
        <v>165</v>
      </c>
      <c r="S237" t="s">
        <v>234</v>
      </c>
      <c r="T237" t="s">
        <v>307</v>
      </c>
      <c r="U237">
        <v>0.14289240596967326</v>
      </c>
      <c r="V237" t="s">
        <v>165</v>
      </c>
    </row>
    <row r="238" spans="9:22" x14ac:dyDescent="0.45">
      <c r="I238" t="s">
        <v>191</v>
      </c>
      <c r="J238" t="s">
        <v>308</v>
      </c>
      <c r="K238">
        <v>6.566902715517609E-3</v>
      </c>
      <c r="L238" t="s">
        <v>165</v>
      </c>
      <c r="N238" t="s">
        <v>215</v>
      </c>
      <c r="O238" t="s">
        <v>308</v>
      </c>
      <c r="P238">
        <v>2.8136864331738381E-2</v>
      </c>
      <c r="Q238" t="s">
        <v>165</v>
      </c>
      <c r="S238" t="s">
        <v>234</v>
      </c>
      <c r="T238" t="s">
        <v>308</v>
      </c>
      <c r="U238">
        <v>2.8943426687811677E-2</v>
      </c>
      <c r="V238" t="s">
        <v>165</v>
      </c>
    </row>
    <row r="239" spans="9:22" x14ac:dyDescent="0.45">
      <c r="I239" t="s">
        <v>192</v>
      </c>
      <c r="J239" t="s">
        <v>297</v>
      </c>
      <c r="K239">
        <v>0.18654981420686079</v>
      </c>
      <c r="L239" t="s">
        <v>165</v>
      </c>
    </row>
    <row r="240" spans="9:22" x14ac:dyDescent="0.45">
      <c r="I240" t="s">
        <v>192</v>
      </c>
      <c r="J240" t="s">
        <v>298</v>
      </c>
      <c r="K240">
        <v>4.6453071303094993E-4</v>
      </c>
      <c r="L240" t="s">
        <v>165</v>
      </c>
    </row>
    <row r="241" spans="9:12" x14ac:dyDescent="0.45">
      <c r="I241" t="s">
        <v>192</v>
      </c>
      <c r="J241" t="s">
        <v>299</v>
      </c>
      <c r="K241">
        <v>1.7355433872470315E-2</v>
      </c>
      <c r="L241" t="s">
        <v>165</v>
      </c>
    </row>
    <row r="242" spans="9:12" x14ac:dyDescent="0.45">
      <c r="I242" t="s">
        <v>192</v>
      </c>
      <c r="J242" t="s">
        <v>300</v>
      </c>
      <c r="K242">
        <v>0.24377556620344024</v>
      </c>
      <c r="L242" t="s">
        <v>165</v>
      </c>
    </row>
    <row r="243" spans="9:12" x14ac:dyDescent="0.45">
      <c r="I243" t="s">
        <v>192</v>
      </c>
      <c r="J243" t="s">
        <v>301</v>
      </c>
      <c r="K243">
        <v>5.7199768779249878E-3</v>
      </c>
      <c r="L243" t="s">
        <v>165</v>
      </c>
    </row>
    <row r="244" spans="9:12" x14ac:dyDescent="0.45">
      <c r="I244" t="s">
        <v>192</v>
      </c>
      <c r="J244" t="s">
        <v>302</v>
      </c>
      <c r="K244">
        <v>3.3984139604446351E-2</v>
      </c>
      <c r="L244" t="s">
        <v>165</v>
      </c>
    </row>
    <row r="245" spans="9:12" x14ac:dyDescent="0.45">
      <c r="I245" t="s">
        <v>192</v>
      </c>
      <c r="J245" t="s">
        <v>303</v>
      </c>
      <c r="K245">
        <v>0.30406905858930178</v>
      </c>
      <c r="L245" t="s">
        <v>165</v>
      </c>
    </row>
    <row r="246" spans="9:12" x14ac:dyDescent="0.45">
      <c r="I246" t="s">
        <v>192</v>
      </c>
      <c r="J246" t="s">
        <v>304</v>
      </c>
      <c r="K246">
        <v>1.4049287111119224E-2</v>
      </c>
      <c r="L246" t="s">
        <v>165</v>
      </c>
    </row>
    <row r="247" spans="9:12" x14ac:dyDescent="0.45">
      <c r="I247" t="s">
        <v>192</v>
      </c>
      <c r="J247" t="s">
        <v>305</v>
      </c>
      <c r="K247">
        <v>4.3147596818723925E-2</v>
      </c>
      <c r="L247" t="s">
        <v>165</v>
      </c>
    </row>
    <row r="248" spans="9:12" x14ac:dyDescent="0.45">
      <c r="I248" t="s">
        <v>192</v>
      </c>
      <c r="J248" t="s">
        <v>306</v>
      </c>
      <c r="K248">
        <v>0.14074044724008258</v>
      </c>
      <c r="L248" t="s">
        <v>165</v>
      </c>
    </row>
    <row r="249" spans="9:12" x14ac:dyDescent="0.45">
      <c r="I249" t="s">
        <v>192</v>
      </c>
      <c r="J249" t="s">
        <v>307</v>
      </c>
      <c r="K249">
        <v>0</v>
      </c>
      <c r="L249" t="s">
        <v>165</v>
      </c>
    </row>
    <row r="250" spans="9:12" x14ac:dyDescent="0.45">
      <c r="I250" t="s">
        <v>192</v>
      </c>
      <c r="J250" t="s">
        <v>308</v>
      </c>
      <c r="K250">
        <v>1.0144148762595593E-2</v>
      </c>
      <c r="L250" t="s">
        <v>165</v>
      </c>
    </row>
    <row r="251" spans="9:12" x14ac:dyDescent="0.45">
      <c r="I251" t="s">
        <v>193</v>
      </c>
      <c r="J251" t="s">
        <v>297</v>
      </c>
      <c r="K251">
        <v>0.19032578445101184</v>
      </c>
      <c r="L251" t="s">
        <v>165</v>
      </c>
    </row>
    <row r="252" spans="9:12" x14ac:dyDescent="0.45">
      <c r="I252" t="s">
        <v>193</v>
      </c>
      <c r="J252" t="s">
        <v>298</v>
      </c>
      <c r="K252">
        <v>6.1739575394274734E-5</v>
      </c>
      <c r="L252" t="s">
        <v>165</v>
      </c>
    </row>
    <row r="253" spans="9:12" x14ac:dyDescent="0.45">
      <c r="I253" t="s">
        <v>193</v>
      </c>
      <c r="J253" t="s">
        <v>299</v>
      </c>
      <c r="K253">
        <v>1.538982567422398E-2</v>
      </c>
      <c r="L253" t="s">
        <v>165</v>
      </c>
    </row>
    <row r="254" spans="9:12" x14ac:dyDescent="0.45">
      <c r="I254" t="s">
        <v>193</v>
      </c>
      <c r="J254" t="s">
        <v>300</v>
      </c>
      <c r="K254">
        <v>0.25094453699509345</v>
      </c>
      <c r="L254" t="s">
        <v>165</v>
      </c>
    </row>
    <row r="255" spans="9:12" x14ac:dyDescent="0.45">
      <c r="I255" t="s">
        <v>193</v>
      </c>
      <c r="J255" t="s">
        <v>301</v>
      </c>
      <c r="K255">
        <v>4.5595465710010132E-3</v>
      </c>
      <c r="L255" t="s">
        <v>165</v>
      </c>
    </row>
    <row r="256" spans="9:12" x14ac:dyDescent="0.45">
      <c r="I256" t="s">
        <v>193</v>
      </c>
      <c r="J256" t="s">
        <v>302</v>
      </c>
      <c r="K256">
        <v>3.2183848489497985E-2</v>
      </c>
      <c r="L256" t="s">
        <v>165</v>
      </c>
    </row>
    <row r="257" spans="9:12" x14ac:dyDescent="0.45">
      <c r="I257" t="s">
        <v>193</v>
      </c>
      <c r="J257" t="s">
        <v>303</v>
      </c>
      <c r="K257">
        <v>0.30266559473900595</v>
      </c>
      <c r="L257" t="s">
        <v>165</v>
      </c>
    </row>
    <row r="258" spans="9:12" x14ac:dyDescent="0.45">
      <c r="I258" t="s">
        <v>193</v>
      </c>
      <c r="J258" t="s">
        <v>304</v>
      </c>
      <c r="K258">
        <v>1.0818027951490105E-2</v>
      </c>
      <c r="L258" t="s">
        <v>165</v>
      </c>
    </row>
    <row r="259" spans="9:12" x14ac:dyDescent="0.45">
      <c r="I259" t="s">
        <v>193</v>
      </c>
      <c r="J259" t="s">
        <v>305</v>
      </c>
      <c r="K259">
        <v>3.970821087693762E-2</v>
      </c>
      <c r="L259" t="s">
        <v>165</v>
      </c>
    </row>
    <row r="260" spans="9:12" x14ac:dyDescent="0.45">
      <c r="I260" t="s">
        <v>193</v>
      </c>
      <c r="J260" t="s">
        <v>306</v>
      </c>
      <c r="K260">
        <v>0.14472939050644593</v>
      </c>
      <c r="L260" t="s">
        <v>165</v>
      </c>
    </row>
    <row r="261" spans="9:12" x14ac:dyDescent="0.45">
      <c r="I261" t="s">
        <v>193</v>
      </c>
      <c r="J261" t="s">
        <v>307</v>
      </c>
      <c r="K261">
        <v>0</v>
      </c>
      <c r="L261" t="s">
        <v>165</v>
      </c>
    </row>
    <row r="262" spans="9:12" x14ac:dyDescent="0.45">
      <c r="I262" t="s">
        <v>193</v>
      </c>
      <c r="J262" t="s">
        <v>308</v>
      </c>
      <c r="K262">
        <v>8.6134941698995295E-3</v>
      </c>
      <c r="L262" t="s">
        <v>165</v>
      </c>
    </row>
    <row r="263" spans="9:12" x14ac:dyDescent="0.45">
      <c r="I263" t="s">
        <v>194</v>
      </c>
      <c r="J263" t="s">
        <v>297</v>
      </c>
      <c r="K263">
        <v>0.17373175330920837</v>
      </c>
      <c r="L263" t="s">
        <v>165</v>
      </c>
    </row>
    <row r="264" spans="9:12" x14ac:dyDescent="0.45">
      <c r="I264" t="s">
        <v>194</v>
      </c>
      <c r="J264" t="s">
        <v>298</v>
      </c>
      <c r="K264">
        <v>5.8027138668197815E-4</v>
      </c>
      <c r="L264" t="s">
        <v>165</v>
      </c>
    </row>
    <row r="265" spans="9:12" x14ac:dyDescent="0.45">
      <c r="I265" t="s">
        <v>194</v>
      </c>
      <c r="J265" t="s">
        <v>299</v>
      </c>
      <c r="K265">
        <v>1.5335075506814986E-2</v>
      </c>
      <c r="L265" t="s">
        <v>165</v>
      </c>
    </row>
    <row r="266" spans="9:12" x14ac:dyDescent="0.45">
      <c r="I266" t="s">
        <v>194</v>
      </c>
      <c r="J266" t="s">
        <v>300</v>
      </c>
      <c r="K266">
        <v>0.24303559562652541</v>
      </c>
      <c r="L266" t="s">
        <v>165</v>
      </c>
    </row>
    <row r="267" spans="9:12" x14ac:dyDescent="0.45">
      <c r="I267" t="s">
        <v>194</v>
      </c>
      <c r="J267" t="s">
        <v>301</v>
      </c>
      <c r="K267">
        <v>5.9561318261120372E-3</v>
      </c>
      <c r="L267" t="s">
        <v>165</v>
      </c>
    </row>
    <row r="268" spans="9:12" x14ac:dyDescent="0.45">
      <c r="I268" t="s">
        <v>194</v>
      </c>
      <c r="J268" t="s">
        <v>302</v>
      </c>
      <c r="K268">
        <v>3.2454361733186173E-2</v>
      </c>
      <c r="L268" t="s">
        <v>165</v>
      </c>
    </row>
    <row r="269" spans="9:12" x14ac:dyDescent="0.45">
      <c r="I269" t="s">
        <v>194</v>
      </c>
      <c r="J269" t="s">
        <v>303</v>
      </c>
      <c r="K269">
        <v>0.32702702292029684</v>
      </c>
      <c r="L269" t="s">
        <v>165</v>
      </c>
    </row>
    <row r="270" spans="9:12" x14ac:dyDescent="0.45">
      <c r="I270" t="s">
        <v>194</v>
      </c>
      <c r="J270" t="s">
        <v>304</v>
      </c>
      <c r="K270">
        <v>1.5961383308455954E-2</v>
      </c>
      <c r="L270" t="s">
        <v>165</v>
      </c>
    </row>
    <row r="271" spans="9:12" x14ac:dyDescent="0.45">
      <c r="I271" t="s">
        <v>194</v>
      </c>
      <c r="J271" t="s">
        <v>305</v>
      </c>
      <c r="K271">
        <v>4.8285005012538261E-2</v>
      </c>
      <c r="L271" t="s">
        <v>165</v>
      </c>
    </row>
    <row r="272" spans="9:12" x14ac:dyDescent="0.45">
      <c r="I272" t="s">
        <v>194</v>
      </c>
      <c r="J272" t="s">
        <v>306</v>
      </c>
      <c r="K272">
        <v>0.13031924293960293</v>
      </c>
      <c r="L272" t="s">
        <v>165</v>
      </c>
    </row>
    <row r="273" spans="9:12" x14ac:dyDescent="0.45">
      <c r="I273" t="s">
        <v>194</v>
      </c>
      <c r="J273" t="s">
        <v>307</v>
      </c>
      <c r="K273">
        <v>0</v>
      </c>
      <c r="L273" t="s">
        <v>165</v>
      </c>
    </row>
    <row r="274" spans="9:12" x14ac:dyDescent="0.45">
      <c r="I274" t="s">
        <v>194</v>
      </c>
      <c r="J274" t="s">
        <v>308</v>
      </c>
      <c r="K274">
        <v>7.3141564305761785E-3</v>
      </c>
      <c r="L274" t="s">
        <v>165</v>
      </c>
    </row>
    <row r="275" spans="9:12" x14ac:dyDescent="0.45">
      <c r="I275" t="s">
        <v>195</v>
      </c>
      <c r="J275" t="s">
        <v>297</v>
      </c>
      <c r="K275">
        <v>0.18463760470986576</v>
      </c>
      <c r="L275" t="s">
        <v>165</v>
      </c>
    </row>
    <row r="276" spans="9:12" x14ac:dyDescent="0.45">
      <c r="I276" t="s">
        <v>195</v>
      </c>
      <c r="J276" t="s">
        <v>298</v>
      </c>
      <c r="K276">
        <v>2.5350956414119959E-4</v>
      </c>
      <c r="L276" t="s">
        <v>165</v>
      </c>
    </row>
    <row r="277" spans="9:12" x14ac:dyDescent="0.45">
      <c r="I277" t="s">
        <v>195</v>
      </c>
      <c r="J277" t="s">
        <v>299</v>
      </c>
      <c r="K277">
        <v>1.5695986236601029E-2</v>
      </c>
      <c r="L277" t="s">
        <v>165</v>
      </c>
    </row>
    <row r="278" spans="9:12" x14ac:dyDescent="0.45">
      <c r="I278" t="s">
        <v>195</v>
      </c>
      <c r="J278" t="s">
        <v>300</v>
      </c>
      <c r="K278">
        <v>0.24976478348863684</v>
      </c>
      <c r="L278" t="s">
        <v>165</v>
      </c>
    </row>
    <row r="279" spans="9:12" x14ac:dyDescent="0.45">
      <c r="I279" t="s">
        <v>195</v>
      </c>
      <c r="J279" t="s">
        <v>301</v>
      </c>
      <c r="K279">
        <v>5.0496227866211859E-3</v>
      </c>
      <c r="L279" t="s">
        <v>165</v>
      </c>
    </row>
    <row r="280" spans="9:12" x14ac:dyDescent="0.45">
      <c r="I280" t="s">
        <v>195</v>
      </c>
      <c r="J280" t="s">
        <v>302</v>
      </c>
      <c r="K280">
        <v>3.1351713824979179E-2</v>
      </c>
      <c r="L280" t="s">
        <v>165</v>
      </c>
    </row>
    <row r="281" spans="9:12" x14ac:dyDescent="0.45">
      <c r="I281" t="s">
        <v>195</v>
      </c>
      <c r="J281" t="s">
        <v>303</v>
      </c>
      <c r="K281">
        <v>0.31865427110722999</v>
      </c>
      <c r="L281" t="s">
        <v>165</v>
      </c>
    </row>
    <row r="282" spans="9:12" x14ac:dyDescent="0.45">
      <c r="I282" t="s">
        <v>195</v>
      </c>
      <c r="J282" t="s">
        <v>304</v>
      </c>
      <c r="K282">
        <v>1.4218543152904321E-2</v>
      </c>
      <c r="L282" t="s">
        <v>165</v>
      </c>
    </row>
    <row r="283" spans="9:12" x14ac:dyDescent="0.45">
      <c r="I283" t="s">
        <v>195</v>
      </c>
      <c r="J283" t="s">
        <v>305</v>
      </c>
      <c r="K283">
        <v>4.4474048952389808E-2</v>
      </c>
      <c r="L283" t="s">
        <v>165</v>
      </c>
    </row>
    <row r="284" spans="9:12" x14ac:dyDescent="0.45">
      <c r="I284" t="s">
        <v>195</v>
      </c>
      <c r="J284" t="s">
        <v>306</v>
      </c>
      <c r="K284">
        <v>0.12940443131465287</v>
      </c>
      <c r="L284" t="s">
        <v>165</v>
      </c>
    </row>
    <row r="285" spans="9:12" x14ac:dyDescent="0.45">
      <c r="I285" t="s">
        <v>195</v>
      </c>
      <c r="J285" t="s">
        <v>307</v>
      </c>
      <c r="K285">
        <v>0</v>
      </c>
      <c r="L285" t="s">
        <v>165</v>
      </c>
    </row>
    <row r="286" spans="9:12" x14ac:dyDescent="0.45">
      <c r="I286" t="s">
        <v>195</v>
      </c>
      <c r="J286" t="s">
        <v>308</v>
      </c>
      <c r="K286">
        <v>6.4954848619766161E-3</v>
      </c>
      <c r="L286" t="s">
        <v>165</v>
      </c>
    </row>
    <row r="287" spans="9:12" x14ac:dyDescent="0.45">
      <c r="I287" t="s">
        <v>196</v>
      </c>
      <c r="J287" t="s">
        <v>297</v>
      </c>
      <c r="K287">
        <v>0.17540246801005549</v>
      </c>
      <c r="L287" t="s">
        <v>165</v>
      </c>
    </row>
    <row r="288" spans="9:12" x14ac:dyDescent="0.45">
      <c r="I288" t="s">
        <v>196</v>
      </c>
      <c r="J288" t="s">
        <v>298</v>
      </c>
      <c r="K288">
        <v>6.558725268341766E-4</v>
      </c>
      <c r="L288" t="s">
        <v>165</v>
      </c>
    </row>
    <row r="289" spans="9:12" x14ac:dyDescent="0.45">
      <c r="I289" t="s">
        <v>196</v>
      </c>
      <c r="J289" t="s">
        <v>299</v>
      </c>
      <c r="K289">
        <v>1.6122952267671378E-2</v>
      </c>
      <c r="L289" t="s">
        <v>165</v>
      </c>
    </row>
    <row r="290" spans="9:12" x14ac:dyDescent="0.45">
      <c r="I290" t="s">
        <v>196</v>
      </c>
      <c r="J290" t="s">
        <v>300</v>
      </c>
      <c r="K290">
        <v>0.23993798986975123</v>
      </c>
      <c r="L290" t="s">
        <v>165</v>
      </c>
    </row>
    <row r="291" spans="9:12" x14ac:dyDescent="0.45">
      <c r="I291" t="s">
        <v>196</v>
      </c>
      <c r="J291" t="s">
        <v>301</v>
      </c>
      <c r="K291">
        <v>6.1790632618135425E-3</v>
      </c>
      <c r="L291" t="s">
        <v>165</v>
      </c>
    </row>
    <row r="292" spans="9:12" x14ac:dyDescent="0.45">
      <c r="I292" t="s">
        <v>196</v>
      </c>
      <c r="J292" t="s">
        <v>302</v>
      </c>
      <c r="K292">
        <v>3.3129334963457227E-2</v>
      </c>
      <c r="L292" t="s">
        <v>165</v>
      </c>
    </row>
    <row r="293" spans="9:12" x14ac:dyDescent="0.45">
      <c r="I293" t="s">
        <v>196</v>
      </c>
      <c r="J293" t="s">
        <v>303</v>
      </c>
      <c r="K293">
        <v>0.32844593274633355</v>
      </c>
      <c r="L293" t="s">
        <v>165</v>
      </c>
    </row>
    <row r="294" spans="9:12" x14ac:dyDescent="0.45">
      <c r="I294" t="s">
        <v>196</v>
      </c>
      <c r="J294" t="s">
        <v>304</v>
      </c>
      <c r="K294">
        <v>1.5812318275017473E-2</v>
      </c>
      <c r="L294" t="s">
        <v>165</v>
      </c>
    </row>
    <row r="295" spans="9:12" x14ac:dyDescent="0.45">
      <c r="I295" t="s">
        <v>196</v>
      </c>
      <c r="J295" t="s">
        <v>305</v>
      </c>
      <c r="K295">
        <v>4.5757653598531976E-2</v>
      </c>
      <c r="L295" t="s">
        <v>165</v>
      </c>
    </row>
    <row r="296" spans="9:12" x14ac:dyDescent="0.45">
      <c r="I296" t="s">
        <v>196</v>
      </c>
      <c r="J296" t="s">
        <v>306</v>
      </c>
      <c r="K296">
        <v>0.13037014071083297</v>
      </c>
      <c r="L296" t="s">
        <v>165</v>
      </c>
    </row>
    <row r="297" spans="9:12" x14ac:dyDescent="0.45">
      <c r="I297" t="s">
        <v>196</v>
      </c>
      <c r="J297" t="s">
        <v>307</v>
      </c>
      <c r="K297">
        <v>0</v>
      </c>
      <c r="L297" t="s">
        <v>165</v>
      </c>
    </row>
    <row r="298" spans="9:12" x14ac:dyDescent="0.45">
      <c r="I298" t="s">
        <v>196</v>
      </c>
      <c r="J298" t="s">
        <v>308</v>
      </c>
      <c r="K298">
        <v>8.1862737696997839E-3</v>
      </c>
      <c r="L298" t="s">
        <v>165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Veda</vt:lpstr>
      <vt:lpstr>fuel_prices</vt:lpstr>
      <vt:lpstr>iea_data</vt:lpstr>
      <vt:lpstr>ar6_r10</vt:lpstr>
      <vt:lpstr>ev_charging_uc</vt:lpstr>
      <vt:lpstr>ts_012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2025-09-19T12:53:40Z</dcterms:modified>
</cp:coreProperties>
</file>