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066D3483-6E91-4142-B241-0CDA89AE7F3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<sst xmlns="http://schemas.openxmlformats.org/spreadsheetml/2006/main" count="2091" uniqueCount="616">
  <si>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</si>
  <si>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</si>
  <si>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</si>
  <si>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</si>
  <si>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</si>
  <si>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</si>
  <si>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</si>
  <si>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</si>
  <si>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</si>
  <si>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</si>
  <si>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</si>
  <si>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</si>
  <si>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</si>
  <si>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</si>
  <si>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</si>
  <si>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</si>
  <si>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</si>
  <si>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</si>
  <si>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</si>
  <si>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</si>
  <si>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</si>
  <si>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</si>
  <si>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</si>
  <si>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</si>
  <si>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</si>
  <si>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</si>
  <si>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</si>
  <si>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</si>
  <si>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</si>
  <si>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</si>
  <si>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</si>
  <si>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</si>
  <si>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</si>
  <si>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</si>
  <si>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</si>
  <si>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</si>
  <si>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</si>
  <si>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</si>
  <si>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</si>
  <si>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</si>
  <si>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</si>
  <si>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</si>
  <si>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</si>
  <si>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</si>
  <si>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</si>
  <si>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</si>
  <si>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</si>
  <si>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</si>
  <si>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</si>
  <si>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</si>
  <si>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</si>
  <si>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</si>
  <si>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</si>
  <si>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</si>
  <si>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</si>
  <si>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</si>
  <si>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</si>
  <si>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</si>
  <si>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</si>
  <si>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</si>
  <si>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</si>
  <si>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</si>
  <si>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</si>
  <si>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</si>
  <si>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</si>
  <si>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</si>
  <si>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</si>
  <si>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</si>
  <si>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</si>
  <si>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</si>
  <si>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</si>
  <si>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</si>
  <si>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</si>
  <si>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</si>
  <si>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</si>
  <si>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</si>
  <si>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</si>
  <si>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</si>
  <si>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</si>
  <si>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</si>
  <si>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</si>
  <si>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</si>
  <si>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</si>
  <si>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</si>
  <si>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</si>
  <si>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</si>
  <si>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</si>
  <si>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</si>
  <si>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</si>
  <si>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</si>
  <si>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</si>
  <si>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</si>
  <si>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</si>
  <si>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</si>
  <si>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</si>
  <si>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</si>
  <si>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</si>
  <si>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</si>
  <si>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</si>
  <si>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</si>
  <si>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</si>
  <si>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</si>
  <si>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</si>
  <si>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</si>
  <si>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</si>
  <si>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</si>
  <si>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</si>
  <si>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</si>
  <si>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</si>
  <si>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</si>
  <si>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</si>
  <si>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</si>
  <si>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</si>
  <si>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</si>
  <si>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</si>
  <si>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</si>
  <si>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</si>
  <si>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</si>
  <si>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</si>
  <si>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</si>
  <si>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</si>
  <si>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</si>
  <si>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</si>
  <si>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</si>
  <si>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</si>
  <si>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</si>
  <si>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</si>
  <si>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</si>
  <si>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</si>
  <si>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</si>
  <si>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</si>
  <si>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</si>
  <si>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</si>
  <si>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</si>
  <si>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</si>
  <si>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</si>
  <si>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</si>
  <si>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</si>
  <si>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</si>
  <si>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</si>
  <si>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</si>
  <si>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</si>
  <si>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</si>
  <si>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</si>
  <si>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</si>
  <si>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</si>
  <si>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</si>
  <si>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</si>
  <si>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</si>
  <si>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</si>
  <si>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</si>
  <si>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</si>
  <si>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</si>
  <si>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</si>
  <si>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</si>
  <si>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</si>
  <si>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</si>
  <si>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</si>
  <si>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</si>
  <si>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</si>
  <si>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</si>
  <si>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</si>
  <si>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</si>
  <si>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</si>
  <si>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</si>
  <si>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</si>
  <si>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</si>
  <si>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</si>
  <si>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</si>
  <si>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</si>
  <si>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</si>
  <si>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</si>
  <si>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</si>
  <si>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</si>
  <si>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</si>
  <si>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</si>
  <si>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</si>
  <si>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</si>
  <si>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</si>
  <si>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</si>
  <si>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</si>
  <si>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</si>
  <si>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</si>
  <si>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</si>
  <si>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</si>
  <si>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</si>
  <si>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</si>
  <si>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</si>
  <si>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</si>
  <si>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</si>
  <si>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</si>
  <si>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</si>
  <si>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</si>
  <si>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</si>
  <si>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</si>
  <si>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</si>
  <si>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</si>
  <si>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</si>
  <si>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</si>
  <si>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</si>
  <si>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</si>
  <si>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</si>
  <si>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</si>
  <si>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</si>
  <si>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</si>
  <si>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</si>
  <si>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</si>
  <si>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</si>
  <si>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</si>
  <si>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</si>
  <si>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</si>
  <si>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</si>
  <si>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</si>
  <si>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</si>
  <si>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</si>
  <si>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</si>
  <si>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</si>
  <si>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</si>
  <si>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</si>
  <si>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</si>
  <si>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</si>
  <si>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</si>
  <si>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</si>
  <si>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</si>
  <si>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</si>
  <si>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</si>
  <si>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</si>
  <si>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</si>
  <si>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</si>
  <si>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</si>
  <si>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</si>
  <si>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</si>
  <si>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</si>
  <si>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</si>
  <si>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</si>
  <si>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</si>
  <si>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</si>
  <si>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</si>
  <si>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</si>
  <si>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</si>
  <si>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</si>
  <si>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</si>
  <si>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</si>
  <si>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</si>
  <si>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</si>
  <si>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</si>
  <si>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</si>
  <si>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</si>
  <si>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</si>
  <si>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</si>
  <si>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</si>
  <si>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</si>
  <si>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distr_solelc_spv_008</t>
  </si>
  <si>
    <t>connecting solar to buses in cluster 8</t>
  </si>
  <si>
    <t>NRGI</t>
  </si>
  <si>
    <t>daynite</t>
  </si>
  <si>
    <t>distr_solelc_spv_001</t>
  </si>
  <si>
    <t>connecting solar to buses in cluster 1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</si>
  <si>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</si>
  <si>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</si>
  <si>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</si>
  <si>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</si>
  <si>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</si>
  <si>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</si>
  <si>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</si>
  <si>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</si>
  <si>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distr_solelc_spv_007</t>
  </si>
  <si>
    <t>connecting solar to buses in cluster 7</t>
  </si>
  <si>
    <t>distr_solelc_spv_024</t>
  </si>
  <si>
    <t>connecting solar to buses in cluster 24</t>
  </si>
  <si>
    <t>distr_solelc_spv_011</t>
  </si>
  <si>
    <t>connecting solar to buses in cluster 11</t>
  </si>
  <si>
    <t>distr_solelc_spv_003</t>
  </si>
  <si>
    <t>connecting solar to buses in cluster 3</t>
  </si>
  <si>
    <t>distr_solelc_spv_018</t>
  </si>
  <si>
    <t>connecting solar to buses in cluster 18</t>
  </si>
  <si>
    <t>distr_solelc_spv_013</t>
  </si>
  <si>
    <t>connecting solar to buses in cluster 13</t>
  </si>
  <si>
    <t>distr_solelc_spv_016</t>
  </si>
  <si>
    <t>connecting solar to buses in cluster 16</t>
  </si>
  <si>
    <t>distr_solelc_spv_015</t>
  </si>
  <si>
    <t>connecting solar to buses in cluster 15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</si>
  <si>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</si>
  <si>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</si>
  <si>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</si>
  <si>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</si>
  <si>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</si>
  <si>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</si>
  <si>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</si>
  <si>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</si>
  <si>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distr_solelc_spv_021</t>
  </si>
  <si>
    <t>connecting solar to buses in cluster 21</t>
  </si>
  <si>
    <t>distr_solelc_spv_023</t>
  </si>
  <si>
    <t>connecting solar to buses in cluster 23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</si>
  <si>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</si>
  <si>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</si>
  <si>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</si>
  <si>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</si>
  <si>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</si>
  <si>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</si>
  <si>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distr_solelc_spv_009</t>
  </si>
  <si>
    <t>connecting solar to buses in cluster 9</t>
  </si>
  <si>
    <t>comm-in</t>
  </si>
  <si>
    <t>ncap_cost~USD21_alt</t>
  </si>
  <si>
    <t>e_w100113593-380,e_IT135-380,e_r4816679-380</t>
  </si>
  <si>
    <t>e_IT93-380,e_IT71-380,e_IT72-400,e_w72581705-380,e_IT21-380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</si>
  <si>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</si>
  <si>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</si>
  <si>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</si>
  <si>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</si>
  <si>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e_w100952845-380,e_w107438024-380,e_w236661269-380,e_w105757794-380,e_w116517585-380,e_w211180338-380,e_IT106-380,e_w39255054-380,e_w131291789-380,e_IT108-380,e_w208398923-380,e_w155791516-380</t>
  </si>
  <si>
    <t>e_IT134-380,e_w339703159-380,e_w40634284-380,e_w81931074-380</t>
  </si>
  <si>
    <t>e_w255011550-380,e_w303915533-380,e_IT150-380,e_w118987056-380</t>
  </si>
  <si>
    <t>e_w104359058-380,e_IT116-380,e_w103653592-380</t>
  </si>
  <si>
    <t>e_IT40-500,e_IT30-500,e_w84301904-380,e_w82083756-380,e_w59026315-380</t>
  </si>
  <si>
    <t>e_w57384507-380,e_w61157826-380,e_w1097982502-380,e_w110138220-380,e_w338753171-380,e_w1117128898-380</t>
  </si>
  <si>
    <t>e_w108020416-380,e_w85196861-380,e_w338790588-380,e_w495354824-380,e_w449694943-380,e_IT154-380,e_w1098087457-380,e_w103306951-380,e_w126203383-380,e_w338760116-380,e_w60913666-380</t>
  </si>
  <si>
    <t>e_w321724202-380,e_w103381531-380,e_w103386958-380,e_w418902800-380,e_w145665799-380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</si>
  <si>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</si>
  <si>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</si>
  <si>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</si>
  <si>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</si>
  <si>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</si>
  <si>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</si>
  <si>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</si>
  <si>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</si>
  <si>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</si>
  <si>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e_w105757794-380,e_w107681459-380,e_w107683818-380,e_w41360305-380,e_w114931087-380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</si>
  <si>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</si>
  <si>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</si>
  <si>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</si>
  <si>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</si>
  <si>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distr_wonelc_won_008</t>
  </si>
  <si>
    <t>connecting wind onshore to buses in cluster 8</t>
  </si>
  <si>
    <t>distr_wonelc_won_012</t>
  </si>
  <si>
    <t>connecting wind onshore to buses in cluster 12</t>
  </si>
  <si>
    <t>distr_wonelc_won_009</t>
  </si>
  <si>
    <t>connecting wind onshore to buses in cluster 9</t>
  </si>
  <si>
    <t>distr_wonelc_won_002</t>
  </si>
  <si>
    <t>connecting wind onshore to buses in cluster 2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</si>
  <si>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</si>
  <si>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</si>
  <si>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</si>
  <si>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</si>
  <si>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</si>
  <si>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</si>
  <si>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</si>
  <si>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</si>
  <si>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distr_wonelc_won_015</t>
  </si>
  <si>
    <t>connecting wind onshore to buses in cluster 15</t>
  </si>
  <si>
    <t>distr_wonelc_won_019</t>
  </si>
  <si>
    <t>connecting wind onshore to buses in cluster 19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</si>
  <si>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</si>
  <si>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</si>
  <si>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</si>
  <si>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</si>
  <si>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</si>
  <si>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</si>
  <si>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</si>
  <si>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</si>
  <si>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distr_wonelc_won_011</t>
  </si>
  <si>
    <t>connecting wind onshore to buses in cluster 11</t>
  </si>
  <si>
    <t>distr_wonelc_won_016</t>
  </si>
  <si>
    <t>connecting wind onshore to buses in cluster 16</t>
  </si>
  <si>
    <t>distr_wonelc_won_010</t>
  </si>
  <si>
    <t>connecting wind onshore to buses in cluster 10</t>
  </si>
  <si>
    <t>elc_won_007</t>
  </si>
  <si>
    <t>e_IT134-380,e_w339703159-380,e_IT138-380,e_w74943205-380</t>
  </si>
  <si>
    <t>elc_won_013</t>
  </si>
  <si>
    <t>e_w108020416-380,e_w110330925-380</t>
  </si>
  <si>
    <t>elc_won_008</t>
  </si>
  <si>
    <t>e_w81938081-380,e_w143585004-380,e_w158739183-380,e_w81929591-380,e_w74943205-380</t>
  </si>
  <si>
    <t>elc_won_012</t>
  </si>
  <si>
    <t>e_w988654143-380,e_w891280888-380,e_w257351439-380,e_w209982720-380,e_w495354824-380,e_w449694943-380,e_IT154-380</t>
  </si>
  <si>
    <t>elc_won_009</t>
  </si>
  <si>
    <t>e_w60235685-380,e_w1137611914-380,e_w418565264-380,e_w411026199-380</t>
  </si>
  <si>
    <t>elc_won_002</t>
  </si>
  <si>
    <t>e_w100113593-380,e_w414663585-380,e_w416989699-380,e_IT135-380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</si>
  <si>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</si>
  <si>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</si>
  <si>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</si>
  <si>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</si>
  <si>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elc_won_004</t>
  </si>
  <si>
    <t>e_w103653592-380,e_w100952845-380</t>
  </si>
  <si>
    <t>elc_won_017</t>
  </si>
  <si>
    <t>e_IT161-380,e_w61157826-380,e_w57384507-380,e_w1097982502-380</t>
  </si>
  <si>
    <t>elc_won_015</t>
  </si>
  <si>
    <t>e_w255011550-380,e_w303915533-380,e_IT150-380,e_IT149-380,e_w409439916-380,e_w144005863-380,e_w1156702013-380,e_w118987056-380</t>
  </si>
  <si>
    <t>elc_won_019</t>
  </si>
  <si>
    <t>e_w110138220-380,e_w1103579629-380,e_w109993642-380,e_w110310021-380,e_w303965869-380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</si>
  <si>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</si>
  <si>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</si>
  <si>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</si>
  <si>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</si>
  <si>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</si>
  <si>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</si>
  <si>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</si>
  <si>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</si>
  <si>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elc_won_011</t>
  </si>
  <si>
    <t>e_w449694943-380,e_w1098087457-380,e_w103306951-380,e_w126203383-380,e_w109756016-380,e_w338760116-380,e_w60913666-380,e_w321724202-380,e_w103381531-380,e_w103386958-380,e_w418902800-380,e_w145665799-380</t>
  </si>
  <si>
    <t>elc_won_016</t>
  </si>
  <si>
    <t>e_w255011550-380,e_w57384507-380,e_w338753171-380</t>
  </si>
  <si>
    <t>elc_won_010</t>
  </si>
  <si>
    <t>e_w339706879-380,e_w36873258-380,e_r13844905-380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</si>
  <si>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</si>
  <si>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</si>
  <si>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</si>
  <si>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</si>
  <si>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distr_wofelc_wof_018</t>
  </si>
  <si>
    <t>connecting wind offshore to buses in cluster 18</t>
  </si>
  <si>
    <t>distr_wofelc_wof_002</t>
  </si>
  <si>
    <t>connecting wind offshore to buses in cluster 2</t>
  </si>
  <si>
    <t>distr_wofelc_wof_008</t>
  </si>
  <si>
    <t>connecting wind offshore to buses in cluster 8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</si>
  <si>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</si>
  <si>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</si>
  <si>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</si>
  <si>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</si>
  <si>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</si>
  <si>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</si>
  <si>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</si>
  <si>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</si>
  <si>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</si>
  <si>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</si>
  <si>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distr_wofelc_wof_014</t>
  </si>
  <si>
    <t>connecting wind offshore to buses in cluster 14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</si>
  <si>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</si>
  <si>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</si>
  <si>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</si>
  <si>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</si>
  <si>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distr_wofelc_wof_019</t>
  </si>
  <si>
    <t>connecting wind offshore to buses in cluster 19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</si>
  <si>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</si>
  <si>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</si>
  <si>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</si>
  <si>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</si>
  <si>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</si>
  <si>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</si>
  <si>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</si>
  <si>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</si>
  <si>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distr_wofelc_wof_005</t>
  </si>
  <si>
    <t>connecting wind offshore to buses in cluster 5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</si>
  <si>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</si>
  <si>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</si>
  <si>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</si>
  <si>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</si>
  <si>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elc_wof_018</t>
  </si>
  <si>
    <t>e_w57384507-380</t>
  </si>
  <si>
    <t>elc_wof_002</t>
  </si>
  <si>
    <t>e_w36873258-380</t>
  </si>
  <si>
    <t>elc_wof_008</t>
  </si>
  <si>
    <t>e_w82767145-380,e_w416989699-380,e_r17467354-380,e_w82762493-380</t>
  </si>
  <si>
    <t>elc_wof_006</t>
  </si>
  <si>
    <t>e_w409439916-380,e_w1156702013-380</t>
  </si>
  <si>
    <t>elc_wof_007</t>
  </si>
  <si>
    <t>e_w1156702013-380,e_w118987056-380,e_w82767145-380</t>
  </si>
  <si>
    <t>elc_wof_009</t>
  </si>
  <si>
    <t>e_w100113593-380,e_w414663585-380,e_w416989699-380</t>
  </si>
  <si>
    <t>elc_wof_015</t>
  </si>
  <si>
    <t>e_w255011550-380,e_w118987056-380,e_w57384507-380</t>
  </si>
  <si>
    <t>elc_wof_012</t>
  </si>
  <si>
    <t>e_w743450089-380,e_w114661587-380</t>
  </si>
  <si>
    <t>elc_wof_014</t>
  </si>
  <si>
    <t>e_w57384507-380,e_w61157826-380,e_w110138220-380</t>
  </si>
  <si>
    <t>elc_wof_011</t>
  </si>
  <si>
    <t>e_w103653592-380</t>
  </si>
  <si>
    <t>elc_wof_001</t>
  </si>
  <si>
    <t>e_w411026199-380,e_w418565264-380,e_w449694943-380</t>
  </si>
  <si>
    <t>elc_wof_019</t>
  </si>
  <si>
    <t>elc_wof_010</t>
  </si>
  <si>
    <t>e_w105757794-380,e_w414663585-380</t>
  </si>
  <si>
    <t>elc_wof_003</t>
  </si>
  <si>
    <t>e_w126203383-380,e_w432729521-380,e_w60913666-380,e_w145665799-380</t>
  </si>
  <si>
    <t>elc_wof_017</t>
  </si>
  <si>
    <t>e_w57384507-380,e_w338753171-380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</si>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</sst>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0F33-2BE1-433B-9C57-0A6B25142CEB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233</v>
      </c>
      <c r="Z11" t="s">
        <v>304</v>
      </c>
      <c r="AA11">
        <v>0.99797368969783629</v>
      </c>
      <c r="AB11">
        <v>37.149022206335331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0.99666227090030635</v>
      </c>
      <c r="AP11">
        <v>61.191700161050683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0.99519711687725765</v>
      </c>
      <c r="BD11">
        <v>88.052857250275622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226</v>
      </c>
      <c r="Z12" t="s">
        <v>305</v>
      </c>
      <c r="AA12">
        <v>0.99911795750826049</v>
      </c>
      <c r="AB12">
        <v>16.170779015225147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0.99709123993747251</v>
      </c>
      <c r="AP12">
        <v>53.327267813004184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0.99511895269233019</v>
      </c>
      <c r="BD12">
        <v>89.485867307280429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229</v>
      </c>
      <c r="Z13" t="s">
        <v>306</v>
      </c>
      <c r="AA13">
        <v>0.99877722064413432</v>
      </c>
      <c r="AB13">
        <v>22.417621524203621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0.99872153620715554</v>
      </c>
      <c r="AP13">
        <v>23.438502868816123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0.98725682113741298</v>
      </c>
      <c r="BD13">
        <v>233.62494581409612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230</v>
      </c>
      <c r="Z14" t="s">
        <v>307</v>
      </c>
      <c r="AA14">
        <v>0.99600892100673577</v>
      </c>
      <c r="AB14">
        <v>73.169781543177265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0.99888630316538041</v>
      </c>
      <c r="AP14">
        <v>20.417775301360098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0.99300217097749499</v>
      </c>
      <c r="BD14">
        <v>128.29353207925857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247</v>
      </c>
      <c r="Z15" t="s">
        <v>308</v>
      </c>
      <c r="AA15">
        <v>0.9992072598548265</v>
      </c>
      <c r="AB15">
        <v>14.533569328181747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0.99874953222888541</v>
      </c>
      <c r="AP15">
        <v>22.925242470433936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0.99680123445612556</v>
      </c>
      <c r="BD15">
        <v>58.644034971032312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242</v>
      </c>
      <c r="Z16" t="s">
        <v>309</v>
      </c>
      <c r="AA16">
        <v>0.99886825748232866</v>
      </c>
      <c r="AB16">
        <v>20.748612823974995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0.99730439376729485</v>
      </c>
      <c r="AP16">
        <v>49.419447599594143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0.99661535764871823</v>
      </c>
      <c r="BD16">
        <v>62.05177644016608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232</v>
      </c>
      <c r="Z17" t="s">
        <v>310</v>
      </c>
      <c r="AA17">
        <v>0.99908657148051871</v>
      </c>
      <c r="AB17">
        <v>16.746189523824366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0.99845919630435342</v>
      </c>
      <c r="AP17">
        <v>28.248067753520438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0.99135720783404546</v>
      </c>
      <c r="BD17">
        <v>158.45118970916684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249</v>
      </c>
      <c r="Z18" t="s">
        <v>311</v>
      </c>
      <c r="AA18">
        <v>0.99749418850407234</v>
      </c>
      <c r="AB18">
        <v>45.939877425340249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0.99882321467857593</v>
      </c>
      <c r="AP18">
        <v>21.574397559441575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0.9951563190122551</v>
      </c>
      <c r="BD18">
        <v>88.800818108657467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236</v>
      </c>
      <c r="Z19" t="s">
        <v>312</v>
      </c>
      <c r="AA19">
        <v>0.99352392397859468</v>
      </c>
      <c r="AB19">
        <v>118.7280603924299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0.99737734269837419</v>
      </c>
      <c r="AP19">
        <v>48.082050529806814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0.98457979899191617</v>
      </c>
      <c r="BD19">
        <v>282.70368514820279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228</v>
      </c>
      <c r="Z20" t="s">
        <v>313</v>
      </c>
      <c r="AA20">
        <v>0.99736118721915257</v>
      </c>
      <c r="AB20">
        <v>48.378234315535408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0.99501605983777763</v>
      </c>
      <c r="AP20">
        <v>91.372236307409807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461</v>
      </c>
      <c r="BC20">
        <v>0.99601718841685227</v>
      </c>
      <c r="BD20">
        <v>73.018212357708393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243</v>
      </c>
      <c r="Z21" t="s">
        <v>314</v>
      </c>
      <c r="AA21">
        <v>0.99856694466146878</v>
      </c>
      <c r="AB21">
        <v>26.272681206405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0.99665930146480552</v>
      </c>
      <c r="AP21">
        <v>61.246139811898914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462</v>
      </c>
      <c r="BB21" t="s">
        <v>463</v>
      </c>
      <c r="BC21">
        <v>0.98404695622985239</v>
      </c>
      <c r="BD21">
        <v>292.47246911937344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238</v>
      </c>
      <c r="Z22" t="s">
        <v>315</v>
      </c>
      <c r="AA22">
        <v>0.99748803033916245</v>
      </c>
      <c r="AB22">
        <v>46.052777115354985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0.99824223632994047</v>
      </c>
      <c r="AP22">
        <v>32.225667284425562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464</v>
      </c>
      <c r="BB22" t="s">
        <v>465</v>
      </c>
      <c r="BC22">
        <v>0.99706526987313149</v>
      </c>
      <c r="BD22">
        <v>53.8033856592563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241</v>
      </c>
      <c r="Z23" t="s">
        <v>316</v>
      </c>
      <c r="AA23">
        <v>0.99832448937819496</v>
      </c>
      <c r="AB23">
        <v>30.717694733092841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0.99918091147922183</v>
      </c>
      <c r="AP23">
        <v>15.016622880933385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466</v>
      </c>
      <c r="BB23" t="s">
        <v>467</v>
      </c>
      <c r="BC23">
        <v>0.99447806844329845</v>
      </c>
      <c r="BD23">
        <v>101.23541187286283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240</v>
      </c>
      <c r="Z24" t="s">
        <v>317</v>
      </c>
      <c r="AA24">
        <v>0.99846319033655173</v>
      </c>
      <c r="AB24">
        <v>28.174843829885099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0.99876840171930181</v>
      </c>
      <c r="AP24">
        <v>22.579301812799098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468</v>
      </c>
      <c r="BB24" t="s">
        <v>447</v>
      </c>
      <c r="BC24">
        <v>0.9842548084963636</v>
      </c>
      <c r="BD24">
        <v>288.66184423333459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227</v>
      </c>
      <c r="Z25" t="s">
        <v>318</v>
      </c>
      <c r="AA25">
        <v>0.99860660541325685</v>
      </c>
      <c r="AB25">
        <v>25.545567423624604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0.99833657244056218</v>
      </c>
      <c r="AP25">
        <v>30.496171923027788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469</v>
      </c>
      <c r="BB25" t="s">
        <v>470</v>
      </c>
      <c r="BC25">
        <v>0.99517233046898579</v>
      </c>
      <c r="BD25">
        <v>88.507274735259927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231</v>
      </c>
      <c r="Z26" t="s">
        <v>319</v>
      </c>
      <c r="AA26">
        <v>0.99930680862803622</v>
      </c>
      <c r="AB26">
        <v>12.708508486002591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0.99791596742605326</v>
      </c>
      <c r="AP26">
        <v>38.207263855690094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471</v>
      </c>
      <c r="BB26" t="s">
        <v>472</v>
      </c>
      <c r="BC26">
        <v>0.99560743175223188</v>
      </c>
      <c r="BD26">
        <v>80.530417875749265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245</v>
      </c>
      <c r="Z27" t="s">
        <v>320</v>
      </c>
      <c r="AA27">
        <v>0.99873146688652226</v>
      </c>
      <c r="AB27">
        <v>23.256440413758234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0.99835359996570538</v>
      </c>
      <c r="AP27">
        <v>30.184000628734726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473</v>
      </c>
      <c r="BB27" t="s">
        <v>474</v>
      </c>
      <c r="BC27">
        <v>0.99391638030029861</v>
      </c>
      <c r="BD27">
        <v>111.53302782785988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239</v>
      </c>
      <c r="Z28" t="s">
        <v>321</v>
      </c>
      <c r="AA28">
        <v>0.99875191609374314</v>
      </c>
      <c r="AB28">
        <v>22.881538281374802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0.99117946235007082</v>
      </c>
      <c r="AP28">
        <v>161.7098569153674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475</v>
      </c>
      <c r="BB28" t="s">
        <v>476</v>
      </c>
      <c r="BC28">
        <v>0.99689089953602861</v>
      </c>
      <c r="BD28">
        <v>57.000175172809875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246</v>
      </c>
      <c r="Z29" t="s">
        <v>322</v>
      </c>
      <c r="AA29">
        <v>0.99837547744095589</v>
      </c>
      <c r="AB29">
        <v>29.782913582474833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0.99831790956100308</v>
      </c>
      <c r="AP29">
        <v>30.838324714942974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477</v>
      </c>
      <c r="BB29" t="s">
        <v>478</v>
      </c>
      <c r="BC29">
        <v>0.99657569928293988</v>
      </c>
      <c r="BD29">
        <v>62.778846479435288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248</v>
      </c>
      <c r="Z30" t="s">
        <v>323</v>
      </c>
      <c r="AA30">
        <v>0.99803201804692143</v>
      </c>
      <c r="AB30">
        <v>36.079669139774055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235</v>
      </c>
      <c r="Z31" t="s">
        <v>324</v>
      </c>
      <c r="AA31">
        <v>0.99660728585884595</v>
      </c>
      <c r="AB31">
        <v>62.199759254490814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237</v>
      </c>
      <c r="Z32" t="s">
        <v>325</v>
      </c>
      <c r="AA32">
        <v>0.98702432691207775</v>
      </c>
      <c r="AB32">
        <v>237.88733994524034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244</v>
      </c>
      <c r="Z33" t="s">
        <v>326</v>
      </c>
      <c r="AA33">
        <v>0.99897502886966327</v>
      </c>
      <c r="AB33">
        <v>18.791137389507082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234</v>
      </c>
      <c r="Z34" t="s">
        <v>327</v>
      </c>
      <c r="AA34">
        <v>0.99839748836760267</v>
      </c>
      <c r="AB34">
        <v>29.37937992728429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51FF4-78AE-4046-821A-DB703D7D5B2F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479</v>
      </c>
      <c r="D11" t="s">
        <v>480</v>
      </c>
      <c r="E11" t="s">
        <v>10</v>
      </c>
      <c r="F11" t="s">
        <v>21</v>
      </c>
      <c r="G11" t="s">
        <v>174</v>
      </c>
      <c r="H11" t="s">
        <v>175</v>
      </c>
      <c r="J11" t="s">
        <v>479</v>
      </c>
      <c r="K11" t="s">
        <v>390</v>
      </c>
      <c r="L11">
        <v>7.7363165779076795</v>
      </c>
      <c r="M11">
        <v>0.1067814682163853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466</v>
      </c>
      <c r="Y11">
        <v>39.450749999999999</v>
      </c>
      <c r="Z11">
        <v>0.2484648779811813</v>
      </c>
    </row>
    <row r="12" spans="2:26">
      <c r="B12" t="s">
        <v>171</v>
      </c>
      <c r="C12" t="s">
        <v>481</v>
      </c>
      <c r="D12" t="s">
        <v>482</v>
      </c>
      <c r="E12" t="s">
        <v>10</v>
      </c>
      <c r="F12" t="s">
        <v>21</v>
      </c>
      <c r="G12" t="s">
        <v>174</v>
      </c>
      <c r="H12" t="s">
        <v>175</v>
      </c>
      <c r="J12" t="s">
        <v>481</v>
      </c>
      <c r="K12" t="s">
        <v>376</v>
      </c>
      <c r="L12">
        <v>2.3427652611420688</v>
      </c>
      <c r="M12">
        <v>0.24330473042687509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448</v>
      </c>
      <c r="Y12">
        <v>10.7745</v>
      </c>
      <c r="Z12">
        <v>0.2178774232132801</v>
      </c>
    </row>
    <row r="13" spans="2:26">
      <c r="B13" t="s">
        <v>171</v>
      </c>
      <c r="C13" t="s">
        <v>483</v>
      </c>
      <c r="D13" t="s">
        <v>484</v>
      </c>
      <c r="E13" t="s">
        <v>10</v>
      </c>
      <c r="F13" t="s">
        <v>21</v>
      </c>
      <c r="G13" t="s">
        <v>174</v>
      </c>
      <c r="H13" t="s">
        <v>175</v>
      </c>
      <c r="J13" t="s">
        <v>483</v>
      </c>
      <c r="K13" t="s">
        <v>394</v>
      </c>
      <c r="L13">
        <v>21.492626448742886</v>
      </c>
      <c r="M13">
        <v>0.1659864827149567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471</v>
      </c>
      <c r="Y13">
        <v>38.600250000000003</v>
      </c>
      <c r="Z13">
        <v>0.28900156844457497</v>
      </c>
    </row>
    <row r="14" spans="2:26">
      <c r="B14" t="s">
        <v>171</v>
      </c>
      <c r="C14" t="s">
        <v>485</v>
      </c>
      <c r="D14" t="s">
        <v>486</v>
      </c>
      <c r="E14" t="s">
        <v>10</v>
      </c>
      <c r="F14" t="s">
        <v>21</v>
      </c>
      <c r="G14" t="s">
        <v>174</v>
      </c>
      <c r="H14" t="s">
        <v>175</v>
      </c>
      <c r="J14" t="s">
        <v>485</v>
      </c>
      <c r="K14" t="s">
        <v>382</v>
      </c>
      <c r="L14">
        <v>6.3986137173550848</v>
      </c>
      <c r="M14">
        <v>0.12695115959174291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475</v>
      </c>
      <c r="Y14">
        <v>4.0402500000000003</v>
      </c>
      <c r="Z14">
        <v>0.26388034481020151</v>
      </c>
    </row>
    <row r="15" spans="2:26">
      <c r="B15" t="s">
        <v>171</v>
      </c>
      <c r="C15" t="s">
        <v>487</v>
      </c>
      <c r="D15" t="s">
        <v>488</v>
      </c>
      <c r="E15" t="s">
        <v>10</v>
      </c>
      <c r="F15" t="s">
        <v>21</v>
      </c>
      <c r="G15" t="s">
        <v>174</v>
      </c>
      <c r="H15" t="s">
        <v>175</v>
      </c>
      <c r="J15" t="s">
        <v>487</v>
      </c>
      <c r="K15" t="s">
        <v>378</v>
      </c>
      <c r="L15">
        <v>4.0537250245901548</v>
      </c>
      <c r="M15">
        <v>0.1156289487533637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477</v>
      </c>
      <c r="Y15">
        <v>39.321750000000002</v>
      </c>
      <c r="Z15">
        <v>0.29850796904066318</v>
      </c>
    </row>
    <row r="16" spans="2:26">
      <c r="B16" t="s">
        <v>171</v>
      </c>
      <c r="C16" t="s">
        <v>489</v>
      </c>
      <c r="D16" t="s">
        <v>490</v>
      </c>
      <c r="E16" t="s">
        <v>10</v>
      </c>
      <c r="F16" t="s">
        <v>21</v>
      </c>
      <c r="G16" t="s">
        <v>174</v>
      </c>
      <c r="H16" t="s">
        <v>175</v>
      </c>
      <c r="J16" t="s">
        <v>489</v>
      </c>
      <c r="K16" t="s">
        <v>396</v>
      </c>
      <c r="L16">
        <v>9.6185391844194168</v>
      </c>
      <c r="M16">
        <v>8.8659780776036604E-2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452</v>
      </c>
      <c r="Y16">
        <v>12.592499999999999</v>
      </c>
      <c r="Z16">
        <v>0.28366024852480159</v>
      </c>
    </row>
    <row r="17" spans="2:26">
      <c r="B17" t="s">
        <v>171</v>
      </c>
      <c r="C17" t="s">
        <v>491</v>
      </c>
      <c r="D17" t="s">
        <v>492</v>
      </c>
      <c r="E17" t="s">
        <v>10</v>
      </c>
      <c r="F17" t="s">
        <v>21</v>
      </c>
      <c r="G17" t="s">
        <v>174</v>
      </c>
      <c r="H17" t="s">
        <v>175</v>
      </c>
      <c r="J17" t="s">
        <v>491</v>
      </c>
      <c r="K17" t="s">
        <v>366</v>
      </c>
      <c r="L17">
        <v>20.992062966824207</v>
      </c>
      <c r="M17">
        <v>0.113712621553391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454</v>
      </c>
      <c r="Y17">
        <v>15.871499999999999</v>
      </c>
      <c r="Z17">
        <v>0.30636574729781879</v>
      </c>
    </row>
    <row r="18" spans="2:26">
      <c r="B18" t="s">
        <v>171</v>
      </c>
      <c r="C18" t="s">
        <v>493</v>
      </c>
      <c r="D18" t="s">
        <v>494</v>
      </c>
      <c r="E18" t="s">
        <v>10</v>
      </c>
      <c r="F18" t="s">
        <v>21</v>
      </c>
      <c r="G18" t="s">
        <v>174</v>
      </c>
      <c r="H18" t="s">
        <v>175</v>
      </c>
      <c r="J18" t="s">
        <v>493</v>
      </c>
      <c r="K18" t="s">
        <v>370</v>
      </c>
      <c r="L18">
        <v>9.0836490896593176</v>
      </c>
      <c r="M18">
        <v>0.13201736314252621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450</v>
      </c>
      <c r="Y18">
        <v>19.04175</v>
      </c>
      <c r="Z18">
        <v>0.24775851801280979</v>
      </c>
    </row>
    <row r="19" spans="2:26">
      <c r="B19" t="s">
        <v>171</v>
      </c>
      <c r="C19" t="s">
        <v>495</v>
      </c>
      <c r="D19" t="s">
        <v>496</v>
      </c>
      <c r="E19" t="s">
        <v>10</v>
      </c>
      <c r="F19" t="s">
        <v>21</v>
      </c>
      <c r="G19" t="s">
        <v>174</v>
      </c>
      <c r="H19" t="s">
        <v>175</v>
      </c>
      <c r="J19" t="s">
        <v>495</v>
      </c>
      <c r="K19" t="s">
        <v>374</v>
      </c>
      <c r="L19">
        <v>10.618766499150132</v>
      </c>
      <c r="M19">
        <v>0.1639958713693849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456</v>
      </c>
      <c r="Y19">
        <v>28.344000000000001</v>
      </c>
      <c r="Z19">
        <v>0.238561888696876</v>
      </c>
    </row>
    <row r="20" spans="2:26">
      <c r="B20" t="s">
        <v>171</v>
      </c>
      <c r="C20" t="s">
        <v>497</v>
      </c>
      <c r="D20" t="s">
        <v>498</v>
      </c>
      <c r="E20" t="s">
        <v>10</v>
      </c>
      <c r="F20" t="s">
        <v>21</v>
      </c>
      <c r="G20" t="s">
        <v>174</v>
      </c>
      <c r="H20" t="s">
        <v>175</v>
      </c>
      <c r="J20" t="s">
        <v>497</v>
      </c>
      <c r="K20" t="s">
        <v>402</v>
      </c>
      <c r="L20">
        <v>4.7225970155809494</v>
      </c>
      <c r="M20">
        <v>0.11595533842419591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469</v>
      </c>
      <c r="Y20">
        <v>14.163</v>
      </c>
      <c r="Z20">
        <v>0.2227294751359814</v>
      </c>
    </row>
    <row r="21" spans="2:26">
      <c r="B21" t="s">
        <v>171</v>
      </c>
      <c r="C21" t="s">
        <v>499</v>
      </c>
      <c r="D21" t="s">
        <v>500</v>
      </c>
      <c r="E21" t="s">
        <v>10</v>
      </c>
      <c r="F21" t="s">
        <v>21</v>
      </c>
      <c r="G21" t="s">
        <v>174</v>
      </c>
      <c r="H21" t="s">
        <v>175</v>
      </c>
      <c r="J21" t="s">
        <v>499</v>
      </c>
      <c r="K21" t="s">
        <v>398</v>
      </c>
      <c r="L21">
        <v>29.18360459210048</v>
      </c>
      <c r="M21">
        <v>0.2255299305659357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464</v>
      </c>
      <c r="Y21">
        <v>2.0775000000000001</v>
      </c>
      <c r="Z21">
        <v>0.22957249532400861</v>
      </c>
    </row>
    <row r="22" spans="2:26">
      <c r="B22" t="s">
        <v>171</v>
      </c>
      <c r="C22" t="s">
        <v>501</v>
      </c>
      <c r="D22" t="s">
        <v>502</v>
      </c>
      <c r="E22" t="s">
        <v>10</v>
      </c>
      <c r="F22" t="s">
        <v>21</v>
      </c>
      <c r="G22" t="s">
        <v>174</v>
      </c>
      <c r="H22" t="s">
        <v>175</v>
      </c>
      <c r="J22" t="s">
        <v>501</v>
      </c>
      <c r="K22" t="s">
        <v>372</v>
      </c>
      <c r="L22">
        <v>28.999316710422256</v>
      </c>
      <c r="M22">
        <v>0.1193311922364293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460</v>
      </c>
      <c r="Y22">
        <v>9.2415000000000003</v>
      </c>
      <c r="Z22">
        <v>0.208613866030332</v>
      </c>
    </row>
    <row r="23" spans="2:26">
      <c r="B23" t="s">
        <v>171</v>
      </c>
      <c r="C23" t="s">
        <v>503</v>
      </c>
      <c r="D23" t="s">
        <v>504</v>
      </c>
      <c r="E23" t="s">
        <v>10</v>
      </c>
      <c r="F23" t="s">
        <v>21</v>
      </c>
      <c r="G23" t="s">
        <v>174</v>
      </c>
      <c r="H23" t="s">
        <v>175</v>
      </c>
      <c r="J23" t="s">
        <v>503</v>
      </c>
      <c r="K23" t="s">
        <v>368</v>
      </c>
      <c r="L23">
        <v>1.24293744829465</v>
      </c>
      <c r="M23">
        <v>9.4018179307857899E-2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444</v>
      </c>
      <c r="Y23">
        <v>0.97650000000000003</v>
      </c>
      <c r="Z23">
        <v>0.21437135897798651</v>
      </c>
    </row>
    <row r="24" spans="2:26">
      <c r="B24" t="s">
        <v>171</v>
      </c>
      <c r="C24" t="s">
        <v>505</v>
      </c>
      <c r="D24" t="s">
        <v>506</v>
      </c>
      <c r="E24" t="s">
        <v>10</v>
      </c>
      <c r="F24" t="s">
        <v>21</v>
      </c>
      <c r="G24" t="s">
        <v>174</v>
      </c>
      <c r="H24" t="s">
        <v>175</v>
      </c>
      <c r="J24" t="s">
        <v>505</v>
      </c>
      <c r="K24" t="s">
        <v>392</v>
      </c>
      <c r="L24">
        <v>3.655060122103603</v>
      </c>
      <c r="M24">
        <v>0.14311265140153179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462</v>
      </c>
      <c r="Y24">
        <v>6.8857499999999998</v>
      </c>
      <c r="Z24">
        <v>0.26959215691845589</v>
      </c>
    </row>
    <row r="25" spans="2:26">
      <c r="B25" t="s">
        <v>171</v>
      </c>
      <c r="C25" t="s">
        <v>507</v>
      </c>
      <c r="D25" t="s">
        <v>508</v>
      </c>
      <c r="E25" t="s">
        <v>10</v>
      </c>
      <c r="F25" t="s">
        <v>21</v>
      </c>
      <c r="G25" t="s">
        <v>174</v>
      </c>
      <c r="H25" t="s">
        <v>175</v>
      </c>
      <c r="J25" t="s">
        <v>507</v>
      </c>
      <c r="K25" t="s">
        <v>386</v>
      </c>
      <c r="L25">
        <v>48.450394178145253</v>
      </c>
      <c r="M25">
        <v>0.2433164831628466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458</v>
      </c>
      <c r="Y25">
        <v>71.778000000000006</v>
      </c>
      <c r="Z25">
        <v>0.39560456390377008</v>
      </c>
    </row>
    <row r="26" spans="2:26">
      <c r="B26" t="s">
        <v>171</v>
      </c>
      <c r="C26" t="s">
        <v>509</v>
      </c>
      <c r="D26" t="s">
        <v>510</v>
      </c>
      <c r="E26" t="s">
        <v>10</v>
      </c>
      <c r="F26" t="s">
        <v>21</v>
      </c>
      <c r="G26" t="s">
        <v>174</v>
      </c>
      <c r="H26" t="s">
        <v>175</v>
      </c>
      <c r="J26" t="s">
        <v>509</v>
      </c>
      <c r="K26" t="s">
        <v>400</v>
      </c>
      <c r="L26">
        <v>19.948651692996549</v>
      </c>
      <c r="M26">
        <v>0.26469960967055511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442</v>
      </c>
      <c r="Y26">
        <v>40.861499999999999</v>
      </c>
      <c r="Z26">
        <v>0.3326685623353598</v>
      </c>
    </row>
    <row r="27" spans="2:26">
      <c r="B27" t="s">
        <v>171</v>
      </c>
      <c r="C27" t="s">
        <v>511</v>
      </c>
      <c r="D27" t="s">
        <v>512</v>
      </c>
      <c r="E27" t="s">
        <v>10</v>
      </c>
      <c r="F27" t="s">
        <v>21</v>
      </c>
      <c r="G27" t="s">
        <v>174</v>
      </c>
      <c r="H27" t="s">
        <v>175</v>
      </c>
      <c r="J27" t="s">
        <v>511</v>
      </c>
      <c r="K27" t="s">
        <v>384</v>
      </c>
      <c r="L27">
        <v>23.13749613808001</v>
      </c>
      <c r="M27">
        <v>0.13108526943306451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473</v>
      </c>
      <c r="Y27">
        <v>51.201749999999997</v>
      </c>
      <c r="Z27">
        <v>0.32804287309021268</v>
      </c>
    </row>
    <row r="28" spans="2:26">
      <c r="B28" t="s">
        <v>171</v>
      </c>
      <c r="C28" t="s">
        <v>513</v>
      </c>
      <c r="D28" t="s">
        <v>514</v>
      </c>
      <c r="E28" t="s">
        <v>10</v>
      </c>
      <c r="F28" t="s">
        <v>21</v>
      </c>
      <c r="G28" t="s">
        <v>174</v>
      </c>
      <c r="H28" t="s">
        <v>175</v>
      </c>
      <c r="J28" t="s">
        <v>513</v>
      </c>
      <c r="K28" t="s">
        <v>380</v>
      </c>
      <c r="L28">
        <v>6.7463178806119855</v>
      </c>
      <c r="M28">
        <v>0.13784704004674381</v>
      </c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446</v>
      </c>
      <c r="Y28">
        <v>18.47175</v>
      </c>
      <c r="Z28">
        <v>0.32749213711316538</v>
      </c>
    </row>
    <row r="29" spans="2:26">
      <c r="B29" t="s">
        <v>171</v>
      </c>
      <c r="C29" t="s">
        <v>515</v>
      </c>
      <c r="D29" t="s">
        <v>516</v>
      </c>
      <c r="E29" t="s">
        <v>10</v>
      </c>
      <c r="F29" t="s">
        <v>21</v>
      </c>
      <c r="G29" t="s">
        <v>174</v>
      </c>
      <c r="H29" t="s">
        <v>175</v>
      </c>
      <c r="J29" t="s">
        <v>515</v>
      </c>
      <c r="K29" t="s">
        <v>388</v>
      </c>
      <c r="L29">
        <v>9.7794224100622564</v>
      </c>
      <c r="M29">
        <v>0.1332508824588724</v>
      </c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468</v>
      </c>
      <c r="Y29">
        <v>81.753749999999997</v>
      </c>
      <c r="Z29">
        <v>0.38365032831553519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8559B-29DC-484E-B402-07756619E843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555</v>
      </c>
      <c r="M11" t="s">
        <v>10</v>
      </c>
      <c r="N11" t="s">
        <v>21</v>
      </c>
      <c r="O11" t="s">
        <v>255</v>
      </c>
      <c r="P11" t="s">
        <v>577</v>
      </c>
    </row>
    <row r="12" spans="2:16">
      <c r="B12" t="s">
        <v>555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556</v>
      </c>
      <c r="J12" t="s">
        <v>171</v>
      </c>
      <c r="K12" t="s">
        <v>560</v>
      </c>
      <c r="M12" t="s">
        <v>10</v>
      </c>
      <c r="N12" t="s">
        <v>21</v>
      </c>
      <c r="O12" t="s">
        <v>255</v>
      </c>
      <c r="P12" t="s">
        <v>577</v>
      </c>
    </row>
    <row r="13" spans="2:16">
      <c r="B13" t="s">
        <v>555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557</v>
      </c>
      <c r="J13" t="s">
        <v>171</v>
      </c>
      <c r="K13" t="s">
        <v>561</v>
      </c>
      <c r="M13" t="s">
        <v>10</v>
      </c>
      <c r="N13" t="s">
        <v>21</v>
      </c>
      <c r="O13" t="s">
        <v>255</v>
      </c>
      <c r="P13" t="s">
        <v>577</v>
      </c>
    </row>
    <row r="14" spans="2:16">
      <c r="B14" t="s">
        <v>555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558</v>
      </c>
      <c r="J14" t="s">
        <v>171</v>
      </c>
      <c r="K14" t="s">
        <v>562</v>
      </c>
      <c r="M14" t="s">
        <v>10</v>
      </c>
      <c r="N14" t="s">
        <v>21</v>
      </c>
      <c r="O14" t="s">
        <v>255</v>
      </c>
      <c r="P14" t="s">
        <v>577</v>
      </c>
    </row>
    <row r="15" spans="2:16">
      <c r="B15" t="s">
        <v>555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559</v>
      </c>
      <c r="J15" t="s">
        <v>171</v>
      </c>
      <c r="K15" t="s">
        <v>563</v>
      </c>
      <c r="M15" t="s">
        <v>10</v>
      </c>
      <c r="N15" t="s">
        <v>21</v>
      </c>
      <c r="O15" t="s">
        <v>255</v>
      </c>
      <c r="P15" t="s">
        <v>577</v>
      </c>
    </row>
    <row r="16" spans="2:16">
      <c r="B16" t="s">
        <v>560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564</v>
      </c>
      <c r="M16" t="s">
        <v>10</v>
      </c>
      <c r="N16" t="s">
        <v>21</v>
      </c>
      <c r="O16" t="s">
        <v>255</v>
      </c>
      <c r="P16" t="s">
        <v>577</v>
      </c>
    </row>
    <row r="17" spans="2:16">
      <c r="B17" t="s">
        <v>560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556</v>
      </c>
      <c r="J17" t="s">
        <v>171</v>
      </c>
      <c r="K17" t="s">
        <v>565</v>
      </c>
      <c r="M17" t="s">
        <v>10</v>
      </c>
      <c r="N17" t="s">
        <v>21</v>
      </c>
      <c r="O17" t="s">
        <v>255</v>
      </c>
      <c r="P17" t="s">
        <v>577</v>
      </c>
    </row>
    <row r="18" spans="2:16">
      <c r="B18" t="s">
        <v>560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557</v>
      </c>
      <c r="J18" t="s">
        <v>171</v>
      </c>
      <c r="K18" t="s">
        <v>566</v>
      </c>
      <c r="M18" t="s">
        <v>10</v>
      </c>
      <c r="N18" t="s">
        <v>21</v>
      </c>
      <c r="O18" t="s">
        <v>255</v>
      </c>
      <c r="P18" t="s">
        <v>577</v>
      </c>
    </row>
    <row r="19" spans="2:16">
      <c r="B19" t="s">
        <v>560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558</v>
      </c>
      <c r="J19" t="s">
        <v>171</v>
      </c>
      <c r="K19" t="s">
        <v>567</v>
      </c>
      <c r="M19" t="s">
        <v>10</v>
      </c>
      <c r="N19" t="s">
        <v>21</v>
      </c>
      <c r="O19" t="s">
        <v>255</v>
      </c>
      <c r="P19" t="s">
        <v>577</v>
      </c>
    </row>
    <row r="20" spans="2:16">
      <c r="B20" t="s">
        <v>560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559</v>
      </c>
      <c r="J20" t="s">
        <v>171</v>
      </c>
      <c r="K20" t="s">
        <v>568</v>
      </c>
      <c r="M20" t="s">
        <v>10</v>
      </c>
      <c r="N20" t="s">
        <v>21</v>
      </c>
      <c r="O20" t="s">
        <v>255</v>
      </c>
      <c r="P20" t="s">
        <v>577</v>
      </c>
    </row>
    <row r="21" spans="2:16">
      <c r="B21" t="s">
        <v>561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569</v>
      </c>
      <c r="M21" t="s">
        <v>10</v>
      </c>
      <c r="N21" t="s">
        <v>21</v>
      </c>
      <c r="O21" t="s">
        <v>255</v>
      </c>
      <c r="P21" t="s">
        <v>577</v>
      </c>
    </row>
    <row r="22" spans="2:16">
      <c r="B22" t="s">
        <v>561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557</v>
      </c>
      <c r="J22" t="s">
        <v>171</v>
      </c>
      <c r="K22" t="s">
        <v>570</v>
      </c>
      <c r="M22" t="s">
        <v>10</v>
      </c>
      <c r="N22" t="s">
        <v>21</v>
      </c>
      <c r="O22" t="s">
        <v>255</v>
      </c>
      <c r="P22" t="s">
        <v>577</v>
      </c>
    </row>
    <row r="23" spans="2:16">
      <c r="B23" t="s">
        <v>561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558</v>
      </c>
      <c r="J23" t="s">
        <v>171</v>
      </c>
      <c r="K23" t="s">
        <v>571</v>
      </c>
      <c r="M23" t="s">
        <v>10</v>
      </c>
      <c r="N23" t="s">
        <v>21</v>
      </c>
      <c r="O23" t="s">
        <v>255</v>
      </c>
      <c r="P23" t="s">
        <v>577</v>
      </c>
    </row>
    <row r="24" spans="2:16">
      <c r="B24" t="s">
        <v>562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572</v>
      </c>
      <c r="M24" t="s">
        <v>10</v>
      </c>
      <c r="N24" t="s">
        <v>21</v>
      </c>
      <c r="O24" t="s">
        <v>255</v>
      </c>
      <c r="P24" t="s">
        <v>577</v>
      </c>
    </row>
    <row r="25" spans="2:16">
      <c r="B25" t="s">
        <v>562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557</v>
      </c>
      <c r="J25" t="s">
        <v>171</v>
      </c>
      <c r="K25" t="s">
        <v>573</v>
      </c>
      <c r="M25" t="s">
        <v>10</v>
      </c>
      <c r="N25" t="s">
        <v>21</v>
      </c>
      <c r="O25" t="s">
        <v>255</v>
      </c>
      <c r="P25" t="s">
        <v>577</v>
      </c>
    </row>
    <row r="26" spans="2:16">
      <c r="B26" t="s">
        <v>562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558</v>
      </c>
      <c r="J26" t="s">
        <v>171</v>
      </c>
      <c r="K26" t="s">
        <v>574</v>
      </c>
      <c r="M26" t="s">
        <v>10</v>
      </c>
      <c r="N26" t="s">
        <v>21</v>
      </c>
      <c r="O26" t="s">
        <v>255</v>
      </c>
      <c r="P26" t="s">
        <v>577</v>
      </c>
    </row>
    <row r="27" spans="2:16">
      <c r="B27" t="s">
        <v>563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576</v>
      </c>
      <c r="M27" t="s">
        <v>10</v>
      </c>
      <c r="N27" t="s">
        <v>21</v>
      </c>
      <c r="O27" t="s">
        <v>255</v>
      </c>
      <c r="P27" t="s">
        <v>577</v>
      </c>
    </row>
    <row r="28" spans="2:16">
      <c r="B28" t="s">
        <v>563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557</v>
      </c>
    </row>
    <row r="29" spans="2:16">
      <c r="B29" t="s">
        <v>563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558</v>
      </c>
    </row>
    <row r="30" spans="2:16">
      <c r="B30" t="s">
        <v>564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557</v>
      </c>
    </row>
    <row r="32" spans="2:16">
      <c r="B32" t="s">
        <v>564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558</v>
      </c>
    </row>
    <row r="33" spans="2:8">
      <c r="B33" t="s">
        <v>565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556</v>
      </c>
    </row>
    <row r="35" spans="2:8">
      <c r="B35" t="s">
        <v>565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557</v>
      </c>
    </row>
    <row r="36" spans="2:8">
      <c r="B36" t="s">
        <v>565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558</v>
      </c>
    </row>
    <row r="37" spans="2:8">
      <c r="B37" t="s">
        <v>565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559</v>
      </c>
    </row>
    <row r="38" spans="2:8">
      <c r="B38" t="s">
        <v>566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557</v>
      </c>
    </row>
    <row r="40" spans="2:8">
      <c r="B40" t="s">
        <v>566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558</v>
      </c>
    </row>
    <row r="41" spans="2:8">
      <c r="B41" t="s">
        <v>567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557</v>
      </c>
    </row>
    <row r="43" spans="2:8">
      <c r="B43" t="s">
        <v>567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558</v>
      </c>
    </row>
    <row r="44" spans="2:8">
      <c r="B44" t="s">
        <v>568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557</v>
      </c>
    </row>
    <row r="46" spans="2:8">
      <c r="B46" t="s">
        <v>568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558</v>
      </c>
    </row>
    <row r="47" spans="2:8">
      <c r="B47" t="s">
        <v>569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557</v>
      </c>
    </row>
    <row r="49" spans="2:8">
      <c r="B49" t="s">
        <v>569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558</v>
      </c>
    </row>
    <row r="50" spans="2:8">
      <c r="B50" t="s">
        <v>570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556</v>
      </c>
    </row>
    <row r="52" spans="2:8">
      <c r="B52" t="s">
        <v>570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557</v>
      </c>
    </row>
    <row r="53" spans="2:8">
      <c r="B53" t="s">
        <v>570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558</v>
      </c>
    </row>
    <row r="54" spans="2:8">
      <c r="B54" t="s">
        <v>570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559</v>
      </c>
    </row>
    <row r="55" spans="2:8">
      <c r="B55" t="s">
        <v>571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557</v>
      </c>
    </row>
    <row r="57" spans="2:8">
      <c r="B57" t="s">
        <v>571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558</v>
      </c>
    </row>
    <row r="58" spans="2:8">
      <c r="B58" t="s">
        <v>572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557</v>
      </c>
    </row>
    <row r="60" spans="2:8">
      <c r="B60" t="s">
        <v>572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558</v>
      </c>
    </row>
    <row r="61" spans="2:8">
      <c r="B61" t="s">
        <v>573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557</v>
      </c>
    </row>
    <row r="63" spans="2:8">
      <c r="B63" t="s">
        <v>573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558</v>
      </c>
    </row>
    <row r="64" spans="2:8">
      <c r="B64" t="s">
        <v>574</v>
      </c>
      <c r="C64" t="s">
        <v>575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574</v>
      </c>
      <c r="C65" t="s">
        <v>575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556</v>
      </c>
    </row>
    <row r="66" spans="2:8">
      <c r="B66" t="s">
        <v>574</v>
      </c>
      <c r="C66" t="s">
        <v>575</v>
      </c>
      <c r="D66" t="s">
        <v>19</v>
      </c>
      <c r="E66">
        <v>3120</v>
      </c>
      <c r="F66">
        <v>2280</v>
      </c>
      <c r="G66">
        <v>1660</v>
      </c>
      <c r="H66" t="s">
        <v>557</v>
      </c>
    </row>
    <row r="67" spans="2:8">
      <c r="B67" t="s">
        <v>574</v>
      </c>
      <c r="C67" t="s">
        <v>575</v>
      </c>
      <c r="D67" t="s">
        <v>19</v>
      </c>
      <c r="E67">
        <v>60</v>
      </c>
      <c r="F67">
        <v>50</v>
      </c>
      <c r="G67">
        <v>40</v>
      </c>
      <c r="H67" t="s">
        <v>558</v>
      </c>
    </row>
    <row r="68" spans="2:8">
      <c r="B68" t="s">
        <v>574</v>
      </c>
      <c r="C68" t="s">
        <v>575</v>
      </c>
      <c r="D68" t="s">
        <v>19</v>
      </c>
      <c r="E68">
        <v>3</v>
      </c>
      <c r="F68">
        <v>3</v>
      </c>
      <c r="G68">
        <v>3</v>
      </c>
      <c r="H68" t="s">
        <v>559</v>
      </c>
    </row>
    <row r="69" spans="2:8">
      <c r="B69" t="s">
        <v>576</v>
      </c>
      <c r="C69" t="s">
        <v>575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576</v>
      </c>
      <c r="C70" t="s">
        <v>575</v>
      </c>
      <c r="D70" t="s">
        <v>19</v>
      </c>
      <c r="E70">
        <v>0.28999999999999998</v>
      </c>
      <c r="F70">
        <v>0.3</v>
      </c>
      <c r="G70">
        <v>0.3</v>
      </c>
      <c r="H70" t="s">
        <v>556</v>
      </c>
    </row>
    <row r="71" spans="2:8">
      <c r="B71" t="s">
        <v>576</v>
      </c>
      <c r="C71" t="s">
        <v>575</v>
      </c>
      <c r="D71" t="s">
        <v>19</v>
      </c>
      <c r="E71">
        <v>1630</v>
      </c>
      <c r="F71">
        <v>1550</v>
      </c>
      <c r="G71">
        <v>1490</v>
      </c>
      <c r="H71" t="s">
        <v>557</v>
      </c>
    </row>
    <row r="72" spans="2:8">
      <c r="B72" t="s">
        <v>576</v>
      </c>
      <c r="C72" t="s">
        <v>575</v>
      </c>
      <c r="D72" t="s">
        <v>19</v>
      </c>
      <c r="E72">
        <v>42</v>
      </c>
      <c r="F72">
        <v>40</v>
      </c>
      <c r="G72">
        <v>38</v>
      </c>
      <c r="H72" t="s">
        <v>558</v>
      </c>
    </row>
    <row r="73" spans="2:8">
      <c r="B73" t="s">
        <v>576</v>
      </c>
      <c r="C73" t="s">
        <v>575</v>
      </c>
      <c r="D73" t="s">
        <v>19</v>
      </c>
      <c r="E73">
        <v>1.5</v>
      </c>
      <c r="F73">
        <v>1.5</v>
      </c>
      <c r="G73">
        <v>1.5</v>
      </c>
      <c r="H73" t="s">
        <v>559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4B209-EED8-422D-8502-7B99CAE78079}">
  <dimension ref="B2:M15"/>
  <sheetViews>
    <sheetView tabSelected="1"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602</v>
      </c>
      <c r="L3" t="s">
        <v>603</v>
      </c>
      <c r="M3" t="s">
        <v>169</v>
      </c>
    </row>
    <row r="4" spans="2:13">
      <c r="B4" t="s">
        <v>578</v>
      </c>
      <c r="C4" t="s">
        <v>579</v>
      </c>
      <c r="D4" t="s">
        <v>580</v>
      </c>
      <c r="E4">
        <v>1</v>
      </c>
      <c r="H4" t="s">
        <v>251</v>
      </c>
      <c r="I4" t="s">
        <v>578</v>
      </c>
      <c r="J4" t="s">
        <v>604</v>
      </c>
      <c r="K4" t="s">
        <v>21</v>
      </c>
      <c r="L4" t="s">
        <v>10</v>
      </c>
      <c r="M4" t="s">
        <v>255</v>
      </c>
    </row>
    <row r="5" spans="2:13">
      <c r="B5" t="s">
        <v>581</v>
      </c>
      <c r="C5" t="s">
        <v>580</v>
      </c>
      <c r="D5" t="s">
        <v>579</v>
      </c>
      <c r="E5">
        <v>1</v>
      </c>
      <c r="H5" t="s">
        <v>251</v>
      </c>
      <c r="I5" t="s">
        <v>581</v>
      </c>
      <c r="J5" t="s">
        <v>605</v>
      </c>
      <c r="K5" t="s">
        <v>21</v>
      </c>
      <c r="L5" t="s">
        <v>10</v>
      </c>
      <c r="M5" t="s">
        <v>255</v>
      </c>
    </row>
    <row r="6" spans="2:13">
      <c r="B6" t="s">
        <v>582</v>
      </c>
      <c r="C6" t="s">
        <v>583</v>
      </c>
      <c r="D6" t="s">
        <v>584</v>
      </c>
      <c r="E6">
        <v>1</v>
      </c>
      <c r="H6" t="s">
        <v>251</v>
      </c>
      <c r="I6" t="s">
        <v>582</v>
      </c>
      <c r="J6" t="s">
        <v>606</v>
      </c>
      <c r="K6" t="s">
        <v>21</v>
      </c>
      <c r="L6" t="s">
        <v>10</v>
      </c>
      <c r="M6" t="s">
        <v>255</v>
      </c>
    </row>
    <row r="7" spans="2:13">
      <c r="B7" t="s">
        <v>585</v>
      </c>
      <c r="C7" t="s">
        <v>584</v>
      </c>
      <c r="D7" t="s">
        <v>583</v>
      </c>
      <c r="E7">
        <v>1</v>
      </c>
      <c r="H7" t="s">
        <v>251</v>
      </c>
      <c r="I7" t="s">
        <v>585</v>
      </c>
      <c r="J7" t="s">
        <v>607</v>
      </c>
      <c r="K7" t="s">
        <v>21</v>
      </c>
      <c r="L7" t="s">
        <v>10</v>
      </c>
      <c r="M7" t="s">
        <v>255</v>
      </c>
    </row>
    <row r="8" spans="2:13">
      <c r="B8" t="s">
        <v>586</v>
      </c>
      <c r="C8" t="s">
        <v>587</v>
      </c>
      <c r="D8" t="s">
        <v>588</v>
      </c>
      <c r="E8">
        <v>1</v>
      </c>
      <c r="H8" t="s">
        <v>251</v>
      </c>
      <c r="I8" t="s">
        <v>586</v>
      </c>
      <c r="J8" t="s">
        <v>608</v>
      </c>
      <c r="K8" t="s">
        <v>21</v>
      </c>
      <c r="L8" t="s">
        <v>10</v>
      </c>
      <c r="M8" t="s">
        <v>255</v>
      </c>
    </row>
    <row r="9" spans="2:13">
      <c r="B9" t="s">
        <v>589</v>
      </c>
      <c r="C9" t="s">
        <v>588</v>
      </c>
      <c r="D9" t="s">
        <v>587</v>
      </c>
      <c r="E9">
        <v>1</v>
      </c>
      <c r="H9" t="s">
        <v>251</v>
      </c>
      <c r="I9" t="s">
        <v>589</v>
      </c>
      <c r="J9" t="s">
        <v>609</v>
      </c>
      <c r="K9" t="s">
        <v>21</v>
      </c>
      <c r="L9" t="s">
        <v>10</v>
      </c>
      <c r="M9" t="s">
        <v>255</v>
      </c>
    </row>
    <row r="10" spans="2:13">
      <c r="B10" t="s">
        <v>590</v>
      </c>
      <c r="C10" t="s">
        <v>591</v>
      </c>
      <c r="D10" t="s">
        <v>592</v>
      </c>
      <c r="E10">
        <v>1</v>
      </c>
      <c r="H10" t="s">
        <v>251</v>
      </c>
      <c r="I10" t="s">
        <v>590</v>
      </c>
      <c r="J10" t="s">
        <v>610</v>
      </c>
      <c r="K10" t="s">
        <v>21</v>
      </c>
      <c r="L10" t="s">
        <v>10</v>
      </c>
      <c r="M10" t="s">
        <v>255</v>
      </c>
    </row>
    <row r="11" spans="2:13">
      <c r="B11" t="s">
        <v>593</v>
      </c>
      <c r="C11" t="s">
        <v>592</v>
      </c>
      <c r="D11" t="s">
        <v>591</v>
      </c>
      <c r="E11">
        <v>1</v>
      </c>
      <c r="H11" t="s">
        <v>251</v>
      </c>
      <c r="I11" t="s">
        <v>593</v>
      </c>
      <c r="J11" t="s">
        <v>611</v>
      </c>
      <c r="K11" t="s">
        <v>21</v>
      </c>
      <c r="L11" t="s">
        <v>10</v>
      </c>
      <c r="M11" t="s">
        <v>255</v>
      </c>
    </row>
    <row r="12" spans="2:13">
      <c r="B12" t="s">
        <v>594</v>
      </c>
      <c r="C12" t="s">
        <v>595</v>
      </c>
      <c r="D12" t="s">
        <v>596</v>
      </c>
      <c r="E12">
        <v>1</v>
      </c>
      <c r="H12" t="s">
        <v>251</v>
      </c>
      <c r="I12" t="s">
        <v>594</v>
      </c>
      <c r="J12" t="s">
        <v>612</v>
      </c>
      <c r="K12" t="s">
        <v>21</v>
      </c>
      <c r="L12" t="s">
        <v>10</v>
      </c>
      <c r="M12" t="s">
        <v>255</v>
      </c>
    </row>
    <row r="13" spans="2:13">
      <c r="B13" t="s">
        <v>597</v>
      </c>
      <c r="C13" t="s">
        <v>596</v>
      </c>
      <c r="D13" t="s">
        <v>595</v>
      </c>
      <c r="E13">
        <v>1</v>
      </c>
      <c r="H13" t="s">
        <v>251</v>
      </c>
      <c r="I13" t="s">
        <v>597</v>
      </c>
      <c r="J13" t="s">
        <v>613</v>
      </c>
      <c r="K13" t="s">
        <v>21</v>
      </c>
      <c r="L13" t="s">
        <v>10</v>
      </c>
      <c r="M13" t="s">
        <v>255</v>
      </c>
    </row>
    <row r="14" spans="2:13">
      <c r="B14" t="s">
        <v>598</v>
      </c>
      <c r="C14" t="s">
        <v>599</v>
      </c>
      <c r="D14" t="s">
        <v>600</v>
      </c>
      <c r="E14">
        <v>1</v>
      </c>
      <c r="H14" t="s">
        <v>251</v>
      </c>
      <c r="I14" t="s">
        <v>598</v>
      </c>
      <c r="J14" t="s">
        <v>614</v>
      </c>
      <c r="K14" t="s">
        <v>21</v>
      </c>
      <c r="L14" t="s">
        <v>10</v>
      </c>
      <c r="M14" t="s">
        <v>255</v>
      </c>
    </row>
    <row r="15" spans="2:13">
      <c r="B15" t="s">
        <v>601</v>
      </c>
      <c r="C15" t="s">
        <v>600</v>
      </c>
      <c r="D15" t="s">
        <v>599</v>
      </c>
      <c r="E15">
        <v>1</v>
      </c>
      <c r="H15" t="s">
        <v>251</v>
      </c>
      <c r="I15" t="s">
        <v>601</v>
      </c>
      <c r="J15" t="s">
        <v>615</v>
      </c>
      <c r="K15" t="s">
        <v>21</v>
      </c>
      <c r="L15" t="s">
        <v>10</v>
      </c>
      <c r="M15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2025-09-22T06:24:52Z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