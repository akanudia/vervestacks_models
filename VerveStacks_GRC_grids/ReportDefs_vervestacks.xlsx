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"/>
    </mc:Choice>
  </mc:AlternateContent>
  <xr:revisionPtr revIDLastSave="0" documentId="8_{77172C42-AADD-4C01-912F-0BA05288155F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ScenMap_OLD" sheetId="70" r:id="rId1"/>
    <sheet name="ScenMap" sheetId="56" r:id="rId2"/>
    <sheet name="TS_Defs" sheetId="27" r:id="rId3"/>
    <sheet name="TS_ratios" sheetId="68" r:id="rId4"/>
    <sheet name="geolocation" sheetId="72" r:id="rId5"/>
    <sheet name="process_map_geo" sheetId="71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2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9" l="1"/>
  <c r="G16" i="69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I59" i="56"/>
  <c r="J59" i="56"/>
  <c r="I60" i="56"/>
  <c r="J60" i="56"/>
  <c r="I6" i="56"/>
  <c r="J6" i="56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A27" i="70" l="1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H60" i="56"/>
  <c r="C60" i="56" s="1"/>
  <c r="H58" i="56"/>
  <c r="C58" i="56" s="1"/>
  <c r="H8" i="56"/>
  <c r="H9" i="56"/>
  <c r="H10" i="56"/>
  <c r="H12" i="56"/>
  <c r="H15" i="56"/>
  <c r="H34" i="56"/>
  <c r="H6" i="56"/>
  <c r="H7" i="56"/>
  <c r="H26" i="56" l="1"/>
  <c r="A33" i="70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H59" i="56"/>
  <c r="C59" i="56" s="1"/>
  <c r="H57" i="56"/>
  <c r="C57" i="56" s="1"/>
  <c r="H46" i="56"/>
  <c r="C46" i="56" s="1"/>
  <c r="H41" i="56"/>
  <c r="C41" i="56" s="1"/>
  <c r="H36" i="56"/>
  <c r="H16" i="56"/>
  <c r="H21" i="56"/>
  <c r="H31" i="56"/>
  <c r="H11" i="56"/>
  <c r="H42" i="56"/>
  <c r="C42" i="56" s="1"/>
  <c r="H17" i="56"/>
  <c r="H27" i="56"/>
  <c r="H52" i="56"/>
  <c r="C52" i="56" s="1"/>
  <c r="H22" i="56"/>
  <c r="H32" i="56"/>
  <c r="H37" i="56"/>
  <c r="H47" i="56"/>
  <c r="C47" i="56" s="1"/>
  <c r="H18" i="56"/>
  <c r="H43" i="56"/>
  <c r="C43" i="56" s="1"/>
  <c r="H28" i="56"/>
  <c r="H33" i="56"/>
  <c r="H48" i="56"/>
  <c r="C48" i="56" s="1"/>
  <c r="H23" i="56"/>
  <c r="H38" i="56"/>
  <c r="H13" i="56"/>
  <c r="H19" i="56"/>
  <c r="H29" i="56"/>
  <c r="H14" i="56"/>
  <c r="H44" i="56"/>
  <c r="C44" i="56" s="1"/>
  <c r="H39" i="56"/>
  <c r="H24" i="56"/>
  <c r="H49" i="56"/>
  <c r="C49" i="56" s="1"/>
  <c r="H54" i="56"/>
  <c r="H45" i="56"/>
  <c r="C45" i="56" s="1"/>
  <c r="H20" i="56"/>
  <c r="H35" i="56"/>
  <c r="H30" i="56"/>
  <c r="H50" i="56"/>
  <c r="C50" i="56" s="1"/>
  <c r="H40" i="56"/>
  <c r="H25" i="56"/>
  <c r="H55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H51" i="56" l="1"/>
  <c r="H56" i="56"/>
  <c r="C56" i="56" s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H53" i="56"/>
  <c r="C53" i="56" s="1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<sst xmlns="http://schemas.openxmlformats.org/spreadsheetml/2006/main" count="1968" uniqueCount="623">
  <si>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</si>
  <si>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</si>
  <si>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</si>
  <si>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</si>
  <si>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</si>
  <si>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</si>
  <si>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</si>
  <si>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</si>
  <si>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</si>
  <si>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</si>
  <si>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</si>
  <si>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</si>
  <si>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</si>
  <si>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</si>
  <si>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</si>
  <si>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</si>
  <si>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</si>
  <si>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</si>
  <si>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</si>
  <si>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</si>
  <si>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</si>
  <si>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</si>
  <si>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</si>
  <si>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</si>
  <si>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</si>
  <si>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</si>
  <si>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</si>
  <si>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</si>
  <si>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</si>
  <si>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</si>
  <si>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</si>
  <si>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</si>
  <si>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</si>
  <si>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</si>
  <si>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</si>
  <si>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</si>
  <si>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</si>
  <si>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</si>
  <si>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</si>
  <si>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</si>
  <si>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</si>
  <si>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</si>
  <si>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</si>
  <si>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</si>
  <si>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</si>
  <si>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</si>
  <si>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</si>
  <si>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</si>
  <si>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</si>
  <si>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</si>
  <si>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</si>
  <si>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</si>
  <si>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</si>
  <si>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</si>
  <si>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</si>
  <si>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</si>
  <si>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</si>
  <si>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</si>
  <si>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</si>
  <si>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</si>
  <si>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</si>
  <si>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</si>
  <si>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</si>
  <si>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</si>
  <si>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</si>
  <si>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</si>
  <si>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</si>
  <si>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</si>
  <si>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</si>
  <si>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</si>
  <si>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</si>
  <si>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</si>
  <si>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</si>
  <si>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</si>
  <si>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</si>
  <si>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</si>
  <si>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</si>
  <si>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</si>
  <si>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</si>
  <si>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</si>
  <si>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</si>
  <si>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</si>
  <si>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</si>
  <si>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</si>
  <si>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</si>
  <si>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</si>
  <si>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</si>
  <si>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</si>
  <si>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</si>
  <si>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</si>
  <si>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</si>
  <si>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</si>
  <si>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</si>
  <si>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</si>
  <si>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</si>
  <si>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</si>
  <si>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</si>
  <si>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</si>
  <si>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</si>
  <si>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</si>
  <si>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</si>
  <si>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</si>
  <si>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</si>
  <si>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</si>
  <si>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</si>
  <si>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</si>
  <si>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</si>
  <si>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</si>
  <si>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</si>
  <si>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</si>
  <si>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</si>
  <si>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</si>
  <si>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</si>
  <si>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</si>
  <si>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</si>
  <si>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</si>
  <si>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</si>
  <si>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</si>
  <si>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</si>
  <si>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</si>
  <si>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</si>
  <si>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</si>
  <si>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</si>
  <si>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</si>
  <si>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</si>
  <si>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</si>
  <si>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</si>
  <si>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</si>
  <si>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</si>
  <si>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</si>
  <si>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</si>
  <si>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</si>
  <si>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</si>
  <si>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</si>
  <si>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</si>
  <si>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</si>
  <si>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</si>
  <si>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</si>
  <si>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</si>
  <si>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</si>
  <si>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</si>
  <si>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</si>
  <si>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</si>
  <si>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</si>
  <si>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</si>
  <si>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</si>
  <si>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</si>
  <si>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</si>
  <si>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</si>
  <si>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</si>
  <si>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</si>
  <si>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</si>
  <si>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</si>
  <si>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</si>
  <si>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</si>
  <si>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</si>
  <si>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</si>
  <si>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</si>
  <si>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</si>
  <si>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</si>
  <si>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</si>
  <si>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</si>
  <si>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</si>
  <si>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</si>
  <si>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</si>
  <si>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</si>
  <si>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</si>
  <si>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</si>
  <si>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</si>
  <si>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</si>
  <si>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</si>
  <si>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</si>
  <si>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</si>
  <si>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</si>
  <si>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</si>
  <si>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</si>
  <si>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</si>
  <si>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</si>
  <si>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</si>
  <si>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</si>
  <si>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</si>
  <si>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</si>
  <si>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</si>
  <si>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</si>
  <si>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</si>
  <si>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</si>
  <si>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</si>
  <si>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</si>
  <si>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</si>
  <si>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</si>
  <si>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</si>
  <si>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</si>
  <si>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</si>
  <si>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</si>
  <si>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</si>
  <si>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</si>
  <si>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</si>
  <si>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</si>
  <si>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</si>
  <si>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</si>
  <si>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</si>
  <si>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</si>
  <si>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</si>
  <si>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</si>
  <si>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</si>
  <si>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</si>
  <si>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</si>
  <si>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</si>
  <si>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</si>
  <si>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</si>
  <si>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</si>
  <si>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</si>
  <si>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</si>
  <si>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</si>
  <si>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</si>
  <si>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</si>
  <si>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</si>
  <si>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</si>
  <si>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</si>
  <si>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</si>
  <si>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</si>
  <si>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</si>
  <si>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</si>
  <si>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</si>
  <si>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</si>
  <si>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</si>
  <si>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</si>
  <si>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</si>
  <si>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</si>
  <si>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</si>
  <si>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</si>
  <si>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</si>
  <si>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</si>
  <si>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</si>
  <si>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</si>
  <si>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</si>
  <si>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</si>
  <si>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</si>
  <si>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</si>
  <si>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</si>
  <si>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</si>
  <si>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</si>
  <si>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</si>
  <si>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</si>
  <si>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</si>
  <si>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</si>
  <si>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</si>
  <si>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</si>
  <si>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</si>
  <si>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</si>
  <si>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</si>
  <si>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</si>
  <si>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</si>
  <si>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</si>
  <si>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</si>
  <si>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</si>
  <si>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</si>
  <si>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</si>
  <si>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</si>
  <si>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</si>
  <si>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</si>
  <si>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ELC,ELC_???-???*,e[_]*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</si>
  <si>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</si>
  <si>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</si>
  <si>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</si>
  <si>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</si>
  <si>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</si>
  <si>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</si>
  <si>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</si>
  <si>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</si>
  <si>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</si>
  <si>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</si>
  <si>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</si>
  <si>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</si>
  <si>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</si>
  <si>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</si>
  <si>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</si>
  <si>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</si>
  <si>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</si>
  <si>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</si>
  <si>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</si>
  <si>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</si>
  <si>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</si>
  <si>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</si>
  <si>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</si>
  <si>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</si>
  <si>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</si>
  <si>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</si>
  <si>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</si>
  <si>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</si>
  <si>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</si>
  <si>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</si>
  <si>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</si>
  <si>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</si>
  <si>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</si>
  <si>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f1d</t>
  </si>
  <si>
    <t>DeACT TS_Defs: Snk_attr=SANKEY Grid Flows</t>
  </si>
  <si>
    <t>grid_node</t>
  </si>
  <si>
    <t>p_GR10</t>
  </si>
  <si>
    <t>p_GR11</t>
  </si>
  <si>
    <t>p_GR12</t>
  </si>
  <si>
    <t>p_GR13</t>
  </si>
  <si>
    <t>p_GR14</t>
  </si>
  <si>
    <t>p_GR15</t>
  </si>
  <si>
    <t>p_GR16</t>
  </si>
  <si>
    <t>p_GR3</t>
  </si>
  <si>
    <t>p_GR4</t>
  </si>
  <si>
    <t>p_GR5</t>
  </si>
  <si>
    <t>p_GR6</t>
  </si>
  <si>
    <t>p_GR7</t>
  </si>
  <si>
    <t>p_GR8</t>
  </si>
  <si>
    <t>p_GR9</t>
  </si>
  <si>
    <t>p_w1000743726</t>
  </si>
  <si>
    <t>p_w105184051</t>
  </si>
  <si>
    <t>p_w1255385651</t>
  </si>
  <si>
    <t>p_w1256844098</t>
  </si>
  <si>
    <t>p_w140248148</t>
  </si>
  <si>
    <t>p_w149672244</t>
  </si>
  <si>
    <t>p_w171506480</t>
  </si>
  <si>
    <t>p_w252077527</t>
  </si>
  <si>
    <t>p_w253903008</t>
  </si>
  <si>
    <t>p_w32357326</t>
  </si>
  <si>
    <t>p_w51408420</t>
  </si>
  <si>
    <t>p_w55099563</t>
  </si>
  <si>
    <t>p_w85518393</t>
  </si>
  <si>
    <t>p_w85526073</t>
  </si>
  <si>
    <t>p_w85585500</t>
  </si>
  <si>
    <t>p_w85612093</t>
  </si>
  <si>
    <t>p_w85646787</t>
  </si>
  <si>
    <t>p_w85705637</t>
  </si>
  <si>
    <t>p_w93119207</t>
  </si>
  <si>
    <t>rez_GRC_0</t>
  </si>
  <si>
    <t>rez_GRC_1</t>
  </si>
  <si>
    <t>rez_GRC_2</t>
  </si>
  <si>
    <t>rez_GRC_3</t>
  </si>
  <si>
    <t>rez_GRC_4</t>
  </si>
  <si>
    <t>rez_GRC_5</t>
  </si>
  <si>
    <t>rez_GRC_6</t>
  </si>
  <si>
    <t>rez_GRC_7</t>
  </si>
  <si>
    <t>rez_GRC_8</t>
  </si>
  <si>
    <t>rez_GRC_10</t>
  </si>
  <si>
    <t>rez_GRC_11</t>
  </si>
  <si>
    <t>rez_GRC_12</t>
  </si>
  <si>
    <t>rez_GRC_13</t>
  </si>
  <si>
    <t>rez_GRC_14</t>
  </si>
  <si>
    <t>rez_GRC_15</t>
  </si>
  <si>
    <t>rez_GRC_16</t>
  </si>
  <si>
    <t>rez_GRC_17</t>
  </si>
  <si>
    <t>rez_GRC_18</t>
  </si>
  <si>
    <t>rez_GRC_19</t>
  </si>
  <si>
    <t>rez_GRC_20</t>
  </si>
  <si>
    <t>rez_GRC_21</t>
  </si>
  <si>
    <t>rez_GRC_22</t>
  </si>
  <si>
    <t>rez_GRC_23</t>
  </si>
  <si>
    <t>rez_GRC_24</t>
  </si>
  <si>
    <t>rez_GRC_25</t>
  </si>
  <si>
    <t>rez_GRC_26</t>
  </si>
  <si>
    <t>rez_GRC_27</t>
  </si>
  <si>
    <t>rez_GRC_29</t>
  </si>
  <si>
    <t>rez_GRC_30</t>
  </si>
  <si>
    <t>rez_GRC_31</t>
  </si>
  <si>
    <t>rez_GRC_32</t>
  </si>
  <si>
    <t>rez_GRC_33</t>
  </si>
  <si>
    <t>rez_GRC_34</t>
  </si>
  <si>
    <t>rez_GRC_35</t>
  </si>
  <si>
    <t>rez_GRC_36</t>
  </si>
  <si>
    <t>rez_GRC_37</t>
  </si>
  <si>
    <t>rez_GRC_38</t>
  </si>
  <si>
    <t>rez_GRC_39</t>
  </si>
  <si>
    <t>rez_GRC_40</t>
  </si>
  <si>
    <t>rez_GRC_41</t>
  </si>
  <si>
    <t>rez_GRC_42</t>
  </si>
  <si>
    <t>rez_GRC_43</t>
  </si>
  <si>
    <t>rez_GRC_44</t>
  </si>
  <si>
    <t>rez_GRC_45</t>
  </si>
  <si>
    <t>rez_GRC_46</t>
  </si>
  <si>
    <t>rez_GRC_47</t>
  </si>
  <si>
    <t>rez_GRC_48</t>
  </si>
  <si>
    <t>rez_GRC_49</t>
  </si>
  <si>
    <t>rez_GRC_50</t>
  </si>
  <si>
    <t>rez_GRC_51</t>
  </si>
  <si>
    <t>rez_GRC_52</t>
  </si>
  <si>
    <t>rez_GRC_53</t>
  </si>
  <si>
    <t>rez_GRC_54</t>
  </si>
  <si>
    <t>rez_GRC_55</t>
  </si>
  <si>
    <t>rez_GRC_56</t>
  </si>
  <si>
    <t>rez_GRC_57</t>
  </si>
  <si>
    <t>rez_GRC_58</t>
  </si>
  <si>
    <t>rez_GRC_59</t>
  </si>
  <si>
    <t>rez_GRC_60</t>
  </si>
  <si>
    <t>rez_GRC_61</t>
  </si>
  <si>
    <t>rez_GRC_62</t>
  </si>
  <si>
    <t>rez_GRC_63</t>
  </si>
  <si>
    <t>rez_GRC_64</t>
  </si>
  <si>
    <t>rez_GRC_65</t>
  </si>
  <si>
    <t>rez_GRC_67</t>
  </si>
  <si>
    <t>rez_GRC_68</t>
  </si>
  <si>
    <t>rez_GRC_69</t>
  </si>
  <si>
    <t>rez_GRC_70</t>
  </si>
  <si>
    <t>rez_GRC_71</t>
  </si>
  <si>
    <t>rez_GRC_72</t>
  </si>
  <si>
    <t>rez_GRC_73</t>
  </si>
  <si>
    <t>rez_GRC_74</t>
  </si>
  <si>
    <t>rez_GRC_75</t>
  </si>
  <si>
    <t>rez_GRC_76</t>
  </si>
  <si>
    <t>rez_GRC_77</t>
  </si>
  <si>
    <t>rez_GRC_78</t>
  </si>
  <si>
    <t>rez_GRC_79</t>
  </si>
  <si>
    <t>rez_GRC_80</t>
  </si>
  <si>
    <t>rez_GRC_81</t>
  </si>
  <si>
    <t>rez_GRC_82</t>
  </si>
  <si>
    <t>rez_GRC_83</t>
  </si>
  <si>
    <t>rez_GRC_84</t>
  </si>
  <si>
    <t>rez_GRC_86</t>
  </si>
  <si>
    <t>rez_GRC_87</t>
  </si>
  <si>
    <t>rez_GRC_88</t>
  </si>
  <si>
    <t>rez_GRC_89</t>
  </si>
  <si>
    <t>rez_GRC_90</t>
  </si>
  <si>
    <t>rez_GRC_91</t>
  </si>
  <si>
    <t>rez_GRC_92</t>
  </si>
  <si>
    <t>rez_GRC_93</t>
  </si>
  <si>
    <t>rez_GRC_94</t>
  </si>
  <si>
    <t>rez_GRC_95</t>
  </si>
  <si>
    <t>rez_GRC_97</t>
  </si>
  <si>
    <t>rez_GRC_99</t>
  </si>
  <si>
    <t>rez_GRC_101</t>
  </si>
  <si>
    <t>rez_GRC_102</t>
  </si>
  <si>
    <t>rez_GRC_103</t>
  </si>
  <si>
    <t>rez_GRC_104</t>
  </si>
  <si>
    <t>rez_GRC_107</t>
  </si>
  <si>
    <t>rez_GRC_108</t>
  </si>
  <si>
    <t>rez_GRC_109</t>
  </si>
  <si>
    <t>rez_GRC_111</t>
  </si>
  <si>
    <t>rez_GRC_112</t>
  </si>
  <si>
    <t>rez_GRC_113</t>
  </si>
  <si>
    <t>rez_GRC_115</t>
  </si>
  <si>
    <t>rez_GRC_116</t>
  </si>
  <si>
    <t>rez_GRC_117</t>
  </si>
  <si>
    <t>rez_GRC_119</t>
  </si>
  <si>
    <t>rez_GRC_122</t>
  </si>
  <si>
    <t>rez_GRC_123</t>
  </si>
  <si>
    <t>rez_GRC_124</t>
  </si>
  <si>
    <t>rez_GRC_125</t>
  </si>
  <si>
    <t>rez_GRC_126</t>
  </si>
  <si>
    <t>rez_GRC_127</t>
  </si>
  <si>
    <t>rez_GRC_128</t>
  </si>
  <si>
    <t>rez_GRC_131</t>
  </si>
  <si>
    <t>rez_GRC_133</t>
  </si>
  <si>
    <t>rez_GRC_134</t>
  </si>
  <si>
    <t>rez_GRC_135</t>
  </si>
  <si>
    <t>rez_GRC_136</t>
  </si>
  <si>
    <t>rez_GRC_137</t>
  </si>
  <si>
    <t>rez_GRC_138</t>
  </si>
  <si>
    <t>rez_GRC_139</t>
  </si>
  <si>
    <t>rez_GRC_141</t>
  </si>
  <si>
    <t>rez_GRC_144</t>
  </si>
  <si>
    <t>rez_GRC_145</t>
  </si>
  <si>
    <t>rez_GRC_146</t>
  </si>
  <si>
    <t>rez_GRC_147</t>
  </si>
  <si>
    <t>rez_GRC_148</t>
  </si>
  <si>
    <t>rez_GRC_149</t>
  </si>
  <si>
    <t>rez_GRC_150</t>
  </si>
  <si>
    <t>rez_GRC_151</t>
  </si>
  <si>
    <t>wof_GRC_18</t>
  </si>
  <si>
    <t>wof_GRC_19</t>
  </si>
  <si>
    <t>wof_GRC_20</t>
  </si>
  <si>
    <t>wof_GRC_30</t>
  </si>
  <si>
    <t>wof_GRC_31</t>
  </si>
  <si>
    <t>wof_GRC_32</t>
  </si>
  <si>
    <t>wof_GRC_39</t>
  </si>
  <si>
    <t>wof_GRC_40</t>
  </si>
  <si>
    <t>wof_GRC_41</t>
  </si>
  <si>
    <t>wof_GRC_42</t>
  </si>
  <si>
    <t>wof_GRC_43</t>
  </si>
  <si>
    <t>wof_GRC_44</t>
  </si>
  <si>
    <t>wof_GRC_50</t>
  </si>
  <si>
    <t>wof_GRC_51</t>
  </si>
  <si>
    <t>wof_GRC_52</t>
  </si>
  <si>
    <t>wof_GRC_53</t>
  </si>
  <si>
    <t>wof_GRC_54</t>
  </si>
  <si>
    <t>wof_GRC_60</t>
  </si>
  <si>
    <t>wof_GRC_61</t>
  </si>
  <si>
    <t>wof_GRC_62</t>
  </si>
  <si>
    <t>wof_GRC_63</t>
  </si>
  <si>
    <t>wof_GRC_64</t>
  </si>
  <si>
    <t>wof_GRC_65</t>
  </si>
  <si>
    <t>wof_GRC_71</t>
  </si>
  <si>
    <t>wof_GRC_72</t>
  </si>
  <si>
    <t>wof_GRC_73</t>
  </si>
  <si>
    <t>wof_GRC_74</t>
  </si>
  <si>
    <t>wof_GRC_80</t>
  </si>
  <si>
    <t>wof_GRC_81</t>
  </si>
  <si>
    <t>wof_GRC_82</t>
  </si>
  <si>
    <t>wof_GRC_90</t>
  </si>
  <si>
    <t>wof_GRC_91</t>
  </si>
  <si>
    <t>wof_GRC_92</t>
  </si>
  <si>
    <t>wof_GRC_93</t>
  </si>
  <si>
    <t>wof_GRC_94</t>
  </si>
  <si>
    <t>wof_GRC_95</t>
  </si>
  <si>
    <t>wof_GRC_98</t>
  </si>
  <si>
    <t>wof_GRC_99</t>
  </si>
  <si>
    <t>wof_GRC_100</t>
  </si>
  <si>
    <t>wof_GRC_104</t>
  </si>
  <si>
    <t>wof_GRC_105</t>
  </si>
  <si>
    <t>wof_GRC_106</t>
  </si>
  <si>
    <t>wof_GRC_107</t>
  </si>
  <si>
    <t>wof_GRC_108</t>
  </si>
  <si>
    <t>wof_GRC_109</t>
  </si>
  <si>
    <t>wof_GRC_110</t>
  </si>
  <si>
    <t>wof_GRC_111</t>
  </si>
  <si>
    <t>wof_GRC_112</t>
  </si>
  <si>
    <t>wof_GRC_113</t>
  </si>
  <si>
    <t>wof_GRC_114</t>
  </si>
  <si>
    <t>wof_GRC_115</t>
  </si>
  <si>
    <t>wof_GRC_116</t>
  </si>
  <si>
    <t>wof_GRC_119</t>
  </si>
  <si>
    <t>wof_GRC_120</t>
  </si>
  <si>
    <t>wof_GRC_121</t>
  </si>
  <si>
    <t>wof_GRC_122</t>
  </si>
  <si>
    <t>wof_GRC_123</t>
  </si>
  <si>
    <t>wof_GRC_124</t>
  </si>
  <si>
    <t>wof_GRC_125</t>
  </si>
  <si>
    <t>wof_GRC_126</t>
  </si>
  <si>
    <t>wof_GRC_127</t>
  </si>
  <si>
    <t>wof_GRC_128</t>
  </si>
  <si>
    <t>wof_GRC_129</t>
  </si>
  <si>
    <t>wof_GRC_130</t>
  </si>
  <si>
    <t>wof_GRC_131</t>
  </si>
  <si>
    <t>wof_GRC_132</t>
  </si>
  <si>
    <t>wof_GRC_133</t>
  </si>
  <si>
    <t>wof_GRC_136</t>
  </si>
  <si>
    <t>wof_GRC_137</t>
  </si>
  <si>
    <t>wof_GRC_138</t>
  </si>
  <si>
    <t>wof_GRC_139</t>
  </si>
  <si>
    <t>wof_GRC_140</t>
  </si>
  <si>
    <t>wof_GRC_141</t>
  </si>
  <si>
    <t>wof_GRC_142</t>
  </si>
  <si>
    <t>wof_GRC_143</t>
  </si>
  <si>
    <t>wof_GRC_144</t>
  </si>
  <si>
    <t>wof_GRC_145</t>
  </si>
  <si>
    <t>wof_GRC_146</t>
  </si>
  <si>
    <t>wof_GRC_147</t>
  </si>
  <si>
    <t>wof_GRC_148</t>
  </si>
  <si>
    <t>wof_GRC_149</t>
  </si>
  <si>
    <t>wof_GRC_150</t>
  </si>
  <si>
    <t>wof_GRC_153</t>
  </si>
  <si>
    <t>wof_GRC_154</t>
  </si>
  <si>
    <t>wof_GRC_155</t>
  </si>
  <si>
    <t>wof_GRC_156</t>
  </si>
  <si>
    <t>wof_GRC_157</t>
  </si>
  <si>
    <t>wof_GRC_158</t>
  </si>
  <si>
    <t>wof_GRC_159</t>
  </si>
  <si>
    <t>wof_GRC_160</t>
  </si>
  <si>
    <t>wof_GRC_161</t>
  </si>
  <si>
    <t>wof_GRC_162</t>
  </si>
  <si>
    <t>wof_GRC_163</t>
  </si>
  <si>
    <t>wof_GRC_164</t>
  </si>
  <si>
    <t>wof_GRC_165</t>
  </si>
  <si>
    <t>wof_GRC_166</t>
  </si>
  <si>
    <t>wof_GRC_167</t>
  </si>
  <si>
    <t>wof_GRC_170</t>
  </si>
  <si>
    <t>wof_GRC_171</t>
  </si>
  <si>
    <t>wof_GRC_172</t>
  </si>
  <si>
    <t>wof_GRC_173</t>
  </si>
  <si>
    <t>wof_GRC_174</t>
  </si>
  <si>
    <t>wof_GRC_175</t>
  </si>
  <si>
    <t>wof_GRC_176</t>
  </si>
  <si>
    <t>wof_GRC_177</t>
  </si>
  <si>
    <t>wof_GRC_178</t>
  </si>
  <si>
    <t>wof_GRC_179</t>
  </si>
  <si>
    <t>wof_GRC_180</t>
  </si>
  <si>
    <t>wof_GRC_181</t>
  </si>
  <si>
    <t>wof_GRC_182</t>
  </si>
  <si>
    <t>wof_GRC_183</t>
  </si>
  <si>
    <t>wof_GRC_184</t>
  </si>
  <si>
    <t>wof_GRC_187</t>
  </si>
  <si>
    <t>wof_GRC_188</t>
  </si>
  <si>
    <t>wof_GRC_189</t>
  </si>
  <si>
    <t>wof_GRC_190</t>
  </si>
  <si>
    <t>wof_GRC_191</t>
  </si>
  <si>
    <t>wof_GRC_192</t>
  </si>
  <si>
    <t>wof_GRC_193</t>
  </si>
  <si>
    <t>wof_GRC_194</t>
  </si>
  <si>
    <t>wof_GRC_195</t>
  </si>
  <si>
    <t>wof_GRC_196</t>
  </si>
  <si>
    <t>wof_GRC_197</t>
  </si>
  <si>
    <t>wof_GRC_198</t>
  </si>
  <si>
    <t>wof_GRC_199</t>
  </si>
  <si>
    <t>wof_GRC_204</t>
  </si>
  <si>
    <t>wof_GRC_205</t>
  </si>
  <si>
    <t>wof_GRC_206</t>
  </si>
  <si>
    <t>wof_GRC_207</t>
  </si>
  <si>
    <t>wof_GRC_208</t>
  </si>
  <si>
    <t>wof_GRC_209</t>
  </si>
  <si>
    <t>wof_GRC_210</t>
  </si>
  <si>
    <t>wof_GRC_211</t>
  </si>
  <si>
    <t>wof_GRC_212</t>
  </si>
  <si>
    <t>wof_GRC_213</t>
  </si>
  <si>
    <t>wof_GRC_216</t>
  </si>
  <si>
    <t>wof_GRC_217</t>
  </si>
  <si>
    <t>wof_GRC_218</t>
  </si>
  <si>
    <t>wof_GRC_219</t>
  </si>
  <si>
    <t>wof_GRC_220</t>
  </si>
  <si>
    <t>wof_GRC_221</t>
  </si>
  <si>
    <t>wof_GRC_222</t>
  </si>
  <si>
    <t>wof_GRC_223</t>
  </si>
  <si>
    <t>wof_GRC_227</t>
  </si>
  <si>
    <t>wof_GRC_228</t>
  </si>
  <si>
    <t>wof_GRC_229</t>
  </si>
  <si>
    <t>wof_GRC_230</t>
  </si>
  <si>
    <t>wof_GRC_231</t>
  </si>
  <si>
    <t>wof_GRC_235</t>
  </si>
  <si>
    <t>wof_GRC_236</t>
  </si>
  <si>
    <t>wof_GRC_237</t>
  </si>
  <si>
    <t>wof_GRC_238</t>
  </si>
  <si>
    <t>wof_GRC_245</t>
  </si>
  <si>
    <t>wof_GRC_251</t>
  </si>
  <si>
    <t>wof_GRC_252</t>
  </si>
  <si>
    <t>wof_GRC_258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</si>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</sst>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263</v>
      </c>
      <c r="U16" t="s">
        <v>264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0"/>
  <sheetViews>
    <sheetView topLeftCell="G1" zoomScaleNormal="100" workbookViewId="0">
      <selection activeCell="U16" sqref="U16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2.73046875" bestFit="1" customWidth="1"/>
    <col min="17" max="17" width="4.66406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2:24">
      <c r="B6" t="str">
        <f>"vs~"&amp;TEXT(O6,"0000")</f>
        <v>vs~0001</v>
      </c>
      <c r="C6" t="str">
        <f>H6</f>
        <v>e 1.5 deg no OS.e3d</v>
      </c>
      <c r="H6" t="str">
        <f>_xlfn.TEXTJOIN(".",TRUE,I6:J6)</f>
        <v>e 1.5 deg no OS.e3d</v>
      </c>
      <c r="I6" t="str">
        <f>VLOOKUP(Q6,$W$6:$X$12,2,FALSE)</f>
        <v>e 1.5 deg no OS</v>
      </c>
      <c r="J6" t="str">
        <f>VLOOKUP(P6,$T$6:$U$16,2,FALSE)</f>
        <v>e3d</v>
      </c>
      <c r="L6" t="s">
        <v>250</v>
      </c>
      <c r="O6">
        <v>1</v>
      </c>
      <c r="P6" t="s">
        <v>230</v>
      </c>
      <c r="Q6" t="s">
        <v>285</v>
      </c>
      <c r="S6">
        <v>1</v>
      </c>
      <c r="T6" t="s">
        <v>230</v>
      </c>
      <c r="U6" t="s">
        <v>244</v>
      </c>
      <c r="W6" t="s">
        <v>285</v>
      </c>
      <c r="X6" t="s">
        <v>258</v>
      </c>
    </row>
    <row r="7" spans="2:24">
      <c r="B7" t="str">
        <f t="shared" ref="B7:B60" si="0">"vs~"&amp;TEXT(O7,"0000")</f>
        <v>vs~0002</v>
      </c>
      <c r="C7" t="str">
        <f t="shared" ref="C7:C26" si="1">H7</f>
        <v>e 1.5 deg no OS.d9d</v>
      </c>
      <c r="H7" t="str">
        <f t="shared" ref="H7:H55" si="2">_xlfn.TEXTJOIN(".",TRUE,I7:J7)</f>
        <v>e 1.5 deg no OS.d9d</v>
      </c>
      <c r="I7" t="str">
        <f t="shared" ref="I7:I60" si="3">VLOOKUP(Q7,$W$6:$X$12,2,FALSE)</f>
        <v>e 1.5 deg no OS</v>
      </c>
      <c r="J7" t="str">
        <f t="shared" ref="J7:J60" si="4">VLOOKUP(P7,$T$6:$U$16,2,FALSE)</f>
        <v>d9d</v>
      </c>
      <c r="L7" t="s">
        <v>251</v>
      </c>
      <c r="O7">
        <v>2</v>
      </c>
      <c r="P7" t="s">
        <v>231</v>
      </c>
      <c r="Q7" t="s">
        <v>285</v>
      </c>
      <c r="S7">
        <v>2</v>
      </c>
      <c r="T7" t="s">
        <v>231</v>
      </c>
      <c r="U7" t="s">
        <v>241</v>
      </c>
      <c r="W7" t="s">
        <v>286</v>
      </c>
      <c r="X7" t="s">
        <v>257</v>
      </c>
    </row>
    <row r="8" spans="2:24">
      <c r="B8" t="str">
        <f t="shared" si="0"/>
        <v>vs~0003</v>
      </c>
      <c r="C8" t="str">
        <f t="shared" si="1"/>
        <v>e 1.5 deg no OS.b2w</v>
      </c>
      <c r="H8" t="str">
        <f t="shared" si="2"/>
        <v>e 1.5 deg no OS.b2w</v>
      </c>
      <c r="I8" t="str">
        <f t="shared" si="3"/>
        <v>e 1.5 deg no OS</v>
      </c>
      <c r="J8" t="str">
        <f t="shared" si="4"/>
        <v>b2w</v>
      </c>
      <c r="L8" t="s">
        <v>252</v>
      </c>
      <c r="O8">
        <v>3</v>
      </c>
      <c r="P8" t="s">
        <v>232</v>
      </c>
      <c r="Q8" t="s">
        <v>285</v>
      </c>
      <c r="S8">
        <v>3</v>
      </c>
      <c r="T8" t="s">
        <v>232</v>
      </c>
      <c r="U8" t="s">
        <v>242</v>
      </c>
      <c r="W8" t="s">
        <v>287</v>
      </c>
      <c r="X8" t="s">
        <v>256</v>
      </c>
    </row>
    <row r="9" spans="2:24">
      <c r="B9" t="str">
        <f t="shared" si="0"/>
        <v>vs~0004</v>
      </c>
      <c r="C9" t="str">
        <f t="shared" si="1"/>
        <v>e 1.5 deg no OS.a2w2d</v>
      </c>
      <c r="H9" t="str">
        <f t="shared" si="2"/>
        <v>e 1.5 deg no OS.a2w2d</v>
      </c>
      <c r="I9" t="str">
        <f t="shared" si="3"/>
        <v>e 1.5 deg no OS</v>
      </c>
      <c r="J9" t="str">
        <f t="shared" si="4"/>
        <v>a2w2d</v>
      </c>
      <c r="L9" t="s">
        <v>253</v>
      </c>
      <c r="O9">
        <v>4</v>
      </c>
      <c r="P9" t="s">
        <v>233</v>
      </c>
      <c r="Q9" t="s">
        <v>285</v>
      </c>
      <c r="S9">
        <v>4</v>
      </c>
      <c r="T9" t="s">
        <v>233</v>
      </c>
      <c r="U9" t="s">
        <v>240</v>
      </c>
      <c r="W9" t="s">
        <v>288</v>
      </c>
      <c r="X9" t="s">
        <v>255</v>
      </c>
    </row>
    <row r="10" spans="2:24">
      <c r="B10" t="str">
        <f t="shared" si="0"/>
        <v>vs~0005</v>
      </c>
      <c r="C10" t="str">
        <f t="shared" si="1"/>
        <v>e 1.5 deg no OS.hTS12c</v>
      </c>
      <c r="H10" t="str">
        <f t="shared" si="2"/>
        <v>e 1.5 deg no OS.hTS12c</v>
      </c>
      <c r="I10" t="str">
        <f t="shared" si="3"/>
        <v>e 1.5 deg no OS</v>
      </c>
      <c r="J10" t="str">
        <f t="shared" si="4"/>
        <v>hTS12c</v>
      </c>
      <c r="L10" t="s">
        <v>254</v>
      </c>
      <c r="O10">
        <v>5</v>
      </c>
      <c r="P10" t="s">
        <v>234</v>
      </c>
      <c r="Q10" t="s">
        <v>285</v>
      </c>
      <c r="S10">
        <v>5</v>
      </c>
      <c r="T10" t="s">
        <v>234</v>
      </c>
      <c r="U10" t="s">
        <v>247</v>
      </c>
      <c r="W10" t="s">
        <v>289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OS.gTS24c</v>
      </c>
      <c r="H11" t="str">
        <f t="shared" si="2"/>
        <v>e 1.5 deg no OS.gTS24c</v>
      </c>
      <c r="I11" t="str">
        <f t="shared" si="3"/>
        <v>e 1.5 deg no OS</v>
      </c>
      <c r="J11" t="str">
        <f t="shared" si="4"/>
        <v>gTS24c</v>
      </c>
      <c r="O11">
        <v>6</v>
      </c>
      <c r="P11" t="s">
        <v>235</v>
      </c>
      <c r="Q11" t="s">
        <v>285</v>
      </c>
      <c r="S11">
        <v>6</v>
      </c>
      <c r="T11" t="s">
        <v>235</v>
      </c>
      <c r="U11" t="s">
        <v>246</v>
      </c>
    </row>
    <row r="12" spans="2:24">
      <c r="B12" t="str">
        <f t="shared" si="0"/>
        <v>vs~0007</v>
      </c>
      <c r="C12" t="str">
        <f t="shared" si="1"/>
        <v>e 1.5 deg no OS.fTS48c</v>
      </c>
      <c r="H12" t="str">
        <f t="shared" si="2"/>
        <v>e 1.5 deg no OS.fTS48c</v>
      </c>
      <c r="I12" t="str">
        <f t="shared" si="3"/>
        <v>e 1.5 deg no OS</v>
      </c>
      <c r="J12" t="str">
        <f t="shared" si="4"/>
        <v>fTS48c</v>
      </c>
      <c r="O12">
        <v>7</v>
      </c>
      <c r="P12" t="s">
        <v>236</v>
      </c>
      <c r="Q12" t="s">
        <v>285</v>
      </c>
      <c r="S12">
        <v>7</v>
      </c>
      <c r="T12" t="s">
        <v>236</v>
      </c>
      <c r="U12" t="s">
        <v>245</v>
      </c>
    </row>
    <row r="13" spans="2:24">
      <c r="B13" t="str">
        <f t="shared" si="0"/>
        <v>vs~0008</v>
      </c>
      <c r="C13" t="str">
        <f t="shared" si="1"/>
        <v>e 1.5 deg no OS.c15d</v>
      </c>
      <c r="H13" t="str">
        <f t="shared" si="2"/>
        <v>e 1.5 deg no OS.c15d</v>
      </c>
      <c r="I13" t="str">
        <f t="shared" si="3"/>
        <v>e 1.5 deg no OS</v>
      </c>
      <c r="J13" t="str">
        <f t="shared" si="4"/>
        <v>c15d</v>
      </c>
      <c r="O13">
        <v>8</v>
      </c>
      <c r="P13" t="s">
        <v>237</v>
      </c>
      <c r="Q13" t="s">
        <v>285</v>
      </c>
      <c r="S13">
        <v>8</v>
      </c>
      <c r="T13" t="s">
        <v>237</v>
      </c>
      <c r="U13" t="s">
        <v>243</v>
      </c>
    </row>
    <row r="14" spans="2:24">
      <c r="B14" t="str">
        <f t="shared" si="0"/>
        <v>vs~0009</v>
      </c>
      <c r="C14" t="str">
        <f t="shared" si="1"/>
        <v>e 1.5 deg no OS.f1d</v>
      </c>
      <c r="H14" t="str">
        <f t="shared" si="2"/>
        <v>e 1.5 deg no OS.f1d</v>
      </c>
      <c r="I14" t="str">
        <f t="shared" si="3"/>
        <v>e 1.5 deg no OS</v>
      </c>
      <c r="J14" t="str">
        <f t="shared" si="4"/>
        <v>f1d</v>
      </c>
      <c r="O14">
        <v>9</v>
      </c>
      <c r="P14" t="s">
        <v>263</v>
      </c>
      <c r="Q14" t="s">
        <v>285</v>
      </c>
      <c r="S14">
        <v>9</v>
      </c>
      <c r="T14" t="s">
        <v>239</v>
      </c>
      <c r="U14" t="s">
        <v>248</v>
      </c>
    </row>
    <row r="15" spans="2:24">
      <c r="B15" t="str">
        <f t="shared" si="0"/>
        <v>vs~0010</v>
      </c>
      <c r="C15" t="str">
        <f t="shared" si="1"/>
        <v>e 1.5 deg no OS.jAnn</v>
      </c>
      <c r="H15" t="str">
        <f t="shared" si="2"/>
        <v>e 1.5 deg no OS.jAnn</v>
      </c>
      <c r="I15" t="str">
        <f t="shared" si="3"/>
        <v>e 1.5 deg no OS</v>
      </c>
      <c r="J15" t="str">
        <f t="shared" si="4"/>
        <v>jAnn</v>
      </c>
      <c r="O15">
        <v>10</v>
      </c>
      <c r="P15" t="s">
        <v>238</v>
      </c>
      <c r="Q15" t="s">
        <v>285</v>
      </c>
      <c r="S15">
        <v>10</v>
      </c>
      <c r="T15" t="s">
        <v>238</v>
      </c>
      <c r="U15" t="s">
        <v>249</v>
      </c>
    </row>
    <row r="16" spans="2:24">
      <c r="B16" t="str">
        <f t="shared" si="0"/>
        <v>vs~0011</v>
      </c>
      <c r="C16" t="str">
        <f t="shared" si="1"/>
        <v>e 1.5 deg no OS.iTS12</v>
      </c>
      <c r="H16" t="str">
        <f t="shared" si="2"/>
        <v>e 1.5 deg no OS.iTS12</v>
      </c>
      <c r="I16" t="str">
        <f t="shared" si="3"/>
        <v>e 1.5 deg no OS</v>
      </c>
      <c r="J16" t="str">
        <f t="shared" si="4"/>
        <v>iTS12</v>
      </c>
      <c r="O16">
        <v>11</v>
      </c>
      <c r="P16" t="s">
        <v>239</v>
      </c>
      <c r="Q16" t="s">
        <v>285</v>
      </c>
      <c r="S16">
        <v>11</v>
      </c>
      <c r="T16" t="s">
        <v>263</v>
      </c>
      <c r="U16" t="s">
        <v>295</v>
      </c>
    </row>
    <row r="17" spans="2:17">
      <c r="B17" t="str">
        <f t="shared" si="0"/>
        <v>vs~0012</v>
      </c>
      <c r="C17" t="str">
        <f t="shared" si="1"/>
        <v>d 1.5 deg OS.e3d</v>
      </c>
      <c r="H17" t="str">
        <f t="shared" si="2"/>
        <v>d 1.5 deg OS.e3d</v>
      </c>
      <c r="I17" t="str">
        <f t="shared" si="3"/>
        <v>d 1.5 deg OS</v>
      </c>
      <c r="J17" t="str">
        <f t="shared" si="4"/>
        <v>e3d</v>
      </c>
      <c r="O17">
        <v>12</v>
      </c>
      <c r="P17" t="s">
        <v>230</v>
      </c>
      <c r="Q17" t="s">
        <v>286</v>
      </c>
    </row>
    <row r="18" spans="2:17">
      <c r="B18" t="str">
        <f t="shared" si="0"/>
        <v>vs~0013</v>
      </c>
      <c r="C18" t="str">
        <f t="shared" si="1"/>
        <v>d 1.5 deg OS.d9d</v>
      </c>
      <c r="H18" t="str">
        <f t="shared" si="2"/>
        <v>d 1.5 deg OS.d9d</v>
      </c>
      <c r="I18" t="str">
        <f t="shared" si="3"/>
        <v>d 1.5 deg OS</v>
      </c>
      <c r="J18" t="str">
        <f t="shared" si="4"/>
        <v>d9d</v>
      </c>
      <c r="O18">
        <v>13</v>
      </c>
      <c r="P18" t="s">
        <v>231</v>
      </c>
      <c r="Q18" t="s">
        <v>286</v>
      </c>
    </row>
    <row r="19" spans="2:17">
      <c r="B19" t="str">
        <f t="shared" si="0"/>
        <v>vs~0014</v>
      </c>
      <c r="C19" t="str">
        <f t="shared" si="1"/>
        <v>d 1.5 deg OS.b2w</v>
      </c>
      <c r="H19" t="str">
        <f t="shared" si="2"/>
        <v>d 1.5 deg OS.b2w</v>
      </c>
      <c r="I19" t="str">
        <f t="shared" si="3"/>
        <v>d 1.5 deg OS</v>
      </c>
      <c r="J19" t="str">
        <f t="shared" si="4"/>
        <v>b2w</v>
      </c>
      <c r="O19">
        <v>14</v>
      </c>
      <c r="P19" t="s">
        <v>232</v>
      </c>
      <c r="Q19" t="s">
        <v>286</v>
      </c>
    </row>
    <row r="20" spans="2:17">
      <c r="B20" t="str">
        <f t="shared" si="0"/>
        <v>vs~0015</v>
      </c>
      <c r="C20" t="str">
        <f t="shared" si="1"/>
        <v>d 1.5 deg OS.a2w2d</v>
      </c>
      <c r="H20" t="str">
        <f t="shared" si="2"/>
        <v>d 1.5 deg OS.a2w2d</v>
      </c>
      <c r="I20" t="str">
        <f t="shared" si="3"/>
        <v>d 1.5 deg OS</v>
      </c>
      <c r="J20" t="str">
        <f t="shared" si="4"/>
        <v>a2w2d</v>
      </c>
      <c r="O20">
        <v>15</v>
      </c>
      <c r="P20" t="s">
        <v>233</v>
      </c>
      <c r="Q20" t="s">
        <v>286</v>
      </c>
    </row>
    <row r="21" spans="2:17">
      <c r="B21" t="str">
        <f t="shared" si="0"/>
        <v>vs~0016</v>
      </c>
      <c r="C21" t="str">
        <f t="shared" si="1"/>
        <v>d 1.5 deg OS.hTS12c</v>
      </c>
      <c r="H21" t="str">
        <f t="shared" si="2"/>
        <v>d 1.5 deg OS.hTS12c</v>
      </c>
      <c r="I21" t="str">
        <f t="shared" si="3"/>
        <v>d 1.5 deg OS</v>
      </c>
      <c r="J21" t="str">
        <f t="shared" si="4"/>
        <v>hTS12c</v>
      </c>
      <c r="O21">
        <v>16</v>
      </c>
      <c r="P21" t="s">
        <v>234</v>
      </c>
      <c r="Q21" t="s">
        <v>286</v>
      </c>
    </row>
    <row r="22" spans="2:17">
      <c r="B22" t="str">
        <f t="shared" si="0"/>
        <v>vs~0017</v>
      </c>
      <c r="C22" t="str">
        <f t="shared" si="1"/>
        <v>d 1.5 deg OS.gTS24c</v>
      </c>
      <c r="H22" t="str">
        <f t="shared" si="2"/>
        <v>d 1.5 deg OS.gTS24c</v>
      </c>
      <c r="I22" t="str">
        <f t="shared" si="3"/>
        <v>d 1.5 deg OS</v>
      </c>
      <c r="J22" t="str">
        <f t="shared" si="4"/>
        <v>gTS24c</v>
      </c>
      <c r="O22">
        <v>17</v>
      </c>
      <c r="P22" t="s">
        <v>235</v>
      </c>
      <c r="Q22" t="s">
        <v>286</v>
      </c>
    </row>
    <row r="23" spans="2:17">
      <c r="B23" t="str">
        <f t="shared" si="0"/>
        <v>vs~0018</v>
      </c>
      <c r="C23" t="str">
        <f t="shared" si="1"/>
        <v>d 1.5 deg OS.fTS48c</v>
      </c>
      <c r="H23" t="str">
        <f t="shared" si="2"/>
        <v>d 1.5 deg OS.fTS48c</v>
      </c>
      <c r="I23" t="str">
        <f t="shared" si="3"/>
        <v>d 1.5 deg OS</v>
      </c>
      <c r="J23" t="str">
        <f t="shared" si="4"/>
        <v>fTS48c</v>
      </c>
      <c r="O23">
        <v>18</v>
      </c>
      <c r="P23" t="s">
        <v>236</v>
      </c>
      <c r="Q23" t="s">
        <v>286</v>
      </c>
    </row>
    <row r="24" spans="2:17">
      <c r="B24" t="str">
        <f t="shared" si="0"/>
        <v>vs~0019</v>
      </c>
      <c r="C24" t="str">
        <f t="shared" si="1"/>
        <v>d 1.5 deg OS.c15d</v>
      </c>
      <c r="H24" t="str">
        <f t="shared" si="2"/>
        <v>d 1.5 deg OS.c15d</v>
      </c>
      <c r="I24" t="str">
        <f t="shared" si="3"/>
        <v>d 1.5 deg OS</v>
      </c>
      <c r="J24" t="str">
        <f t="shared" si="4"/>
        <v>c15d</v>
      </c>
      <c r="O24">
        <v>19</v>
      </c>
      <c r="P24" t="s">
        <v>237</v>
      </c>
      <c r="Q24" t="s">
        <v>286</v>
      </c>
    </row>
    <row r="25" spans="2:17">
      <c r="B25" t="str">
        <f t="shared" si="0"/>
        <v>vs~0020</v>
      </c>
      <c r="C25" t="str">
        <f t="shared" si="1"/>
        <v>d 1.5 deg OS.f1d</v>
      </c>
      <c r="H25" t="str">
        <f t="shared" si="2"/>
        <v>d 1.5 deg OS.f1d</v>
      </c>
      <c r="I25" t="str">
        <f t="shared" si="3"/>
        <v>d 1.5 deg OS</v>
      </c>
      <c r="J25" t="str">
        <f t="shared" si="4"/>
        <v>f1d</v>
      </c>
      <c r="O25">
        <v>20</v>
      </c>
      <c r="P25" t="s">
        <v>263</v>
      </c>
      <c r="Q25" t="s">
        <v>286</v>
      </c>
    </row>
    <row r="26" spans="2:17">
      <c r="B26" t="str">
        <f t="shared" si="0"/>
        <v>vs~0021</v>
      </c>
      <c r="C26" t="str">
        <f t="shared" si="1"/>
        <v>d 1.5 deg OS.jAnn</v>
      </c>
      <c r="H26" t="str">
        <f t="shared" si="2"/>
        <v>d 1.5 deg OS.jAnn</v>
      </c>
      <c r="I26" t="str">
        <f t="shared" si="3"/>
        <v>d 1.5 deg OS</v>
      </c>
      <c r="J26" t="str">
        <f t="shared" si="4"/>
        <v>jAnn</v>
      </c>
      <c r="O26">
        <v>21</v>
      </c>
      <c r="P26" t="s">
        <v>238</v>
      </c>
      <c r="Q26" t="s">
        <v>286</v>
      </c>
    </row>
    <row r="27" spans="2:17">
      <c r="B27" t="str">
        <f t="shared" si="0"/>
        <v>vs~0022</v>
      </c>
      <c r="C27" t="str">
        <f t="shared" ref="C27:C40" si="5">H27</f>
        <v>d 1.5 deg OS.iTS12</v>
      </c>
      <c r="H27" t="str">
        <f t="shared" si="2"/>
        <v>d 1.5 deg OS.iTS12</v>
      </c>
      <c r="I27" t="str">
        <f t="shared" si="3"/>
        <v>d 1.5 deg OS</v>
      </c>
      <c r="J27" t="str">
        <f t="shared" si="4"/>
        <v>iTS12</v>
      </c>
      <c r="O27">
        <v>22</v>
      </c>
      <c r="P27" t="s">
        <v>239</v>
      </c>
      <c r="Q27" t="s">
        <v>286</v>
      </c>
    </row>
    <row r="28" spans="2:17">
      <c r="B28" t="str">
        <f t="shared" si="0"/>
        <v>vs~0023</v>
      </c>
      <c r="C28" t="str">
        <f t="shared" si="5"/>
        <v>c 2 deg (67%).e3d</v>
      </c>
      <c r="H28" t="str">
        <f t="shared" si="2"/>
        <v>c 2 deg (67%).e3d</v>
      </c>
      <c r="I28" t="str">
        <f t="shared" si="3"/>
        <v>c 2 deg (67%)</v>
      </c>
      <c r="J28" t="str">
        <f t="shared" si="4"/>
        <v>e3d</v>
      </c>
      <c r="O28">
        <v>23</v>
      </c>
      <c r="P28" t="s">
        <v>230</v>
      </c>
      <c r="Q28" t="s">
        <v>287</v>
      </c>
    </row>
    <row r="29" spans="2:17">
      <c r="B29" t="str">
        <f t="shared" si="0"/>
        <v>vs~0024</v>
      </c>
      <c r="C29" t="str">
        <f t="shared" si="5"/>
        <v>c 2 deg (67%).d9d</v>
      </c>
      <c r="H29" t="str">
        <f t="shared" si="2"/>
        <v>c 2 deg (67%).d9d</v>
      </c>
      <c r="I29" t="str">
        <f t="shared" si="3"/>
        <v>c 2 deg (67%)</v>
      </c>
      <c r="J29" t="str">
        <f t="shared" si="4"/>
        <v>d9d</v>
      </c>
      <c r="O29">
        <v>24</v>
      </c>
      <c r="P29" t="s">
        <v>231</v>
      </c>
      <c r="Q29" t="s">
        <v>287</v>
      </c>
    </row>
    <row r="30" spans="2:17">
      <c r="B30" t="str">
        <f t="shared" si="0"/>
        <v>vs~0025</v>
      </c>
      <c r="C30" t="str">
        <f t="shared" si="5"/>
        <v>c 2 deg (67%).b2w</v>
      </c>
      <c r="H30" t="str">
        <f t="shared" si="2"/>
        <v>c 2 deg (67%).b2w</v>
      </c>
      <c r="I30" t="str">
        <f t="shared" si="3"/>
        <v>c 2 deg (67%)</v>
      </c>
      <c r="J30" t="str">
        <f t="shared" si="4"/>
        <v>b2w</v>
      </c>
      <c r="O30">
        <v>25</v>
      </c>
      <c r="P30" t="s">
        <v>232</v>
      </c>
      <c r="Q30" t="s">
        <v>287</v>
      </c>
    </row>
    <row r="31" spans="2:17">
      <c r="B31" t="str">
        <f t="shared" si="0"/>
        <v>vs~0026</v>
      </c>
      <c r="C31" t="str">
        <f t="shared" si="5"/>
        <v>c 2 deg (67%).a2w2d</v>
      </c>
      <c r="H31" t="str">
        <f t="shared" si="2"/>
        <v>c 2 deg (67%).a2w2d</v>
      </c>
      <c r="I31" t="str">
        <f t="shared" si="3"/>
        <v>c 2 deg (67%)</v>
      </c>
      <c r="J31" t="str">
        <f t="shared" si="4"/>
        <v>a2w2d</v>
      </c>
      <c r="O31">
        <v>26</v>
      </c>
      <c r="P31" t="s">
        <v>233</v>
      </c>
      <c r="Q31" t="s">
        <v>287</v>
      </c>
    </row>
    <row r="32" spans="2:17">
      <c r="B32" t="str">
        <f t="shared" si="0"/>
        <v>vs~0027</v>
      </c>
      <c r="C32" t="str">
        <f t="shared" si="5"/>
        <v>c 2 deg (67%).hTS12c</v>
      </c>
      <c r="H32" t="str">
        <f t="shared" si="2"/>
        <v>c 2 deg (67%).hTS12c</v>
      </c>
      <c r="I32" t="str">
        <f t="shared" si="3"/>
        <v>c 2 deg (67%)</v>
      </c>
      <c r="J32" t="str">
        <f t="shared" si="4"/>
        <v>hTS12c</v>
      </c>
      <c r="O32">
        <v>27</v>
      </c>
      <c r="P32" t="s">
        <v>234</v>
      </c>
      <c r="Q32" t="s">
        <v>287</v>
      </c>
    </row>
    <row r="33" spans="2:17">
      <c r="B33" t="str">
        <f t="shared" si="0"/>
        <v>vs~0028</v>
      </c>
      <c r="C33" t="str">
        <f t="shared" si="5"/>
        <v>c 2 deg (67%).gTS24c</v>
      </c>
      <c r="H33" t="str">
        <f t="shared" si="2"/>
        <v>c 2 deg (67%).gTS24c</v>
      </c>
      <c r="I33" t="str">
        <f t="shared" si="3"/>
        <v>c 2 deg (67%)</v>
      </c>
      <c r="J33" t="str">
        <f t="shared" si="4"/>
        <v>gTS24c</v>
      </c>
      <c r="O33">
        <v>28</v>
      </c>
      <c r="P33" t="s">
        <v>235</v>
      </c>
      <c r="Q33" t="s">
        <v>287</v>
      </c>
    </row>
    <row r="34" spans="2:17">
      <c r="B34" t="str">
        <f t="shared" si="0"/>
        <v>vs~0029</v>
      </c>
      <c r="C34" t="str">
        <f t="shared" si="5"/>
        <v>c 2 deg (67%).fTS48c</v>
      </c>
      <c r="H34" t="str">
        <f t="shared" si="2"/>
        <v>c 2 deg (67%).fTS48c</v>
      </c>
      <c r="I34" t="str">
        <f t="shared" si="3"/>
        <v>c 2 deg (67%)</v>
      </c>
      <c r="J34" t="str">
        <f t="shared" si="4"/>
        <v>fTS48c</v>
      </c>
      <c r="O34">
        <v>29</v>
      </c>
      <c r="P34" t="s">
        <v>236</v>
      </c>
      <c r="Q34" t="s">
        <v>287</v>
      </c>
    </row>
    <row r="35" spans="2:17">
      <c r="B35" t="str">
        <f t="shared" si="0"/>
        <v>vs~0030</v>
      </c>
      <c r="C35" t="str">
        <f t="shared" si="5"/>
        <v>c 2 deg (67%).c15d</v>
      </c>
      <c r="H35" t="str">
        <f t="shared" si="2"/>
        <v>c 2 deg (67%).c15d</v>
      </c>
      <c r="I35" t="str">
        <f t="shared" si="3"/>
        <v>c 2 deg (67%)</v>
      </c>
      <c r="J35" t="str">
        <f t="shared" si="4"/>
        <v>c15d</v>
      </c>
      <c r="O35">
        <v>30</v>
      </c>
      <c r="P35" t="s">
        <v>237</v>
      </c>
      <c r="Q35" t="s">
        <v>287</v>
      </c>
    </row>
    <row r="36" spans="2:17">
      <c r="B36" t="str">
        <f t="shared" si="0"/>
        <v>vs~0031</v>
      </c>
      <c r="C36" t="str">
        <f t="shared" si="5"/>
        <v>c 2 deg (67%).f1d</v>
      </c>
      <c r="H36" t="str">
        <f t="shared" si="2"/>
        <v>c 2 deg (67%).f1d</v>
      </c>
      <c r="I36" t="str">
        <f t="shared" si="3"/>
        <v>c 2 deg (67%)</v>
      </c>
      <c r="J36" t="str">
        <f t="shared" si="4"/>
        <v>f1d</v>
      </c>
      <c r="O36">
        <v>31</v>
      </c>
      <c r="P36" t="s">
        <v>263</v>
      </c>
      <c r="Q36" t="s">
        <v>287</v>
      </c>
    </row>
    <row r="37" spans="2:17">
      <c r="B37" t="str">
        <f t="shared" si="0"/>
        <v>vs~0032</v>
      </c>
      <c r="C37" t="str">
        <f t="shared" si="5"/>
        <v>c 2 deg (67%).jAnn</v>
      </c>
      <c r="H37" t="str">
        <f t="shared" si="2"/>
        <v>c 2 deg (67%).jAnn</v>
      </c>
      <c r="I37" t="str">
        <f t="shared" si="3"/>
        <v>c 2 deg (67%)</v>
      </c>
      <c r="J37" t="str">
        <f t="shared" si="4"/>
        <v>jAnn</v>
      </c>
      <c r="O37">
        <v>32</v>
      </c>
      <c r="P37" t="s">
        <v>238</v>
      </c>
      <c r="Q37" t="s">
        <v>287</v>
      </c>
    </row>
    <row r="38" spans="2:17">
      <c r="B38" t="str">
        <f t="shared" si="0"/>
        <v>vs~0033</v>
      </c>
      <c r="C38" t="str">
        <f t="shared" si="5"/>
        <v>c 2 deg (67%).iTS12</v>
      </c>
      <c r="H38" t="str">
        <f t="shared" si="2"/>
        <v>c 2 deg (67%).iTS12</v>
      </c>
      <c r="I38" t="str">
        <f t="shared" si="3"/>
        <v>c 2 deg (67%)</v>
      </c>
      <c r="J38" t="str">
        <f t="shared" si="4"/>
        <v>iTS12</v>
      </c>
      <c r="O38">
        <v>33</v>
      </c>
      <c r="P38" t="s">
        <v>239</v>
      </c>
      <c r="Q38" t="s">
        <v>287</v>
      </c>
    </row>
    <row r="39" spans="2:17">
      <c r="B39" t="str">
        <f t="shared" si="0"/>
        <v>vs~0034</v>
      </c>
      <c r="C39" t="str">
        <f t="shared" si="5"/>
        <v>b 2 deg (50%).e3d</v>
      </c>
      <c r="H39" t="str">
        <f t="shared" si="2"/>
        <v>b 2 deg (50%).e3d</v>
      </c>
      <c r="I39" t="str">
        <f t="shared" si="3"/>
        <v>b 2 deg (50%)</v>
      </c>
      <c r="J39" t="str">
        <f t="shared" si="4"/>
        <v>e3d</v>
      </c>
      <c r="O39">
        <v>34</v>
      </c>
      <c r="P39" t="s">
        <v>230</v>
      </c>
      <c r="Q39" t="s">
        <v>288</v>
      </c>
    </row>
    <row r="40" spans="2:17">
      <c r="B40" t="str">
        <f t="shared" si="0"/>
        <v>vs~0035</v>
      </c>
      <c r="C40" t="str">
        <f t="shared" si="5"/>
        <v>b 2 deg (50%).d9d</v>
      </c>
      <c r="H40" t="str">
        <f t="shared" si="2"/>
        <v>b 2 deg (50%).d9d</v>
      </c>
      <c r="I40" t="str">
        <f t="shared" si="3"/>
        <v>b 2 deg (50%)</v>
      </c>
      <c r="J40" t="str">
        <f t="shared" si="4"/>
        <v>d9d</v>
      </c>
      <c r="O40">
        <v>35</v>
      </c>
      <c r="P40" t="s">
        <v>231</v>
      </c>
      <c r="Q40" t="s">
        <v>288</v>
      </c>
    </row>
    <row r="41" spans="2:17">
      <c r="B41" t="str">
        <f t="shared" si="0"/>
        <v>vs~0036</v>
      </c>
      <c r="C41" t="str">
        <f t="shared" ref="C41:C55" si="6">H41</f>
        <v>b 2 deg (50%).b2w</v>
      </c>
      <c r="H41" t="str">
        <f t="shared" si="2"/>
        <v>b 2 deg (50%).b2w</v>
      </c>
      <c r="I41" t="str">
        <f t="shared" si="3"/>
        <v>b 2 deg (50%)</v>
      </c>
      <c r="J41" t="str">
        <f t="shared" si="4"/>
        <v>b2w</v>
      </c>
      <c r="O41">
        <v>36</v>
      </c>
      <c r="P41" t="s">
        <v>232</v>
      </c>
      <c r="Q41" t="s">
        <v>288</v>
      </c>
    </row>
    <row r="42" spans="2:17">
      <c r="B42" t="str">
        <f t="shared" si="0"/>
        <v>vs~0037</v>
      </c>
      <c r="C42" t="str">
        <f t="shared" si="6"/>
        <v>b 2 deg (50%).a2w2d</v>
      </c>
      <c r="H42" t="str">
        <f t="shared" si="2"/>
        <v>b 2 deg (50%).a2w2d</v>
      </c>
      <c r="I42" t="str">
        <f t="shared" si="3"/>
        <v>b 2 deg (50%)</v>
      </c>
      <c r="J42" t="str">
        <f t="shared" si="4"/>
        <v>a2w2d</v>
      </c>
      <c r="O42">
        <v>37</v>
      </c>
      <c r="P42" t="s">
        <v>233</v>
      </c>
      <c r="Q42" t="s">
        <v>288</v>
      </c>
    </row>
    <row r="43" spans="2:17">
      <c r="B43" t="str">
        <f t="shared" si="0"/>
        <v>vs~0038</v>
      </c>
      <c r="C43" t="str">
        <f t="shared" si="6"/>
        <v>b 2 deg (50%).hTS12c</v>
      </c>
      <c r="H43" t="str">
        <f t="shared" si="2"/>
        <v>b 2 deg (50%).hTS12c</v>
      </c>
      <c r="I43" t="str">
        <f t="shared" si="3"/>
        <v>b 2 deg (50%)</v>
      </c>
      <c r="J43" t="str">
        <f t="shared" si="4"/>
        <v>hTS12c</v>
      </c>
      <c r="O43">
        <v>38</v>
      </c>
      <c r="P43" t="s">
        <v>234</v>
      </c>
      <c r="Q43" t="s">
        <v>288</v>
      </c>
    </row>
    <row r="44" spans="2:17">
      <c r="B44" t="str">
        <f t="shared" si="0"/>
        <v>vs~0039</v>
      </c>
      <c r="C44" t="str">
        <f t="shared" si="6"/>
        <v>b 2 deg (50%).gTS24c</v>
      </c>
      <c r="H44" t="str">
        <f t="shared" si="2"/>
        <v>b 2 deg (50%).gTS24c</v>
      </c>
      <c r="I44" t="str">
        <f t="shared" si="3"/>
        <v>b 2 deg (50%)</v>
      </c>
      <c r="J44" t="str">
        <f t="shared" si="4"/>
        <v>gTS24c</v>
      </c>
      <c r="O44">
        <v>39</v>
      </c>
      <c r="P44" t="s">
        <v>235</v>
      </c>
      <c r="Q44" t="s">
        <v>288</v>
      </c>
    </row>
    <row r="45" spans="2:17">
      <c r="B45" t="str">
        <f t="shared" si="0"/>
        <v>vs~0040</v>
      </c>
      <c r="C45" t="str">
        <f t="shared" si="6"/>
        <v>b 2 deg (50%).fTS48c</v>
      </c>
      <c r="H45" t="str">
        <f t="shared" si="2"/>
        <v>b 2 deg (50%).fTS48c</v>
      </c>
      <c r="I45" t="str">
        <f t="shared" si="3"/>
        <v>b 2 deg (50%)</v>
      </c>
      <c r="J45" t="str">
        <f t="shared" si="4"/>
        <v>fTS48c</v>
      </c>
      <c r="O45">
        <v>40</v>
      </c>
      <c r="P45" t="s">
        <v>236</v>
      </c>
      <c r="Q45" t="s">
        <v>288</v>
      </c>
    </row>
    <row r="46" spans="2:17">
      <c r="B46" t="str">
        <f t="shared" si="0"/>
        <v>vs~0041</v>
      </c>
      <c r="C46" t="str">
        <f t="shared" si="6"/>
        <v>b 2 deg (50%).c15d</v>
      </c>
      <c r="H46" t="str">
        <f t="shared" si="2"/>
        <v>b 2 deg (50%).c15d</v>
      </c>
      <c r="I46" t="str">
        <f t="shared" si="3"/>
        <v>b 2 deg (50%)</v>
      </c>
      <c r="J46" t="str">
        <f t="shared" si="4"/>
        <v>c15d</v>
      </c>
      <c r="O46">
        <v>41</v>
      </c>
      <c r="P46" t="s">
        <v>237</v>
      </c>
      <c r="Q46" t="s">
        <v>288</v>
      </c>
    </row>
    <row r="47" spans="2:17">
      <c r="B47" t="str">
        <f t="shared" si="0"/>
        <v>vs~0042</v>
      </c>
      <c r="C47" t="str">
        <f t="shared" si="6"/>
        <v>b 2 deg (50%).f1d</v>
      </c>
      <c r="H47" t="str">
        <f t="shared" si="2"/>
        <v>b 2 deg (50%).f1d</v>
      </c>
      <c r="I47" t="str">
        <f t="shared" si="3"/>
        <v>b 2 deg (50%)</v>
      </c>
      <c r="J47" t="str">
        <f t="shared" si="4"/>
        <v>f1d</v>
      </c>
      <c r="O47">
        <v>42</v>
      </c>
      <c r="P47" t="s">
        <v>263</v>
      </c>
      <c r="Q47" t="s">
        <v>288</v>
      </c>
    </row>
    <row r="48" spans="2:17">
      <c r="B48" t="str">
        <f t="shared" si="0"/>
        <v>vs~0043</v>
      </c>
      <c r="C48" t="str">
        <f t="shared" si="6"/>
        <v>b 2 deg (50%).jAnn</v>
      </c>
      <c r="H48" t="str">
        <f t="shared" si="2"/>
        <v>b 2 deg (50%).jAnn</v>
      </c>
      <c r="I48" t="str">
        <f t="shared" si="3"/>
        <v>b 2 deg (50%)</v>
      </c>
      <c r="J48" t="str">
        <f t="shared" si="4"/>
        <v>jAnn</v>
      </c>
      <c r="O48">
        <v>43</v>
      </c>
      <c r="P48" t="s">
        <v>238</v>
      </c>
      <c r="Q48" t="s">
        <v>288</v>
      </c>
    </row>
    <row r="49" spans="2:17">
      <c r="B49" t="str">
        <f t="shared" si="0"/>
        <v>vs~0044</v>
      </c>
      <c r="C49" t="str">
        <f t="shared" si="6"/>
        <v>b 2 deg (50%).iTS12</v>
      </c>
      <c r="H49" t="str">
        <f t="shared" si="2"/>
        <v>b 2 deg (50%).iTS12</v>
      </c>
      <c r="I49" t="str">
        <f t="shared" si="3"/>
        <v>b 2 deg (50%)</v>
      </c>
      <c r="J49" t="str">
        <f t="shared" si="4"/>
        <v>iTS12</v>
      </c>
      <c r="O49">
        <v>44</v>
      </c>
      <c r="P49" t="s">
        <v>239</v>
      </c>
      <c r="Q49" t="s">
        <v>288</v>
      </c>
    </row>
    <row r="50" spans="2:17">
      <c r="B50" t="str">
        <f t="shared" si="0"/>
        <v>vs~0045</v>
      </c>
      <c r="C50" t="str">
        <f t="shared" si="6"/>
        <v>a 3 deg.e3d</v>
      </c>
      <c r="H50" t="str">
        <f t="shared" si="2"/>
        <v>a 3 deg.e3d</v>
      </c>
      <c r="I50" t="str">
        <f t="shared" si="3"/>
        <v>a 3 deg</v>
      </c>
      <c r="J50" t="str">
        <f t="shared" si="4"/>
        <v>e3d</v>
      </c>
      <c r="O50">
        <v>45</v>
      </c>
      <c r="P50" t="s">
        <v>230</v>
      </c>
      <c r="Q50" t="s">
        <v>289</v>
      </c>
    </row>
    <row r="51" spans="2:17">
      <c r="B51" t="str">
        <f t="shared" si="0"/>
        <v>vs~0046</v>
      </c>
      <c r="C51" t="str">
        <f t="shared" si="6"/>
        <v>a 3 deg.d9d</v>
      </c>
      <c r="H51" t="str">
        <f t="shared" si="2"/>
        <v>a 3 deg.d9d</v>
      </c>
      <c r="I51" t="str">
        <f t="shared" si="3"/>
        <v>a 3 deg</v>
      </c>
      <c r="J51" t="str">
        <f t="shared" si="4"/>
        <v>d9d</v>
      </c>
      <c r="O51">
        <v>46</v>
      </c>
      <c r="P51" t="s">
        <v>231</v>
      </c>
      <c r="Q51" t="s">
        <v>289</v>
      </c>
    </row>
    <row r="52" spans="2:17">
      <c r="B52" t="str">
        <f t="shared" si="0"/>
        <v>vs~0047</v>
      </c>
      <c r="C52" t="str">
        <f t="shared" si="6"/>
        <v>a 3 deg.b2w</v>
      </c>
      <c r="H52" t="str">
        <f t="shared" si="2"/>
        <v>a 3 deg.b2w</v>
      </c>
      <c r="I52" t="str">
        <f t="shared" si="3"/>
        <v>a 3 deg</v>
      </c>
      <c r="J52" t="str">
        <f t="shared" si="4"/>
        <v>b2w</v>
      </c>
      <c r="O52">
        <v>47</v>
      </c>
      <c r="P52" t="s">
        <v>232</v>
      </c>
      <c r="Q52" t="s">
        <v>289</v>
      </c>
    </row>
    <row r="53" spans="2:17">
      <c r="B53" t="str">
        <f t="shared" si="0"/>
        <v>vs~0048</v>
      </c>
      <c r="C53" t="str">
        <f t="shared" si="6"/>
        <v>a 3 deg.a2w2d</v>
      </c>
      <c r="H53" t="str">
        <f t="shared" si="2"/>
        <v>a 3 deg.a2w2d</v>
      </c>
      <c r="I53" t="str">
        <f t="shared" si="3"/>
        <v>a 3 deg</v>
      </c>
      <c r="J53" t="str">
        <f t="shared" si="4"/>
        <v>a2w2d</v>
      </c>
      <c r="O53">
        <v>48</v>
      </c>
      <c r="P53" t="s">
        <v>233</v>
      </c>
      <c r="Q53" t="s">
        <v>289</v>
      </c>
    </row>
    <row r="54" spans="2:17">
      <c r="B54" t="str">
        <f t="shared" si="0"/>
        <v>vs~0049</v>
      </c>
      <c r="C54" t="str">
        <f t="shared" si="6"/>
        <v>a 3 deg.hTS12c</v>
      </c>
      <c r="H54" t="str">
        <f t="shared" si="2"/>
        <v>a 3 deg.hTS12c</v>
      </c>
      <c r="I54" t="str">
        <f t="shared" si="3"/>
        <v>a 3 deg</v>
      </c>
      <c r="J54" t="str">
        <f t="shared" si="4"/>
        <v>hTS12c</v>
      </c>
      <c r="O54">
        <v>49</v>
      </c>
      <c r="P54" t="s">
        <v>234</v>
      </c>
      <c r="Q54" t="s">
        <v>289</v>
      </c>
    </row>
    <row r="55" spans="2:17">
      <c r="B55" t="str">
        <f t="shared" si="0"/>
        <v>vs~0050</v>
      </c>
      <c r="C55" t="str">
        <f t="shared" si="6"/>
        <v>a 3 deg.gTS24c</v>
      </c>
      <c r="H55" t="str">
        <f t="shared" si="2"/>
        <v>a 3 deg.gTS24c</v>
      </c>
      <c r="I55" t="str">
        <f t="shared" si="3"/>
        <v>a 3 deg</v>
      </c>
      <c r="J55" t="str">
        <f t="shared" si="4"/>
        <v>gTS24c</v>
      </c>
      <c r="O55">
        <v>50</v>
      </c>
      <c r="P55" t="s">
        <v>235</v>
      </c>
      <c r="Q55" t="s">
        <v>289</v>
      </c>
    </row>
    <row r="56" spans="2:17">
      <c r="B56" t="str">
        <f t="shared" si="0"/>
        <v>vs~0051</v>
      </c>
      <c r="C56" t="str">
        <f t="shared" ref="C56:C60" si="7">H56</f>
        <v>a 3 deg.fTS48c</v>
      </c>
      <c r="H56" t="str">
        <f t="shared" ref="H56:H60" si="8">_xlfn.TEXTJOIN(".",TRUE,I56:J56)</f>
        <v>a 3 deg.fTS48c</v>
      </c>
      <c r="I56" t="str">
        <f t="shared" si="3"/>
        <v>a 3 deg</v>
      </c>
      <c r="J56" t="str">
        <f t="shared" si="4"/>
        <v>fTS48c</v>
      </c>
      <c r="O56">
        <v>51</v>
      </c>
      <c r="P56" t="s">
        <v>236</v>
      </c>
      <c r="Q56" t="s">
        <v>289</v>
      </c>
    </row>
    <row r="57" spans="2:17">
      <c r="B57" t="str">
        <f t="shared" si="0"/>
        <v>vs~0052</v>
      </c>
      <c r="C57" t="str">
        <f t="shared" si="7"/>
        <v>a 3 deg.c15d</v>
      </c>
      <c r="H57" t="str">
        <f t="shared" si="8"/>
        <v>a 3 deg.c15d</v>
      </c>
      <c r="I57" t="str">
        <f t="shared" si="3"/>
        <v>a 3 deg</v>
      </c>
      <c r="J57" t="str">
        <f t="shared" si="4"/>
        <v>c15d</v>
      </c>
      <c r="O57">
        <v>52</v>
      </c>
      <c r="P57" t="s">
        <v>237</v>
      </c>
      <c r="Q57" t="s">
        <v>289</v>
      </c>
    </row>
    <row r="58" spans="2:17">
      <c r="B58" t="str">
        <f t="shared" si="0"/>
        <v>vs~0053</v>
      </c>
      <c r="C58" t="str">
        <f t="shared" si="7"/>
        <v>a 3 deg.f1d</v>
      </c>
      <c r="H58" t="str">
        <f t="shared" si="8"/>
        <v>a 3 deg.f1d</v>
      </c>
      <c r="I58" t="str">
        <f t="shared" si="3"/>
        <v>a 3 deg</v>
      </c>
      <c r="J58" t="str">
        <f t="shared" si="4"/>
        <v>f1d</v>
      </c>
      <c r="O58">
        <v>53</v>
      </c>
      <c r="P58" t="s">
        <v>263</v>
      </c>
      <c r="Q58" t="s">
        <v>289</v>
      </c>
    </row>
    <row r="59" spans="2:17">
      <c r="B59" t="str">
        <f t="shared" si="0"/>
        <v>vs~0054</v>
      </c>
      <c r="C59" t="str">
        <f t="shared" si="7"/>
        <v>a 3 deg.jAnn</v>
      </c>
      <c r="H59" t="str">
        <f t="shared" si="8"/>
        <v>a 3 deg.jAnn</v>
      </c>
      <c r="I59" t="str">
        <f t="shared" si="3"/>
        <v>a 3 deg</v>
      </c>
      <c r="J59" t="str">
        <f t="shared" si="4"/>
        <v>jAnn</v>
      </c>
      <c r="O59">
        <v>54</v>
      </c>
      <c r="P59" t="s">
        <v>238</v>
      </c>
      <c r="Q59" t="s">
        <v>289</v>
      </c>
    </row>
    <row r="60" spans="2:17">
      <c r="B60" t="str">
        <f t="shared" si="0"/>
        <v>vs~0055</v>
      </c>
      <c r="C60" t="str">
        <f t="shared" si="7"/>
        <v>a 3 deg.iTS12</v>
      </c>
      <c r="H60" t="str">
        <f t="shared" si="8"/>
        <v>a 3 deg.iTS12</v>
      </c>
      <c r="I60" t="str">
        <f t="shared" si="3"/>
        <v>a 3 deg</v>
      </c>
      <c r="J60" t="str">
        <f t="shared" si="4"/>
        <v>iTS12</v>
      </c>
      <c r="O60">
        <v>55</v>
      </c>
      <c r="P60" t="s">
        <v>239</v>
      </c>
      <c r="Q60" t="s">
        <v>289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5"/>
  <sheetViews>
    <sheetView zoomScaleNormal="100" workbookViewId="0">
      <pane ySplit="2" topLeftCell="A3" activePane="bottomLeft" state="frozen"/>
      <selection pane="bottomLeft" activeCell="N16" sqref="N16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261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292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290</v>
      </c>
      <c r="K14" t="s">
        <v>292</v>
      </c>
      <c r="N14" t="s">
        <v>293</v>
      </c>
      <c r="Q14" t="s">
        <v>50</v>
      </c>
    </row>
    <row r="15" spans="1:21">
      <c r="A15" s="4" t="s">
        <v>291</v>
      </c>
      <c r="K15" t="s">
        <v>292</v>
      </c>
      <c r="N15" t="s">
        <v>294</v>
      </c>
      <c r="Q15" t="s">
        <v>50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09CE-58D9-4053-B50A-6E23C055C476}">
  <dimension ref="B9:D331"/>
  <sheetViews>
    <sheetView tabSelected="1" workbookViewId="0"/>
  </sheetViews>
  <sheetFormatPr defaultRowHeight="14.25"/>
  <sheetData>
    <row r="9" spans="2:4">
      <c r="B9" t="s">
        <v>619</v>
      </c>
    </row>
    <row r="10" spans="2:4">
      <c r="B10" t="s">
        <v>620</v>
      </c>
      <c r="C10" t="s">
        <v>621</v>
      </c>
      <c r="D10" t="s">
        <v>622</v>
      </c>
    </row>
    <row r="11" spans="2:4">
      <c r="B11" t="s">
        <v>298</v>
      </c>
      <c r="C11">
        <v>38.397549484750279</v>
      </c>
      <c r="D11">
        <v>22.6717713</v>
      </c>
    </row>
    <row r="12" spans="2:4">
      <c r="B12" t="s">
        <v>299</v>
      </c>
      <c r="C12">
        <v>38.385215484737891</v>
      </c>
      <c r="D12">
        <v>23.009998599999999</v>
      </c>
    </row>
    <row r="13" spans="2:4">
      <c r="B13" t="s">
        <v>300</v>
      </c>
      <c r="C13">
        <v>38.381854384734602</v>
      </c>
      <c r="D13">
        <v>23.464143600000003</v>
      </c>
    </row>
    <row r="14" spans="2:4">
      <c r="B14" t="s">
        <v>301</v>
      </c>
      <c r="C14">
        <v>38.279062024129708</v>
      </c>
      <c r="D14">
        <v>23.327297689421048</v>
      </c>
    </row>
    <row r="15" spans="2:4">
      <c r="B15" t="s">
        <v>302</v>
      </c>
      <c r="C15">
        <v>38.088899484440049</v>
      </c>
      <c r="D15">
        <v>23.632869500000016</v>
      </c>
    </row>
    <row r="16" spans="2:4">
      <c r="B16" t="s">
        <v>303</v>
      </c>
      <c r="C16">
        <v>37.917294084266707</v>
      </c>
      <c r="D16">
        <v>23.906257199999999</v>
      </c>
    </row>
    <row r="17" spans="2:4">
      <c r="B17" t="s">
        <v>304</v>
      </c>
      <c r="C17">
        <v>37.90051998424974</v>
      </c>
      <c r="D17">
        <v>23.913552600000006</v>
      </c>
    </row>
    <row r="18" spans="2:4">
      <c r="B18" t="s">
        <v>305</v>
      </c>
      <c r="C18">
        <v>41.273675787517405</v>
      </c>
      <c r="D18">
        <v>25.556072</v>
      </c>
    </row>
    <row r="19" spans="2:4">
      <c r="B19" t="s">
        <v>306</v>
      </c>
      <c r="C19">
        <v>41.100520962106479</v>
      </c>
      <c r="D19">
        <v>25.74598351702604</v>
      </c>
    </row>
    <row r="20" spans="2:4">
      <c r="B20" t="s">
        <v>307</v>
      </c>
      <c r="C20">
        <v>41.046387757951727</v>
      </c>
      <c r="D20">
        <v>24.261998672357265</v>
      </c>
    </row>
    <row r="21" spans="2:4">
      <c r="B21" t="s">
        <v>308</v>
      </c>
      <c r="C21">
        <v>40.789907133389782</v>
      </c>
      <c r="D21">
        <v>23.04751590737871</v>
      </c>
    </row>
    <row r="22" spans="2:4">
      <c r="B22" t="s">
        <v>309</v>
      </c>
      <c r="C22">
        <v>40.735519687019703</v>
      </c>
      <c r="D22">
        <v>22.781041299999998</v>
      </c>
    </row>
    <row r="23" spans="2:4">
      <c r="B23" t="s">
        <v>310</v>
      </c>
      <c r="C23">
        <v>39.537211737716198</v>
      </c>
      <c r="D23">
        <v>22.51695614574</v>
      </c>
    </row>
    <row r="24" spans="2:4">
      <c r="B24" t="s">
        <v>311</v>
      </c>
      <c r="C24">
        <v>38.425847184778611</v>
      </c>
      <c r="D24">
        <v>22.645956299999987</v>
      </c>
    </row>
    <row r="25" spans="2:4">
      <c r="B25" t="s">
        <v>312</v>
      </c>
      <c r="C25">
        <v>37.918331671371512</v>
      </c>
      <c r="D25">
        <v>23.758688144025928</v>
      </c>
    </row>
    <row r="26" spans="2:4">
      <c r="B26" t="s">
        <v>313</v>
      </c>
      <c r="C26">
        <v>38.72032817355619</v>
      </c>
      <c r="D26">
        <v>21.419106475471395</v>
      </c>
    </row>
    <row r="27" spans="2:4">
      <c r="B27" t="s">
        <v>314</v>
      </c>
      <c r="C27">
        <v>38.238822926546057</v>
      </c>
      <c r="D27">
        <v>22.948933817703782</v>
      </c>
    </row>
    <row r="28" spans="2:4">
      <c r="B28" t="s">
        <v>315</v>
      </c>
      <c r="C28">
        <v>40.405865450498148</v>
      </c>
      <c r="D28">
        <v>21.781901581542311</v>
      </c>
    </row>
    <row r="29" spans="2:4">
      <c r="B29" t="s">
        <v>316</v>
      </c>
      <c r="C29">
        <v>39.184286085693962</v>
      </c>
      <c r="D29">
        <v>20.964087730673558</v>
      </c>
    </row>
    <row r="30" spans="2:4">
      <c r="B30" t="s">
        <v>317</v>
      </c>
      <c r="C30">
        <v>39.558017670168013</v>
      </c>
      <c r="D30">
        <v>21.882580020558223</v>
      </c>
    </row>
    <row r="31" spans="2:4">
      <c r="B31" t="s">
        <v>318</v>
      </c>
      <c r="C31">
        <v>40.618107745184538</v>
      </c>
      <c r="D31">
        <v>21.687001517929652</v>
      </c>
    </row>
    <row r="32" spans="2:4">
      <c r="B32" t="s">
        <v>319</v>
      </c>
      <c r="C32">
        <v>40.810805343630868</v>
      </c>
      <c r="D32">
        <v>21.59750386785111</v>
      </c>
    </row>
    <row r="33" spans="2:4">
      <c r="B33" t="s">
        <v>320</v>
      </c>
      <c r="C33">
        <v>38.356516990188197</v>
      </c>
      <c r="D33">
        <v>22.689255854903209</v>
      </c>
    </row>
    <row r="34" spans="2:4">
      <c r="B34" t="s">
        <v>321</v>
      </c>
      <c r="C34">
        <v>38.391680957144793</v>
      </c>
      <c r="D34">
        <v>24.056276284515416</v>
      </c>
    </row>
    <row r="35" spans="2:4">
      <c r="B35" t="s">
        <v>322</v>
      </c>
      <c r="C35">
        <v>38.03331137481873</v>
      </c>
      <c r="D35">
        <v>23.623651694868315</v>
      </c>
    </row>
    <row r="36" spans="2:4">
      <c r="B36" t="s">
        <v>323</v>
      </c>
      <c r="C36">
        <v>40.691825685834218</v>
      </c>
      <c r="D36">
        <v>22.924140894420194</v>
      </c>
    </row>
    <row r="37" spans="2:4">
      <c r="B37" t="s">
        <v>324</v>
      </c>
      <c r="C37">
        <v>38.437338160625899</v>
      </c>
      <c r="D37">
        <v>22.687900569687582</v>
      </c>
    </row>
    <row r="38" spans="2:4">
      <c r="B38" t="s">
        <v>325</v>
      </c>
      <c r="C38">
        <v>38.525614290553683</v>
      </c>
      <c r="D38">
        <v>23.167372945243962</v>
      </c>
    </row>
    <row r="39" spans="2:4">
      <c r="B39" t="s">
        <v>326</v>
      </c>
      <c r="C39">
        <v>38.101030940132034</v>
      </c>
      <c r="D39">
        <v>23.734562816452321</v>
      </c>
    </row>
    <row r="40" spans="2:4">
      <c r="B40" t="s">
        <v>327</v>
      </c>
      <c r="C40">
        <v>38.132779675832147</v>
      </c>
      <c r="D40">
        <v>23.835766828537867</v>
      </c>
    </row>
    <row r="41" spans="2:4">
      <c r="B41" t="s">
        <v>328</v>
      </c>
      <c r="C41">
        <v>37.99372946494308</v>
      </c>
      <c r="D41">
        <v>23.852229508499551</v>
      </c>
    </row>
    <row r="42" spans="2:4">
      <c r="B42" t="s">
        <v>329</v>
      </c>
      <c r="C42">
        <v>37.747638943039526</v>
      </c>
      <c r="D42">
        <v>24.067017748208578</v>
      </c>
    </row>
    <row r="43" spans="2:4">
      <c r="B43" t="s">
        <v>330</v>
      </c>
      <c r="C43">
        <v>40.389382602674267</v>
      </c>
      <c r="D43">
        <v>21.921974479557932</v>
      </c>
    </row>
    <row r="44" spans="2:4">
      <c r="B44" t="s">
        <v>331</v>
      </c>
      <c r="C44">
        <v>39.173820363724552</v>
      </c>
      <c r="D44">
        <v>19.852318878959291</v>
      </c>
    </row>
    <row r="45" spans="2:4">
      <c r="B45" t="s">
        <v>332</v>
      </c>
      <c r="C45">
        <v>39.623480545586823</v>
      </c>
      <c r="D45">
        <v>19.852318878959291</v>
      </c>
    </row>
    <row r="46" spans="2:4">
      <c r="B46" t="s">
        <v>333</v>
      </c>
      <c r="C46">
        <v>40.073140727449093</v>
      </c>
      <c r="D46">
        <v>19.852318878959291</v>
      </c>
    </row>
    <row r="47" spans="2:4">
      <c r="B47" t="s">
        <v>334</v>
      </c>
      <c r="C47">
        <v>37.82483981813774</v>
      </c>
      <c r="D47">
        <v>20.400163716728787</v>
      </c>
    </row>
    <row r="48" spans="2:4">
      <c r="B48" t="s">
        <v>335</v>
      </c>
      <c r="C48">
        <v>38.27450000000001</v>
      </c>
      <c r="D48">
        <v>20.400163716728787</v>
      </c>
    </row>
    <row r="49" spans="2:4">
      <c r="B49" t="s">
        <v>336</v>
      </c>
      <c r="C49">
        <v>38.724160181862281</v>
      </c>
      <c r="D49">
        <v>20.400163716728787</v>
      </c>
    </row>
    <row r="50" spans="2:4">
      <c r="B50" t="s">
        <v>337</v>
      </c>
      <c r="C50">
        <v>39.173820363724552</v>
      </c>
      <c r="D50">
        <v>20.400163716728787</v>
      </c>
    </row>
    <row r="51" spans="2:4">
      <c r="B51" t="s">
        <v>338</v>
      </c>
      <c r="C51">
        <v>39.623480545586823</v>
      </c>
      <c r="D51">
        <v>20.400163716728787</v>
      </c>
    </row>
    <row r="52" spans="2:4">
      <c r="B52" t="s">
        <v>339</v>
      </c>
      <c r="C52">
        <v>40.073140727449093</v>
      </c>
      <c r="D52">
        <v>20.400163716728787</v>
      </c>
    </row>
    <row r="53" spans="2:4">
      <c r="B53" t="s">
        <v>340</v>
      </c>
      <c r="C53">
        <v>37.82483981813774</v>
      </c>
      <c r="D53">
        <v>20.948008554498283</v>
      </c>
    </row>
    <row r="54" spans="2:4">
      <c r="B54" t="s">
        <v>341</v>
      </c>
      <c r="C54">
        <v>38.27450000000001</v>
      </c>
      <c r="D54">
        <v>20.948008554498283</v>
      </c>
    </row>
    <row r="55" spans="2:4">
      <c r="B55" t="s">
        <v>342</v>
      </c>
      <c r="C55">
        <v>38.724160181862281</v>
      </c>
      <c r="D55">
        <v>20.948008554498283</v>
      </c>
    </row>
    <row r="56" spans="2:4">
      <c r="B56" t="s">
        <v>343</v>
      </c>
      <c r="C56">
        <v>39.173820363724552</v>
      </c>
      <c r="D56">
        <v>20.948008554498283</v>
      </c>
    </row>
    <row r="57" spans="2:4">
      <c r="B57" t="s">
        <v>344</v>
      </c>
      <c r="C57">
        <v>39.623480545586823</v>
      </c>
      <c r="D57">
        <v>20.948008554498283</v>
      </c>
    </row>
    <row r="58" spans="2:4">
      <c r="B58" t="s">
        <v>345</v>
      </c>
      <c r="C58">
        <v>40.073140727449093</v>
      </c>
      <c r="D58">
        <v>20.948008554498283</v>
      </c>
    </row>
    <row r="59" spans="2:4">
      <c r="B59" t="s">
        <v>346</v>
      </c>
      <c r="C59">
        <v>40.522800909311357</v>
      </c>
      <c r="D59">
        <v>20.948008554498283</v>
      </c>
    </row>
    <row r="60" spans="2:4">
      <c r="B60" t="s">
        <v>347</v>
      </c>
      <c r="C60">
        <v>40.972461091173642</v>
      </c>
      <c r="D60">
        <v>20.948008554498283</v>
      </c>
    </row>
    <row r="61" spans="2:4">
      <c r="B61" t="s">
        <v>348</v>
      </c>
      <c r="C61">
        <v>36.925519454413191</v>
      </c>
      <c r="D61">
        <v>21.495853392267776</v>
      </c>
    </row>
    <row r="62" spans="2:4">
      <c r="B62" t="s">
        <v>349</v>
      </c>
      <c r="C62">
        <v>37.375179636275462</v>
      </c>
      <c r="D62">
        <v>21.495853392267776</v>
      </c>
    </row>
    <row r="63" spans="2:4">
      <c r="B63" t="s">
        <v>350</v>
      </c>
      <c r="C63">
        <v>37.82483981813774</v>
      </c>
      <c r="D63">
        <v>21.495853392267776</v>
      </c>
    </row>
    <row r="64" spans="2:4">
      <c r="B64" t="s">
        <v>351</v>
      </c>
      <c r="C64">
        <v>38.27450000000001</v>
      </c>
      <c r="D64">
        <v>21.495853392267776</v>
      </c>
    </row>
    <row r="65" spans="2:4">
      <c r="B65" t="s">
        <v>352</v>
      </c>
      <c r="C65">
        <v>38.724160181862281</v>
      </c>
      <c r="D65">
        <v>21.495853392267776</v>
      </c>
    </row>
    <row r="66" spans="2:4">
      <c r="B66" t="s">
        <v>353</v>
      </c>
      <c r="C66">
        <v>39.173820363724552</v>
      </c>
      <c r="D66">
        <v>21.495853392267776</v>
      </c>
    </row>
    <row r="67" spans="2:4">
      <c r="B67" t="s">
        <v>354</v>
      </c>
      <c r="C67">
        <v>39.623480545586823</v>
      </c>
      <c r="D67">
        <v>21.495853392267776</v>
      </c>
    </row>
    <row r="68" spans="2:4">
      <c r="B68" t="s">
        <v>355</v>
      </c>
      <c r="C68">
        <v>40.073140727449093</v>
      </c>
      <c r="D68">
        <v>21.495853392267776</v>
      </c>
    </row>
    <row r="69" spans="2:4">
      <c r="B69" t="s">
        <v>356</v>
      </c>
      <c r="C69">
        <v>40.522800909311357</v>
      </c>
      <c r="D69">
        <v>21.495853392267776</v>
      </c>
    </row>
    <row r="70" spans="2:4">
      <c r="B70" t="s">
        <v>357</v>
      </c>
      <c r="C70">
        <v>40.972461091173642</v>
      </c>
      <c r="D70">
        <v>21.495853392267776</v>
      </c>
    </row>
    <row r="71" spans="2:4">
      <c r="B71" t="s">
        <v>358</v>
      </c>
      <c r="C71">
        <v>36.925519454413191</v>
      </c>
      <c r="D71">
        <v>22.043698230037279</v>
      </c>
    </row>
    <row r="72" spans="2:4">
      <c r="B72" t="s">
        <v>359</v>
      </c>
      <c r="C72">
        <v>37.375179636275462</v>
      </c>
      <c r="D72">
        <v>22.043698230037279</v>
      </c>
    </row>
    <row r="73" spans="2:4">
      <c r="B73" t="s">
        <v>360</v>
      </c>
      <c r="C73">
        <v>37.82483981813774</v>
      </c>
      <c r="D73">
        <v>22.043698230037279</v>
      </c>
    </row>
    <row r="74" spans="2:4">
      <c r="B74" t="s">
        <v>361</v>
      </c>
      <c r="C74">
        <v>38.27450000000001</v>
      </c>
      <c r="D74">
        <v>22.043698230037279</v>
      </c>
    </row>
    <row r="75" spans="2:4">
      <c r="B75" t="s">
        <v>362</v>
      </c>
      <c r="C75">
        <v>38.724160181862281</v>
      </c>
      <c r="D75">
        <v>22.043698230037279</v>
      </c>
    </row>
    <row r="76" spans="2:4">
      <c r="B76" t="s">
        <v>363</v>
      </c>
      <c r="C76">
        <v>39.173820363724552</v>
      </c>
      <c r="D76">
        <v>22.043698230037279</v>
      </c>
    </row>
    <row r="77" spans="2:4">
      <c r="B77" t="s">
        <v>364</v>
      </c>
      <c r="C77">
        <v>39.623480545586823</v>
      </c>
      <c r="D77">
        <v>22.043698230037279</v>
      </c>
    </row>
    <row r="78" spans="2:4">
      <c r="B78" t="s">
        <v>365</v>
      </c>
      <c r="C78">
        <v>40.073140727449093</v>
      </c>
      <c r="D78">
        <v>22.043698230037279</v>
      </c>
    </row>
    <row r="79" spans="2:4">
      <c r="B79" t="s">
        <v>366</v>
      </c>
      <c r="C79">
        <v>40.522800909311357</v>
      </c>
      <c r="D79">
        <v>22.043698230037279</v>
      </c>
    </row>
    <row r="80" spans="2:4">
      <c r="B80" t="s">
        <v>367</v>
      </c>
      <c r="C80">
        <v>40.972461091173642</v>
      </c>
      <c r="D80">
        <v>22.043698230037279</v>
      </c>
    </row>
    <row r="81" spans="2:4">
      <c r="B81" t="s">
        <v>368</v>
      </c>
      <c r="C81">
        <v>36.47585927255092</v>
      </c>
      <c r="D81">
        <v>22.591543067806771</v>
      </c>
    </row>
    <row r="82" spans="2:4">
      <c r="B82" t="s">
        <v>369</v>
      </c>
      <c r="C82">
        <v>36.925519454413191</v>
      </c>
      <c r="D82">
        <v>22.591543067806771</v>
      </c>
    </row>
    <row r="83" spans="2:4">
      <c r="B83" t="s">
        <v>370</v>
      </c>
      <c r="C83">
        <v>37.375179636275462</v>
      </c>
      <c r="D83">
        <v>22.591543067806771</v>
      </c>
    </row>
    <row r="84" spans="2:4">
      <c r="B84" t="s">
        <v>371</v>
      </c>
      <c r="C84">
        <v>37.82483981813774</v>
      </c>
      <c r="D84">
        <v>22.591543067806771</v>
      </c>
    </row>
    <row r="85" spans="2:4">
      <c r="B85" t="s">
        <v>372</v>
      </c>
      <c r="C85">
        <v>38.27450000000001</v>
      </c>
      <c r="D85">
        <v>22.591543067806771</v>
      </c>
    </row>
    <row r="86" spans="2:4">
      <c r="B86" t="s">
        <v>373</v>
      </c>
      <c r="C86">
        <v>38.724160181862281</v>
      </c>
      <c r="D86">
        <v>22.591543067806771</v>
      </c>
    </row>
    <row r="87" spans="2:4">
      <c r="B87" t="s">
        <v>374</v>
      </c>
      <c r="C87">
        <v>39.173820363724552</v>
      </c>
      <c r="D87">
        <v>22.591543067806771</v>
      </c>
    </row>
    <row r="88" spans="2:4">
      <c r="B88" t="s">
        <v>375</v>
      </c>
      <c r="C88">
        <v>39.623480545586823</v>
      </c>
      <c r="D88">
        <v>22.591543067806771</v>
      </c>
    </row>
    <row r="89" spans="2:4">
      <c r="B89" t="s">
        <v>376</v>
      </c>
      <c r="C89">
        <v>40.073140727449093</v>
      </c>
      <c r="D89">
        <v>22.591543067806771</v>
      </c>
    </row>
    <row r="90" spans="2:4">
      <c r="B90" t="s">
        <v>377</v>
      </c>
      <c r="C90">
        <v>40.522800909311357</v>
      </c>
      <c r="D90">
        <v>22.591543067806771</v>
      </c>
    </row>
    <row r="91" spans="2:4">
      <c r="B91" t="s">
        <v>378</v>
      </c>
      <c r="C91">
        <v>40.972461091173642</v>
      </c>
      <c r="D91">
        <v>22.591543067806771</v>
      </c>
    </row>
    <row r="92" spans="2:4">
      <c r="B92" t="s">
        <v>379</v>
      </c>
      <c r="C92">
        <v>41.422121273035913</v>
      </c>
      <c r="D92">
        <v>22.591543067806771</v>
      </c>
    </row>
    <row r="93" spans="2:4">
      <c r="B93" t="s">
        <v>380</v>
      </c>
      <c r="C93">
        <v>36.02619909068865</v>
      </c>
      <c r="D93">
        <v>23.139387905576267</v>
      </c>
    </row>
    <row r="94" spans="2:4">
      <c r="B94" t="s">
        <v>381</v>
      </c>
      <c r="C94">
        <v>36.47585927255092</v>
      </c>
      <c r="D94">
        <v>23.139387905576267</v>
      </c>
    </row>
    <row r="95" spans="2:4">
      <c r="B95" t="s">
        <v>382</v>
      </c>
      <c r="C95">
        <v>36.925519454413191</v>
      </c>
      <c r="D95">
        <v>23.139387905576267</v>
      </c>
    </row>
    <row r="96" spans="2:4">
      <c r="B96" t="s">
        <v>383</v>
      </c>
      <c r="C96">
        <v>37.375179636275462</v>
      </c>
      <c r="D96">
        <v>23.139387905576267</v>
      </c>
    </row>
    <row r="97" spans="2:4">
      <c r="B97" t="s">
        <v>384</v>
      </c>
      <c r="C97">
        <v>37.82483981813774</v>
      </c>
      <c r="D97">
        <v>23.139387905576267</v>
      </c>
    </row>
    <row r="98" spans="2:4">
      <c r="B98" t="s">
        <v>385</v>
      </c>
      <c r="C98">
        <v>38.27450000000001</v>
      </c>
      <c r="D98">
        <v>23.139387905576267</v>
      </c>
    </row>
    <row r="99" spans="2:4">
      <c r="B99" t="s">
        <v>386</v>
      </c>
      <c r="C99">
        <v>38.724160181862281</v>
      </c>
      <c r="D99">
        <v>23.139387905576267</v>
      </c>
    </row>
    <row r="100" spans="2:4">
      <c r="B100" t="s">
        <v>387</v>
      </c>
      <c r="C100">
        <v>39.173820363724552</v>
      </c>
      <c r="D100">
        <v>23.139387905576267</v>
      </c>
    </row>
    <row r="101" spans="2:4">
      <c r="B101" t="s">
        <v>388</v>
      </c>
      <c r="C101">
        <v>39.623480545586823</v>
      </c>
      <c r="D101">
        <v>23.139387905576267</v>
      </c>
    </row>
    <row r="102" spans="2:4">
      <c r="B102" t="s">
        <v>389</v>
      </c>
      <c r="C102">
        <v>40.073140727449093</v>
      </c>
      <c r="D102">
        <v>23.139387905576267</v>
      </c>
    </row>
    <row r="103" spans="2:4">
      <c r="B103" t="s">
        <v>390</v>
      </c>
      <c r="C103">
        <v>40.522800909311357</v>
      </c>
      <c r="D103">
        <v>23.139387905576267</v>
      </c>
    </row>
    <row r="104" spans="2:4">
      <c r="B104" t="s">
        <v>391</v>
      </c>
      <c r="C104">
        <v>40.972461091173642</v>
      </c>
      <c r="D104">
        <v>23.139387905576267</v>
      </c>
    </row>
    <row r="105" spans="2:4">
      <c r="B105" t="s">
        <v>392</v>
      </c>
      <c r="C105">
        <v>41.422121273035913</v>
      </c>
      <c r="D105">
        <v>23.139387905576267</v>
      </c>
    </row>
    <row r="106" spans="2:4">
      <c r="B106" t="s">
        <v>393</v>
      </c>
      <c r="C106">
        <v>35.126878726964108</v>
      </c>
      <c r="D106">
        <v>23.687232743345767</v>
      </c>
    </row>
    <row r="107" spans="2:4">
      <c r="B107" t="s">
        <v>394</v>
      </c>
      <c r="C107">
        <v>35.576538908826386</v>
      </c>
      <c r="D107">
        <v>23.687232743345767</v>
      </c>
    </row>
    <row r="108" spans="2:4">
      <c r="B108" t="s">
        <v>395</v>
      </c>
      <c r="C108">
        <v>37.375179636275462</v>
      </c>
      <c r="D108">
        <v>23.687232743345767</v>
      </c>
    </row>
    <row r="109" spans="2:4">
      <c r="B109" t="s">
        <v>396</v>
      </c>
      <c r="C109">
        <v>37.82483981813774</v>
      </c>
      <c r="D109">
        <v>23.687232743345767</v>
      </c>
    </row>
    <row r="110" spans="2:4">
      <c r="B110" t="s">
        <v>397</v>
      </c>
      <c r="C110">
        <v>38.27450000000001</v>
      </c>
      <c r="D110">
        <v>23.687232743345767</v>
      </c>
    </row>
    <row r="111" spans="2:4">
      <c r="B111" t="s">
        <v>398</v>
      </c>
      <c r="C111">
        <v>38.724160181862281</v>
      </c>
      <c r="D111">
        <v>23.687232743345767</v>
      </c>
    </row>
    <row r="112" spans="2:4">
      <c r="B112" t="s">
        <v>399</v>
      </c>
      <c r="C112">
        <v>39.173820363724552</v>
      </c>
      <c r="D112">
        <v>23.687232743345767</v>
      </c>
    </row>
    <row r="113" spans="2:4">
      <c r="B113" t="s">
        <v>400</v>
      </c>
      <c r="C113">
        <v>40.073140727449093</v>
      </c>
      <c r="D113">
        <v>23.687232743345767</v>
      </c>
    </row>
    <row r="114" spans="2:4">
      <c r="B114" t="s">
        <v>401</v>
      </c>
      <c r="C114">
        <v>40.522800909311357</v>
      </c>
      <c r="D114">
        <v>23.687232743345767</v>
      </c>
    </row>
    <row r="115" spans="2:4">
      <c r="B115" t="s">
        <v>402</v>
      </c>
      <c r="C115">
        <v>40.972461091173642</v>
      </c>
      <c r="D115">
        <v>23.687232743345767</v>
      </c>
    </row>
    <row r="116" spans="2:4">
      <c r="B116" t="s">
        <v>403</v>
      </c>
      <c r="C116">
        <v>41.422121273035913</v>
      </c>
      <c r="D116">
        <v>23.687232743345767</v>
      </c>
    </row>
    <row r="117" spans="2:4">
      <c r="B117" t="s">
        <v>404</v>
      </c>
      <c r="C117">
        <v>35.126878726964108</v>
      </c>
      <c r="D117">
        <v>24.235077581115267</v>
      </c>
    </row>
    <row r="118" spans="2:4">
      <c r="B118" t="s">
        <v>405</v>
      </c>
      <c r="C118">
        <v>35.576538908826386</v>
      </c>
      <c r="D118">
        <v>24.235077581115267</v>
      </c>
    </row>
    <row r="119" spans="2:4">
      <c r="B119" t="s">
        <v>406</v>
      </c>
      <c r="C119">
        <v>36.47585927255092</v>
      </c>
      <c r="D119">
        <v>24.235077581115267</v>
      </c>
    </row>
    <row r="120" spans="2:4">
      <c r="B120" t="s">
        <v>407</v>
      </c>
      <c r="C120">
        <v>36.925519454413191</v>
      </c>
      <c r="D120">
        <v>24.235077581115267</v>
      </c>
    </row>
    <row r="121" spans="2:4">
      <c r="B121" t="s">
        <v>408</v>
      </c>
      <c r="C121">
        <v>37.375179636275462</v>
      </c>
      <c r="D121">
        <v>24.235077581115267</v>
      </c>
    </row>
    <row r="122" spans="2:4">
      <c r="B122" t="s">
        <v>409</v>
      </c>
      <c r="C122">
        <v>37.82483981813774</v>
      </c>
      <c r="D122">
        <v>24.235077581115267</v>
      </c>
    </row>
    <row r="123" spans="2:4">
      <c r="B123" t="s">
        <v>410</v>
      </c>
      <c r="C123">
        <v>38.27450000000001</v>
      </c>
      <c r="D123">
        <v>24.235077581115267</v>
      </c>
    </row>
    <row r="124" spans="2:4">
      <c r="B124" t="s">
        <v>411</v>
      </c>
      <c r="C124">
        <v>38.724160181862281</v>
      </c>
      <c r="D124">
        <v>24.235077581115267</v>
      </c>
    </row>
    <row r="125" spans="2:4">
      <c r="B125" t="s">
        <v>412</v>
      </c>
      <c r="C125">
        <v>39.173820363724552</v>
      </c>
      <c r="D125">
        <v>24.235077581115267</v>
      </c>
    </row>
    <row r="126" spans="2:4">
      <c r="B126" t="s">
        <v>413</v>
      </c>
      <c r="C126">
        <v>40.073140727449093</v>
      </c>
      <c r="D126">
        <v>24.235077581115267</v>
      </c>
    </row>
    <row r="127" spans="2:4">
      <c r="B127" t="s">
        <v>414</v>
      </c>
      <c r="C127">
        <v>40.522800909311357</v>
      </c>
      <c r="D127">
        <v>24.235077581115267</v>
      </c>
    </row>
    <row r="128" spans="2:4">
      <c r="B128" t="s">
        <v>415</v>
      </c>
      <c r="C128">
        <v>40.972461091173642</v>
      </c>
      <c r="D128">
        <v>24.235077581115267</v>
      </c>
    </row>
    <row r="129" spans="2:4">
      <c r="B129" t="s">
        <v>416</v>
      </c>
      <c r="C129">
        <v>41.422121273035913</v>
      </c>
      <c r="D129">
        <v>24.235077581115267</v>
      </c>
    </row>
    <row r="130" spans="2:4">
      <c r="B130" t="s">
        <v>417</v>
      </c>
      <c r="C130">
        <v>35.126878726964108</v>
      </c>
      <c r="D130">
        <v>24.782922418884755</v>
      </c>
    </row>
    <row r="131" spans="2:4">
      <c r="B131" t="s">
        <v>418</v>
      </c>
      <c r="C131">
        <v>35.576538908826386</v>
      </c>
      <c r="D131">
        <v>24.782922418884755</v>
      </c>
    </row>
    <row r="132" spans="2:4">
      <c r="B132" t="s">
        <v>419</v>
      </c>
      <c r="C132">
        <v>36.47585927255092</v>
      </c>
      <c r="D132">
        <v>24.782922418884755</v>
      </c>
    </row>
    <row r="133" spans="2:4">
      <c r="B133" t="s">
        <v>420</v>
      </c>
      <c r="C133">
        <v>36.925519454413191</v>
      </c>
      <c r="D133">
        <v>24.782922418884755</v>
      </c>
    </row>
    <row r="134" spans="2:4">
      <c r="B134" t="s">
        <v>421</v>
      </c>
      <c r="C134">
        <v>37.375179636275462</v>
      </c>
      <c r="D134">
        <v>24.782922418884755</v>
      </c>
    </row>
    <row r="135" spans="2:4">
      <c r="B135" t="s">
        <v>422</v>
      </c>
      <c r="C135">
        <v>37.82483981813774</v>
      </c>
      <c r="D135">
        <v>24.782922418884755</v>
      </c>
    </row>
    <row r="136" spans="2:4">
      <c r="B136" t="s">
        <v>423</v>
      </c>
      <c r="C136">
        <v>38.724160181862281</v>
      </c>
      <c r="D136">
        <v>24.782922418884755</v>
      </c>
    </row>
    <row r="137" spans="2:4">
      <c r="B137" t="s">
        <v>424</v>
      </c>
      <c r="C137">
        <v>39.623480545586823</v>
      </c>
      <c r="D137">
        <v>24.782922418884755</v>
      </c>
    </row>
    <row r="138" spans="2:4">
      <c r="B138" t="s">
        <v>425</v>
      </c>
      <c r="C138">
        <v>40.522800909311357</v>
      </c>
      <c r="D138">
        <v>24.782922418884755</v>
      </c>
    </row>
    <row r="139" spans="2:4">
      <c r="B139" t="s">
        <v>426</v>
      </c>
      <c r="C139">
        <v>40.972461091173642</v>
      </c>
      <c r="D139">
        <v>24.782922418884755</v>
      </c>
    </row>
    <row r="140" spans="2:4">
      <c r="B140" t="s">
        <v>427</v>
      </c>
      <c r="C140">
        <v>41.422121273035913</v>
      </c>
      <c r="D140">
        <v>24.782922418884755</v>
      </c>
    </row>
    <row r="141" spans="2:4">
      <c r="B141" t="s">
        <v>428</v>
      </c>
      <c r="C141">
        <v>35.126878726964108</v>
      </c>
      <c r="D141">
        <v>25.330767256654251</v>
      </c>
    </row>
    <row r="142" spans="2:4">
      <c r="B142" t="s">
        <v>429</v>
      </c>
      <c r="C142">
        <v>36.47585927255092</v>
      </c>
      <c r="D142">
        <v>25.330767256654251</v>
      </c>
    </row>
    <row r="143" spans="2:4">
      <c r="B143" t="s">
        <v>430</v>
      </c>
      <c r="C143">
        <v>36.925519454413191</v>
      </c>
      <c r="D143">
        <v>25.330767256654251</v>
      </c>
    </row>
    <row r="144" spans="2:4">
      <c r="B144" t="s">
        <v>431</v>
      </c>
      <c r="C144">
        <v>37.375179636275462</v>
      </c>
      <c r="D144">
        <v>25.330767256654251</v>
      </c>
    </row>
    <row r="145" spans="2:4">
      <c r="B145" t="s">
        <v>432</v>
      </c>
      <c r="C145">
        <v>38.724160181862281</v>
      </c>
      <c r="D145">
        <v>25.330767256654251</v>
      </c>
    </row>
    <row r="146" spans="2:4">
      <c r="B146" t="s">
        <v>433</v>
      </c>
      <c r="C146">
        <v>39.623480545586823</v>
      </c>
      <c r="D146">
        <v>25.330767256654251</v>
      </c>
    </row>
    <row r="147" spans="2:4">
      <c r="B147" t="s">
        <v>434</v>
      </c>
      <c r="C147">
        <v>40.073140727449093</v>
      </c>
      <c r="D147">
        <v>25.330767256654251</v>
      </c>
    </row>
    <row r="148" spans="2:4">
      <c r="B148" t="s">
        <v>435</v>
      </c>
      <c r="C148">
        <v>40.972461091173642</v>
      </c>
      <c r="D148">
        <v>25.330767256654251</v>
      </c>
    </row>
    <row r="149" spans="2:4">
      <c r="B149" t="s">
        <v>436</v>
      </c>
      <c r="C149">
        <v>41.422121273035913</v>
      </c>
      <c r="D149">
        <v>25.330767256654251</v>
      </c>
    </row>
    <row r="150" spans="2:4">
      <c r="B150" t="s">
        <v>437</v>
      </c>
      <c r="C150">
        <v>35.126878726964108</v>
      </c>
      <c r="D150">
        <v>25.878612094423751</v>
      </c>
    </row>
    <row r="151" spans="2:4">
      <c r="B151" t="s">
        <v>438</v>
      </c>
      <c r="C151">
        <v>36.925519454413191</v>
      </c>
      <c r="D151">
        <v>25.878612094423751</v>
      </c>
    </row>
    <row r="152" spans="2:4">
      <c r="B152" t="s">
        <v>439</v>
      </c>
      <c r="C152">
        <v>38.27450000000001</v>
      </c>
      <c r="D152">
        <v>25.878612094423751</v>
      </c>
    </row>
    <row r="153" spans="2:4">
      <c r="B153" t="s">
        <v>440</v>
      </c>
      <c r="C153">
        <v>38.724160181862281</v>
      </c>
      <c r="D153">
        <v>25.878612094423751</v>
      </c>
    </row>
    <row r="154" spans="2:4">
      <c r="B154" t="s">
        <v>441</v>
      </c>
      <c r="C154">
        <v>39.173820363724552</v>
      </c>
      <c r="D154">
        <v>25.878612094423751</v>
      </c>
    </row>
    <row r="155" spans="2:4">
      <c r="B155" t="s">
        <v>442</v>
      </c>
      <c r="C155">
        <v>40.522800909311357</v>
      </c>
      <c r="D155">
        <v>25.878612094423751</v>
      </c>
    </row>
    <row r="156" spans="2:4">
      <c r="B156" t="s">
        <v>443</v>
      </c>
      <c r="C156">
        <v>40.972461091173642</v>
      </c>
      <c r="D156">
        <v>25.878612094423751</v>
      </c>
    </row>
    <row r="157" spans="2:4">
      <c r="B157" t="s">
        <v>444</v>
      </c>
      <c r="C157">
        <v>41.422121273035913</v>
      </c>
      <c r="D157">
        <v>25.878612094423751</v>
      </c>
    </row>
    <row r="158" spans="2:4">
      <c r="B158" t="s">
        <v>445</v>
      </c>
      <c r="C158">
        <v>35.126878726964108</v>
      </c>
      <c r="D158">
        <v>26.426456932193247</v>
      </c>
    </row>
    <row r="159" spans="2:4">
      <c r="B159" t="s">
        <v>446</v>
      </c>
      <c r="C159">
        <v>36.47585927255092</v>
      </c>
      <c r="D159">
        <v>26.426456932193247</v>
      </c>
    </row>
    <row r="160" spans="2:4">
      <c r="B160" t="s">
        <v>447</v>
      </c>
      <c r="C160">
        <v>37.375179636275462</v>
      </c>
      <c r="D160">
        <v>26.426456932193247</v>
      </c>
    </row>
    <row r="161" spans="2:4">
      <c r="B161" t="s">
        <v>448</v>
      </c>
      <c r="C161">
        <v>37.82483981813774</v>
      </c>
      <c r="D161">
        <v>26.426456932193247</v>
      </c>
    </row>
    <row r="162" spans="2:4">
      <c r="B162" t="s">
        <v>449</v>
      </c>
      <c r="C162">
        <v>38.27450000000001</v>
      </c>
      <c r="D162">
        <v>26.426456932193247</v>
      </c>
    </row>
    <row r="163" spans="2:4">
      <c r="B163" t="s">
        <v>450</v>
      </c>
      <c r="C163">
        <v>38.724160181862281</v>
      </c>
      <c r="D163">
        <v>26.426456932193247</v>
      </c>
    </row>
    <row r="164" spans="2:4">
      <c r="B164" t="s">
        <v>451</v>
      </c>
      <c r="C164">
        <v>39.173820363724552</v>
      </c>
      <c r="D164">
        <v>26.426456932193247</v>
      </c>
    </row>
    <row r="165" spans="2:4">
      <c r="B165" t="s">
        <v>452</v>
      </c>
      <c r="C165">
        <v>40.972461091173642</v>
      </c>
      <c r="D165">
        <v>26.426456932193247</v>
      </c>
    </row>
    <row r="166" spans="2:4">
      <c r="B166" t="s">
        <v>453</v>
      </c>
      <c r="C166">
        <v>41.422121273035913</v>
      </c>
      <c r="D166">
        <v>26.426456932193247</v>
      </c>
    </row>
    <row r="167" spans="2:4">
      <c r="B167" t="s">
        <v>454</v>
      </c>
      <c r="C167">
        <v>35.576538908826386</v>
      </c>
      <c r="D167">
        <v>26.974301769962743</v>
      </c>
    </row>
    <row r="168" spans="2:4">
      <c r="B168" t="s">
        <v>455</v>
      </c>
      <c r="C168">
        <v>36.925519454413191</v>
      </c>
      <c r="D168">
        <v>26.974301769962743</v>
      </c>
    </row>
    <row r="169" spans="2:4">
      <c r="B169" t="s">
        <v>456</v>
      </c>
      <c r="C169">
        <v>37.375179636275462</v>
      </c>
      <c r="D169">
        <v>26.974301769962743</v>
      </c>
    </row>
    <row r="170" spans="2:4">
      <c r="B170" t="s">
        <v>457</v>
      </c>
      <c r="C170">
        <v>37.82483981813774</v>
      </c>
      <c r="D170">
        <v>26.974301769962743</v>
      </c>
    </row>
    <row r="171" spans="2:4">
      <c r="B171" t="s">
        <v>458</v>
      </c>
      <c r="C171">
        <v>36.02619909068865</v>
      </c>
      <c r="D171">
        <v>27.522146607732235</v>
      </c>
    </row>
    <row r="172" spans="2:4">
      <c r="B172" t="s">
        <v>459</v>
      </c>
      <c r="C172">
        <v>36.47585927255092</v>
      </c>
      <c r="D172">
        <v>27.522146607732235</v>
      </c>
    </row>
    <row r="173" spans="2:4">
      <c r="B173" t="s">
        <v>460</v>
      </c>
      <c r="C173">
        <v>36.925519454413191</v>
      </c>
      <c r="D173">
        <v>27.522146607732235</v>
      </c>
    </row>
    <row r="174" spans="2:4">
      <c r="B174" t="s">
        <v>461</v>
      </c>
      <c r="C174">
        <v>36.02619909068865</v>
      </c>
      <c r="D174">
        <v>28.069991445501731</v>
      </c>
    </row>
    <row r="175" spans="2:4">
      <c r="B175" t="s">
        <v>462</v>
      </c>
      <c r="C175">
        <v>36.47585927255092</v>
      </c>
      <c r="D175">
        <v>28.069991445501731</v>
      </c>
    </row>
    <row r="176" spans="2:4">
      <c r="B176" t="s">
        <v>463</v>
      </c>
      <c r="C176">
        <v>39.088344456226856</v>
      </c>
      <c r="D176">
        <v>19.069917301213071</v>
      </c>
    </row>
    <row r="177" spans="2:4">
      <c r="B177" t="s">
        <v>464</v>
      </c>
      <c r="C177">
        <v>39.538004638089134</v>
      </c>
      <c r="D177">
        <v>19.069917301213071</v>
      </c>
    </row>
    <row r="178" spans="2:4">
      <c r="B178" t="s">
        <v>465</v>
      </c>
      <c r="C178">
        <v>39.987664819951398</v>
      </c>
      <c r="D178">
        <v>19.069917301213071</v>
      </c>
    </row>
    <row r="179" spans="2:4">
      <c r="B179" t="s">
        <v>466</v>
      </c>
      <c r="C179">
        <v>39.088344456226856</v>
      </c>
      <c r="D179">
        <v>19.608084835000167</v>
      </c>
    </row>
    <row r="180" spans="2:4">
      <c r="B180" t="s">
        <v>467</v>
      </c>
      <c r="C180">
        <v>39.538004638089134</v>
      </c>
      <c r="D180">
        <v>19.608084835000167</v>
      </c>
    </row>
    <row r="181" spans="2:4">
      <c r="B181" t="s">
        <v>468</v>
      </c>
      <c r="C181">
        <v>39.987664819951398</v>
      </c>
      <c r="D181">
        <v>19.608084835000167</v>
      </c>
    </row>
    <row r="182" spans="2:4">
      <c r="B182" t="s">
        <v>469</v>
      </c>
      <c r="C182">
        <v>37.739363910640051</v>
      </c>
      <c r="D182">
        <v>20.146252368787263</v>
      </c>
    </row>
    <row r="183" spans="2:4">
      <c r="B183" t="s">
        <v>470</v>
      </c>
      <c r="C183">
        <v>38.189024092502322</v>
      </c>
      <c r="D183">
        <v>20.146252368787263</v>
      </c>
    </row>
    <row r="184" spans="2:4">
      <c r="B184" t="s">
        <v>471</v>
      </c>
      <c r="C184">
        <v>38.638684274364586</v>
      </c>
      <c r="D184">
        <v>20.146252368787263</v>
      </c>
    </row>
    <row r="185" spans="2:4">
      <c r="B185" t="s">
        <v>472</v>
      </c>
      <c r="C185">
        <v>39.088344456226856</v>
      </c>
      <c r="D185">
        <v>20.146252368787263</v>
      </c>
    </row>
    <row r="186" spans="2:4">
      <c r="B186" t="s">
        <v>473</v>
      </c>
      <c r="C186">
        <v>39.538004638089134</v>
      </c>
      <c r="D186">
        <v>20.146252368787263</v>
      </c>
    </row>
    <row r="187" spans="2:4">
      <c r="B187" t="s">
        <v>474</v>
      </c>
      <c r="C187">
        <v>39.987664819951398</v>
      </c>
      <c r="D187">
        <v>20.146252368787263</v>
      </c>
    </row>
    <row r="188" spans="2:4">
      <c r="B188" t="s">
        <v>475</v>
      </c>
      <c r="C188">
        <v>37.289703728777781</v>
      </c>
      <c r="D188">
        <v>20.684419902574358</v>
      </c>
    </row>
    <row r="189" spans="2:4">
      <c r="B189" t="s">
        <v>476</v>
      </c>
      <c r="C189">
        <v>37.739363910640051</v>
      </c>
      <c r="D189">
        <v>20.684419902574358</v>
      </c>
    </row>
    <row r="190" spans="2:4">
      <c r="B190" t="s">
        <v>477</v>
      </c>
      <c r="C190">
        <v>38.189024092502322</v>
      </c>
      <c r="D190">
        <v>20.684419902574358</v>
      </c>
    </row>
    <row r="191" spans="2:4">
      <c r="B191" t="s">
        <v>478</v>
      </c>
      <c r="C191">
        <v>38.638684274364586</v>
      </c>
      <c r="D191">
        <v>20.684419902574358</v>
      </c>
    </row>
    <row r="192" spans="2:4">
      <c r="B192" t="s">
        <v>479</v>
      </c>
      <c r="C192">
        <v>39.088344456226856</v>
      </c>
      <c r="D192">
        <v>20.684419902574358</v>
      </c>
    </row>
    <row r="193" spans="2:4">
      <c r="B193" t="s">
        <v>480</v>
      </c>
      <c r="C193">
        <v>36.84004354691551</v>
      </c>
      <c r="D193">
        <v>21.222587436361451</v>
      </c>
    </row>
    <row r="194" spans="2:4">
      <c r="B194" t="s">
        <v>481</v>
      </c>
      <c r="C194">
        <v>37.289703728777781</v>
      </c>
      <c r="D194">
        <v>21.222587436361451</v>
      </c>
    </row>
    <row r="195" spans="2:4">
      <c r="B195" t="s">
        <v>482</v>
      </c>
      <c r="C195">
        <v>37.739363910640051</v>
      </c>
      <c r="D195">
        <v>21.222587436361451</v>
      </c>
    </row>
    <row r="196" spans="2:4">
      <c r="B196" t="s">
        <v>483</v>
      </c>
      <c r="C196">
        <v>38.189024092502322</v>
      </c>
      <c r="D196">
        <v>21.222587436361451</v>
      </c>
    </row>
    <row r="197" spans="2:4">
      <c r="B197" t="s">
        <v>484</v>
      </c>
      <c r="C197">
        <v>38.638684274364586</v>
      </c>
      <c r="D197">
        <v>21.222587436361451</v>
      </c>
    </row>
    <row r="198" spans="2:4">
      <c r="B198" t="s">
        <v>485</v>
      </c>
      <c r="C198">
        <v>39.088344456226856</v>
      </c>
      <c r="D198">
        <v>21.222587436361451</v>
      </c>
    </row>
    <row r="199" spans="2:4">
      <c r="B199" t="s">
        <v>486</v>
      </c>
      <c r="C199">
        <v>36.84004354691551</v>
      </c>
      <c r="D199">
        <v>21.76075497014855</v>
      </c>
    </row>
    <row r="200" spans="2:4">
      <c r="B200" t="s">
        <v>487</v>
      </c>
      <c r="C200">
        <v>37.289703728777781</v>
      </c>
      <c r="D200">
        <v>21.76075497014855</v>
      </c>
    </row>
    <row r="201" spans="2:4">
      <c r="B201" t="s">
        <v>488</v>
      </c>
      <c r="C201">
        <v>37.739363910640051</v>
      </c>
      <c r="D201">
        <v>21.76075497014855</v>
      </c>
    </row>
    <row r="202" spans="2:4">
      <c r="B202" t="s">
        <v>489</v>
      </c>
      <c r="C202">
        <v>38.189024092502322</v>
      </c>
      <c r="D202">
        <v>21.76075497014855</v>
      </c>
    </row>
    <row r="203" spans="2:4">
      <c r="B203" t="s">
        <v>490</v>
      </c>
      <c r="C203">
        <v>36.390383365053232</v>
      </c>
      <c r="D203">
        <v>22.298922503935643</v>
      </c>
    </row>
    <row r="204" spans="2:4">
      <c r="B204" t="s">
        <v>491</v>
      </c>
      <c r="C204">
        <v>36.84004354691551</v>
      </c>
      <c r="D204">
        <v>22.298922503935643</v>
      </c>
    </row>
    <row r="205" spans="2:4">
      <c r="B205" t="s">
        <v>492</v>
      </c>
      <c r="C205">
        <v>38.189024092502322</v>
      </c>
      <c r="D205">
        <v>22.298922503935643</v>
      </c>
    </row>
    <row r="206" spans="2:4">
      <c r="B206" t="s">
        <v>493</v>
      </c>
      <c r="C206">
        <v>35.940723183190961</v>
      </c>
      <c r="D206">
        <v>22.837090037722746</v>
      </c>
    </row>
    <row r="207" spans="2:4">
      <c r="B207" t="s">
        <v>494</v>
      </c>
      <c r="C207">
        <v>36.390383365053232</v>
      </c>
      <c r="D207">
        <v>22.837090037722746</v>
      </c>
    </row>
    <row r="208" spans="2:4">
      <c r="B208" t="s">
        <v>495</v>
      </c>
      <c r="C208">
        <v>36.84004354691551</v>
      </c>
      <c r="D208">
        <v>22.837090037722746</v>
      </c>
    </row>
    <row r="209" spans="2:4">
      <c r="B209" t="s">
        <v>496</v>
      </c>
      <c r="C209">
        <v>37.289703728777781</v>
      </c>
      <c r="D209">
        <v>22.837090037722746</v>
      </c>
    </row>
    <row r="210" spans="2:4">
      <c r="B210" t="s">
        <v>497</v>
      </c>
      <c r="C210">
        <v>37.739363910640051</v>
      </c>
      <c r="D210">
        <v>22.837090037722746</v>
      </c>
    </row>
    <row r="211" spans="2:4">
      <c r="B211" t="s">
        <v>498</v>
      </c>
      <c r="C211">
        <v>38.189024092502322</v>
      </c>
      <c r="D211">
        <v>22.837090037722746</v>
      </c>
    </row>
    <row r="212" spans="2:4">
      <c r="B212" t="s">
        <v>499</v>
      </c>
      <c r="C212">
        <v>39.538004638089134</v>
      </c>
      <c r="D212">
        <v>22.837090037722746</v>
      </c>
    </row>
    <row r="213" spans="2:4">
      <c r="B213" t="s">
        <v>500</v>
      </c>
      <c r="C213">
        <v>39.987664819951398</v>
      </c>
      <c r="D213">
        <v>22.837090037722746</v>
      </c>
    </row>
    <row r="214" spans="2:4">
      <c r="B214" t="s">
        <v>501</v>
      </c>
      <c r="C214">
        <v>40.437325001813683</v>
      </c>
      <c r="D214">
        <v>22.837090037722746</v>
      </c>
    </row>
    <row r="215" spans="2:4">
      <c r="B215" t="s">
        <v>502</v>
      </c>
      <c r="C215">
        <v>35.04140281946642</v>
      </c>
      <c r="D215">
        <v>23.375257571509842</v>
      </c>
    </row>
    <row r="216" spans="2:4">
      <c r="B216" t="s">
        <v>503</v>
      </c>
      <c r="C216">
        <v>35.491063001328691</v>
      </c>
      <c r="D216">
        <v>23.375257571509842</v>
      </c>
    </row>
    <row r="217" spans="2:4">
      <c r="B217" t="s">
        <v>504</v>
      </c>
      <c r="C217">
        <v>35.940723183190961</v>
      </c>
      <c r="D217">
        <v>23.375257571509842</v>
      </c>
    </row>
    <row r="218" spans="2:4">
      <c r="B218" t="s">
        <v>505</v>
      </c>
      <c r="C218">
        <v>36.390383365053232</v>
      </c>
      <c r="D218">
        <v>23.375257571509842</v>
      </c>
    </row>
    <row r="219" spans="2:4">
      <c r="B219" t="s">
        <v>506</v>
      </c>
      <c r="C219">
        <v>36.84004354691551</v>
      </c>
      <c r="D219">
        <v>23.375257571509842</v>
      </c>
    </row>
    <row r="220" spans="2:4">
      <c r="B220" t="s">
        <v>507</v>
      </c>
      <c r="C220">
        <v>37.289703728777781</v>
      </c>
      <c r="D220">
        <v>23.375257571509842</v>
      </c>
    </row>
    <row r="221" spans="2:4">
      <c r="B221" t="s">
        <v>508</v>
      </c>
      <c r="C221">
        <v>37.739363910640051</v>
      </c>
      <c r="D221">
        <v>23.375257571509842</v>
      </c>
    </row>
    <row r="222" spans="2:4">
      <c r="B222" t="s">
        <v>509</v>
      </c>
      <c r="C222">
        <v>38.189024092502322</v>
      </c>
      <c r="D222">
        <v>23.375257571509842</v>
      </c>
    </row>
    <row r="223" spans="2:4">
      <c r="B223" t="s">
        <v>510</v>
      </c>
      <c r="C223">
        <v>38.638684274364586</v>
      </c>
      <c r="D223">
        <v>23.375257571509842</v>
      </c>
    </row>
    <row r="224" spans="2:4">
      <c r="B224" t="s">
        <v>511</v>
      </c>
      <c r="C224">
        <v>39.088344456226856</v>
      </c>
      <c r="D224">
        <v>23.375257571509842</v>
      </c>
    </row>
    <row r="225" spans="2:4">
      <c r="B225" t="s">
        <v>512</v>
      </c>
      <c r="C225">
        <v>39.538004638089134</v>
      </c>
      <c r="D225">
        <v>23.375257571509842</v>
      </c>
    </row>
    <row r="226" spans="2:4">
      <c r="B226" t="s">
        <v>513</v>
      </c>
      <c r="C226">
        <v>39.987664819951398</v>
      </c>
      <c r="D226">
        <v>23.375257571509842</v>
      </c>
    </row>
    <row r="227" spans="2:4">
      <c r="B227" t="s">
        <v>514</v>
      </c>
      <c r="C227">
        <v>40.437325001813683</v>
      </c>
      <c r="D227">
        <v>23.375257571509842</v>
      </c>
    </row>
    <row r="228" spans="2:4">
      <c r="B228" t="s">
        <v>515</v>
      </c>
      <c r="C228">
        <v>34.591742637604163</v>
      </c>
      <c r="D228">
        <v>23.91342510529693</v>
      </c>
    </row>
    <row r="229" spans="2:4">
      <c r="B229" t="s">
        <v>516</v>
      </c>
      <c r="C229">
        <v>35.04140281946642</v>
      </c>
      <c r="D229">
        <v>23.91342510529693</v>
      </c>
    </row>
    <row r="230" spans="2:4">
      <c r="B230" t="s">
        <v>517</v>
      </c>
      <c r="C230">
        <v>35.491063001328691</v>
      </c>
      <c r="D230">
        <v>23.91342510529693</v>
      </c>
    </row>
    <row r="231" spans="2:4">
      <c r="B231" t="s">
        <v>518</v>
      </c>
      <c r="C231">
        <v>35.940723183190961</v>
      </c>
      <c r="D231">
        <v>23.91342510529693</v>
      </c>
    </row>
    <row r="232" spans="2:4">
      <c r="B232" t="s">
        <v>519</v>
      </c>
      <c r="C232">
        <v>36.390383365053232</v>
      </c>
      <c r="D232">
        <v>23.91342510529693</v>
      </c>
    </row>
    <row r="233" spans="2:4">
      <c r="B233" t="s">
        <v>520</v>
      </c>
      <c r="C233">
        <v>36.84004354691551</v>
      </c>
      <c r="D233">
        <v>23.91342510529693</v>
      </c>
    </row>
    <row r="234" spans="2:4">
      <c r="B234" t="s">
        <v>521</v>
      </c>
      <c r="C234">
        <v>37.289703728777781</v>
      </c>
      <c r="D234">
        <v>23.91342510529693</v>
      </c>
    </row>
    <row r="235" spans="2:4">
      <c r="B235" t="s">
        <v>522</v>
      </c>
      <c r="C235">
        <v>37.739363910640051</v>
      </c>
      <c r="D235">
        <v>23.91342510529693</v>
      </c>
    </row>
    <row r="236" spans="2:4">
      <c r="B236" t="s">
        <v>523</v>
      </c>
      <c r="C236">
        <v>38.189024092502322</v>
      </c>
      <c r="D236">
        <v>23.91342510529693</v>
      </c>
    </row>
    <row r="237" spans="2:4">
      <c r="B237" t="s">
        <v>524</v>
      </c>
      <c r="C237">
        <v>38.638684274364586</v>
      </c>
      <c r="D237">
        <v>23.91342510529693</v>
      </c>
    </row>
    <row r="238" spans="2:4">
      <c r="B238" t="s">
        <v>525</v>
      </c>
      <c r="C238">
        <v>39.088344456226856</v>
      </c>
      <c r="D238">
        <v>23.91342510529693</v>
      </c>
    </row>
    <row r="239" spans="2:4">
      <c r="B239" t="s">
        <v>526</v>
      </c>
      <c r="C239">
        <v>39.538004638089134</v>
      </c>
      <c r="D239">
        <v>23.91342510529693</v>
      </c>
    </row>
    <row r="240" spans="2:4">
      <c r="B240" t="s">
        <v>527</v>
      </c>
      <c r="C240">
        <v>39.987664819951398</v>
      </c>
      <c r="D240">
        <v>23.91342510529693</v>
      </c>
    </row>
    <row r="241" spans="2:4">
      <c r="B241" t="s">
        <v>528</v>
      </c>
      <c r="C241">
        <v>40.437325001813683</v>
      </c>
      <c r="D241">
        <v>23.91342510529693</v>
      </c>
    </row>
    <row r="242" spans="2:4">
      <c r="B242" t="s">
        <v>529</v>
      </c>
      <c r="C242">
        <v>40.886985183675939</v>
      </c>
      <c r="D242">
        <v>23.91342510529693</v>
      </c>
    </row>
    <row r="243" spans="2:4">
      <c r="B243" t="s">
        <v>530</v>
      </c>
      <c r="C243">
        <v>34.591742637604163</v>
      </c>
      <c r="D243">
        <v>24.451592639084041</v>
      </c>
    </row>
    <row r="244" spans="2:4">
      <c r="B244" t="s">
        <v>531</v>
      </c>
      <c r="C244">
        <v>35.04140281946642</v>
      </c>
      <c r="D244">
        <v>24.451592639084041</v>
      </c>
    </row>
    <row r="245" spans="2:4">
      <c r="B245" t="s">
        <v>532</v>
      </c>
      <c r="C245">
        <v>35.491063001328691</v>
      </c>
      <c r="D245">
        <v>24.451592639084041</v>
      </c>
    </row>
    <row r="246" spans="2:4">
      <c r="B246" t="s">
        <v>533</v>
      </c>
      <c r="C246">
        <v>35.940723183190961</v>
      </c>
      <c r="D246">
        <v>24.451592639084041</v>
      </c>
    </row>
    <row r="247" spans="2:4">
      <c r="B247" t="s">
        <v>534</v>
      </c>
      <c r="C247">
        <v>36.390383365053232</v>
      </c>
      <c r="D247">
        <v>24.451592639084041</v>
      </c>
    </row>
    <row r="248" spans="2:4">
      <c r="B248" t="s">
        <v>535</v>
      </c>
      <c r="C248">
        <v>36.84004354691551</v>
      </c>
      <c r="D248">
        <v>24.451592639084041</v>
      </c>
    </row>
    <row r="249" spans="2:4">
      <c r="B249" t="s">
        <v>536</v>
      </c>
      <c r="C249">
        <v>37.289703728777781</v>
      </c>
      <c r="D249">
        <v>24.451592639084041</v>
      </c>
    </row>
    <row r="250" spans="2:4">
      <c r="B250" t="s">
        <v>537</v>
      </c>
      <c r="C250">
        <v>37.739363910640051</v>
      </c>
      <c r="D250">
        <v>24.451592639084041</v>
      </c>
    </row>
    <row r="251" spans="2:4">
      <c r="B251" t="s">
        <v>538</v>
      </c>
      <c r="C251">
        <v>38.189024092502322</v>
      </c>
      <c r="D251">
        <v>24.451592639084041</v>
      </c>
    </row>
    <row r="252" spans="2:4">
      <c r="B252" t="s">
        <v>539</v>
      </c>
      <c r="C252">
        <v>38.638684274364586</v>
      </c>
      <c r="D252">
        <v>24.451592639084041</v>
      </c>
    </row>
    <row r="253" spans="2:4">
      <c r="B253" t="s">
        <v>540</v>
      </c>
      <c r="C253">
        <v>39.088344456226856</v>
      </c>
      <c r="D253">
        <v>24.451592639084041</v>
      </c>
    </row>
    <row r="254" spans="2:4">
      <c r="B254" t="s">
        <v>541</v>
      </c>
      <c r="C254">
        <v>39.538004638089134</v>
      </c>
      <c r="D254">
        <v>24.451592639084041</v>
      </c>
    </row>
    <row r="255" spans="2:4">
      <c r="B255" t="s">
        <v>542</v>
      </c>
      <c r="C255">
        <v>39.987664819951398</v>
      </c>
      <c r="D255">
        <v>24.451592639084041</v>
      </c>
    </row>
    <row r="256" spans="2:4">
      <c r="B256" t="s">
        <v>543</v>
      </c>
      <c r="C256">
        <v>40.437325001813683</v>
      </c>
      <c r="D256">
        <v>24.451592639084041</v>
      </c>
    </row>
    <row r="257" spans="2:4">
      <c r="B257" t="s">
        <v>544</v>
      </c>
      <c r="C257">
        <v>40.886985183675939</v>
      </c>
      <c r="D257">
        <v>24.451592639084041</v>
      </c>
    </row>
    <row r="258" spans="2:4">
      <c r="B258" t="s">
        <v>545</v>
      </c>
      <c r="C258">
        <v>34.591742637604163</v>
      </c>
      <c r="D258">
        <v>24.989760172871119</v>
      </c>
    </row>
    <row r="259" spans="2:4">
      <c r="B259" t="s">
        <v>546</v>
      </c>
      <c r="C259">
        <v>35.04140281946642</v>
      </c>
      <c r="D259">
        <v>24.989760172871119</v>
      </c>
    </row>
    <row r="260" spans="2:4">
      <c r="B260" t="s">
        <v>547</v>
      </c>
      <c r="C260">
        <v>35.491063001328691</v>
      </c>
      <c r="D260">
        <v>24.989760172871119</v>
      </c>
    </row>
    <row r="261" spans="2:4">
      <c r="B261" t="s">
        <v>548</v>
      </c>
      <c r="C261">
        <v>35.940723183190961</v>
      </c>
      <c r="D261">
        <v>24.989760172871119</v>
      </c>
    </row>
    <row r="262" spans="2:4">
      <c r="B262" t="s">
        <v>549</v>
      </c>
      <c r="C262">
        <v>36.390383365053232</v>
      </c>
      <c r="D262">
        <v>24.989760172871119</v>
      </c>
    </row>
    <row r="263" spans="2:4">
      <c r="B263" t="s">
        <v>550</v>
      </c>
      <c r="C263">
        <v>36.84004354691551</v>
      </c>
      <c r="D263">
        <v>24.989760172871119</v>
      </c>
    </row>
    <row r="264" spans="2:4">
      <c r="B264" t="s">
        <v>551</v>
      </c>
      <c r="C264">
        <v>37.289703728777781</v>
      </c>
      <c r="D264">
        <v>24.989760172871119</v>
      </c>
    </row>
    <row r="265" spans="2:4">
      <c r="B265" t="s">
        <v>552</v>
      </c>
      <c r="C265">
        <v>37.739363910640051</v>
      </c>
      <c r="D265">
        <v>24.989760172871119</v>
      </c>
    </row>
    <row r="266" spans="2:4">
      <c r="B266" t="s">
        <v>553</v>
      </c>
      <c r="C266">
        <v>38.189024092502322</v>
      </c>
      <c r="D266">
        <v>24.989760172871119</v>
      </c>
    </row>
    <row r="267" spans="2:4">
      <c r="B267" t="s">
        <v>554</v>
      </c>
      <c r="C267">
        <v>38.638684274364586</v>
      </c>
      <c r="D267">
        <v>24.989760172871119</v>
      </c>
    </row>
    <row r="268" spans="2:4">
      <c r="B268" t="s">
        <v>555</v>
      </c>
      <c r="C268">
        <v>39.088344456226856</v>
      </c>
      <c r="D268">
        <v>24.989760172871119</v>
      </c>
    </row>
    <row r="269" spans="2:4">
      <c r="B269" t="s">
        <v>556</v>
      </c>
      <c r="C269">
        <v>39.538004638089134</v>
      </c>
      <c r="D269">
        <v>24.989760172871119</v>
      </c>
    </row>
    <row r="270" spans="2:4">
      <c r="B270" t="s">
        <v>557</v>
      </c>
      <c r="C270">
        <v>39.987664819951398</v>
      </c>
      <c r="D270">
        <v>24.989760172871119</v>
      </c>
    </row>
    <row r="271" spans="2:4">
      <c r="B271" t="s">
        <v>558</v>
      </c>
      <c r="C271">
        <v>40.437325001813683</v>
      </c>
      <c r="D271">
        <v>24.989760172871119</v>
      </c>
    </row>
    <row r="272" spans="2:4">
      <c r="B272" t="s">
        <v>559</v>
      </c>
      <c r="C272">
        <v>40.886985183675939</v>
      </c>
      <c r="D272">
        <v>24.989760172871119</v>
      </c>
    </row>
    <row r="273" spans="2:4">
      <c r="B273" t="s">
        <v>560</v>
      </c>
      <c r="C273">
        <v>34.591742637604163</v>
      </c>
      <c r="D273">
        <v>25.527927706658211</v>
      </c>
    </row>
    <row r="274" spans="2:4">
      <c r="B274" t="s">
        <v>561</v>
      </c>
      <c r="C274">
        <v>35.04140281946642</v>
      </c>
      <c r="D274">
        <v>25.527927706658211</v>
      </c>
    </row>
    <row r="275" spans="2:4">
      <c r="B275" t="s">
        <v>562</v>
      </c>
      <c r="C275">
        <v>35.491063001328691</v>
      </c>
      <c r="D275">
        <v>25.527927706658211</v>
      </c>
    </row>
    <row r="276" spans="2:4">
      <c r="B276" t="s">
        <v>563</v>
      </c>
      <c r="C276">
        <v>35.940723183190961</v>
      </c>
      <c r="D276">
        <v>25.527927706658211</v>
      </c>
    </row>
    <row r="277" spans="2:4">
      <c r="B277" t="s">
        <v>564</v>
      </c>
      <c r="C277">
        <v>36.390383365053232</v>
      </c>
      <c r="D277">
        <v>25.527927706658211</v>
      </c>
    </row>
    <row r="278" spans="2:4">
      <c r="B278" t="s">
        <v>565</v>
      </c>
      <c r="C278">
        <v>36.84004354691551</v>
      </c>
      <c r="D278">
        <v>25.527927706658211</v>
      </c>
    </row>
    <row r="279" spans="2:4">
      <c r="B279" t="s">
        <v>566</v>
      </c>
      <c r="C279">
        <v>37.289703728777781</v>
      </c>
      <c r="D279">
        <v>25.527927706658211</v>
      </c>
    </row>
    <row r="280" spans="2:4">
      <c r="B280" t="s">
        <v>567</v>
      </c>
      <c r="C280">
        <v>37.739363910640051</v>
      </c>
      <c r="D280">
        <v>25.527927706658211</v>
      </c>
    </row>
    <row r="281" spans="2:4">
      <c r="B281" t="s">
        <v>568</v>
      </c>
      <c r="C281">
        <v>38.189024092502322</v>
      </c>
      <c r="D281">
        <v>25.527927706658211</v>
      </c>
    </row>
    <row r="282" spans="2:4">
      <c r="B282" t="s">
        <v>569</v>
      </c>
      <c r="C282">
        <v>38.638684274364586</v>
      </c>
      <c r="D282">
        <v>25.527927706658211</v>
      </c>
    </row>
    <row r="283" spans="2:4">
      <c r="B283" t="s">
        <v>570</v>
      </c>
      <c r="C283">
        <v>39.088344456226856</v>
      </c>
      <c r="D283">
        <v>25.527927706658211</v>
      </c>
    </row>
    <row r="284" spans="2:4">
      <c r="B284" t="s">
        <v>571</v>
      </c>
      <c r="C284">
        <v>39.538004638089134</v>
      </c>
      <c r="D284">
        <v>25.527927706658211</v>
      </c>
    </row>
    <row r="285" spans="2:4">
      <c r="B285" t="s">
        <v>572</v>
      </c>
      <c r="C285">
        <v>39.987664819951398</v>
      </c>
      <c r="D285">
        <v>25.527927706658211</v>
      </c>
    </row>
    <row r="286" spans="2:4">
      <c r="B286" t="s">
        <v>573</v>
      </c>
      <c r="C286">
        <v>40.437325001813683</v>
      </c>
      <c r="D286">
        <v>25.527927706658211</v>
      </c>
    </row>
    <row r="287" spans="2:4">
      <c r="B287" t="s">
        <v>574</v>
      </c>
      <c r="C287">
        <v>40.886985183675939</v>
      </c>
      <c r="D287">
        <v>25.527927706658211</v>
      </c>
    </row>
    <row r="288" spans="2:4">
      <c r="B288" t="s">
        <v>575</v>
      </c>
      <c r="C288">
        <v>34.591742637604163</v>
      </c>
      <c r="D288">
        <v>26.066095240445321</v>
      </c>
    </row>
    <row r="289" spans="2:4">
      <c r="B289" t="s">
        <v>576</v>
      </c>
      <c r="C289">
        <v>35.04140281946642</v>
      </c>
      <c r="D289">
        <v>26.066095240445321</v>
      </c>
    </row>
    <row r="290" spans="2:4">
      <c r="B290" t="s">
        <v>577</v>
      </c>
      <c r="C290">
        <v>35.491063001328691</v>
      </c>
      <c r="D290">
        <v>26.066095240445321</v>
      </c>
    </row>
    <row r="291" spans="2:4">
      <c r="B291" t="s">
        <v>578</v>
      </c>
      <c r="C291">
        <v>35.940723183190961</v>
      </c>
      <c r="D291">
        <v>26.066095240445321</v>
      </c>
    </row>
    <row r="292" spans="2:4">
      <c r="B292" t="s">
        <v>579</v>
      </c>
      <c r="C292">
        <v>36.390383365053232</v>
      </c>
      <c r="D292">
        <v>26.066095240445321</v>
      </c>
    </row>
    <row r="293" spans="2:4">
      <c r="B293" t="s">
        <v>580</v>
      </c>
      <c r="C293">
        <v>36.84004354691551</v>
      </c>
      <c r="D293">
        <v>26.066095240445321</v>
      </c>
    </row>
    <row r="294" spans="2:4">
      <c r="B294" t="s">
        <v>581</v>
      </c>
      <c r="C294">
        <v>37.289703728777781</v>
      </c>
      <c r="D294">
        <v>26.066095240445321</v>
      </c>
    </row>
    <row r="295" spans="2:4">
      <c r="B295" t="s">
        <v>582</v>
      </c>
      <c r="C295">
        <v>37.739363910640051</v>
      </c>
      <c r="D295">
        <v>26.066095240445321</v>
      </c>
    </row>
    <row r="296" spans="2:4">
      <c r="B296" t="s">
        <v>583</v>
      </c>
      <c r="C296">
        <v>38.189024092502322</v>
      </c>
      <c r="D296">
        <v>26.066095240445321</v>
      </c>
    </row>
    <row r="297" spans="2:4">
      <c r="B297" t="s">
        <v>584</v>
      </c>
      <c r="C297">
        <v>38.638684274364586</v>
      </c>
      <c r="D297">
        <v>26.066095240445321</v>
      </c>
    </row>
    <row r="298" spans="2:4">
      <c r="B298" t="s">
        <v>585</v>
      </c>
      <c r="C298">
        <v>39.088344456226856</v>
      </c>
      <c r="D298">
        <v>26.066095240445321</v>
      </c>
    </row>
    <row r="299" spans="2:4">
      <c r="B299" t="s">
        <v>586</v>
      </c>
      <c r="C299">
        <v>39.538004638089134</v>
      </c>
      <c r="D299">
        <v>26.066095240445321</v>
      </c>
    </row>
    <row r="300" spans="2:4">
      <c r="B300" t="s">
        <v>587</v>
      </c>
      <c r="C300">
        <v>40.437325001813683</v>
      </c>
      <c r="D300">
        <v>26.066095240445321</v>
      </c>
    </row>
    <row r="301" spans="2:4">
      <c r="B301" t="s">
        <v>588</v>
      </c>
      <c r="C301">
        <v>35.04140281946642</v>
      </c>
      <c r="D301">
        <v>26.604262774232414</v>
      </c>
    </row>
    <row r="302" spans="2:4">
      <c r="B302" t="s">
        <v>589</v>
      </c>
      <c r="C302">
        <v>35.491063001328691</v>
      </c>
      <c r="D302">
        <v>26.604262774232414</v>
      </c>
    </row>
    <row r="303" spans="2:4">
      <c r="B303" t="s">
        <v>590</v>
      </c>
      <c r="C303">
        <v>35.940723183190961</v>
      </c>
      <c r="D303">
        <v>26.604262774232414</v>
      </c>
    </row>
    <row r="304" spans="2:4">
      <c r="B304" t="s">
        <v>591</v>
      </c>
      <c r="C304">
        <v>36.390383365053232</v>
      </c>
      <c r="D304">
        <v>26.604262774232414</v>
      </c>
    </row>
    <row r="305" spans="2:4">
      <c r="B305" t="s">
        <v>592</v>
      </c>
      <c r="C305">
        <v>36.84004354691551</v>
      </c>
      <c r="D305">
        <v>26.604262774232414</v>
      </c>
    </row>
    <row r="306" spans="2:4">
      <c r="B306" t="s">
        <v>593</v>
      </c>
      <c r="C306">
        <v>37.289703728777781</v>
      </c>
      <c r="D306">
        <v>26.604262774232414</v>
      </c>
    </row>
    <row r="307" spans="2:4">
      <c r="B307" t="s">
        <v>594</v>
      </c>
      <c r="C307">
        <v>37.739363910640051</v>
      </c>
      <c r="D307">
        <v>26.604262774232414</v>
      </c>
    </row>
    <row r="308" spans="2:4">
      <c r="B308" t="s">
        <v>595</v>
      </c>
      <c r="C308">
        <v>38.638684274364586</v>
      </c>
      <c r="D308">
        <v>26.604262774232414</v>
      </c>
    </row>
    <row r="309" spans="2:4">
      <c r="B309" t="s">
        <v>596</v>
      </c>
      <c r="C309">
        <v>39.088344456226856</v>
      </c>
      <c r="D309">
        <v>26.604262774232414</v>
      </c>
    </row>
    <row r="310" spans="2:4">
      <c r="B310" t="s">
        <v>597</v>
      </c>
      <c r="C310">
        <v>39.538004638089134</v>
      </c>
      <c r="D310">
        <v>26.604262774232414</v>
      </c>
    </row>
    <row r="311" spans="2:4">
      <c r="B311" t="s">
        <v>598</v>
      </c>
      <c r="C311">
        <v>34.591742637604163</v>
      </c>
      <c r="D311">
        <v>27.14243030801951</v>
      </c>
    </row>
    <row r="312" spans="2:4">
      <c r="B312" t="s">
        <v>599</v>
      </c>
      <c r="C312">
        <v>35.04140281946642</v>
      </c>
      <c r="D312">
        <v>27.14243030801951</v>
      </c>
    </row>
    <row r="313" spans="2:4">
      <c r="B313" t="s">
        <v>600</v>
      </c>
      <c r="C313">
        <v>35.491063001328691</v>
      </c>
      <c r="D313">
        <v>27.14243030801951</v>
      </c>
    </row>
    <row r="314" spans="2:4">
      <c r="B314" t="s">
        <v>601</v>
      </c>
      <c r="C314">
        <v>35.940723183190961</v>
      </c>
      <c r="D314">
        <v>27.14243030801951</v>
      </c>
    </row>
    <row r="315" spans="2:4">
      <c r="B315" t="s">
        <v>602</v>
      </c>
      <c r="C315">
        <v>36.390383365053232</v>
      </c>
      <c r="D315">
        <v>27.14243030801951</v>
      </c>
    </row>
    <row r="316" spans="2:4">
      <c r="B316" t="s">
        <v>603</v>
      </c>
      <c r="C316">
        <v>36.84004354691551</v>
      </c>
      <c r="D316">
        <v>27.14243030801951</v>
      </c>
    </row>
    <row r="317" spans="2:4">
      <c r="B317" t="s">
        <v>604</v>
      </c>
      <c r="C317">
        <v>37.289703728777781</v>
      </c>
      <c r="D317">
        <v>27.14243030801951</v>
      </c>
    </row>
    <row r="318" spans="2:4">
      <c r="B318" t="s">
        <v>605</v>
      </c>
      <c r="C318">
        <v>37.739363910640051</v>
      </c>
      <c r="D318">
        <v>27.14243030801951</v>
      </c>
    </row>
    <row r="319" spans="2:4">
      <c r="B319" t="s">
        <v>606</v>
      </c>
      <c r="C319">
        <v>35.04140281946642</v>
      </c>
      <c r="D319">
        <v>27.680597841806598</v>
      </c>
    </row>
    <row r="320" spans="2:4">
      <c r="B320" t="s">
        <v>607</v>
      </c>
      <c r="C320">
        <v>35.491063001328691</v>
      </c>
      <c r="D320">
        <v>27.680597841806598</v>
      </c>
    </row>
    <row r="321" spans="2:4">
      <c r="B321" t="s">
        <v>608</v>
      </c>
      <c r="C321">
        <v>35.940723183190961</v>
      </c>
      <c r="D321">
        <v>27.680597841806598</v>
      </c>
    </row>
    <row r="322" spans="2:4">
      <c r="B322" t="s">
        <v>609</v>
      </c>
      <c r="C322">
        <v>36.390383365053232</v>
      </c>
      <c r="D322">
        <v>27.680597841806598</v>
      </c>
    </row>
    <row r="323" spans="2:4">
      <c r="B323" t="s">
        <v>610</v>
      </c>
      <c r="C323">
        <v>36.84004354691551</v>
      </c>
      <c r="D323">
        <v>27.680597841806598</v>
      </c>
    </row>
    <row r="324" spans="2:4">
      <c r="B324" t="s">
        <v>611</v>
      </c>
      <c r="C324">
        <v>35.04140281946642</v>
      </c>
      <c r="D324">
        <v>28.218765375593701</v>
      </c>
    </row>
    <row r="325" spans="2:4">
      <c r="B325" t="s">
        <v>612</v>
      </c>
      <c r="C325">
        <v>35.491063001328691</v>
      </c>
      <c r="D325">
        <v>28.218765375593701</v>
      </c>
    </row>
    <row r="326" spans="2:4">
      <c r="B326" t="s">
        <v>613</v>
      </c>
      <c r="C326">
        <v>35.940723183190961</v>
      </c>
      <c r="D326">
        <v>28.218765375593701</v>
      </c>
    </row>
    <row r="327" spans="2:4">
      <c r="B327" t="s">
        <v>614</v>
      </c>
      <c r="C327">
        <v>36.390383365053232</v>
      </c>
      <c r="D327">
        <v>28.218765375593701</v>
      </c>
    </row>
    <row r="328" spans="2:4">
      <c r="B328" t="s">
        <v>615</v>
      </c>
      <c r="C328">
        <v>36.390383365053232</v>
      </c>
      <c r="D328">
        <v>28.756932909380801</v>
      </c>
    </row>
    <row r="329" spans="2:4">
      <c r="B329" t="s">
        <v>616</v>
      </c>
      <c r="C329">
        <v>35.940723183190961</v>
      </c>
      <c r="D329">
        <v>29.295100443167893</v>
      </c>
    </row>
    <row r="330" spans="2:4">
      <c r="B330" t="s">
        <v>617</v>
      </c>
      <c r="C330">
        <v>36.390383365053232</v>
      </c>
      <c r="D330">
        <v>29.295100443167893</v>
      </c>
    </row>
    <row r="331" spans="2:4">
      <c r="B331" t="s">
        <v>618</v>
      </c>
      <c r="C331">
        <v>35.940723183190961</v>
      </c>
      <c r="D331">
        <v>29.833267976955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AC8A-E2BE-4C89-9BB2-9B372813BA23}">
  <dimension ref="B2:D324"/>
  <sheetViews>
    <sheetView workbookViewId="0"/>
  </sheetViews>
  <sheetFormatPr defaultRowHeight="14.25"/>
  <sheetData>
    <row r="2" spans="2:4">
      <c r="B2" t="s">
        <v>64</v>
      </c>
    </row>
    <row r="3" spans="2:4">
      <c r="B3" t="s">
        <v>53</v>
      </c>
      <c r="C3" t="s">
        <v>55</v>
      </c>
      <c r="D3" t="s">
        <v>65</v>
      </c>
    </row>
    <row r="4" spans="2:4">
      <c r="B4" t="s">
        <v>297</v>
      </c>
      <c r="C4" t="s">
        <v>298</v>
      </c>
      <c r="D4" t="s">
        <v>298</v>
      </c>
    </row>
    <row r="5" spans="2:4">
      <c r="B5" t="s">
        <v>297</v>
      </c>
      <c r="C5" t="s">
        <v>299</v>
      </c>
      <c r="D5" t="s">
        <v>299</v>
      </c>
    </row>
    <row r="6" spans="2:4">
      <c r="B6" t="s">
        <v>297</v>
      </c>
      <c r="C6" t="s">
        <v>300</v>
      </c>
      <c r="D6" t="s">
        <v>300</v>
      </c>
    </row>
    <row r="7" spans="2:4">
      <c r="B7" t="s">
        <v>297</v>
      </c>
      <c r="C7" t="s">
        <v>301</v>
      </c>
      <c r="D7" t="s">
        <v>301</v>
      </c>
    </row>
    <row r="8" spans="2:4">
      <c r="B8" t="s">
        <v>297</v>
      </c>
      <c r="C8" t="s">
        <v>302</v>
      </c>
      <c r="D8" t="s">
        <v>302</v>
      </c>
    </row>
    <row r="9" spans="2:4">
      <c r="B9" t="s">
        <v>297</v>
      </c>
      <c r="C9" t="s">
        <v>303</v>
      </c>
      <c r="D9" t="s">
        <v>303</v>
      </c>
    </row>
    <row r="10" spans="2:4">
      <c r="B10" t="s">
        <v>297</v>
      </c>
      <c r="C10" t="s">
        <v>304</v>
      </c>
      <c r="D10" t="s">
        <v>304</v>
      </c>
    </row>
    <row r="11" spans="2:4">
      <c r="B11" t="s">
        <v>297</v>
      </c>
      <c r="C11" t="s">
        <v>305</v>
      </c>
      <c r="D11" t="s">
        <v>305</v>
      </c>
    </row>
    <row r="12" spans="2:4">
      <c r="B12" t="s">
        <v>297</v>
      </c>
      <c r="C12" t="s">
        <v>306</v>
      </c>
      <c r="D12" t="s">
        <v>306</v>
      </c>
    </row>
    <row r="13" spans="2:4">
      <c r="B13" t="s">
        <v>297</v>
      </c>
      <c r="C13" t="s">
        <v>307</v>
      </c>
      <c r="D13" t="s">
        <v>307</v>
      </c>
    </row>
    <row r="14" spans="2:4">
      <c r="B14" t="s">
        <v>297</v>
      </c>
      <c r="C14" t="s">
        <v>308</v>
      </c>
      <c r="D14" t="s">
        <v>308</v>
      </c>
    </row>
    <row r="15" spans="2:4">
      <c r="B15" t="s">
        <v>297</v>
      </c>
      <c r="C15" t="s">
        <v>309</v>
      </c>
      <c r="D15" t="s">
        <v>309</v>
      </c>
    </row>
    <row r="16" spans="2:4">
      <c r="B16" t="s">
        <v>297</v>
      </c>
      <c r="C16" t="s">
        <v>310</v>
      </c>
      <c r="D16" t="s">
        <v>310</v>
      </c>
    </row>
    <row r="17" spans="2:4">
      <c r="B17" t="s">
        <v>297</v>
      </c>
      <c r="C17" t="s">
        <v>311</v>
      </c>
      <c r="D17" t="s">
        <v>311</v>
      </c>
    </row>
    <row r="18" spans="2:4">
      <c r="B18" t="s">
        <v>297</v>
      </c>
      <c r="C18" t="s">
        <v>312</v>
      </c>
      <c r="D18" t="s">
        <v>312</v>
      </c>
    </row>
    <row r="19" spans="2:4">
      <c r="B19" t="s">
        <v>297</v>
      </c>
      <c r="C19" t="s">
        <v>313</v>
      </c>
      <c r="D19" t="s">
        <v>313</v>
      </c>
    </row>
    <row r="20" spans="2:4">
      <c r="B20" t="s">
        <v>297</v>
      </c>
      <c r="C20" t="s">
        <v>314</v>
      </c>
      <c r="D20" t="s">
        <v>314</v>
      </c>
    </row>
    <row r="21" spans="2:4">
      <c r="B21" t="s">
        <v>297</v>
      </c>
      <c r="C21" t="s">
        <v>315</v>
      </c>
      <c r="D21" t="s">
        <v>315</v>
      </c>
    </row>
    <row r="22" spans="2:4">
      <c r="B22" t="s">
        <v>297</v>
      </c>
      <c r="C22" t="s">
        <v>316</v>
      </c>
      <c r="D22" t="s">
        <v>316</v>
      </c>
    </row>
    <row r="23" spans="2:4">
      <c r="B23" t="s">
        <v>297</v>
      </c>
      <c r="C23" t="s">
        <v>317</v>
      </c>
      <c r="D23" t="s">
        <v>317</v>
      </c>
    </row>
    <row r="24" spans="2:4">
      <c r="B24" t="s">
        <v>297</v>
      </c>
      <c r="C24" t="s">
        <v>318</v>
      </c>
      <c r="D24" t="s">
        <v>318</v>
      </c>
    </row>
    <row r="25" spans="2:4">
      <c r="B25" t="s">
        <v>297</v>
      </c>
      <c r="C25" t="s">
        <v>319</v>
      </c>
      <c r="D25" t="s">
        <v>319</v>
      </c>
    </row>
    <row r="26" spans="2:4">
      <c r="B26" t="s">
        <v>297</v>
      </c>
      <c r="C26" t="s">
        <v>320</v>
      </c>
      <c r="D26" t="s">
        <v>320</v>
      </c>
    </row>
    <row r="27" spans="2:4">
      <c r="B27" t="s">
        <v>297</v>
      </c>
      <c r="C27" t="s">
        <v>321</v>
      </c>
      <c r="D27" t="s">
        <v>321</v>
      </c>
    </row>
    <row r="28" spans="2:4">
      <c r="B28" t="s">
        <v>297</v>
      </c>
      <c r="C28" t="s">
        <v>322</v>
      </c>
      <c r="D28" t="s">
        <v>322</v>
      </c>
    </row>
    <row r="29" spans="2:4">
      <c r="B29" t="s">
        <v>297</v>
      </c>
      <c r="C29" t="s">
        <v>323</v>
      </c>
      <c r="D29" t="s">
        <v>323</v>
      </c>
    </row>
    <row r="30" spans="2:4">
      <c r="B30" t="s">
        <v>297</v>
      </c>
      <c r="C30" t="s">
        <v>324</v>
      </c>
      <c r="D30" t="s">
        <v>324</v>
      </c>
    </row>
    <row r="31" spans="2:4">
      <c r="B31" t="s">
        <v>297</v>
      </c>
      <c r="C31" t="s">
        <v>325</v>
      </c>
      <c r="D31" t="s">
        <v>325</v>
      </c>
    </row>
    <row r="32" spans="2:4">
      <c r="B32" t="s">
        <v>297</v>
      </c>
      <c r="C32" t="s">
        <v>326</v>
      </c>
      <c r="D32" t="s">
        <v>326</v>
      </c>
    </row>
    <row r="33" spans="2:4">
      <c r="B33" t="s">
        <v>297</v>
      </c>
      <c r="C33" t="s">
        <v>327</v>
      </c>
      <c r="D33" t="s">
        <v>327</v>
      </c>
    </row>
    <row r="34" spans="2:4">
      <c r="B34" t="s">
        <v>297</v>
      </c>
      <c r="C34" t="s">
        <v>328</v>
      </c>
      <c r="D34" t="s">
        <v>328</v>
      </c>
    </row>
    <row r="35" spans="2:4">
      <c r="B35" t="s">
        <v>297</v>
      </c>
      <c r="C35" t="s">
        <v>329</v>
      </c>
      <c r="D35" t="s">
        <v>329</v>
      </c>
    </row>
    <row r="36" spans="2:4">
      <c r="B36" t="s">
        <v>297</v>
      </c>
      <c r="C36" t="s">
        <v>330</v>
      </c>
      <c r="D36" t="s">
        <v>330</v>
      </c>
    </row>
    <row r="37" spans="2:4">
      <c r="B37" t="s">
        <v>297</v>
      </c>
      <c r="C37" t="s">
        <v>331</v>
      </c>
      <c r="D37" t="s">
        <v>331</v>
      </c>
    </row>
    <row r="38" spans="2:4">
      <c r="B38" t="s">
        <v>297</v>
      </c>
      <c r="C38" t="s">
        <v>332</v>
      </c>
      <c r="D38" t="s">
        <v>332</v>
      </c>
    </row>
    <row r="39" spans="2:4">
      <c r="B39" t="s">
        <v>297</v>
      </c>
      <c r="C39" t="s">
        <v>333</v>
      </c>
      <c r="D39" t="s">
        <v>333</v>
      </c>
    </row>
    <row r="40" spans="2:4">
      <c r="B40" t="s">
        <v>297</v>
      </c>
      <c r="C40" t="s">
        <v>334</v>
      </c>
      <c r="D40" t="s">
        <v>334</v>
      </c>
    </row>
    <row r="41" spans="2:4">
      <c r="B41" t="s">
        <v>297</v>
      </c>
      <c r="C41" t="s">
        <v>335</v>
      </c>
      <c r="D41" t="s">
        <v>335</v>
      </c>
    </row>
    <row r="42" spans="2:4">
      <c r="B42" t="s">
        <v>297</v>
      </c>
      <c r="C42" t="s">
        <v>336</v>
      </c>
      <c r="D42" t="s">
        <v>336</v>
      </c>
    </row>
    <row r="43" spans="2:4">
      <c r="B43" t="s">
        <v>297</v>
      </c>
      <c r="C43" t="s">
        <v>337</v>
      </c>
      <c r="D43" t="s">
        <v>337</v>
      </c>
    </row>
    <row r="44" spans="2:4">
      <c r="B44" t="s">
        <v>297</v>
      </c>
      <c r="C44" t="s">
        <v>338</v>
      </c>
      <c r="D44" t="s">
        <v>338</v>
      </c>
    </row>
    <row r="45" spans="2:4">
      <c r="B45" t="s">
        <v>297</v>
      </c>
      <c r="C45" t="s">
        <v>339</v>
      </c>
      <c r="D45" t="s">
        <v>339</v>
      </c>
    </row>
    <row r="46" spans="2:4">
      <c r="B46" t="s">
        <v>297</v>
      </c>
      <c r="C46" t="s">
        <v>340</v>
      </c>
      <c r="D46" t="s">
        <v>340</v>
      </c>
    </row>
    <row r="47" spans="2:4">
      <c r="B47" t="s">
        <v>297</v>
      </c>
      <c r="C47" t="s">
        <v>341</v>
      </c>
      <c r="D47" t="s">
        <v>341</v>
      </c>
    </row>
    <row r="48" spans="2:4">
      <c r="B48" t="s">
        <v>297</v>
      </c>
      <c r="C48" t="s">
        <v>342</v>
      </c>
      <c r="D48" t="s">
        <v>342</v>
      </c>
    </row>
    <row r="49" spans="2:4">
      <c r="B49" t="s">
        <v>297</v>
      </c>
      <c r="C49" t="s">
        <v>343</v>
      </c>
      <c r="D49" t="s">
        <v>343</v>
      </c>
    </row>
    <row r="50" spans="2:4">
      <c r="B50" t="s">
        <v>297</v>
      </c>
      <c r="C50" t="s">
        <v>344</v>
      </c>
      <c r="D50" t="s">
        <v>344</v>
      </c>
    </row>
    <row r="51" spans="2:4">
      <c r="B51" t="s">
        <v>297</v>
      </c>
      <c r="C51" t="s">
        <v>345</v>
      </c>
      <c r="D51" t="s">
        <v>345</v>
      </c>
    </row>
    <row r="52" spans="2:4">
      <c r="B52" t="s">
        <v>297</v>
      </c>
      <c r="C52" t="s">
        <v>346</v>
      </c>
      <c r="D52" t="s">
        <v>346</v>
      </c>
    </row>
    <row r="53" spans="2:4">
      <c r="B53" t="s">
        <v>297</v>
      </c>
      <c r="C53" t="s">
        <v>347</v>
      </c>
      <c r="D53" t="s">
        <v>347</v>
      </c>
    </row>
    <row r="54" spans="2:4">
      <c r="B54" t="s">
        <v>297</v>
      </c>
      <c r="C54" t="s">
        <v>348</v>
      </c>
      <c r="D54" t="s">
        <v>348</v>
      </c>
    </row>
    <row r="55" spans="2:4">
      <c r="B55" t="s">
        <v>297</v>
      </c>
      <c r="C55" t="s">
        <v>349</v>
      </c>
      <c r="D55" t="s">
        <v>349</v>
      </c>
    </row>
    <row r="56" spans="2:4">
      <c r="B56" t="s">
        <v>297</v>
      </c>
      <c r="C56" t="s">
        <v>350</v>
      </c>
      <c r="D56" t="s">
        <v>350</v>
      </c>
    </row>
    <row r="57" spans="2:4">
      <c r="B57" t="s">
        <v>297</v>
      </c>
      <c r="C57" t="s">
        <v>351</v>
      </c>
      <c r="D57" t="s">
        <v>351</v>
      </c>
    </row>
    <row r="58" spans="2:4">
      <c r="B58" t="s">
        <v>297</v>
      </c>
      <c r="C58" t="s">
        <v>352</v>
      </c>
      <c r="D58" t="s">
        <v>352</v>
      </c>
    </row>
    <row r="59" spans="2:4">
      <c r="B59" t="s">
        <v>297</v>
      </c>
      <c r="C59" t="s">
        <v>353</v>
      </c>
      <c r="D59" t="s">
        <v>353</v>
      </c>
    </row>
    <row r="60" spans="2:4">
      <c r="B60" t="s">
        <v>297</v>
      </c>
      <c r="C60" t="s">
        <v>354</v>
      </c>
      <c r="D60" t="s">
        <v>354</v>
      </c>
    </row>
    <row r="61" spans="2:4">
      <c r="B61" t="s">
        <v>297</v>
      </c>
      <c r="C61" t="s">
        <v>355</v>
      </c>
      <c r="D61" t="s">
        <v>355</v>
      </c>
    </row>
    <row r="62" spans="2:4">
      <c r="B62" t="s">
        <v>297</v>
      </c>
      <c r="C62" t="s">
        <v>356</v>
      </c>
      <c r="D62" t="s">
        <v>356</v>
      </c>
    </row>
    <row r="63" spans="2:4">
      <c r="B63" t="s">
        <v>297</v>
      </c>
      <c r="C63" t="s">
        <v>357</v>
      </c>
      <c r="D63" t="s">
        <v>357</v>
      </c>
    </row>
    <row r="64" spans="2:4">
      <c r="B64" t="s">
        <v>297</v>
      </c>
      <c r="C64" t="s">
        <v>358</v>
      </c>
      <c r="D64" t="s">
        <v>358</v>
      </c>
    </row>
    <row r="65" spans="2:4">
      <c r="B65" t="s">
        <v>297</v>
      </c>
      <c r="C65" t="s">
        <v>359</v>
      </c>
      <c r="D65" t="s">
        <v>359</v>
      </c>
    </row>
    <row r="66" spans="2:4">
      <c r="B66" t="s">
        <v>297</v>
      </c>
      <c r="C66" t="s">
        <v>360</v>
      </c>
      <c r="D66" t="s">
        <v>360</v>
      </c>
    </row>
    <row r="67" spans="2:4">
      <c r="B67" t="s">
        <v>297</v>
      </c>
      <c r="C67" t="s">
        <v>361</v>
      </c>
      <c r="D67" t="s">
        <v>361</v>
      </c>
    </row>
    <row r="68" spans="2:4">
      <c r="B68" t="s">
        <v>297</v>
      </c>
      <c r="C68" t="s">
        <v>362</v>
      </c>
      <c r="D68" t="s">
        <v>362</v>
      </c>
    </row>
    <row r="69" spans="2:4">
      <c r="B69" t="s">
        <v>297</v>
      </c>
      <c r="C69" t="s">
        <v>363</v>
      </c>
      <c r="D69" t="s">
        <v>363</v>
      </c>
    </row>
    <row r="70" spans="2:4">
      <c r="B70" t="s">
        <v>297</v>
      </c>
      <c r="C70" t="s">
        <v>364</v>
      </c>
      <c r="D70" t="s">
        <v>364</v>
      </c>
    </row>
    <row r="71" spans="2:4">
      <c r="B71" t="s">
        <v>297</v>
      </c>
      <c r="C71" t="s">
        <v>365</v>
      </c>
      <c r="D71" t="s">
        <v>365</v>
      </c>
    </row>
    <row r="72" spans="2:4">
      <c r="B72" t="s">
        <v>297</v>
      </c>
      <c r="C72" t="s">
        <v>366</v>
      </c>
      <c r="D72" t="s">
        <v>366</v>
      </c>
    </row>
    <row r="73" spans="2:4">
      <c r="B73" t="s">
        <v>297</v>
      </c>
      <c r="C73" t="s">
        <v>367</v>
      </c>
      <c r="D73" t="s">
        <v>367</v>
      </c>
    </row>
    <row r="74" spans="2:4">
      <c r="B74" t="s">
        <v>297</v>
      </c>
      <c r="C74" t="s">
        <v>368</v>
      </c>
      <c r="D74" t="s">
        <v>368</v>
      </c>
    </row>
    <row r="75" spans="2:4">
      <c r="B75" t="s">
        <v>297</v>
      </c>
      <c r="C75" t="s">
        <v>369</v>
      </c>
      <c r="D75" t="s">
        <v>369</v>
      </c>
    </row>
    <row r="76" spans="2:4">
      <c r="B76" t="s">
        <v>297</v>
      </c>
      <c r="C76" t="s">
        <v>370</v>
      </c>
      <c r="D76" t="s">
        <v>370</v>
      </c>
    </row>
    <row r="77" spans="2:4">
      <c r="B77" t="s">
        <v>297</v>
      </c>
      <c r="C77" t="s">
        <v>371</v>
      </c>
      <c r="D77" t="s">
        <v>371</v>
      </c>
    </row>
    <row r="78" spans="2:4">
      <c r="B78" t="s">
        <v>297</v>
      </c>
      <c r="C78" t="s">
        <v>372</v>
      </c>
      <c r="D78" t="s">
        <v>372</v>
      </c>
    </row>
    <row r="79" spans="2:4">
      <c r="B79" t="s">
        <v>297</v>
      </c>
      <c r="C79" t="s">
        <v>373</v>
      </c>
      <c r="D79" t="s">
        <v>373</v>
      </c>
    </row>
    <row r="80" spans="2:4">
      <c r="B80" t="s">
        <v>297</v>
      </c>
      <c r="C80" t="s">
        <v>374</v>
      </c>
      <c r="D80" t="s">
        <v>374</v>
      </c>
    </row>
    <row r="81" spans="2:4">
      <c r="B81" t="s">
        <v>297</v>
      </c>
      <c r="C81" t="s">
        <v>375</v>
      </c>
      <c r="D81" t="s">
        <v>375</v>
      </c>
    </row>
    <row r="82" spans="2:4">
      <c r="B82" t="s">
        <v>297</v>
      </c>
      <c r="C82" t="s">
        <v>376</v>
      </c>
      <c r="D82" t="s">
        <v>376</v>
      </c>
    </row>
    <row r="83" spans="2:4">
      <c r="B83" t="s">
        <v>297</v>
      </c>
      <c r="C83" t="s">
        <v>377</v>
      </c>
      <c r="D83" t="s">
        <v>377</v>
      </c>
    </row>
    <row r="84" spans="2:4">
      <c r="B84" t="s">
        <v>297</v>
      </c>
      <c r="C84" t="s">
        <v>378</v>
      </c>
      <c r="D84" t="s">
        <v>378</v>
      </c>
    </row>
    <row r="85" spans="2:4">
      <c r="B85" t="s">
        <v>297</v>
      </c>
      <c r="C85" t="s">
        <v>379</v>
      </c>
      <c r="D85" t="s">
        <v>379</v>
      </c>
    </row>
    <row r="86" spans="2:4">
      <c r="B86" t="s">
        <v>297</v>
      </c>
      <c r="C86" t="s">
        <v>380</v>
      </c>
      <c r="D86" t="s">
        <v>380</v>
      </c>
    </row>
    <row r="87" spans="2:4">
      <c r="B87" t="s">
        <v>297</v>
      </c>
      <c r="C87" t="s">
        <v>381</v>
      </c>
      <c r="D87" t="s">
        <v>381</v>
      </c>
    </row>
    <row r="88" spans="2:4">
      <c r="B88" t="s">
        <v>297</v>
      </c>
      <c r="C88" t="s">
        <v>382</v>
      </c>
      <c r="D88" t="s">
        <v>382</v>
      </c>
    </row>
    <row r="89" spans="2:4">
      <c r="B89" t="s">
        <v>297</v>
      </c>
      <c r="C89" t="s">
        <v>383</v>
      </c>
      <c r="D89" t="s">
        <v>383</v>
      </c>
    </row>
    <row r="90" spans="2:4">
      <c r="B90" t="s">
        <v>297</v>
      </c>
      <c r="C90" t="s">
        <v>384</v>
      </c>
      <c r="D90" t="s">
        <v>384</v>
      </c>
    </row>
    <row r="91" spans="2:4">
      <c r="B91" t="s">
        <v>297</v>
      </c>
      <c r="C91" t="s">
        <v>385</v>
      </c>
      <c r="D91" t="s">
        <v>385</v>
      </c>
    </row>
    <row r="92" spans="2:4">
      <c r="B92" t="s">
        <v>297</v>
      </c>
      <c r="C92" t="s">
        <v>386</v>
      </c>
      <c r="D92" t="s">
        <v>386</v>
      </c>
    </row>
    <row r="93" spans="2:4">
      <c r="B93" t="s">
        <v>297</v>
      </c>
      <c r="C93" t="s">
        <v>387</v>
      </c>
      <c r="D93" t="s">
        <v>387</v>
      </c>
    </row>
    <row r="94" spans="2:4">
      <c r="B94" t="s">
        <v>297</v>
      </c>
      <c r="C94" t="s">
        <v>388</v>
      </c>
      <c r="D94" t="s">
        <v>388</v>
      </c>
    </row>
    <row r="95" spans="2:4">
      <c r="B95" t="s">
        <v>297</v>
      </c>
      <c r="C95" t="s">
        <v>389</v>
      </c>
      <c r="D95" t="s">
        <v>389</v>
      </c>
    </row>
    <row r="96" spans="2:4">
      <c r="B96" t="s">
        <v>297</v>
      </c>
      <c r="C96" t="s">
        <v>390</v>
      </c>
      <c r="D96" t="s">
        <v>390</v>
      </c>
    </row>
    <row r="97" spans="2:4">
      <c r="B97" t="s">
        <v>297</v>
      </c>
      <c r="C97" t="s">
        <v>391</v>
      </c>
      <c r="D97" t="s">
        <v>391</v>
      </c>
    </row>
    <row r="98" spans="2:4">
      <c r="B98" t="s">
        <v>297</v>
      </c>
      <c r="C98" t="s">
        <v>392</v>
      </c>
      <c r="D98" t="s">
        <v>392</v>
      </c>
    </row>
    <row r="99" spans="2:4">
      <c r="B99" t="s">
        <v>297</v>
      </c>
      <c r="C99" t="s">
        <v>393</v>
      </c>
      <c r="D99" t="s">
        <v>393</v>
      </c>
    </row>
    <row r="100" spans="2:4">
      <c r="B100" t="s">
        <v>297</v>
      </c>
      <c r="C100" t="s">
        <v>394</v>
      </c>
      <c r="D100" t="s">
        <v>394</v>
      </c>
    </row>
    <row r="101" spans="2:4">
      <c r="B101" t="s">
        <v>297</v>
      </c>
      <c r="C101" t="s">
        <v>395</v>
      </c>
      <c r="D101" t="s">
        <v>395</v>
      </c>
    </row>
    <row r="102" spans="2:4">
      <c r="B102" t="s">
        <v>297</v>
      </c>
      <c r="C102" t="s">
        <v>396</v>
      </c>
      <c r="D102" t="s">
        <v>396</v>
      </c>
    </row>
    <row r="103" spans="2:4">
      <c r="B103" t="s">
        <v>297</v>
      </c>
      <c r="C103" t="s">
        <v>397</v>
      </c>
      <c r="D103" t="s">
        <v>397</v>
      </c>
    </row>
    <row r="104" spans="2:4">
      <c r="B104" t="s">
        <v>297</v>
      </c>
      <c r="C104" t="s">
        <v>398</v>
      </c>
      <c r="D104" t="s">
        <v>398</v>
      </c>
    </row>
    <row r="105" spans="2:4">
      <c r="B105" t="s">
        <v>297</v>
      </c>
      <c r="C105" t="s">
        <v>399</v>
      </c>
      <c r="D105" t="s">
        <v>399</v>
      </c>
    </row>
    <row r="106" spans="2:4">
      <c r="B106" t="s">
        <v>297</v>
      </c>
      <c r="C106" t="s">
        <v>400</v>
      </c>
      <c r="D106" t="s">
        <v>400</v>
      </c>
    </row>
    <row r="107" spans="2:4">
      <c r="B107" t="s">
        <v>297</v>
      </c>
      <c r="C107" t="s">
        <v>401</v>
      </c>
      <c r="D107" t="s">
        <v>401</v>
      </c>
    </row>
    <row r="108" spans="2:4">
      <c r="B108" t="s">
        <v>297</v>
      </c>
      <c r="C108" t="s">
        <v>402</v>
      </c>
      <c r="D108" t="s">
        <v>402</v>
      </c>
    </row>
    <row r="109" spans="2:4">
      <c r="B109" t="s">
        <v>297</v>
      </c>
      <c r="C109" t="s">
        <v>403</v>
      </c>
      <c r="D109" t="s">
        <v>403</v>
      </c>
    </row>
    <row r="110" spans="2:4">
      <c r="B110" t="s">
        <v>297</v>
      </c>
      <c r="C110" t="s">
        <v>404</v>
      </c>
      <c r="D110" t="s">
        <v>404</v>
      </c>
    </row>
    <row r="111" spans="2:4">
      <c r="B111" t="s">
        <v>297</v>
      </c>
      <c r="C111" t="s">
        <v>405</v>
      </c>
      <c r="D111" t="s">
        <v>405</v>
      </c>
    </row>
    <row r="112" spans="2:4">
      <c r="B112" t="s">
        <v>297</v>
      </c>
      <c r="C112" t="s">
        <v>406</v>
      </c>
      <c r="D112" t="s">
        <v>406</v>
      </c>
    </row>
    <row r="113" spans="2:4">
      <c r="B113" t="s">
        <v>297</v>
      </c>
      <c r="C113" t="s">
        <v>407</v>
      </c>
      <c r="D113" t="s">
        <v>407</v>
      </c>
    </row>
    <row r="114" spans="2:4">
      <c r="B114" t="s">
        <v>297</v>
      </c>
      <c r="C114" t="s">
        <v>408</v>
      </c>
      <c r="D114" t="s">
        <v>408</v>
      </c>
    </row>
    <row r="115" spans="2:4">
      <c r="B115" t="s">
        <v>297</v>
      </c>
      <c r="C115" t="s">
        <v>409</v>
      </c>
      <c r="D115" t="s">
        <v>409</v>
      </c>
    </row>
    <row r="116" spans="2:4">
      <c r="B116" t="s">
        <v>297</v>
      </c>
      <c r="C116" t="s">
        <v>410</v>
      </c>
      <c r="D116" t="s">
        <v>410</v>
      </c>
    </row>
    <row r="117" spans="2:4">
      <c r="B117" t="s">
        <v>297</v>
      </c>
      <c r="C117" t="s">
        <v>411</v>
      </c>
      <c r="D117" t="s">
        <v>411</v>
      </c>
    </row>
    <row r="118" spans="2:4">
      <c r="B118" t="s">
        <v>297</v>
      </c>
      <c r="C118" t="s">
        <v>412</v>
      </c>
      <c r="D118" t="s">
        <v>412</v>
      </c>
    </row>
    <row r="119" spans="2:4">
      <c r="B119" t="s">
        <v>297</v>
      </c>
      <c r="C119" t="s">
        <v>413</v>
      </c>
      <c r="D119" t="s">
        <v>413</v>
      </c>
    </row>
    <row r="120" spans="2:4">
      <c r="B120" t="s">
        <v>297</v>
      </c>
      <c r="C120" t="s">
        <v>414</v>
      </c>
      <c r="D120" t="s">
        <v>414</v>
      </c>
    </row>
    <row r="121" spans="2:4">
      <c r="B121" t="s">
        <v>297</v>
      </c>
      <c r="C121" t="s">
        <v>415</v>
      </c>
      <c r="D121" t="s">
        <v>415</v>
      </c>
    </row>
    <row r="122" spans="2:4">
      <c r="B122" t="s">
        <v>297</v>
      </c>
      <c r="C122" t="s">
        <v>416</v>
      </c>
      <c r="D122" t="s">
        <v>416</v>
      </c>
    </row>
    <row r="123" spans="2:4">
      <c r="B123" t="s">
        <v>297</v>
      </c>
      <c r="C123" t="s">
        <v>417</v>
      </c>
      <c r="D123" t="s">
        <v>417</v>
      </c>
    </row>
    <row r="124" spans="2:4">
      <c r="B124" t="s">
        <v>297</v>
      </c>
      <c r="C124" t="s">
        <v>418</v>
      </c>
      <c r="D124" t="s">
        <v>418</v>
      </c>
    </row>
    <row r="125" spans="2:4">
      <c r="B125" t="s">
        <v>297</v>
      </c>
      <c r="C125" t="s">
        <v>419</v>
      </c>
      <c r="D125" t="s">
        <v>419</v>
      </c>
    </row>
    <row r="126" spans="2:4">
      <c r="B126" t="s">
        <v>297</v>
      </c>
      <c r="C126" t="s">
        <v>420</v>
      </c>
      <c r="D126" t="s">
        <v>420</v>
      </c>
    </row>
    <row r="127" spans="2:4">
      <c r="B127" t="s">
        <v>297</v>
      </c>
      <c r="C127" t="s">
        <v>421</v>
      </c>
      <c r="D127" t="s">
        <v>421</v>
      </c>
    </row>
    <row r="128" spans="2:4">
      <c r="B128" t="s">
        <v>297</v>
      </c>
      <c r="C128" t="s">
        <v>422</v>
      </c>
      <c r="D128" t="s">
        <v>422</v>
      </c>
    </row>
    <row r="129" spans="2:4">
      <c r="B129" t="s">
        <v>297</v>
      </c>
      <c r="C129" t="s">
        <v>423</v>
      </c>
      <c r="D129" t="s">
        <v>423</v>
      </c>
    </row>
    <row r="130" spans="2:4">
      <c r="B130" t="s">
        <v>297</v>
      </c>
      <c r="C130" t="s">
        <v>424</v>
      </c>
      <c r="D130" t="s">
        <v>424</v>
      </c>
    </row>
    <row r="131" spans="2:4">
      <c r="B131" t="s">
        <v>297</v>
      </c>
      <c r="C131" t="s">
        <v>425</v>
      </c>
      <c r="D131" t="s">
        <v>425</v>
      </c>
    </row>
    <row r="132" spans="2:4">
      <c r="B132" t="s">
        <v>297</v>
      </c>
      <c r="C132" t="s">
        <v>426</v>
      </c>
      <c r="D132" t="s">
        <v>426</v>
      </c>
    </row>
    <row r="133" spans="2:4">
      <c r="B133" t="s">
        <v>297</v>
      </c>
      <c r="C133" t="s">
        <v>427</v>
      </c>
      <c r="D133" t="s">
        <v>427</v>
      </c>
    </row>
    <row r="134" spans="2:4">
      <c r="B134" t="s">
        <v>297</v>
      </c>
      <c r="C134" t="s">
        <v>428</v>
      </c>
      <c r="D134" t="s">
        <v>428</v>
      </c>
    </row>
    <row r="135" spans="2:4">
      <c r="B135" t="s">
        <v>297</v>
      </c>
      <c r="C135" t="s">
        <v>429</v>
      </c>
      <c r="D135" t="s">
        <v>429</v>
      </c>
    </row>
    <row r="136" spans="2:4">
      <c r="B136" t="s">
        <v>297</v>
      </c>
      <c r="C136" t="s">
        <v>430</v>
      </c>
      <c r="D136" t="s">
        <v>430</v>
      </c>
    </row>
    <row r="137" spans="2:4">
      <c r="B137" t="s">
        <v>297</v>
      </c>
      <c r="C137" t="s">
        <v>431</v>
      </c>
      <c r="D137" t="s">
        <v>431</v>
      </c>
    </row>
    <row r="138" spans="2:4">
      <c r="B138" t="s">
        <v>297</v>
      </c>
      <c r="C138" t="s">
        <v>432</v>
      </c>
      <c r="D138" t="s">
        <v>432</v>
      </c>
    </row>
    <row r="139" spans="2:4">
      <c r="B139" t="s">
        <v>297</v>
      </c>
      <c r="C139" t="s">
        <v>433</v>
      </c>
      <c r="D139" t="s">
        <v>433</v>
      </c>
    </row>
    <row r="140" spans="2:4">
      <c r="B140" t="s">
        <v>297</v>
      </c>
      <c r="C140" t="s">
        <v>434</v>
      </c>
      <c r="D140" t="s">
        <v>434</v>
      </c>
    </row>
    <row r="141" spans="2:4">
      <c r="B141" t="s">
        <v>297</v>
      </c>
      <c r="C141" t="s">
        <v>435</v>
      </c>
      <c r="D141" t="s">
        <v>435</v>
      </c>
    </row>
    <row r="142" spans="2:4">
      <c r="B142" t="s">
        <v>297</v>
      </c>
      <c r="C142" t="s">
        <v>436</v>
      </c>
      <c r="D142" t="s">
        <v>436</v>
      </c>
    </row>
    <row r="143" spans="2:4">
      <c r="B143" t="s">
        <v>297</v>
      </c>
      <c r="C143" t="s">
        <v>437</v>
      </c>
      <c r="D143" t="s">
        <v>437</v>
      </c>
    </row>
    <row r="144" spans="2:4">
      <c r="B144" t="s">
        <v>297</v>
      </c>
      <c r="C144" t="s">
        <v>438</v>
      </c>
      <c r="D144" t="s">
        <v>438</v>
      </c>
    </row>
    <row r="145" spans="2:4">
      <c r="B145" t="s">
        <v>297</v>
      </c>
      <c r="C145" t="s">
        <v>439</v>
      </c>
      <c r="D145" t="s">
        <v>439</v>
      </c>
    </row>
    <row r="146" spans="2:4">
      <c r="B146" t="s">
        <v>297</v>
      </c>
      <c r="C146" t="s">
        <v>440</v>
      </c>
      <c r="D146" t="s">
        <v>440</v>
      </c>
    </row>
    <row r="147" spans="2:4">
      <c r="B147" t="s">
        <v>297</v>
      </c>
      <c r="C147" t="s">
        <v>441</v>
      </c>
      <c r="D147" t="s">
        <v>441</v>
      </c>
    </row>
    <row r="148" spans="2:4">
      <c r="B148" t="s">
        <v>297</v>
      </c>
      <c r="C148" t="s">
        <v>442</v>
      </c>
      <c r="D148" t="s">
        <v>442</v>
      </c>
    </row>
    <row r="149" spans="2:4">
      <c r="B149" t="s">
        <v>297</v>
      </c>
      <c r="C149" t="s">
        <v>443</v>
      </c>
      <c r="D149" t="s">
        <v>443</v>
      </c>
    </row>
    <row r="150" spans="2:4">
      <c r="B150" t="s">
        <v>297</v>
      </c>
      <c r="C150" t="s">
        <v>444</v>
      </c>
      <c r="D150" t="s">
        <v>444</v>
      </c>
    </row>
    <row r="151" spans="2:4">
      <c r="B151" t="s">
        <v>297</v>
      </c>
      <c r="C151" t="s">
        <v>445</v>
      </c>
      <c r="D151" t="s">
        <v>445</v>
      </c>
    </row>
    <row r="152" spans="2:4">
      <c r="B152" t="s">
        <v>297</v>
      </c>
      <c r="C152" t="s">
        <v>446</v>
      </c>
      <c r="D152" t="s">
        <v>446</v>
      </c>
    </row>
    <row r="153" spans="2:4">
      <c r="B153" t="s">
        <v>297</v>
      </c>
      <c r="C153" t="s">
        <v>447</v>
      </c>
      <c r="D153" t="s">
        <v>447</v>
      </c>
    </row>
    <row r="154" spans="2:4">
      <c r="B154" t="s">
        <v>297</v>
      </c>
      <c r="C154" t="s">
        <v>448</v>
      </c>
      <c r="D154" t="s">
        <v>448</v>
      </c>
    </row>
    <row r="155" spans="2:4">
      <c r="B155" t="s">
        <v>297</v>
      </c>
      <c r="C155" t="s">
        <v>449</v>
      </c>
      <c r="D155" t="s">
        <v>449</v>
      </c>
    </row>
    <row r="156" spans="2:4">
      <c r="B156" t="s">
        <v>297</v>
      </c>
      <c r="C156" t="s">
        <v>450</v>
      </c>
      <c r="D156" t="s">
        <v>450</v>
      </c>
    </row>
    <row r="157" spans="2:4">
      <c r="B157" t="s">
        <v>297</v>
      </c>
      <c r="C157" t="s">
        <v>451</v>
      </c>
      <c r="D157" t="s">
        <v>451</v>
      </c>
    </row>
    <row r="158" spans="2:4">
      <c r="B158" t="s">
        <v>297</v>
      </c>
      <c r="C158" t="s">
        <v>452</v>
      </c>
      <c r="D158" t="s">
        <v>452</v>
      </c>
    </row>
    <row r="159" spans="2:4">
      <c r="B159" t="s">
        <v>297</v>
      </c>
      <c r="C159" t="s">
        <v>453</v>
      </c>
      <c r="D159" t="s">
        <v>453</v>
      </c>
    </row>
    <row r="160" spans="2:4">
      <c r="B160" t="s">
        <v>297</v>
      </c>
      <c r="C160" t="s">
        <v>454</v>
      </c>
      <c r="D160" t="s">
        <v>454</v>
      </c>
    </row>
    <row r="161" spans="2:4">
      <c r="B161" t="s">
        <v>297</v>
      </c>
      <c r="C161" t="s">
        <v>455</v>
      </c>
      <c r="D161" t="s">
        <v>455</v>
      </c>
    </row>
    <row r="162" spans="2:4">
      <c r="B162" t="s">
        <v>297</v>
      </c>
      <c r="C162" t="s">
        <v>456</v>
      </c>
      <c r="D162" t="s">
        <v>456</v>
      </c>
    </row>
    <row r="163" spans="2:4">
      <c r="B163" t="s">
        <v>297</v>
      </c>
      <c r="C163" t="s">
        <v>457</v>
      </c>
      <c r="D163" t="s">
        <v>457</v>
      </c>
    </row>
    <row r="164" spans="2:4">
      <c r="B164" t="s">
        <v>297</v>
      </c>
      <c r="C164" t="s">
        <v>458</v>
      </c>
      <c r="D164" t="s">
        <v>458</v>
      </c>
    </row>
    <row r="165" spans="2:4">
      <c r="B165" t="s">
        <v>297</v>
      </c>
      <c r="C165" t="s">
        <v>459</v>
      </c>
      <c r="D165" t="s">
        <v>459</v>
      </c>
    </row>
    <row r="166" spans="2:4">
      <c r="B166" t="s">
        <v>297</v>
      </c>
      <c r="C166" t="s">
        <v>460</v>
      </c>
      <c r="D166" t="s">
        <v>460</v>
      </c>
    </row>
    <row r="167" spans="2:4">
      <c r="B167" t="s">
        <v>297</v>
      </c>
      <c r="C167" t="s">
        <v>461</v>
      </c>
      <c r="D167" t="s">
        <v>461</v>
      </c>
    </row>
    <row r="168" spans="2:4">
      <c r="B168" t="s">
        <v>297</v>
      </c>
      <c r="C168" t="s">
        <v>462</v>
      </c>
      <c r="D168" t="s">
        <v>462</v>
      </c>
    </row>
    <row r="169" spans="2:4">
      <c r="B169" t="s">
        <v>297</v>
      </c>
      <c r="C169" t="s">
        <v>463</v>
      </c>
      <c r="D169" t="s">
        <v>463</v>
      </c>
    </row>
    <row r="170" spans="2:4">
      <c r="B170" t="s">
        <v>297</v>
      </c>
      <c r="C170" t="s">
        <v>464</v>
      </c>
      <c r="D170" t="s">
        <v>464</v>
      </c>
    </row>
    <row r="171" spans="2:4">
      <c r="B171" t="s">
        <v>297</v>
      </c>
      <c r="C171" t="s">
        <v>465</v>
      </c>
      <c r="D171" t="s">
        <v>465</v>
      </c>
    </row>
    <row r="172" spans="2:4">
      <c r="B172" t="s">
        <v>297</v>
      </c>
      <c r="C172" t="s">
        <v>466</v>
      </c>
      <c r="D172" t="s">
        <v>466</v>
      </c>
    </row>
    <row r="173" spans="2:4">
      <c r="B173" t="s">
        <v>297</v>
      </c>
      <c r="C173" t="s">
        <v>467</v>
      </c>
      <c r="D173" t="s">
        <v>467</v>
      </c>
    </row>
    <row r="174" spans="2:4">
      <c r="B174" t="s">
        <v>297</v>
      </c>
      <c r="C174" t="s">
        <v>468</v>
      </c>
      <c r="D174" t="s">
        <v>468</v>
      </c>
    </row>
    <row r="175" spans="2:4">
      <c r="B175" t="s">
        <v>297</v>
      </c>
      <c r="C175" t="s">
        <v>469</v>
      </c>
      <c r="D175" t="s">
        <v>469</v>
      </c>
    </row>
    <row r="176" spans="2:4">
      <c r="B176" t="s">
        <v>297</v>
      </c>
      <c r="C176" t="s">
        <v>470</v>
      </c>
      <c r="D176" t="s">
        <v>470</v>
      </c>
    </row>
    <row r="177" spans="2:4">
      <c r="B177" t="s">
        <v>297</v>
      </c>
      <c r="C177" t="s">
        <v>471</v>
      </c>
      <c r="D177" t="s">
        <v>471</v>
      </c>
    </row>
    <row r="178" spans="2:4">
      <c r="B178" t="s">
        <v>297</v>
      </c>
      <c r="C178" t="s">
        <v>472</v>
      </c>
      <c r="D178" t="s">
        <v>472</v>
      </c>
    </row>
    <row r="179" spans="2:4">
      <c r="B179" t="s">
        <v>297</v>
      </c>
      <c r="C179" t="s">
        <v>473</v>
      </c>
      <c r="D179" t="s">
        <v>473</v>
      </c>
    </row>
    <row r="180" spans="2:4">
      <c r="B180" t="s">
        <v>297</v>
      </c>
      <c r="C180" t="s">
        <v>474</v>
      </c>
      <c r="D180" t="s">
        <v>474</v>
      </c>
    </row>
    <row r="181" spans="2:4">
      <c r="B181" t="s">
        <v>297</v>
      </c>
      <c r="C181" t="s">
        <v>475</v>
      </c>
      <c r="D181" t="s">
        <v>475</v>
      </c>
    </row>
    <row r="182" spans="2:4">
      <c r="B182" t="s">
        <v>297</v>
      </c>
      <c r="C182" t="s">
        <v>476</v>
      </c>
      <c r="D182" t="s">
        <v>476</v>
      </c>
    </row>
    <row r="183" spans="2:4">
      <c r="B183" t="s">
        <v>297</v>
      </c>
      <c r="C183" t="s">
        <v>477</v>
      </c>
      <c r="D183" t="s">
        <v>477</v>
      </c>
    </row>
    <row r="184" spans="2:4">
      <c r="B184" t="s">
        <v>297</v>
      </c>
      <c r="C184" t="s">
        <v>478</v>
      </c>
      <c r="D184" t="s">
        <v>478</v>
      </c>
    </row>
    <row r="185" spans="2:4">
      <c r="B185" t="s">
        <v>297</v>
      </c>
      <c r="C185" t="s">
        <v>479</v>
      </c>
      <c r="D185" t="s">
        <v>479</v>
      </c>
    </row>
    <row r="186" spans="2:4">
      <c r="B186" t="s">
        <v>297</v>
      </c>
      <c r="C186" t="s">
        <v>480</v>
      </c>
      <c r="D186" t="s">
        <v>480</v>
      </c>
    </row>
    <row r="187" spans="2:4">
      <c r="B187" t="s">
        <v>297</v>
      </c>
      <c r="C187" t="s">
        <v>481</v>
      </c>
      <c r="D187" t="s">
        <v>481</v>
      </c>
    </row>
    <row r="188" spans="2:4">
      <c r="B188" t="s">
        <v>297</v>
      </c>
      <c r="C188" t="s">
        <v>482</v>
      </c>
      <c r="D188" t="s">
        <v>482</v>
      </c>
    </row>
    <row r="189" spans="2:4">
      <c r="B189" t="s">
        <v>297</v>
      </c>
      <c r="C189" t="s">
        <v>483</v>
      </c>
      <c r="D189" t="s">
        <v>483</v>
      </c>
    </row>
    <row r="190" spans="2:4">
      <c r="B190" t="s">
        <v>297</v>
      </c>
      <c r="C190" t="s">
        <v>484</v>
      </c>
      <c r="D190" t="s">
        <v>484</v>
      </c>
    </row>
    <row r="191" spans="2:4">
      <c r="B191" t="s">
        <v>297</v>
      </c>
      <c r="C191" t="s">
        <v>485</v>
      </c>
      <c r="D191" t="s">
        <v>485</v>
      </c>
    </row>
    <row r="192" spans="2:4">
      <c r="B192" t="s">
        <v>297</v>
      </c>
      <c r="C192" t="s">
        <v>486</v>
      </c>
      <c r="D192" t="s">
        <v>486</v>
      </c>
    </row>
    <row r="193" spans="2:4">
      <c r="B193" t="s">
        <v>297</v>
      </c>
      <c r="C193" t="s">
        <v>487</v>
      </c>
      <c r="D193" t="s">
        <v>487</v>
      </c>
    </row>
    <row r="194" spans="2:4">
      <c r="B194" t="s">
        <v>297</v>
      </c>
      <c r="C194" t="s">
        <v>488</v>
      </c>
      <c r="D194" t="s">
        <v>488</v>
      </c>
    </row>
    <row r="195" spans="2:4">
      <c r="B195" t="s">
        <v>297</v>
      </c>
      <c r="C195" t="s">
        <v>489</v>
      </c>
      <c r="D195" t="s">
        <v>489</v>
      </c>
    </row>
    <row r="196" spans="2:4">
      <c r="B196" t="s">
        <v>297</v>
      </c>
      <c r="C196" t="s">
        <v>490</v>
      </c>
      <c r="D196" t="s">
        <v>490</v>
      </c>
    </row>
    <row r="197" spans="2:4">
      <c r="B197" t="s">
        <v>297</v>
      </c>
      <c r="C197" t="s">
        <v>491</v>
      </c>
      <c r="D197" t="s">
        <v>491</v>
      </c>
    </row>
    <row r="198" spans="2:4">
      <c r="B198" t="s">
        <v>297</v>
      </c>
      <c r="C198" t="s">
        <v>492</v>
      </c>
      <c r="D198" t="s">
        <v>492</v>
      </c>
    </row>
    <row r="199" spans="2:4">
      <c r="B199" t="s">
        <v>297</v>
      </c>
      <c r="C199" t="s">
        <v>493</v>
      </c>
      <c r="D199" t="s">
        <v>493</v>
      </c>
    </row>
    <row r="200" spans="2:4">
      <c r="B200" t="s">
        <v>297</v>
      </c>
      <c r="C200" t="s">
        <v>494</v>
      </c>
      <c r="D200" t="s">
        <v>494</v>
      </c>
    </row>
    <row r="201" spans="2:4">
      <c r="B201" t="s">
        <v>297</v>
      </c>
      <c r="C201" t="s">
        <v>495</v>
      </c>
      <c r="D201" t="s">
        <v>495</v>
      </c>
    </row>
    <row r="202" spans="2:4">
      <c r="B202" t="s">
        <v>297</v>
      </c>
      <c r="C202" t="s">
        <v>496</v>
      </c>
      <c r="D202" t="s">
        <v>496</v>
      </c>
    </row>
    <row r="203" spans="2:4">
      <c r="B203" t="s">
        <v>297</v>
      </c>
      <c r="C203" t="s">
        <v>497</v>
      </c>
      <c r="D203" t="s">
        <v>497</v>
      </c>
    </row>
    <row r="204" spans="2:4">
      <c r="B204" t="s">
        <v>297</v>
      </c>
      <c r="C204" t="s">
        <v>498</v>
      </c>
      <c r="D204" t="s">
        <v>498</v>
      </c>
    </row>
    <row r="205" spans="2:4">
      <c r="B205" t="s">
        <v>297</v>
      </c>
      <c r="C205" t="s">
        <v>499</v>
      </c>
      <c r="D205" t="s">
        <v>499</v>
      </c>
    </row>
    <row r="206" spans="2:4">
      <c r="B206" t="s">
        <v>297</v>
      </c>
      <c r="C206" t="s">
        <v>500</v>
      </c>
      <c r="D206" t="s">
        <v>500</v>
      </c>
    </row>
    <row r="207" spans="2:4">
      <c r="B207" t="s">
        <v>297</v>
      </c>
      <c r="C207" t="s">
        <v>501</v>
      </c>
      <c r="D207" t="s">
        <v>501</v>
      </c>
    </row>
    <row r="208" spans="2:4">
      <c r="B208" t="s">
        <v>297</v>
      </c>
      <c r="C208" t="s">
        <v>502</v>
      </c>
      <c r="D208" t="s">
        <v>502</v>
      </c>
    </row>
    <row r="209" spans="2:4">
      <c r="B209" t="s">
        <v>297</v>
      </c>
      <c r="C209" t="s">
        <v>503</v>
      </c>
      <c r="D209" t="s">
        <v>503</v>
      </c>
    </row>
    <row r="210" spans="2:4">
      <c r="B210" t="s">
        <v>297</v>
      </c>
      <c r="C210" t="s">
        <v>504</v>
      </c>
      <c r="D210" t="s">
        <v>504</v>
      </c>
    </row>
    <row r="211" spans="2:4">
      <c r="B211" t="s">
        <v>297</v>
      </c>
      <c r="C211" t="s">
        <v>505</v>
      </c>
      <c r="D211" t="s">
        <v>505</v>
      </c>
    </row>
    <row r="212" spans="2:4">
      <c r="B212" t="s">
        <v>297</v>
      </c>
      <c r="C212" t="s">
        <v>506</v>
      </c>
      <c r="D212" t="s">
        <v>506</v>
      </c>
    </row>
    <row r="213" spans="2:4">
      <c r="B213" t="s">
        <v>297</v>
      </c>
      <c r="C213" t="s">
        <v>507</v>
      </c>
      <c r="D213" t="s">
        <v>507</v>
      </c>
    </row>
    <row r="214" spans="2:4">
      <c r="B214" t="s">
        <v>297</v>
      </c>
      <c r="C214" t="s">
        <v>508</v>
      </c>
      <c r="D214" t="s">
        <v>508</v>
      </c>
    </row>
    <row r="215" spans="2:4">
      <c r="B215" t="s">
        <v>297</v>
      </c>
      <c r="C215" t="s">
        <v>509</v>
      </c>
      <c r="D215" t="s">
        <v>509</v>
      </c>
    </row>
    <row r="216" spans="2:4">
      <c r="B216" t="s">
        <v>297</v>
      </c>
      <c r="C216" t="s">
        <v>510</v>
      </c>
      <c r="D216" t="s">
        <v>510</v>
      </c>
    </row>
    <row r="217" spans="2:4">
      <c r="B217" t="s">
        <v>297</v>
      </c>
      <c r="C217" t="s">
        <v>511</v>
      </c>
      <c r="D217" t="s">
        <v>511</v>
      </c>
    </row>
    <row r="218" spans="2:4">
      <c r="B218" t="s">
        <v>297</v>
      </c>
      <c r="C218" t="s">
        <v>512</v>
      </c>
      <c r="D218" t="s">
        <v>512</v>
      </c>
    </row>
    <row r="219" spans="2:4">
      <c r="B219" t="s">
        <v>297</v>
      </c>
      <c r="C219" t="s">
        <v>513</v>
      </c>
      <c r="D219" t="s">
        <v>513</v>
      </c>
    </row>
    <row r="220" spans="2:4">
      <c r="B220" t="s">
        <v>297</v>
      </c>
      <c r="C220" t="s">
        <v>514</v>
      </c>
      <c r="D220" t="s">
        <v>514</v>
      </c>
    </row>
    <row r="221" spans="2:4">
      <c r="B221" t="s">
        <v>297</v>
      </c>
      <c r="C221" t="s">
        <v>515</v>
      </c>
      <c r="D221" t="s">
        <v>515</v>
      </c>
    </row>
    <row r="222" spans="2:4">
      <c r="B222" t="s">
        <v>297</v>
      </c>
      <c r="C222" t="s">
        <v>516</v>
      </c>
      <c r="D222" t="s">
        <v>516</v>
      </c>
    </row>
    <row r="223" spans="2:4">
      <c r="B223" t="s">
        <v>297</v>
      </c>
      <c r="C223" t="s">
        <v>517</v>
      </c>
      <c r="D223" t="s">
        <v>517</v>
      </c>
    </row>
    <row r="224" spans="2:4">
      <c r="B224" t="s">
        <v>297</v>
      </c>
      <c r="C224" t="s">
        <v>518</v>
      </c>
      <c r="D224" t="s">
        <v>518</v>
      </c>
    </row>
    <row r="225" spans="2:4">
      <c r="B225" t="s">
        <v>297</v>
      </c>
      <c r="C225" t="s">
        <v>519</v>
      </c>
      <c r="D225" t="s">
        <v>519</v>
      </c>
    </row>
    <row r="226" spans="2:4">
      <c r="B226" t="s">
        <v>297</v>
      </c>
      <c r="C226" t="s">
        <v>520</v>
      </c>
      <c r="D226" t="s">
        <v>520</v>
      </c>
    </row>
    <row r="227" spans="2:4">
      <c r="B227" t="s">
        <v>297</v>
      </c>
      <c r="C227" t="s">
        <v>521</v>
      </c>
      <c r="D227" t="s">
        <v>521</v>
      </c>
    </row>
    <row r="228" spans="2:4">
      <c r="B228" t="s">
        <v>297</v>
      </c>
      <c r="C228" t="s">
        <v>522</v>
      </c>
      <c r="D228" t="s">
        <v>522</v>
      </c>
    </row>
    <row r="229" spans="2:4">
      <c r="B229" t="s">
        <v>297</v>
      </c>
      <c r="C229" t="s">
        <v>523</v>
      </c>
      <c r="D229" t="s">
        <v>523</v>
      </c>
    </row>
    <row r="230" spans="2:4">
      <c r="B230" t="s">
        <v>297</v>
      </c>
      <c r="C230" t="s">
        <v>524</v>
      </c>
      <c r="D230" t="s">
        <v>524</v>
      </c>
    </row>
    <row r="231" spans="2:4">
      <c r="B231" t="s">
        <v>297</v>
      </c>
      <c r="C231" t="s">
        <v>525</v>
      </c>
      <c r="D231" t="s">
        <v>525</v>
      </c>
    </row>
    <row r="232" spans="2:4">
      <c r="B232" t="s">
        <v>297</v>
      </c>
      <c r="C232" t="s">
        <v>526</v>
      </c>
      <c r="D232" t="s">
        <v>526</v>
      </c>
    </row>
    <row r="233" spans="2:4">
      <c r="B233" t="s">
        <v>297</v>
      </c>
      <c r="C233" t="s">
        <v>527</v>
      </c>
      <c r="D233" t="s">
        <v>527</v>
      </c>
    </row>
    <row r="234" spans="2:4">
      <c r="B234" t="s">
        <v>297</v>
      </c>
      <c r="C234" t="s">
        <v>528</v>
      </c>
      <c r="D234" t="s">
        <v>528</v>
      </c>
    </row>
    <row r="235" spans="2:4">
      <c r="B235" t="s">
        <v>297</v>
      </c>
      <c r="C235" t="s">
        <v>529</v>
      </c>
      <c r="D235" t="s">
        <v>529</v>
      </c>
    </row>
    <row r="236" spans="2:4">
      <c r="B236" t="s">
        <v>297</v>
      </c>
      <c r="C236" t="s">
        <v>530</v>
      </c>
      <c r="D236" t="s">
        <v>530</v>
      </c>
    </row>
    <row r="237" spans="2:4">
      <c r="B237" t="s">
        <v>297</v>
      </c>
      <c r="C237" t="s">
        <v>531</v>
      </c>
      <c r="D237" t="s">
        <v>531</v>
      </c>
    </row>
    <row r="238" spans="2:4">
      <c r="B238" t="s">
        <v>297</v>
      </c>
      <c r="C238" t="s">
        <v>532</v>
      </c>
      <c r="D238" t="s">
        <v>532</v>
      </c>
    </row>
    <row r="239" spans="2:4">
      <c r="B239" t="s">
        <v>297</v>
      </c>
      <c r="C239" t="s">
        <v>533</v>
      </c>
      <c r="D239" t="s">
        <v>533</v>
      </c>
    </row>
    <row r="240" spans="2:4">
      <c r="B240" t="s">
        <v>297</v>
      </c>
      <c r="C240" t="s">
        <v>534</v>
      </c>
      <c r="D240" t="s">
        <v>534</v>
      </c>
    </row>
    <row r="241" spans="2:4">
      <c r="B241" t="s">
        <v>297</v>
      </c>
      <c r="C241" t="s">
        <v>535</v>
      </c>
      <c r="D241" t="s">
        <v>535</v>
      </c>
    </row>
    <row r="242" spans="2:4">
      <c r="B242" t="s">
        <v>297</v>
      </c>
      <c r="C242" t="s">
        <v>536</v>
      </c>
      <c r="D242" t="s">
        <v>536</v>
      </c>
    </row>
    <row r="243" spans="2:4">
      <c r="B243" t="s">
        <v>297</v>
      </c>
      <c r="C243" t="s">
        <v>537</v>
      </c>
      <c r="D243" t="s">
        <v>537</v>
      </c>
    </row>
    <row r="244" spans="2:4">
      <c r="B244" t="s">
        <v>297</v>
      </c>
      <c r="C244" t="s">
        <v>538</v>
      </c>
      <c r="D244" t="s">
        <v>538</v>
      </c>
    </row>
    <row r="245" spans="2:4">
      <c r="B245" t="s">
        <v>297</v>
      </c>
      <c r="C245" t="s">
        <v>539</v>
      </c>
      <c r="D245" t="s">
        <v>539</v>
      </c>
    </row>
    <row r="246" spans="2:4">
      <c r="B246" t="s">
        <v>297</v>
      </c>
      <c r="C246" t="s">
        <v>540</v>
      </c>
      <c r="D246" t="s">
        <v>540</v>
      </c>
    </row>
    <row r="247" spans="2:4">
      <c r="B247" t="s">
        <v>297</v>
      </c>
      <c r="C247" t="s">
        <v>541</v>
      </c>
      <c r="D247" t="s">
        <v>541</v>
      </c>
    </row>
    <row r="248" spans="2:4">
      <c r="B248" t="s">
        <v>297</v>
      </c>
      <c r="C248" t="s">
        <v>542</v>
      </c>
      <c r="D248" t="s">
        <v>542</v>
      </c>
    </row>
    <row r="249" spans="2:4">
      <c r="B249" t="s">
        <v>297</v>
      </c>
      <c r="C249" t="s">
        <v>543</v>
      </c>
      <c r="D249" t="s">
        <v>543</v>
      </c>
    </row>
    <row r="250" spans="2:4">
      <c r="B250" t="s">
        <v>297</v>
      </c>
      <c r="C250" t="s">
        <v>544</v>
      </c>
      <c r="D250" t="s">
        <v>544</v>
      </c>
    </row>
    <row r="251" spans="2:4">
      <c r="B251" t="s">
        <v>297</v>
      </c>
      <c r="C251" t="s">
        <v>545</v>
      </c>
      <c r="D251" t="s">
        <v>545</v>
      </c>
    </row>
    <row r="252" spans="2:4">
      <c r="B252" t="s">
        <v>297</v>
      </c>
      <c r="C252" t="s">
        <v>546</v>
      </c>
      <c r="D252" t="s">
        <v>546</v>
      </c>
    </row>
    <row r="253" spans="2:4">
      <c r="B253" t="s">
        <v>297</v>
      </c>
      <c r="C253" t="s">
        <v>547</v>
      </c>
      <c r="D253" t="s">
        <v>547</v>
      </c>
    </row>
    <row r="254" spans="2:4">
      <c r="B254" t="s">
        <v>297</v>
      </c>
      <c r="C254" t="s">
        <v>548</v>
      </c>
      <c r="D254" t="s">
        <v>548</v>
      </c>
    </row>
    <row r="255" spans="2:4">
      <c r="B255" t="s">
        <v>297</v>
      </c>
      <c r="C255" t="s">
        <v>549</v>
      </c>
      <c r="D255" t="s">
        <v>549</v>
      </c>
    </row>
    <row r="256" spans="2:4">
      <c r="B256" t="s">
        <v>297</v>
      </c>
      <c r="C256" t="s">
        <v>550</v>
      </c>
      <c r="D256" t="s">
        <v>550</v>
      </c>
    </row>
    <row r="257" spans="2:4">
      <c r="B257" t="s">
        <v>297</v>
      </c>
      <c r="C257" t="s">
        <v>551</v>
      </c>
      <c r="D257" t="s">
        <v>551</v>
      </c>
    </row>
    <row r="258" spans="2:4">
      <c r="B258" t="s">
        <v>297</v>
      </c>
      <c r="C258" t="s">
        <v>552</v>
      </c>
      <c r="D258" t="s">
        <v>552</v>
      </c>
    </row>
    <row r="259" spans="2:4">
      <c r="B259" t="s">
        <v>297</v>
      </c>
      <c r="C259" t="s">
        <v>553</v>
      </c>
      <c r="D259" t="s">
        <v>553</v>
      </c>
    </row>
    <row r="260" spans="2:4">
      <c r="B260" t="s">
        <v>297</v>
      </c>
      <c r="C260" t="s">
        <v>554</v>
      </c>
      <c r="D260" t="s">
        <v>554</v>
      </c>
    </row>
    <row r="261" spans="2:4">
      <c r="B261" t="s">
        <v>297</v>
      </c>
      <c r="C261" t="s">
        <v>555</v>
      </c>
      <c r="D261" t="s">
        <v>555</v>
      </c>
    </row>
    <row r="262" spans="2:4">
      <c r="B262" t="s">
        <v>297</v>
      </c>
      <c r="C262" t="s">
        <v>556</v>
      </c>
      <c r="D262" t="s">
        <v>556</v>
      </c>
    </row>
    <row r="263" spans="2:4">
      <c r="B263" t="s">
        <v>297</v>
      </c>
      <c r="C263" t="s">
        <v>557</v>
      </c>
      <c r="D263" t="s">
        <v>557</v>
      </c>
    </row>
    <row r="264" spans="2:4">
      <c r="B264" t="s">
        <v>297</v>
      </c>
      <c r="C264" t="s">
        <v>558</v>
      </c>
      <c r="D264" t="s">
        <v>558</v>
      </c>
    </row>
    <row r="265" spans="2:4">
      <c r="B265" t="s">
        <v>297</v>
      </c>
      <c r="C265" t="s">
        <v>559</v>
      </c>
      <c r="D265" t="s">
        <v>559</v>
      </c>
    </row>
    <row r="266" spans="2:4">
      <c r="B266" t="s">
        <v>297</v>
      </c>
      <c r="C266" t="s">
        <v>560</v>
      </c>
      <c r="D266" t="s">
        <v>560</v>
      </c>
    </row>
    <row r="267" spans="2:4">
      <c r="B267" t="s">
        <v>297</v>
      </c>
      <c r="C267" t="s">
        <v>561</v>
      </c>
      <c r="D267" t="s">
        <v>561</v>
      </c>
    </row>
    <row r="268" spans="2:4">
      <c r="B268" t="s">
        <v>297</v>
      </c>
      <c r="C268" t="s">
        <v>562</v>
      </c>
      <c r="D268" t="s">
        <v>562</v>
      </c>
    </row>
    <row r="269" spans="2:4">
      <c r="B269" t="s">
        <v>297</v>
      </c>
      <c r="C269" t="s">
        <v>563</v>
      </c>
      <c r="D269" t="s">
        <v>563</v>
      </c>
    </row>
    <row r="270" spans="2:4">
      <c r="B270" t="s">
        <v>297</v>
      </c>
      <c r="C270" t="s">
        <v>564</v>
      </c>
      <c r="D270" t="s">
        <v>564</v>
      </c>
    </row>
    <row r="271" spans="2:4">
      <c r="B271" t="s">
        <v>297</v>
      </c>
      <c r="C271" t="s">
        <v>565</v>
      </c>
      <c r="D271" t="s">
        <v>565</v>
      </c>
    </row>
    <row r="272" spans="2:4">
      <c r="B272" t="s">
        <v>297</v>
      </c>
      <c r="C272" t="s">
        <v>566</v>
      </c>
      <c r="D272" t="s">
        <v>566</v>
      </c>
    </row>
    <row r="273" spans="2:4">
      <c r="B273" t="s">
        <v>297</v>
      </c>
      <c r="C273" t="s">
        <v>567</v>
      </c>
      <c r="D273" t="s">
        <v>567</v>
      </c>
    </row>
    <row r="274" spans="2:4">
      <c r="B274" t="s">
        <v>297</v>
      </c>
      <c r="C274" t="s">
        <v>568</v>
      </c>
      <c r="D274" t="s">
        <v>568</v>
      </c>
    </row>
    <row r="275" spans="2:4">
      <c r="B275" t="s">
        <v>297</v>
      </c>
      <c r="C275" t="s">
        <v>569</v>
      </c>
      <c r="D275" t="s">
        <v>569</v>
      </c>
    </row>
    <row r="276" spans="2:4">
      <c r="B276" t="s">
        <v>297</v>
      </c>
      <c r="C276" t="s">
        <v>570</v>
      </c>
      <c r="D276" t="s">
        <v>570</v>
      </c>
    </row>
    <row r="277" spans="2:4">
      <c r="B277" t="s">
        <v>297</v>
      </c>
      <c r="C277" t="s">
        <v>571</v>
      </c>
      <c r="D277" t="s">
        <v>571</v>
      </c>
    </row>
    <row r="278" spans="2:4">
      <c r="B278" t="s">
        <v>297</v>
      </c>
      <c r="C278" t="s">
        <v>572</v>
      </c>
      <c r="D278" t="s">
        <v>572</v>
      </c>
    </row>
    <row r="279" spans="2:4">
      <c r="B279" t="s">
        <v>297</v>
      </c>
      <c r="C279" t="s">
        <v>573</v>
      </c>
      <c r="D279" t="s">
        <v>573</v>
      </c>
    </row>
    <row r="280" spans="2:4">
      <c r="B280" t="s">
        <v>297</v>
      </c>
      <c r="C280" t="s">
        <v>574</v>
      </c>
      <c r="D280" t="s">
        <v>574</v>
      </c>
    </row>
    <row r="281" spans="2:4">
      <c r="B281" t="s">
        <v>297</v>
      </c>
      <c r="C281" t="s">
        <v>575</v>
      </c>
      <c r="D281" t="s">
        <v>575</v>
      </c>
    </row>
    <row r="282" spans="2:4">
      <c r="B282" t="s">
        <v>297</v>
      </c>
      <c r="C282" t="s">
        <v>576</v>
      </c>
      <c r="D282" t="s">
        <v>576</v>
      </c>
    </row>
    <row r="283" spans="2:4">
      <c r="B283" t="s">
        <v>297</v>
      </c>
      <c r="C283" t="s">
        <v>577</v>
      </c>
      <c r="D283" t="s">
        <v>577</v>
      </c>
    </row>
    <row r="284" spans="2:4">
      <c r="B284" t="s">
        <v>297</v>
      </c>
      <c r="C284" t="s">
        <v>578</v>
      </c>
      <c r="D284" t="s">
        <v>578</v>
      </c>
    </row>
    <row r="285" spans="2:4">
      <c r="B285" t="s">
        <v>297</v>
      </c>
      <c r="C285" t="s">
        <v>579</v>
      </c>
      <c r="D285" t="s">
        <v>579</v>
      </c>
    </row>
    <row r="286" spans="2:4">
      <c r="B286" t="s">
        <v>297</v>
      </c>
      <c r="C286" t="s">
        <v>580</v>
      </c>
      <c r="D286" t="s">
        <v>580</v>
      </c>
    </row>
    <row r="287" spans="2:4">
      <c r="B287" t="s">
        <v>297</v>
      </c>
      <c r="C287" t="s">
        <v>581</v>
      </c>
      <c r="D287" t="s">
        <v>581</v>
      </c>
    </row>
    <row r="288" spans="2:4">
      <c r="B288" t="s">
        <v>297</v>
      </c>
      <c r="C288" t="s">
        <v>582</v>
      </c>
      <c r="D288" t="s">
        <v>582</v>
      </c>
    </row>
    <row r="289" spans="2:4">
      <c r="B289" t="s">
        <v>297</v>
      </c>
      <c r="C289" t="s">
        <v>583</v>
      </c>
      <c r="D289" t="s">
        <v>583</v>
      </c>
    </row>
    <row r="290" spans="2:4">
      <c r="B290" t="s">
        <v>297</v>
      </c>
      <c r="C290" t="s">
        <v>584</v>
      </c>
      <c r="D290" t="s">
        <v>584</v>
      </c>
    </row>
    <row r="291" spans="2:4">
      <c r="B291" t="s">
        <v>297</v>
      </c>
      <c r="C291" t="s">
        <v>585</v>
      </c>
      <c r="D291" t="s">
        <v>585</v>
      </c>
    </row>
    <row r="292" spans="2:4">
      <c r="B292" t="s">
        <v>297</v>
      </c>
      <c r="C292" t="s">
        <v>586</v>
      </c>
      <c r="D292" t="s">
        <v>586</v>
      </c>
    </row>
    <row r="293" spans="2:4">
      <c r="B293" t="s">
        <v>297</v>
      </c>
      <c r="C293" t="s">
        <v>587</v>
      </c>
      <c r="D293" t="s">
        <v>587</v>
      </c>
    </row>
    <row r="294" spans="2:4">
      <c r="B294" t="s">
        <v>297</v>
      </c>
      <c r="C294" t="s">
        <v>588</v>
      </c>
      <c r="D294" t="s">
        <v>588</v>
      </c>
    </row>
    <row r="295" spans="2:4">
      <c r="B295" t="s">
        <v>297</v>
      </c>
      <c r="C295" t="s">
        <v>589</v>
      </c>
      <c r="D295" t="s">
        <v>589</v>
      </c>
    </row>
    <row r="296" spans="2:4">
      <c r="B296" t="s">
        <v>297</v>
      </c>
      <c r="C296" t="s">
        <v>590</v>
      </c>
      <c r="D296" t="s">
        <v>590</v>
      </c>
    </row>
    <row r="297" spans="2:4">
      <c r="B297" t="s">
        <v>297</v>
      </c>
      <c r="C297" t="s">
        <v>591</v>
      </c>
      <c r="D297" t="s">
        <v>591</v>
      </c>
    </row>
    <row r="298" spans="2:4">
      <c r="B298" t="s">
        <v>297</v>
      </c>
      <c r="C298" t="s">
        <v>592</v>
      </c>
      <c r="D298" t="s">
        <v>592</v>
      </c>
    </row>
    <row r="299" spans="2:4">
      <c r="B299" t="s">
        <v>297</v>
      </c>
      <c r="C299" t="s">
        <v>593</v>
      </c>
      <c r="D299" t="s">
        <v>593</v>
      </c>
    </row>
    <row r="300" spans="2:4">
      <c r="B300" t="s">
        <v>297</v>
      </c>
      <c r="C300" t="s">
        <v>594</v>
      </c>
      <c r="D300" t="s">
        <v>594</v>
      </c>
    </row>
    <row r="301" spans="2:4">
      <c r="B301" t="s">
        <v>297</v>
      </c>
      <c r="C301" t="s">
        <v>595</v>
      </c>
      <c r="D301" t="s">
        <v>595</v>
      </c>
    </row>
    <row r="302" spans="2:4">
      <c r="B302" t="s">
        <v>297</v>
      </c>
      <c r="C302" t="s">
        <v>596</v>
      </c>
      <c r="D302" t="s">
        <v>596</v>
      </c>
    </row>
    <row r="303" spans="2:4">
      <c r="B303" t="s">
        <v>297</v>
      </c>
      <c r="C303" t="s">
        <v>597</v>
      </c>
      <c r="D303" t="s">
        <v>597</v>
      </c>
    </row>
    <row r="304" spans="2:4">
      <c r="B304" t="s">
        <v>297</v>
      </c>
      <c r="C304" t="s">
        <v>598</v>
      </c>
      <c r="D304" t="s">
        <v>598</v>
      </c>
    </row>
    <row r="305" spans="2:4">
      <c r="B305" t="s">
        <v>297</v>
      </c>
      <c r="C305" t="s">
        <v>599</v>
      </c>
      <c r="D305" t="s">
        <v>599</v>
      </c>
    </row>
    <row r="306" spans="2:4">
      <c r="B306" t="s">
        <v>297</v>
      </c>
      <c r="C306" t="s">
        <v>600</v>
      </c>
      <c r="D306" t="s">
        <v>600</v>
      </c>
    </row>
    <row r="307" spans="2:4">
      <c r="B307" t="s">
        <v>297</v>
      </c>
      <c r="C307" t="s">
        <v>601</v>
      </c>
      <c r="D307" t="s">
        <v>601</v>
      </c>
    </row>
    <row r="308" spans="2:4">
      <c r="B308" t="s">
        <v>297</v>
      </c>
      <c r="C308" t="s">
        <v>602</v>
      </c>
      <c r="D308" t="s">
        <v>602</v>
      </c>
    </row>
    <row r="309" spans="2:4">
      <c r="B309" t="s">
        <v>297</v>
      </c>
      <c r="C309" t="s">
        <v>603</v>
      </c>
      <c r="D309" t="s">
        <v>603</v>
      </c>
    </row>
    <row r="310" spans="2:4">
      <c r="B310" t="s">
        <v>297</v>
      </c>
      <c r="C310" t="s">
        <v>604</v>
      </c>
      <c r="D310" t="s">
        <v>604</v>
      </c>
    </row>
    <row r="311" spans="2:4">
      <c r="B311" t="s">
        <v>297</v>
      </c>
      <c r="C311" t="s">
        <v>605</v>
      </c>
      <c r="D311" t="s">
        <v>605</v>
      </c>
    </row>
    <row r="312" spans="2:4">
      <c r="B312" t="s">
        <v>297</v>
      </c>
      <c r="C312" t="s">
        <v>606</v>
      </c>
      <c r="D312" t="s">
        <v>606</v>
      </c>
    </row>
    <row r="313" spans="2:4">
      <c r="B313" t="s">
        <v>297</v>
      </c>
      <c r="C313" t="s">
        <v>607</v>
      </c>
      <c r="D313" t="s">
        <v>607</v>
      </c>
    </row>
    <row r="314" spans="2:4">
      <c r="B314" t="s">
        <v>297</v>
      </c>
      <c r="C314" t="s">
        <v>608</v>
      </c>
      <c r="D314" t="s">
        <v>608</v>
      </c>
    </row>
    <row r="315" spans="2:4">
      <c r="B315" t="s">
        <v>297</v>
      </c>
      <c r="C315" t="s">
        <v>609</v>
      </c>
      <c r="D315" t="s">
        <v>609</v>
      </c>
    </row>
    <row r="316" spans="2:4">
      <c r="B316" t="s">
        <v>297</v>
      </c>
      <c r="C316" t="s">
        <v>610</v>
      </c>
      <c r="D316" t="s">
        <v>610</v>
      </c>
    </row>
    <row r="317" spans="2:4">
      <c r="B317" t="s">
        <v>297</v>
      </c>
      <c r="C317" t="s">
        <v>611</v>
      </c>
      <c r="D317" t="s">
        <v>611</v>
      </c>
    </row>
    <row r="318" spans="2:4">
      <c r="B318" t="s">
        <v>297</v>
      </c>
      <c r="C318" t="s">
        <v>612</v>
      </c>
      <c r="D318" t="s">
        <v>612</v>
      </c>
    </row>
    <row r="319" spans="2:4">
      <c r="B319" t="s">
        <v>297</v>
      </c>
      <c r="C319" t="s">
        <v>613</v>
      </c>
      <c r="D319" t="s">
        <v>613</v>
      </c>
    </row>
    <row r="320" spans="2:4">
      <c r="B320" t="s">
        <v>297</v>
      </c>
      <c r="C320" t="s">
        <v>614</v>
      </c>
      <c r="D320" t="s">
        <v>614</v>
      </c>
    </row>
    <row r="321" spans="2:4">
      <c r="B321" t="s">
        <v>297</v>
      </c>
      <c r="C321" t="s">
        <v>615</v>
      </c>
      <c r="D321" t="s">
        <v>615</v>
      </c>
    </row>
    <row r="322" spans="2:4">
      <c r="B322" t="s">
        <v>297</v>
      </c>
      <c r="C322" t="s">
        <v>616</v>
      </c>
      <c r="D322" t="s">
        <v>616</v>
      </c>
    </row>
    <row r="323" spans="2:4">
      <c r="B323" t="s">
        <v>297</v>
      </c>
      <c r="C323" t="s">
        <v>617</v>
      </c>
      <c r="D323" t="s">
        <v>617</v>
      </c>
    </row>
    <row r="324" spans="2:4">
      <c r="B324" t="s">
        <v>297</v>
      </c>
      <c r="C324" t="s">
        <v>618</v>
      </c>
      <c r="D324" t="s">
        <v>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296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265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279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274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275</v>
      </c>
      <c r="S14">
        <v>-1</v>
      </c>
    </row>
    <row r="15" spans="1:19">
      <c r="A15" t="s">
        <v>120</v>
      </c>
      <c r="B15" s="4" t="s">
        <v>276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282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283</v>
      </c>
      <c r="S17">
        <v>-1</v>
      </c>
    </row>
    <row r="18" spans="1:19">
      <c r="A18" t="s">
        <v>120</v>
      </c>
      <c r="B18" s="4" t="s">
        <v>277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274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284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278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280</v>
      </c>
    </row>
    <row r="13" spans="1:3">
      <c r="A13" t="s">
        <v>95</v>
      </c>
      <c r="B13" t="s">
        <v>281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276</v>
      </c>
    </row>
    <row r="25" spans="1:2">
      <c r="A25" t="s">
        <v>203</v>
      </c>
      <c r="B25" t="s">
        <v>276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276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266</v>
      </c>
      <c r="B6" t="str">
        <f t="shared" si="0"/>
        <v>geothermal</v>
      </c>
    </row>
    <row r="7" spans="1:3">
      <c r="A7" t="s">
        <v>267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268</v>
      </c>
      <c r="B10" t="str">
        <f t="shared" si="0"/>
        <v>oil</v>
      </c>
    </row>
    <row r="11" spans="1:3">
      <c r="A11" t="s">
        <v>269</v>
      </c>
      <c r="B11" t="str">
        <f t="shared" si="0"/>
        <v>solar</v>
      </c>
    </row>
    <row r="12" spans="1:3">
      <c r="A12" t="s">
        <v>270</v>
      </c>
      <c r="B12" t="s">
        <v>272</v>
      </c>
    </row>
    <row r="13" spans="1:3">
      <c r="A13" t="s">
        <v>271</v>
      </c>
      <c r="B13" t="s">
        <v>273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6"/>
  <sheetViews>
    <sheetView workbookViewId="0">
      <pane ySplit="2" topLeftCell="A39" activePane="bottomLeft" state="frozen"/>
      <selection pane="bottomLeft" activeCell="B39" sqref="B39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262</v>
      </c>
      <c r="C50" t="s">
        <v>132</v>
      </c>
      <c r="E50" t="s">
        <v>136</v>
      </c>
    </row>
    <row r="51" spans="1:5">
      <c r="A51" t="s">
        <v>69</v>
      </c>
      <c r="B51" t="s">
        <v>262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TS_Defs</vt:lpstr>
      <vt:lpstr>TS_ratios</vt:lpstr>
      <vt:lpstr>geolocation</vt:lpstr>
      <vt:lpstr>process_map_geo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2025-09-08T18:29:48Z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